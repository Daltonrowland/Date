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README_v7" sheetId="1" state="visible" r:id="rId1"/>
    <sheet xmlns:r="http://schemas.openxmlformats.org/officeDocument/2006/relationships" name="Schema_v5" sheetId="2" state="visible" r:id="rId2"/>
    <sheet xmlns:r="http://schemas.openxmlformats.org/officeDocument/2006/relationships" name="MatchEngine_v5" sheetId="3" state="visible" r:id="rId3"/>
    <sheet xmlns:r="http://schemas.openxmlformats.org/officeDocument/2006/relationships" name="README_v4" sheetId="4" state="visible" r:id="rId4"/>
    <sheet xmlns:r="http://schemas.openxmlformats.org/officeDocument/2006/relationships" name="AnswerBank_v4" sheetId="5" state="visible" r:id="rId5"/>
    <sheet xmlns:r="http://schemas.openxmlformats.org/officeDocument/2006/relationships" name="QuestionWeights_v4" sheetId="6" state="visible" r:id="rId6"/>
    <sheet xmlns:r="http://schemas.openxmlformats.org/officeDocument/2006/relationships" name="ArchetypeLookup_v4" sheetId="7" state="visible" r:id="rId7"/>
    <sheet xmlns:r="http://schemas.openxmlformats.org/officeDocument/2006/relationships" name="ShadowLookup_v4" sheetId="8" state="visible" r:id="rId8"/>
    <sheet xmlns:r="http://schemas.openxmlformats.org/officeDocument/2006/relationships" name="AstrologyLookup_v4" sheetId="9" state="visible" r:id="rId9"/>
    <sheet xmlns:r="http://schemas.openxmlformats.org/officeDocument/2006/relationships" name="NumerologyLookup_v4" sheetId="10" state="visible" r:id="rId10"/>
    <sheet xmlns:r="http://schemas.openxmlformats.org/officeDocument/2006/relationships" name="CommLookup_v4" sheetId="11" state="visible" r:id="rId11"/>
    <sheet xmlns:r="http://schemas.openxmlformats.org/officeDocument/2006/relationships" name="RegLookup_v4" sheetId="12" state="visible" r:id="rId12"/>
    <sheet xmlns:r="http://schemas.openxmlformats.org/officeDocument/2006/relationships" name="LoveLookup_v4" sheetId="13" state="visible" r:id="rId13"/>
    <sheet xmlns:r="http://schemas.openxmlformats.org/officeDocument/2006/relationships" name="InteractionRules_v4" sheetId="14" state="visible" r:id="rId14"/>
    <sheet xmlns:r="http://schemas.openxmlformats.org/officeDocument/2006/relationships" name="AstroSignMap_v4" sheetId="15" state="visible" r:id="rId15"/>
    <sheet xmlns:r="http://schemas.openxmlformats.org/officeDocument/2006/relationships" name="TestHarness_v4" sheetId="16" state="visible" r:id="rId16"/>
    <sheet xmlns:r="http://schemas.openxmlformats.org/officeDocument/2006/relationships" name="FinalScores_v4" sheetId="17" state="visible" r:id="rId17"/>
    <sheet xmlns:r="http://schemas.openxmlformats.org/officeDocument/2006/relationships" name="AnswerBank_v5" sheetId="18" state="visible" r:id="rId18"/>
    <sheet xmlns:r="http://schemas.openxmlformats.org/officeDocument/2006/relationships" name="AstrologyLookup_v5" sheetId="19" state="visible" r:id="rId19"/>
    <sheet xmlns:r="http://schemas.openxmlformats.org/officeDocument/2006/relationships" name="NumerologyLookup_v5" sheetId="20" state="visible" r:id="rId20"/>
    <sheet xmlns:r="http://schemas.openxmlformats.org/officeDocument/2006/relationships" name="FinalScores_v5" sheetId="21" state="visible" r:id="rId21"/>
    <sheet xmlns:r="http://schemas.openxmlformats.org/officeDocument/2006/relationships" name="Calibration_v7" sheetId="22" state="visible" r:id="rId22"/>
    <sheet xmlns:r="http://schemas.openxmlformats.org/officeDocument/2006/relationships" name="Schema_v7" sheetId="23" state="visible" r:id="rId23"/>
    <sheet xmlns:r="http://schemas.openxmlformats.org/officeDocument/2006/relationships" name="TierRules_v7" sheetId="24" state="visible" r:id="rId24"/>
    <sheet xmlns:r="http://schemas.openxmlformats.org/officeDocument/2006/relationships" name="ML_Labels_v7" sheetId="25" state="visible" r:id="rId25"/>
    <sheet xmlns:r="http://schemas.openxmlformats.org/officeDocument/2006/relationships" name="AnswerBank_v7" sheetId="26" state="visible" r:id="rId26"/>
    <sheet xmlns:r="http://schemas.openxmlformats.org/officeDocument/2006/relationships" name="InteractionBonusRules_v7" sheetId="27" state="visible" r:id="rId27"/>
    <sheet xmlns:r="http://schemas.openxmlformats.org/officeDocument/2006/relationships" name="HardPenaltyRules_v7" sheetId="28" state="visible" r:id="rId28"/>
    <sheet xmlns:r="http://schemas.openxmlformats.org/officeDocument/2006/relationships" name="Engine_v7" sheetId="29" state="visible" r:id="rId29"/>
  </sheets>
  <definedNames/>
  <calcPr calcId="191028" fullCalcOnLoad="1" calcCompleted="0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libri"/>
      <b val="1"/>
      <sz val="11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  <fill>
      <patternFill patternType="solid">
        <fgColor rgb="FF2F5597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C7CDD6"/>
      </left>
      <right style="thin">
        <color rgb="FFC7CDD6"/>
      </right>
      <top style="thin">
        <color rgb="FFC7CDD6"/>
      </top>
      <bottom style="thin">
        <color rgb="FFC7CDD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2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2" fillId="4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5" fillId="5" borderId="0" applyAlignment="1" pivotButton="0" quotePrefix="0" xfId="0">
      <alignment horizontal="center"/>
    </xf>
    <xf numFmtId="0" fontId="6" fillId="6" borderId="0" pivotButton="0" quotePrefix="0" xfId="0"/>
    <xf numFmtId="0" fontId="0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ables/table1.xml><?xml version="1.0" encoding="utf-8"?>
<table xmlns="http://schemas.openxmlformats.org/spreadsheetml/2006/main" id="1" name="AnswerBankV4" displayName="AnswerBankV4" ref="A1:AP311" headerRowCount="1">
  <autoFilter ref="A1:AP311"/>
  <tableColumns count="42">
    <tableColumn id="1" name="answer_id"/>
    <tableColumn id="2" name="canonical_q"/>
    <tableColumn id="3" name="question_number_int"/>
    <tableColumn id="4" name="phase"/>
    <tableColumn id="5" name="question_weight_v3"/>
    <tableColumn id="6" name="dimension_primary"/>
    <tableColumn id="7" name="dimension_secondary"/>
    <tableColumn id="8" name="question_text"/>
    <tableColumn id="9" name="answer_option_id"/>
    <tableColumn id="10" name="answer_letter"/>
    <tableColumn id="11" name="answer_text"/>
    <tableColumn id="12" name="score_weight"/>
    <tableColumn id="13" name="compatibility_weight"/>
    <tableColumn id="14" name="readiness_points_v3"/>
    <tableColumn id="15" name="compatibility_stance_v3"/>
    <tableColumn id="16" name="forecast_points_v3"/>
    <tableColumn id="17" name="archetype"/>
    <tableColumn id="18" name="archetype_id"/>
    <tableColumn id="19" name="shadow_type"/>
    <tableColumn id="20" name="shadow_type_id"/>
    <tableColumn id="21" name="shadow_risk_points_v3"/>
    <tableColumn id="22" name="polarity_tag"/>
    <tableColumn id="23" name="polarity_masc_delta_v3"/>
    <tableColumn id="24" name="polarity_fem_delta_v3"/>
    <tableColumn id="25" name="comm_style"/>
    <tableColumn id="26" name="regulation_style"/>
    <tableColumn id="27" name="love_language"/>
    <tableColumn id="28" name="cluster_tags"/>
    <tableColumn id="29" name="cluster_1"/>
    <tableColumn id="30" name="cluster_2"/>
    <tableColumn id="31" name="cluster_penalty_points"/>
    <tableColumn id="32" name="pattern_tag"/>
    <tableColumn id="33" name="match_behavior_tag"/>
    <tableColumn id="34" name="pattern_risk"/>
    <tableColumn id="35" name="consistency_flag"/>
    <tableColumn id="36" name="integrity_flag_v3"/>
    <tableColumn id="37" name="drift_relevance"/>
    <tableColumn id="38" name="forecast_relevance"/>
    <tableColumn id="39" name="energy_type_tag"/>
    <tableColumn id="40" name="emotion_family"/>
    <tableColumn id="41" name="emotion_cell"/>
    <tableColumn id="42" name="version_snapsh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WeightsV4" displayName="QWeightsV4" ref="A1:C61" headerRowCount="1">
  <autoFilter ref="A1:C61"/>
  <tableColumns count="3">
    <tableColumn id="1" name="q"/>
    <tableColumn id="2" name="phase"/>
    <tableColumn id="3" name="question_weig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rchLookupV4" displayName="ArchLookupV4" ref="A1:B101" headerRowCount="1">
  <autoFilter ref="A1:B101"/>
  <tableColumns count="2">
    <tableColumn id="1" name="pair_key"/>
    <tableColumn id="2" name="score_2_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hadowLookupV4" displayName="ShadowLookupV4" ref="A1:B37" headerRowCount="1">
  <autoFilter ref="A1:B37"/>
  <tableColumns count="2">
    <tableColumn id="1" name="pair_key"/>
    <tableColumn id="2" name="score_2_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stroLookupV4" displayName="AstroLookupV4" ref="A1:B577" headerRowCount="1">
  <autoFilter ref="A1:B577"/>
  <tableColumns count="2">
    <tableColumn id="1" name="pair_key"/>
    <tableColumn id="2" name="score_1_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NumLookupV4" displayName="NumLookupV4" ref="A1:C67" headerRowCount="1">
  <autoFilter ref="A1:C67"/>
  <tableColumns count="3">
    <tableColumn id="1" name="pair_key"/>
    <tableColumn id="2" name="score_1_10"/>
    <tableColumn id="3" name="weight_poi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mLookupV4" displayName="CommLookupV4" ref="A1:B16" headerRowCount="1">
  <autoFilter ref="A1:B16"/>
  <tableColumns count="2">
    <tableColumn id="1" name="pair_key"/>
    <tableColumn id="2" name="score_1_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gLookupV4" displayName="RegLookupV4" ref="A1:B11" headerRowCount="1">
  <autoFilter ref="A1:B11"/>
  <tableColumns count="2">
    <tableColumn id="1" name="pair_key"/>
    <tableColumn id="2" name="score_1_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LoveLookupV4" displayName="LoveLookupV4" ref="A1:B16" headerRowCount="1">
  <autoFilter ref="A1:B16"/>
  <tableColumns count="2">
    <tableColumn id="1" name="pair_key"/>
    <tableColumn id="2" name="score_1_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lesV4" displayName="RulesV4" ref="A1:I6" headerRowCount="1">
  <autoFilter ref="A1:I6"/>
  <tableColumns count="9">
    <tableColumn id="1" name="rule_id"/>
    <tableColumn id="2" name="source_type"/>
    <tableColumn id="3" name="source_value"/>
    <tableColumn id="4" name="target_type"/>
    <tableColumn id="5" name="target_value"/>
    <tableColumn id="6" name="pair_effect"/>
    <tableColumn id="7" name="compatibility_modifier"/>
    <tableColumn id="8" name="forecast_modifier"/>
    <tableColumn id="9" name="sourc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ignMapV4" displayName="SignMapV4" ref="A1:B13" headerRowCount="1">
  <autoFilter ref="A1:B13"/>
  <tableColumns count="2">
    <tableColumn id="1" name="sun_sign"/>
    <tableColumn id="2" name="abb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style="10" min="1" max="1"/>
    <col width="120" customWidth="1" style="10" min="2" max="2"/>
    <col width="8" customWidth="1" style="10" min="3" max="3"/>
    <col width="8" customWidth="1" style="10" min="4" max="4"/>
  </cols>
  <sheetData>
    <row r="1">
      <c r="A1" s="11" t="inlineStr">
        <is>
          <t>Genesis OS v7 Scoring Workbook</t>
        </is>
      </c>
    </row>
    <row r="2">
      <c r="A2" t="inlineStr"/>
      <c r="B2" t="inlineStr"/>
      <c r="C2" t="inlineStr"/>
      <c r="D2" t="inlineStr"/>
    </row>
    <row r="3">
      <c r="A3" s="12" t="inlineStr">
        <is>
          <t>Why v7 exists</t>
        </is>
      </c>
      <c r="B3" s="13" t="inlineStr">
        <is>
          <t>The prior engine was too linear and too compressed in the middle. In the 26x26 random simulation, Compatibility clustered in the 520-694 band while Chemistry sat unrealistically high for almost everyone. v7 restructures the scoring stack so behavior and stability are the gatekeepers, chemistry is support, and zodiac/numerology are overlays instead of co-captains.</t>
        </is>
      </c>
      <c r="C3" t="inlineStr"/>
      <c r="D3" t="inlineStr"/>
    </row>
    <row r="4">
      <c r="A4" s="12" t="inlineStr">
        <is>
          <t>What changed</t>
        </is>
      </c>
      <c r="B4" s="13" t="inlineStr">
        <is>
          <t>1) Added gated scoring (AlignmentWeighted × Gate) instead of pure linear averaging. 2) Lowered chemistry/cosmic influence. 3) Added answer-level proxy metrics for execution, repair, pacing, attachment risk, openness, accountability, reciprocity, and chemistry bias. 4) Added ML / Genesis OS label dictionary. 5) Added revised tier rules that separate strong, stable, and magnetic-but-risky.</t>
        </is>
      </c>
      <c r="C4" t="inlineStr"/>
      <c r="D4" t="inlineStr"/>
    </row>
    <row r="5">
      <c r="A5" s="12" t="inlineStr">
        <is>
          <t>How to use this file</t>
        </is>
      </c>
      <c r="B5" s="13" t="inlineStr">
        <is>
          <t>Use AnswerBank_v7 for answer-level metrics and labels. Use Schema_v7 for exact weights, normalizations, and formulas. Use Engine_v7 for the pair-level formula blueprint. Use TierRules_v7 for final tier assignment. Existing v4/v5 sheets are preserved for traceability.</t>
        </is>
      </c>
      <c r="C5" t="inlineStr"/>
      <c r="D5" t="inlineStr"/>
    </row>
    <row r="6">
      <c r="A6" s="12" t="inlineStr">
        <is>
          <t>Design principle</t>
        </is>
      </c>
      <c r="B6" s="13" t="inlineStr">
        <is>
          <t>Compatibility should not be lifted by chemistry, polarity, zodiac, or numerology if behavioral alignment and stability are weak. High scores should require both fit and hold.</t>
        </is>
      </c>
      <c r="C6" t="inlineStr"/>
      <c r="D6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0234375" customWidth="1" style="10" min="1" max="1"/>
    <col width="27.98046875" customWidth="1" style="10" min="2" max="2"/>
    <col width="13.98828125" customWidth="1" style="10" min="3" max="3"/>
    <col width="55.9609375" customWidth="1" style="10" min="4" max="4"/>
  </cols>
  <sheetData>
    <row r="1">
      <c r="A1" s="6" t="inlineStr">
        <is>
          <t>Category</t>
        </is>
      </c>
      <c r="B1" s="6" t="inlineStr">
        <is>
          <t>Name</t>
        </is>
      </c>
      <c r="C1" s="6" t="inlineStr">
        <is>
          <t>Value</t>
        </is>
      </c>
      <c r="D1" s="6" t="inlineStr">
        <is>
          <t>Notes</t>
        </is>
      </c>
    </row>
    <row r="2">
      <c r="A2" s="7" t="inlineStr">
        <is>
          <t>Normalization</t>
        </is>
      </c>
      <c r="B2" s="7" t="inlineStr">
        <is>
          <t>SCORE_WEIGHT_MIN</t>
        </is>
      </c>
      <c r="C2" s="7" t="n">
        <v>3</v>
      </c>
      <c r="D2" s="7" t="inlineStr">
        <is>
          <t>AnswerBank_v4 score_weight min</t>
        </is>
      </c>
    </row>
    <row r="3">
      <c r="A3" s="7" t="inlineStr">
        <is>
          <t>Normalization</t>
        </is>
      </c>
      <c r="B3" s="7" t="inlineStr">
        <is>
          <t>SCORE_WEIGHT_MAX</t>
        </is>
      </c>
      <c r="C3" s="7" t="n">
        <v>10</v>
      </c>
      <c r="D3" s="7" t="inlineStr">
        <is>
          <t>AnswerBank_v4 score_weight max</t>
        </is>
      </c>
    </row>
    <row r="4">
      <c r="A4" s="7" t="inlineStr">
        <is>
          <t>Normalization</t>
        </is>
      </c>
      <c r="B4" s="7" t="inlineStr">
        <is>
          <t>COMP_WEIGHT_MIN</t>
        </is>
      </c>
      <c r="C4" s="7" t="n">
        <v>4</v>
      </c>
      <c r="D4" s="7" t="inlineStr">
        <is>
          <t>AnswerBank_v4 compatibility_weight min</t>
        </is>
      </c>
    </row>
    <row r="5">
      <c r="A5" s="7" t="inlineStr">
        <is>
          <t>Normalization</t>
        </is>
      </c>
      <c r="B5" s="7" t="inlineStr">
        <is>
          <t>COMP_WEIGHT_MAX</t>
        </is>
      </c>
      <c r="C5" s="7" t="n">
        <v>10</v>
      </c>
      <c r="D5" s="7" t="inlineStr">
        <is>
          <t>AnswerBank_v4 compatibility_weight max</t>
        </is>
      </c>
    </row>
    <row r="6">
      <c r="A6" s="7" t="inlineStr">
        <is>
          <t>Normalization</t>
        </is>
      </c>
      <c r="B6" s="7" t="inlineStr">
        <is>
          <t>READINESS_MAX</t>
        </is>
      </c>
      <c r="C6" s="7" t="n">
        <v>10</v>
      </c>
      <c r="D6" s="7" t="inlineStr">
        <is>
          <t>readiness_points_v3 scale</t>
        </is>
      </c>
    </row>
    <row r="7">
      <c r="A7" s="7" t="inlineStr">
        <is>
          <t>Normalization</t>
        </is>
      </c>
      <c r="B7" s="7" t="inlineStr">
        <is>
          <t>STANCE_MAX</t>
        </is>
      </c>
      <c r="C7" s="7" t="n">
        <v>10</v>
      </c>
      <c r="D7" s="7" t="inlineStr">
        <is>
          <t>compatibility_stance_v3 scale</t>
        </is>
      </c>
    </row>
    <row r="8">
      <c r="A8" s="7" t="inlineStr">
        <is>
          <t>Normalization</t>
        </is>
      </c>
      <c r="B8" s="7" t="inlineStr">
        <is>
          <t>FORECAST_MAX</t>
        </is>
      </c>
      <c r="C8" s="7" t="n">
        <v>10</v>
      </c>
      <c r="D8" s="7" t="inlineStr">
        <is>
          <t>forecast_points_v3 scale</t>
        </is>
      </c>
    </row>
    <row r="9">
      <c r="A9" s="7" t="inlineStr">
        <is>
          <t>Normalization</t>
        </is>
      </c>
      <c r="B9" s="7" t="inlineStr">
        <is>
          <t>PATTERN_RISK_MAX</t>
        </is>
      </c>
      <c r="C9" s="7" t="n">
        <v>1.8</v>
      </c>
      <c r="D9" s="7" t="inlineStr">
        <is>
          <t>pattern_risk max in AnswerBank</t>
        </is>
      </c>
    </row>
    <row r="10" ht="27.75" customHeight="1" s="10">
      <c r="A10" s="7" t="inlineStr">
        <is>
          <t>Normalization</t>
        </is>
      </c>
      <c r="B10" s="7" t="inlineStr">
        <is>
          <t>CLUSTER_PENALTY_MAX_PER_ANSWER</t>
        </is>
      </c>
      <c r="C10" s="7" t="n">
        <v>14</v>
      </c>
      <c r="D10" s="7" t="inlineStr">
        <is>
          <t>cluster_penalty_points max per answer</t>
        </is>
      </c>
    </row>
    <row r="11">
      <c r="A11" s="7" t="inlineStr">
        <is>
          <t>Normalization</t>
        </is>
      </c>
      <c r="B11" s="7" t="inlineStr">
        <is>
          <t>POL_MASC_MIN</t>
        </is>
      </c>
      <c r="C11" s="7" t="n">
        <v>-0.4</v>
      </c>
      <c r="D11" s="7" t="inlineStr">
        <is>
          <t>polarity_masc_delta_v3 min</t>
        </is>
      </c>
    </row>
    <row r="12">
      <c r="A12" s="7" t="inlineStr">
        <is>
          <t>Normalization</t>
        </is>
      </c>
      <c r="B12" s="7" t="inlineStr">
        <is>
          <t>POL_MASC_MAX</t>
        </is>
      </c>
      <c r="C12" s="7" t="n">
        <v>1.8</v>
      </c>
      <c r="D12" s="7" t="inlineStr">
        <is>
          <t>polarity_masc_delta_v3 max</t>
        </is>
      </c>
    </row>
    <row r="13">
      <c r="A13" s="7" t="inlineStr">
        <is>
          <t>Normalization</t>
        </is>
      </c>
      <c r="B13" s="7" t="inlineStr">
        <is>
          <t>POL_FEM_MIN</t>
        </is>
      </c>
      <c r="C13" s="7" t="n">
        <v>-1.6</v>
      </c>
      <c r="D13" s="7" t="inlineStr">
        <is>
          <t>polarity_fem_delta_v3 min</t>
        </is>
      </c>
    </row>
    <row r="14">
      <c r="A14" s="7" t="inlineStr">
        <is>
          <t>Normalization</t>
        </is>
      </c>
      <c r="B14" s="7" t="inlineStr">
        <is>
          <t>POL_FEM_MAX</t>
        </is>
      </c>
      <c r="C14" s="7" t="n">
        <v>2</v>
      </c>
      <c r="D14" s="7" t="inlineStr">
        <is>
          <t>polarity_fem_delta_v3 max</t>
        </is>
      </c>
    </row>
    <row r="15">
      <c r="A15" s="7" t="inlineStr">
        <is>
          <t>Core Weights</t>
        </is>
      </c>
      <c r="B15" s="7" t="inlineStr">
        <is>
          <t>W_BEHAVIORAL_CORE</t>
        </is>
      </c>
      <c r="C15" s="7" t="n">
        <v>0.52</v>
      </c>
      <c r="D15" s="7" t="inlineStr">
        <is>
          <t>Final RawMatch weight</t>
        </is>
      </c>
    </row>
    <row r="16">
      <c r="A16" s="7" t="inlineStr">
        <is>
          <t>Core Weights</t>
        </is>
      </c>
      <c r="B16" s="7" t="inlineStr">
        <is>
          <t>W_STABILITY_CORE</t>
        </is>
      </c>
      <c r="C16" s="7" t="n">
        <v>0.23</v>
      </c>
      <c r="D16" s="7" t="inlineStr">
        <is>
          <t>Final RawMatch weight</t>
        </is>
      </c>
    </row>
    <row r="17">
      <c r="A17" s="7" t="inlineStr">
        <is>
          <t>Core Weights</t>
        </is>
      </c>
      <c r="B17" s="7" t="inlineStr">
        <is>
          <t>W_CHEMISTRY_CORE</t>
        </is>
      </c>
      <c r="C17" s="7" t="n">
        <v>0.13</v>
      </c>
      <c r="D17" s="7" t="inlineStr">
        <is>
          <t>Final RawMatch weight</t>
        </is>
      </c>
    </row>
    <row r="18">
      <c r="A18" s="7" t="inlineStr">
        <is>
          <t>Core Weights</t>
        </is>
      </c>
      <c r="B18" s="7" t="inlineStr">
        <is>
          <t>W_COSMIC_CORE</t>
        </is>
      </c>
      <c r="C18" s="7" t="n">
        <v>0.12</v>
      </c>
      <c r="D18" s="7" t="inlineStr">
        <is>
          <t>Final RawMatch weight</t>
        </is>
      </c>
    </row>
    <row r="19">
      <c r="A19" s="7" t="inlineStr">
        <is>
          <t>BehavioralCore Mix</t>
        </is>
      </c>
      <c r="B19" s="7" t="inlineStr">
        <is>
          <t>W_ARCHETYPE</t>
        </is>
      </c>
      <c r="C19" s="7" t="n">
        <v>0.4</v>
      </c>
      <c r="D19" s="7" t="inlineStr">
        <is>
          <t>Inside BehavioralCore</t>
        </is>
      </c>
    </row>
    <row r="20">
      <c r="A20" s="7" t="inlineStr">
        <is>
          <t>BehavioralCore Mix</t>
        </is>
      </c>
      <c r="B20" s="7" t="inlineStr">
        <is>
          <t>W_COMM</t>
        </is>
      </c>
      <c r="C20" s="7" t="n">
        <v>0.2</v>
      </c>
      <c r="D20" s="7" t="inlineStr">
        <is>
          <t>Inside BehavioralCore</t>
        </is>
      </c>
    </row>
    <row r="21">
      <c r="A21" s="7" t="inlineStr">
        <is>
          <t>BehavioralCore Mix</t>
        </is>
      </c>
      <c r="B21" s="7" t="inlineStr">
        <is>
          <t>W_REG</t>
        </is>
      </c>
      <c r="C21" s="7" t="n">
        <v>0.2</v>
      </c>
      <c r="D21" s="7" t="inlineStr">
        <is>
          <t>Inside BehavioralCore</t>
        </is>
      </c>
    </row>
    <row r="22">
      <c r="A22" s="7" t="inlineStr">
        <is>
          <t>BehavioralCore Mix</t>
        </is>
      </c>
      <c r="B22" s="7" t="inlineStr">
        <is>
          <t>W_LOVE</t>
        </is>
      </c>
      <c r="C22" s="7" t="n">
        <v>0.1</v>
      </c>
      <c r="D22" s="7" t="inlineStr">
        <is>
          <t>Inside BehavioralCore</t>
        </is>
      </c>
    </row>
    <row r="23">
      <c r="A23" s="7" t="inlineStr">
        <is>
          <t>BehavioralCore Mix</t>
        </is>
      </c>
      <c r="B23" s="7" t="inlineStr">
        <is>
          <t>W_READINESS</t>
        </is>
      </c>
      <c r="C23" s="7" t="n">
        <v>0.1</v>
      </c>
      <c r="D23" s="7" t="inlineStr">
        <is>
          <t>Inside BehavioralCore</t>
        </is>
      </c>
    </row>
    <row r="24">
      <c r="A24" s="7" t="inlineStr">
        <is>
          <t>StabilityCore Mix</t>
        </is>
      </c>
      <c r="B24" s="7" t="inlineStr">
        <is>
          <t>W_STAB_SHADOW</t>
        </is>
      </c>
      <c r="C24" s="7" t="n">
        <v>0.35</v>
      </c>
      <c r="D24" s="7" t="inlineStr">
        <is>
          <t>(1-ShadowRiskNorm)</t>
        </is>
      </c>
    </row>
    <row r="25">
      <c r="A25" s="7" t="inlineStr">
        <is>
          <t>StabilityCore Mix</t>
        </is>
      </c>
      <c r="B25" s="7" t="inlineStr">
        <is>
          <t>W_STAB_INTEGRITY</t>
        </is>
      </c>
      <c r="C25" s="7" t="n">
        <v>0.25</v>
      </c>
      <c r="D25" s="7" t="inlineStr">
        <is>
          <t>(1-IntegrityPenaltyNorm)</t>
        </is>
      </c>
    </row>
    <row r="26">
      <c r="A26" s="7" t="inlineStr">
        <is>
          <t>StabilityCore Mix</t>
        </is>
      </c>
      <c r="B26" s="7" t="inlineStr">
        <is>
          <t>W_STAB_CLUSTER</t>
        </is>
      </c>
      <c r="C26" s="7" t="n">
        <v>0.2</v>
      </c>
      <c r="D26" s="7" t="inlineStr">
        <is>
          <t>(1-ClusterPenaltyNorm)</t>
        </is>
      </c>
    </row>
    <row r="27">
      <c r="A27" s="7" t="inlineStr">
        <is>
          <t>StabilityCore Mix</t>
        </is>
      </c>
      <c r="B27" s="7" t="inlineStr">
        <is>
          <t>W_STAB_FORECAST</t>
        </is>
      </c>
      <c r="C27" s="7" t="n">
        <v>0.2</v>
      </c>
      <c r="D27" s="7" t="inlineStr">
        <is>
          <t>ForecastNorm</t>
        </is>
      </c>
    </row>
    <row r="28">
      <c r="A28" s="7" t="inlineStr">
        <is>
          <t>ChemistryCore Mix</t>
        </is>
      </c>
      <c r="B28" s="7" t="inlineStr">
        <is>
          <t>W_POLARITY</t>
        </is>
      </c>
      <c r="C28" s="7" t="n">
        <v>0.55</v>
      </c>
      <c r="D28" s="7" t="inlineStr">
        <is>
          <t>PolarityNorm</t>
        </is>
      </c>
    </row>
    <row r="29">
      <c r="A29" s="7" t="inlineStr">
        <is>
          <t>ChemistryCore Mix</t>
        </is>
      </c>
      <c r="B29" s="7" t="inlineStr">
        <is>
          <t>W_ATTRACTION</t>
        </is>
      </c>
      <c r="C29" s="7" t="n">
        <v>0.45</v>
      </c>
      <c r="D29" s="7" t="inlineStr">
        <is>
          <t>AttractionPatternNorm (default 0.5)</t>
        </is>
      </c>
    </row>
    <row r="30">
      <c r="A30" s="7" t="inlineStr">
        <is>
          <t>CosmicCore Mix</t>
        </is>
      </c>
      <c r="B30" s="7" t="inlineStr">
        <is>
          <t>W_ZODIAC</t>
        </is>
      </c>
      <c r="C30" s="7" t="n">
        <v>0.58</v>
      </c>
      <c r="D30" s="7" t="inlineStr">
        <is>
          <t>Inside CosmicCore</t>
        </is>
      </c>
    </row>
    <row r="31">
      <c r="A31" s="7" t="inlineStr">
        <is>
          <t>CosmicCore Mix</t>
        </is>
      </c>
      <c r="B31" s="7" t="inlineStr">
        <is>
          <t>W_NUMEROLOGY</t>
        </is>
      </c>
      <c r="C31" s="7" t="n">
        <v>0.42</v>
      </c>
      <c r="D31" s="7" t="inlineStr">
        <is>
          <t>Inside CosmicCore</t>
        </is>
      </c>
    </row>
    <row r="32">
      <c r="A32" s="7" t="inlineStr">
        <is>
          <t>Bonuses/Penalties</t>
        </is>
      </c>
      <c r="B32" s="7" t="inlineStr">
        <is>
          <t>INTERACTION_BONUS_MIN</t>
        </is>
      </c>
      <c r="C32" s="7" t="n">
        <v>-0.06</v>
      </c>
      <c r="D32" s="7" t="inlineStr">
        <is>
          <t>Normalized adjustment</t>
        </is>
      </c>
    </row>
    <row r="33">
      <c r="A33" s="7" t="inlineStr">
        <is>
          <t>Bonuses/Penalties</t>
        </is>
      </c>
      <c r="B33" s="7" t="inlineStr">
        <is>
          <t>INTERACTION_BONUS_MAX</t>
        </is>
      </c>
      <c r="C33" s="7" t="n">
        <v>0.06</v>
      </c>
      <c r="D33" s="7" t="inlineStr">
        <is>
          <t>Normalized adjustment</t>
        </is>
      </c>
    </row>
    <row r="34">
      <c r="A34" s="7" t="inlineStr">
        <is>
          <t>Bonuses/Penalties</t>
        </is>
      </c>
      <c r="B34" s="7" t="inlineStr">
        <is>
          <t>HARD_PENALTY_MIN</t>
        </is>
      </c>
      <c r="C34" s="7" t="n">
        <v>0</v>
      </c>
      <c r="D34" s="7" t="inlineStr">
        <is>
          <t>Normalized adjustment</t>
        </is>
      </c>
    </row>
    <row r="35">
      <c r="A35" s="7" t="inlineStr">
        <is>
          <t>Bonuses/Penalties</t>
        </is>
      </c>
      <c r="B35" s="7" t="inlineStr">
        <is>
          <t>HARD_PENALTY_MAX</t>
        </is>
      </c>
      <c r="C35" s="7" t="n">
        <v>0.18</v>
      </c>
      <c r="D35" s="7" t="inlineStr">
        <is>
          <t>Normalized adjustment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9609375" customWidth="1" style="10" min="1" max="1"/>
    <col width="48.0234375" customWidth="1" style="10" min="2" max="2"/>
    <col width="57.9765625" customWidth="1" style="10" min="3" max="3"/>
  </cols>
  <sheetData>
    <row r="1">
      <c r="A1" s="6" t="inlineStr">
        <is>
          <t>Metric</t>
        </is>
      </c>
      <c r="B1" s="6" t="inlineStr">
        <is>
          <t>Value</t>
        </is>
      </c>
      <c r="C1" s="6" t="inlineStr">
        <is>
          <t>Notes</t>
        </is>
      </c>
    </row>
    <row r="2">
      <c r="A2" s="7" t="inlineStr">
        <is>
          <t>ArchetypeNorm</t>
        </is>
      </c>
      <c r="B2" s="7">
        <f>IFERROR(((0.5*VLOOKUP(FinalScores_v5!E4&amp;"|"&amp;FinalScores_v5!E6,ArchetypeLookup_v4!$A$2:$B$101,2,FALSE)+0.2*VLOOKUP(FinalScores_v5!E4&amp;"|"&amp;FinalScores_v5!E7,ArchetypeLookup_v4!$A$2:$B$101,2,FALSE)+0.2*VLOOKUP(FinalScores_v5!E5&amp;"|"&amp;FinalScores_v5!E6,ArchetypeLookup_v4!$A$2:$B$101,2,FALSE)+0.1*VLOOKUP(FinalScores_v5!E5&amp;"|"&amp;FinalScores_v5!E7,ArchetypeLookup_v4!$A$2:$B$101,2,FALSE))-2)/7,0.5)</f>
        <v/>
      </c>
      <c r="C2" s="7" t="inlineStr">
        <is>
          <t>Archetype pairing normalized from 2–9 to 0–1</t>
        </is>
      </c>
    </row>
    <row r="3">
      <c r="A3" s="7" t="inlineStr">
        <is>
          <t>CommNorm</t>
        </is>
      </c>
      <c r="B3" s="7">
        <f>IFERROR((VLOOKUP(FinalScores_v5!E16,CommLookup_v4!$A$2:$B$16,2,FALSE)-2)/7,0.5)</f>
        <v/>
      </c>
      <c r="C3" s="7" t="inlineStr">
        <is>
          <t>Communication style (normalized)</t>
        </is>
      </c>
    </row>
    <row r="4">
      <c r="A4" s="7" t="inlineStr">
        <is>
          <t>RegNorm</t>
        </is>
      </c>
      <c r="B4" s="7">
        <f>IFERROR((VLOOKUP(FinalScores_v5!E17,RegLookup_v4!$A$2:$B$11,2,FALSE)-3)/7,0.5)</f>
        <v/>
      </c>
      <c r="C4" s="7" t="inlineStr">
        <is>
          <t>Regulation style (normalized)</t>
        </is>
      </c>
    </row>
    <row r="5">
      <c r="A5" s="7" t="inlineStr">
        <is>
          <t>LoveNorm</t>
        </is>
      </c>
      <c r="B5" s="7">
        <f>IFERROR((VLOOKUP(FinalScores_v5!E18,LoveLookup_v4!$A$2:$B$16,2,FALSE)-5)/5,0.6)</f>
        <v/>
      </c>
      <c r="C5" s="7" t="inlineStr">
        <is>
          <t>Love language fit proxy (normalized)</t>
        </is>
      </c>
    </row>
    <row r="6">
      <c r="A6" s="7" t="inlineStr">
        <is>
          <t>Readiness_A</t>
        </is>
      </c>
      <c r="B6" s="7">
        <f>TestHarness_v4!B64</f>
        <v/>
      </c>
      <c r="C6" s="7" t="inlineStr">
        <is>
          <t>0–100</t>
        </is>
      </c>
    </row>
    <row r="7">
      <c r="A7" s="7" t="inlineStr">
        <is>
          <t>Readiness_B</t>
        </is>
      </c>
      <c r="B7" s="7">
        <f>TestHarness_v4!B65</f>
        <v/>
      </c>
      <c r="C7" s="7" t="inlineStr">
        <is>
          <t>0–100</t>
        </is>
      </c>
    </row>
    <row r="8">
      <c r="A8" s="7" t="inlineStr">
        <is>
          <t>ReadinessPairNorm</t>
        </is>
      </c>
      <c r="B8" s="7">
        <f>MAX(0,((B6+B7)/200) - 0.25*ABS(B6-B7)/100)</f>
        <v/>
      </c>
      <c r="C8" s="7" t="inlineStr">
        <is>
          <t>Average minus mismatch penalty</t>
        </is>
      </c>
    </row>
    <row r="9">
      <c r="A9" s="7" t="inlineStr">
        <is>
          <t>ForecastNormPair</t>
        </is>
      </c>
      <c r="B9" s="7">
        <f>IFERROR((SUMPRODUCT(TestHarness_v4!$B$10:$B$59,TestHarness_v4!$H$10:$H$59)+SUMPRODUCT(TestHarness_v4!$B$10:$B$59,TestHarness_v4!$L$10:$L$59))/(2*SUM(TestHarness_v4!$B$10:$B$59)*Schema_v5!$C$8),0.5)</f>
        <v/>
      </c>
      <c r="C9" s="7" t="inlineStr">
        <is>
          <t>Weighted forecast points normalized</t>
        </is>
      </c>
    </row>
    <row r="10">
      <c r="A10" s="7" t="inlineStr">
        <is>
          <t>ClusterPenaltyPairRaw</t>
        </is>
      </c>
      <c r="B10" s="7">
        <f>MIN(35,0.35*(FinalScores_v5!B5+FinalScores_v5!B6))</f>
        <v/>
      </c>
      <c r="C10" s="7" t="inlineStr">
        <is>
          <t>Same as v4 cap</t>
        </is>
      </c>
    </row>
    <row r="11">
      <c r="A11" s="7" t="inlineStr">
        <is>
          <t>ClusterPenaltyNorm</t>
        </is>
      </c>
      <c r="B11" s="7">
        <f>MIN(1,B10/35)</f>
        <v/>
      </c>
      <c r="C11" s="7" t="inlineStr">
        <is>
          <t>0–1</t>
        </is>
      </c>
    </row>
    <row r="12">
      <c r="A12" s="7" t="inlineStr">
        <is>
          <t>IntegrityPenaltyRaw</t>
        </is>
      </c>
      <c r="B12" s="7">
        <f>FinalScores_v5!E40</f>
        <v/>
      </c>
      <c r="C12" s="7" t="inlineStr">
        <is>
          <t>0–80 current logic</t>
        </is>
      </c>
    </row>
    <row r="13">
      <c r="A13" s="7" t="inlineStr">
        <is>
          <t>IntegrityPenaltyNorm</t>
        </is>
      </c>
      <c r="B13" s="7">
        <f>MIN(1,B12/80)</f>
        <v/>
      </c>
      <c r="C13" s="7" t="inlineStr">
        <is>
          <t>0–1</t>
        </is>
      </c>
    </row>
    <row r="14">
      <c r="A14" s="7" t="inlineStr">
        <is>
          <t>ShadowRiskRaw</t>
        </is>
      </c>
      <c r="B14" s="7">
        <f>(TestHarness_v4!B83+TestHarness_v4!B84)/2</f>
        <v/>
      </c>
      <c r="C14" s="7" t="inlineStr">
        <is>
          <t>Average shadow intensity</t>
        </is>
      </c>
    </row>
    <row r="15">
      <c r="A15" s="7" t="inlineStr">
        <is>
          <t>ShadowRiskNorm</t>
        </is>
      </c>
      <c r="B15" s="7">
        <f>MIN(1,MAX(0,B14/10))</f>
        <v/>
      </c>
      <c r="C15" s="7" t="inlineStr">
        <is>
          <t>Assumes 0–10 scale</t>
        </is>
      </c>
    </row>
    <row r="16">
      <c r="A16" s="7" t="inlineStr">
        <is>
          <t>AttractionPatternNorm</t>
        </is>
      </c>
      <c r="B16" s="7">
        <f>0.5</f>
        <v/>
      </c>
      <c r="C16" s="7" t="inlineStr">
        <is>
          <t>Neutral until you build attraction-pattern model</t>
        </is>
      </c>
    </row>
    <row r="17">
      <c r="A17" s="7" t="inlineStr">
        <is>
          <t>PolarityNorm</t>
        </is>
      </c>
      <c r="B17" s="7">
        <f>FinalScores_v5!E35</f>
        <v/>
      </c>
      <c r="C17" s="7" t="inlineStr">
        <is>
          <t>Current polarity placeholder (0–1)</t>
        </is>
      </c>
    </row>
    <row r="18">
      <c r="A18" s="7" t="inlineStr">
        <is>
          <t>ZodiacNorm</t>
        </is>
      </c>
      <c r="B18" s="7">
        <f>FinalScores_v5!E31</f>
        <v/>
      </c>
      <c r="C18" s="7" t="inlineStr">
        <is>
          <t>From AstrologyLookup_v5 zodiac_norm</t>
        </is>
      </c>
    </row>
    <row r="19">
      <c r="A19" s="7" t="inlineStr">
        <is>
          <t>NumerologyNorm</t>
        </is>
      </c>
      <c r="B19" s="7">
        <f>FinalScores_v5!E33</f>
        <v/>
      </c>
      <c r="C19" s="7" t="inlineStr">
        <is>
          <t>From NumerologyLookup_v5 adjusted_numerology_norm</t>
        </is>
      </c>
    </row>
    <row r="20">
      <c r="A20" s="7" t="inlineStr">
        <is>
          <t>BehavioralCore</t>
        </is>
      </c>
      <c r="B20" s="7">
        <f>Schema_v5!$C$15*(Schema_v5!$C$19*B2+Schema_v5!$C$20*B3+Schema_v5!$C$21*B4+Schema_v5!$C$22*B5+Schema_v5!$C$23*B8)</f>
        <v/>
      </c>
      <c r="C20" s="7" t="inlineStr">
        <is>
          <t>Includes BehavioralCore weight (0.52) * inner mix</t>
        </is>
      </c>
    </row>
    <row r="21">
      <c r="A21" s="7" t="inlineStr">
        <is>
          <t>StabilityCore</t>
        </is>
      </c>
      <c r="B21" s="7">
        <f>Schema_v5!$C$16*(Schema_v5!$C$24*(1-B15)+Schema_v5!$C$25*(1-B13)+Schema_v5!$C$26*(1-B11)+Schema_v5!$C$27*B9)</f>
        <v/>
      </c>
      <c r="C21" s="7" t="inlineStr">
        <is>
          <t>Includes Stability weight (0.23) * inner mix</t>
        </is>
      </c>
    </row>
    <row r="22">
      <c r="A22" s="7" t="inlineStr">
        <is>
          <t>ChemistryCore</t>
        </is>
      </c>
      <c r="B22" s="7">
        <f>Schema_v5!$C$17*(Schema_v5!$C$28*B18+Schema_v5!$C$29*B17)</f>
        <v/>
      </c>
      <c r="C22" s="7" t="inlineStr">
        <is>
          <t>Includes Chemistry weight (0.13) * inner mix</t>
        </is>
      </c>
    </row>
    <row r="23">
      <c r="A23" s="7" t="inlineStr">
        <is>
          <t>CosmicCore</t>
        </is>
      </c>
      <c r="B23" s="7">
        <f>Schema_v5!$C$18*(Schema_v5!$C$30*B19+Schema_v5!$C$31*B20)</f>
        <v/>
      </c>
      <c r="C23" s="7" t="inlineStr">
        <is>
          <t>Includes Cosmic weight (0.12) * inner mix</t>
        </is>
      </c>
    </row>
    <row r="24">
      <c r="A24" s="7" t="inlineStr">
        <is>
          <t>InteractionBonus</t>
        </is>
      </c>
      <c r="B24" s="7">
        <f>0</f>
        <v/>
      </c>
      <c r="C24" s="7" t="inlineStr">
        <is>
          <t>Normalized -0.06..+0.06 (hook your InteractionRules)</t>
        </is>
      </c>
    </row>
    <row r="25">
      <c r="A25" s="7" t="inlineStr">
        <is>
          <t>HardPenalty</t>
        </is>
      </c>
      <c r="B25" s="7">
        <f>0</f>
        <v/>
      </c>
      <c r="C25" s="7" t="inlineStr">
        <is>
          <t>Normalized 0..0.18 (severe contradiction / dangerous pair)</t>
        </is>
      </c>
    </row>
    <row r="26">
      <c r="A26" s="7" t="inlineStr">
        <is>
          <t>RawMatch</t>
        </is>
      </c>
      <c r="B26" s="7">
        <f>MAX(0,MIN(1,B22+B23+B24+B25 + B26 - B27))</f>
        <v/>
      </c>
      <c r="C26" s="7" t="inlineStr">
        <is>
          <t>Clamped 0–1</t>
        </is>
      </c>
    </row>
    <row r="27">
      <c r="A27" s="7" t="inlineStr">
        <is>
          <t>CompatibilityScore_350_850</t>
        </is>
      </c>
      <c r="B27" s="7">
        <f>350+500*B28</f>
        <v/>
      </c>
      <c r="C27" s="7" t="inlineStr">
        <is>
          <t>Headline score</t>
        </is>
      </c>
    </row>
    <row r="28">
      <c r="A28" s="7" t="inlineStr">
        <is>
          <t>StabilityScore_0_100</t>
        </is>
      </c>
      <c r="B28" s="7">
        <f>100*(B23/Schema_v5!$C$16)</f>
        <v/>
      </c>
      <c r="C28" s="7" t="inlineStr">
        <is>
          <t>Remove outer weight to show stability itself</t>
        </is>
      </c>
    </row>
    <row r="29">
      <c r="A29" s="7" t="inlineStr">
        <is>
          <t>ChemistryScore_0_100</t>
        </is>
      </c>
      <c r="B29" s="7">
        <f>100*(B24/Schema_v5!$C$17)</f>
        <v/>
      </c>
      <c r="C29" s="7" t="inlineStr">
        <is>
          <t>Remove outer weight to show chemistry itself</t>
        </is>
      </c>
    </row>
    <row r="30">
      <c r="A30" s="7" t="inlineStr">
        <is>
          <t>CosmicOverlayScore_0_100</t>
        </is>
      </c>
      <c r="B30" s="7">
        <f>100*(B25/Schema_v5!$C$18)</f>
        <v/>
      </c>
      <c r="C30" s="7" t="inlineStr">
        <is>
          <t>Remove outer weight to show cosmic overlay itself</t>
        </is>
      </c>
    </row>
    <row r="31">
      <c r="A31" s="7" t="inlineStr">
        <is>
          <t>TierLabel</t>
        </is>
      </c>
      <c r="B31" s="7">
        <f>IF(AND(B29&gt;=750,B30&gt;=72,B31&gt;=60),"Soul-aligned",IF(AND(B29&gt;=670,B29&lt;=749,B30&gt;=58),"Strong potential",IF(AND(B29&gt;=650,B31&gt;=75,B30&lt;58),"Magnetic but risky",IF(AND(B29&gt;=560,B29&lt;=669),"Possible but unstable",IF(OR(B29&lt;560,B30&lt;40),"Red flag zone","Unclassified")))))</f>
        <v/>
      </c>
      <c r="C31" s="7" t="inlineStr">
        <is>
          <t>Uses the tier logic you specified</t>
        </is>
      </c>
    </row>
    <row r="32">
      <c r="A32" s="7" t="inlineStr">
        <is>
          <t>TierReasonPrimary</t>
        </is>
      </c>
      <c r="B32" s="7">
        <f>"Top driver: "&amp;IF(B30&lt;58,"Stability","Compatibility")</f>
        <v/>
      </c>
      <c r="C32" s="7" t="inlineStr">
        <is>
          <t>Simple placeholder; refine later</t>
        </is>
      </c>
    </row>
    <row r="33">
      <c r="A33" s="7" t="inlineStr">
        <is>
          <t>TierReasonSecondary</t>
        </is>
      </c>
      <c r="B33" s="7">
        <f>"Watch: "&amp;IF(B15&gt;0.5,"Shadow activation","Pace/needs mismatch")</f>
        <v/>
      </c>
      <c r="C33" s="7" t="inlineStr">
        <is>
          <t>Simple placeholder; refine later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9.9921875" customWidth="1" style="10" min="1" max="1"/>
  </cols>
  <sheetData>
    <row r="1" ht="18.75" customHeight="1" s="10">
      <c r="A1" s="9" t="inlineStr">
        <is>
          <t>Genesis OS v4.1 — Deterministic Scoring Workbook (Full formulas, pre-user-data)</t>
        </is>
      </c>
    </row>
    <row r="3">
      <c r="A3" t="inlineStr">
        <is>
          <t>Sheets:</t>
        </is>
      </c>
    </row>
    <row r="4">
      <c r="A4" t="inlineStr">
        <is>
          <t>• TestHarness_v4 → enter answer_ids for two users (Q1–Q60). Computes readiness + BehaviorCore + penalties.</t>
        </is>
      </c>
    </row>
    <row r="5">
      <c r="A5" t="inlineStr">
        <is>
          <t>• FinalScores_v4 → computes Compatibility 350–850 and Forecast 0–100 using all matrices + the v4 deterministic formula.</t>
        </is>
      </c>
    </row>
    <row r="7">
      <c r="A7" t="inlineStr">
        <is>
          <t>Rule: Q1–Q50 count toward readiness/behavior. Q51–Q60 are shadow/integrity only.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style="10" min="1" max="2"/>
    <col width="19.90625" customWidth="1" style="10" min="3" max="3"/>
    <col width="11.97265625" customWidth="1" style="10" min="4" max="4"/>
    <col width="18.83203125" customWidth="1" style="10" min="5" max="5"/>
    <col width="17.890625" customWidth="1" style="10" min="6" max="6"/>
    <col width="19.90625" customWidth="1" style="10" min="7" max="7"/>
    <col width="13.5859375" customWidth="1" style="10" min="8" max="8"/>
    <col width="16.8125" customWidth="1" style="10" min="9" max="9"/>
    <col width="13.5859375" customWidth="1" style="10" min="10" max="10"/>
    <col width="11.97265625" customWidth="1" style="10" min="11" max="11"/>
    <col width="12.64453125" customWidth="1" style="10" min="12" max="12"/>
    <col width="20.984375" customWidth="1" style="10" min="13" max="13"/>
    <col width="19.90625" customWidth="1" style="10" min="14" max="14"/>
    <col width="24.2109375" customWidth="1" style="10" min="15" max="15"/>
    <col width="18.83203125" customWidth="1" style="10" min="16" max="16"/>
    <col width="11.97265625" customWidth="1" style="10" min="17" max="17"/>
    <col width="12.64453125" customWidth="1" style="10" min="18" max="18"/>
    <col width="11.97265625" customWidth="1" style="10" min="19" max="19"/>
    <col width="14.66015625" customWidth="1" style="10" min="20" max="20"/>
    <col width="22.05859375" customWidth="1" style="10" min="21" max="21"/>
    <col width="12.64453125" customWidth="1" style="10" min="22" max="22"/>
    <col width="23.13671875" customWidth="1" style="10" min="23" max="23"/>
    <col width="22.05859375" customWidth="1" style="10" min="24" max="24"/>
    <col width="11.97265625" customWidth="1" style="10" min="25" max="25"/>
    <col width="16.8125" customWidth="1" style="10" min="26" max="26"/>
    <col width="13.5859375" customWidth="1" style="10" min="27" max="27"/>
    <col width="12.64453125" customWidth="1" style="10" min="28" max="28"/>
    <col width="11.97265625" customWidth="1" style="10" min="29" max="30"/>
    <col width="23.13671875" customWidth="1" style="10" min="31" max="31"/>
    <col width="11.97265625" customWidth="1" style="10" min="32" max="32"/>
    <col width="18.83203125" customWidth="1" style="10" min="33" max="33"/>
    <col width="12.64453125" customWidth="1" style="10" min="34" max="34"/>
    <col width="16.8125" customWidth="1" style="10" min="35" max="35"/>
    <col width="17.890625" customWidth="1" style="10" min="36" max="36"/>
    <col width="15.73828125" customWidth="1" style="10" min="37" max="37"/>
    <col width="18.83203125" customWidth="1" style="10" min="38" max="38"/>
    <col width="15.73828125" customWidth="1" style="10" min="39" max="39"/>
    <col width="14.66015625" customWidth="1" style="10" min="40" max="40"/>
    <col width="12.64453125" customWidth="1" style="10" min="41" max="41"/>
    <col width="16.8125" customWidth="1" style="10" min="42" max="42"/>
  </cols>
  <sheetData>
    <row r="1" ht="27.75" customHeight="1" s="10">
      <c r="A1" s="1" t="inlineStr">
        <is>
          <t>answer_id</t>
        </is>
      </c>
      <c r="B1" s="1" t="inlineStr">
        <is>
          <t>canonical_q</t>
        </is>
      </c>
      <c r="C1" s="1" t="inlineStr">
        <is>
          <t>question_number_int</t>
        </is>
      </c>
      <c r="D1" s="1" t="inlineStr">
        <is>
          <t>phase</t>
        </is>
      </c>
      <c r="E1" s="1" t="inlineStr">
        <is>
          <t>question_weight_v3</t>
        </is>
      </c>
      <c r="F1" s="1" t="inlineStr">
        <is>
          <t>dimension_primary</t>
        </is>
      </c>
      <c r="G1" s="1" t="inlineStr">
        <is>
          <t>dimension_secondary</t>
        </is>
      </c>
      <c r="H1" s="1" t="inlineStr">
        <is>
          <t>question_text</t>
        </is>
      </c>
      <c r="I1" s="1" t="inlineStr">
        <is>
          <t>answer_option_id</t>
        </is>
      </c>
      <c r="J1" s="1" t="inlineStr">
        <is>
          <t>answer_letter</t>
        </is>
      </c>
      <c r="K1" s="1" t="inlineStr">
        <is>
          <t>answer_text</t>
        </is>
      </c>
      <c r="L1" s="1" t="inlineStr">
        <is>
          <t>score_weight</t>
        </is>
      </c>
      <c r="M1" s="1" t="inlineStr">
        <is>
          <t>compatibility_weight</t>
        </is>
      </c>
      <c r="N1" s="1" t="inlineStr">
        <is>
          <t>readiness_points_v3</t>
        </is>
      </c>
      <c r="O1" s="1" t="inlineStr">
        <is>
          <t>compatibility_stance_v3</t>
        </is>
      </c>
      <c r="P1" s="1" t="inlineStr">
        <is>
          <t>forecast_points_v3</t>
        </is>
      </c>
      <c r="Q1" s="1" t="inlineStr">
        <is>
          <t>archetype</t>
        </is>
      </c>
      <c r="R1" s="1" t="inlineStr">
        <is>
          <t>archetype_id</t>
        </is>
      </c>
      <c r="S1" s="1" t="inlineStr">
        <is>
          <t>shadow_type</t>
        </is>
      </c>
      <c r="T1" s="1" t="inlineStr">
        <is>
          <t>shadow_type_id</t>
        </is>
      </c>
      <c r="U1" s="1" t="inlineStr">
        <is>
          <t>shadow_risk_points_v3</t>
        </is>
      </c>
      <c r="V1" s="1" t="inlineStr">
        <is>
          <t>polarity_tag</t>
        </is>
      </c>
      <c r="W1" s="1" t="inlineStr">
        <is>
          <t>polarity_masc_delta_v3</t>
        </is>
      </c>
      <c r="X1" s="1" t="inlineStr">
        <is>
          <t>polarity_fem_delta_v3</t>
        </is>
      </c>
      <c r="Y1" s="1" t="inlineStr">
        <is>
          <t>comm_style</t>
        </is>
      </c>
      <c r="Z1" s="1" t="inlineStr">
        <is>
          <t>regulation_style</t>
        </is>
      </c>
      <c r="AA1" s="1" t="inlineStr">
        <is>
          <t>love_language</t>
        </is>
      </c>
      <c r="AB1" s="1" t="inlineStr">
        <is>
          <t>cluster_tags</t>
        </is>
      </c>
      <c r="AC1" s="1" t="inlineStr">
        <is>
          <t>cluster_1</t>
        </is>
      </c>
      <c r="AD1" s="1" t="inlineStr">
        <is>
          <t>cluster_2</t>
        </is>
      </c>
      <c r="AE1" s="1" t="inlineStr">
        <is>
          <t>cluster_penalty_points</t>
        </is>
      </c>
      <c r="AF1" s="1" t="inlineStr">
        <is>
          <t>pattern_tag</t>
        </is>
      </c>
      <c r="AG1" s="1" t="inlineStr">
        <is>
          <t>match_behavior_tag</t>
        </is>
      </c>
      <c r="AH1" s="1" t="inlineStr">
        <is>
          <t>pattern_risk</t>
        </is>
      </c>
      <c r="AI1" s="1" t="inlineStr">
        <is>
          <t>consistency_flag</t>
        </is>
      </c>
      <c r="AJ1" s="1" t="inlineStr">
        <is>
          <t>integrity_flag_v3</t>
        </is>
      </c>
      <c r="AK1" s="1" t="inlineStr">
        <is>
          <t>drift_relevance</t>
        </is>
      </c>
      <c r="AL1" s="1" t="inlineStr">
        <is>
          <t>forecast_relevance</t>
        </is>
      </c>
      <c r="AM1" s="1" t="inlineStr">
        <is>
          <t>energy_type_tag</t>
        </is>
      </c>
      <c r="AN1" s="1" t="inlineStr">
        <is>
          <t>emotion_family</t>
        </is>
      </c>
      <c r="AO1" s="1" t="inlineStr">
        <is>
          <t>emotion_cell</t>
        </is>
      </c>
      <c r="AP1" s="1" t="inlineStr">
        <is>
          <t>version_snapshot</t>
        </is>
      </c>
    </row>
    <row r="2" ht="135" customHeight="1" s="10">
      <c r="A2" s="2" t="inlineStr">
        <is>
          <t>Q01_A</t>
        </is>
      </c>
      <c r="B2" s="2" t="n">
        <v>1</v>
      </c>
      <c r="C2" s="2" t="n">
        <v>1</v>
      </c>
      <c r="D2" s="2" t="inlineStr">
        <is>
          <t>Core</t>
        </is>
      </c>
      <c r="E2" s="2" t="n">
        <v>1</v>
      </c>
      <c r="F2" s="2" t="inlineStr">
        <is>
          <t>CommunicationHealth</t>
        </is>
      </c>
      <c r="G2" s="2" t="inlineStr">
        <is>
          <t>EmotionalNeeds</t>
        </is>
      </c>
      <c r="H2" s="2" t="inlineStr">
        <is>
          <t>When something feels off between you and someone you're dating, what usually happens next-internally or outwardly?</t>
        </is>
      </c>
      <c r="I2" s="2" t="inlineStr">
        <is>
          <t>A</t>
        </is>
      </c>
      <c r="J2" s="2" t="inlineStr">
        <is>
          <t>A</t>
        </is>
      </c>
      <c r="K2" s="2" t="inlineStr">
        <is>
          <t>It's probably nothing. I just shift into neutral and let it play out. If they bring it up, cool. If not, I'm not pushing it.</t>
        </is>
      </c>
      <c r="L2" s="2" t="n">
        <v>3</v>
      </c>
      <c r="M2" s="2" t="n">
        <v>4</v>
      </c>
      <c r="N2" s="2" t="n">
        <v>0</v>
      </c>
      <c r="O2" s="2" t="n">
        <v>0</v>
      </c>
      <c r="P2" s="2" t="n">
        <v>0</v>
      </c>
      <c r="Q2" s="2" t="inlineStr">
        <is>
          <t>Icebox</t>
        </is>
      </c>
      <c r="R2" s="2" t="n">
        <v>1</v>
      </c>
      <c r="S2" s="2" t="n"/>
      <c r="T2" s="2" t="n"/>
      <c r="U2" s="2" t="n">
        <v>0</v>
      </c>
      <c r="V2" s="2" t="inlineStr">
        <is>
          <t>masc:1.8;fem:-1.6</t>
        </is>
      </c>
      <c r="W2" s="2" t="n">
        <v>1.8</v>
      </c>
      <c r="X2" s="2" t="n">
        <v>-1.6</v>
      </c>
      <c r="Y2" s="2" t="inlineStr">
        <is>
          <t>COMM_Avoidant</t>
        </is>
      </c>
      <c r="Z2" s="2" t="inlineStr">
        <is>
          <t>REG_Suppressor</t>
        </is>
      </c>
      <c r="AA2" s="2" t="inlineStr">
        <is>
          <t>LANG_Time</t>
        </is>
      </c>
      <c r="AB2" s="2" t="inlineStr">
        <is>
          <t>Vulnerability_Loop , Pursuer_Distancer</t>
        </is>
      </c>
      <c r="AC2" s="2" t="inlineStr">
        <is>
          <t>Vulnerability_Loop</t>
        </is>
      </c>
      <c r="AD2" s="2" t="inlineStr">
        <is>
          <t>Pursuer_Distancer</t>
        </is>
      </c>
      <c r="AE2" s="2" t="n">
        <v>11</v>
      </c>
      <c r="AF2" s="2" t="inlineStr">
        <is>
          <t>emotional disengage</t>
        </is>
      </c>
      <c r="AG2" s="2" t="inlineStr">
        <is>
          <t>passive drifter</t>
        </is>
      </c>
      <c r="AH2" s="2" t="n">
        <v>0</v>
      </c>
      <c r="AI2" s="2" t="inlineStr">
        <is>
          <t>yes</t>
        </is>
      </c>
      <c r="AJ2" s="2" t="inlineStr">
        <is>
          <t>no</t>
        </is>
      </c>
      <c r="AK2" s="2" t="inlineStr">
        <is>
          <t>yes</t>
        </is>
      </c>
      <c r="AL2" s="2" t="inlineStr">
        <is>
          <t>yes</t>
        </is>
      </c>
      <c r="AM2" s="2" t="n"/>
      <c r="AN2" s="2" t="n"/>
      <c r="AO2" s="2" t="n"/>
      <c r="AP2" s="2" t="inlineStr">
        <is>
          <t>v3_2026-03-19</t>
        </is>
      </c>
    </row>
    <row r="3" ht="148.5" customHeight="1" s="10">
      <c r="A3" s="2" t="inlineStr">
        <is>
          <t>Q01_B</t>
        </is>
      </c>
      <c r="B3" s="2" t="n">
        <v>1</v>
      </c>
      <c r="C3" s="2" t="n">
        <v>1</v>
      </c>
      <c r="D3" s="2" t="inlineStr">
        <is>
          <t>Core</t>
        </is>
      </c>
      <c r="E3" s="2" t="n">
        <v>1</v>
      </c>
      <c r="F3" s="2" t="inlineStr">
        <is>
          <t>CommunicationHealth</t>
        </is>
      </c>
      <c r="G3" s="2" t="inlineStr">
        <is>
          <t>EmotionalNeeds</t>
        </is>
      </c>
      <c r="H3" s="2" t="n"/>
      <c r="I3" s="2" t="inlineStr">
        <is>
          <t>B</t>
        </is>
      </c>
      <c r="J3" s="2" t="inlineStr">
        <is>
          <t>B</t>
        </is>
      </c>
      <c r="K3" s="2" t="inlineStr">
        <is>
          <t>I start rereading everything. The tone in a text. A pause that felt a little too long. I like turning it into a puzzle to solve.</t>
        </is>
      </c>
      <c r="L3" s="2" t="n">
        <v>6</v>
      </c>
      <c r="M3" s="2" t="n">
        <v>7</v>
      </c>
      <c r="N3" s="2" t="n">
        <v>4</v>
      </c>
      <c r="O3" s="2" t="n">
        <v>6</v>
      </c>
      <c r="P3" s="2" t="n">
        <v>4</v>
      </c>
      <c r="Q3" s="2" t="inlineStr">
        <is>
          <t>Analyzer</t>
        </is>
      </c>
      <c r="R3" s="2" t="n">
        <v>2</v>
      </c>
      <c r="S3" s="2" t="n"/>
      <c r="T3" s="2" t="n"/>
      <c r="U3" s="2" t="n">
        <v>0</v>
      </c>
      <c r="V3" s="2" t="inlineStr">
        <is>
          <t>masc:1.4;fem:0.1</t>
        </is>
      </c>
      <c r="W3" s="2" t="n">
        <v>1.4</v>
      </c>
      <c r="X3" s="2" t="n">
        <v>0.1</v>
      </c>
      <c r="Y3" s="2" t="inlineStr">
        <is>
          <t>COMM_Logical</t>
        </is>
      </c>
      <c r="Z3" s="2" t="inlineStr">
        <is>
          <t>REG_SelfSoother</t>
        </is>
      </c>
      <c r="AA3" s="2" t="inlineStr">
        <is>
          <t>LANG_Service</t>
        </is>
      </c>
      <c r="AB3" s="2" t="inlineStr">
        <is>
          <t>Trust_Tension</t>
        </is>
      </c>
      <c r="AC3" s="2" t="inlineStr">
        <is>
          <t>Trust_Tension</t>
        </is>
      </c>
      <c r="AD3" s="2" t="n"/>
      <c r="AE3" s="2" t="n">
        <v>6</v>
      </c>
      <c r="AF3" s="2" t="inlineStr">
        <is>
          <t>overanalysis</t>
        </is>
      </c>
      <c r="AG3" s="2" t="inlineStr">
        <is>
          <t>hyper-vigilant decoder</t>
        </is>
      </c>
      <c r="AH3" s="2" t="n">
        <v>0</v>
      </c>
      <c r="AI3" s="2" t="inlineStr">
        <is>
          <t>yes</t>
        </is>
      </c>
      <c r="AJ3" s="2" t="inlineStr">
        <is>
          <t>no</t>
        </is>
      </c>
      <c r="AK3" s="2" t="inlineStr">
        <is>
          <t>yes</t>
        </is>
      </c>
      <c r="AL3" s="2" t="inlineStr">
        <is>
          <t>yes</t>
        </is>
      </c>
      <c r="AM3" s="2" t="n"/>
      <c r="AN3" s="2" t="n"/>
      <c r="AO3" s="2" t="n"/>
      <c r="AP3" s="2" t="inlineStr">
        <is>
          <t>v3_2026-03-19</t>
        </is>
      </c>
    </row>
    <row r="4" ht="148.5" customHeight="1" s="10">
      <c r="A4" s="2" t="inlineStr">
        <is>
          <t>Q01_C</t>
        </is>
      </c>
      <c r="B4" s="2" t="n">
        <v>1</v>
      </c>
      <c r="C4" s="2" t="n">
        <v>1</v>
      </c>
      <c r="D4" s="2" t="inlineStr">
        <is>
          <t>Core</t>
        </is>
      </c>
      <c r="E4" s="2" t="n">
        <v>1</v>
      </c>
      <c r="F4" s="2" t="inlineStr">
        <is>
          <t>CommunicationHealth</t>
        </is>
      </c>
      <c r="G4" s="2" t="inlineStr">
        <is>
          <t>EmotionalNeeds</t>
        </is>
      </c>
      <c r="H4" s="2" t="n"/>
      <c r="I4" s="2" t="inlineStr">
        <is>
          <t>C</t>
        </is>
      </c>
      <c r="J4" s="2" t="inlineStr">
        <is>
          <t>C</t>
        </is>
      </c>
      <c r="K4" s="2" t="inlineStr">
        <is>
          <t>I'll bring something up, but I usually wrap it in a joke or a side comment. I'd rather ease into it than make it feel too serious.</t>
        </is>
      </c>
      <c r="L4" s="2" t="n">
        <v>7</v>
      </c>
      <c r="M4" s="2" t="n">
        <v>8</v>
      </c>
      <c r="N4" s="2" t="n">
        <v>6</v>
      </c>
      <c r="O4" s="2" t="n">
        <v>8</v>
      </c>
      <c r="P4" s="2" t="n">
        <v>8</v>
      </c>
      <c r="Q4" s="2" t="inlineStr">
        <is>
          <t>Translator</t>
        </is>
      </c>
      <c r="R4" s="2" t="n">
        <v>3</v>
      </c>
      <c r="S4" s="2" t="n"/>
      <c r="T4" s="2" t="n"/>
      <c r="U4" s="2" t="n">
        <v>0</v>
      </c>
      <c r="V4" s="2" t="inlineStr">
        <is>
          <t>masc:-0.1;fem:1.6</t>
        </is>
      </c>
      <c r="W4" s="2" t="n">
        <v>-0.1</v>
      </c>
      <c r="X4" s="2" t="n">
        <v>1.6</v>
      </c>
      <c r="Y4" s="2" t="inlineStr">
        <is>
          <t>COMM_Indirect</t>
        </is>
      </c>
      <c r="Z4" s="2" t="inlineStr">
        <is>
          <t>REG_CoRegulator</t>
        </is>
      </c>
      <c r="AA4" s="2" t="inlineStr">
        <is>
          <t>LANG_Words</t>
        </is>
      </c>
      <c r="AB4" s="2" t="n"/>
      <c r="AC4" s="2" t="n"/>
      <c r="AD4" s="2" t="n"/>
      <c r="AE4" s="2" t="n">
        <v>0</v>
      </c>
      <c r="AF4" s="2" t="inlineStr">
        <is>
          <t>soft entry communication</t>
        </is>
      </c>
      <c r="AG4" s="2" t="inlineStr">
        <is>
          <t>light approach</t>
        </is>
      </c>
      <c r="AH4" s="2" t="n">
        <v>0</v>
      </c>
      <c r="AI4" s="2" t="inlineStr">
        <is>
          <t>no</t>
        </is>
      </c>
      <c r="AJ4" s="2" t="inlineStr">
        <is>
          <t>no</t>
        </is>
      </c>
      <c r="AK4" s="2" t="inlineStr">
        <is>
          <t>yes</t>
        </is>
      </c>
      <c r="AL4" s="2" t="inlineStr">
        <is>
          <t>yes</t>
        </is>
      </c>
      <c r="AM4" s="2" t="n"/>
      <c r="AN4" s="2" t="n"/>
      <c r="AO4" s="2" t="n"/>
      <c r="AP4" s="2" t="inlineStr">
        <is>
          <t>v3_2026-03-19</t>
        </is>
      </c>
    </row>
    <row r="5" ht="162" customHeight="1" s="10">
      <c r="A5" s="2" t="inlineStr">
        <is>
          <t>Q01_D</t>
        </is>
      </c>
      <c r="B5" s="2" t="n">
        <v>1</v>
      </c>
      <c r="C5" s="2" t="n">
        <v>1</v>
      </c>
      <c r="D5" s="2" t="inlineStr">
        <is>
          <t>Core</t>
        </is>
      </c>
      <c r="E5" s="2" t="n">
        <v>1</v>
      </c>
      <c r="F5" s="2" t="inlineStr">
        <is>
          <t>CommunicationHealth</t>
        </is>
      </c>
      <c r="G5" s="2" t="inlineStr">
        <is>
          <t>EmotionalNeeds</t>
        </is>
      </c>
      <c r="H5" s="2" t="n"/>
      <c r="I5" s="2" t="inlineStr">
        <is>
          <t>D</t>
        </is>
      </c>
      <c r="J5" s="2" t="inlineStr">
        <is>
          <t>D</t>
        </is>
      </c>
      <c r="K5" s="2" t="inlineStr">
        <is>
          <t>I usually wait. Not to avoid it, just to feel it out first. I've learned not everything needs a reaction, but if it lingers, I'll say something.</t>
        </is>
      </c>
      <c r="L5" s="2" t="n">
        <v>8</v>
      </c>
      <c r="M5" s="2" t="n">
        <v>8</v>
      </c>
      <c r="N5" s="2" t="n">
        <v>8</v>
      </c>
      <c r="O5" s="2" t="n">
        <v>8</v>
      </c>
      <c r="P5" s="2" t="n">
        <v>6</v>
      </c>
      <c r="Q5" s="2" t="inlineStr">
        <is>
          <t>Survivor</t>
        </is>
      </c>
      <c r="R5" s="2" t="n">
        <v>8</v>
      </c>
      <c r="S5" s="2" t="n"/>
      <c r="T5" s="2" t="n"/>
      <c r="U5" s="2" t="n">
        <v>0</v>
      </c>
      <c r="V5" s="2" t="inlineStr">
        <is>
          <t>masc:0.3;fem:1.3</t>
        </is>
      </c>
      <c r="W5" s="2" t="n">
        <v>0.3</v>
      </c>
      <c r="X5" s="2" t="n">
        <v>1.3</v>
      </c>
      <c r="Y5" s="2" t="inlineStr">
        <is>
          <t>COMM_Emotional</t>
        </is>
      </c>
      <c r="Z5" s="2" t="inlineStr">
        <is>
          <t>REG_SelfSoother</t>
        </is>
      </c>
      <c r="AA5" s="2" t="inlineStr">
        <is>
          <t>LANG_Service</t>
        </is>
      </c>
      <c r="AB5" s="2" t="n"/>
      <c r="AC5" s="2" t="n"/>
      <c r="AD5" s="2" t="n"/>
      <c r="AE5" s="2" t="n">
        <v>0</v>
      </c>
      <c r="AF5" s="2" t="inlineStr">
        <is>
          <t>measured patience</t>
        </is>
      </c>
      <c r="AG5" s="2" t="inlineStr">
        <is>
          <t>cautious feeler</t>
        </is>
      </c>
      <c r="AH5" s="2" t="n">
        <v>0.6</v>
      </c>
      <c r="AI5" s="2" t="inlineStr">
        <is>
          <t>no</t>
        </is>
      </c>
      <c r="AJ5" s="2" t="inlineStr">
        <is>
          <t>no</t>
        </is>
      </c>
      <c r="AK5" s="2" t="inlineStr">
        <is>
          <t>yes</t>
        </is>
      </c>
      <c r="AL5" s="2" t="inlineStr">
        <is>
          <t>yes</t>
        </is>
      </c>
      <c r="AM5" s="2" t="n"/>
      <c r="AN5" s="2" t="n"/>
      <c r="AO5" s="2" t="n"/>
      <c r="AP5" s="2" t="inlineStr">
        <is>
          <t>v3_2026-03-19</t>
        </is>
      </c>
    </row>
    <row r="6" ht="135" customHeight="1" s="10">
      <c r="A6" s="2" t="inlineStr">
        <is>
          <t>Q01_E</t>
        </is>
      </c>
      <c r="B6" s="2" t="n">
        <v>1</v>
      </c>
      <c r="C6" s="2" t="n">
        <v>1</v>
      </c>
      <c r="D6" s="2" t="inlineStr">
        <is>
          <t>Core</t>
        </is>
      </c>
      <c r="E6" s="2" t="n">
        <v>1</v>
      </c>
      <c r="F6" s="2" t="inlineStr">
        <is>
          <t>CommunicationHealth</t>
        </is>
      </c>
      <c r="G6" s="2" t="inlineStr">
        <is>
          <t>EmotionalNeeds</t>
        </is>
      </c>
      <c r="H6" s="2" t="n"/>
      <c r="I6" s="2" t="inlineStr">
        <is>
          <t>E</t>
        </is>
      </c>
      <c r="J6" s="2" t="inlineStr">
        <is>
          <t>E</t>
        </is>
      </c>
      <c r="K6" s="2" t="inlineStr">
        <is>
          <t>I don't do weird energy. I'm not unkind, but I also don't pretend. If something's off, I'm not sitting in it quietly.</t>
        </is>
      </c>
      <c r="L6" s="2" t="n">
        <v>9</v>
      </c>
      <c r="M6" s="2" t="n">
        <v>9</v>
      </c>
      <c r="N6" s="2" t="n">
        <v>10</v>
      </c>
      <c r="O6" s="2" t="n">
        <v>10</v>
      </c>
      <c r="P6" s="2" t="n">
        <v>10</v>
      </c>
      <c r="Q6" s="2" t="inlineStr">
        <is>
          <t>Regulated Grown-Up</t>
        </is>
      </c>
      <c r="R6" s="2" t="n">
        <v>9</v>
      </c>
      <c r="S6" s="2" t="n"/>
      <c r="T6" s="2" t="n"/>
      <c r="U6" s="2" t="n">
        <v>0</v>
      </c>
      <c r="V6" s="2" t="inlineStr">
        <is>
          <t>masc:1.1;fem:0.9</t>
        </is>
      </c>
      <c r="W6" s="2" t="n">
        <v>1.1</v>
      </c>
      <c r="X6" s="2" t="n">
        <v>0.9</v>
      </c>
      <c r="Y6" s="2" t="inlineStr">
        <is>
          <t>COMM_Direct</t>
        </is>
      </c>
      <c r="Z6" s="2" t="inlineStr">
        <is>
          <t>REG_CoRegulator</t>
        </is>
      </c>
      <c r="AA6" s="2" t="inlineStr">
        <is>
          <t>LANG_Words</t>
        </is>
      </c>
      <c r="AB6" s="2" t="n"/>
      <c r="AC6" s="2" t="n"/>
      <c r="AD6" s="2" t="n"/>
      <c r="AE6" s="2" t="n">
        <v>0</v>
      </c>
      <c r="AF6" s="2" t="inlineStr">
        <is>
          <t>direct boundary setting</t>
        </is>
      </c>
      <c r="AG6" s="2" t="inlineStr">
        <is>
          <t>clear communicator</t>
        </is>
      </c>
      <c r="AH6" s="2" t="n">
        <v>0</v>
      </c>
      <c r="AI6" s="2" t="inlineStr">
        <is>
          <t>no</t>
        </is>
      </c>
      <c r="AJ6" s="2" t="inlineStr">
        <is>
          <t>no</t>
        </is>
      </c>
      <c r="AK6" s="2" t="inlineStr">
        <is>
          <t>yes</t>
        </is>
      </c>
      <c r="AL6" s="2" t="inlineStr">
        <is>
          <t>yes</t>
        </is>
      </c>
      <c r="AM6" s="2" t="n"/>
      <c r="AN6" s="2" t="n"/>
      <c r="AO6" s="2" t="n"/>
      <c r="AP6" s="2" t="inlineStr">
        <is>
          <t>v3_2026-03-19</t>
        </is>
      </c>
    </row>
    <row r="7" ht="148.5" customHeight="1" s="10">
      <c r="A7" s="2" t="inlineStr">
        <is>
          <t>Q02_A</t>
        </is>
      </c>
      <c r="B7" s="2" t="n">
        <v>2</v>
      </c>
      <c r="C7" s="2" t="n">
        <v>2</v>
      </c>
      <c r="D7" s="2" t="inlineStr">
        <is>
          <t>Core</t>
        </is>
      </c>
      <c r="E7" s="2" t="n">
        <v>1</v>
      </c>
      <c r="F7" s="2" t="inlineStr">
        <is>
          <t>CommunicationHealth</t>
        </is>
      </c>
      <c r="G7" s="2" t="inlineStr">
        <is>
          <t>EmotionalNeeds</t>
        </is>
      </c>
      <c r="H7" s="2" t="inlineStr">
        <is>
          <t>You bring up something that bothered you. They brush it off or make a joke. What's your honest reaction?</t>
        </is>
      </c>
      <c r="I7" s="2" t="inlineStr">
        <is>
          <t>A</t>
        </is>
      </c>
      <c r="J7" s="2" t="inlineStr">
        <is>
          <t>A</t>
        </is>
      </c>
      <c r="K7" s="2" t="inlineStr">
        <is>
          <t>Not surprised. I usually go quieter after that. I've seen this play out before, no point chasing clarity where it's not offered.</t>
        </is>
      </c>
      <c r="L7" s="2" t="n">
        <v>5</v>
      </c>
      <c r="M7" s="2" t="n">
        <v>6</v>
      </c>
      <c r="N7" s="2" t="n">
        <v>0</v>
      </c>
      <c r="O7" s="2" t="n">
        <v>0</v>
      </c>
      <c r="P7" s="2" t="n">
        <v>0</v>
      </c>
      <c r="Q7" s="2" t="inlineStr">
        <is>
          <t>Quiet Exit</t>
        </is>
      </c>
      <c r="R7" s="2" t="n">
        <v>4</v>
      </c>
      <c r="S7" s="2" t="n"/>
      <c r="T7" s="2" t="n"/>
      <c r="U7" s="2" t="n">
        <v>0</v>
      </c>
      <c r="V7" s="2" t="inlineStr">
        <is>
          <t>masc:1.4;fem:-1.3</t>
        </is>
      </c>
      <c r="W7" s="2" t="n">
        <v>1.4</v>
      </c>
      <c r="X7" s="2" t="n">
        <v>-1.3</v>
      </c>
      <c r="Y7" s="2" t="inlineStr">
        <is>
          <t>COMM_Avoidant</t>
        </is>
      </c>
      <c r="Z7" s="2" t="inlineStr">
        <is>
          <t>REG_Suppressor</t>
        </is>
      </c>
      <c r="AA7" s="2" t="inlineStr">
        <is>
          <t>LANG_Time</t>
        </is>
      </c>
      <c r="AB7" s="2" t="inlineStr">
        <is>
          <t>Vulnerability_Loop , Pursuer_Distancer</t>
        </is>
      </c>
      <c r="AC7" s="2" t="inlineStr">
        <is>
          <t>Vulnerability_Loop</t>
        </is>
      </c>
      <c r="AD7" s="2" t="inlineStr">
        <is>
          <t>Pursuer_Distancer</t>
        </is>
      </c>
      <c r="AE7" s="2" t="n">
        <v>11</v>
      </c>
      <c r="AF7" s="2" t="inlineStr">
        <is>
          <t>withdrawal after dismissal</t>
        </is>
      </c>
      <c r="AG7" s="2" t="inlineStr">
        <is>
          <t>silent step-back</t>
        </is>
      </c>
      <c r="AH7" s="2" t="n">
        <v>0.8</v>
      </c>
      <c r="AI7" s="2" t="inlineStr">
        <is>
          <t>yes</t>
        </is>
      </c>
      <c r="AJ7" s="2" t="inlineStr">
        <is>
          <t>no</t>
        </is>
      </c>
      <c r="AK7" s="2" t="inlineStr">
        <is>
          <t>yes</t>
        </is>
      </c>
      <c r="AL7" s="2" t="inlineStr">
        <is>
          <t>yes</t>
        </is>
      </c>
      <c r="AM7" s="2" t="n"/>
      <c r="AN7" s="2" t="n"/>
      <c r="AO7" s="2" t="n"/>
      <c r="AP7" s="2" t="inlineStr">
        <is>
          <t>v3_2026-03-19</t>
        </is>
      </c>
    </row>
    <row r="8" ht="121.5" customHeight="1" s="10">
      <c r="A8" s="2" t="inlineStr">
        <is>
          <t>Q02_B</t>
        </is>
      </c>
      <c r="B8" s="2" t="n">
        <v>2</v>
      </c>
      <c r="C8" s="2" t="n">
        <v>2</v>
      </c>
      <c r="D8" s="2" t="inlineStr">
        <is>
          <t>Core</t>
        </is>
      </c>
      <c r="E8" s="2" t="n">
        <v>1</v>
      </c>
      <c r="F8" s="2" t="inlineStr">
        <is>
          <t>CommunicationHealth</t>
        </is>
      </c>
      <c r="G8" s="2" t="inlineStr">
        <is>
          <t>EmotionalNeeds</t>
        </is>
      </c>
      <c r="H8" s="2" t="n"/>
      <c r="I8" s="2" t="inlineStr">
        <is>
          <t>B</t>
        </is>
      </c>
      <c r="J8" s="2" t="inlineStr">
        <is>
          <t>B</t>
        </is>
      </c>
      <c r="K8" s="2" t="inlineStr">
        <is>
          <t>I'll play along, but it definitely changes how I see them. I keep score, even if they never know it.</t>
        </is>
      </c>
      <c r="L8" s="2" t="n">
        <v>4</v>
      </c>
      <c r="M8" s="2" t="n">
        <v>5</v>
      </c>
      <c r="N8" s="2" t="n">
        <v>0</v>
      </c>
      <c r="O8" s="2" t="n">
        <v>0</v>
      </c>
      <c r="P8" s="2" t="n">
        <v>0</v>
      </c>
      <c r="Q8" s="2" t="inlineStr">
        <is>
          <t>Performer</t>
        </is>
      </c>
      <c r="R8" s="2" t="n">
        <v>7</v>
      </c>
      <c r="S8" s="2" t="n"/>
      <c r="T8" s="2" t="n"/>
      <c r="U8" s="2" t="n">
        <v>0</v>
      </c>
      <c r="V8" s="2" t="inlineStr">
        <is>
          <t>masc:0.3;fem:0.5</t>
        </is>
      </c>
      <c r="W8" s="2" t="n">
        <v>0.3</v>
      </c>
      <c r="X8" s="2" t="n">
        <v>0.5</v>
      </c>
      <c r="Y8" s="2" t="inlineStr">
        <is>
          <t>COMM_Indirect</t>
        </is>
      </c>
      <c r="Z8" s="2" t="inlineStr">
        <is>
          <t>REG_Distractor</t>
        </is>
      </c>
      <c r="AA8" s="2" t="inlineStr">
        <is>
          <t>LANG_Gifts</t>
        </is>
      </c>
      <c r="AB8" s="2" t="inlineStr">
        <is>
          <t>Control_Avoidance , Scorekeeping_Echo</t>
        </is>
      </c>
      <c r="AC8" s="2" t="inlineStr">
        <is>
          <t>Control_Avoidance</t>
        </is>
      </c>
      <c r="AD8" s="2" t="inlineStr">
        <is>
          <t>Scorekeeping_Echo</t>
        </is>
      </c>
      <c r="AE8" s="2" t="n">
        <v>14</v>
      </c>
      <c r="AF8" s="2" t="inlineStr">
        <is>
          <t>private resentment</t>
        </is>
      </c>
      <c r="AG8" s="2" t="inlineStr">
        <is>
          <t>image-based keeper</t>
        </is>
      </c>
      <c r="AH8" s="2" t="n">
        <v>1.2</v>
      </c>
      <c r="AI8" s="2" t="inlineStr">
        <is>
          <t>yes</t>
        </is>
      </c>
      <c r="AJ8" s="2" t="inlineStr">
        <is>
          <t>no</t>
        </is>
      </c>
      <c r="AK8" s="2" t="inlineStr">
        <is>
          <t>yes</t>
        </is>
      </c>
      <c r="AL8" s="2" t="inlineStr">
        <is>
          <t>yes</t>
        </is>
      </c>
      <c r="AM8" s="2" t="n"/>
      <c r="AN8" s="2" t="n"/>
      <c r="AO8" s="2" t="n"/>
      <c r="AP8" s="2" t="inlineStr">
        <is>
          <t>v3_2026-03-19</t>
        </is>
      </c>
    </row>
    <row r="9" ht="162" customHeight="1" s="10">
      <c r="A9" s="2" t="inlineStr">
        <is>
          <t>Q02_C</t>
        </is>
      </c>
      <c r="B9" s="2" t="n">
        <v>2</v>
      </c>
      <c r="C9" s="2" t="n">
        <v>2</v>
      </c>
      <c r="D9" s="2" t="inlineStr">
        <is>
          <t>Core</t>
        </is>
      </c>
      <c r="E9" s="2" t="n">
        <v>1</v>
      </c>
      <c r="F9" s="2" t="inlineStr">
        <is>
          <t>CommunicationHealth</t>
        </is>
      </c>
      <c r="G9" s="2" t="inlineStr">
        <is>
          <t>EmotionalNeeds</t>
        </is>
      </c>
      <c r="H9" s="2" t="n"/>
      <c r="I9" s="2" t="inlineStr">
        <is>
          <t>C</t>
        </is>
      </c>
      <c r="J9" s="2" t="inlineStr">
        <is>
          <t>C</t>
        </is>
      </c>
      <c r="K9" s="2" t="inlineStr">
        <is>
          <t>I bring it up again, but this time they can probably hear the shift in my tone. I'm not trying to argue, I just need them to actually hear me.</t>
        </is>
      </c>
      <c r="L9" s="2" t="n">
        <v>8</v>
      </c>
      <c r="M9" s="2" t="n">
        <v>8</v>
      </c>
      <c r="N9" s="2" t="n">
        <v>8</v>
      </c>
      <c r="O9" s="2" t="n">
        <v>8</v>
      </c>
      <c r="P9" s="2" t="n">
        <v>8</v>
      </c>
      <c r="Q9" s="2" t="inlineStr">
        <is>
          <t>Fixer</t>
        </is>
      </c>
      <c r="R9" s="2" t="n">
        <v>5</v>
      </c>
      <c r="S9" s="2" t="n"/>
      <c r="T9" s="2" t="n"/>
      <c r="U9" s="2" t="n">
        <v>0</v>
      </c>
      <c r="V9" s="2" t="inlineStr">
        <is>
          <t>masc:-0.4;fem:2.0</t>
        </is>
      </c>
      <c r="W9" s="2" t="n">
        <v>-0.4</v>
      </c>
      <c r="X9" s="2" t="n">
        <v>2</v>
      </c>
      <c r="Y9" s="2" t="inlineStr">
        <is>
          <t>COMM_Emotional</t>
        </is>
      </c>
      <c r="Z9" s="2" t="inlineStr">
        <is>
          <t>REG_CoRegulator</t>
        </is>
      </c>
      <c r="AA9" s="2" t="inlineStr">
        <is>
          <t>LANG_Service</t>
        </is>
      </c>
      <c r="AB9" s="2" t="n"/>
      <c r="AC9" s="2" t="n"/>
      <c r="AD9" s="2" t="n"/>
      <c r="AE9" s="2" t="n">
        <v>0</v>
      </c>
      <c r="AF9" s="2" t="inlineStr">
        <is>
          <t>persistence for resolution</t>
        </is>
      </c>
      <c r="AG9" s="2" t="inlineStr">
        <is>
          <t>consistent communicator</t>
        </is>
      </c>
      <c r="AH9" s="2" t="n">
        <v>0</v>
      </c>
      <c r="AI9" s="2" t="inlineStr">
        <is>
          <t>no</t>
        </is>
      </c>
      <c r="AJ9" s="2" t="inlineStr">
        <is>
          <t>no</t>
        </is>
      </c>
      <c r="AK9" s="2" t="inlineStr">
        <is>
          <t>yes</t>
        </is>
      </c>
      <c r="AL9" s="2" t="inlineStr">
        <is>
          <t>yes</t>
        </is>
      </c>
      <c r="AM9" s="2" t="n"/>
      <c r="AN9" s="2" t="n"/>
      <c r="AO9" s="2" t="n"/>
      <c r="AP9" s="2" t="inlineStr">
        <is>
          <t>v3_2026-03-19</t>
        </is>
      </c>
    </row>
    <row r="10" ht="135" customHeight="1" s="10">
      <c r="A10" s="2" t="inlineStr">
        <is>
          <t>Q02_D</t>
        </is>
      </c>
      <c r="B10" s="2" t="n">
        <v>2</v>
      </c>
      <c r="C10" s="2" t="n">
        <v>2</v>
      </c>
      <c r="D10" s="2" t="inlineStr">
        <is>
          <t>Core</t>
        </is>
      </c>
      <c r="E10" s="2" t="n">
        <v>1</v>
      </c>
      <c r="F10" s="2" t="inlineStr">
        <is>
          <t>CommunicationHealth</t>
        </is>
      </c>
      <c r="G10" s="2" t="inlineStr">
        <is>
          <t>EmotionalNeeds</t>
        </is>
      </c>
      <c r="H10" s="2" t="n"/>
      <c r="I10" s="2" t="inlineStr">
        <is>
          <t>D</t>
        </is>
      </c>
      <c r="J10" s="2" t="inlineStr">
        <is>
          <t>D</t>
        </is>
      </c>
      <c r="K10" s="2" t="inlineStr">
        <is>
          <t>I laugh too, but it sticks with me. Hours later I'm still replaying what I said, wondering if I should've just kept quiet.</t>
        </is>
      </c>
      <c r="L10" s="2" t="n">
        <v>5</v>
      </c>
      <c r="M10" s="2" t="n">
        <v>6</v>
      </c>
      <c r="N10" s="2" t="n">
        <v>2</v>
      </c>
      <c r="O10" s="2" t="n">
        <v>4</v>
      </c>
      <c r="P10" s="2" t="n">
        <v>2</v>
      </c>
      <c r="Q10" s="2" t="inlineStr">
        <is>
          <t>Phantom Seeker</t>
        </is>
      </c>
      <c r="R10" s="2" t="n">
        <v>10</v>
      </c>
      <c r="S10" s="2" t="n"/>
      <c r="T10" s="2" t="n"/>
      <c r="U10" s="2" t="n">
        <v>0</v>
      </c>
      <c r="V10" s="2" t="inlineStr">
        <is>
          <t>masc:-0.2;fem:1.5</t>
        </is>
      </c>
      <c r="W10" s="2" t="n">
        <v>-0.2</v>
      </c>
      <c r="X10" s="2" t="n">
        <v>1.5</v>
      </c>
      <c r="Y10" s="2" t="inlineStr">
        <is>
          <t>COMM_Emotional</t>
        </is>
      </c>
      <c r="Z10" s="2" t="inlineStr">
        <is>
          <t>REG_SelfSoother</t>
        </is>
      </c>
      <c r="AA10" s="2" t="inlineStr">
        <is>
          <t>LANG_Touch</t>
        </is>
      </c>
      <c r="AB10" s="2" t="inlineStr">
        <is>
          <t>Conflict_Flip</t>
        </is>
      </c>
      <c r="AC10" s="2" t="inlineStr">
        <is>
          <t>Conflict_Flip</t>
        </is>
      </c>
      <c r="AD10" s="2" t="n"/>
      <c r="AE10" s="2" t="n">
        <v>4</v>
      </c>
      <c r="AF10" s="2" t="inlineStr">
        <is>
          <t>quiet rumination</t>
        </is>
      </c>
      <c r="AG10" s="2" t="inlineStr">
        <is>
          <t>soft stewer</t>
        </is>
      </c>
      <c r="AH10" s="2" t="n">
        <v>0</v>
      </c>
      <c r="AI10" s="2" t="inlineStr">
        <is>
          <t>yes</t>
        </is>
      </c>
      <c r="AJ10" s="2" t="inlineStr">
        <is>
          <t>no</t>
        </is>
      </c>
      <c r="AK10" s="2" t="inlineStr">
        <is>
          <t>yes</t>
        </is>
      </c>
      <c r="AL10" s="2" t="inlineStr">
        <is>
          <t>yes</t>
        </is>
      </c>
      <c r="AM10" s="2" t="n"/>
      <c r="AN10" s="2" t="n"/>
      <c r="AO10" s="2" t="n"/>
      <c r="AP10" s="2" t="inlineStr">
        <is>
          <t>v3_2026-03-19</t>
        </is>
      </c>
    </row>
    <row r="11" ht="175.5" customHeight="1" s="10">
      <c r="A11" s="2" t="inlineStr">
        <is>
          <t>Q02_E</t>
        </is>
      </c>
      <c r="B11" s="2" t="n">
        <v>2</v>
      </c>
      <c r="C11" s="2" t="n">
        <v>2</v>
      </c>
      <c r="D11" s="2" t="inlineStr">
        <is>
          <t>Core</t>
        </is>
      </c>
      <c r="E11" s="2" t="n">
        <v>1</v>
      </c>
      <c r="F11" s="2" t="inlineStr">
        <is>
          <t>CommunicationHealth</t>
        </is>
      </c>
      <c r="G11" s="2" t="inlineStr">
        <is>
          <t>EmotionalNeeds</t>
        </is>
      </c>
      <c r="H11" s="2" t="n"/>
      <c r="I11" s="2" t="inlineStr">
        <is>
          <t>E</t>
        </is>
      </c>
      <c r="J11" s="2" t="inlineStr">
        <is>
          <t>E</t>
        </is>
      </c>
      <c r="K11" s="2" t="inlineStr">
        <is>
          <t>I clock that fast. If I opened up and they shrugged it off, I don't ask again. I don't mind being the bad guy if it means protecting my peace.</t>
        </is>
      </c>
      <c r="L11" s="2" t="n">
        <v>9</v>
      </c>
      <c r="M11" s="2" t="n">
        <v>9</v>
      </c>
      <c r="N11" s="2" t="n">
        <v>10</v>
      </c>
      <c r="O11" s="2" t="n">
        <v>10</v>
      </c>
      <c r="P11" s="2" t="n">
        <v>10</v>
      </c>
      <c r="Q11" s="2" t="inlineStr">
        <is>
          <t>Regulated Grown-Up</t>
        </is>
      </c>
      <c r="R11" s="2" t="n">
        <v>9</v>
      </c>
      <c r="S11" s="2" t="n"/>
      <c r="T11" s="2" t="n"/>
      <c r="U11" s="2" t="n">
        <v>0</v>
      </c>
      <c r="V11" s="2" t="inlineStr">
        <is>
          <t>masc:1.1;fem:0.9</t>
        </is>
      </c>
      <c r="W11" s="2" t="n">
        <v>1.1</v>
      </c>
      <c r="X11" s="2" t="n">
        <v>0.9</v>
      </c>
      <c r="Y11" s="2" t="inlineStr">
        <is>
          <t>COMM_Direct</t>
        </is>
      </c>
      <c r="Z11" s="2" t="inlineStr">
        <is>
          <t>REG_CoRegulator</t>
        </is>
      </c>
      <c r="AA11" s="2" t="inlineStr">
        <is>
          <t>LANG_Words</t>
        </is>
      </c>
      <c r="AB11" s="2" t="n"/>
      <c r="AC11" s="2" t="n"/>
      <c r="AD11" s="2" t="n"/>
      <c r="AE11" s="2" t="n">
        <v>0</v>
      </c>
      <c r="AF11" s="2" t="inlineStr">
        <is>
          <t>fast boundary recognition</t>
        </is>
      </c>
      <c r="AG11" s="2" t="inlineStr">
        <is>
          <t>peace protector</t>
        </is>
      </c>
      <c r="AH11" s="2" t="n">
        <v>0</v>
      </c>
      <c r="AI11" s="2" t="inlineStr">
        <is>
          <t>no</t>
        </is>
      </c>
      <c r="AJ11" s="2" t="inlineStr">
        <is>
          <t>no</t>
        </is>
      </c>
      <c r="AK11" s="2" t="inlineStr">
        <is>
          <t>yes</t>
        </is>
      </c>
      <c r="AL11" s="2" t="inlineStr">
        <is>
          <t>yes</t>
        </is>
      </c>
      <c r="AM11" s="2" t="n"/>
      <c r="AN11" s="2" t="n"/>
      <c r="AO11" s="2" t="n"/>
      <c r="AP11" s="2" t="inlineStr">
        <is>
          <t>v3_2026-03-19</t>
        </is>
      </c>
    </row>
    <row r="12" ht="121.5" customHeight="1" s="10">
      <c r="A12" s="2" t="inlineStr">
        <is>
          <t>Q03_A</t>
        </is>
      </c>
      <c r="B12" s="2" t="n">
        <v>3</v>
      </c>
      <c r="C12" s="2" t="n">
        <v>3</v>
      </c>
      <c r="D12" s="2" t="inlineStr">
        <is>
          <t>Core</t>
        </is>
      </c>
      <c r="E12" s="2" t="n">
        <v>1</v>
      </c>
      <c r="F12" s="2" t="inlineStr">
        <is>
          <t>CommunicationHealth</t>
        </is>
      </c>
      <c r="G12" s="2" t="inlineStr">
        <is>
          <t>EmotionalNeeds</t>
        </is>
      </c>
      <c r="H12" s="2" t="inlineStr">
        <is>
          <t>You start catching feelings and realizing you actually like this person. How does your energy shift?</t>
        </is>
      </c>
      <c r="I12" s="2" t="inlineStr">
        <is>
          <t>A</t>
        </is>
      </c>
      <c r="J12" s="2" t="inlineStr">
        <is>
          <t>A</t>
        </is>
      </c>
      <c r="K12" s="2" t="inlineStr">
        <is>
          <t>I pull back a little. Not to play games, I just need space to check if I'm seeing it clearly before I lean in.</t>
        </is>
      </c>
      <c r="L12" s="2" t="n">
        <v>6</v>
      </c>
      <c r="M12" s="2" t="n">
        <v>7</v>
      </c>
      <c r="N12" s="2" t="n">
        <v>2</v>
      </c>
      <c r="O12" s="2" t="n">
        <v>2</v>
      </c>
      <c r="P12" s="2" t="n">
        <v>0</v>
      </c>
      <c r="Q12" s="2" t="inlineStr">
        <is>
          <t>Icebox</t>
        </is>
      </c>
      <c r="R12" s="2" t="n">
        <v>1</v>
      </c>
      <c r="S12" s="2" t="n"/>
      <c r="T12" s="2" t="n"/>
      <c r="U12" s="2" t="n">
        <v>0</v>
      </c>
      <c r="V12" s="2" t="inlineStr">
        <is>
          <t>masc:1.8;fem:-1.6</t>
        </is>
      </c>
      <c r="W12" s="2" t="n">
        <v>1.8</v>
      </c>
      <c r="X12" s="2" t="n">
        <v>-1.6</v>
      </c>
      <c r="Y12" s="2" t="inlineStr">
        <is>
          <t>COMM_Avoidant</t>
        </is>
      </c>
      <c r="Z12" s="2" t="inlineStr">
        <is>
          <t>REG_Suppressor</t>
        </is>
      </c>
      <c r="AA12" s="2" t="inlineStr">
        <is>
          <t>LANG_Time</t>
        </is>
      </c>
      <c r="AB12" s="2" t="n"/>
      <c r="AC12" s="2" t="n"/>
      <c r="AD12" s="2" t="n"/>
      <c r="AE12" s="2" t="n">
        <v>0</v>
      </c>
      <c r="AF12" s="2" t="inlineStr">
        <is>
          <t>cautious distance</t>
        </is>
      </c>
      <c r="AG12" s="2" t="inlineStr">
        <is>
          <t>safety checker</t>
        </is>
      </c>
      <c r="AH12" s="2" t="n">
        <v>0.5</v>
      </c>
      <c r="AI12" s="2" t="inlineStr">
        <is>
          <t>no</t>
        </is>
      </c>
      <c r="AJ12" s="2" t="inlineStr">
        <is>
          <t>no</t>
        </is>
      </c>
      <c r="AK12" s="2" t="inlineStr">
        <is>
          <t>yes</t>
        </is>
      </c>
      <c r="AL12" s="2" t="inlineStr">
        <is>
          <t>yes</t>
        </is>
      </c>
      <c r="AM12" s="2" t="n"/>
      <c r="AN12" s="2" t="n"/>
      <c r="AO12" s="2" t="n"/>
      <c r="AP12" s="2" t="inlineStr">
        <is>
          <t>v3_2026-03-19</t>
        </is>
      </c>
    </row>
    <row r="13" ht="121.5" customHeight="1" s="10">
      <c r="A13" s="2" t="inlineStr">
        <is>
          <t>Q03_B</t>
        </is>
      </c>
      <c r="B13" s="2" t="n">
        <v>3</v>
      </c>
      <c r="C13" s="2" t="n">
        <v>3</v>
      </c>
      <c r="D13" s="2" t="inlineStr">
        <is>
          <t>Core</t>
        </is>
      </c>
      <c r="E13" s="2" t="n">
        <v>1</v>
      </c>
      <c r="F13" s="2" t="inlineStr">
        <is>
          <t>CommunicationHealth</t>
        </is>
      </c>
      <c r="G13" s="2" t="inlineStr">
        <is>
          <t>EmotionalNeeds</t>
        </is>
      </c>
      <c r="H13" s="2" t="n"/>
      <c r="I13" s="2" t="inlineStr">
        <is>
          <t>B</t>
        </is>
      </c>
      <c r="J13" s="2" t="inlineStr">
        <is>
          <t>B</t>
        </is>
      </c>
      <c r="K13" s="2" t="inlineStr">
        <is>
          <t>I start imagining what it could be. I try not to get ahead of myself, I just like feeling what it can be.</t>
        </is>
      </c>
      <c r="L13" s="2" t="n">
        <v>7</v>
      </c>
      <c r="M13" s="2" t="n">
        <v>8</v>
      </c>
      <c r="N13" s="2" t="n">
        <v>4</v>
      </c>
      <c r="O13" s="2" t="n">
        <v>6</v>
      </c>
      <c r="P13" s="2" t="n">
        <v>4</v>
      </c>
      <c r="Q13" s="2" t="inlineStr">
        <is>
          <t>Romantic Idealist</t>
        </is>
      </c>
      <c r="R13" s="2" t="n">
        <v>6</v>
      </c>
      <c r="S13" s="2" t="n"/>
      <c r="T13" s="2" t="n"/>
      <c r="U13" s="2" t="n">
        <v>0</v>
      </c>
      <c r="V13" s="2" t="inlineStr">
        <is>
          <t>masc:-0.4;fem:1.5</t>
        </is>
      </c>
      <c r="W13" s="2" t="n">
        <v>-0.4</v>
      </c>
      <c r="X13" s="2" t="n">
        <v>1.5</v>
      </c>
      <c r="Y13" s="2" t="inlineStr">
        <is>
          <t>COMM_Emotional</t>
        </is>
      </c>
      <c r="Z13" s="2" t="inlineStr">
        <is>
          <t>REG_Distractor</t>
        </is>
      </c>
      <c r="AA13" s="2" t="inlineStr">
        <is>
          <t>LANG_Gifts</t>
        </is>
      </c>
      <c r="AB13" s="2" t="inlineStr">
        <is>
          <t>Humor_Shield , Affection_Mismatch</t>
        </is>
      </c>
      <c r="AC13" s="2" t="inlineStr">
        <is>
          <t>Humor_Shield</t>
        </is>
      </c>
      <c r="AD13" s="2" t="inlineStr">
        <is>
          <t>Affection_Mismatch</t>
        </is>
      </c>
      <c r="AE13" s="2" t="n">
        <v>7</v>
      </c>
      <c r="AF13" s="2" t="inlineStr">
        <is>
          <t>guarded playfulness</t>
        </is>
      </c>
      <c r="AG13" s="2" t="inlineStr">
        <is>
          <t>safe tester</t>
        </is>
      </c>
      <c r="AH13" s="2" t="n">
        <v>0.2</v>
      </c>
      <c r="AI13" s="2" t="inlineStr">
        <is>
          <t>yes</t>
        </is>
      </c>
      <c r="AJ13" s="2" t="inlineStr">
        <is>
          <t>no</t>
        </is>
      </c>
      <c r="AK13" s="2" t="inlineStr">
        <is>
          <t>yes</t>
        </is>
      </c>
      <c r="AL13" s="2" t="inlineStr">
        <is>
          <t>yes</t>
        </is>
      </c>
      <c r="AM13" s="2" t="n"/>
      <c r="AN13" s="2" t="n"/>
      <c r="AO13" s="2" t="n"/>
      <c r="AP13" s="2" t="inlineStr">
        <is>
          <t>v3_2026-03-19</t>
        </is>
      </c>
    </row>
    <row r="14" ht="148.5" customHeight="1" s="10">
      <c r="A14" s="2" t="inlineStr">
        <is>
          <t>Q03_C</t>
        </is>
      </c>
      <c r="B14" s="2" t="n">
        <v>3</v>
      </c>
      <c r="C14" s="2" t="n">
        <v>3</v>
      </c>
      <c r="D14" s="2" t="inlineStr">
        <is>
          <t>Core</t>
        </is>
      </c>
      <c r="E14" s="2" t="n">
        <v>1</v>
      </c>
      <c r="F14" s="2" t="inlineStr">
        <is>
          <t>CommunicationHealth</t>
        </is>
      </c>
      <c r="G14" s="2" t="inlineStr">
        <is>
          <t>EmotionalNeeds</t>
        </is>
      </c>
      <c r="H14" s="2" t="n"/>
      <c r="I14" s="2" t="inlineStr">
        <is>
          <t>C</t>
        </is>
      </c>
      <c r="J14" s="2" t="inlineStr">
        <is>
          <t>C</t>
        </is>
      </c>
      <c r="K14" s="2" t="inlineStr">
        <is>
          <t>I don't say much, but I start showing up more, checking in, remembering little things. That's usually how I start showing my interest.</t>
        </is>
      </c>
      <c r="L14" s="2" t="n">
        <v>8</v>
      </c>
      <c r="M14" s="2" t="n">
        <v>9</v>
      </c>
      <c r="N14" s="2" t="n">
        <v>8</v>
      </c>
      <c r="O14" s="2" t="n">
        <v>8</v>
      </c>
      <c r="P14" s="2" t="n">
        <v>8</v>
      </c>
      <c r="Q14" s="2" t="inlineStr">
        <is>
          <t>Analyzer</t>
        </is>
      </c>
      <c r="R14" s="2" t="n">
        <v>2</v>
      </c>
      <c r="S14" s="2" t="n"/>
      <c r="T14" s="2" t="n"/>
      <c r="U14" s="2" t="n">
        <v>0</v>
      </c>
      <c r="V14" s="2" t="inlineStr">
        <is>
          <t>masc:1.4;fem:0.1</t>
        </is>
      </c>
      <c r="W14" s="2" t="n">
        <v>1.4</v>
      </c>
      <c r="X14" s="2" t="n">
        <v>0.1</v>
      </c>
      <c r="Y14" s="2" t="inlineStr">
        <is>
          <t>COMM_Logical</t>
        </is>
      </c>
      <c r="Z14" s="2" t="inlineStr">
        <is>
          <t>REG_SelfSoother</t>
        </is>
      </c>
      <c r="AA14" s="2" t="inlineStr">
        <is>
          <t>LANG_Service</t>
        </is>
      </c>
      <c r="AB14" s="2" t="n"/>
      <c r="AC14" s="2" t="n"/>
      <c r="AD14" s="2" t="n"/>
      <c r="AE14" s="2" t="n">
        <v>0</v>
      </c>
      <c r="AF14" s="2" t="inlineStr">
        <is>
          <t>steady investment</t>
        </is>
      </c>
      <c r="AG14" s="2" t="inlineStr">
        <is>
          <t>quiet prover</t>
        </is>
      </c>
      <c r="AH14" s="2" t="n">
        <v>0</v>
      </c>
      <c r="AI14" s="2" t="inlineStr">
        <is>
          <t>no</t>
        </is>
      </c>
      <c r="AJ14" s="2" t="inlineStr">
        <is>
          <t>no</t>
        </is>
      </c>
      <c r="AK14" s="2" t="inlineStr">
        <is>
          <t>yes</t>
        </is>
      </c>
      <c r="AL14" s="2" t="inlineStr">
        <is>
          <t>yes</t>
        </is>
      </c>
      <c r="AM14" s="2" t="n"/>
      <c r="AN14" s="2" t="n"/>
      <c r="AO14" s="2" t="n"/>
      <c r="AP14" s="2" t="inlineStr">
        <is>
          <t>v3_2026-03-19</t>
        </is>
      </c>
    </row>
    <row r="15" ht="121.5" customHeight="1" s="10">
      <c r="A15" s="2" t="inlineStr">
        <is>
          <t>Q03_D</t>
        </is>
      </c>
      <c r="B15" s="2" t="n">
        <v>3</v>
      </c>
      <c r="C15" s="2" t="n">
        <v>3</v>
      </c>
      <c r="D15" s="2" t="inlineStr">
        <is>
          <t>Core</t>
        </is>
      </c>
      <c r="E15" s="2" t="n">
        <v>1</v>
      </c>
      <c r="F15" s="2" t="inlineStr">
        <is>
          <t>CommunicationHealth</t>
        </is>
      </c>
      <c r="G15" s="2" t="inlineStr">
        <is>
          <t>EmotionalNeeds</t>
        </is>
      </c>
      <c r="H15" s="2" t="n"/>
      <c r="I15" s="2" t="inlineStr">
        <is>
          <t>D</t>
        </is>
      </c>
      <c r="J15" s="2" t="inlineStr">
        <is>
          <t>D</t>
        </is>
      </c>
      <c r="K15" s="2" t="inlineStr">
        <is>
          <t>I want them to like me back, but I need to know it's safe first. So I keep it light while I wait on their actions.</t>
        </is>
      </c>
      <c r="L15" s="2" t="n">
        <v>6</v>
      </c>
      <c r="M15" s="2" t="n">
        <v>6</v>
      </c>
      <c r="N15" s="2" t="n">
        <v>4</v>
      </c>
      <c r="O15" s="2" t="n">
        <v>2</v>
      </c>
      <c r="P15" s="2" t="n">
        <v>2</v>
      </c>
      <c r="Q15" s="2" t="inlineStr">
        <is>
          <t>Phantom Seeker</t>
        </is>
      </c>
      <c r="R15" s="2" t="n">
        <v>10</v>
      </c>
      <c r="S15" s="2" t="n"/>
      <c r="T15" s="2" t="n"/>
      <c r="U15" s="2" t="n">
        <v>0</v>
      </c>
      <c r="V15" s="2" t="inlineStr">
        <is>
          <t>masc:-0.2;fem:1.5</t>
        </is>
      </c>
      <c r="W15" s="2" t="n">
        <v>-0.2</v>
      </c>
      <c r="X15" s="2" t="n">
        <v>1.5</v>
      </c>
      <c r="Y15" s="2" t="inlineStr">
        <is>
          <t>COMM_Emotional</t>
        </is>
      </c>
      <c r="Z15" s="2" t="inlineStr">
        <is>
          <t>REG_SelfSoother</t>
        </is>
      </c>
      <c r="AA15" s="2" t="inlineStr">
        <is>
          <t>LANG_Touch</t>
        </is>
      </c>
      <c r="AB15" s="2" t="inlineStr">
        <is>
          <t>Humor_Shield , Affection_Mismatch</t>
        </is>
      </c>
      <c r="AC15" s="2" t="inlineStr">
        <is>
          <t>Humor_Shield</t>
        </is>
      </c>
      <c r="AD15" s="2" t="inlineStr">
        <is>
          <t>Affection_Mismatch</t>
        </is>
      </c>
      <c r="AE15" s="2" t="n">
        <v>7</v>
      </c>
      <c r="AF15" s="2" t="inlineStr">
        <is>
          <t>guarded playfulness</t>
        </is>
      </c>
      <c r="AG15" s="2" t="inlineStr">
        <is>
          <t>safe tester</t>
        </is>
      </c>
      <c r="AH15" s="2" t="n">
        <v>0</v>
      </c>
      <c r="AI15" s="2" t="inlineStr">
        <is>
          <t>yes</t>
        </is>
      </c>
      <c r="AJ15" s="2" t="inlineStr">
        <is>
          <t>no</t>
        </is>
      </c>
      <c r="AK15" s="2" t="inlineStr">
        <is>
          <t>yes</t>
        </is>
      </c>
      <c r="AL15" s="2" t="inlineStr">
        <is>
          <t>yes</t>
        </is>
      </c>
      <c r="AM15" s="2" t="n"/>
      <c r="AN15" s="2" t="n"/>
      <c r="AO15" s="2" t="n"/>
      <c r="AP15" s="2" t="inlineStr">
        <is>
          <t>v3_2026-03-19</t>
        </is>
      </c>
    </row>
    <row r="16" ht="175.5" customHeight="1" s="10">
      <c r="A16" s="2" t="inlineStr">
        <is>
          <t>Q03_E</t>
        </is>
      </c>
      <c r="B16" s="2" t="n">
        <v>3</v>
      </c>
      <c r="C16" s="2" t="n">
        <v>3</v>
      </c>
      <c r="D16" s="2" t="inlineStr">
        <is>
          <t>Core</t>
        </is>
      </c>
      <c r="E16" s="2" t="n">
        <v>1</v>
      </c>
      <c r="F16" s="2" t="inlineStr">
        <is>
          <t>CommunicationHealth</t>
        </is>
      </c>
      <c r="G16" s="2" t="inlineStr">
        <is>
          <t>EmotionalNeeds</t>
        </is>
      </c>
      <c r="H16" s="2" t="n"/>
      <c r="I16" s="2" t="inlineStr">
        <is>
          <t>E</t>
        </is>
      </c>
      <c r="J16" s="2" t="inlineStr">
        <is>
          <t>E</t>
        </is>
      </c>
      <c r="K16" s="2" t="inlineStr">
        <is>
          <t>If I like someone, yeah, it shows. But I've learned not to lean too far until I know they're showing up too. I'm not trying to guess where I stand.</t>
        </is>
      </c>
      <c r="L16" s="2" t="n">
        <v>9</v>
      </c>
      <c r="M16" s="2" t="n">
        <v>9</v>
      </c>
      <c r="N16" s="2" t="n">
        <v>10</v>
      </c>
      <c r="O16" s="2" t="n">
        <v>10</v>
      </c>
      <c r="P16" s="2" t="n">
        <v>10</v>
      </c>
      <c r="Q16" s="2" t="inlineStr">
        <is>
          <t>Regulated Grown-Up</t>
        </is>
      </c>
      <c r="R16" s="2" t="n">
        <v>9</v>
      </c>
      <c r="S16" s="2" t="n"/>
      <c r="T16" s="2" t="n"/>
      <c r="U16" s="2" t="n">
        <v>0</v>
      </c>
      <c r="V16" s="2" t="inlineStr">
        <is>
          <t>masc:1.1;fem:0.9</t>
        </is>
      </c>
      <c r="W16" s="2" t="n">
        <v>1.1</v>
      </c>
      <c r="X16" s="2" t="n">
        <v>0.9</v>
      </c>
      <c r="Y16" s="2" t="inlineStr">
        <is>
          <t>COMM_Direct</t>
        </is>
      </c>
      <c r="Z16" s="2" t="inlineStr">
        <is>
          <t>REG_CoRegulator</t>
        </is>
      </c>
      <c r="AA16" s="2" t="inlineStr">
        <is>
          <t>LANG_Words</t>
        </is>
      </c>
      <c r="AB16" s="2" t="n"/>
      <c r="AC16" s="2" t="n"/>
      <c r="AD16" s="2" t="n"/>
      <c r="AE16" s="2" t="n">
        <v>0</v>
      </c>
      <c r="AF16" s="2" t="inlineStr">
        <is>
          <t>balanced openness</t>
        </is>
      </c>
      <c r="AG16" s="2" t="inlineStr">
        <is>
          <t>readiness matcher</t>
        </is>
      </c>
      <c r="AH16" s="2" t="n">
        <v>0.2</v>
      </c>
      <c r="AI16" s="2" t="inlineStr">
        <is>
          <t>no</t>
        </is>
      </c>
      <c r="AJ16" s="2" t="inlineStr">
        <is>
          <t>no</t>
        </is>
      </c>
      <c r="AK16" s="2" t="inlineStr">
        <is>
          <t>yes</t>
        </is>
      </c>
      <c r="AL16" s="2" t="inlineStr">
        <is>
          <t>yes</t>
        </is>
      </c>
      <c r="AM16" s="2" t="n"/>
      <c r="AN16" s="2" t="n"/>
      <c r="AO16" s="2" t="n"/>
      <c r="AP16" s="2" t="inlineStr">
        <is>
          <t>v3_2026-03-19</t>
        </is>
      </c>
    </row>
    <row r="17" ht="135" customHeight="1" s="10">
      <c r="A17" s="2" t="inlineStr">
        <is>
          <t>Q04_A</t>
        </is>
      </c>
      <c r="B17" s="2" t="n">
        <v>4</v>
      </c>
      <c r="C17" s="2" t="n">
        <v>4</v>
      </c>
      <c r="D17" s="2" t="inlineStr">
        <is>
          <t>Core</t>
        </is>
      </c>
      <c r="E17" s="2" t="n">
        <v>1</v>
      </c>
      <c r="F17" s="2" t="inlineStr">
        <is>
          <t>CommunicationHealth</t>
        </is>
      </c>
      <c r="G17" s="2" t="inlineStr">
        <is>
          <t>EmotionalNeeds</t>
        </is>
      </c>
      <c r="H17" s="2" t="inlineStr">
        <is>
          <t>You're starting to notice some red flags. Nothing explosive, just little things that don't sit right. What do you do with that feeling?</t>
        </is>
      </c>
      <c r="I17" s="2" t="inlineStr">
        <is>
          <t>A</t>
        </is>
      </c>
      <c r="J17" s="2" t="inlineStr">
        <is>
          <t>A</t>
        </is>
      </c>
      <c r="K17" s="2" t="inlineStr">
        <is>
          <t>I keep watching. I've learned not to bring things up too early. People need time to reveal themselves.</t>
        </is>
      </c>
      <c r="L17" s="2" t="n">
        <v>7</v>
      </c>
      <c r="M17" s="2" t="n">
        <v>8</v>
      </c>
      <c r="N17" s="2" t="n">
        <v>6</v>
      </c>
      <c r="O17" s="2" t="n">
        <v>6</v>
      </c>
      <c r="P17" s="2" t="n">
        <v>6</v>
      </c>
      <c r="Q17" s="2" t="inlineStr">
        <is>
          <t>Analyzer</t>
        </is>
      </c>
      <c r="R17" s="2" t="n">
        <v>2</v>
      </c>
      <c r="S17" s="2" t="n"/>
      <c r="T17" s="2" t="n"/>
      <c r="U17" s="2" t="n">
        <v>0</v>
      </c>
      <c r="V17" s="2" t="inlineStr">
        <is>
          <t>masc:1.4;fem:0.1</t>
        </is>
      </c>
      <c r="W17" s="2" t="n">
        <v>1.4</v>
      </c>
      <c r="X17" s="2" t="n">
        <v>0.1</v>
      </c>
      <c r="Y17" s="2" t="inlineStr">
        <is>
          <t>COMM_Logical</t>
        </is>
      </c>
      <c r="Z17" s="2" t="inlineStr">
        <is>
          <t>REG_SelfSoother</t>
        </is>
      </c>
      <c r="AA17" s="2" t="inlineStr">
        <is>
          <t>LANG_Service</t>
        </is>
      </c>
      <c r="AB17" s="2" t="n"/>
      <c r="AC17" s="2" t="n"/>
      <c r="AD17" s="2" t="n"/>
      <c r="AE17" s="2" t="n">
        <v>0</v>
      </c>
      <c r="AF17" s="2" t="inlineStr">
        <is>
          <t>silent observation</t>
        </is>
      </c>
      <c r="AG17" s="2" t="inlineStr">
        <is>
          <t>patient tracker</t>
        </is>
      </c>
      <c r="AH17" s="2" t="n">
        <v>1.2</v>
      </c>
      <c r="AI17" s="2" t="inlineStr">
        <is>
          <t>no</t>
        </is>
      </c>
      <c r="AJ17" s="2" t="inlineStr">
        <is>
          <t>no</t>
        </is>
      </c>
      <c r="AK17" s="2" t="inlineStr">
        <is>
          <t>yes</t>
        </is>
      </c>
      <c r="AL17" s="2" t="inlineStr">
        <is>
          <t>yes</t>
        </is>
      </c>
      <c r="AM17" s="2" t="n"/>
      <c r="AN17" s="2" t="n"/>
      <c r="AO17" s="2" t="n"/>
      <c r="AP17" s="2" t="inlineStr">
        <is>
          <t>v3_2026-03-19</t>
        </is>
      </c>
    </row>
    <row r="18" ht="121.5" customHeight="1" s="10">
      <c r="A18" s="2" t="inlineStr">
        <is>
          <t>Q04_B</t>
        </is>
      </c>
      <c r="B18" s="2" t="n">
        <v>4</v>
      </c>
      <c r="C18" s="2" t="n">
        <v>4</v>
      </c>
      <c r="D18" s="2" t="inlineStr">
        <is>
          <t>Core</t>
        </is>
      </c>
      <c r="E18" s="2" t="n">
        <v>1</v>
      </c>
      <c r="F18" s="2" t="inlineStr">
        <is>
          <t>CommunicationHealth</t>
        </is>
      </c>
      <c r="G18" s="2" t="inlineStr">
        <is>
          <t>EmotionalNeeds</t>
        </is>
      </c>
      <c r="H18" s="2" t="n"/>
      <c r="I18" s="2" t="inlineStr">
        <is>
          <t>B</t>
        </is>
      </c>
      <c r="J18" s="2" t="inlineStr">
        <is>
          <t>B</t>
        </is>
      </c>
      <c r="K18" s="2" t="inlineStr">
        <is>
          <t>I ignore it at first. I don't want to ruin a good thing by overthinking. Sometimes I just want it to stay good for a little while.</t>
        </is>
      </c>
      <c r="L18" s="2" t="n">
        <v>5</v>
      </c>
      <c r="M18" s="2" t="n">
        <v>6</v>
      </c>
      <c r="N18" s="2" t="n">
        <v>2</v>
      </c>
      <c r="O18" s="2" t="n">
        <v>2</v>
      </c>
      <c r="P18" s="2" t="n">
        <v>0</v>
      </c>
      <c r="Q18" s="2" t="inlineStr">
        <is>
          <t>Romantic Idealist</t>
        </is>
      </c>
      <c r="R18" s="2" t="n">
        <v>6</v>
      </c>
      <c r="S18" s="2" t="n"/>
      <c r="T18" s="2" t="n"/>
      <c r="U18" s="2" t="n">
        <v>0</v>
      </c>
      <c r="V18" s="2" t="inlineStr">
        <is>
          <t>masc:-0.4;fem:1.5</t>
        </is>
      </c>
      <c r="W18" s="2" t="n">
        <v>-0.4</v>
      </c>
      <c r="X18" s="2" t="n">
        <v>1.5</v>
      </c>
      <c r="Y18" s="2" t="inlineStr">
        <is>
          <t>COMM_Emotional</t>
        </is>
      </c>
      <c r="Z18" s="2" t="inlineStr">
        <is>
          <t>REG_Distractor</t>
        </is>
      </c>
      <c r="AA18" s="2" t="inlineStr">
        <is>
          <t>LANG_Gifts</t>
        </is>
      </c>
      <c r="AB18" s="2" t="inlineStr">
        <is>
          <t>Commitment_Ambiguity</t>
        </is>
      </c>
      <c r="AC18" s="2" t="inlineStr">
        <is>
          <t>Commitment_Ambiguity</t>
        </is>
      </c>
      <c r="AD18" s="2" t="n"/>
      <c r="AE18" s="2" t="n">
        <v>5</v>
      </c>
      <c r="AF18" s="2" t="inlineStr">
        <is>
          <t>optimism over caution</t>
        </is>
      </c>
      <c r="AG18" s="2" t="inlineStr">
        <is>
          <t>avoidant hope</t>
        </is>
      </c>
      <c r="AH18" s="2" t="n">
        <v>0.6</v>
      </c>
      <c r="AI18" s="2" t="inlineStr">
        <is>
          <t>yes</t>
        </is>
      </c>
      <c r="AJ18" s="2" t="inlineStr">
        <is>
          <t>no</t>
        </is>
      </c>
      <c r="AK18" s="2" t="inlineStr">
        <is>
          <t>yes</t>
        </is>
      </c>
      <c r="AL18" s="2" t="inlineStr">
        <is>
          <t>yes</t>
        </is>
      </c>
      <c r="AM18" s="2" t="n"/>
      <c r="AN18" s="2" t="n"/>
      <c r="AO18" s="2" t="n"/>
      <c r="AP18" s="2" t="inlineStr">
        <is>
          <t>v3_2026-03-19</t>
        </is>
      </c>
    </row>
    <row r="19" ht="81" customHeight="1" s="10">
      <c r="A19" s="2" t="inlineStr">
        <is>
          <t>Q04_C</t>
        </is>
      </c>
      <c r="B19" s="2" t="n">
        <v>4</v>
      </c>
      <c r="C19" s="2" t="n">
        <v>4</v>
      </c>
      <c r="D19" s="2" t="inlineStr">
        <is>
          <t>Core</t>
        </is>
      </c>
      <c r="E19" s="2" t="n">
        <v>1</v>
      </c>
      <c r="F19" s="2" t="inlineStr">
        <is>
          <t>CommunicationHealth</t>
        </is>
      </c>
      <c r="G19" s="2" t="inlineStr">
        <is>
          <t>EmotionalNeeds</t>
        </is>
      </c>
      <c r="H19" s="2" t="n"/>
      <c r="I19" s="2" t="inlineStr">
        <is>
          <t>C</t>
        </is>
      </c>
      <c r="J19" s="2" t="inlineStr">
        <is>
          <t>C</t>
        </is>
      </c>
      <c r="K19" s="2" t="inlineStr">
        <is>
          <t>I call it out. I just say what I see. I'd rather know now than waste time.</t>
        </is>
      </c>
      <c r="L19" s="2" t="n">
        <v>10</v>
      </c>
      <c r="M19" s="2" t="n">
        <v>10</v>
      </c>
      <c r="N19" s="2" t="n">
        <v>10</v>
      </c>
      <c r="O19" s="2" t="n">
        <v>10</v>
      </c>
      <c r="P19" s="2" t="n">
        <v>10</v>
      </c>
      <c r="Q19" s="2" t="inlineStr">
        <is>
          <t>Regulated Grown-Up</t>
        </is>
      </c>
      <c r="R19" s="2" t="n">
        <v>9</v>
      </c>
      <c r="S19" s="2" t="n"/>
      <c r="T19" s="2" t="n"/>
      <c r="U19" s="2" t="n">
        <v>0</v>
      </c>
      <c r="V19" s="2" t="inlineStr">
        <is>
          <t>masc:1.1;fem:0.9</t>
        </is>
      </c>
      <c r="W19" s="2" t="n">
        <v>1.1</v>
      </c>
      <c r="X19" s="2" t="n">
        <v>0.9</v>
      </c>
      <c r="Y19" s="2" t="inlineStr">
        <is>
          <t>COMM_Direct</t>
        </is>
      </c>
      <c r="Z19" s="2" t="inlineStr">
        <is>
          <t>REG_CoRegulator</t>
        </is>
      </c>
      <c r="AA19" s="2" t="inlineStr">
        <is>
          <t>LANG_Words</t>
        </is>
      </c>
      <c r="AB19" s="2" t="n"/>
      <c r="AC19" s="2" t="n"/>
      <c r="AD19" s="2" t="n"/>
      <c r="AE19" s="2" t="n">
        <v>0</v>
      </c>
      <c r="AF19" s="2" t="inlineStr">
        <is>
          <t>early clarity</t>
        </is>
      </c>
      <c r="AG19" s="2" t="inlineStr">
        <is>
          <t>straight talker</t>
        </is>
      </c>
      <c r="AH19" s="2" t="n">
        <v>0</v>
      </c>
      <c r="AI19" s="2" t="inlineStr">
        <is>
          <t>no</t>
        </is>
      </c>
      <c r="AJ19" s="2" t="inlineStr">
        <is>
          <t>no</t>
        </is>
      </c>
      <c r="AK19" s="2" t="inlineStr">
        <is>
          <t>yes</t>
        </is>
      </c>
      <c r="AL19" s="2" t="inlineStr">
        <is>
          <t>yes</t>
        </is>
      </c>
      <c r="AM19" s="2" t="n"/>
      <c r="AN19" s="2" t="n"/>
      <c r="AO19" s="2" t="n"/>
      <c r="AP19" s="2" t="inlineStr">
        <is>
          <t>v3_2026-03-19</t>
        </is>
      </c>
    </row>
    <row r="20" ht="121.5" customHeight="1" s="10">
      <c r="A20" s="2" t="inlineStr">
        <is>
          <t>Q04_D</t>
        </is>
      </c>
      <c r="B20" s="2" t="n">
        <v>4</v>
      </c>
      <c r="C20" s="2" t="n">
        <v>4</v>
      </c>
      <c r="D20" s="2" t="inlineStr">
        <is>
          <t>Core</t>
        </is>
      </c>
      <c r="E20" s="2" t="n">
        <v>1</v>
      </c>
      <c r="F20" s="2" t="inlineStr">
        <is>
          <t>CommunicationHealth</t>
        </is>
      </c>
      <c r="G20" s="2" t="inlineStr">
        <is>
          <t>EmotionalNeeds</t>
        </is>
      </c>
      <c r="H20" s="2" t="n"/>
      <c r="I20" s="2" t="inlineStr">
        <is>
          <t>D</t>
        </is>
      </c>
      <c r="J20" s="2" t="inlineStr">
        <is>
          <t>D</t>
        </is>
      </c>
      <c r="K20" s="2" t="inlineStr">
        <is>
          <t>I tell myself I'm just being too picky or expecting too much. So I wait. I just stop texting first and start holding back.</t>
        </is>
      </c>
      <c r="L20" s="2" t="n">
        <v>4</v>
      </c>
      <c r="M20" s="2" t="n">
        <v>5</v>
      </c>
      <c r="N20" s="2" t="n">
        <v>0</v>
      </c>
      <c r="O20" s="2" t="n">
        <v>2</v>
      </c>
      <c r="P20" s="2" t="n">
        <v>0</v>
      </c>
      <c r="Q20" s="2" t="inlineStr">
        <is>
          <t>Phantom Seeker</t>
        </is>
      </c>
      <c r="R20" s="2" t="n">
        <v>10</v>
      </c>
      <c r="S20" s="2" t="n"/>
      <c r="T20" s="2" t="n"/>
      <c r="U20" s="2" t="n">
        <v>0</v>
      </c>
      <c r="V20" s="2" t="inlineStr">
        <is>
          <t>masc:-0.2;fem:1.5</t>
        </is>
      </c>
      <c r="W20" s="2" t="n">
        <v>-0.2</v>
      </c>
      <c r="X20" s="2" t="n">
        <v>1.5</v>
      </c>
      <c r="Y20" s="2" t="inlineStr">
        <is>
          <t>COMM_Emotional</t>
        </is>
      </c>
      <c r="Z20" s="2" t="inlineStr">
        <is>
          <t>REG_SelfSoother</t>
        </is>
      </c>
      <c r="AA20" s="2" t="inlineStr">
        <is>
          <t>LANG_Touch</t>
        </is>
      </c>
      <c r="AB20" s="2" t="inlineStr">
        <is>
          <t>Commitment_Ambiguity</t>
        </is>
      </c>
      <c r="AC20" s="2" t="inlineStr">
        <is>
          <t>Commitment_Ambiguity</t>
        </is>
      </c>
      <c r="AD20" s="2" t="n"/>
      <c r="AE20" s="2" t="n">
        <v>5</v>
      </c>
      <c r="AF20" s="2" t="inlineStr">
        <is>
          <t>self-doubt delay</t>
        </is>
      </c>
      <c r="AG20" s="2" t="inlineStr">
        <is>
          <t>pullback protector</t>
        </is>
      </c>
      <c r="AH20" s="2" t="n">
        <v>0.6</v>
      </c>
      <c r="AI20" s="2" t="inlineStr">
        <is>
          <t>yes</t>
        </is>
      </c>
      <c r="AJ20" s="2" t="inlineStr">
        <is>
          <t>no</t>
        </is>
      </c>
      <c r="AK20" s="2" t="inlineStr">
        <is>
          <t>yes</t>
        </is>
      </c>
      <c r="AL20" s="2" t="inlineStr">
        <is>
          <t>yes</t>
        </is>
      </c>
      <c r="AM20" s="2" t="n"/>
      <c r="AN20" s="2" t="n"/>
      <c r="AO20" s="2" t="n"/>
      <c r="AP20" s="2" t="inlineStr">
        <is>
          <t>v3_2026-03-19</t>
        </is>
      </c>
    </row>
    <row r="21" ht="162" customHeight="1" s="10">
      <c r="A21" s="2" t="inlineStr">
        <is>
          <t>Q04_E</t>
        </is>
      </c>
      <c r="B21" s="2" t="n">
        <v>4</v>
      </c>
      <c r="C21" s="2" t="n">
        <v>4</v>
      </c>
      <c r="D21" s="2" t="inlineStr">
        <is>
          <t>Core</t>
        </is>
      </c>
      <c r="E21" s="2" t="n">
        <v>1</v>
      </c>
      <c r="F21" s="2" t="inlineStr">
        <is>
          <t>CommunicationHealth</t>
        </is>
      </c>
      <c r="G21" s="2" t="inlineStr">
        <is>
          <t>EmotionalNeeds</t>
        </is>
      </c>
      <c r="H21" s="2" t="n"/>
      <c r="I21" s="2" t="inlineStr">
        <is>
          <t>E</t>
        </is>
      </c>
      <c r="J21" s="2" t="inlineStr">
        <is>
          <t>E</t>
        </is>
      </c>
      <c r="K21" s="2" t="inlineStr">
        <is>
          <t>I've learned not to announce when I'm done, I just leave when I'm sure. I downplay it out loud, but mentally I start planning my exit.</t>
        </is>
      </c>
      <c r="L21" s="2" t="n">
        <v>8</v>
      </c>
      <c r="M21" s="2" t="n">
        <v>8</v>
      </c>
      <c r="N21" s="2" t="n">
        <v>4</v>
      </c>
      <c r="O21" s="2" t="n">
        <v>4</v>
      </c>
      <c r="P21" s="2" t="n">
        <v>0</v>
      </c>
      <c r="Q21" s="2" t="inlineStr">
        <is>
          <t>Quiet Exit</t>
        </is>
      </c>
      <c r="R21" s="2" t="n">
        <v>4</v>
      </c>
      <c r="S21" s="2" t="n"/>
      <c r="T21" s="2" t="n"/>
      <c r="U21" s="2" t="n">
        <v>0</v>
      </c>
      <c r="V21" s="2" t="inlineStr">
        <is>
          <t>masc:1.4;fem:-1.3</t>
        </is>
      </c>
      <c r="W21" s="2" t="n">
        <v>1.4</v>
      </c>
      <c r="X21" s="2" t="n">
        <v>-1.3</v>
      </c>
      <c r="Y21" s="2" t="inlineStr">
        <is>
          <t>COMM_Avoidant</t>
        </is>
      </c>
      <c r="Z21" s="2" t="inlineStr">
        <is>
          <t>REG_Suppressor</t>
        </is>
      </c>
      <c r="AA21" s="2" t="inlineStr">
        <is>
          <t>LANG_Time</t>
        </is>
      </c>
      <c r="AB21" s="2" t="n"/>
      <c r="AC21" s="2" t="n"/>
      <c r="AD21" s="2" t="n"/>
      <c r="AE21" s="2" t="n">
        <v>0</v>
      </c>
      <c r="AF21" s="2" t="inlineStr">
        <is>
          <t>silent exit plan</t>
        </is>
      </c>
      <c r="AG21" s="2" t="inlineStr">
        <is>
          <t>strategic withdrawer</t>
        </is>
      </c>
      <c r="AH21" s="2" t="n">
        <v>1.2</v>
      </c>
      <c r="AI21" s="2" t="inlineStr">
        <is>
          <t>no</t>
        </is>
      </c>
      <c r="AJ21" s="2" t="inlineStr">
        <is>
          <t>no</t>
        </is>
      </c>
      <c r="AK21" s="2" t="inlineStr">
        <is>
          <t>yes</t>
        </is>
      </c>
      <c r="AL21" s="2" t="inlineStr">
        <is>
          <t>yes</t>
        </is>
      </c>
      <c r="AM21" s="2" t="n"/>
      <c r="AN21" s="2" t="n"/>
      <c r="AO21" s="2" t="n"/>
      <c r="AP21" s="2" t="inlineStr">
        <is>
          <t>v3_2026-03-19</t>
        </is>
      </c>
    </row>
    <row r="22" ht="175.5" customHeight="1" s="10">
      <c r="A22" s="2" t="inlineStr">
        <is>
          <t>Q05_A</t>
        </is>
      </c>
      <c r="B22" s="2" t="n">
        <v>5</v>
      </c>
      <c r="C22" s="2" t="n">
        <v>5</v>
      </c>
      <c r="D22" s="2" t="inlineStr">
        <is>
          <t>Core</t>
        </is>
      </c>
      <c r="E22" s="2" t="n">
        <v>1</v>
      </c>
      <c r="F22" s="2" t="inlineStr">
        <is>
          <t>CommunicationHealth</t>
        </is>
      </c>
      <c r="G22" s="2" t="inlineStr">
        <is>
          <t>EmotionalNeeds</t>
        </is>
      </c>
      <c r="H22" s="2" t="inlineStr">
        <is>
          <t>You open up about something personal. They listen, but they don't really respond or say much. How do you take that?</t>
        </is>
      </c>
      <c r="I22" s="2" t="inlineStr">
        <is>
          <t>A</t>
        </is>
      </c>
      <c r="J22" s="2" t="inlineStr">
        <is>
          <t>A</t>
        </is>
      </c>
      <c r="K22" s="2" t="inlineStr">
        <is>
          <t>I don't expect much from people emotionally. I just log it as "noted" and move on. No point getting deep with someone who doesn't meet you there.</t>
        </is>
      </c>
      <c r="L22" s="2" t="n">
        <v>4</v>
      </c>
      <c r="M22" s="2" t="n">
        <v>5</v>
      </c>
      <c r="N22" s="2" t="n">
        <v>0</v>
      </c>
      <c r="O22" s="2" t="n">
        <v>0</v>
      </c>
      <c r="P22" s="2" t="n">
        <v>0</v>
      </c>
      <c r="Q22" s="2" t="inlineStr">
        <is>
          <t>Icebox</t>
        </is>
      </c>
      <c r="R22" s="2" t="n">
        <v>1</v>
      </c>
      <c r="S22" s="2" t="n"/>
      <c r="T22" s="2" t="n"/>
      <c r="U22" s="2" t="n">
        <v>0</v>
      </c>
      <c r="V22" s="2" t="inlineStr">
        <is>
          <t>masc:1.8;fem:-1.6</t>
        </is>
      </c>
      <c r="W22" s="2" t="n">
        <v>1.8</v>
      </c>
      <c r="X22" s="2" t="n">
        <v>-1.6</v>
      </c>
      <c r="Y22" s="2" t="inlineStr">
        <is>
          <t>COMM_Avoidant</t>
        </is>
      </c>
      <c r="Z22" s="2" t="inlineStr">
        <is>
          <t>REG_Suppressor</t>
        </is>
      </c>
      <c r="AA22" s="2" t="inlineStr">
        <is>
          <t>LANG_Time</t>
        </is>
      </c>
      <c r="AB22" s="2" t="inlineStr">
        <is>
          <t>Scorekeeping_Echo , Vulnerability_Loop</t>
        </is>
      </c>
      <c r="AC22" s="2" t="inlineStr">
        <is>
          <t>Scorekeeping_Echo</t>
        </is>
      </c>
      <c r="AD22" s="2" t="inlineStr">
        <is>
          <t>Vulnerability_Loop</t>
        </is>
      </c>
      <c r="AE22" s="2" t="n">
        <v>13</v>
      </c>
      <c r="AF22" s="2" t="inlineStr">
        <is>
          <t>low expectation logging</t>
        </is>
      </c>
      <c r="AG22" s="2" t="inlineStr">
        <is>
          <t>cool detacher</t>
        </is>
      </c>
      <c r="AH22" s="2" t="n">
        <v>0.6</v>
      </c>
      <c r="AI22" s="2" t="inlineStr">
        <is>
          <t>yes</t>
        </is>
      </c>
      <c r="AJ22" s="2" t="inlineStr">
        <is>
          <t>no</t>
        </is>
      </c>
      <c r="AK22" s="2" t="inlineStr">
        <is>
          <t>yes</t>
        </is>
      </c>
      <c r="AL22" s="2" t="inlineStr">
        <is>
          <t>yes</t>
        </is>
      </c>
      <c r="AM22" s="2" t="n"/>
      <c r="AN22" s="2" t="n"/>
      <c r="AO22" s="2" t="n"/>
      <c r="AP22" s="2" t="inlineStr">
        <is>
          <t>v3_2026-03-19</t>
        </is>
      </c>
    </row>
    <row r="23" ht="135" customHeight="1" s="10">
      <c r="A23" s="2" t="inlineStr">
        <is>
          <t>Q05_B</t>
        </is>
      </c>
      <c r="B23" s="2" t="n">
        <v>5</v>
      </c>
      <c r="C23" s="2" t="n">
        <v>5</v>
      </c>
      <c r="D23" s="2" t="inlineStr">
        <is>
          <t>Core</t>
        </is>
      </c>
      <c r="E23" s="2" t="n">
        <v>1</v>
      </c>
      <c r="F23" s="2" t="inlineStr">
        <is>
          <t>CommunicationHealth</t>
        </is>
      </c>
      <c r="G23" s="2" t="inlineStr">
        <is>
          <t>EmotionalNeeds</t>
        </is>
      </c>
      <c r="H23" s="2" t="n"/>
      <c r="I23" s="2" t="inlineStr">
        <is>
          <t>B</t>
        </is>
      </c>
      <c r="J23" s="2" t="inlineStr">
        <is>
          <t>B</t>
        </is>
      </c>
      <c r="K23" s="2" t="inlineStr">
        <is>
          <t>I brush it off, but I don't forget it. Stuff like that reminds me who's safe and who just wants the easy version of me.</t>
        </is>
      </c>
      <c r="L23" s="2" t="n">
        <v>6</v>
      </c>
      <c r="M23" s="2" t="n">
        <v>7</v>
      </c>
      <c r="N23" s="2" t="n">
        <v>4</v>
      </c>
      <c r="O23" s="2" t="n">
        <v>6</v>
      </c>
      <c r="P23" s="2" t="n">
        <v>6</v>
      </c>
      <c r="Q23" s="2" t="inlineStr">
        <is>
          <t>Survivor</t>
        </is>
      </c>
      <c r="R23" s="2" t="n">
        <v>8</v>
      </c>
      <c r="S23" s="2" t="n"/>
      <c r="T23" s="2" t="n"/>
      <c r="U23" s="2" t="n">
        <v>0</v>
      </c>
      <c r="V23" s="2" t="inlineStr">
        <is>
          <t>masc:0.3;fem:1.3</t>
        </is>
      </c>
      <c r="W23" s="2" t="n">
        <v>0.3</v>
      </c>
      <c r="X23" s="2" t="n">
        <v>1.3</v>
      </c>
      <c r="Y23" s="2" t="inlineStr">
        <is>
          <t>COMM_Emotional</t>
        </is>
      </c>
      <c r="Z23" s="2" t="inlineStr">
        <is>
          <t>REG_SelfSoother</t>
        </is>
      </c>
      <c r="AA23" s="2" t="inlineStr">
        <is>
          <t>LANG_Service</t>
        </is>
      </c>
      <c r="AB23" s="2" t="n"/>
      <c r="AC23" s="2" t="n"/>
      <c r="AD23" s="2" t="n"/>
      <c r="AE23" s="2" t="n">
        <v>0</v>
      </c>
      <c r="AF23" s="2" t="inlineStr">
        <is>
          <t>guarded memory</t>
        </is>
      </c>
      <c r="AG23" s="2" t="inlineStr">
        <is>
          <t>loyalty filter</t>
        </is>
      </c>
      <c r="AH23" s="2" t="n">
        <v>0</v>
      </c>
      <c r="AI23" s="2" t="inlineStr">
        <is>
          <t>no</t>
        </is>
      </c>
      <c r="AJ23" s="2" t="inlineStr">
        <is>
          <t>no</t>
        </is>
      </c>
      <c r="AK23" s="2" t="inlineStr">
        <is>
          <t>yes</t>
        </is>
      </c>
      <c r="AL23" s="2" t="inlineStr">
        <is>
          <t>yes</t>
        </is>
      </c>
      <c r="AM23" s="2" t="n"/>
      <c r="AN23" s="2" t="n"/>
      <c r="AO23" s="2" t="n"/>
      <c r="AP23" s="2" t="inlineStr">
        <is>
          <t>v3_2026-03-19</t>
        </is>
      </c>
    </row>
    <row r="24" ht="148.5" customHeight="1" s="10">
      <c r="A24" s="2" t="inlineStr">
        <is>
          <t>Q05_C</t>
        </is>
      </c>
      <c r="B24" s="2" t="n">
        <v>5</v>
      </c>
      <c r="C24" s="2" t="n">
        <v>5</v>
      </c>
      <c r="D24" s="2" t="inlineStr">
        <is>
          <t>Core</t>
        </is>
      </c>
      <c r="E24" s="2" t="n">
        <v>1</v>
      </c>
      <c r="F24" s="2" t="inlineStr">
        <is>
          <t>CommunicationHealth</t>
        </is>
      </c>
      <c r="G24" s="2" t="inlineStr">
        <is>
          <t>EmotionalNeeds</t>
        </is>
      </c>
      <c r="H24" s="2" t="n"/>
      <c r="I24" s="2" t="inlineStr">
        <is>
          <t>C</t>
        </is>
      </c>
      <c r="J24" s="2" t="inlineStr">
        <is>
          <t>C</t>
        </is>
      </c>
      <c r="K24" s="2" t="inlineStr">
        <is>
          <t>I try to explain again, maybe they didn't get it. And if they still don't? I stop showing that side to someone who doesn't see me.</t>
        </is>
      </c>
      <c r="L24" s="2" t="n">
        <v>8</v>
      </c>
      <c r="M24" s="2" t="n">
        <v>9</v>
      </c>
      <c r="N24" s="2" t="n">
        <v>8</v>
      </c>
      <c r="O24" s="2" t="n">
        <v>10</v>
      </c>
      <c r="P24" s="2" t="n">
        <v>8</v>
      </c>
      <c r="Q24" s="2" t="inlineStr">
        <is>
          <t>Fixer</t>
        </is>
      </c>
      <c r="R24" s="2" t="n">
        <v>5</v>
      </c>
      <c r="S24" s="2" t="n"/>
      <c r="T24" s="2" t="n"/>
      <c r="U24" s="2" t="n">
        <v>0</v>
      </c>
      <c r="V24" s="2" t="inlineStr">
        <is>
          <t>masc:-0.4;fem:2.0</t>
        </is>
      </c>
      <c r="W24" s="2" t="n">
        <v>-0.4</v>
      </c>
      <c r="X24" s="2" t="n">
        <v>2</v>
      </c>
      <c r="Y24" s="2" t="inlineStr">
        <is>
          <t>COMM_Emotional</t>
        </is>
      </c>
      <c r="Z24" s="2" t="inlineStr">
        <is>
          <t>REG_CoRegulator</t>
        </is>
      </c>
      <c r="AA24" s="2" t="inlineStr">
        <is>
          <t>LANG_Service</t>
        </is>
      </c>
      <c r="AB24" s="2" t="n"/>
      <c r="AC24" s="2" t="n"/>
      <c r="AD24" s="2" t="n"/>
      <c r="AE24" s="2" t="n">
        <v>0</v>
      </c>
      <c r="AF24" s="2" t="inlineStr">
        <is>
          <t>repair attempt</t>
        </is>
      </c>
      <c r="AG24" s="2" t="inlineStr">
        <is>
          <t>persistent helper</t>
        </is>
      </c>
      <c r="AH24" s="2" t="n">
        <v>0</v>
      </c>
      <c r="AI24" s="2" t="inlineStr">
        <is>
          <t>no</t>
        </is>
      </c>
      <c r="AJ24" s="2" t="inlineStr">
        <is>
          <t>no</t>
        </is>
      </c>
      <c r="AK24" s="2" t="inlineStr">
        <is>
          <t>yes</t>
        </is>
      </c>
      <c r="AL24" s="2" t="inlineStr">
        <is>
          <t>yes</t>
        </is>
      </c>
      <c r="AM24" s="2" t="n"/>
      <c r="AN24" s="2" t="n"/>
      <c r="AO24" s="2" t="n"/>
      <c r="AP24" s="2" t="inlineStr">
        <is>
          <t>v3_2026-03-19</t>
        </is>
      </c>
    </row>
    <row r="25" ht="162" customHeight="1" s="10">
      <c r="A25" s="2" t="inlineStr">
        <is>
          <t>Q05_D</t>
        </is>
      </c>
      <c r="B25" s="2" t="n">
        <v>5</v>
      </c>
      <c r="C25" s="2" t="n">
        <v>5</v>
      </c>
      <c r="D25" s="2" t="inlineStr">
        <is>
          <t>Core</t>
        </is>
      </c>
      <c r="E25" s="2" t="n">
        <v>1</v>
      </c>
      <c r="F25" s="2" t="inlineStr">
        <is>
          <t>CommunicationHealth</t>
        </is>
      </c>
      <c r="G25" s="2" t="inlineStr">
        <is>
          <t>EmotionalNeeds</t>
        </is>
      </c>
      <c r="H25" s="2" t="n"/>
      <c r="I25" s="2" t="inlineStr">
        <is>
          <t>D</t>
        </is>
      </c>
      <c r="J25" s="2" t="inlineStr">
        <is>
          <t>D</t>
        </is>
      </c>
      <c r="K25" s="2" t="inlineStr">
        <is>
          <t>I keep it smooth, but I notice the shift. Makes me rethink what I share next time, it's easier to just stay surface when people don't respond.</t>
        </is>
      </c>
      <c r="L25" s="2" t="n">
        <v>5</v>
      </c>
      <c r="M25" s="2" t="n">
        <v>6</v>
      </c>
      <c r="N25" s="2" t="n">
        <v>0</v>
      </c>
      <c r="O25" s="2" t="n">
        <v>2</v>
      </c>
      <c r="P25" s="2" t="n">
        <v>0</v>
      </c>
      <c r="Q25" s="2" t="inlineStr">
        <is>
          <t>Performer</t>
        </is>
      </c>
      <c r="R25" s="2" t="n">
        <v>7</v>
      </c>
      <c r="S25" s="2" t="n"/>
      <c r="T25" s="2" t="n"/>
      <c r="U25" s="2" t="n">
        <v>0</v>
      </c>
      <c r="V25" s="2" t="inlineStr">
        <is>
          <t>masc:0.3;fem:0.5</t>
        </is>
      </c>
      <c r="W25" s="2" t="n">
        <v>0.3</v>
      </c>
      <c r="X25" s="2" t="n">
        <v>0.5</v>
      </c>
      <c r="Y25" s="2" t="inlineStr">
        <is>
          <t>COMM_Indirect</t>
        </is>
      </c>
      <c r="Z25" s="2" t="inlineStr">
        <is>
          <t>REG_Distractor</t>
        </is>
      </c>
      <c r="AA25" s="2" t="inlineStr">
        <is>
          <t>LANG_Gifts</t>
        </is>
      </c>
      <c r="AB25" s="2" t="inlineStr">
        <is>
          <t>Public_Private_Split , Conflict_Flip</t>
        </is>
      </c>
      <c r="AC25" s="2" t="inlineStr">
        <is>
          <t>Public_Private_Split</t>
        </is>
      </c>
      <c r="AD25" s="2" t="inlineStr">
        <is>
          <t>Conflict_Flip</t>
        </is>
      </c>
      <c r="AE25" s="2" t="n">
        <v>8</v>
      </c>
      <c r="AF25" s="2" t="inlineStr">
        <is>
          <t>image-based withdrawal</t>
        </is>
      </c>
      <c r="AG25" s="2" t="inlineStr">
        <is>
          <t>surface masker</t>
        </is>
      </c>
      <c r="AH25" s="2" t="n">
        <v>1.2</v>
      </c>
      <c r="AI25" s="2" t="inlineStr">
        <is>
          <t>yes</t>
        </is>
      </c>
      <c r="AJ25" s="2" t="inlineStr">
        <is>
          <t>no</t>
        </is>
      </c>
      <c r="AK25" s="2" t="inlineStr">
        <is>
          <t>yes</t>
        </is>
      </c>
      <c r="AL25" s="2" t="inlineStr">
        <is>
          <t>yes</t>
        </is>
      </c>
      <c r="AM25" s="2" t="n"/>
      <c r="AN25" s="2" t="n"/>
      <c r="AO25" s="2" t="n"/>
      <c r="AP25" s="2" t="inlineStr">
        <is>
          <t>v3_2026-03-19</t>
        </is>
      </c>
    </row>
    <row r="26" ht="121.5" customHeight="1" s="10">
      <c r="A26" s="2" t="inlineStr">
        <is>
          <t>Q05_E</t>
        </is>
      </c>
      <c r="B26" s="2" t="n">
        <v>5</v>
      </c>
      <c r="C26" s="2" t="n">
        <v>5</v>
      </c>
      <c r="D26" s="2" t="inlineStr">
        <is>
          <t>Core</t>
        </is>
      </c>
      <c r="E26" s="2" t="n">
        <v>1</v>
      </c>
      <c r="F26" s="2" t="inlineStr">
        <is>
          <t>CommunicationHealth</t>
        </is>
      </c>
      <c r="G26" s="2" t="inlineStr">
        <is>
          <t>EmotionalNeeds</t>
        </is>
      </c>
      <c r="H26" s="2" t="n"/>
      <c r="I26" s="2" t="inlineStr">
        <is>
          <t>E</t>
        </is>
      </c>
      <c r="J26" s="2" t="inlineStr">
        <is>
          <t>E</t>
        </is>
      </c>
      <c r="K26" s="2" t="inlineStr">
        <is>
          <t>Silence says a lot. I take note. If they care, it'll show later, if not, I don't open that part of me again.</t>
        </is>
      </c>
      <c r="L26" s="2" t="n">
        <v>9</v>
      </c>
      <c r="M26" s="2" t="n">
        <v>9</v>
      </c>
      <c r="N26" s="2" t="n">
        <v>10</v>
      </c>
      <c r="O26" s="2" t="n">
        <v>10</v>
      </c>
      <c r="P26" s="2" t="n">
        <v>10</v>
      </c>
      <c r="Q26" s="2" t="inlineStr">
        <is>
          <t>Regulated Grown-Up</t>
        </is>
      </c>
      <c r="R26" s="2" t="n">
        <v>9</v>
      </c>
      <c r="S26" s="2" t="n"/>
      <c r="T26" s="2" t="n"/>
      <c r="U26" s="2" t="n">
        <v>0</v>
      </c>
      <c r="V26" s="2" t="inlineStr">
        <is>
          <t>masc:1.1;fem:0.9</t>
        </is>
      </c>
      <c r="W26" s="2" t="n">
        <v>1.1</v>
      </c>
      <c r="X26" s="2" t="n">
        <v>0.9</v>
      </c>
      <c r="Y26" s="2" t="inlineStr">
        <is>
          <t>COMM_Direct</t>
        </is>
      </c>
      <c r="Z26" s="2" t="inlineStr">
        <is>
          <t>REG_CoRegulator</t>
        </is>
      </c>
      <c r="AA26" s="2" t="inlineStr">
        <is>
          <t>LANG_Words</t>
        </is>
      </c>
      <c r="AB26" s="2" t="n"/>
      <c r="AC26" s="2" t="n"/>
      <c r="AD26" s="2" t="n"/>
      <c r="AE26" s="2" t="n">
        <v>0</v>
      </c>
      <c r="AF26" s="2" t="inlineStr">
        <is>
          <t>high awareness</t>
        </is>
      </c>
      <c r="AG26" s="2" t="inlineStr">
        <is>
          <t>calm sentinel</t>
        </is>
      </c>
      <c r="AH26" s="2" t="n">
        <v>0</v>
      </c>
      <c r="AI26" s="2" t="inlineStr">
        <is>
          <t>no</t>
        </is>
      </c>
      <c r="AJ26" s="2" t="inlineStr">
        <is>
          <t>no</t>
        </is>
      </c>
      <c r="AK26" s="2" t="inlineStr">
        <is>
          <t>yes</t>
        </is>
      </c>
      <c r="AL26" s="2" t="inlineStr">
        <is>
          <t>yes</t>
        </is>
      </c>
      <c r="AM26" s="2" t="n"/>
      <c r="AN26" s="2" t="n"/>
      <c r="AO26" s="2" t="n"/>
      <c r="AP26" s="2" t="inlineStr">
        <is>
          <t>v3_2026-03-19</t>
        </is>
      </c>
    </row>
    <row r="27" ht="108" customHeight="1" s="10">
      <c r="A27" s="2" t="inlineStr">
        <is>
          <t>Q06_A</t>
        </is>
      </c>
      <c r="B27" s="2" t="n">
        <v>6</v>
      </c>
      <c r="C27" s="2" t="n">
        <v>6</v>
      </c>
      <c r="D27" s="2" t="inlineStr">
        <is>
          <t>Core</t>
        </is>
      </c>
      <c r="E27" s="2" t="n">
        <v>1</v>
      </c>
      <c r="F27" s="2" t="inlineStr">
        <is>
          <t>CommunicationHealth</t>
        </is>
      </c>
      <c r="G27" s="2" t="inlineStr">
        <is>
          <t>EmotionalNeeds</t>
        </is>
      </c>
      <c r="H27" s="2" t="inlineStr">
        <is>
          <t>Question 6: One day they're into you, then distant the next. How do you handle the mixed signals?</t>
        </is>
      </c>
      <c r="I27" s="2" t="inlineStr">
        <is>
          <t>A</t>
        </is>
      </c>
      <c r="J27" s="2" t="inlineStr">
        <is>
          <t>A</t>
        </is>
      </c>
      <c r="K27" s="2" t="inlineStr">
        <is>
          <t>If you're hot and cold, I'm room temperature and gone. I'm not here to decode moods.</t>
        </is>
      </c>
      <c r="L27" s="2" t="n">
        <v>9</v>
      </c>
      <c r="M27" s="2" t="n">
        <v>9</v>
      </c>
      <c r="N27" s="2" t="n">
        <v>10</v>
      </c>
      <c r="O27" s="2" t="n">
        <v>10</v>
      </c>
      <c r="P27" s="2" t="n">
        <v>10</v>
      </c>
      <c r="Q27" s="2" t="inlineStr">
        <is>
          <t>Regulated Grown-Up</t>
        </is>
      </c>
      <c r="R27" s="2" t="n">
        <v>9</v>
      </c>
      <c r="S27" s="2" t="n"/>
      <c r="T27" s="2" t="n"/>
      <c r="U27" s="2" t="n">
        <v>0</v>
      </c>
      <c r="V27" s="2" t="inlineStr">
        <is>
          <t>masc:1.1;fem:0.9</t>
        </is>
      </c>
      <c r="W27" s="2" t="n">
        <v>1.1</v>
      </c>
      <c r="X27" s="2" t="n">
        <v>0.9</v>
      </c>
      <c r="Y27" s="2" t="inlineStr">
        <is>
          <t>COMM_Direct</t>
        </is>
      </c>
      <c r="Z27" s="2" t="inlineStr">
        <is>
          <t>REG_CoRegulator</t>
        </is>
      </c>
      <c r="AA27" s="2" t="inlineStr">
        <is>
          <t>LANG_Words</t>
        </is>
      </c>
      <c r="AB27" s="2" t="n"/>
      <c r="AC27" s="2" t="n"/>
      <c r="AD27" s="2" t="n"/>
      <c r="AE27" s="2" t="n">
        <v>0</v>
      </c>
      <c r="AF27" s="2" t="inlineStr">
        <is>
          <t>blunt detachment</t>
        </is>
      </c>
      <c r="AG27" s="2" t="inlineStr">
        <is>
          <t>immediate cutoff</t>
        </is>
      </c>
      <c r="AH27" s="2" t="n">
        <v>1.2</v>
      </c>
      <c r="AI27" s="2" t="inlineStr">
        <is>
          <t>no</t>
        </is>
      </c>
      <c r="AJ27" s="2" t="inlineStr">
        <is>
          <t>no</t>
        </is>
      </c>
      <c r="AK27" s="2" t="inlineStr">
        <is>
          <t>yes</t>
        </is>
      </c>
      <c r="AL27" s="2" t="inlineStr">
        <is>
          <t>yes</t>
        </is>
      </c>
      <c r="AM27" s="2" t="n"/>
      <c r="AN27" s="2" t="n"/>
      <c r="AO27" s="2" t="n"/>
      <c r="AP27" s="2" t="inlineStr">
        <is>
          <t>v3_2026-03-19</t>
        </is>
      </c>
    </row>
    <row r="28" ht="175.5" customHeight="1" s="10">
      <c r="A28" s="2" t="inlineStr">
        <is>
          <t>Q06_B</t>
        </is>
      </c>
      <c r="B28" s="2" t="n">
        <v>6</v>
      </c>
      <c r="C28" s="2" t="n">
        <v>6</v>
      </c>
      <c r="D28" s="2" t="inlineStr">
        <is>
          <t>Core</t>
        </is>
      </c>
      <c r="E28" s="2" t="n">
        <v>1</v>
      </c>
      <c r="F28" s="2" t="inlineStr">
        <is>
          <t>CommunicationHealth</t>
        </is>
      </c>
      <c r="G28" s="2" t="inlineStr">
        <is>
          <t>EmotionalNeeds</t>
        </is>
      </c>
      <c r="H28" s="2" t="n"/>
      <c r="I28" s="2" t="inlineStr">
        <is>
          <t>B</t>
        </is>
      </c>
      <c r="J28" s="2" t="inlineStr">
        <is>
          <t>B</t>
        </is>
      </c>
      <c r="K28" s="2" t="inlineStr">
        <is>
          <t>I recheck our last texts. Then I reread mine. Then I wonder if I should've said less, or more. I don't bring it up, but it definitely rewires how I respond.</t>
        </is>
      </c>
      <c r="L28" s="2" t="n">
        <v>5</v>
      </c>
      <c r="M28" s="2" t="n">
        <v>6</v>
      </c>
      <c r="N28" s="2" t="n">
        <v>4</v>
      </c>
      <c r="O28" s="2" t="n">
        <v>4</v>
      </c>
      <c r="P28" s="2" t="n">
        <v>2</v>
      </c>
      <c r="Q28" s="2" t="inlineStr">
        <is>
          <t>Analyzer</t>
        </is>
      </c>
      <c r="R28" s="2" t="n">
        <v>2</v>
      </c>
      <c r="S28" s="2" t="n"/>
      <c r="T28" s="2" t="n"/>
      <c r="U28" s="2" t="n">
        <v>0</v>
      </c>
      <c r="V28" s="2" t="inlineStr">
        <is>
          <t>masc:1.4;fem:0.1</t>
        </is>
      </c>
      <c r="W28" s="2" t="n">
        <v>1.4</v>
      </c>
      <c r="X28" s="2" t="n">
        <v>0.1</v>
      </c>
      <c r="Y28" s="2" t="inlineStr">
        <is>
          <t>COMM_Logical</t>
        </is>
      </c>
      <c r="Z28" s="2" t="inlineStr">
        <is>
          <t>REG_SelfSoother</t>
        </is>
      </c>
      <c r="AA28" s="2" t="inlineStr">
        <is>
          <t>LANG_Service</t>
        </is>
      </c>
      <c r="AB28" s="2" t="inlineStr">
        <is>
          <t>Trust_Tension</t>
        </is>
      </c>
      <c r="AC28" s="2" t="inlineStr">
        <is>
          <t>Trust_Tension</t>
        </is>
      </c>
      <c r="AD28" s="2" t="n"/>
      <c r="AE28" s="2" t="n">
        <v>6</v>
      </c>
      <c r="AF28" s="2" t="inlineStr">
        <is>
          <t>emotional spiral</t>
        </is>
      </c>
      <c r="AG28" s="2" t="inlineStr">
        <is>
          <t>overanalyzer</t>
        </is>
      </c>
      <c r="AH28" s="2" t="n">
        <v>0</v>
      </c>
      <c r="AI28" s="2" t="inlineStr">
        <is>
          <t>yes</t>
        </is>
      </c>
      <c r="AJ28" s="2" t="inlineStr">
        <is>
          <t>no</t>
        </is>
      </c>
      <c r="AK28" s="2" t="inlineStr">
        <is>
          <t>yes</t>
        </is>
      </c>
      <c r="AL28" s="2" t="inlineStr">
        <is>
          <t>yes</t>
        </is>
      </c>
      <c r="AM28" s="2" t="n"/>
      <c r="AN28" s="2" t="n"/>
      <c r="AO28" s="2" t="n"/>
      <c r="AP28" s="2" t="inlineStr">
        <is>
          <t>v3_2026-03-19</t>
        </is>
      </c>
    </row>
    <row r="29" ht="121.5" customHeight="1" s="10">
      <c r="A29" s="2" t="inlineStr">
        <is>
          <t>Q06_C</t>
        </is>
      </c>
      <c r="B29" s="2" t="n">
        <v>6</v>
      </c>
      <c r="C29" s="2" t="n">
        <v>6</v>
      </c>
      <c r="D29" s="2" t="inlineStr">
        <is>
          <t>Core</t>
        </is>
      </c>
      <c r="E29" s="2" t="n">
        <v>1</v>
      </c>
      <c r="F29" s="2" t="inlineStr">
        <is>
          <t>CommunicationHealth</t>
        </is>
      </c>
      <c r="G29" s="2" t="inlineStr">
        <is>
          <t>EmotionalNeeds</t>
        </is>
      </c>
      <c r="H29" s="2" t="n"/>
      <c r="I29" s="2" t="inlineStr">
        <is>
          <t>C</t>
        </is>
      </c>
      <c r="J29" s="2" t="inlineStr">
        <is>
          <t>C</t>
        </is>
      </c>
      <c r="K29" s="2" t="inlineStr">
        <is>
          <t>I back off. They'll either notice or they won't. I'm not chasing people who don't know what they want.</t>
        </is>
      </c>
      <c r="L29" s="2" t="n">
        <v>4</v>
      </c>
      <c r="M29" s="2" t="n">
        <v>5</v>
      </c>
      <c r="N29" s="2" t="n">
        <v>0</v>
      </c>
      <c r="O29" s="2" t="n">
        <v>0</v>
      </c>
      <c r="P29" s="2" t="n">
        <v>0</v>
      </c>
      <c r="Q29" s="2" t="inlineStr">
        <is>
          <t>Icebox</t>
        </is>
      </c>
      <c r="R29" s="2" t="n">
        <v>1</v>
      </c>
      <c r="S29" s="2" t="n"/>
      <c r="T29" s="2" t="n"/>
      <c r="U29" s="2" t="n">
        <v>0</v>
      </c>
      <c r="V29" s="2" t="inlineStr">
        <is>
          <t>masc:1.8;fem:-1.6</t>
        </is>
      </c>
      <c r="W29" s="2" t="n">
        <v>1.8</v>
      </c>
      <c r="X29" s="2" t="n">
        <v>-1.6</v>
      </c>
      <c r="Y29" s="2" t="inlineStr">
        <is>
          <t>COMM_Avoidant</t>
        </is>
      </c>
      <c r="Z29" s="2" t="inlineStr">
        <is>
          <t>REG_Suppressor</t>
        </is>
      </c>
      <c r="AA29" s="2" t="inlineStr">
        <is>
          <t>LANG_Time</t>
        </is>
      </c>
      <c r="AB29" s="2" t="inlineStr">
        <is>
          <t>Vulnerability_Loop</t>
        </is>
      </c>
      <c r="AC29" s="2" t="inlineStr">
        <is>
          <t>Vulnerability_Loop</t>
        </is>
      </c>
      <c r="AD29" s="2" t="n"/>
      <c r="AE29" s="2" t="n">
        <v>5</v>
      </c>
      <c r="AF29" s="2" t="inlineStr">
        <is>
          <t>quiet burn</t>
        </is>
      </c>
      <c r="AG29" s="2" t="inlineStr">
        <is>
          <t>disengaged pullback</t>
        </is>
      </c>
      <c r="AH29" s="2" t="n">
        <v>0.6</v>
      </c>
      <c r="AI29" s="2" t="inlineStr">
        <is>
          <t>yes</t>
        </is>
      </c>
      <c r="AJ29" s="2" t="inlineStr">
        <is>
          <t>no</t>
        </is>
      </c>
      <c r="AK29" s="2" t="inlineStr">
        <is>
          <t>yes</t>
        </is>
      </c>
      <c r="AL29" s="2" t="inlineStr">
        <is>
          <t>yes</t>
        </is>
      </c>
      <c r="AM29" s="2" t="n"/>
      <c r="AN29" s="2" t="n"/>
      <c r="AO29" s="2" t="n"/>
      <c r="AP29" s="2" t="inlineStr">
        <is>
          <t>v3_2026-03-19</t>
        </is>
      </c>
    </row>
    <row r="30" ht="148.5" customHeight="1" s="10">
      <c r="A30" s="2" t="inlineStr">
        <is>
          <t>Q06_D</t>
        </is>
      </c>
      <c r="B30" s="2" t="n">
        <v>6</v>
      </c>
      <c r="C30" s="2" t="n">
        <v>6</v>
      </c>
      <c r="D30" s="2" t="inlineStr">
        <is>
          <t>Core</t>
        </is>
      </c>
      <c r="E30" s="2" t="n">
        <v>1</v>
      </c>
      <c r="F30" s="2" t="inlineStr">
        <is>
          <t>CommunicationHealth</t>
        </is>
      </c>
      <c r="G30" s="2" t="inlineStr">
        <is>
          <t>EmotionalNeeds</t>
        </is>
      </c>
      <c r="H30" s="2" t="n"/>
      <c r="I30" s="2" t="inlineStr">
        <is>
          <t>D</t>
        </is>
      </c>
      <c r="J30" s="2" t="inlineStr">
        <is>
          <t>D</t>
        </is>
      </c>
      <c r="K30" s="2" t="inlineStr">
        <is>
          <t>I stop bringing things up. If they don't want me, I'm not going to beg to be understood. I've played that game before.</t>
        </is>
      </c>
      <c r="L30" s="2" t="n">
        <v>6</v>
      </c>
      <c r="M30" s="2" t="n">
        <v>7</v>
      </c>
      <c r="N30" s="2" t="n">
        <v>4</v>
      </c>
      <c r="O30" s="2" t="n">
        <v>4</v>
      </c>
      <c r="P30" s="2" t="n">
        <v>4</v>
      </c>
      <c r="Q30" s="2" t="inlineStr">
        <is>
          <t>Fixer</t>
        </is>
      </c>
      <c r="R30" s="2" t="n">
        <v>5</v>
      </c>
      <c r="S30" s="2" t="n"/>
      <c r="T30" s="2" t="n"/>
      <c r="U30" s="2" t="n">
        <v>0</v>
      </c>
      <c r="V30" s="2" t="inlineStr">
        <is>
          <t>masc:-0.4;fem:2.0</t>
        </is>
      </c>
      <c r="W30" s="2" t="n">
        <v>-0.4</v>
      </c>
      <c r="X30" s="2" t="n">
        <v>2</v>
      </c>
      <c r="Y30" s="2" t="inlineStr">
        <is>
          <t>COMM_Emotional</t>
        </is>
      </c>
      <c r="Z30" s="2" t="inlineStr">
        <is>
          <t>REG_CoRegulator</t>
        </is>
      </c>
      <c r="AA30" s="2" t="inlineStr">
        <is>
          <t>LANG_Service</t>
        </is>
      </c>
      <c r="AB30" s="2" t="inlineStr">
        <is>
          <t>Affection_Mismatch , Independence_Collision</t>
        </is>
      </c>
      <c r="AC30" s="2" t="inlineStr">
        <is>
          <t>Affection_Mismatch</t>
        </is>
      </c>
      <c r="AD30" s="2" t="inlineStr">
        <is>
          <t>Independence_Collision</t>
        </is>
      </c>
      <c r="AE30" s="2" t="n">
        <v>9</v>
      </c>
      <c r="AF30" s="2" t="inlineStr">
        <is>
          <t>resigned caregiver</t>
        </is>
      </c>
      <c r="AG30" s="2" t="inlineStr">
        <is>
          <t>silent surrender</t>
        </is>
      </c>
      <c r="AH30" s="2" t="n">
        <v>1.2</v>
      </c>
      <c r="AI30" s="2" t="inlineStr">
        <is>
          <t>yes</t>
        </is>
      </c>
      <c r="AJ30" s="2" t="inlineStr">
        <is>
          <t>no</t>
        </is>
      </c>
      <c r="AK30" s="2" t="inlineStr">
        <is>
          <t>yes</t>
        </is>
      </c>
      <c r="AL30" s="2" t="inlineStr">
        <is>
          <t>yes</t>
        </is>
      </c>
      <c r="AM30" s="2" t="n"/>
      <c r="AN30" s="2" t="n"/>
      <c r="AO30" s="2" t="n"/>
      <c r="AP30" s="2" t="inlineStr">
        <is>
          <t>v3_2026-03-19</t>
        </is>
      </c>
    </row>
    <row r="31" ht="135" customHeight="1" s="10">
      <c r="A31" s="2" t="inlineStr">
        <is>
          <t>Q06_E</t>
        </is>
      </c>
      <c r="B31" s="2" t="n">
        <v>6</v>
      </c>
      <c r="C31" s="2" t="n">
        <v>6</v>
      </c>
      <c r="D31" s="2" t="inlineStr">
        <is>
          <t>Core</t>
        </is>
      </c>
      <c r="E31" s="2" t="n">
        <v>1</v>
      </c>
      <c r="F31" s="2" t="inlineStr">
        <is>
          <t>CommunicationHealth</t>
        </is>
      </c>
      <c r="G31" s="2" t="inlineStr">
        <is>
          <t>EmotionalNeeds</t>
        </is>
      </c>
      <c r="H31" s="2" t="n"/>
      <c r="I31" s="2" t="inlineStr">
        <is>
          <t>E</t>
        </is>
      </c>
      <c r="J31" s="2" t="inlineStr">
        <is>
          <t>E</t>
        </is>
      </c>
      <c r="K31" s="2" t="inlineStr">
        <is>
          <t>I tell myself it's probably just stress or a bad week. I don't want to give up too early, but it's hard not to notice when it shifts.</t>
        </is>
      </c>
      <c r="L31" s="2" t="n">
        <v>7</v>
      </c>
      <c r="M31" s="2" t="n">
        <v>8</v>
      </c>
      <c r="N31" s="2" t="n">
        <v>6</v>
      </c>
      <c r="O31" s="2" t="n">
        <v>6</v>
      </c>
      <c r="P31" s="2" t="n">
        <v>4</v>
      </c>
      <c r="Q31" s="2" t="inlineStr">
        <is>
          <t>Romantic Idealist</t>
        </is>
      </c>
      <c r="R31" s="2" t="n">
        <v>6</v>
      </c>
      <c r="S31" s="2" t="n"/>
      <c r="T31" s="2" t="n"/>
      <c r="U31" s="2" t="n">
        <v>0</v>
      </c>
      <c r="V31" s="2" t="inlineStr">
        <is>
          <t>masc:-0.4;fem:1.5</t>
        </is>
      </c>
      <c r="W31" s="2" t="n">
        <v>-0.4</v>
      </c>
      <c r="X31" s="2" t="n">
        <v>1.5</v>
      </c>
      <c r="Y31" s="2" t="inlineStr">
        <is>
          <t>COMM_Emotional</t>
        </is>
      </c>
      <c r="Z31" s="2" t="inlineStr">
        <is>
          <t>REG_Distractor</t>
        </is>
      </c>
      <c r="AA31" s="2" t="inlineStr">
        <is>
          <t>LANG_Gifts</t>
        </is>
      </c>
      <c r="AB31" s="2" t="n"/>
      <c r="AC31" s="2" t="n"/>
      <c r="AD31" s="2" t="n"/>
      <c r="AE31" s="2" t="n">
        <v>0</v>
      </c>
      <c r="AF31" s="2" t="inlineStr">
        <is>
          <t>tired hope</t>
        </is>
      </c>
      <c r="AG31" s="2" t="inlineStr">
        <is>
          <t>cautious optimist</t>
        </is>
      </c>
      <c r="AH31" s="2" t="n">
        <v>0</v>
      </c>
      <c r="AI31" s="2" t="inlineStr">
        <is>
          <t>no</t>
        </is>
      </c>
      <c r="AJ31" s="2" t="inlineStr">
        <is>
          <t>no</t>
        </is>
      </c>
      <c r="AK31" s="2" t="inlineStr">
        <is>
          <t>yes</t>
        </is>
      </c>
      <c r="AL31" s="2" t="inlineStr">
        <is>
          <t>yes</t>
        </is>
      </c>
      <c r="AM31" s="2" t="n"/>
      <c r="AN31" s="2" t="n"/>
      <c r="AO31" s="2" t="n"/>
      <c r="AP31" s="2" t="inlineStr">
        <is>
          <t>v3_2026-03-19</t>
        </is>
      </c>
    </row>
    <row r="32" ht="108" customHeight="1" s="10">
      <c r="A32" s="2" t="inlineStr">
        <is>
          <t>Q07_A</t>
        </is>
      </c>
      <c r="B32" s="2" t="n">
        <v>7</v>
      </c>
      <c r="C32" s="2" t="n">
        <v>7</v>
      </c>
      <c r="D32" s="2" t="inlineStr">
        <is>
          <t>Core</t>
        </is>
      </c>
      <c r="E32" s="2" t="n">
        <v>1</v>
      </c>
      <c r="F32" s="2" t="inlineStr">
        <is>
          <t>CommunicationHealth</t>
        </is>
      </c>
      <c r="G32" s="2" t="inlineStr">
        <is>
          <t>EmotionalNeeds</t>
        </is>
      </c>
      <c r="H32" s="2" t="inlineStr">
        <is>
          <t>Question 7: You're deep in conversation and they suddenly shut down or go cold. What's your move?</t>
        </is>
      </c>
      <c r="I32" s="2" t="inlineStr">
        <is>
          <t>A</t>
        </is>
      </c>
      <c r="J32" s="2" t="inlineStr">
        <is>
          <t>A</t>
        </is>
      </c>
      <c r="K32" s="2" t="inlineStr">
        <is>
          <t>I pause. I've learned not everything's about me. If they want to talk, they will. If not, I don't chase silence.</t>
        </is>
      </c>
      <c r="L32" s="2" t="n">
        <v>8</v>
      </c>
      <c r="M32" s="2" t="n">
        <v>8</v>
      </c>
      <c r="N32" s="2" t="n">
        <v>4</v>
      </c>
      <c r="O32" s="2" t="n">
        <v>4</v>
      </c>
      <c r="P32" s="2" t="n">
        <v>0</v>
      </c>
      <c r="Q32" s="2" t="inlineStr">
        <is>
          <t>Icebox</t>
        </is>
      </c>
      <c r="R32" s="2" t="n">
        <v>1</v>
      </c>
      <c r="S32" s="2" t="n"/>
      <c r="T32" s="2" t="n"/>
      <c r="U32" s="2" t="n">
        <v>0</v>
      </c>
      <c r="V32" s="2" t="inlineStr">
        <is>
          <t>masc:1.8;fem:-1.6</t>
        </is>
      </c>
      <c r="W32" s="2" t="n">
        <v>1.8</v>
      </c>
      <c r="X32" s="2" t="n">
        <v>-1.6</v>
      </c>
      <c r="Y32" s="2" t="inlineStr">
        <is>
          <t>COMM_Avoidant</t>
        </is>
      </c>
      <c r="Z32" s="2" t="inlineStr">
        <is>
          <t>REG_Suppressor</t>
        </is>
      </c>
      <c r="AA32" s="2" t="inlineStr">
        <is>
          <t>LANG_Time</t>
        </is>
      </c>
      <c r="AB32" s="2" t="n"/>
      <c r="AC32" s="2" t="n"/>
      <c r="AD32" s="2" t="n"/>
      <c r="AE32" s="2" t="n">
        <v>0</v>
      </c>
      <c r="AF32" s="2" t="inlineStr">
        <is>
          <t>calm detachment</t>
        </is>
      </c>
      <c r="AG32" s="2" t="inlineStr">
        <is>
          <t>patient withdrawer</t>
        </is>
      </c>
      <c r="AH32" s="2" t="n">
        <v>0.8</v>
      </c>
      <c r="AI32" s="2" t="inlineStr">
        <is>
          <t>no</t>
        </is>
      </c>
      <c r="AJ32" s="2" t="inlineStr">
        <is>
          <t>no</t>
        </is>
      </c>
      <c r="AK32" s="2" t="inlineStr">
        <is>
          <t>yes</t>
        </is>
      </c>
      <c r="AL32" s="2" t="inlineStr">
        <is>
          <t>yes</t>
        </is>
      </c>
      <c r="AM32" s="2" t="n"/>
      <c r="AN32" s="2" t="n"/>
      <c r="AO32" s="2" t="n"/>
      <c r="AP32" s="2" t="inlineStr">
        <is>
          <t>v3_2026-03-19</t>
        </is>
      </c>
    </row>
    <row r="33" ht="135" customHeight="1" s="10">
      <c r="A33" s="2" t="inlineStr">
        <is>
          <t>Q07_B</t>
        </is>
      </c>
      <c r="B33" s="2" t="n">
        <v>7</v>
      </c>
      <c r="C33" s="2" t="n">
        <v>7</v>
      </c>
      <c r="D33" s="2" t="inlineStr">
        <is>
          <t>Core</t>
        </is>
      </c>
      <c r="E33" s="2" t="n">
        <v>1</v>
      </c>
      <c r="F33" s="2" t="inlineStr">
        <is>
          <t>CommunicationHealth</t>
        </is>
      </c>
      <c r="G33" s="2" t="inlineStr">
        <is>
          <t>EmotionalNeeds</t>
        </is>
      </c>
      <c r="H33" s="2" t="n"/>
      <c r="I33" s="2" t="inlineStr">
        <is>
          <t>B</t>
        </is>
      </c>
      <c r="J33" s="2" t="inlineStr">
        <is>
          <t>B</t>
        </is>
      </c>
      <c r="K33" s="2" t="inlineStr">
        <is>
          <t>I immediately think I said something wrong. I start scanning every word trying to figure out what triggered it.</t>
        </is>
      </c>
      <c r="L33" s="2" t="n">
        <v>5</v>
      </c>
      <c r="M33" s="2" t="n">
        <v>6</v>
      </c>
      <c r="N33" s="2" t="n">
        <v>4</v>
      </c>
      <c r="O33" s="2" t="n">
        <v>4</v>
      </c>
      <c r="P33" s="2" t="n">
        <v>2</v>
      </c>
      <c r="Q33" s="2" t="inlineStr">
        <is>
          <t>Analyzer</t>
        </is>
      </c>
      <c r="R33" s="2" t="n">
        <v>2</v>
      </c>
      <c r="S33" s="2" t="n"/>
      <c r="T33" s="2" t="n"/>
      <c r="U33" s="2" t="n">
        <v>0</v>
      </c>
      <c r="V33" s="2" t="inlineStr">
        <is>
          <t>masc:1.4;fem:0.1</t>
        </is>
      </c>
      <c r="W33" s="2" t="n">
        <v>1.4</v>
      </c>
      <c r="X33" s="2" t="n">
        <v>0.1</v>
      </c>
      <c r="Y33" s="2" t="inlineStr">
        <is>
          <t>COMM_Logical</t>
        </is>
      </c>
      <c r="Z33" s="2" t="inlineStr">
        <is>
          <t>REG_SelfSoother</t>
        </is>
      </c>
      <c r="AA33" s="2" t="inlineStr">
        <is>
          <t>LANG_Service</t>
        </is>
      </c>
      <c r="AB33" s="2" t="inlineStr">
        <is>
          <t>Vulnerability_Loop</t>
        </is>
      </c>
      <c r="AC33" s="2" t="inlineStr">
        <is>
          <t>Vulnerability_Loop</t>
        </is>
      </c>
      <c r="AD33" s="2" t="n"/>
      <c r="AE33" s="2" t="n">
        <v>5</v>
      </c>
      <c r="AF33" s="2" t="inlineStr">
        <is>
          <t>inner spiral</t>
        </is>
      </c>
      <c r="AG33" s="2" t="inlineStr">
        <is>
          <t>self-blamer</t>
        </is>
      </c>
      <c r="AH33" s="2" t="n">
        <v>0</v>
      </c>
      <c r="AI33" s="2" t="inlineStr">
        <is>
          <t>yes</t>
        </is>
      </c>
      <c r="AJ33" s="2" t="inlineStr">
        <is>
          <t>no</t>
        </is>
      </c>
      <c r="AK33" s="2" t="inlineStr">
        <is>
          <t>yes</t>
        </is>
      </c>
      <c r="AL33" s="2" t="inlineStr">
        <is>
          <t>yes</t>
        </is>
      </c>
      <c r="AM33" s="2" t="n"/>
      <c r="AN33" s="2" t="n"/>
      <c r="AO33" s="2" t="n"/>
      <c r="AP33" s="2" t="inlineStr">
        <is>
          <t>v3_2026-03-19</t>
        </is>
      </c>
    </row>
    <row r="34" ht="121.5" customHeight="1" s="10">
      <c r="A34" s="2" t="inlineStr">
        <is>
          <t>Q07_C</t>
        </is>
      </c>
      <c r="B34" s="2" t="n">
        <v>7</v>
      </c>
      <c r="C34" s="2" t="n">
        <v>7</v>
      </c>
      <c r="D34" s="2" t="inlineStr">
        <is>
          <t>Core</t>
        </is>
      </c>
      <c r="E34" s="2" t="n">
        <v>1</v>
      </c>
      <c r="F34" s="2" t="inlineStr">
        <is>
          <t>CommunicationHealth</t>
        </is>
      </c>
      <c r="G34" s="2" t="inlineStr">
        <is>
          <t>EmotionalNeeds</t>
        </is>
      </c>
      <c r="H34" s="2" t="n"/>
      <c r="I34" s="2" t="inlineStr">
        <is>
          <t>C</t>
        </is>
      </c>
      <c r="J34" s="2" t="inlineStr">
        <is>
          <t>C</t>
        </is>
      </c>
      <c r="K34" s="2" t="inlineStr">
        <is>
          <t>I'll ask once. If it's brushed off or ignored, I shift. I'm not the type to sit in someone else's silence for long.</t>
        </is>
      </c>
      <c r="L34" s="2" t="n">
        <v>9</v>
      </c>
      <c r="M34" s="2" t="n">
        <v>9</v>
      </c>
      <c r="N34" s="2" t="n">
        <v>10</v>
      </c>
      <c r="O34" s="2" t="n">
        <v>10</v>
      </c>
      <c r="P34" s="2" t="n">
        <v>10</v>
      </c>
      <c r="Q34" s="2" t="inlineStr">
        <is>
          <t>Regulated Grown-Up</t>
        </is>
      </c>
      <c r="R34" s="2" t="n">
        <v>9</v>
      </c>
      <c r="S34" s="2" t="n"/>
      <c r="T34" s="2" t="n"/>
      <c r="U34" s="2" t="n">
        <v>0</v>
      </c>
      <c r="V34" s="2" t="inlineStr">
        <is>
          <t>masc:1.1;fem:0.9</t>
        </is>
      </c>
      <c r="W34" s="2" t="n">
        <v>1.1</v>
      </c>
      <c r="X34" s="2" t="n">
        <v>0.9</v>
      </c>
      <c r="Y34" s="2" t="inlineStr">
        <is>
          <t>COMM_Direct</t>
        </is>
      </c>
      <c r="Z34" s="2" t="inlineStr">
        <is>
          <t>REG_CoRegulator</t>
        </is>
      </c>
      <c r="AA34" s="2" t="inlineStr">
        <is>
          <t>LANG_Words</t>
        </is>
      </c>
      <c r="AB34" s="2" t="n"/>
      <c r="AC34" s="2" t="n"/>
      <c r="AD34" s="2" t="n"/>
      <c r="AE34" s="2" t="n">
        <v>0</v>
      </c>
      <c r="AF34" s="2" t="inlineStr">
        <is>
          <t>direct with boundaries</t>
        </is>
      </c>
      <c r="AG34" s="2" t="inlineStr">
        <is>
          <t>firm line-setter</t>
        </is>
      </c>
      <c r="AH34" s="2" t="n">
        <v>0</v>
      </c>
      <c r="AI34" s="2" t="inlineStr">
        <is>
          <t>no</t>
        </is>
      </c>
      <c r="AJ34" s="2" t="inlineStr">
        <is>
          <t>no</t>
        </is>
      </c>
      <c r="AK34" s="2" t="inlineStr">
        <is>
          <t>yes</t>
        </is>
      </c>
      <c r="AL34" s="2" t="inlineStr">
        <is>
          <t>yes</t>
        </is>
      </c>
      <c r="AM34" s="2" t="n"/>
      <c r="AN34" s="2" t="n"/>
      <c r="AO34" s="2" t="n"/>
      <c r="AP34" s="2" t="inlineStr">
        <is>
          <t>v3_2026-03-19</t>
        </is>
      </c>
    </row>
    <row r="35" ht="121.5" customHeight="1" s="10">
      <c r="A35" s="2" t="inlineStr">
        <is>
          <t>Q07_D</t>
        </is>
      </c>
      <c r="B35" s="2" t="n">
        <v>7</v>
      </c>
      <c r="C35" s="2" t="n">
        <v>7</v>
      </c>
      <c r="D35" s="2" t="inlineStr">
        <is>
          <t>Core</t>
        </is>
      </c>
      <c r="E35" s="2" t="n">
        <v>1</v>
      </c>
      <c r="F35" s="2" t="inlineStr">
        <is>
          <t>CommunicationHealth</t>
        </is>
      </c>
      <c r="G35" s="2" t="inlineStr">
        <is>
          <t>EmotionalNeeds</t>
        </is>
      </c>
      <c r="H35" s="2" t="n"/>
      <c r="I35" s="2" t="inlineStr">
        <is>
          <t>D</t>
        </is>
      </c>
      <c r="J35" s="2" t="inlineStr">
        <is>
          <t>D</t>
        </is>
      </c>
      <c r="K35" s="2" t="inlineStr">
        <is>
          <t>I try to keep the mood up, shift the subject, make it feel less tense, even if I'm freaking out a little inside.</t>
        </is>
      </c>
      <c r="L35" s="2" t="n">
        <v>6</v>
      </c>
      <c r="M35" s="2" t="n">
        <v>7</v>
      </c>
      <c r="N35" s="2" t="n">
        <v>4</v>
      </c>
      <c r="O35" s="2" t="n">
        <v>4</v>
      </c>
      <c r="P35" s="2" t="n">
        <v>2</v>
      </c>
      <c r="Q35" s="2" t="inlineStr">
        <is>
          <t>Performer</t>
        </is>
      </c>
      <c r="R35" s="2" t="n">
        <v>7</v>
      </c>
      <c r="S35" s="2" t="n"/>
      <c r="T35" s="2" t="n"/>
      <c r="U35" s="2" t="n">
        <v>0</v>
      </c>
      <c r="V35" s="2" t="inlineStr">
        <is>
          <t>masc:0.3;fem:0.5</t>
        </is>
      </c>
      <c r="W35" s="2" t="n">
        <v>0.3</v>
      </c>
      <c r="X35" s="2" t="n">
        <v>0.5</v>
      </c>
      <c r="Y35" s="2" t="inlineStr">
        <is>
          <t>COMM_Indirect</t>
        </is>
      </c>
      <c r="Z35" s="2" t="inlineStr">
        <is>
          <t>REG_Distractor</t>
        </is>
      </c>
      <c r="AA35" s="2" t="inlineStr">
        <is>
          <t>LANG_Gifts</t>
        </is>
      </c>
      <c r="AB35" s="2" t="inlineStr">
        <is>
          <t>Vulnerability_Loop</t>
        </is>
      </c>
      <c r="AC35" s="2" t="inlineStr">
        <is>
          <t>Vulnerability_Loop</t>
        </is>
      </c>
      <c r="AD35" s="2" t="n"/>
      <c r="AE35" s="2" t="n">
        <v>5</v>
      </c>
      <c r="AF35" s="2" t="inlineStr">
        <is>
          <t>smooth cover-up</t>
        </is>
      </c>
      <c r="AG35" s="2" t="inlineStr">
        <is>
          <t>tension diffuser</t>
        </is>
      </c>
      <c r="AH35" s="2" t="n">
        <v>0</v>
      </c>
      <c r="AI35" s="2" t="inlineStr">
        <is>
          <t>yes</t>
        </is>
      </c>
      <c r="AJ35" s="2" t="inlineStr">
        <is>
          <t>no</t>
        </is>
      </c>
      <c r="AK35" s="2" t="inlineStr">
        <is>
          <t>yes</t>
        </is>
      </c>
      <c r="AL35" s="2" t="inlineStr">
        <is>
          <t>yes</t>
        </is>
      </c>
      <c r="AM35" s="2" t="n"/>
      <c r="AN35" s="2" t="n"/>
      <c r="AO35" s="2" t="n"/>
      <c r="AP35" s="2" t="inlineStr">
        <is>
          <t>v3_2026-03-19</t>
        </is>
      </c>
    </row>
    <row r="36" ht="108" customHeight="1" s="10">
      <c r="A36" s="2" t="inlineStr">
        <is>
          <t>Q07_E</t>
        </is>
      </c>
      <c r="B36" s="2" t="n">
        <v>7</v>
      </c>
      <c r="C36" s="2" t="n">
        <v>7</v>
      </c>
      <c r="D36" s="2" t="inlineStr">
        <is>
          <t>Core</t>
        </is>
      </c>
      <c r="E36" s="2" t="n">
        <v>1</v>
      </c>
      <c r="F36" s="2" t="inlineStr">
        <is>
          <t>CommunicationHealth</t>
        </is>
      </c>
      <c r="G36" s="2" t="inlineStr">
        <is>
          <t>EmotionalNeeds</t>
        </is>
      </c>
      <c r="H36" s="2" t="n"/>
      <c r="I36" s="2" t="inlineStr">
        <is>
          <t>E</t>
        </is>
      </c>
      <c r="J36" s="2" t="inlineStr">
        <is>
          <t>E</t>
        </is>
      </c>
      <c r="K36" s="2" t="inlineStr">
        <is>
          <t>I feel it, but I don't say anything. I stay present, hoping they'll come back to me on their own.</t>
        </is>
      </c>
      <c r="L36" s="2" t="n">
        <v>6</v>
      </c>
      <c r="M36" s="2" t="n">
        <v>6</v>
      </c>
      <c r="N36" s="2" t="n">
        <v>4</v>
      </c>
      <c r="O36" s="2" t="n">
        <v>4</v>
      </c>
      <c r="P36" s="2" t="n">
        <v>4</v>
      </c>
      <c r="Q36" s="2" t="inlineStr">
        <is>
          <t>Translator</t>
        </is>
      </c>
      <c r="R36" s="2" t="n">
        <v>3</v>
      </c>
      <c r="S36" s="2" t="n"/>
      <c r="T36" s="2" t="n"/>
      <c r="U36" s="2" t="n">
        <v>0</v>
      </c>
      <c r="V36" s="2" t="inlineStr">
        <is>
          <t>masc:-0.1;fem:1.6</t>
        </is>
      </c>
      <c r="W36" s="2" t="n">
        <v>-0.1</v>
      </c>
      <c r="X36" s="2" t="n">
        <v>1.6</v>
      </c>
      <c r="Y36" s="2" t="inlineStr">
        <is>
          <t>COMM_Indirect</t>
        </is>
      </c>
      <c r="Z36" s="2" t="inlineStr">
        <is>
          <t>REG_CoRegulator</t>
        </is>
      </c>
      <c r="AA36" s="2" t="inlineStr">
        <is>
          <t>LANG_Words</t>
        </is>
      </c>
      <c r="AB36" s="2" t="inlineStr">
        <is>
          <t>Vulnerability_Loop</t>
        </is>
      </c>
      <c r="AC36" s="2" t="inlineStr">
        <is>
          <t>Vulnerability_Loop</t>
        </is>
      </c>
      <c r="AD36" s="2" t="n"/>
      <c r="AE36" s="2" t="n">
        <v>5</v>
      </c>
      <c r="AF36" s="2" t="inlineStr">
        <is>
          <t>gentle waiter</t>
        </is>
      </c>
      <c r="AG36" s="2" t="inlineStr">
        <is>
          <t>silent holder</t>
        </is>
      </c>
      <c r="AH36" s="2" t="n">
        <v>0.6</v>
      </c>
      <c r="AI36" s="2" t="inlineStr">
        <is>
          <t>yes</t>
        </is>
      </c>
      <c r="AJ36" s="2" t="inlineStr">
        <is>
          <t>no</t>
        </is>
      </c>
      <c r="AK36" s="2" t="inlineStr">
        <is>
          <t>yes</t>
        </is>
      </c>
      <c r="AL36" s="2" t="inlineStr">
        <is>
          <t>yes</t>
        </is>
      </c>
      <c r="AM36" s="2" t="n"/>
      <c r="AN36" s="2" t="n"/>
      <c r="AO36" s="2" t="n"/>
      <c r="AP36" s="2" t="inlineStr">
        <is>
          <t>v3_2026-03-19</t>
        </is>
      </c>
    </row>
    <row r="37" ht="135" customHeight="1" s="10">
      <c r="A37" s="2" t="inlineStr">
        <is>
          <t>Q08_A</t>
        </is>
      </c>
      <c r="B37" s="2" t="n">
        <v>8</v>
      </c>
      <c r="C37" s="2" t="n">
        <v>8</v>
      </c>
      <c r="D37" s="2" t="inlineStr">
        <is>
          <t>Core</t>
        </is>
      </c>
      <c r="E37" s="2" t="n">
        <v>1</v>
      </c>
      <c r="F37" s="2" t="inlineStr">
        <is>
          <t>CommunicationHealth</t>
        </is>
      </c>
      <c r="G37" s="2" t="inlineStr">
        <is>
          <t>EmotionalNeeds</t>
        </is>
      </c>
      <c r="H37" s="2" t="inlineStr">
        <is>
          <t>Question 8: You feel them pulling away. They haven't said it, but the shift is obvious. What runs through your head first?</t>
        </is>
      </c>
      <c r="I37" s="2" t="inlineStr">
        <is>
          <t>A</t>
        </is>
      </c>
      <c r="J37" s="2" t="inlineStr">
        <is>
          <t>A</t>
        </is>
      </c>
      <c r="K37" s="2" t="inlineStr">
        <is>
          <t>Here we go again. I already know how this plays out. I stop trying the second I feel myself caring more than they do.</t>
        </is>
      </c>
      <c r="L37" s="2" t="n">
        <v>5</v>
      </c>
      <c r="M37" s="2" t="n">
        <v>5</v>
      </c>
      <c r="N37" s="2" t="n">
        <v>4</v>
      </c>
      <c r="O37" s="2" t="n">
        <v>2</v>
      </c>
      <c r="P37" s="2" t="n">
        <v>2</v>
      </c>
      <c r="Q37" s="2" t="inlineStr">
        <is>
          <t>Survivor</t>
        </is>
      </c>
      <c r="R37" s="2" t="n">
        <v>8</v>
      </c>
      <c r="S37" s="2" t="n"/>
      <c r="T37" s="2" t="n"/>
      <c r="U37" s="2" t="n">
        <v>0</v>
      </c>
      <c r="V37" s="2" t="inlineStr">
        <is>
          <t>masc:0.3;fem:1.3</t>
        </is>
      </c>
      <c r="W37" s="2" t="n">
        <v>0.3</v>
      </c>
      <c r="X37" s="2" t="n">
        <v>1.3</v>
      </c>
      <c r="Y37" s="2" t="inlineStr">
        <is>
          <t>COMM_Emotional</t>
        </is>
      </c>
      <c r="Z37" s="2" t="inlineStr">
        <is>
          <t>REG_SelfSoother</t>
        </is>
      </c>
      <c r="AA37" s="2" t="inlineStr">
        <is>
          <t>LANG_Service</t>
        </is>
      </c>
      <c r="AB37" s="2" t="inlineStr">
        <is>
          <t>Vulnerability_Loop</t>
        </is>
      </c>
      <c r="AC37" s="2" t="inlineStr">
        <is>
          <t>Vulnerability_Loop</t>
        </is>
      </c>
      <c r="AD37" s="2" t="n"/>
      <c r="AE37" s="2" t="n">
        <v>5</v>
      </c>
      <c r="AF37" s="2" t="inlineStr">
        <is>
          <t>pain-calibrated exit</t>
        </is>
      </c>
      <c r="AG37" s="2" t="inlineStr">
        <is>
          <t>early withdrawer</t>
        </is>
      </c>
      <c r="AH37" s="2" t="n">
        <v>0.6</v>
      </c>
      <c r="AI37" s="2" t="inlineStr">
        <is>
          <t>yes</t>
        </is>
      </c>
      <c r="AJ37" s="2" t="inlineStr">
        <is>
          <t>no</t>
        </is>
      </c>
      <c r="AK37" s="2" t="inlineStr">
        <is>
          <t>yes</t>
        </is>
      </c>
      <c r="AL37" s="2" t="inlineStr">
        <is>
          <t>yes</t>
        </is>
      </c>
      <c r="AM37" s="2" t="n"/>
      <c r="AN37" s="2" t="n"/>
      <c r="AO37" s="2" t="n"/>
      <c r="AP37" s="2" t="inlineStr">
        <is>
          <t>v3_2026-03-19</t>
        </is>
      </c>
    </row>
    <row r="38" ht="148.5" customHeight="1" s="10">
      <c r="A38" s="2" t="inlineStr">
        <is>
          <t>Q08_B</t>
        </is>
      </c>
      <c r="B38" s="2" t="n">
        <v>8</v>
      </c>
      <c r="C38" s="2" t="n">
        <v>8</v>
      </c>
      <c r="D38" s="2" t="inlineStr">
        <is>
          <t>Core</t>
        </is>
      </c>
      <c r="E38" s="2" t="n">
        <v>1</v>
      </c>
      <c r="F38" s="2" t="inlineStr">
        <is>
          <t>CommunicationHealth</t>
        </is>
      </c>
      <c r="G38" s="2" t="inlineStr">
        <is>
          <t>EmotionalNeeds</t>
        </is>
      </c>
      <c r="H38" s="2" t="n"/>
      <c r="I38" s="2" t="inlineStr">
        <is>
          <t>B</t>
        </is>
      </c>
      <c r="J38" s="2" t="inlineStr">
        <is>
          <t>B</t>
        </is>
      </c>
      <c r="K38" s="2" t="inlineStr">
        <is>
          <t>It's subtle, but I clock everything. Less emojis. Slower replies. Something's off, I just haven't figured out what yet.</t>
        </is>
      </c>
      <c r="L38" s="2" t="n">
        <v>7</v>
      </c>
      <c r="M38" s="2" t="n">
        <v>8</v>
      </c>
      <c r="N38" s="2" t="n">
        <v>6</v>
      </c>
      <c r="O38" s="2" t="n">
        <v>6</v>
      </c>
      <c r="P38" s="2" t="n">
        <v>6</v>
      </c>
      <c r="Q38" s="2" t="inlineStr">
        <is>
          <t>Analyzer</t>
        </is>
      </c>
      <c r="R38" s="2" t="n">
        <v>2</v>
      </c>
      <c r="S38" s="2" t="n"/>
      <c r="T38" s="2" t="n"/>
      <c r="U38" s="2" t="n">
        <v>0</v>
      </c>
      <c r="V38" s="2" t="inlineStr">
        <is>
          <t>masc:1.4;fem:0.1</t>
        </is>
      </c>
      <c r="W38" s="2" t="n">
        <v>1.4</v>
      </c>
      <c r="X38" s="2" t="n">
        <v>0.1</v>
      </c>
      <c r="Y38" s="2" t="inlineStr">
        <is>
          <t>COMM_Logical</t>
        </is>
      </c>
      <c r="Z38" s="2" t="inlineStr">
        <is>
          <t>REG_SelfSoother</t>
        </is>
      </c>
      <c r="AA38" s="2" t="inlineStr">
        <is>
          <t>LANG_Service</t>
        </is>
      </c>
      <c r="AB38" s="2" t="n"/>
      <c r="AC38" s="2" t="n"/>
      <c r="AD38" s="2" t="n"/>
      <c r="AE38" s="2" t="n">
        <v>0</v>
      </c>
      <c r="AF38" s="2" t="inlineStr">
        <is>
          <t>pattern tracker</t>
        </is>
      </c>
      <c r="AG38" s="2" t="inlineStr">
        <is>
          <t>micro-signal reader</t>
        </is>
      </c>
      <c r="AH38" s="2" t="n">
        <v>0.6</v>
      </c>
      <c r="AI38" s="2" t="inlineStr">
        <is>
          <t>no</t>
        </is>
      </c>
      <c r="AJ38" s="2" t="inlineStr">
        <is>
          <t>no</t>
        </is>
      </c>
      <c r="AK38" s="2" t="inlineStr">
        <is>
          <t>yes</t>
        </is>
      </c>
      <c r="AL38" s="2" t="inlineStr">
        <is>
          <t>yes</t>
        </is>
      </c>
      <c r="AM38" s="2" t="n"/>
      <c r="AN38" s="2" t="n"/>
      <c r="AO38" s="2" t="n"/>
      <c r="AP38" s="2" t="inlineStr">
        <is>
          <t>v3_2026-03-19</t>
        </is>
      </c>
    </row>
    <row r="39" ht="148.5" customHeight="1" s="10">
      <c r="A39" s="2" t="inlineStr">
        <is>
          <t>Q08_C</t>
        </is>
      </c>
      <c r="B39" s="2" t="n">
        <v>8</v>
      </c>
      <c r="C39" s="2" t="n">
        <v>8</v>
      </c>
      <c r="D39" s="2" t="inlineStr">
        <is>
          <t>Core</t>
        </is>
      </c>
      <c r="E39" s="2" t="n">
        <v>1</v>
      </c>
      <c r="F39" s="2" t="inlineStr">
        <is>
          <t>CommunicationHealth</t>
        </is>
      </c>
      <c r="G39" s="2" t="inlineStr">
        <is>
          <t>EmotionalNeeds</t>
        </is>
      </c>
      <c r="H39" s="2" t="n"/>
      <c r="I39" s="2" t="inlineStr">
        <is>
          <t>C</t>
        </is>
      </c>
      <c r="J39" s="2" t="inlineStr">
        <is>
          <t>C</t>
        </is>
      </c>
      <c r="K39" s="2" t="inlineStr">
        <is>
          <t>I don't ask. I just start detaching. If you're fading, I'm not chasing. I've done that before, and I don't owe anyone a meltdown.</t>
        </is>
      </c>
      <c r="L39" s="2" t="n">
        <v>5</v>
      </c>
      <c r="M39" s="2" t="n">
        <v>6</v>
      </c>
      <c r="N39" s="2" t="n">
        <v>0</v>
      </c>
      <c r="O39" s="2" t="n">
        <v>2</v>
      </c>
      <c r="P39" s="2" t="n">
        <v>0</v>
      </c>
      <c r="Q39" s="2" t="inlineStr">
        <is>
          <t>Quiet Exit</t>
        </is>
      </c>
      <c r="R39" s="2" t="n">
        <v>4</v>
      </c>
      <c r="S39" s="2" t="n"/>
      <c r="T39" s="2" t="n"/>
      <c r="U39" s="2" t="n">
        <v>0</v>
      </c>
      <c r="V39" s="2" t="inlineStr">
        <is>
          <t>masc:1.4;fem:-1.3</t>
        </is>
      </c>
      <c r="W39" s="2" t="n">
        <v>1.4</v>
      </c>
      <c r="X39" s="2" t="n">
        <v>-1.3</v>
      </c>
      <c r="Y39" s="2" t="inlineStr">
        <is>
          <t>COMM_Avoidant</t>
        </is>
      </c>
      <c r="Z39" s="2" t="inlineStr">
        <is>
          <t>REG_Suppressor</t>
        </is>
      </c>
      <c r="AA39" s="2" t="inlineStr">
        <is>
          <t>LANG_Time</t>
        </is>
      </c>
      <c r="AB39" s="2" t="inlineStr">
        <is>
          <t>Vulnerability_Loop</t>
        </is>
      </c>
      <c r="AC39" s="2" t="inlineStr">
        <is>
          <t>Vulnerability_Loop</t>
        </is>
      </c>
      <c r="AD39" s="2" t="n"/>
      <c r="AE39" s="2" t="n">
        <v>5</v>
      </c>
      <c r="AF39" s="2" t="inlineStr">
        <is>
          <t>soft boundary</t>
        </is>
      </c>
      <c r="AG39" s="2" t="inlineStr">
        <is>
          <t>quiet exit</t>
        </is>
      </c>
      <c r="AH39" s="2" t="n">
        <v>0.2</v>
      </c>
      <c r="AI39" s="2" t="inlineStr">
        <is>
          <t>yes</t>
        </is>
      </c>
      <c r="AJ39" s="2" t="inlineStr">
        <is>
          <t>no</t>
        </is>
      </c>
      <c r="AK39" s="2" t="inlineStr">
        <is>
          <t>yes</t>
        </is>
      </c>
      <c r="AL39" s="2" t="inlineStr">
        <is>
          <t>yes</t>
        </is>
      </c>
      <c r="AM39" s="2" t="n"/>
      <c r="AN39" s="2" t="n"/>
      <c r="AO39" s="2" t="n"/>
      <c r="AP39" s="2" t="inlineStr">
        <is>
          <t>v3_2026-03-19</t>
        </is>
      </c>
    </row>
    <row r="40" ht="121.5" customHeight="1" s="10">
      <c r="A40" s="2" t="inlineStr">
        <is>
          <t>Q08_D</t>
        </is>
      </c>
      <c r="B40" s="2" t="n">
        <v>8</v>
      </c>
      <c r="C40" s="2" t="n">
        <v>8</v>
      </c>
      <c r="D40" s="2" t="inlineStr">
        <is>
          <t>Core</t>
        </is>
      </c>
      <c r="E40" s="2" t="n">
        <v>1</v>
      </c>
      <c r="F40" s="2" t="inlineStr">
        <is>
          <t>CommunicationHealth</t>
        </is>
      </c>
      <c r="G40" s="2" t="inlineStr">
        <is>
          <t>EmotionalNeeds</t>
        </is>
      </c>
      <c r="H40" s="2" t="n"/>
      <c r="I40" s="2" t="inlineStr">
        <is>
          <t>D</t>
        </is>
      </c>
      <c r="J40" s="2" t="inlineStr">
        <is>
          <t>D</t>
        </is>
      </c>
      <c r="K40" s="2" t="inlineStr">
        <is>
          <t>Maybe they just need space. I try not to assume the worst... but yeah, it's hard not to take it personal.</t>
        </is>
      </c>
      <c r="L40" s="2" t="n">
        <v>7</v>
      </c>
      <c r="M40" s="2" t="n">
        <v>8</v>
      </c>
      <c r="N40" s="2" t="n">
        <v>6</v>
      </c>
      <c r="O40" s="2" t="n">
        <v>6</v>
      </c>
      <c r="P40" s="2" t="n">
        <v>4</v>
      </c>
      <c r="Q40" s="2" t="inlineStr">
        <is>
          <t>Romantic Idealist</t>
        </is>
      </c>
      <c r="R40" s="2" t="n">
        <v>6</v>
      </c>
      <c r="S40" s="2" t="n"/>
      <c r="T40" s="2" t="n"/>
      <c r="U40" s="2" t="n">
        <v>0</v>
      </c>
      <c r="V40" s="2" t="inlineStr">
        <is>
          <t>masc:-0.4;fem:1.5</t>
        </is>
      </c>
      <c r="W40" s="2" t="n">
        <v>-0.4</v>
      </c>
      <c r="X40" s="2" t="n">
        <v>1.5</v>
      </c>
      <c r="Y40" s="2" t="inlineStr">
        <is>
          <t>COMM_Emotional</t>
        </is>
      </c>
      <c r="Z40" s="2" t="inlineStr">
        <is>
          <t>REG_Distractor</t>
        </is>
      </c>
      <c r="AA40" s="2" t="inlineStr">
        <is>
          <t>LANG_Gifts</t>
        </is>
      </c>
      <c r="AB40" s="2" t="n"/>
      <c r="AC40" s="2" t="n"/>
      <c r="AD40" s="2" t="n"/>
      <c r="AE40" s="2" t="n">
        <v>0</v>
      </c>
      <c r="AF40" s="2" t="inlineStr">
        <is>
          <t>fragile optimism</t>
        </is>
      </c>
      <c r="AG40" s="2" t="inlineStr">
        <is>
          <t>tentative hope</t>
        </is>
      </c>
      <c r="AH40" s="2" t="n">
        <v>0</v>
      </c>
      <c r="AI40" s="2" t="inlineStr">
        <is>
          <t>no</t>
        </is>
      </c>
      <c r="AJ40" s="2" t="inlineStr">
        <is>
          <t>no</t>
        </is>
      </c>
      <c r="AK40" s="2" t="inlineStr">
        <is>
          <t>yes</t>
        </is>
      </c>
      <c r="AL40" s="2" t="inlineStr">
        <is>
          <t>yes</t>
        </is>
      </c>
      <c r="AM40" s="2" t="n"/>
      <c r="AN40" s="2" t="n"/>
      <c r="AO40" s="2" t="n"/>
      <c r="AP40" s="2" t="inlineStr">
        <is>
          <t>v3_2026-03-19</t>
        </is>
      </c>
    </row>
    <row r="41" ht="108" customHeight="1" s="10">
      <c r="A41" s="2" t="inlineStr">
        <is>
          <t>Q08_E</t>
        </is>
      </c>
      <c r="B41" s="2" t="n">
        <v>8</v>
      </c>
      <c r="C41" s="2" t="n">
        <v>8</v>
      </c>
      <c r="D41" s="2" t="inlineStr">
        <is>
          <t>Core</t>
        </is>
      </c>
      <c r="E41" s="2" t="n">
        <v>1</v>
      </c>
      <c r="F41" s="2" t="inlineStr">
        <is>
          <t>CommunicationHealth</t>
        </is>
      </c>
      <c r="G41" s="2" t="inlineStr">
        <is>
          <t>EmotionalNeeds</t>
        </is>
      </c>
      <c r="H41" s="2" t="n"/>
      <c r="I41" s="2" t="inlineStr">
        <is>
          <t>E</t>
        </is>
      </c>
      <c r="J41" s="2" t="inlineStr">
        <is>
          <t>E</t>
        </is>
      </c>
      <c r="K41" s="2" t="inlineStr">
        <is>
          <t>Cool. If they're gonna play distant, I'll be busy too. I'm not built to beg for consistency.</t>
        </is>
      </c>
      <c r="L41" s="2" t="n">
        <v>4</v>
      </c>
      <c r="M41" s="2" t="n">
        <v>5</v>
      </c>
      <c r="N41" s="2" t="n">
        <v>0</v>
      </c>
      <c r="O41" s="2" t="n">
        <v>0</v>
      </c>
      <c r="P41" s="2" t="n">
        <v>0</v>
      </c>
      <c r="Q41" s="2" t="inlineStr">
        <is>
          <t>Icebox</t>
        </is>
      </c>
      <c r="R41" s="2" t="n">
        <v>1</v>
      </c>
      <c r="S41" s="2" t="n"/>
      <c r="T41" s="2" t="n"/>
      <c r="U41" s="2" t="n">
        <v>0</v>
      </c>
      <c r="V41" s="2" t="inlineStr">
        <is>
          <t>masc:1.8;fem:-1.6</t>
        </is>
      </c>
      <c r="W41" s="2" t="n">
        <v>1.8</v>
      </c>
      <c r="X41" s="2" t="n">
        <v>-1.6</v>
      </c>
      <c r="Y41" s="2" t="inlineStr">
        <is>
          <t>COMM_Avoidant</t>
        </is>
      </c>
      <c r="Z41" s="2" t="inlineStr">
        <is>
          <t>REG_Suppressor</t>
        </is>
      </c>
      <c r="AA41" s="2" t="inlineStr">
        <is>
          <t>LANG_Time</t>
        </is>
      </c>
      <c r="AB41" s="2" t="inlineStr">
        <is>
          <t>Vulnerability_Loop , Pursuer_Distancer</t>
        </is>
      </c>
      <c r="AC41" s="2" t="inlineStr">
        <is>
          <t>Vulnerability_Loop</t>
        </is>
      </c>
      <c r="AD41" s="2" t="inlineStr">
        <is>
          <t>Pursuer_Distancer</t>
        </is>
      </c>
      <c r="AE41" s="2" t="n">
        <v>11</v>
      </c>
      <c r="AF41" s="2" t="inlineStr">
        <is>
          <t>defensive control</t>
        </is>
      </c>
      <c r="AG41" s="2" t="inlineStr">
        <is>
          <t>mirrored distance</t>
        </is>
      </c>
      <c r="AH41" s="2" t="n">
        <v>0</v>
      </c>
      <c r="AI41" s="2" t="inlineStr">
        <is>
          <t>yes</t>
        </is>
      </c>
      <c r="AJ41" s="2" t="inlineStr">
        <is>
          <t>no</t>
        </is>
      </c>
      <c r="AK41" s="2" t="inlineStr">
        <is>
          <t>yes</t>
        </is>
      </c>
      <c r="AL41" s="2" t="inlineStr">
        <is>
          <t>yes</t>
        </is>
      </c>
      <c r="AM41" s="2" t="n"/>
      <c r="AN41" s="2" t="n"/>
      <c r="AO41" s="2" t="n"/>
      <c r="AP41" s="2" t="inlineStr">
        <is>
          <t>v3_2026-03-19</t>
        </is>
      </c>
    </row>
    <row r="42" ht="121.5" customHeight="1" s="10">
      <c r="A42" s="2" t="inlineStr">
        <is>
          <t>Q09_A</t>
        </is>
      </c>
      <c r="B42" s="2" t="n">
        <v>9</v>
      </c>
      <c r="C42" s="2" t="n">
        <v>9</v>
      </c>
      <c r="D42" s="2" t="inlineStr">
        <is>
          <t>Core</t>
        </is>
      </c>
      <c r="E42" s="2" t="n">
        <v>1.05</v>
      </c>
      <c r="F42" s="2" t="inlineStr">
        <is>
          <t>ConflictRepair</t>
        </is>
      </c>
      <c r="G42" s="2" t="inlineStr">
        <is>
          <t>CommunicationHealth</t>
        </is>
      </c>
      <c r="H42" s="2" t="inlineStr">
        <is>
          <t>Question 9: They cancel plans last minute. No real reason, no reschedule. How do you take it?</t>
        </is>
      </c>
      <c r="I42" s="2" t="inlineStr">
        <is>
          <t>A</t>
        </is>
      </c>
      <c r="J42" s="2" t="inlineStr">
        <is>
          <t>A</t>
        </is>
      </c>
      <c r="K42" s="2" t="inlineStr">
        <is>
          <t>Noted. That's usually my cue to start pulling my energy back. I don't throw a fit, I just stop handing out access.</t>
        </is>
      </c>
      <c r="L42" s="2" t="n">
        <v>7</v>
      </c>
      <c r="M42" s="2" t="n">
        <v>8</v>
      </c>
      <c r="N42" s="2" t="n">
        <v>4</v>
      </c>
      <c r="O42" s="2" t="n">
        <v>4</v>
      </c>
      <c r="P42" s="2" t="n">
        <v>0</v>
      </c>
      <c r="Q42" s="2" t="inlineStr">
        <is>
          <t>Quiet Exit</t>
        </is>
      </c>
      <c r="R42" s="2" t="n">
        <v>4</v>
      </c>
      <c r="S42" s="2" t="n"/>
      <c r="T42" s="2" t="n"/>
      <c r="U42" s="2" t="n">
        <v>0</v>
      </c>
      <c r="V42" s="2" t="inlineStr">
        <is>
          <t>masc:1.4;fem:-1.3</t>
        </is>
      </c>
      <c r="W42" s="2" t="n">
        <v>1.4</v>
      </c>
      <c r="X42" s="2" t="n">
        <v>-1.3</v>
      </c>
      <c r="Y42" s="2" t="inlineStr">
        <is>
          <t>COMM_Avoidant</t>
        </is>
      </c>
      <c r="Z42" s="2" t="inlineStr">
        <is>
          <t>REG_Suppressor</t>
        </is>
      </c>
      <c r="AA42" s="2" t="inlineStr">
        <is>
          <t>LANG_Time</t>
        </is>
      </c>
      <c r="AB42" s="2" t="n"/>
      <c r="AC42" s="2" t="n"/>
      <c r="AD42" s="2" t="n"/>
      <c r="AE42" s="2" t="n">
        <v>0</v>
      </c>
      <c r="AF42" s="2" t="inlineStr">
        <is>
          <t>soft withdrawal</t>
        </is>
      </c>
      <c r="AG42" s="2" t="inlineStr">
        <is>
          <t>quiet boundary</t>
        </is>
      </c>
      <c r="AH42" s="2" t="n">
        <v>0.2</v>
      </c>
      <c r="AI42" s="2" t="inlineStr">
        <is>
          <t>no</t>
        </is>
      </c>
      <c r="AJ42" s="2" t="inlineStr">
        <is>
          <t>no</t>
        </is>
      </c>
      <c r="AK42" s="2" t="inlineStr">
        <is>
          <t>yes</t>
        </is>
      </c>
      <c r="AL42" s="2" t="inlineStr">
        <is>
          <t>yes</t>
        </is>
      </c>
      <c r="AM42" s="2" t="n"/>
      <c r="AN42" s="2" t="n"/>
      <c r="AO42" s="2" t="n"/>
      <c r="AP42" s="2" t="inlineStr">
        <is>
          <t>v3_2026-03-19</t>
        </is>
      </c>
    </row>
    <row r="43" ht="148.5" customHeight="1" s="10">
      <c r="A43" s="2" t="inlineStr">
        <is>
          <t>Q09_B</t>
        </is>
      </c>
      <c r="B43" s="2" t="n">
        <v>9</v>
      </c>
      <c r="C43" s="2" t="n">
        <v>9</v>
      </c>
      <c r="D43" s="2" t="inlineStr">
        <is>
          <t>Core</t>
        </is>
      </c>
      <c r="E43" s="2" t="n">
        <v>1.05</v>
      </c>
      <c r="F43" s="2" t="inlineStr">
        <is>
          <t>ConflictRepair</t>
        </is>
      </c>
      <c r="G43" s="2" t="inlineStr">
        <is>
          <t>CommunicationHealth</t>
        </is>
      </c>
      <c r="H43" s="2" t="n"/>
      <c r="I43" s="2" t="inlineStr">
        <is>
          <t>B</t>
        </is>
      </c>
      <c r="J43" s="2" t="inlineStr">
        <is>
          <t>B</t>
        </is>
      </c>
      <c r="K43" s="2" t="inlineStr">
        <is>
          <t>I act like it's fine, but it lingers. Now I'm checking who else they were with, what story that timing fits into. I overthink for a living.</t>
        </is>
      </c>
      <c r="L43" s="2" t="n">
        <v>5</v>
      </c>
      <c r="M43" s="2" t="n">
        <v>6</v>
      </c>
      <c r="N43" s="2" t="n">
        <v>4</v>
      </c>
      <c r="O43" s="2" t="n">
        <v>4</v>
      </c>
      <c r="P43" s="2" t="n">
        <v>2</v>
      </c>
      <c r="Q43" s="2" t="inlineStr">
        <is>
          <t>Analyzer</t>
        </is>
      </c>
      <c r="R43" s="2" t="n">
        <v>2</v>
      </c>
      <c r="S43" s="2" t="n"/>
      <c r="T43" s="2" t="n"/>
      <c r="U43" s="2" t="n">
        <v>0</v>
      </c>
      <c r="V43" s="2" t="inlineStr">
        <is>
          <t>masc:1.4;fem:0.1</t>
        </is>
      </c>
      <c r="W43" s="2" t="n">
        <v>1.4</v>
      </c>
      <c r="X43" s="2" t="n">
        <v>0.1</v>
      </c>
      <c r="Y43" s="2" t="inlineStr">
        <is>
          <t>COMM_Logical</t>
        </is>
      </c>
      <c r="Z43" s="2" t="inlineStr">
        <is>
          <t>REG_SelfSoother</t>
        </is>
      </c>
      <c r="AA43" s="2" t="inlineStr">
        <is>
          <t>LANG_Service</t>
        </is>
      </c>
      <c r="AB43" s="2" t="inlineStr">
        <is>
          <t>Vulnerability_Loop</t>
        </is>
      </c>
      <c r="AC43" s="2" t="inlineStr">
        <is>
          <t>Vulnerability_Loop</t>
        </is>
      </c>
      <c r="AD43" s="2" t="n"/>
      <c r="AE43" s="2" t="n">
        <v>5</v>
      </c>
      <c r="AF43" s="2" t="inlineStr">
        <is>
          <t>obsessive cross-referencer</t>
        </is>
      </c>
      <c r="AG43" s="2" t="inlineStr">
        <is>
          <t>trust checker</t>
        </is>
      </c>
      <c r="AH43" s="2" t="n">
        <v>0</v>
      </c>
      <c r="AI43" s="2" t="inlineStr">
        <is>
          <t>yes</t>
        </is>
      </c>
      <c r="AJ43" s="2" t="inlineStr">
        <is>
          <t>no</t>
        </is>
      </c>
      <c r="AK43" s="2" t="inlineStr">
        <is>
          <t>yes</t>
        </is>
      </c>
      <c r="AL43" s="2" t="inlineStr">
        <is>
          <t>yes</t>
        </is>
      </c>
      <c r="AM43" s="2" t="n"/>
      <c r="AN43" s="2" t="n"/>
      <c r="AO43" s="2" t="n"/>
      <c r="AP43" s="2" t="inlineStr">
        <is>
          <t>v3_2026-03-19</t>
        </is>
      </c>
    </row>
    <row r="44" ht="162" customHeight="1" s="10">
      <c r="A44" s="2" t="inlineStr">
        <is>
          <t>Q09_C</t>
        </is>
      </c>
      <c r="B44" s="2" t="n">
        <v>9</v>
      </c>
      <c r="C44" s="2" t="n">
        <v>9</v>
      </c>
      <c r="D44" s="2" t="inlineStr">
        <is>
          <t>Core</t>
        </is>
      </c>
      <c r="E44" s="2" t="n">
        <v>1.05</v>
      </c>
      <c r="F44" s="2" t="inlineStr">
        <is>
          <t>ConflictRepair</t>
        </is>
      </c>
      <c r="G44" s="2" t="inlineStr">
        <is>
          <t>CommunicationHealth</t>
        </is>
      </c>
      <c r="H44" s="2" t="n"/>
      <c r="I44" s="2" t="inlineStr">
        <is>
          <t>C</t>
        </is>
      </c>
      <c r="J44" s="2" t="inlineStr">
        <is>
          <t>C</t>
        </is>
      </c>
      <c r="K44" s="2" t="inlineStr">
        <is>
          <t>It stings. I replay the texts a few times, wondering what I said or didn't say. I don't bring it up, but I definitely adjust after that.</t>
        </is>
      </c>
      <c r="L44" s="2" t="n">
        <v>5</v>
      </c>
      <c r="M44" s="2" t="n">
        <v>6</v>
      </c>
      <c r="N44" s="2" t="n">
        <v>2</v>
      </c>
      <c r="O44" s="2" t="n">
        <v>4</v>
      </c>
      <c r="P44" s="2" t="n">
        <v>2</v>
      </c>
      <c r="Q44" s="2" t="inlineStr">
        <is>
          <t>Phantom Seeker</t>
        </is>
      </c>
      <c r="R44" s="2" t="n">
        <v>10</v>
      </c>
      <c r="S44" s="2" t="n"/>
      <c r="T44" s="2" t="n"/>
      <c r="U44" s="2" t="n">
        <v>0</v>
      </c>
      <c r="V44" s="2" t="inlineStr">
        <is>
          <t>masc:-0.2;fem:1.5</t>
        </is>
      </c>
      <c r="W44" s="2" t="n">
        <v>-0.2</v>
      </c>
      <c r="X44" s="2" t="n">
        <v>1.5</v>
      </c>
      <c r="Y44" s="2" t="inlineStr">
        <is>
          <t>COMM_Emotional</t>
        </is>
      </c>
      <c r="Z44" s="2" t="inlineStr">
        <is>
          <t>REG_SelfSoother</t>
        </is>
      </c>
      <c r="AA44" s="2" t="inlineStr">
        <is>
          <t>LANG_Touch</t>
        </is>
      </c>
      <c r="AB44" s="2" t="inlineStr">
        <is>
          <t>Vulnerability_Loop</t>
        </is>
      </c>
      <c r="AC44" s="2" t="inlineStr">
        <is>
          <t>Vulnerability_Loop</t>
        </is>
      </c>
      <c r="AD44" s="2" t="n"/>
      <c r="AE44" s="2" t="n">
        <v>5</v>
      </c>
      <c r="AF44" s="2" t="inlineStr">
        <is>
          <t>internalizer pullback</t>
        </is>
      </c>
      <c r="AG44" s="2" t="inlineStr">
        <is>
          <t>cautious retreater</t>
        </is>
      </c>
      <c r="AH44" s="2" t="n">
        <v>0</v>
      </c>
      <c r="AI44" s="2" t="inlineStr">
        <is>
          <t>yes</t>
        </is>
      </c>
      <c r="AJ44" s="2" t="inlineStr">
        <is>
          <t>no</t>
        </is>
      </c>
      <c r="AK44" s="2" t="inlineStr">
        <is>
          <t>yes</t>
        </is>
      </c>
      <c r="AL44" s="2" t="inlineStr">
        <is>
          <t>yes</t>
        </is>
      </c>
      <c r="AM44" s="2" t="n"/>
      <c r="AN44" s="2" t="n"/>
      <c r="AO44" s="2" t="n"/>
      <c r="AP44" s="2" t="inlineStr">
        <is>
          <t>v3_2026-03-19</t>
        </is>
      </c>
    </row>
    <row r="45" ht="175.5" customHeight="1" s="10">
      <c r="A45" s="2" t="inlineStr">
        <is>
          <t>Q09_D</t>
        </is>
      </c>
      <c r="B45" s="2" t="n">
        <v>9</v>
      </c>
      <c r="C45" s="2" t="n">
        <v>9</v>
      </c>
      <c r="D45" s="2" t="inlineStr">
        <is>
          <t>Core</t>
        </is>
      </c>
      <c r="E45" s="2" t="n">
        <v>1.05</v>
      </c>
      <c r="F45" s="2" t="inlineStr">
        <is>
          <t>ConflictRepair</t>
        </is>
      </c>
      <c r="G45" s="2" t="inlineStr">
        <is>
          <t>CommunicationHealth</t>
        </is>
      </c>
      <c r="H45" s="2" t="n"/>
      <c r="I45" s="2" t="inlineStr">
        <is>
          <t>D</t>
        </is>
      </c>
      <c r="J45" s="2" t="inlineStr">
        <is>
          <t>D</t>
        </is>
      </c>
      <c r="K45" s="2" t="inlineStr">
        <is>
          <t>I get annoyed, then weirdly try harder. Like maybe if I'm more consistent, they'll start matching that. It never really works, but I still do it.</t>
        </is>
      </c>
      <c r="L45" s="2" t="n">
        <v>4</v>
      </c>
      <c r="M45" s="2" t="n">
        <v>5</v>
      </c>
      <c r="N45" s="2" t="n">
        <v>2</v>
      </c>
      <c r="O45" s="2" t="n">
        <v>2</v>
      </c>
      <c r="P45" s="2" t="n">
        <v>2</v>
      </c>
      <c r="Q45" s="2" t="inlineStr">
        <is>
          <t>Fixer</t>
        </is>
      </c>
      <c r="R45" s="2" t="n">
        <v>5</v>
      </c>
      <c r="S45" s="2" t="n"/>
      <c r="T45" s="2" t="n"/>
      <c r="U45" s="2" t="n">
        <v>0</v>
      </c>
      <c r="V45" s="2" t="inlineStr">
        <is>
          <t>masc:-0.4;fem:2.0</t>
        </is>
      </c>
      <c r="W45" s="2" t="n">
        <v>-0.4</v>
      </c>
      <c r="X45" s="2" t="n">
        <v>2</v>
      </c>
      <c r="Y45" s="2" t="inlineStr">
        <is>
          <t>COMM_Emotional</t>
        </is>
      </c>
      <c r="Z45" s="2" t="inlineStr">
        <is>
          <t>REG_CoRegulator</t>
        </is>
      </c>
      <c r="AA45" s="2" t="inlineStr">
        <is>
          <t>LANG_Service</t>
        </is>
      </c>
      <c r="AB45" s="2" t="inlineStr">
        <is>
          <t>Commitment_Ambiguity</t>
        </is>
      </c>
      <c r="AC45" s="2" t="inlineStr">
        <is>
          <t>Commitment_Ambiguity</t>
        </is>
      </c>
      <c r="AD45" s="2" t="n"/>
      <c r="AE45" s="2" t="n">
        <v>5</v>
      </c>
      <c r="AF45" s="2" t="inlineStr">
        <is>
          <t>conditional effort loop</t>
        </is>
      </c>
      <c r="AG45" s="2" t="inlineStr">
        <is>
          <t>overcompensator</t>
        </is>
      </c>
      <c r="AH45" s="2" t="n">
        <v>0</v>
      </c>
      <c r="AI45" s="2" t="inlineStr">
        <is>
          <t>yes</t>
        </is>
      </c>
      <c r="AJ45" s="2" t="inlineStr">
        <is>
          <t>no</t>
        </is>
      </c>
      <c r="AK45" s="2" t="inlineStr">
        <is>
          <t>yes</t>
        </is>
      </c>
      <c r="AL45" s="2" t="inlineStr">
        <is>
          <t>yes</t>
        </is>
      </c>
      <c r="AM45" s="2" t="n"/>
      <c r="AN45" s="2" t="n"/>
      <c r="AO45" s="2" t="n"/>
      <c r="AP45" s="2" t="inlineStr">
        <is>
          <t>v3_2026-03-19</t>
        </is>
      </c>
    </row>
    <row r="46" ht="121.5" customHeight="1" s="10">
      <c r="A46" s="2" t="inlineStr">
        <is>
          <t>Q09_E</t>
        </is>
      </c>
      <c r="B46" s="2" t="n">
        <v>9</v>
      </c>
      <c r="C46" s="2" t="n">
        <v>9</v>
      </c>
      <c r="D46" s="2" t="inlineStr">
        <is>
          <t>Core</t>
        </is>
      </c>
      <c r="E46" s="2" t="n">
        <v>1.05</v>
      </c>
      <c r="F46" s="2" t="inlineStr">
        <is>
          <t>ConflictRepair</t>
        </is>
      </c>
      <c r="G46" s="2" t="inlineStr">
        <is>
          <t>CommunicationHealth</t>
        </is>
      </c>
      <c r="H46" s="2" t="n"/>
      <c r="I46" s="2" t="inlineStr">
        <is>
          <t>E</t>
        </is>
      </c>
      <c r="J46" s="2" t="inlineStr">
        <is>
          <t>E</t>
        </is>
      </c>
      <c r="K46" s="2" t="inlineStr">
        <is>
          <t>Cool. That tells me everything I needed to know. I move different after that, no announcement required.</t>
        </is>
      </c>
      <c r="L46" s="2" t="n">
        <v>4</v>
      </c>
      <c r="M46" s="2" t="n">
        <v>5</v>
      </c>
      <c r="N46" s="2" t="n">
        <v>0</v>
      </c>
      <c r="O46" s="2" t="n">
        <v>0</v>
      </c>
      <c r="P46" s="2" t="n">
        <v>0</v>
      </c>
      <c r="Q46" s="2" t="inlineStr">
        <is>
          <t>Icebox</t>
        </is>
      </c>
      <c r="R46" s="2" t="n">
        <v>1</v>
      </c>
      <c r="S46" s="2" t="n"/>
      <c r="T46" s="2" t="n"/>
      <c r="U46" s="2" t="n">
        <v>0</v>
      </c>
      <c r="V46" s="2" t="inlineStr">
        <is>
          <t>masc:1.8;fem:-1.6</t>
        </is>
      </c>
      <c r="W46" s="2" t="n">
        <v>1.8</v>
      </c>
      <c r="X46" s="2" t="n">
        <v>-1.6</v>
      </c>
      <c r="Y46" s="2" t="inlineStr">
        <is>
          <t>COMM_Avoidant</t>
        </is>
      </c>
      <c r="Z46" s="2" t="inlineStr">
        <is>
          <t>REG_Suppressor</t>
        </is>
      </c>
      <c r="AA46" s="2" t="inlineStr">
        <is>
          <t>LANG_Time</t>
        </is>
      </c>
      <c r="AB46" s="2" t="n"/>
      <c r="AC46" s="2" t="n"/>
      <c r="AD46" s="2" t="n"/>
      <c r="AE46" s="2" t="n">
        <v>0</v>
      </c>
      <c r="AF46" s="2" t="inlineStr">
        <is>
          <t>cold logic</t>
        </is>
      </c>
      <c r="AG46" s="2" t="inlineStr">
        <is>
          <t>decisive exit</t>
        </is>
      </c>
      <c r="AH46" s="2" t="n">
        <v>0.6</v>
      </c>
      <c r="AI46" s="2" t="inlineStr">
        <is>
          <t>no</t>
        </is>
      </c>
      <c r="AJ46" s="2" t="inlineStr">
        <is>
          <t>no</t>
        </is>
      </c>
      <c r="AK46" s="2" t="inlineStr">
        <is>
          <t>yes</t>
        </is>
      </c>
      <c r="AL46" s="2" t="inlineStr">
        <is>
          <t>yes</t>
        </is>
      </c>
      <c r="AM46" s="2" t="n"/>
      <c r="AN46" s="2" t="n"/>
      <c r="AO46" s="2" t="n"/>
      <c r="AP46" s="2" t="inlineStr">
        <is>
          <t>v3_2026-03-19</t>
        </is>
      </c>
    </row>
    <row r="47" ht="148.5" customHeight="1" s="10">
      <c r="A47" s="2" t="inlineStr">
        <is>
          <t>Q10_A</t>
        </is>
      </c>
      <c r="B47" s="2" t="n">
        <v>10</v>
      </c>
      <c r="C47" s="2" t="n">
        <v>10</v>
      </c>
      <c r="D47" s="2" t="inlineStr">
        <is>
          <t>Core</t>
        </is>
      </c>
      <c r="E47" s="2" t="n">
        <v>1.05</v>
      </c>
      <c r="F47" s="2" t="inlineStr">
        <is>
          <t>ConflictRepair</t>
        </is>
      </c>
      <c r="G47" s="2" t="inlineStr">
        <is>
          <t>CommunicationHealth</t>
        </is>
      </c>
      <c r="H47" s="2" t="inlineStr">
        <is>
          <t>Question 10: They come to you for comfort when things go wrong-but you're not sure they'd do the same for you. What runs through your mind?</t>
        </is>
      </c>
      <c r="I47" s="2" t="inlineStr">
        <is>
          <t>A</t>
        </is>
      </c>
      <c r="J47" s="2" t="inlineStr">
        <is>
          <t>A</t>
        </is>
      </c>
      <c r="K47" s="2" t="inlineStr">
        <is>
          <t>I play the part, but I clock the imbalance. I've been the safe place before, doesn't mean they ever planned to stay.</t>
        </is>
      </c>
      <c r="L47" s="2" t="n">
        <v>7</v>
      </c>
      <c r="M47" s="2" t="n">
        <v>8</v>
      </c>
      <c r="N47" s="2" t="n">
        <v>6</v>
      </c>
      <c r="O47" s="2" t="n">
        <v>8</v>
      </c>
      <c r="P47" s="2" t="n">
        <v>6</v>
      </c>
      <c r="Q47" s="2" t="inlineStr">
        <is>
          <t>Survivor</t>
        </is>
      </c>
      <c r="R47" s="2" t="n">
        <v>8</v>
      </c>
      <c r="S47" s="2" t="n"/>
      <c r="T47" s="2" t="n"/>
      <c r="U47" s="2" t="n">
        <v>0</v>
      </c>
      <c r="V47" s="2" t="inlineStr">
        <is>
          <t>masc:0.3;fem:1.3</t>
        </is>
      </c>
      <c r="W47" s="2" t="n">
        <v>0.3</v>
      </c>
      <c r="X47" s="2" t="n">
        <v>1.3</v>
      </c>
      <c r="Y47" s="2" t="inlineStr">
        <is>
          <t>COMM_Emotional</t>
        </is>
      </c>
      <c r="Z47" s="2" t="inlineStr">
        <is>
          <t>REG_SelfSoother</t>
        </is>
      </c>
      <c r="AA47" s="2" t="inlineStr">
        <is>
          <t>LANG_Service</t>
        </is>
      </c>
      <c r="AB47" s="2" t="n"/>
      <c r="AC47" s="2" t="n"/>
      <c r="AD47" s="2" t="n"/>
      <c r="AE47" s="2" t="n">
        <v>0</v>
      </c>
      <c r="AF47" s="2" t="inlineStr">
        <is>
          <t>burned-out responder</t>
        </is>
      </c>
      <c r="AG47" s="2" t="inlineStr">
        <is>
          <t>guarded giver</t>
        </is>
      </c>
      <c r="AH47" s="2" t="n">
        <v>0</v>
      </c>
      <c r="AI47" s="2" t="inlineStr">
        <is>
          <t>no</t>
        </is>
      </c>
      <c r="AJ47" s="2" t="inlineStr">
        <is>
          <t>no</t>
        </is>
      </c>
      <c r="AK47" s="2" t="inlineStr">
        <is>
          <t>yes</t>
        </is>
      </c>
      <c r="AL47" s="2" t="inlineStr">
        <is>
          <t>yes</t>
        </is>
      </c>
      <c r="AM47" s="2" t="n"/>
      <c r="AN47" s="2" t="n"/>
      <c r="AO47" s="2" t="n"/>
      <c r="AP47" s="2" t="inlineStr">
        <is>
          <t>v3_2026-03-19</t>
        </is>
      </c>
    </row>
    <row r="48" ht="108" customHeight="1" s="10">
      <c r="A48" s="2" t="inlineStr">
        <is>
          <t>Q10_B</t>
        </is>
      </c>
      <c r="B48" s="2" t="n">
        <v>10</v>
      </c>
      <c r="C48" s="2" t="n">
        <v>10</v>
      </c>
      <c r="D48" s="2" t="inlineStr">
        <is>
          <t>Core</t>
        </is>
      </c>
      <c r="E48" s="2" t="n">
        <v>1.05</v>
      </c>
      <c r="F48" s="2" t="inlineStr">
        <is>
          <t>ConflictRepair</t>
        </is>
      </c>
      <c r="G48" s="2" t="inlineStr">
        <is>
          <t>CommunicationHealth</t>
        </is>
      </c>
      <c r="H48" s="2" t="n"/>
      <c r="I48" s="2" t="inlineStr">
        <is>
          <t>B</t>
        </is>
      </c>
      <c r="J48" s="2" t="inlineStr">
        <is>
          <t>B</t>
        </is>
      </c>
      <c r="K48" s="2" t="inlineStr">
        <is>
          <t>I try to be what they need, hoping maybe this time they'll realize I'm more than a backup plan.</t>
        </is>
      </c>
      <c r="L48" s="2" t="n">
        <v>6</v>
      </c>
      <c r="M48" s="2" t="n">
        <v>7</v>
      </c>
      <c r="N48" s="2" t="n">
        <v>4</v>
      </c>
      <c r="O48" s="2" t="n">
        <v>6</v>
      </c>
      <c r="P48" s="2" t="n">
        <v>4</v>
      </c>
      <c r="Q48" s="2" t="inlineStr">
        <is>
          <t>Fixer</t>
        </is>
      </c>
      <c r="R48" s="2" t="n">
        <v>5</v>
      </c>
      <c r="S48" s="2" t="n"/>
      <c r="T48" s="2" t="n"/>
      <c r="U48" s="2" t="n">
        <v>0</v>
      </c>
      <c r="V48" s="2" t="inlineStr">
        <is>
          <t>masc:-0.4;fem:2.0</t>
        </is>
      </c>
      <c r="W48" s="2" t="n">
        <v>-0.4</v>
      </c>
      <c r="X48" s="2" t="n">
        <v>2</v>
      </c>
      <c r="Y48" s="2" t="inlineStr">
        <is>
          <t>COMM_Emotional</t>
        </is>
      </c>
      <c r="Z48" s="2" t="inlineStr">
        <is>
          <t>REG_CoRegulator</t>
        </is>
      </c>
      <c r="AA48" s="2" t="inlineStr">
        <is>
          <t>LANG_Service</t>
        </is>
      </c>
      <c r="AB48" s="2" t="inlineStr">
        <is>
          <t>Commitment_Ambiguity</t>
        </is>
      </c>
      <c r="AC48" s="2" t="inlineStr">
        <is>
          <t>Commitment_Ambiguity</t>
        </is>
      </c>
      <c r="AD48" s="2" t="n"/>
      <c r="AE48" s="2" t="n">
        <v>5</v>
      </c>
      <c r="AF48" s="2" t="inlineStr">
        <is>
          <t>approval-seeking caretaker</t>
        </is>
      </c>
      <c r="AG48" s="2" t="inlineStr">
        <is>
          <t>hopeful server</t>
        </is>
      </c>
      <c r="AH48" s="2" t="n">
        <v>0</v>
      </c>
      <c r="AI48" s="2" t="inlineStr">
        <is>
          <t>yes</t>
        </is>
      </c>
      <c r="AJ48" s="2" t="inlineStr">
        <is>
          <t>no</t>
        </is>
      </c>
      <c r="AK48" s="2" t="inlineStr">
        <is>
          <t>yes</t>
        </is>
      </c>
      <c r="AL48" s="2" t="inlineStr">
        <is>
          <t>yes</t>
        </is>
      </c>
      <c r="AM48" s="2" t="n"/>
      <c r="AN48" s="2" t="n"/>
      <c r="AO48" s="2" t="n"/>
      <c r="AP48" s="2" t="inlineStr">
        <is>
          <t>v3_2026-03-19</t>
        </is>
      </c>
    </row>
    <row r="49" ht="148.5" customHeight="1" s="10">
      <c r="A49" s="2" t="inlineStr">
        <is>
          <t>Q10_C</t>
        </is>
      </c>
      <c r="B49" s="2" t="n">
        <v>10</v>
      </c>
      <c r="C49" s="2" t="n">
        <v>10</v>
      </c>
      <c r="D49" s="2" t="inlineStr">
        <is>
          <t>Core</t>
        </is>
      </c>
      <c r="E49" s="2" t="n">
        <v>1.05</v>
      </c>
      <c r="F49" s="2" t="inlineStr">
        <is>
          <t>ConflictRepair</t>
        </is>
      </c>
      <c r="G49" s="2" t="inlineStr">
        <is>
          <t>CommunicationHealth</t>
        </is>
      </c>
      <c r="H49" s="2" t="n"/>
      <c r="I49" s="2" t="inlineStr">
        <is>
          <t>C</t>
        </is>
      </c>
      <c r="J49" s="2" t="inlineStr">
        <is>
          <t>C</t>
        </is>
      </c>
      <c r="K49" s="2" t="inlineStr">
        <is>
          <t>I comfort them, but in my head I'm already creating distance. If I can't count on them too, this whole thing is one-sided.</t>
        </is>
      </c>
      <c r="L49" s="2" t="n">
        <v>7</v>
      </c>
      <c r="M49" s="2" t="n">
        <v>8</v>
      </c>
      <c r="N49" s="2" t="n">
        <v>6</v>
      </c>
      <c r="O49" s="2" t="n">
        <v>8</v>
      </c>
      <c r="P49" s="2" t="n">
        <v>6</v>
      </c>
      <c r="Q49" s="2" t="inlineStr">
        <is>
          <t>Analyzer</t>
        </is>
      </c>
      <c r="R49" s="2" t="n">
        <v>2</v>
      </c>
      <c r="S49" s="2" t="n"/>
      <c r="T49" s="2" t="n"/>
      <c r="U49" s="2" t="n">
        <v>0</v>
      </c>
      <c r="V49" s="2" t="inlineStr">
        <is>
          <t>masc:1.4;fem:0.1</t>
        </is>
      </c>
      <c r="W49" s="2" t="n">
        <v>1.4</v>
      </c>
      <c r="X49" s="2" t="n">
        <v>0.1</v>
      </c>
      <c r="Y49" s="2" t="inlineStr">
        <is>
          <t>COMM_Logical</t>
        </is>
      </c>
      <c r="Z49" s="2" t="inlineStr">
        <is>
          <t>REG_SelfSoother</t>
        </is>
      </c>
      <c r="AA49" s="2" t="inlineStr">
        <is>
          <t>LANG_Service</t>
        </is>
      </c>
      <c r="AB49" s="2" t="n"/>
      <c r="AC49" s="2" t="n"/>
      <c r="AD49" s="2" t="n"/>
      <c r="AE49" s="2" t="n">
        <v>0</v>
      </c>
      <c r="AF49" s="2" t="inlineStr">
        <is>
          <t>measured pullback</t>
        </is>
      </c>
      <c r="AG49" s="2" t="inlineStr">
        <is>
          <t>quiet assessor</t>
        </is>
      </c>
      <c r="AH49" s="2" t="n">
        <v>0</v>
      </c>
      <c r="AI49" s="2" t="inlineStr">
        <is>
          <t>no</t>
        </is>
      </c>
      <c r="AJ49" s="2" t="inlineStr">
        <is>
          <t>no</t>
        </is>
      </c>
      <c r="AK49" s="2" t="inlineStr">
        <is>
          <t>yes</t>
        </is>
      </c>
      <c r="AL49" s="2" t="inlineStr">
        <is>
          <t>yes</t>
        </is>
      </c>
      <c r="AM49" s="2" t="n"/>
      <c r="AN49" s="2" t="n"/>
      <c r="AO49" s="2" t="n"/>
      <c r="AP49" s="2" t="inlineStr">
        <is>
          <t>v3_2026-03-19</t>
        </is>
      </c>
    </row>
    <row r="50" ht="148.5" customHeight="1" s="10">
      <c r="A50" s="2" t="inlineStr">
        <is>
          <t>Q10_D</t>
        </is>
      </c>
      <c r="B50" s="2" t="n">
        <v>10</v>
      </c>
      <c r="C50" s="2" t="n">
        <v>10</v>
      </c>
      <c r="D50" s="2" t="inlineStr">
        <is>
          <t>Core</t>
        </is>
      </c>
      <c r="E50" s="2" t="n">
        <v>1.05</v>
      </c>
      <c r="F50" s="2" t="inlineStr">
        <is>
          <t>ConflictRepair</t>
        </is>
      </c>
      <c r="G50" s="2" t="inlineStr">
        <is>
          <t>CommunicationHealth</t>
        </is>
      </c>
      <c r="H50" s="2" t="n"/>
      <c r="I50" s="2" t="inlineStr">
        <is>
          <t>D</t>
        </is>
      </c>
      <c r="J50" s="2" t="inlineStr">
        <is>
          <t>D</t>
        </is>
      </c>
      <c r="K50" s="2" t="inlineStr">
        <is>
          <t>I act calm, but I feel it. When I need someone, I keep it to myself, so watching them lean on me makes the silence louder.</t>
        </is>
      </c>
      <c r="L50" s="2" t="n">
        <v>5</v>
      </c>
      <c r="M50" s="2" t="n">
        <v>6</v>
      </c>
      <c r="N50" s="2" t="n">
        <v>2</v>
      </c>
      <c r="O50" s="2" t="n">
        <v>4</v>
      </c>
      <c r="P50" s="2" t="n">
        <v>2</v>
      </c>
      <c r="Q50" s="2" t="inlineStr">
        <is>
          <t>Phantom Seeker</t>
        </is>
      </c>
      <c r="R50" s="2" t="n">
        <v>10</v>
      </c>
      <c r="S50" s="2" t="n"/>
      <c r="T50" s="2" t="n"/>
      <c r="U50" s="2" t="n">
        <v>0</v>
      </c>
      <c r="V50" s="2" t="inlineStr">
        <is>
          <t>masc:-0.2;fem:1.5</t>
        </is>
      </c>
      <c r="W50" s="2" t="n">
        <v>-0.2</v>
      </c>
      <c r="X50" s="2" t="n">
        <v>1.5</v>
      </c>
      <c r="Y50" s="2" t="inlineStr">
        <is>
          <t>COMM_Emotional</t>
        </is>
      </c>
      <c r="Z50" s="2" t="inlineStr">
        <is>
          <t>REG_SelfSoother</t>
        </is>
      </c>
      <c r="AA50" s="2" t="inlineStr">
        <is>
          <t>LANG_Touch</t>
        </is>
      </c>
      <c r="AB50" s="2" t="inlineStr">
        <is>
          <t>Transparency_Gap</t>
        </is>
      </c>
      <c r="AC50" s="2" t="inlineStr">
        <is>
          <t>Transparency_Gap</t>
        </is>
      </c>
      <c r="AD50" s="2" t="n"/>
      <c r="AE50" s="2" t="n">
        <v>5</v>
      </c>
      <c r="AF50" s="2" t="inlineStr">
        <is>
          <t>quiet resentment</t>
        </is>
      </c>
      <c r="AG50" s="2" t="inlineStr">
        <is>
          <t>unspoken holder</t>
        </is>
      </c>
      <c r="AH50" s="2" t="n">
        <v>0</v>
      </c>
      <c r="AI50" s="2" t="inlineStr">
        <is>
          <t>yes</t>
        </is>
      </c>
      <c r="AJ50" s="2" t="inlineStr">
        <is>
          <t>no</t>
        </is>
      </c>
      <c r="AK50" s="2" t="inlineStr">
        <is>
          <t>yes</t>
        </is>
      </c>
      <c r="AL50" s="2" t="inlineStr">
        <is>
          <t>yes</t>
        </is>
      </c>
      <c r="AM50" s="2" t="n"/>
      <c r="AN50" s="2" t="n"/>
      <c r="AO50" s="2" t="n"/>
      <c r="AP50" s="2" t="inlineStr">
        <is>
          <t>v3_2026-03-19</t>
        </is>
      </c>
    </row>
    <row r="51" ht="162" customHeight="1" s="10">
      <c r="A51" s="2" t="inlineStr">
        <is>
          <t>Q10_E</t>
        </is>
      </c>
      <c r="B51" s="2" t="n">
        <v>10</v>
      </c>
      <c r="C51" s="2" t="n">
        <v>10</v>
      </c>
      <c r="D51" s="2" t="inlineStr">
        <is>
          <t>Core</t>
        </is>
      </c>
      <c r="E51" s="2" t="n">
        <v>1.05</v>
      </c>
      <c r="F51" s="2" t="inlineStr">
        <is>
          <t>ConflictRepair</t>
        </is>
      </c>
      <c r="G51" s="2" t="inlineStr">
        <is>
          <t>CommunicationHealth</t>
        </is>
      </c>
      <c r="H51" s="2" t="n"/>
      <c r="I51" s="2" t="inlineStr">
        <is>
          <t>E</t>
        </is>
      </c>
      <c r="J51" s="2" t="inlineStr">
        <is>
          <t>E</t>
        </is>
      </c>
      <c r="K51" s="2" t="inlineStr">
        <is>
          <t>I give them what they need in the moment. Then I sit with the feeling later, wondering why I always end up being the one who shows up.</t>
        </is>
      </c>
      <c r="L51" s="2" t="n">
        <v>6</v>
      </c>
      <c r="M51" s="2" t="n">
        <v>7</v>
      </c>
      <c r="N51" s="2" t="n">
        <v>4</v>
      </c>
      <c r="O51" s="2" t="n">
        <v>4</v>
      </c>
      <c r="P51" s="2" t="n">
        <v>4</v>
      </c>
      <c r="Q51" s="2" t="inlineStr">
        <is>
          <t>Romantic Idealist</t>
        </is>
      </c>
      <c r="R51" s="2" t="n">
        <v>6</v>
      </c>
      <c r="S51" s="2" t="n"/>
      <c r="T51" s="2" t="n"/>
      <c r="U51" s="2" t="n">
        <v>0</v>
      </c>
      <c r="V51" s="2" t="inlineStr">
        <is>
          <t>masc:-0.4;fem:1.5</t>
        </is>
      </c>
      <c r="W51" s="2" t="n">
        <v>-0.4</v>
      </c>
      <c r="X51" s="2" t="n">
        <v>1.5</v>
      </c>
      <c r="Y51" s="2" t="inlineStr">
        <is>
          <t>COMM_Emotional</t>
        </is>
      </c>
      <c r="Z51" s="2" t="inlineStr">
        <is>
          <t>REG_Distractor</t>
        </is>
      </c>
      <c r="AA51" s="2" t="inlineStr">
        <is>
          <t>LANG_Gifts</t>
        </is>
      </c>
      <c r="AB51" s="2" t="n"/>
      <c r="AC51" s="2" t="n"/>
      <c r="AD51" s="2" t="n"/>
      <c r="AE51" s="2" t="n">
        <v>0</v>
      </c>
      <c r="AF51" s="2" t="inlineStr">
        <is>
          <t>tired loyal dreamer</t>
        </is>
      </c>
      <c r="AG51" s="2" t="inlineStr">
        <is>
          <t>devoted but drained</t>
        </is>
      </c>
      <c r="AH51" s="2" t="n">
        <v>0</v>
      </c>
      <c r="AI51" s="2" t="inlineStr">
        <is>
          <t>no</t>
        </is>
      </c>
      <c r="AJ51" s="2" t="inlineStr">
        <is>
          <t>no</t>
        </is>
      </c>
      <c r="AK51" s="2" t="inlineStr">
        <is>
          <t>yes</t>
        </is>
      </c>
      <c r="AL51" s="2" t="inlineStr">
        <is>
          <t>yes</t>
        </is>
      </c>
      <c r="AM51" s="2" t="n"/>
      <c r="AN51" s="2" t="n"/>
      <c r="AO51" s="2" t="n"/>
      <c r="AP51" s="2" t="inlineStr">
        <is>
          <t>v3_2026-03-19</t>
        </is>
      </c>
    </row>
    <row r="52" ht="94.5" customHeight="1" s="10">
      <c r="A52" s="2" t="inlineStr">
        <is>
          <t>Q11_A</t>
        </is>
      </c>
      <c r="B52" s="2" t="n">
        <v>11</v>
      </c>
      <c r="C52" s="2" t="n">
        <v>11</v>
      </c>
      <c r="D52" s="2" t="inlineStr">
        <is>
          <t>Core</t>
        </is>
      </c>
      <c r="E52" s="2" t="n">
        <v>1.05</v>
      </c>
      <c r="F52" s="2" t="inlineStr">
        <is>
          <t>ConflictRepair</t>
        </is>
      </c>
      <c r="G52" s="2" t="inlineStr">
        <is>
          <t>CommunicationHealth</t>
        </is>
      </c>
      <c r="H52" s="2" t="inlineStr">
        <is>
          <t>They start acting distant-less replies, colder tone, still polite. What's your first move?</t>
        </is>
      </c>
      <c r="I52" s="2" t="inlineStr">
        <is>
          <t>A</t>
        </is>
      </c>
      <c r="J52" s="2" t="inlineStr">
        <is>
          <t>A</t>
        </is>
      </c>
      <c r="K52" s="2" t="inlineStr">
        <is>
          <t>I give them space. If they want to talk, they will. If not, I take the hint.</t>
        </is>
      </c>
      <c r="L52" s="2" t="n">
        <v>7</v>
      </c>
      <c r="M52" s="2" t="n">
        <v>8</v>
      </c>
      <c r="N52" s="2" t="n">
        <v>4</v>
      </c>
      <c r="O52" s="2" t="n">
        <v>4</v>
      </c>
      <c r="P52" s="2" t="n">
        <v>0</v>
      </c>
      <c r="Q52" s="2" t="inlineStr">
        <is>
          <t>Icebox</t>
        </is>
      </c>
      <c r="R52" s="2" t="n">
        <v>1</v>
      </c>
      <c r="S52" s="2" t="n"/>
      <c r="T52" s="2" t="n"/>
      <c r="U52" s="2" t="n">
        <v>0</v>
      </c>
      <c r="V52" s="2" t="inlineStr">
        <is>
          <t>masc:1.8;fem:-1.6</t>
        </is>
      </c>
      <c r="W52" s="2" t="n">
        <v>1.8</v>
      </c>
      <c r="X52" s="2" t="n">
        <v>-1.6</v>
      </c>
      <c r="Y52" s="2" t="inlineStr">
        <is>
          <t>COMM_Avoidant</t>
        </is>
      </c>
      <c r="Z52" s="2" t="inlineStr">
        <is>
          <t>REG_Suppressor</t>
        </is>
      </c>
      <c r="AA52" s="2" t="inlineStr">
        <is>
          <t>LANG_Time</t>
        </is>
      </c>
      <c r="AB52" s="2" t="n"/>
      <c r="AC52" s="2" t="n"/>
      <c r="AD52" s="2" t="n"/>
      <c r="AE52" s="2" t="n">
        <v>0</v>
      </c>
      <c r="AF52" s="2" t="inlineStr">
        <is>
          <t>detached cool</t>
        </is>
      </c>
      <c r="AG52" s="2" t="inlineStr">
        <is>
          <t>patient withdrawer</t>
        </is>
      </c>
      <c r="AH52" s="2" t="n">
        <v>1.2</v>
      </c>
      <c r="AI52" s="2" t="inlineStr">
        <is>
          <t>no</t>
        </is>
      </c>
      <c r="AJ52" s="2" t="inlineStr">
        <is>
          <t>no</t>
        </is>
      </c>
      <c r="AK52" s="2" t="inlineStr">
        <is>
          <t>yes</t>
        </is>
      </c>
      <c r="AL52" s="2" t="inlineStr">
        <is>
          <t>yes</t>
        </is>
      </c>
      <c r="AM52" s="2" t="n"/>
      <c r="AN52" s="2" t="n"/>
      <c r="AO52" s="2" t="n"/>
      <c r="AP52" s="2" t="inlineStr">
        <is>
          <t>v3_2026-03-19</t>
        </is>
      </c>
    </row>
    <row r="53" ht="94.5" customHeight="1" s="10">
      <c r="A53" s="2" t="inlineStr">
        <is>
          <t>Q11_B</t>
        </is>
      </c>
      <c r="B53" s="2" t="n">
        <v>11</v>
      </c>
      <c r="C53" s="2" t="n">
        <v>11</v>
      </c>
      <c r="D53" s="2" t="inlineStr">
        <is>
          <t>Core</t>
        </is>
      </c>
      <c r="E53" s="2" t="n">
        <v>1.05</v>
      </c>
      <c r="F53" s="2" t="inlineStr">
        <is>
          <t>ConflictRepair</t>
        </is>
      </c>
      <c r="G53" s="2" t="inlineStr">
        <is>
          <t>CommunicationHealth</t>
        </is>
      </c>
      <c r="H53" s="2" t="n"/>
      <c r="I53" s="2" t="inlineStr">
        <is>
          <t>B</t>
        </is>
      </c>
      <c r="J53" s="2" t="inlineStr">
        <is>
          <t>B</t>
        </is>
      </c>
      <c r="K53" s="2" t="inlineStr">
        <is>
          <t>I reread every text. Then I spiral into what I should've said differently.</t>
        </is>
      </c>
      <c r="L53" s="2" t="n">
        <v>4</v>
      </c>
      <c r="M53" s="2" t="n">
        <v>5</v>
      </c>
      <c r="N53" s="2" t="n">
        <v>2</v>
      </c>
      <c r="O53" s="2" t="n">
        <v>2</v>
      </c>
      <c r="P53" s="2" t="n">
        <v>2</v>
      </c>
      <c r="Q53" s="2" t="inlineStr">
        <is>
          <t>Analyzer</t>
        </is>
      </c>
      <c r="R53" s="2" t="n">
        <v>2</v>
      </c>
      <c r="S53" s="2" t="n"/>
      <c r="T53" s="2" t="n"/>
      <c r="U53" s="2" t="n">
        <v>0</v>
      </c>
      <c r="V53" s="2" t="inlineStr">
        <is>
          <t>masc:1.4;fem:0.1</t>
        </is>
      </c>
      <c r="W53" s="2" t="n">
        <v>1.4</v>
      </c>
      <c r="X53" s="2" t="n">
        <v>0.1</v>
      </c>
      <c r="Y53" s="2" t="inlineStr">
        <is>
          <t>COMM_Logical</t>
        </is>
      </c>
      <c r="Z53" s="2" t="inlineStr">
        <is>
          <t>REG_SelfSoother</t>
        </is>
      </c>
      <c r="AA53" s="2" t="inlineStr">
        <is>
          <t>LANG_Service</t>
        </is>
      </c>
      <c r="AB53" s="2" t="inlineStr">
        <is>
          <t>Trust_Tension</t>
        </is>
      </c>
      <c r="AC53" s="2" t="inlineStr">
        <is>
          <t>Trust_Tension</t>
        </is>
      </c>
      <c r="AD53" s="2" t="n"/>
      <c r="AE53" s="2" t="n">
        <v>6</v>
      </c>
      <c r="AF53" s="2" t="inlineStr">
        <is>
          <t>ruminating replayer</t>
        </is>
      </c>
      <c r="AG53" s="2" t="inlineStr">
        <is>
          <t>overanalyzer</t>
        </is>
      </c>
      <c r="AH53" s="2" t="n">
        <v>0</v>
      </c>
      <c r="AI53" s="2" t="inlineStr">
        <is>
          <t>yes</t>
        </is>
      </c>
      <c r="AJ53" s="2" t="inlineStr">
        <is>
          <t>no</t>
        </is>
      </c>
      <c r="AK53" s="2" t="inlineStr">
        <is>
          <t>yes</t>
        </is>
      </c>
      <c r="AL53" s="2" t="inlineStr">
        <is>
          <t>yes</t>
        </is>
      </c>
      <c r="AM53" s="2" t="n"/>
      <c r="AN53" s="2" t="n"/>
      <c r="AO53" s="2" t="n"/>
      <c r="AP53" s="2" t="inlineStr">
        <is>
          <t>v3_2026-03-19</t>
        </is>
      </c>
    </row>
    <row r="54" ht="81" customHeight="1" s="10">
      <c r="A54" s="2" t="inlineStr">
        <is>
          <t>Q11_C</t>
        </is>
      </c>
      <c r="B54" s="2" t="n">
        <v>11</v>
      </c>
      <c r="C54" s="2" t="n">
        <v>11</v>
      </c>
      <c r="D54" s="2" t="inlineStr">
        <is>
          <t>Core</t>
        </is>
      </c>
      <c r="E54" s="2" t="n">
        <v>1.05</v>
      </c>
      <c r="F54" s="2" t="inlineStr">
        <is>
          <t>ConflictRepair</t>
        </is>
      </c>
      <c r="G54" s="2" t="inlineStr">
        <is>
          <t>CommunicationHealth</t>
        </is>
      </c>
      <c r="H54" s="2" t="n"/>
      <c r="I54" s="2" t="inlineStr">
        <is>
          <t>C</t>
        </is>
      </c>
      <c r="J54" s="2" t="inlineStr">
        <is>
          <t>C</t>
        </is>
      </c>
      <c r="K54" s="2" t="inlineStr">
        <is>
          <t>I mirror their shift. If they're pulling back, so am I, no explanations.</t>
        </is>
      </c>
      <c r="L54" s="2" t="n">
        <v>6</v>
      </c>
      <c r="M54" s="2" t="n">
        <v>7</v>
      </c>
      <c r="N54" s="2" t="n">
        <v>2</v>
      </c>
      <c r="O54" s="2" t="n">
        <v>2</v>
      </c>
      <c r="P54" s="2" t="n">
        <v>0</v>
      </c>
      <c r="Q54" s="2" t="inlineStr">
        <is>
          <t>Quiet Exit</t>
        </is>
      </c>
      <c r="R54" s="2" t="n">
        <v>4</v>
      </c>
      <c r="S54" s="2" t="n"/>
      <c r="T54" s="2" t="n"/>
      <c r="U54" s="2" t="n">
        <v>0</v>
      </c>
      <c r="V54" s="2" t="inlineStr">
        <is>
          <t>masc:1.4;fem:-1.3</t>
        </is>
      </c>
      <c r="W54" s="2" t="n">
        <v>1.4</v>
      </c>
      <c r="X54" s="2" t="n">
        <v>-1.3</v>
      </c>
      <c r="Y54" s="2" t="inlineStr">
        <is>
          <t>COMM_Avoidant</t>
        </is>
      </c>
      <c r="Z54" s="2" t="inlineStr">
        <is>
          <t>REG_Suppressor</t>
        </is>
      </c>
      <c r="AA54" s="2" t="inlineStr">
        <is>
          <t>LANG_Time</t>
        </is>
      </c>
      <c r="AB54" s="2" t="inlineStr">
        <is>
          <t>Pursuer_Distancer</t>
        </is>
      </c>
      <c r="AC54" s="2" t="inlineStr">
        <is>
          <t>Pursuer_Distancer</t>
        </is>
      </c>
      <c r="AD54" s="2" t="n"/>
      <c r="AE54" s="2" t="n">
        <v>6</v>
      </c>
      <c r="AF54" s="2" t="inlineStr">
        <is>
          <t>soft echo</t>
        </is>
      </c>
      <c r="AG54" s="2" t="inlineStr">
        <is>
          <t>mirrored withdrawal</t>
        </is>
      </c>
      <c r="AH54" s="2" t="n">
        <v>0.6</v>
      </c>
      <c r="AI54" s="2" t="inlineStr">
        <is>
          <t>yes</t>
        </is>
      </c>
      <c r="AJ54" s="2" t="inlineStr">
        <is>
          <t>no</t>
        </is>
      </c>
      <c r="AK54" s="2" t="inlineStr">
        <is>
          <t>yes</t>
        </is>
      </c>
      <c r="AL54" s="2" t="inlineStr">
        <is>
          <t>yes</t>
        </is>
      </c>
      <c r="AM54" s="2" t="n"/>
      <c r="AN54" s="2" t="n"/>
      <c r="AO54" s="2" t="n"/>
      <c r="AP54" s="2" t="inlineStr">
        <is>
          <t>v3_2026-03-19</t>
        </is>
      </c>
    </row>
    <row r="55" ht="94.5" customHeight="1" s="10">
      <c r="A55" s="2" t="inlineStr">
        <is>
          <t>Q11_D</t>
        </is>
      </c>
      <c r="B55" s="2" t="n">
        <v>11</v>
      </c>
      <c r="C55" s="2" t="n">
        <v>11</v>
      </c>
      <c r="D55" s="2" t="inlineStr">
        <is>
          <t>Core</t>
        </is>
      </c>
      <c r="E55" s="2" t="n">
        <v>1.05</v>
      </c>
      <c r="F55" s="2" t="inlineStr">
        <is>
          <t>ConflictRepair</t>
        </is>
      </c>
      <c r="G55" s="2" t="inlineStr">
        <is>
          <t>CommunicationHealth</t>
        </is>
      </c>
      <c r="H55" s="2" t="n"/>
      <c r="I55" s="2" t="inlineStr">
        <is>
          <t>D</t>
        </is>
      </c>
      <c r="J55" s="2" t="inlineStr">
        <is>
          <t>D</t>
        </is>
      </c>
      <c r="K55" s="2" t="inlineStr">
        <is>
          <t>I try to re-engage them. Make them laugh. Be light. I don't want to feel the shift.</t>
        </is>
      </c>
      <c r="L55" s="2" t="n">
        <v>6</v>
      </c>
      <c r="M55" s="2" t="n">
        <v>7</v>
      </c>
      <c r="N55" s="2" t="n">
        <v>4</v>
      </c>
      <c r="O55" s="2" t="n">
        <v>4</v>
      </c>
      <c r="P55" s="2" t="n">
        <v>2</v>
      </c>
      <c r="Q55" s="2" t="inlineStr">
        <is>
          <t>Performer</t>
        </is>
      </c>
      <c r="R55" s="2" t="n">
        <v>7</v>
      </c>
      <c r="S55" s="2" t="n"/>
      <c r="T55" s="2" t="n"/>
      <c r="U55" s="2" t="n">
        <v>0</v>
      </c>
      <c r="V55" s="2" t="inlineStr">
        <is>
          <t>masc:0.3;fem:0.5</t>
        </is>
      </c>
      <c r="W55" s="2" t="n">
        <v>0.3</v>
      </c>
      <c r="X55" s="2" t="n">
        <v>0.5</v>
      </c>
      <c r="Y55" s="2" t="inlineStr">
        <is>
          <t>COMM_Indirect</t>
        </is>
      </c>
      <c r="Z55" s="2" t="inlineStr">
        <is>
          <t>REG_Distractor</t>
        </is>
      </c>
      <c r="AA55" s="2" t="inlineStr">
        <is>
          <t>LANG_Gifts</t>
        </is>
      </c>
      <c r="AB55" s="2" t="inlineStr">
        <is>
          <t>Vulnerability_Loop</t>
        </is>
      </c>
      <c r="AC55" s="2" t="inlineStr">
        <is>
          <t>Vulnerability_Loop</t>
        </is>
      </c>
      <c r="AD55" s="2" t="n"/>
      <c r="AE55" s="2" t="n">
        <v>5</v>
      </c>
      <c r="AF55" s="2" t="inlineStr">
        <is>
          <t>mood manager</t>
        </is>
      </c>
      <c r="AG55" s="2" t="inlineStr">
        <is>
          <t>tension diffuser</t>
        </is>
      </c>
      <c r="AH55" s="2" t="n">
        <v>0</v>
      </c>
      <c r="AI55" s="2" t="inlineStr">
        <is>
          <t>yes</t>
        </is>
      </c>
      <c r="AJ55" s="2" t="inlineStr">
        <is>
          <t>no</t>
        </is>
      </c>
      <c r="AK55" s="2" t="inlineStr">
        <is>
          <t>yes</t>
        </is>
      </c>
      <c r="AL55" s="2" t="inlineStr">
        <is>
          <t>yes</t>
        </is>
      </c>
      <c r="AM55" s="2" t="n"/>
      <c r="AN55" s="2" t="n"/>
      <c r="AO55" s="2" t="n"/>
      <c r="AP55" s="2" t="inlineStr">
        <is>
          <t>v3_2026-03-19</t>
        </is>
      </c>
    </row>
    <row r="56" ht="81" customHeight="1" s="10">
      <c r="A56" s="2" t="inlineStr">
        <is>
          <t>Q11_E</t>
        </is>
      </c>
      <c r="B56" s="2" t="n">
        <v>11</v>
      </c>
      <c r="C56" s="2" t="n">
        <v>11</v>
      </c>
      <c r="D56" s="2" t="inlineStr">
        <is>
          <t>Core</t>
        </is>
      </c>
      <c r="E56" s="2" t="n">
        <v>1.05</v>
      </c>
      <c r="F56" s="2" t="inlineStr">
        <is>
          <t>ConflictRepair</t>
        </is>
      </c>
      <c r="G56" s="2" t="inlineStr">
        <is>
          <t>CommunicationHealth</t>
        </is>
      </c>
      <c r="H56" s="2" t="n"/>
      <c r="I56" s="2" t="inlineStr">
        <is>
          <t>E</t>
        </is>
      </c>
      <c r="J56" s="2" t="inlineStr">
        <is>
          <t>E</t>
        </is>
      </c>
      <c r="K56" s="2" t="inlineStr">
        <is>
          <t>I sit with it, hoping they'll come back on their own. I don't press. I just wait.</t>
        </is>
      </c>
      <c r="L56" s="2" t="n">
        <v>7</v>
      </c>
      <c r="M56" s="2" t="n">
        <v>8</v>
      </c>
      <c r="N56" s="2" t="n">
        <v>6</v>
      </c>
      <c r="O56" s="2" t="n">
        <v>8</v>
      </c>
      <c r="P56" s="2" t="n">
        <v>8</v>
      </c>
      <c r="Q56" s="2" t="inlineStr">
        <is>
          <t>Translator</t>
        </is>
      </c>
      <c r="R56" s="2" t="n">
        <v>3</v>
      </c>
      <c r="S56" s="2" t="n"/>
      <c r="T56" s="2" t="n"/>
      <c r="U56" s="2" t="n">
        <v>0</v>
      </c>
      <c r="V56" s="2" t="inlineStr">
        <is>
          <t>masc:-0.1;fem:1.6</t>
        </is>
      </c>
      <c r="W56" s="2" t="n">
        <v>-0.1</v>
      </c>
      <c r="X56" s="2" t="n">
        <v>1.6</v>
      </c>
      <c r="Y56" s="2" t="inlineStr">
        <is>
          <t>COMM_Indirect</t>
        </is>
      </c>
      <c r="Z56" s="2" t="inlineStr">
        <is>
          <t>REG_CoRegulator</t>
        </is>
      </c>
      <c r="AA56" s="2" t="inlineStr">
        <is>
          <t>LANG_Words</t>
        </is>
      </c>
      <c r="AB56" s="2" t="n"/>
      <c r="AC56" s="2" t="n"/>
      <c r="AD56" s="2" t="n"/>
      <c r="AE56" s="2" t="n">
        <v>0</v>
      </c>
      <c r="AF56" s="2" t="inlineStr">
        <is>
          <t>gentle responder</t>
        </is>
      </c>
      <c r="AG56" s="2" t="inlineStr">
        <is>
          <t>quiet holder</t>
        </is>
      </c>
      <c r="AH56" s="2" t="n">
        <v>0</v>
      </c>
      <c r="AI56" s="2" t="inlineStr">
        <is>
          <t>no</t>
        </is>
      </c>
      <c r="AJ56" s="2" t="inlineStr">
        <is>
          <t>no</t>
        </is>
      </c>
      <c r="AK56" s="2" t="inlineStr">
        <is>
          <t>yes</t>
        </is>
      </c>
      <c r="AL56" s="2" t="inlineStr">
        <is>
          <t>yes</t>
        </is>
      </c>
      <c r="AM56" s="2" t="n"/>
      <c r="AN56" s="2" t="n"/>
      <c r="AO56" s="2" t="n"/>
      <c r="AP56" s="2" t="inlineStr">
        <is>
          <t>v3_2026-03-19</t>
        </is>
      </c>
    </row>
    <row r="57" ht="108" customHeight="1" s="10">
      <c r="A57" s="2" t="inlineStr">
        <is>
          <t>Q12_A</t>
        </is>
      </c>
      <c r="B57" s="2" t="n">
        <v>12</v>
      </c>
      <c r="C57" s="2" t="n">
        <v>12</v>
      </c>
      <c r="D57" s="2" t="inlineStr">
        <is>
          <t>Core</t>
        </is>
      </c>
      <c r="E57" s="2" t="n">
        <v>1.05</v>
      </c>
      <c r="F57" s="2" t="inlineStr">
        <is>
          <t>ConflictRepair</t>
        </is>
      </c>
      <c r="G57" s="2" t="inlineStr">
        <is>
          <t>CommunicationHealth</t>
        </is>
      </c>
      <c r="H57" s="2" t="inlineStr">
        <is>
          <t>They used to check in every day. Now they don't. You haven't brought it up yet. What's brewing in your head?</t>
        </is>
      </c>
      <c r="I57" s="2" t="inlineStr">
        <is>
          <t>A</t>
        </is>
      </c>
      <c r="J57" s="2" t="inlineStr">
        <is>
          <t>A</t>
        </is>
      </c>
      <c r="K57" s="2" t="inlineStr">
        <is>
          <t>Something changed. I don't know what, but it's not just in my head.</t>
        </is>
      </c>
      <c r="L57" s="2" t="n">
        <v>7</v>
      </c>
      <c r="M57" s="2" t="n">
        <v>8</v>
      </c>
      <c r="N57" s="2" t="n">
        <v>6</v>
      </c>
      <c r="O57" s="2" t="n">
        <v>8</v>
      </c>
      <c r="P57" s="2" t="n">
        <v>6</v>
      </c>
      <c r="Q57" s="2" t="inlineStr">
        <is>
          <t>Analyzer</t>
        </is>
      </c>
      <c r="R57" s="2" t="n">
        <v>2</v>
      </c>
      <c r="S57" s="2" t="n"/>
      <c r="T57" s="2" t="n"/>
      <c r="U57" s="2" t="n">
        <v>0</v>
      </c>
      <c r="V57" s="2" t="inlineStr">
        <is>
          <t>masc:1.4;fem:0.1</t>
        </is>
      </c>
      <c r="W57" s="2" t="n">
        <v>1.4</v>
      </c>
      <c r="X57" s="2" t="n">
        <v>0.1</v>
      </c>
      <c r="Y57" s="2" t="inlineStr">
        <is>
          <t>COMM_Logical</t>
        </is>
      </c>
      <c r="Z57" s="2" t="inlineStr">
        <is>
          <t>REG_SelfSoother</t>
        </is>
      </c>
      <c r="AA57" s="2" t="inlineStr">
        <is>
          <t>LANG_Service</t>
        </is>
      </c>
      <c r="AB57" s="2" t="n"/>
      <c r="AC57" s="2" t="n"/>
      <c r="AD57" s="2" t="n"/>
      <c r="AE57" s="2" t="n">
        <v>0</v>
      </c>
      <c r="AF57" s="2" t="inlineStr">
        <is>
          <t>pattern watcher</t>
        </is>
      </c>
      <c r="AG57" s="2" t="inlineStr">
        <is>
          <t>subtle signal reader</t>
        </is>
      </c>
      <c r="AH57" s="2" t="n">
        <v>0</v>
      </c>
      <c r="AI57" s="2" t="inlineStr">
        <is>
          <t>no</t>
        </is>
      </c>
      <c r="AJ57" s="2" t="inlineStr">
        <is>
          <t>no</t>
        </is>
      </c>
      <c r="AK57" s="2" t="inlineStr">
        <is>
          <t>yes</t>
        </is>
      </c>
      <c r="AL57" s="2" t="inlineStr">
        <is>
          <t>yes</t>
        </is>
      </c>
      <c r="AM57" s="2" t="n"/>
      <c r="AN57" s="2" t="n"/>
      <c r="AO57" s="2" t="n"/>
      <c r="AP57" s="2" t="inlineStr">
        <is>
          <t>v3_2026-03-19</t>
        </is>
      </c>
    </row>
    <row r="58" ht="81" customHeight="1" s="10">
      <c r="A58" s="2" t="inlineStr">
        <is>
          <t>Q12_B</t>
        </is>
      </c>
      <c r="B58" s="2" t="n">
        <v>12</v>
      </c>
      <c r="C58" s="2" t="n">
        <v>12</v>
      </c>
      <c r="D58" s="2" t="inlineStr">
        <is>
          <t>Core</t>
        </is>
      </c>
      <c r="E58" s="2" t="n">
        <v>1.05</v>
      </c>
      <c r="F58" s="2" t="inlineStr">
        <is>
          <t>ConflictRepair</t>
        </is>
      </c>
      <c r="G58" s="2" t="inlineStr">
        <is>
          <t>CommunicationHealth</t>
        </is>
      </c>
      <c r="H58" s="2" t="n"/>
      <c r="I58" s="2" t="inlineStr">
        <is>
          <t>B</t>
        </is>
      </c>
      <c r="J58" s="2" t="inlineStr">
        <is>
          <t>B</t>
        </is>
      </c>
      <c r="K58" s="2" t="inlineStr">
        <is>
          <t>I try not to assume. I wait. If I ask and it's nothing, I'll feel stupid.</t>
        </is>
      </c>
      <c r="L58" s="2" t="n">
        <v>5</v>
      </c>
      <c r="M58" s="2" t="n">
        <v>6</v>
      </c>
      <c r="N58" s="2" t="n">
        <v>2</v>
      </c>
      <c r="O58" s="2" t="n">
        <v>4</v>
      </c>
      <c r="P58" s="2" t="n">
        <v>2</v>
      </c>
      <c r="Q58" s="2" t="inlineStr">
        <is>
          <t>Phantom Seeker</t>
        </is>
      </c>
      <c r="R58" s="2" t="n">
        <v>10</v>
      </c>
      <c r="S58" s="2" t="n"/>
      <c r="T58" s="2" t="n"/>
      <c r="U58" s="2" t="n">
        <v>0</v>
      </c>
      <c r="V58" s="2" t="inlineStr">
        <is>
          <t>masc:-0.2;fem:1.5</t>
        </is>
      </c>
      <c r="W58" s="2" t="n">
        <v>-0.2</v>
      </c>
      <c r="X58" s="2" t="n">
        <v>1.5</v>
      </c>
      <c r="Y58" s="2" t="inlineStr">
        <is>
          <t>COMM_Emotional</t>
        </is>
      </c>
      <c r="Z58" s="2" t="inlineStr">
        <is>
          <t>REG_SelfSoother</t>
        </is>
      </c>
      <c r="AA58" s="2" t="inlineStr">
        <is>
          <t>LANG_Touch</t>
        </is>
      </c>
      <c r="AB58" s="2" t="inlineStr">
        <is>
          <t>Vulnerability_Loop</t>
        </is>
      </c>
      <c r="AC58" s="2" t="inlineStr">
        <is>
          <t>Vulnerability_Loop</t>
        </is>
      </c>
      <c r="AD58" s="2" t="n"/>
      <c r="AE58" s="2" t="n">
        <v>5</v>
      </c>
      <c r="AF58" s="2" t="inlineStr">
        <is>
          <t>doubtful waiter</t>
        </is>
      </c>
      <c r="AG58" s="2" t="inlineStr">
        <is>
          <t>hesitant checker</t>
        </is>
      </c>
      <c r="AH58" s="2" t="n">
        <v>0</v>
      </c>
      <c r="AI58" s="2" t="inlineStr">
        <is>
          <t>yes</t>
        </is>
      </c>
      <c r="AJ58" s="2" t="inlineStr">
        <is>
          <t>no</t>
        </is>
      </c>
      <c r="AK58" s="2" t="inlineStr">
        <is>
          <t>yes</t>
        </is>
      </c>
      <c r="AL58" s="2" t="inlineStr">
        <is>
          <t>yes</t>
        </is>
      </c>
      <c r="AM58" s="2" t="n"/>
      <c r="AN58" s="2" t="n"/>
      <c r="AO58" s="2" t="n"/>
      <c r="AP58" s="2" t="inlineStr">
        <is>
          <t>v3_2026-03-19</t>
        </is>
      </c>
    </row>
    <row r="59" ht="148.5" customHeight="1" s="10">
      <c r="A59" s="2" t="inlineStr">
        <is>
          <t>Q12_C</t>
        </is>
      </c>
      <c r="B59" s="2" t="n">
        <v>12</v>
      </c>
      <c r="C59" s="2" t="n">
        <v>12</v>
      </c>
      <c r="D59" s="2" t="inlineStr">
        <is>
          <t>Core</t>
        </is>
      </c>
      <c r="E59" s="2" t="n">
        <v>1.05</v>
      </c>
      <c r="F59" s="2" t="inlineStr">
        <is>
          <t>ConflictRepair</t>
        </is>
      </c>
      <c r="G59" s="2" t="inlineStr">
        <is>
          <t>CommunicationHealth</t>
        </is>
      </c>
      <c r="H59" s="2" t="n"/>
      <c r="I59" s="2" t="inlineStr">
        <is>
          <t>C</t>
        </is>
      </c>
      <c r="J59" s="2" t="inlineStr">
        <is>
          <t>C</t>
        </is>
      </c>
      <c r="K59" s="2" t="inlineStr">
        <is>
          <t>I bring it up again, but this time they can probably hear the shift in my tone. I'm not trying to argue-I just need them to actually hear me.</t>
        </is>
      </c>
      <c r="L59" s="2" t="n">
        <v>9</v>
      </c>
      <c r="M59" s="2" t="n">
        <v>9</v>
      </c>
      <c r="N59" s="2" t="n">
        <v>10</v>
      </c>
      <c r="O59" s="2" t="n">
        <v>10</v>
      </c>
      <c r="P59" s="2" t="n">
        <v>10</v>
      </c>
      <c r="Q59" s="2" t="inlineStr">
        <is>
          <t>Regulated Grown-Up</t>
        </is>
      </c>
      <c r="R59" s="2" t="n">
        <v>9</v>
      </c>
      <c r="S59" s="2" t="n"/>
      <c r="T59" s="2" t="n"/>
      <c r="U59" s="2" t="n">
        <v>0</v>
      </c>
      <c r="V59" s="2" t="inlineStr">
        <is>
          <t>masc:1.1;fem:0.9</t>
        </is>
      </c>
      <c r="W59" s="2" t="n">
        <v>1.1</v>
      </c>
      <c r="X59" s="2" t="n">
        <v>0.9</v>
      </c>
      <c r="Y59" s="2" t="inlineStr">
        <is>
          <t>COMM_Direct</t>
        </is>
      </c>
      <c r="Z59" s="2" t="inlineStr">
        <is>
          <t>REG_CoRegulator</t>
        </is>
      </c>
      <c r="AA59" s="2" t="inlineStr">
        <is>
          <t>LANG_Words</t>
        </is>
      </c>
      <c r="AB59" s="2" t="n"/>
      <c r="AC59" s="2" t="n"/>
      <c r="AD59" s="2" t="n"/>
      <c r="AE59" s="2" t="n">
        <v>0</v>
      </c>
      <c r="AF59" s="2" t="inlineStr">
        <is>
          <t>calm confronter</t>
        </is>
      </c>
      <c r="AG59" s="2" t="inlineStr">
        <is>
          <t>direct communicator</t>
        </is>
      </c>
      <c r="AH59" s="2" t="n">
        <v>0</v>
      </c>
      <c r="AI59" s="2" t="inlineStr">
        <is>
          <t>no</t>
        </is>
      </c>
      <c r="AJ59" s="2" t="inlineStr">
        <is>
          <t>no</t>
        </is>
      </c>
      <c r="AK59" s="2" t="inlineStr">
        <is>
          <t>yes</t>
        </is>
      </c>
      <c r="AL59" s="2" t="inlineStr">
        <is>
          <t>yes</t>
        </is>
      </c>
      <c r="AM59" s="2" t="n"/>
      <c r="AN59" s="2" t="n"/>
      <c r="AO59" s="2" t="n"/>
      <c r="AP59" s="2" t="inlineStr">
        <is>
          <t>v3_2026-03-19</t>
        </is>
      </c>
    </row>
    <row r="60" ht="81" customHeight="1" s="10">
      <c r="A60" s="2" t="inlineStr">
        <is>
          <t>Q12_D</t>
        </is>
      </c>
      <c r="B60" s="2" t="n">
        <v>12</v>
      </c>
      <c r="C60" s="2" t="n">
        <v>12</v>
      </c>
      <c r="D60" s="2" t="inlineStr">
        <is>
          <t>Core</t>
        </is>
      </c>
      <c r="E60" s="2" t="n">
        <v>1.05</v>
      </c>
      <c r="F60" s="2" t="inlineStr">
        <is>
          <t>ConflictRepair</t>
        </is>
      </c>
      <c r="G60" s="2" t="inlineStr">
        <is>
          <t>CommunicationHealth</t>
        </is>
      </c>
      <c r="H60" s="2" t="n"/>
      <c r="I60" s="2" t="inlineStr">
        <is>
          <t>D</t>
        </is>
      </c>
      <c r="J60" s="2" t="inlineStr">
        <is>
          <t>D</t>
        </is>
      </c>
      <c r="K60" s="2" t="inlineStr">
        <is>
          <t>I joke about it to see how they react. If they don't bite, I pull back quietly.</t>
        </is>
      </c>
      <c r="L60" s="2" t="n">
        <v>6</v>
      </c>
      <c r="M60" s="2" t="n">
        <v>7</v>
      </c>
      <c r="N60" s="2" t="n">
        <v>2</v>
      </c>
      <c r="O60" s="2" t="n">
        <v>2</v>
      </c>
      <c r="P60" s="2" t="n">
        <v>0</v>
      </c>
      <c r="Q60" s="2" t="inlineStr">
        <is>
          <t>Performer</t>
        </is>
      </c>
      <c r="R60" s="2" t="n">
        <v>7</v>
      </c>
      <c r="S60" s="2" t="n"/>
      <c r="T60" s="2" t="n"/>
      <c r="U60" s="2" t="n">
        <v>0</v>
      </c>
      <c r="V60" s="2" t="inlineStr">
        <is>
          <t>masc:0.3;fem:0.5</t>
        </is>
      </c>
      <c r="W60" s="2" t="n">
        <v>0.3</v>
      </c>
      <c r="X60" s="2" t="n">
        <v>0.5</v>
      </c>
      <c r="Y60" s="2" t="inlineStr">
        <is>
          <t>COMM_Indirect</t>
        </is>
      </c>
      <c r="Z60" s="2" t="inlineStr">
        <is>
          <t>REG_Distractor</t>
        </is>
      </c>
      <c r="AA60" s="2" t="inlineStr">
        <is>
          <t>LANG_Gifts</t>
        </is>
      </c>
      <c r="AB60" s="2" t="inlineStr">
        <is>
          <t>Vulnerability_Loop , Scorekeeping_Echo</t>
        </is>
      </c>
      <c r="AC60" s="2" t="inlineStr">
        <is>
          <t>Vulnerability_Loop</t>
        </is>
      </c>
      <c r="AD60" s="2" t="inlineStr">
        <is>
          <t>Scorekeeping_Echo</t>
        </is>
      </c>
      <c r="AE60" s="2" t="n">
        <v>13</v>
      </c>
      <c r="AF60" s="2" t="inlineStr">
        <is>
          <t>playful tester</t>
        </is>
      </c>
      <c r="AG60" s="2" t="inlineStr">
        <is>
          <t>indirect feeler</t>
        </is>
      </c>
      <c r="AH60" s="2" t="n">
        <v>0.8</v>
      </c>
      <c r="AI60" s="2" t="inlineStr">
        <is>
          <t>yes</t>
        </is>
      </c>
      <c r="AJ60" s="2" t="inlineStr">
        <is>
          <t>no</t>
        </is>
      </c>
      <c r="AK60" s="2" t="inlineStr">
        <is>
          <t>yes</t>
        </is>
      </c>
      <c r="AL60" s="2" t="inlineStr">
        <is>
          <t>yes</t>
        </is>
      </c>
      <c r="AM60" s="2" t="n"/>
      <c r="AN60" s="2" t="n"/>
      <c r="AO60" s="2" t="n"/>
      <c r="AP60" s="2" t="inlineStr">
        <is>
          <t>v3_2026-03-19</t>
        </is>
      </c>
    </row>
    <row r="61" ht="108" customHeight="1" s="10">
      <c r="A61" s="2" t="inlineStr">
        <is>
          <t>Q12_E</t>
        </is>
      </c>
      <c r="B61" s="2" t="n">
        <v>12</v>
      </c>
      <c r="C61" s="2" t="n">
        <v>12</v>
      </c>
      <c r="D61" s="2" t="inlineStr">
        <is>
          <t>Core</t>
        </is>
      </c>
      <c r="E61" s="2" t="n">
        <v>1.05</v>
      </c>
      <c r="F61" s="2" t="inlineStr">
        <is>
          <t>ConflictRepair</t>
        </is>
      </c>
      <c r="G61" s="2" t="inlineStr">
        <is>
          <t>CommunicationHealth</t>
        </is>
      </c>
      <c r="H61" s="2" t="n"/>
      <c r="I61" s="2" t="inlineStr">
        <is>
          <t>E</t>
        </is>
      </c>
      <c r="J61" s="2" t="inlineStr">
        <is>
          <t>E</t>
        </is>
      </c>
      <c r="K61" s="2" t="inlineStr">
        <is>
          <t>I shift before they get the chance to. I've seen this pattern before, I know how it ends.</t>
        </is>
      </c>
      <c r="L61" s="2" t="n">
        <v>6</v>
      </c>
      <c r="M61" s="2" t="n">
        <v>7</v>
      </c>
      <c r="N61" s="2" t="n">
        <v>4</v>
      </c>
      <c r="O61" s="2" t="n">
        <v>6</v>
      </c>
      <c r="P61" s="2" t="n">
        <v>4</v>
      </c>
      <c r="Q61" s="2" t="inlineStr">
        <is>
          <t>Survivor</t>
        </is>
      </c>
      <c r="R61" s="2" t="n">
        <v>8</v>
      </c>
      <c r="S61" s="2" t="n"/>
      <c r="T61" s="2" t="n"/>
      <c r="U61" s="2" t="n">
        <v>0</v>
      </c>
      <c r="V61" s="2" t="inlineStr">
        <is>
          <t>masc:0.3;fem:1.3</t>
        </is>
      </c>
      <c r="W61" s="2" t="n">
        <v>0.3</v>
      </c>
      <c r="X61" s="2" t="n">
        <v>1.3</v>
      </c>
      <c r="Y61" s="2" t="inlineStr">
        <is>
          <t>COMM_Emotional</t>
        </is>
      </c>
      <c r="Z61" s="2" t="inlineStr">
        <is>
          <t>REG_SelfSoother</t>
        </is>
      </c>
      <c r="AA61" s="2" t="inlineStr">
        <is>
          <t>LANG_Service</t>
        </is>
      </c>
      <c r="AB61" s="2" t="inlineStr">
        <is>
          <t>Vulnerability_Loop</t>
        </is>
      </c>
      <c r="AC61" s="2" t="inlineStr">
        <is>
          <t>Vulnerability_Loop</t>
        </is>
      </c>
      <c r="AD61" s="2" t="n"/>
      <c r="AE61" s="2" t="n">
        <v>5</v>
      </c>
      <c r="AF61" s="2" t="inlineStr">
        <is>
          <t>pain-preemptive responder</t>
        </is>
      </c>
      <c r="AG61" s="2" t="inlineStr">
        <is>
          <t>early exit planner</t>
        </is>
      </c>
      <c r="AH61" s="2" t="n">
        <v>0</v>
      </c>
      <c r="AI61" s="2" t="inlineStr">
        <is>
          <t>yes</t>
        </is>
      </c>
      <c r="AJ61" s="2" t="inlineStr">
        <is>
          <t>no</t>
        </is>
      </c>
      <c r="AK61" s="2" t="inlineStr">
        <is>
          <t>yes</t>
        </is>
      </c>
      <c r="AL61" s="2" t="inlineStr">
        <is>
          <t>yes</t>
        </is>
      </c>
      <c r="AM61" s="2" t="n"/>
      <c r="AN61" s="2" t="n"/>
      <c r="AO61" s="2" t="n"/>
      <c r="AP61" s="2" t="inlineStr">
        <is>
          <t>v3_2026-03-19</t>
        </is>
      </c>
    </row>
    <row r="62" ht="108" customHeight="1" s="10">
      <c r="A62" s="2" t="inlineStr">
        <is>
          <t>Q13_A</t>
        </is>
      </c>
      <c r="B62" s="2" t="n">
        <v>13</v>
      </c>
      <c r="C62" s="2" t="n">
        <v>13</v>
      </c>
      <c r="D62" s="2" t="inlineStr">
        <is>
          <t>Core</t>
        </is>
      </c>
      <c r="E62" s="2" t="n">
        <v>1.05</v>
      </c>
      <c r="F62" s="2" t="inlineStr">
        <is>
          <t>ConflictRepair</t>
        </is>
      </c>
      <c r="G62" s="2" t="inlineStr">
        <is>
          <t>CommunicationHealth</t>
        </is>
      </c>
      <c r="H62" s="2" t="inlineStr">
        <is>
          <t>They say they like you-but they're inconsistent. What part of you answers that first?</t>
        </is>
      </c>
      <c r="I62" s="2" t="inlineStr">
        <is>
          <t>A</t>
        </is>
      </c>
      <c r="J62" s="2" t="inlineStr">
        <is>
          <t>A</t>
        </is>
      </c>
      <c r="K62" s="2" t="inlineStr">
        <is>
          <t>I just need space to check if I'm seeing it clearly before I lean in. Not to play games.</t>
        </is>
      </c>
      <c r="L62" s="2" t="n">
        <v>8</v>
      </c>
      <c r="M62" s="2" t="n">
        <v>8</v>
      </c>
      <c r="N62" s="2" t="n">
        <v>4</v>
      </c>
      <c r="O62" s="2" t="n">
        <v>4</v>
      </c>
      <c r="P62" s="2" t="n">
        <v>2</v>
      </c>
      <c r="Q62" s="2" t="inlineStr">
        <is>
          <t>Quiet Exit</t>
        </is>
      </c>
      <c r="R62" s="2" t="n">
        <v>4</v>
      </c>
      <c r="S62" s="2" t="n"/>
      <c r="T62" s="2" t="n"/>
      <c r="U62" s="2" t="n">
        <v>0</v>
      </c>
      <c r="V62" s="2" t="inlineStr">
        <is>
          <t>masc:1.4;fem:-1.3</t>
        </is>
      </c>
      <c r="W62" s="2" t="n">
        <v>1.4</v>
      </c>
      <c r="X62" s="2" t="n">
        <v>-1.3</v>
      </c>
      <c r="Y62" s="2" t="inlineStr">
        <is>
          <t>COMM_Avoidant</t>
        </is>
      </c>
      <c r="Z62" s="2" t="inlineStr">
        <is>
          <t>REG_Suppressor</t>
        </is>
      </c>
      <c r="AA62" s="2" t="inlineStr">
        <is>
          <t>LANG_Time</t>
        </is>
      </c>
      <c r="AB62" s="2" t="n"/>
      <c r="AC62" s="2" t="n"/>
      <c r="AD62" s="2" t="n"/>
      <c r="AE62" s="2" t="n">
        <v>0</v>
      </c>
      <c r="AF62" s="2" t="inlineStr">
        <is>
          <t>observer mode</t>
        </is>
      </c>
      <c r="AG62" s="2" t="inlineStr">
        <is>
          <t>cautious engager</t>
        </is>
      </c>
      <c r="AH62" s="2" t="n">
        <v>0.2</v>
      </c>
      <c r="AI62" s="2" t="inlineStr">
        <is>
          <t>no</t>
        </is>
      </c>
      <c r="AJ62" s="2" t="inlineStr">
        <is>
          <t>no</t>
        </is>
      </c>
      <c r="AK62" s="2" t="inlineStr">
        <is>
          <t>yes</t>
        </is>
      </c>
      <c r="AL62" s="2" t="inlineStr">
        <is>
          <t>yes</t>
        </is>
      </c>
      <c r="AM62" s="2" t="n"/>
      <c r="AN62" s="2" t="n"/>
      <c r="AO62" s="2" t="n"/>
      <c r="AP62" s="2" t="inlineStr">
        <is>
          <t>v3_2026-03-19</t>
        </is>
      </c>
    </row>
    <row r="63" ht="121.5" customHeight="1" s="10">
      <c r="A63" s="2" t="inlineStr">
        <is>
          <t>Q13_B</t>
        </is>
      </c>
      <c r="B63" s="2" t="n">
        <v>13</v>
      </c>
      <c r="C63" s="2" t="n">
        <v>13</v>
      </c>
      <c r="D63" s="2" t="inlineStr">
        <is>
          <t>Core</t>
        </is>
      </c>
      <c r="E63" s="2" t="n">
        <v>1.05</v>
      </c>
      <c r="F63" s="2" t="inlineStr">
        <is>
          <t>ConflictRepair</t>
        </is>
      </c>
      <c r="G63" s="2" t="inlineStr">
        <is>
          <t>CommunicationHealth</t>
        </is>
      </c>
      <c r="H63" s="2" t="n"/>
      <c r="I63" s="2" t="inlineStr">
        <is>
          <t>B</t>
        </is>
      </c>
      <c r="J63" s="2" t="inlineStr">
        <is>
          <t>B</t>
        </is>
      </c>
      <c r="K63" s="2" t="inlineStr">
        <is>
          <t>I start imagining what it could be. I try not to get ahead of myself, I just like feeling what it can be.</t>
        </is>
      </c>
      <c r="L63" s="2" t="n">
        <v>7</v>
      </c>
      <c r="M63" s="2" t="n">
        <v>8</v>
      </c>
      <c r="N63" s="2" t="n">
        <v>6</v>
      </c>
      <c r="O63" s="2" t="n">
        <v>6</v>
      </c>
      <c r="P63" s="2" t="n">
        <v>4</v>
      </c>
      <c r="Q63" s="2" t="inlineStr">
        <is>
          <t>Romantic Idealist</t>
        </is>
      </c>
      <c r="R63" s="2" t="n">
        <v>6</v>
      </c>
      <c r="S63" s="2" t="n"/>
      <c r="T63" s="2" t="n"/>
      <c r="U63" s="2" t="n">
        <v>0</v>
      </c>
      <c r="V63" s="2" t="inlineStr">
        <is>
          <t>masc:-0.4;fem:1.5</t>
        </is>
      </c>
      <c r="W63" s="2" t="n">
        <v>-0.4</v>
      </c>
      <c r="X63" s="2" t="n">
        <v>1.5</v>
      </c>
      <c r="Y63" s="2" t="inlineStr">
        <is>
          <t>COMM_Emotional</t>
        </is>
      </c>
      <c r="Z63" s="2" t="inlineStr">
        <is>
          <t>REG_Distractor</t>
        </is>
      </c>
      <c r="AA63" s="2" t="inlineStr">
        <is>
          <t>LANG_Gifts</t>
        </is>
      </c>
      <c r="AB63" s="2" t="n"/>
      <c r="AC63" s="2" t="n"/>
      <c r="AD63" s="2" t="n"/>
      <c r="AE63" s="2" t="n">
        <v>0</v>
      </c>
      <c r="AF63" s="2" t="inlineStr">
        <is>
          <t>daydreaming hopeful</t>
        </is>
      </c>
      <c r="AG63" s="2" t="inlineStr">
        <is>
          <t>romantic visionary</t>
        </is>
      </c>
      <c r="AH63" s="2" t="n">
        <v>0</v>
      </c>
      <c r="AI63" s="2" t="inlineStr">
        <is>
          <t>no</t>
        </is>
      </c>
      <c r="AJ63" s="2" t="inlineStr">
        <is>
          <t>no</t>
        </is>
      </c>
      <c r="AK63" s="2" t="inlineStr">
        <is>
          <t>yes</t>
        </is>
      </c>
      <c r="AL63" s="2" t="inlineStr">
        <is>
          <t>yes</t>
        </is>
      </c>
      <c r="AM63" s="2" t="n"/>
      <c r="AN63" s="2" t="n"/>
      <c r="AO63" s="2" t="n"/>
      <c r="AP63" s="2" t="inlineStr">
        <is>
          <t>v3_2026-03-19</t>
        </is>
      </c>
    </row>
    <row r="64" ht="148.5" customHeight="1" s="10">
      <c r="A64" s="2" t="inlineStr">
        <is>
          <t>Q13_C</t>
        </is>
      </c>
      <c r="B64" s="2" t="n">
        <v>13</v>
      </c>
      <c r="C64" s="2" t="n">
        <v>13</v>
      </c>
      <c r="D64" s="2" t="inlineStr">
        <is>
          <t>Core</t>
        </is>
      </c>
      <c r="E64" s="2" t="n">
        <v>1.05</v>
      </c>
      <c r="F64" s="2" t="inlineStr">
        <is>
          <t>ConflictRepair</t>
        </is>
      </c>
      <c r="G64" s="2" t="inlineStr">
        <is>
          <t>CommunicationHealth</t>
        </is>
      </c>
      <c r="H64" s="2" t="n"/>
      <c r="I64" s="2" t="inlineStr">
        <is>
          <t>C</t>
        </is>
      </c>
      <c r="J64" s="2" t="inlineStr">
        <is>
          <t>C</t>
        </is>
      </c>
      <c r="K64" s="2" t="inlineStr">
        <is>
          <t>I don't say much, but I start showing up more, checking in, remembering little things. That's usually how I start showing my interest.</t>
        </is>
      </c>
      <c r="L64" s="2" t="n">
        <v>8</v>
      </c>
      <c r="M64" s="2" t="n">
        <v>9</v>
      </c>
      <c r="N64" s="2" t="n">
        <v>8</v>
      </c>
      <c r="O64" s="2" t="n">
        <v>10</v>
      </c>
      <c r="P64" s="2" t="n">
        <v>8</v>
      </c>
      <c r="Q64" s="2" t="inlineStr">
        <is>
          <t>Translator</t>
        </is>
      </c>
      <c r="R64" s="2" t="n">
        <v>3</v>
      </c>
      <c r="S64" s="2" t="n"/>
      <c r="T64" s="2" t="n"/>
      <c r="U64" s="2" t="n">
        <v>0</v>
      </c>
      <c r="V64" s="2" t="inlineStr">
        <is>
          <t>masc:-0.1;fem:1.6</t>
        </is>
      </c>
      <c r="W64" s="2" t="n">
        <v>-0.1</v>
      </c>
      <c r="X64" s="2" t="n">
        <v>1.6</v>
      </c>
      <c r="Y64" s="2" t="inlineStr">
        <is>
          <t>COMM_Indirect</t>
        </is>
      </c>
      <c r="Z64" s="2" t="inlineStr">
        <is>
          <t>REG_CoRegulator</t>
        </is>
      </c>
      <c r="AA64" s="2" t="inlineStr">
        <is>
          <t>LANG_Words</t>
        </is>
      </c>
      <c r="AB64" s="2" t="n"/>
      <c r="AC64" s="2" t="n"/>
      <c r="AD64" s="2" t="n"/>
      <c r="AE64" s="2" t="n">
        <v>0</v>
      </c>
      <c r="AF64" s="2" t="inlineStr">
        <is>
          <t>steady signaler</t>
        </is>
      </c>
      <c r="AG64" s="2" t="inlineStr">
        <is>
          <t>consistent investor</t>
        </is>
      </c>
      <c r="AH64" s="2" t="n">
        <v>0</v>
      </c>
      <c r="AI64" s="2" t="inlineStr">
        <is>
          <t>no</t>
        </is>
      </c>
      <c r="AJ64" s="2" t="inlineStr">
        <is>
          <t>no</t>
        </is>
      </c>
      <c r="AK64" s="2" t="inlineStr">
        <is>
          <t>yes</t>
        </is>
      </c>
      <c r="AL64" s="2" t="inlineStr">
        <is>
          <t>yes</t>
        </is>
      </c>
      <c r="AM64" s="2" t="n"/>
      <c r="AN64" s="2" t="n"/>
      <c r="AO64" s="2" t="n"/>
      <c r="AP64" s="2" t="inlineStr">
        <is>
          <t>v3_2026-03-19</t>
        </is>
      </c>
    </row>
    <row r="65" ht="121.5" customHeight="1" s="10">
      <c r="A65" s="2" t="inlineStr">
        <is>
          <t>Q13_D</t>
        </is>
      </c>
      <c r="B65" s="2" t="n">
        <v>13</v>
      </c>
      <c r="C65" s="2" t="n">
        <v>13</v>
      </c>
      <c r="D65" s="2" t="inlineStr">
        <is>
          <t>Core</t>
        </is>
      </c>
      <c r="E65" s="2" t="n">
        <v>1.05</v>
      </c>
      <c r="F65" s="2" t="inlineStr">
        <is>
          <t>ConflictRepair</t>
        </is>
      </c>
      <c r="G65" s="2" t="inlineStr">
        <is>
          <t>CommunicationHealth</t>
        </is>
      </c>
      <c r="H65" s="2" t="n"/>
      <c r="I65" s="2" t="inlineStr">
        <is>
          <t>D</t>
        </is>
      </c>
      <c r="J65" s="2" t="inlineStr">
        <is>
          <t>D</t>
        </is>
      </c>
      <c r="K65" s="2" t="inlineStr">
        <is>
          <t>I want them to like me back, but I need to know it's safe first, so I keep it light while I wait on their actions.</t>
        </is>
      </c>
      <c r="L65" s="2" t="n">
        <v>7</v>
      </c>
      <c r="M65" s="2" t="n">
        <v>8</v>
      </c>
      <c r="N65" s="2" t="n">
        <v>4</v>
      </c>
      <c r="O65" s="2" t="n">
        <v>6</v>
      </c>
      <c r="P65" s="2" t="n">
        <v>4</v>
      </c>
      <c r="Q65" s="2" t="inlineStr">
        <is>
          <t>Performer</t>
        </is>
      </c>
      <c r="R65" s="2" t="n">
        <v>7</v>
      </c>
      <c r="S65" s="2" t="n"/>
      <c r="T65" s="2" t="n"/>
      <c r="U65" s="2" t="n">
        <v>0</v>
      </c>
      <c r="V65" s="2" t="inlineStr">
        <is>
          <t>masc:0.3;fem:0.5</t>
        </is>
      </c>
      <c r="W65" s="2" t="n">
        <v>0.3</v>
      </c>
      <c r="X65" s="2" t="n">
        <v>0.5</v>
      </c>
      <c r="Y65" s="2" t="inlineStr">
        <is>
          <t>COMM_Indirect</t>
        </is>
      </c>
      <c r="Z65" s="2" t="inlineStr">
        <is>
          <t>REG_Distractor</t>
        </is>
      </c>
      <c r="AA65" s="2" t="inlineStr">
        <is>
          <t>LANG_Gifts</t>
        </is>
      </c>
      <c r="AB65" s="2" t="n"/>
      <c r="AC65" s="2" t="n"/>
      <c r="AD65" s="2" t="n"/>
      <c r="AE65" s="2" t="n">
        <v>0</v>
      </c>
      <c r="AF65" s="2" t="inlineStr">
        <is>
          <t>strategic flirter</t>
        </is>
      </c>
      <c r="AG65" s="2" t="inlineStr">
        <is>
          <t>cautious charmer</t>
        </is>
      </c>
      <c r="AH65" s="2" t="n">
        <v>0.2</v>
      </c>
      <c r="AI65" s="2" t="inlineStr">
        <is>
          <t>no</t>
        </is>
      </c>
      <c r="AJ65" s="2" t="inlineStr">
        <is>
          <t>no</t>
        </is>
      </c>
      <c r="AK65" s="2" t="inlineStr">
        <is>
          <t>yes</t>
        </is>
      </c>
      <c r="AL65" s="2" t="inlineStr">
        <is>
          <t>yes</t>
        </is>
      </c>
      <c r="AM65" s="2" t="n"/>
      <c r="AN65" s="2" t="n"/>
      <c r="AO65" s="2" t="n"/>
      <c r="AP65" s="2" t="inlineStr">
        <is>
          <t>v3_2026-03-19</t>
        </is>
      </c>
    </row>
    <row r="66" ht="135" customHeight="1" s="10">
      <c r="A66" s="2" t="inlineStr">
        <is>
          <t>Q13_E</t>
        </is>
      </c>
      <c r="B66" s="2" t="n">
        <v>13</v>
      </c>
      <c r="C66" s="2" t="n">
        <v>13</v>
      </c>
      <c r="D66" s="2" t="inlineStr">
        <is>
          <t>Core</t>
        </is>
      </c>
      <c r="E66" s="2" t="n">
        <v>1.05</v>
      </c>
      <c r="F66" s="2" t="inlineStr">
        <is>
          <t>ConflictRepair</t>
        </is>
      </c>
      <c r="G66" s="2" t="inlineStr">
        <is>
          <t>CommunicationHealth</t>
        </is>
      </c>
      <c r="H66" s="2" t="n"/>
      <c r="I66" s="2" t="inlineStr">
        <is>
          <t>E</t>
        </is>
      </c>
      <c r="J66" s="2" t="inlineStr">
        <is>
          <t>E</t>
        </is>
      </c>
      <c r="K66" s="2" t="inlineStr">
        <is>
          <t>If I like someone, it shows, but I don't rush just because the vibe is good. I wait to see if the energy stays real.</t>
        </is>
      </c>
      <c r="L66" s="2" t="n">
        <v>8</v>
      </c>
      <c r="M66" s="2" t="n">
        <v>9</v>
      </c>
      <c r="N66" s="2" t="n">
        <v>4</v>
      </c>
      <c r="O66" s="2" t="n">
        <v>6</v>
      </c>
      <c r="P66" s="2" t="n">
        <v>2</v>
      </c>
      <c r="Q66" s="2" t="inlineStr">
        <is>
          <t>Icebox</t>
        </is>
      </c>
      <c r="R66" s="2" t="n">
        <v>1</v>
      </c>
      <c r="S66" s="2" t="n"/>
      <c r="T66" s="2" t="n"/>
      <c r="U66" s="2" t="n">
        <v>0</v>
      </c>
      <c r="V66" s="2" t="inlineStr">
        <is>
          <t>masc:1.8;fem:-1.6</t>
        </is>
      </c>
      <c r="W66" s="2" t="n">
        <v>1.8</v>
      </c>
      <c r="X66" s="2" t="n">
        <v>-1.6</v>
      </c>
      <c r="Y66" s="2" t="inlineStr">
        <is>
          <t>COMM_Avoidant</t>
        </is>
      </c>
      <c r="Z66" s="2" t="inlineStr">
        <is>
          <t>REG_Suppressor</t>
        </is>
      </c>
      <c r="AA66" s="2" t="inlineStr">
        <is>
          <t>LANG_Time</t>
        </is>
      </c>
      <c r="AB66" s="2" t="n"/>
      <c r="AC66" s="2" t="n"/>
      <c r="AD66" s="2" t="n"/>
      <c r="AE66" s="2" t="n">
        <v>0</v>
      </c>
      <c r="AF66" s="2" t="inlineStr">
        <is>
          <t>guarded realist</t>
        </is>
      </c>
      <c r="AG66" s="2" t="inlineStr">
        <is>
          <t>patient tester</t>
        </is>
      </c>
      <c r="AH66" s="2" t="n">
        <v>0.6</v>
      </c>
      <c r="AI66" s="2" t="inlineStr">
        <is>
          <t>no</t>
        </is>
      </c>
      <c r="AJ66" s="2" t="inlineStr">
        <is>
          <t>no</t>
        </is>
      </c>
      <c r="AK66" s="2" t="inlineStr">
        <is>
          <t>yes</t>
        </is>
      </c>
      <c r="AL66" s="2" t="inlineStr">
        <is>
          <t>yes</t>
        </is>
      </c>
      <c r="AM66" s="2" t="n"/>
      <c r="AN66" s="2" t="n"/>
      <c r="AO66" s="2" t="n"/>
      <c r="AP66" s="2" t="inlineStr">
        <is>
          <t>v3_2026-03-19</t>
        </is>
      </c>
    </row>
    <row r="67" ht="121.5" customHeight="1" s="10">
      <c r="A67" s="2" t="inlineStr">
        <is>
          <t>Q14_A</t>
        </is>
      </c>
      <c r="B67" s="2" t="n">
        <v>14</v>
      </c>
      <c r="C67" s="2" t="n">
        <v>14</v>
      </c>
      <c r="D67" s="2" t="inlineStr">
        <is>
          <t>Core</t>
        </is>
      </c>
      <c r="E67" s="2" t="n">
        <v>1.05</v>
      </c>
      <c r="F67" s="2" t="inlineStr">
        <is>
          <t>ConflictRepair</t>
        </is>
      </c>
      <c r="G67" s="2" t="inlineStr">
        <is>
          <t>CommunicationHealth</t>
        </is>
      </c>
      <c r="H67" s="2" t="inlineStr">
        <is>
          <t>They keep you in the loop, but never quite make you the priority. What shifts in you?</t>
        </is>
      </c>
      <c r="I67" s="2" t="inlineStr">
        <is>
          <t>A</t>
        </is>
      </c>
      <c r="J67" s="2" t="inlineStr">
        <is>
          <t>A</t>
        </is>
      </c>
      <c r="K67" s="2" t="inlineStr">
        <is>
          <t>I mirror it. They get the same version of me they're handing out. No extra effort for bare minimum.</t>
        </is>
      </c>
      <c r="L67" s="2" t="n">
        <v>7</v>
      </c>
      <c r="M67" s="2" t="n">
        <v>8</v>
      </c>
      <c r="N67" s="2" t="n">
        <v>4</v>
      </c>
      <c r="O67" s="2" t="n">
        <v>4</v>
      </c>
      <c r="P67" s="2" t="n">
        <v>0</v>
      </c>
      <c r="Q67" s="2" t="inlineStr">
        <is>
          <t>Icebox</t>
        </is>
      </c>
      <c r="R67" s="2" t="n">
        <v>1</v>
      </c>
      <c r="S67" s="2" t="n"/>
      <c r="T67" s="2" t="n"/>
      <c r="U67" s="2" t="n">
        <v>0</v>
      </c>
      <c r="V67" s="2" t="inlineStr">
        <is>
          <t>masc:1.8;fem:-1.6</t>
        </is>
      </c>
      <c r="W67" s="2" t="n">
        <v>1.8</v>
      </c>
      <c r="X67" s="2" t="n">
        <v>-1.6</v>
      </c>
      <c r="Y67" s="2" t="inlineStr">
        <is>
          <t>COMM_Avoidant</t>
        </is>
      </c>
      <c r="Z67" s="2" t="inlineStr">
        <is>
          <t>REG_Suppressor</t>
        </is>
      </c>
      <c r="AA67" s="2" t="inlineStr">
        <is>
          <t>LANG_Time</t>
        </is>
      </c>
      <c r="AB67" s="2" t="n"/>
      <c r="AC67" s="2" t="n"/>
      <c r="AD67" s="2" t="n"/>
      <c r="AE67" s="2" t="n">
        <v>0</v>
      </c>
      <c r="AF67" s="2" t="inlineStr">
        <is>
          <t>tactical disengagement</t>
        </is>
      </c>
      <c r="AG67" s="2" t="inlineStr">
        <is>
          <t>mirrored detachment</t>
        </is>
      </c>
      <c r="AH67" s="2" t="n">
        <v>0.6</v>
      </c>
      <c r="AI67" s="2" t="inlineStr">
        <is>
          <t>no</t>
        </is>
      </c>
      <c r="AJ67" s="2" t="inlineStr">
        <is>
          <t>no</t>
        </is>
      </c>
      <c r="AK67" s="2" t="inlineStr">
        <is>
          <t>yes</t>
        </is>
      </c>
      <c r="AL67" s="2" t="inlineStr">
        <is>
          <t>yes</t>
        </is>
      </c>
      <c r="AM67" s="2" t="n"/>
      <c r="AN67" s="2" t="n"/>
      <c r="AO67" s="2" t="n"/>
      <c r="AP67" s="2" t="inlineStr">
        <is>
          <t>v3_2026-03-19</t>
        </is>
      </c>
    </row>
    <row r="68" ht="121.5" customHeight="1" s="10">
      <c r="A68" s="2" t="inlineStr">
        <is>
          <t>Q14_B</t>
        </is>
      </c>
      <c r="B68" s="2" t="n">
        <v>14</v>
      </c>
      <c r="C68" s="2" t="n">
        <v>14</v>
      </c>
      <c r="D68" s="2" t="inlineStr">
        <is>
          <t>Core</t>
        </is>
      </c>
      <c r="E68" s="2" t="n">
        <v>1.05</v>
      </c>
      <c r="F68" s="2" t="inlineStr">
        <is>
          <t>ConflictRepair</t>
        </is>
      </c>
      <c r="G68" s="2" t="inlineStr">
        <is>
          <t>CommunicationHealth</t>
        </is>
      </c>
      <c r="H68" s="2" t="n"/>
      <c r="I68" s="2" t="inlineStr">
        <is>
          <t>B</t>
        </is>
      </c>
      <c r="J68" s="2" t="inlineStr">
        <is>
          <t>B</t>
        </is>
      </c>
      <c r="K68" s="2" t="inlineStr">
        <is>
          <t>I start overexplaining, why I care, what I mean, what I hope for. I try to make it easier to choose me.</t>
        </is>
      </c>
      <c r="L68" s="2" t="n">
        <v>5</v>
      </c>
      <c r="M68" s="2" t="n">
        <v>6</v>
      </c>
      <c r="N68" s="2" t="n">
        <v>4</v>
      </c>
      <c r="O68" s="2" t="n">
        <v>4</v>
      </c>
      <c r="P68" s="2" t="n">
        <v>4</v>
      </c>
      <c r="Q68" s="2" t="inlineStr">
        <is>
          <t>Fixer</t>
        </is>
      </c>
      <c r="R68" s="2" t="n">
        <v>5</v>
      </c>
      <c r="S68" s="2" t="n"/>
      <c r="T68" s="2" t="n"/>
      <c r="U68" s="2" t="n">
        <v>0</v>
      </c>
      <c r="V68" s="2" t="inlineStr">
        <is>
          <t>masc:-0.4;fem:2.0</t>
        </is>
      </c>
      <c r="W68" s="2" t="n">
        <v>-0.4</v>
      </c>
      <c r="X68" s="2" t="n">
        <v>2</v>
      </c>
      <c r="Y68" s="2" t="inlineStr">
        <is>
          <t>COMM_Emotional</t>
        </is>
      </c>
      <c r="Z68" s="2" t="inlineStr">
        <is>
          <t>REG_CoRegulator</t>
        </is>
      </c>
      <c r="AA68" s="2" t="inlineStr">
        <is>
          <t>LANG_Service</t>
        </is>
      </c>
      <c r="AB68" s="2" t="inlineStr">
        <is>
          <t>Vulnerability_Loop</t>
        </is>
      </c>
      <c r="AC68" s="2" t="inlineStr">
        <is>
          <t>Vulnerability_Loop</t>
        </is>
      </c>
      <c r="AD68" s="2" t="n"/>
      <c r="AE68" s="2" t="n">
        <v>5</v>
      </c>
      <c r="AF68" s="2" t="inlineStr">
        <is>
          <t>emotional sales pitch</t>
        </is>
      </c>
      <c r="AG68" s="2" t="inlineStr">
        <is>
          <t>approval seeker</t>
        </is>
      </c>
      <c r="AH68" s="2" t="n">
        <v>0</v>
      </c>
      <c r="AI68" s="2" t="inlineStr">
        <is>
          <t>yes</t>
        </is>
      </c>
      <c r="AJ68" s="2" t="inlineStr">
        <is>
          <t>no</t>
        </is>
      </c>
      <c r="AK68" s="2" t="inlineStr">
        <is>
          <t>yes</t>
        </is>
      </c>
      <c r="AL68" s="2" t="inlineStr">
        <is>
          <t>yes</t>
        </is>
      </c>
      <c r="AM68" s="2" t="n"/>
      <c r="AN68" s="2" t="n"/>
      <c r="AO68" s="2" t="n"/>
      <c r="AP68" s="2" t="inlineStr">
        <is>
          <t>v3_2026-03-19</t>
        </is>
      </c>
    </row>
    <row r="69" ht="108" customHeight="1" s="10">
      <c r="A69" s="2" t="inlineStr">
        <is>
          <t>Q14_C</t>
        </is>
      </c>
      <c r="B69" s="2" t="n">
        <v>14</v>
      </c>
      <c r="C69" s="2" t="n">
        <v>14</v>
      </c>
      <c r="D69" s="2" t="inlineStr">
        <is>
          <t>Core</t>
        </is>
      </c>
      <c r="E69" s="2" t="n">
        <v>1.05</v>
      </c>
      <c r="F69" s="2" t="inlineStr">
        <is>
          <t>ConflictRepair</t>
        </is>
      </c>
      <c r="G69" s="2" t="inlineStr">
        <is>
          <t>CommunicationHealth</t>
        </is>
      </c>
      <c r="H69" s="2" t="n"/>
      <c r="I69" s="2" t="inlineStr">
        <is>
          <t>C</t>
        </is>
      </c>
      <c r="J69" s="2" t="inlineStr">
        <is>
          <t>C</t>
        </is>
      </c>
      <c r="K69" s="2" t="inlineStr">
        <is>
          <t>I act like I don't care, but it eats at me. I show up less, talk less, but I'm still watching every move.</t>
        </is>
      </c>
      <c r="L69" s="2" t="n">
        <v>5</v>
      </c>
      <c r="M69" s="2" t="n">
        <v>6</v>
      </c>
      <c r="N69" s="2" t="n">
        <v>2</v>
      </c>
      <c r="O69" s="2" t="n">
        <v>4</v>
      </c>
      <c r="P69" s="2" t="n">
        <v>2</v>
      </c>
      <c r="Q69" s="2" t="inlineStr">
        <is>
          <t>Phantom Seeker</t>
        </is>
      </c>
      <c r="R69" s="2" t="n">
        <v>10</v>
      </c>
      <c r="S69" s="2" t="n"/>
      <c r="T69" s="2" t="n"/>
      <c r="U69" s="2" t="n">
        <v>0</v>
      </c>
      <c r="V69" s="2" t="inlineStr">
        <is>
          <t>masc:-0.2;fem:1.5</t>
        </is>
      </c>
      <c r="W69" s="2" t="n">
        <v>-0.2</v>
      </c>
      <c r="X69" s="2" t="n">
        <v>1.5</v>
      </c>
      <c r="Y69" s="2" t="inlineStr">
        <is>
          <t>COMM_Emotional</t>
        </is>
      </c>
      <c r="Z69" s="2" t="inlineStr">
        <is>
          <t>REG_SelfSoother</t>
        </is>
      </c>
      <c r="AA69" s="2" t="inlineStr">
        <is>
          <t>LANG_Touch</t>
        </is>
      </c>
      <c r="AB69" s="2" t="inlineStr">
        <is>
          <t>Vulnerability_Loop</t>
        </is>
      </c>
      <c r="AC69" s="2" t="inlineStr">
        <is>
          <t>Vulnerability_Loop</t>
        </is>
      </c>
      <c r="AD69" s="2" t="n"/>
      <c r="AE69" s="2" t="n">
        <v>5</v>
      </c>
      <c r="AF69" s="2" t="inlineStr">
        <is>
          <t>internal retreat</t>
        </is>
      </c>
      <c r="AG69" s="2" t="inlineStr">
        <is>
          <t>quiet stewer</t>
        </is>
      </c>
      <c r="AH69" s="2" t="n">
        <v>0</v>
      </c>
      <c r="AI69" s="2" t="inlineStr">
        <is>
          <t>yes</t>
        </is>
      </c>
      <c r="AJ69" s="2" t="inlineStr">
        <is>
          <t>no</t>
        </is>
      </c>
      <c r="AK69" s="2" t="inlineStr">
        <is>
          <t>yes</t>
        </is>
      </c>
      <c r="AL69" s="2" t="inlineStr">
        <is>
          <t>yes</t>
        </is>
      </c>
      <c r="AM69" s="2" t="n"/>
      <c r="AN69" s="2" t="n"/>
      <c r="AO69" s="2" t="n"/>
      <c r="AP69" s="2" t="inlineStr">
        <is>
          <t>v3_2026-03-19</t>
        </is>
      </c>
    </row>
    <row r="70" ht="135" customHeight="1" s="10">
      <c r="A70" s="2" t="inlineStr">
        <is>
          <t>Q14_D</t>
        </is>
      </c>
      <c r="B70" s="2" t="n">
        <v>14</v>
      </c>
      <c r="C70" s="2" t="n">
        <v>14</v>
      </c>
      <c r="D70" s="2" t="inlineStr">
        <is>
          <t>Core</t>
        </is>
      </c>
      <c r="E70" s="2" t="n">
        <v>1.05</v>
      </c>
      <c r="F70" s="2" t="inlineStr">
        <is>
          <t>ConflictRepair</t>
        </is>
      </c>
      <c r="G70" s="2" t="inlineStr">
        <is>
          <t>CommunicationHealth</t>
        </is>
      </c>
      <c r="H70" s="2" t="n"/>
      <c r="I70" s="2" t="inlineStr">
        <is>
          <t>D</t>
        </is>
      </c>
      <c r="J70" s="2" t="inlineStr">
        <is>
          <t>D</t>
        </is>
      </c>
      <c r="K70" s="2" t="inlineStr">
        <is>
          <t>I pretend I'm fine, but the shift gets loud. Suddenly I'm noticing who they respond to faster. Who gets their energy.</t>
        </is>
      </c>
      <c r="L70" s="2" t="n">
        <v>6</v>
      </c>
      <c r="M70" s="2" t="n">
        <v>7</v>
      </c>
      <c r="N70" s="2" t="n">
        <v>4</v>
      </c>
      <c r="O70" s="2" t="n">
        <v>4</v>
      </c>
      <c r="P70" s="2" t="n">
        <v>2</v>
      </c>
      <c r="Q70" s="2" t="inlineStr">
        <is>
          <t>Analyzer</t>
        </is>
      </c>
      <c r="R70" s="2" t="n">
        <v>2</v>
      </c>
      <c r="S70" s="2" t="n"/>
      <c r="T70" s="2" t="n"/>
      <c r="U70" s="2" t="n">
        <v>0</v>
      </c>
      <c r="V70" s="2" t="inlineStr">
        <is>
          <t>masc:1.4;fem:0.1</t>
        </is>
      </c>
      <c r="W70" s="2" t="n">
        <v>1.4</v>
      </c>
      <c r="X70" s="2" t="n">
        <v>0.1</v>
      </c>
      <c r="Y70" s="2" t="inlineStr">
        <is>
          <t>COMM_Logical</t>
        </is>
      </c>
      <c r="Z70" s="2" t="inlineStr">
        <is>
          <t>REG_SelfSoother</t>
        </is>
      </c>
      <c r="AA70" s="2" t="inlineStr">
        <is>
          <t>LANG_Service</t>
        </is>
      </c>
      <c r="AB70" s="2" t="inlineStr">
        <is>
          <t>Vulnerability_Loop</t>
        </is>
      </c>
      <c r="AC70" s="2" t="inlineStr">
        <is>
          <t>Vulnerability_Loop</t>
        </is>
      </c>
      <c r="AD70" s="2" t="n"/>
      <c r="AE70" s="2" t="n">
        <v>5</v>
      </c>
      <c r="AF70" s="2" t="inlineStr">
        <is>
          <t>silent scorekeeper</t>
        </is>
      </c>
      <c r="AG70" s="2" t="inlineStr">
        <is>
          <t>attention tracker</t>
        </is>
      </c>
      <c r="AH70" s="2" t="n">
        <v>1.8</v>
      </c>
      <c r="AI70" s="2" t="inlineStr">
        <is>
          <t>yes</t>
        </is>
      </c>
      <c r="AJ70" s="2" t="inlineStr">
        <is>
          <t>no</t>
        </is>
      </c>
      <c r="AK70" s="2" t="inlineStr">
        <is>
          <t>yes</t>
        </is>
      </c>
      <c r="AL70" s="2" t="inlineStr">
        <is>
          <t>yes</t>
        </is>
      </c>
      <c r="AM70" s="2" t="n"/>
      <c r="AN70" s="2" t="n"/>
      <c r="AO70" s="2" t="n"/>
      <c r="AP70" s="2" t="inlineStr">
        <is>
          <t>v3_2026-03-19</t>
        </is>
      </c>
    </row>
    <row r="71" ht="121.5" customHeight="1" s="10">
      <c r="A71" s="2" t="inlineStr">
        <is>
          <t>Q14_E</t>
        </is>
      </c>
      <c r="B71" s="2" t="n">
        <v>14</v>
      </c>
      <c r="C71" s="2" t="n">
        <v>14</v>
      </c>
      <c r="D71" s="2" t="inlineStr">
        <is>
          <t>Core</t>
        </is>
      </c>
      <c r="E71" s="2" t="n">
        <v>1.05</v>
      </c>
      <c r="F71" s="2" t="inlineStr">
        <is>
          <t>ConflictRepair</t>
        </is>
      </c>
      <c r="G71" s="2" t="inlineStr">
        <is>
          <t>CommunicationHealth</t>
        </is>
      </c>
      <c r="H71" s="2" t="n"/>
      <c r="I71" s="2" t="inlineStr">
        <is>
          <t>E</t>
        </is>
      </c>
      <c r="J71" s="2" t="inlineStr">
        <is>
          <t>E</t>
        </is>
      </c>
      <c r="K71" s="2" t="inlineStr">
        <is>
          <t>I clock it, stash the receipt, and stop reaching out. I've made that mistake before, won't repeat it.</t>
        </is>
      </c>
      <c r="L71" s="2" t="n">
        <v>8</v>
      </c>
      <c r="M71" s="2" t="n">
        <v>9</v>
      </c>
      <c r="N71" s="2" t="n">
        <v>4</v>
      </c>
      <c r="O71" s="2" t="n">
        <v>6</v>
      </c>
      <c r="P71" s="2" t="n">
        <v>2</v>
      </c>
      <c r="Q71" s="2" t="inlineStr">
        <is>
          <t>Quiet Exit</t>
        </is>
      </c>
      <c r="R71" s="2" t="n">
        <v>4</v>
      </c>
      <c r="S71" s="2" t="n"/>
      <c r="T71" s="2" t="n"/>
      <c r="U71" s="2" t="n">
        <v>0</v>
      </c>
      <c r="V71" s="2" t="inlineStr">
        <is>
          <t>masc:1.4;fem:-1.3</t>
        </is>
      </c>
      <c r="W71" s="2" t="n">
        <v>1.4</v>
      </c>
      <c r="X71" s="2" t="n">
        <v>-1.3</v>
      </c>
      <c r="Y71" s="2" t="inlineStr">
        <is>
          <t>COMM_Avoidant</t>
        </is>
      </c>
      <c r="Z71" s="2" t="inlineStr">
        <is>
          <t>REG_Suppressor</t>
        </is>
      </c>
      <c r="AA71" s="2" t="inlineStr">
        <is>
          <t>LANG_Time</t>
        </is>
      </c>
      <c r="AB71" s="2" t="n"/>
      <c r="AC71" s="2" t="n"/>
      <c r="AD71" s="2" t="n"/>
      <c r="AE71" s="2" t="n">
        <v>0</v>
      </c>
      <c r="AF71" s="2" t="inlineStr">
        <is>
          <t>strategic shutdown</t>
        </is>
      </c>
      <c r="AG71" s="2" t="inlineStr">
        <is>
          <t>decisive withdrawer</t>
        </is>
      </c>
      <c r="AH71" s="2" t="n">
        <v>0.6</v>
      </c>
      <c r="AI71" s="2" t="inlineStr">
        <is>
          <t>no</t>
        </is>
      </c>
      <c r="AJ71" s="2" t="inlineStr">
        <is>
          <t>no</t>
        </is>
      </c>
      <c r="AK71" s="2" t="inlineStr">
        <is>
          <t>yes</t>
        </is>
      </c>
      <c r="AL71" s="2" t="inlineStr">
        <is>
          <t>yes</t>
        </is>
      </c>
      <c r="AM71" s="2" t="n"/>
      <c r="AN71" s="2" t="n"/>
      <c r="AO71" s="2" t="n"/>
      <c r="AP71" s="2" t="inlineStr">
        <is>
          <t>v3_2026-03-19</t>
        </is>
      </c>
    </row>
    <row r="72" ht="135" customHeight="1" s="10">
      <c r="A72" s="2" t="inlineStr">
        <is>
          <t>Q15_A</t>
        </is>
      </c>
      <c r="B72" s="2" t="n">
        <v>15</v>
      </c>
      <c r="C72" s="2" t="n">
        <v>15</v>
      </c>
      <c r="D72" s="2" t="inlineStr">
        <is>
          <t>Core</t>
        </is>
      </c>
      <c r="E72" s="2" t="n">
        <v>1.05</v>
      </c>
      <c r="F72" s="2" t="inlineStr">
        <is>
          <t>ConflictRepair</t>
        </is>
      </c>
      <c r="G72" s="2" t="inlineStr">
        <is>
          <t>CommunicationHealth</t>
        </is>
      </c>
      <c r="H72" s="2" t="inlineStr">
        <is>
          <t>They respond fast. They remember what you say. No mixed signals. It's easy. How does your brain react to that kind of consistency?</t>
        </is>
      </c>
      <c r="I72" s="2" t="inlineStr">
        <is>
          <t>A</t>
        </is>
      </c>
      <c r="J72" s="2" t="inlineStr">
        <is>
          <t>A</t>
        </is>
      </c>
      <c r="K72" s="2" t="inlineStr">
        <is>
          <t>I wait for the twist. Nobody's that into me for no reason. I enjoy it, but I stay suspicious.</t>
        </is>
      </c>
      <c r="L72" s="2" t="n">
        <v>6</v>
      </c>
      <c r="M72" s="2" t="n">
        <v>7</v>
      </c>
      <c r="N72" s="2" t="n">
        <v>4</v>
      </c>
      <c r="O72" s="2" t="n">
        <v>6</v>
      </c>
      <c r="P72" s="2" t="n">
        <v>4</v>
      </c>
      <c r="Q72" s="2" t="inlineStr">
        <is>
          <t>Survivor</t>
        </is>
      </c>
      <c r="R72" s="2" t="n">
        <v>8</v>
      </c>
      <c r="S72" s="2" t="n"/>
      <c r="T72" s="2" t="n"/>
      <c r="U72" s="2" t="n">
        <v>0</v>
      </c>
      <c r="V72" s="2" t="inlineStr">
        <is>
          <t>masc:0.3;fem:1.3</t>
        </is>
      </c>
      <c r="W72" s="2" t="n">
        <v>0.3</v>
      </c>
      <c r="X72" s="2" t="n">
        <v>1.3</v>
      </c>
      <c r="Y72" s="2" t="inlineStr">
        <is>
          <t>COMM_Emotional</t>
        </is>
      </c>
      <c r="Z72" s="2" t="inlineStr">
        <is>
          <t>REG_SelfSoother</t>
        </is>
      </c>
      <c r="AA72" s="2" t="inlineStr">
        <is>
          <t>LANG_Service</t>
        </is>
      </c>
      <c r="AB72" s="2" t="inlineStr">
        <is>
          <t>Vulnerability_Loop</t>
        </is>
      </c>
      <c r="AC72" s="2" t="inlineStr">
        <is>
          <t>Vulnerability_Loop</t>
        </is>
      </c>
      <c r="AD72" s="2" t="n"/>
      <c r="AE72" s="2" t="n">
        <v>5</v>
      </c>
      <c r="AF72" s="2" t="inlineStr">
        <is>
          <t>trauma-calibrated skepticism</t>
        </is>
      </c>
      <c r="AG72" s="2" t="inlineStr">
        <is>
          <t>guarded receiver</t>
        </is>
      </c>
      <c r="AH72" s="2" t="n">
        <v>0</v>
      </c>
      <c r="AI72" s="2" t="inlineStr">
        <is>
          <t>yes</t>
        </is>
      </c>
      <c r="AJ72" s="2" t="inlineStr">
        <is>
          <t>no</t>
        </is>
      </c>
      <c r="AK72" s="2" t="inlineStr">
        <is>
          <t>yes</t>
        </is>
      </c>
      <c r="AL72" s="2" t="inlineStr">
        <is>
          <t>yes</t>
        </is>
      </c>
      <c r="AM72" s="2" t="n"/>
      <c r="AN72" s="2" t="n"/>
      <c r="AO72" s="2" t="n"/>
      <c r="AP72" s="2" t="inlineStr">
        <is>
          <t>v3_2026-03-19</t>
        </is>
      </c>
    </row>
    <row r="73" ht="108" customHeight="1" s="10">
      <c r="A73" s="2" t="inlineStr">
        <is>
          <t>Q15_B</t>
        </is>
      </c>
      <c r="B73" s="2" t="n">
        <v>15</v>
      </c>
      <c r="C73" s="2" t="n">
        <v>15</v>
      </c>
      <c r="D73" s="2" t="inlineStr">
        <is>
          <t>Core</t>
        </is>
      </c>
      <c r="E73" s="2" t="n">
        <v>1.05</v>
      </c>
      <c r="F73" s="2" t="inlineStr">
        <is>
          <t>ConflictRepair</t>
        </is>
      </c>
      <c r="G73" s="2" t="inlineStr">
        <is>
          <t>CommunicationHealth</t>
        </is>
      </c>
      <c r="H73" s="2" t="n"/>
      <c r="I73" s="2" t="inlineStr">
        <is>
          <t>B</t>
        </is>
      </c>
      <c r="J73" s="2" t="inlineStr">
        <is>
          <t>B</t>
        </is>
      </c>
      <c r="K73" s="2" t="inlineStr">
        <is>
          <t>I get anxious. Like... if it's this easy now, what happens when I actually need something?</t>
        </is>
      </c>
      <c r="L73" s="2" t="n">
        <v>5</v>
      </c>
      <c r="M73" s="2" t="n">
        <v>6</v>
      </c>
      <c r="N73" s="2" t="n">
        <v>2</v>
      </c>
      <c r="O73" s="2" t="n">
        <v>4</v>
      </c>
      <c r="P73" s="2" t="n">
        <v>2</v>
      </c>
      <c r="Q73" s="2" t="inlineStr">
        <is>
          <t>Phantom Seeker</t>
        </is>
      </c>
      <c r="R73" s="2" t="n">
        <v>10</v>
      </c>
      <c r="S73" s="2" t="n"/>
      <c r="T73" s="2" t="n"/>
      <c r="U73" s="2" t="n">
        <v>0</v>
      </c>
      <c r="V73" s="2" t="inlineStr">
        <is>
          <t>masc:-0.2;fem:1.5</t>
        </is>
      </c>
      <c r="W73" s="2" t="n">
        <v>-0.2</v>
      </c>
      <c r="X73" s="2" t="n">
        <v>1.5</v>
      </c>
      <c r="Y73" s="2" t="inlineStr">
        <is>
          <t>COMM_Emotional</t>
        </is>
      </c>
      <c r="Z73" s="2" t="inlineStr">
        <is>
          <t>REG_SelfSoother</t>
        </is>
      </c>
      <c r="AA73" s="2" t="inlineStr">
        <is>
          <t>LANG_Touch</t>
        </is>
      </c>
      <c r="AB73" s="2" t="inlineStr">
        <is>
          <t>Vulnerability_Loop</t>
        </is>
      </c>
      <c r="AC73" s="2" t="inlineStr">
        <is>
          <t>Vulnerability_Loop</t>
        </is>
      </c>
      <c r="AD73" s="2" t="n"/>
      <c r="AE73" s="2" t="n">
        <v>5</v>
      </c>
      <c r="AF73" s="2" t="inlineStr">
        <is>
          <t>fragile trust reflex</t>
        </is>
      </c>
      <c r="AG73" s="2" t="inlineStr">
        <is>
          <t>uneasy believer</t>
        </is>
      </c>
      <c r="AH73" s="2" t="n">
        <v>0</v>
      </c>
      <c r="AI73" s="2" t="inlineStr">
        <is>
          <t>yes</t>
        </is>
      </c>
      <c r="AJ73" s="2" t="inlineStr">
        <is>
          <t>no</t>
        </is>
      </c>
      <c r="AK73" s="2" t="inlineStr">
        <is>
          <t>yes</t>
        </is>
      </c>
      <c r="AL73" s="2" t="inlineStr">
        <is>
          <t>yes</t>
        </is>
      </c>
      <c r="AM73" s="2" t="n"/>
      <c r="AN73" s="2" t="n"/>
      <c r="AO73" s="2" t="n"/>
      <c r="AP73" s="2" t="inlineStr">
        <is>
          <t>v3_2026-03-19</t>
        </is>
      </c>
    </row>
    <row r="74" ht="135" customHeight="1" s="10">
      <c r="A74" s="2" t="inlineStr">
        <is>
          <t>Q15_C</t>
        </is>
      </c>
      <c r="B74" s="2" t="n">
        <v>15</v>
      </c>
      <c r="C74" s="2" t="n">
        <v>15</v>
      </c>
      <c r="D74" s="2" t="inlineStr">
        <is>
          <t>Core</t>
        </is>
      </c>
      <c r="E74" s="2" t="n">
        <v>1.05</v>
      </c>
      <c r="F74" s="2" t="inlineStr">
        <is>
          <t>ConflictRepair</t>
        </is>
      </c>
      <c r="G74" s="2" t="inlineStr">
        <is>
          <t>CommunicationHealth</t>
        </is>
      </c>
      <c r="H74" s="2" t="n"/>
      <c r="I74" s="2" t="inlineStr">
        <is>
          <t>C</t>
        </is>
      </c>
      <c r="J74" s="2" t="inlineStr">
        <is>
          <t>C</t>
        </is>
      </c>
      <c r="K74" s="2" t="inlineStr">
        <is>
          <t>I like it, but I start checking what they want from me. Nobody invests like that unless they're expecting a return.</t>
        </is>
      </c>
      <c r="L74" s="2" t="n">
        <v>6</v>
      </c>
      <c r="M74" s="2" t="n">
        <v>7</v>
      </c>
      <c r="N74" s="2" t="n">
        <v>4</v>
      </c>
      <c r="O74" s="2" t="n">
        <v>6</v>
      </c>
      <c r="P74" s="2" t="n">
        <v>4</v>
      </c>
      <c r="Q74" s="2" t="inlineStr">
        <is>
          <t>Analyzer</t>
        </is>
      </c>
      <c r="R74" s="2" t="n">
        <v>2</v>
      </c>
      <c r="S74" s="2" t="n"/>
      <c r="T74" s="2" t="n"/>
      <c r="U74" s="2" t="n">
        <v>0</v>
      </c>
      <c r="V74" s="2" t="inlineStr">
        <is>
          <t>masc:1.4;fem:0.1</t>
        </is>
      </c>
      <c r="W74" s="2" t="n">
        <v>1.4</v>
      </c>
      <c r="X74" s="2" t="n">
        <v>0.1</v>
      </c>
      <c r="Y74" s="2" t="inlineStr">
        <is>
          <t>COMM_Logical</t>
        </is>
      </c>
      <c r="Z74" s="2" t="inlineStr">
        <is>
          <t>REG_SelfSoother</t>
        </is>
      </c>
      <c r="AA74" s="2" t="inlineStr">
        <is>
          <t>LANG_Service</t>
        </is>
      </c>
      <c r="AB74" s="2" t="inlineStr">
        <is>
          <t>Vulnerability_Loop</t>
        </is>
      </c>
      <c r="AC74" s="2" t="inlineStr">
        <is>
          <t>Vulnerability_Loop</t>
        </is>
      </c>
      <c r="AD74" s="2" t="n"/>
      <c r="AE74" s="2" t="n">
        <v>5</v>
      </c>
      <c r="AF74" s="2" t="inlineStr">
        <is>
          <t>reciprocity scanner</t>
        </is>
      </c>
      <c r="AG74" s="2" t="inlineStr">
        <is>
          <t>cautious assessor</t>
        </is>
      </c>
      <c r="AH74" s="2" t="n">
        <v>0</v>
      </c>
      <c r="AI74" s="2" t="inlineStr">
        <is>
          <t>yes</t>
        </is>
      </c>
      <c r="AJ74" s="2" t="inlineStr">
        <is>
          <t>no</t>
        </is>
      </c>
      <c r="AK74" s="2" t="inlineStr">
        <is>
          <t>yes</t>
        </is>
      </c>
      <c r="AL74" s="2" t="inlineStr">
        <is>
          <t>yes</t>
        </is>
      </c>
      <c r="AM74" s="2" t="n"/>
      <c r="AN74" s="2" t="n"/>
      <c r="AO74" s="2" t="n"/>
      <c r="AP74" s="2" t="inlineStr">
        <is>
          <t>v3_2026-03-19</t>
        </is>
      </c>
    </row>
    <row r="75" ht="94.5" customHeight="1" s="10">
      <c r="A75" s="2" t="inlineStr">
        <is>
          <t>Q15_D</t>
        </is>
      </c>
      <c r="B75" s="2" t="n">
        <v>15</v>
      </c>
      <c r="C75" s="2" t="n">
        <v>15</v>
      </c>
      <c r="D75" s="2" t="inlineStr">
        <is>
          <t>Core</t>
        </is>
      </c>
      <c r="E75" s="2" t="n">
        <v>1.05</v>
      </c>
      <c r="F75" s="2" t="inlineStr">
        <is>
          <t>ConflictRepair</t>
        </is>
      </c>
      <c r="G75" s="2" t="inlineStr">
        <is>
          <t>CommunicationHealth</t>
        </is>
      </c>
      <c r="H75" s="2" t="n"/>
      <c r="I75" s="2" t="inlineStr">
        <is>
          <t>D</t>
        </is>
      </c>
      <c r="J75" s="2" t="inlineStr">
        <is>
          <t>D</t>
        </is>
      </c>
      <c r="K75" s="2" t="inlineStr">
        <is>
          <t>I try not to mess it up. I overthink everything I send back. It feels good, but fragile.</t>
        </is>
      </c>
      <c r="L75" s="2" t="n">
        <v>6</v>
      </c>
      <c r="M75" s="2" t="n">
        <v>7</v>
      </c>
      <c r="N75" s="2" t="n">
        <v>4</v>
      </c>
      <c r="O75" s="2" t="n">
        <v>4</v>
      </c>
      <c r="P75" s="2" t="n">
        <v>2</v>
      </c>
      <c r="Q75" s="2" t="inlineStr">
        <is>
          <t>Performer</t>
        </is>
      </c>
      <c r="R75" s="2" t="n">
        <v>7</v>
      </c>
      <c r="S75" s="2" t="n"/>
      <c r="T75" s="2" t="n"/>
      <c r="U75" s="2" t="n">
        <v>0</v>
      </c>
      <c r="V75" s="2" t="inlineStr">
        <is>
          <t>masc:0.3;fem:0.5</t>
        </is>
      </c>
      <c r="W75" s="2" t="n">
        <v>0.3</v>
      </c>
      <c r="X75" s="2" t="n">
        <v>0.5</v>
      </c>
      <c r="Y75" s="2" t="inlineStr">
        <is>
          <t>COMM_Indirect</t>
        </is>
      </c>
      <c r="Z75" s="2" t="inlineStr">
        <is>
          <t>REG_Distractor</t>
        </is>
      </c>
      <c r="AA75" s="2" t="inlineStr">
        <is>
          <t>LANG_Gifts</t>
        </is>
      </c>
      <c r="AB75" s="2" t="inlineStr">
        <is>
          <t>Vulnerability_Loop</t>
        </is>
      </c>
      <c r="AC75" s="2" t="inlineStr">
        <is>
          <t>Vulnerability_Loop</t>
        </is>
      </c>
      <c r="AD75" s="2" t="n"/>
      <c r="AE75" s="2" t="n">
        <v>5</v>
      </c>
      <c r="AF75" s="2" t="inlineStr">
        <is>
          <t>image anxiety</t>
        </is>
      </c>
      <c r="AG75" s="2" t="inlineStr">
        <is>
          <t>careful performer</t>
        </is>
      </c>
      <c r="AH75" s="2" t="n">
        <v>0</v>
      </c>
      <c r="AI75" s="2" t="inlineStr">
        <is>
          <t>yes</t>
        </is>
      </c>
      <c r="AJ75" s="2" t="inlineStr">
        <is>
          <t>no</t>
        </is>
      </c>
      <c r="AK75" s="2" t="inlineStr">
        <is>
          <t>yes</t>
        </is>
      </c>
      <c r="AL75" s="2" t="inlineStr">
        <is>
          <t>yes</t>
        </is>
      </c>
      <c r="AM75" s="2" t="n"/>
      <c r="AN75" s="2" t="n"/>
      <c r="AO75" s="2" t="n"/>
      <c r="AP75" s="2" t="inlineStr">
        <is>
          <t>v3_2026-03-19</t>
        </is>
      </c>
    </row>
    <row r="76" ht="94.5" customHeight="1" s="10">
      <c r="A76" s="2" t="inlineStr">
        <is>
          <t>Q15_E</t>
        </is>
      </c>
      <c r="B76" s="2" t="n">
        <v>15</v>
      </c>
      <c r="C76" s="2" t="n">
        <v>15</v>
      </c>
      <c r="D76" s="2" t="inlineStr">
        <is>
          <t>Core</t>
        </is>
      </c>
      <c r="E76" s="2" t="n">
        <v>1.05</v>
      </c>
      <c r="F76" s="2" t="inlineStr">
        <is>
          <t>ConflictRepair</t>
        </is>
      </c>
      <c r="G76" s="2" t="inlineStr">
        <is>
          <t>CommunicationHealth</t>
        </is>
      </c>
      <c r="H76" s="2" t="n"/>
      <c r="I76" s="2" t="inlineStr">
        <is>
          <t>E</t>
        </is>
      </c>
      <c r="J76" s="2" t="inlineStr">
        <is>
          <t>E</t>
        </is>
      </c>
      <c r="K76" s="2" t="inlineStr">
        <is>
          <t>I match it, but I don't flood it. Feels rare, and I'm not about to fumble it with weird energy.</t>
        </is>
      </c>
      <c r="L76" s="2" t="n">
        <v>9</v>
      </c>
      <c r="M76" s="2" t="n">
        <v>9</v>
      </c>
      <c r="N76" s="2" t="n">
        <v>6</v>
      </c>
      <c r="O76" s="2" t="n">
        <v>6</v>
      </c>
      <c r="P76" s="2" t="n">
        <v>2</v>
      </c>
      <c r="Q76" s="2" t="inlineStr">
        <is>
          <t>Icebox</t>
        </is>
      </c>
      <c r="R76" s="2" t="n">
        <v>1</v>
      </c>
      <c r="S76" s="2" t="n"/>
      <c r="T76" s="2" t="n"/>
      <c r="U76" s="2" t="n">
        <v>0</v>
      </c>
      <c r="V76" s="2" t="inlineStr">
        <is>
          <t>masc:1.8;fem:-1.6</t>
        </is>
      </c>
      <c r="W76" s="2" t="n">
        <v>1.8</v>
      </c>
      <c r="X76" s="2" t="n">
        <v>-1.6</v>
      </c>
      <c r="Y76" s="2" t="inlineStr">
        <is>
          <t>COMM_Avoidant</t>
        </is>
      </c>
      <c r="Z76" s="2" t="inlineStr">
        <is>
          <t>REG_Suppressor</t>
        </is>
      </c>
      <c r="AA76" s="2" t="inlineStr">
        <is>
          <t>LANG_Time</t>
        </is>
      </c>
      <c r="AB76" s="2" t="n"/>
      <c r="AC76" s="2" t="n"/>
      <c r="AD76" s="2" t="n"/>
      <c r="AE76" s="2" t="n">
        <v>0</v>
      </c>
      <c r="AF76" s="2" t="inlineStr">
        <is>
          <t>cautious returner</t>
        </is>
      </c>
      <c r="AG76" s="2" t="inlineStr">
        <is>
          <t>balanced engager</t>
        </is>
      </c>
      <c r="AH76" s="2" t="n">
        <v>0</v>
      </c>
      <c r="AI76" s="2" t="inlineStr">
        <is>
          <t>no</t>
        </is>
      </c>
      <c r="AJ76" s="2" t="inlineStr">
        <is>
          <t>no</t>
        </is>
      </c>
      <c r="AK76" s="2" t="inlineStr">
        <is>
          <t>yes</t>
        </is>
      </c>
      <c r="AL76" s="2" t="inlineStr">
        <is>
          <t>yes</t>
        </is>
      </c>
      <c r="AM76" s="2" t="n"/>
      <c r="AN76" s="2" t="n"/>
      <c r="AO76" s="2" t="n"/>
      <c r="AP76" s="2" t="inlineStr">
        <is>
          <t>v3_2026-03-19</t>
        </is>
      </c>
    </row>
    <row r="77" ht="108" customHeight="1" s="10">
      <c r="A77" s="2" t="inlineStr">
        <is>
          <t>Q16_A</t>
        </is>
      </c>
      <c r="B77" s="2" t="n">
        <v>16</v>
      </c>
      <c r="C77" s="2" t="n">
        <v>16</v>
      </c>
      <c r="D77" s="2" t="inlineStr">
        <is>
          <t>Core</t>
        </is>
      </c>
      <c r="E77" s="2" t="n">
        <v>1.05</v>
      </c>
      <c r="F77" s="2" t="inlineStr">
        <is>
          <t>ConflictRepair</t>
        </is>
      </c>
      <c r="G77" s="2" t="inlineStr">
        <is>
          <t>CommunicationHealth</t>
        </is>
      </c>
      <c r="H77" s="2" t="inlineStr">
        <is>
          <t>They go from warm to cold out of nowhere. What's your first move?</t>
        </is>
      </c>
      <c r="I77" s="2" t="inlineStr">
        <is>
          <t>A</t>
        </is>
      </c>
      <c r="J77" s="2" t="inlineStr">
        <is>
          <t>A</t>
        </is>
      </c>
      <c r="K77" s="2" t="inlineStr">
        <is>
          <t>If you're hot and cold, I'm room temperature and gone. I'm not here to decode moods.</t>
        </is>
      </c>
      <c r="L77" s="2" t="n">
        <v>9</v>
      </c>
      <c r="M77" s="2" t="n">
        <v>9</v>
      </c>
      <c r="N77" s="2" t="n">
        <v>10</v>
      </c>
      <c r="O77" s="2" t="n">
        <v>10</v>
      </c>
      <c r="P77" s="2" t="n">
        <v>10</v>
      </c>
      <c r="Q77" s="2" t="inlineStr">
        <is>
          <t>Regulated Grown-Up</t>
        </is>
      </c>
      <c r="R77" s="2" t="n">
        <v>9</v>
      </c>
      <c r="S77" s="2" t="n"/>
      <c r="T77" s="2" t="n"/>
      <c r="U77" s="2" t="n">
        <v>0</v>
      </c>
      <c r="V77" s="2" t="inlineStr">
        <is>
          <t>masc:1.1;fem:0.9</t>
        </is>
      </c>
      <c r="W77" s="2" t="n">
        <v>1.1</v>
      </c>
      <c r="X77" s="2" t="n">
        <v>0.9</v>
      </c>
      <c r="Y77" s="2" t="inlineStr">
        <is>
          <t>COMM_Direct</t>
        </is>
      </c>
      <c r="Z77" s="2" t="inlineStr">
        <is>
          <t>REG_CoRegulator</t>
        </is>
      </c>
      <c r="AA77" s="2" t="inlineStr">
        <is>
          <t>LANG_Words</t>
        </is>
      </c>
      <c r="AB77" s="2" t="n"/>
      <c r="AC77" s="2" t="n"/>
      <c r="AD77" s="2" t="n"/>
      <c r="AE77" s="2" t="n">
        <v>0</v>
      </c>
      <c r="AF77" s="2" t="inlineStr">
        <is>
          <t>blunt detachment</t>
        </is>
      </c>
      <c r="AG77" s="2" t="inlineStr">
        <is>
          <t>immediate cutoff</t>
        </is>
      </c>
      <c r="AH77" s="2" t="n">
        <v>1.2</v>
      </c>
      <c r="AI77" s="2" t="inlineStr">
        <is>
          <t>no</t>
        </is>
      </c>
      <c r="AJ77" s="2" t="inlineStr">
        <is>
          <t>no</t>
        </is>
      </c>
      <c r="AK77" s="2" t="inlineStr">
        <is>
          <t>yes</t>
        </is>
      </c>
      <c r="AL77" s="2" t="inlineStr">
        <is>
          <t>yes</t>
        </is>
      </c>
      <c r="AM77" s="2" t="n"/>
      <c r="AN77" s="2" t="n"/>
      <c r="AO77" s="2" t="n"/>
      <c r="AP77" s="2" t="inlineStr">
        <is>
          <t>v3_2026-03-19</t>
        </is>
      </c>
    </row>
    <row r="78" ht="175.5" customHeight="1" s="10">
      <c r="A78" s="2" t="inlineStr">
        <is>
          <t>Q16_B</t>
        </is>
      </c>
      <c r="B78" s="2" t="n">
        <v>16</v>
      </c>
      <c r="C78" s="2" t="n">
        <v>16</v>
      </c>
      <c r="D78" s="2" t="inlineStr">
        <is>
          <t>Core</t>
        </is>
      </c>
      <c r="E78" s="2" t="n">
        <v>1.05</v>
      </c>
      <c r="F78" s="2" t="inlineStr">
        <is>
          <t>ConflictRepair</t>
        </is>
      </c>
      <c r="G78" s="2" t="inlineStr">
        <is>
          <t>CommunicationHealth</t>
        </is>
      </c>
      <c r="H78" s="2" t="n"/>
      <c r="I78" s="2" t="inlineStr">
        <is>
          <t>B</t>
        </is>
      </c>
      <c r="J78" s="2" t="inlineStr">
        <is>
          <t>B</t>
        </is>
      </c>
      <c r="K78" s="2" t="inlineStr">
        <is>
          <t>I recheck our last texts. Then I reread mine. Then I wonder if I should've said less, or more. I don't bring it up, but it definitely rewires how I respond.</t>
        </is>
      </c>
      <c r="L78" s="2" t="n">
        <v>5</v>
      </c>
      <c r="M78" s="2" t="n">
        <v>6</v>
      </c>
      <c r="N78" s="2" t="n">
        <v>4</v>
      </c>
      <c r="O78" s="2" t="n">
        <v>4</v>
      </c>
      <c r="P78" s="2" t="n">
        <v>2</v>
      </c>
      <c r="Q78" s="2" t="inlineStr">
        <is>
          <t>Analyzer</t>
        </is>
      </c>
      <c r="R78" s="2" t="n">
        <v>2</v>
      </c>
      <c r="S78" s="2" t="n"/>
      <c r="T78" s="2" t="n"/>
      <c r="U78" s="2" t="n">
        <v>0</v>
      </c>
      <c r="V78" s="2" t="inlineStr">
        <is>
          <t>masc:1.4;fem:0.1</t>
        </is>
      </c>
      <c r="W78" s="2" t="n">
        <v>1.4</v>
      </c>
      <c r="X78" s="2" t="n">
        <v>0.1</v>
      </c>
      <c r="Y78" s="2" t="inlineStr">
        <is>
          <t>COMM_Logical</t>
        </is>
      </c>
      <c r="Z78" s="2" t="inlineStr">
        <is>
          <t>REG_SelfSoother</t>
        </is>
      </c>
      <c r="AA78" s="2" t="inlineStr">
        <is>
          <t>LANG_Service</t>
        </is>
      </c>
      <c r="AB78" s="2" t="inlineStr">
        <is>
          <t>Trust_Tension</t>
        </is>
      </c>
      <c r="AC78" s="2" t="inlineStr">
        <is>
          <t>Trust_Tension</t>
        </is>
      </c>
      <c r="AD78" s="2" t="n"/>
      <c r="AE78" s="2" t="n">
        <v>6</v>
      </c>
      <c r="AF78" s="2" t="inlineStr">
        <is>
          <t>emotional spiral</t>
        </is>
      </c>
      <c r="AG78" s="2" t="inlineStr">
        <is>
          <t>overanalyzer</t>
        </is>
      </c>
      <c r="AH78" s="2" t="n">
        <v>0</v>
      </c>
      <c r="AI78" s="2" t="inlineStr">
        <is>
          <t>yes</t>
        </is>
      </c>
      <c r="AJ78" s="2" t="inlineStr">
        <is>
          <t>no</t>
        </is>
      </c>
      <c r="AK78" s="2" t="inlineStr">
        <is>
          <t>yes</t>
        </is>
      </c>
      <c r="AL78" s="2" t="inlineStr">
        <is>
          <t>yes</t>
        </is>
      </c>
      <c r="AM78" s="2" t="n"/>
      <c r="AN78" s="2" t="n"/>
      <c r="AO78" s="2" t="n"/>
      <c r="AP78" s="2" t="inlineStr">
        <is>
          <t>v3_2026-03-19</t>
        </is>
      </c>
    </row>
    <row r="79" ht="121.5" customHeight="1" s="10">
      <c r="A79" s="2" t="inlineStr">
        <is>
          <t>Q16_C</t>
        </is>
      </c>
      <c r="B79" s="2" t="n">
        <v>16</v>
      </c>
      <c r="C79" s="2" t="n">
        <v>16</v>
      </c>
      <c r="D79" s="2" t="inlineStr">
        <is>
          <t>Core</t>
        </is>
      </c>
      <c r="E79" s="2" t="n">
        <v>1.05</v>
      </c>
      <c r="F79" s="2" t="inlineStr">
        <is>
          <t>ConflictRepair</t>
        </is>
      </c>
      <c r="G79" s="2" t="inlineStr">
        <is>
          <t>CommunicationHealth</t>
        </is>
      </c>
      <c r="H79" s="2" t="n"/>
      <c r="I79" s="2" t="inlineStr">
        <is>
          <t>C</t>
        </is>
      </c>
      <c r="J79" s="2" t="inlineStr">
        <is>
          <t>C</t>
        </is>
      </c>
      <c r="K79" s="2" t="inlineStr">
        <is>
          <t>I back off. They'll either notice or they won't. I'm not chasing people who don't know what they want.</t>
        </is>
      </c>
      <c r="L79" s="2" t="n">
        <v>4</v>
      </c>
      <c r="M79" s="2" t="n">
        <v>5</v>
      </c>
      <c r="N79" s="2" t="n">
        <v>0</v>
      </c>
      <c r="O79" s="2" t="n">
        <v>0</v>
      </c>
      <c r="P79" s="2" t="n">
        <v>0</v>
      </c>
      <c r="Q79" s="2" t="inlineStr">
        <is>
          <t>Icebox</t>
        </is>
      </c>
      <c r="R79" s="2" t="n">
        <v>1</v>
      </c>
      <c r="S79" s="2" t="n"/>
      <c r="T79" s="2" t="n"/>
      <c r="U79" s="2" t="n">
        <v>0</v>
      </c>
      <c r="V79" s="2" t="inlineStr">
        <is>
          <t>masc:1.8;fem:-1.6</t>
        </is>
      </c>
      <c r="W79" s="2" t="n">
        <v>1.8</v>
      </c>
      <c r="X79" s="2" t="n">
        <v>-1.6</v>
      </c>
      <c r="Y79" s="2" t="inlineStr">
        <is>
          <t>COMM_Avoidant</t>
        </is>
      </c>
      <c r="Z79" s="2" t="inlineStr">
        <is>
          <t>REG_Suppressor</t>
        </is>
      </c>
      <c r="AA79" s="2" t="inlineStr">
        <is>
          <t>LANG_Time</t>
        </is>
      </c>
      <c r="AB79" s="2" t="inlineStr">
        <is>
          <t>Vulnerability_Loop</t>
        </is>
      </c>
      <c r="AC79" s="2" t="inlineStr">
        <is>
          <t>Vulnerability_Loop</t>
        </is>
      </c>
      <c r="AD79" s="2" t="n"/>
      <c r="AE79" s="2" t="n">
        <v>5</v>
      </c>
      <c r="AF79" s="2" t="inlineStr">
        <is>
          <t>quiet burn</t>
        </is>
      </c>
      <c r="AG79" s="2" t="inlineStr">
        <is>
          <t>disengaged pullback</t>
        </is>
      </c>
      <c r="AH79" s="2" t="n">
        <v>0.6</v>
      </c>
      <c r="AI79" s="2" t="inlineStr">
        <is>
          <t>yes</t>
        </is>
      </c>
      <c r="AJ79" s="2" t="inlineStr">
        <is>
          <t>no</t>
        </is>
      </c>
      <c r="AK79" s="2" t="inlineStr">
        <is>
          <t>yes</t>
        </is>
      </c>
      <c r="AL79" s="2" t="inlineStr">
        <is>
          <t>yes</t>
        </is>
      </c>
      <c r="AM79" s="2" t="n"/>
      <c r="AN79" s="2" t="n"/>
      <c r="AO79" s="2" t="n"/>
      <c r="AP79" s="2" t="inlineStr">
        <is>
          <t>v3_2026-03-19</t>
        </is>
      </c>
    </row>
    <row r="80" ht="148.5" customHeight="1" s="10">
      <c r="A80" s="2" t="inlineStr">
        <is>
          <t>Q16_D</t>
        </is>
      </c>
      <c r="B80" s="2" t="n">
        <v>16</v>
      </c>
      <c r="C80" s="2" t="n">
        <v>16</v>
      </c>
      <c r="D80" s="2" t="inlineStr">
        <is>
          <t>Core</t>
        </is>
      </c>
      <c r="E80" s="2" t="n">
        <v>1.05</v>
      </c>
      <c r="F80" s="2" t="inlineStr">
        <is>
          <t>ConflictRepair</t>
        </is>
      </c>
      <c r="G80" s="2" t="inlineStr">
        <is>
          <t>CommunicationHealth</t>
        </is>
      </c>
      <c r="H80" s="2" t="n"/>
      <c r="I80" s="2" t="inlineStr">
        <is>
          <t>D</t>
        </is>
      </c>
      <c r="J80" s="2" t="inlineStr">
        <is>
          <t>D</t>
        </is>
      </c>
      <c r="K80" s="2" t="inlineStr">
        <is>
          <t>I stop bringing things up. If they don't want me, I'm not going to beg to be understood. I've played that game before.</t>
        </is>
      </c>
      <c r="L80" s="2" t="n">
        <v>6</v>
      </c>
      <c r="M80" s="2" t="n">
        <v>7</v>
      </c>
      <c r="N80" s="2" t="n">
        <v>4</v>
      </c>
      <c r="O80" s="2" t="n">
        <v>4</v>
      </c>
      <c r="P80" s="2" t="n">
        <v>4</v>
      </c>
      <c r="Q80" s="2" t="inlineStr">
        <is>
          <t>Fixer</t>
        </is>
      </c>
      <c r="R80" s="2" t="n">
        <v>5</v>
      </c>
      <c r="S80" s="2" t="n"/>
      <c r="T80" s="2" t="n"/>
      <c r="U80" s="2" t="n">
        <v>0</v>
      </c>
      <c r="V80" s="2" t="inlineStr">
        <is>
          <t>masc:-0.4;fem:2.0</t>
        </is>
      </c>
      <c r="W80" s="2" t="n">
        <v>-0.4</v>
      </c>
      <c r="X80" s="2" t="n">
        <v>2</v>
      </c>
      <c r="Y80" s="2" t="inlineStr">
        <is>
          <t>COMM_Emotional</t>
        </is>
      </c>
      <c r="Z80" s="2" t="inlineStr">
        <is>
          <t>REG_CoRegulator</t>
        </is>
      </c>
      <c r="AA80" s="2" t="inlineStr">
        <is>
          <t>LANG_Service</t>
        </is>
      </c>
      <c r="AB80" s="2" t="inlineStr">
        <is>
          <t>Affection_Mismatch , Independence_Collision</t>
        </is>
      </c>
      <c r="AC80" s="2" t="inlineStr">
        <is>
          <t>Affection_Mismatch</t>
        </is>
      </c>
      <c r="AD80" s="2" t="inlineStr">
        <is>
          <t>Independence_Collision</t>
        </is>
      </c>
      <c r="AE80" s="2" t="n">
        <v>9</v>
      </c>
      <c r="AF80" s="2" t="inlineStr">
        <is>
          <t>resigned caregiver</t>
        </is>
      </c>
      <c r="AG80" s="2" t="inlineStr">
        <is>
          <t>silent surrender</t>
        </is>
      </c>
      <c r="AH80" s="2" t="n">
        <v>1.2</v>
      </c>
      <c r="AI80" s="2" t="inlineStr">
        <is>
          <t>yes</t>
        </is>
      </c>
      <c r="AJ80" s="2" t="inlineStr">
        <is>
          <t>no</t>
        </is>
      </c>
      <c r="AK80" s="2" t="inlineStr">
        <is>
          <t>yes</t>
        </is>
      </c>
      <c r="AL80" s="2" t="inlineStr">
        <is>
          <t>yes</t>
        </is>
      </c>
      <c r="AM80" s="2" t="n"/>
      <c r="AN80" s="2" t="n"/>
      <c r="AO80" s="2" t="n"/>
      <c r="AP80" s="2" t="inlineStr">
        <is>
          <t>v3_2026-03-19</t>
        </is>
      </c>
    </row>
    <row r="81" ht="135" customHeight="1" s="10">
      <c r="A81" s="2" t="inlineStr">
        <is>
          <t>Q16_E</t>
        </is>
      </c>
      <c r="B81" s="2" t="n">
        <v>16</v>
      </c>
      <c r="C81" s="2" t="n">
        <v>16</v>
      </c>
      <c r="D81" s="2" t="inlineStr">
        <is>
          <t>Core</t>
        </is>
      </c>
      <c r="E81" s="2" t="n">
        <v>1.05</v>
      </c>
      <c r="F81" s="2" t="inlineStr">
        <is>
          <t>ConflictRepair</t>
        </is>
      </c>
      <c r="G81" s="2" t="inlineStr">
        <is>
          <t>CommunicationHealth</t>
        </is>
      </c>
      <c r="H81" s="2" t="n"/>
      <c r="I81" s="2" t="inlineStr">
        <is>
          <t>E</t>
        </is>
      </c>
      <c r="J81" s="2" t="inlineStr">
        <is>
          <t>E</t>
        </is>
      </c>
      <c r="K81" s="2" t="inlineStr">
        <is>
          <t>I tell myself it's probably just stress or a bad week. I don't want to give up too early, but it's hard not to notice when it shifts.</t>
        </is>
      </c>
      <c r="L81" s="2" t="n">
        <v>7</v>
      </c>
      <c r="M81" s="2" t="n">
        <v>8</v>
      </c>
      <c r="N81" s="2" t="n">
        <v>6</v>
      </c>
      <c r="O81" s="2" t="n">
        <v>6</v>
      </c>
      <c r="P81" s="2" t="n">
        <v>4</v>
      </c>
      <c r="Q81" s="2" t="inlineStr">
        <is>
          <t>Romantic Idealist</t>
        </is>
      </c>
      <c r="R81" s="2" t="n">
        <v>6</v>
      </c>
      <c r="S81" s="2" t="n"/>
      <c r="T81" s="2" t="n"/>
      <c r="U81" s="2" t="n">
        <v>0</v>
      </c>
      <c r="V81" s="2" t="inlineStr">
        <is>
          <t>masc:-0.4;fem:1.5</t>
        </is>
      </c>
      <c r="W81" s="2" t="n">
        <v>-0.4</v>
      </c>
      <c r="X81" s="2" t="n">
        <v>1.5</v>
      </c>
      <c r="Y81" s="2" t="inlineStr">
        <is>
          <t>COMM_Emotional</t>
        </is>
      </c>
      <c r="Z81" s="2" t="inlineStr">
        <is>
          <t>REG_Distractor</t>
        </is>
      </c>
      <c r="AA81" s="2" t="inlineStr">
        <is>
          <t>LANG_Gifts</t>
        </is>
      </c>
      <c r="AB81" s="2" t="n"/>
      <c r="AC81" s="2" t="n"/>
      <c r="AD81" s="2" t="n"/>
      <c r="AE81" s="2" t="n">
        <v>0</v>
      </c>
      <c r="AF81" s="2" t="inlineStr">
        <is>
          <t>tired hope</t>
        </is>
      </c>
      <c r="AG81" s="2" t="inlineStr">
        <is>
          <t>cautious optimist</t>
        </is>
      </c>
      <c r="AH81" s="2" t="n">
        <v>0</v>
      </c>
      <c r="AI81" s="2" t="inlineStr">
        <is>
          <t>no</t>
        </is>
      </c>
      <c r="AJ81" s="2" t="inlineStr">
        <is>
          <t>no</t>
        </is>
      </c>
      <c r="AK81" s="2" t="inlineStr">
        <is>
          <t>yes</t>
        </is>
      </c>
      <c r="AL81" s="2" t="inlineStr">
        <is>
          <t>yes</t>
        </is>
      </c>
      <c r="AM81" s="2" t="n"/>
      <c r="AN81" s="2" t="n"/>
      <c r="AO81" s="2" t="n"/>
      <c r="AP81" s="2" t="inlineStr">
        <is>
          <t>v3_2026-03-19</t>
        </is>
      </c>
    </row>
    <row r="82" ht="94.5" customHeight="1" s="10">
      <c r="A82" s="2" t="inlineStr">
        <is>
          <t>Q17_A</t>
        </is>
      </c>
      <c r="B82" s="2" t="n">
        <v>17</v>
      </c>
      <c r="C82" s="2" t="n">
        <v>17</v>
      </c>
      <c r="D82" s="2" t="inlineStr">
        <is>
          <t>Core</t>
        </is>
      </c>
      <c r="E82" s="2" t="n">
        <v>1.1</v>
      </c>
      <c r="F82" s="2" t="inlineStr">
        <is>
          <t>EmotionalRegulation</t>
        </is>
      </c>
      <c r="G82" s="2" t="inlineStr">
        <is>
          <t>AttachmentSafety</t>
        </is>
      </c>
      <c r="H82" s="2" t="inlineStr">
        <is>
          <t>You're deep in conversation and they suddenly shut down or go quiet. What do you do next?</t>
        </is>
      </c>
      <c r="I82" s="2" t="inlineStr">
        <is>
          <t>A</t>
        </is>
      </c>
      <c r="J82" s="2" t="inlineStr">
        <is>
          <t>A</t>
        </is>
      </c>
      <c r="K82" s="2" t="inlineStr">
        <is>
          <t>I give them space. If they want to talk, they will. If not, I take the hint.</t>
        </is>
      </c>
      <c r="L82" s="2" t="n">
        <v>8</v>
      </c>
      <c r="M82" s="2" t="n">
        <v>8</v>
      </c>
      <c r="N82" s="2" t="n">
        <v>4</v>
      </c>
      <c r="O82" s="2" t="n">
        <v>4</v>
      </c>
      <c r="P82" s="2" t="n">
        <v>0</v>
      </c>
      <c r="Q82" s="2" t="inlineStr">
        <is>
          <t>Icebox</t>
        </is>
      </c>
      <c r="R82" s="2" t="n">
        <v>1</v>
      </c>
      <c r="S82" s="2" t="n"/>
      <c r="T82" s="2" t="n"/>
      <c r="U82" s="2" t="n">
        <v>0</v>
      </c>
      <c r="V82" s="2" t="inlineStr">
        <is>
          <t>masc:1.8;fem:-1.6</t>
        </is>
      </c>
      <c r="W82" s="2" t="n">
        <v>1.8</v>
      </c>
      <c r="X82" s="2" t="n">
        <v>-1.6</v>
      </c>
      <c r="Y82" s="2" t="inlineStr">
        <is>
          <t>COMM_Avoidant</t>
        </is>
      </c>
      <c r="Z82" s="2" t="inlineStr">
        <is>
          <t>REG_Suppressor</t>
        </is>
      </c>
      <c r="AA82" s="2" t="inlineStr">
        <is>
          <t>LANG_Time</t>
        </is>
      </c>
      <c r="AB82" s="2" t="n"/>
      <c r="AC82" s="2" t="n"/>
      <c r="AD82" s="2" t="n"/>
      <c r="AE82" s="2" t="n">
        <v>0</v>
      </c>
      <c r="AF82" s="2" t="inlineStr">
        <is>
          <t>detached cool</t>
        </is>
      </c>
      <c r="AG82" s="2" t="inlineStr">
        <is>
          <t>patient withdrawer</t>
        </is>
      </c>
      <c r="AH82" s="2" t="n">
        <v>1.2</v>
      </c>
      <c r="AI82" s="2" t="inlineStr">
        <is>
          <t>no</t>
        </is>
      </c>
      <c r="AJ82" s="2" t="inlineStr">
        <is>
          <t>no</t>
        </is>
      </c>
      <c r="AK82" s="2" t="inlineStr">
        <is>
          <t>yes</t>
        </is>
      </c>
      <c r="AL82" s="2" t="inlineStr">
        <is>
          <t>yes</t>
        </is>
      </c>
      <c r="AM82" s="2" t="n"/>
      <c r="AN82" s="2" t="n"/>
      <c r="AO82" s="2" t="n"/>
      <c r="AP82" s="2" t="inlineStr">
        <is>
          <t>v3_2026-03-19</t>
        </is>
      </c>
    </row>
    <row r="83" ht="135" customHeight="1" s="10">
      <c r="A83" s="2" t="inlineStr">
        <is>
          <t>Q17_B</t>
        </is>
      </c>
      <c r="B83" s="2" t="n">
        <v>17</v>
      </c>
      <c r="C83" s="2" t="n">
        <v>17</v>
      </c>
      <c r="D83" s="2" t="inlineStr">
        <is>
          <t>Core</t>
        </is>
      </c>
      <c r="E83" s="2" t="n">
        <v>1.1</v>
      </c>
      <c r="F83" s="2" t="inlineStr">
        <is>
          <t>EmotionalRegulation</t>
        </is>
      </c>
      <c r="G83" s="2" t="inlineStr">
        <is>
          <t>AttachmentSafety</t>
        </is>
      </c>
      <c r="H83" s="2" t="n"/>
      <c r="I83" s="2" t="inlineStr">
        <is>
          <t>B</t>
        </is>
      </c>
      <c r="J83" s="2" t="inlineStr">
        <is>
          <t>B</t>
        </is>
      </c>
      <c r="K83" s="2" t="inlineStr">
        <is>
          <t>I immediately think I said something wrong. I start scanning every word trying to figure out what triggered it.</t>
        </is>
      </c>
      <c r="L83" s="2" t="n">
        <v>4</v>
      </c>
      <c r="M83" s="2" t="n">
        <v>5</v>
      </c>
      <c r="N83" s="2" t="n">
        <v>2</v>
      </c>
      <c r="O83" s="2" t="n">
        <v>2</v>
      </c>
      <c r="P83" s="2" t="n">
        <v>2</v>
      </c>
      <c r="Q83" s="2" t="inlineStr">
        <is>
          <t>Analyzer</t>
        </is>
      </c>
      <c r="R83" s="2" t="n">
        <v>2</v>
      </c>
      <c r="S83" s="2" t="n"/>
      <c r="T83" s="2" t="n"/>
      <c r="U83" s="2" t="n">
        <v>0</v>
      </c>
      <c r="V83" s="2" t="inlineStr">
        <is>
          <t>masc:1.4;fem:0.1</t>
        </is>
      </c>
      <c r="W83" s="2" t="n">
        <v>1.4</v>
      </c>
      <c r="X83" s="2" t="n">
        <v>0.1</v>
      </c>
      <c r="Y83" s="2" t="inlineStr">
        <is>
          <t>COMM_Logical</t>
        </is>
      </c>
      <c r="Z83" s="2" t="inlineStr">
        <is>
          <t>REG_SelfSoother</t>
        </is>
      </c>
      <c r="AA83" s="2" t="inlineStr">
        <is>
          <t>LANG_Service</t>
        </is>
      </c>
      <c r="AB83" s="2" t="inlineStr">
        <is>
          <t>Vulnerability_Loop</t>
        </is>
      </c>
      <c r="AC83" s="2" t="inlineStr">
        <is>
          <t>Vulnerability_Loop</t>
        </is>
      </c>
      <c r="AD83" s="2" t="n"/>
      <c r="AE83" s="2" t="n">
        <v>5</v>
      </c>
      <c r="AF83" s="2" t="inlineStr">
        <is>
          <t>inner spiral</t>
        </is>
      </c>
      <c r="AG83" s="2" t="inlineStr">
        <is>
          <t>self-blamer</t>
        </is>
      </c>
      <c r="AH83" s="2" t="n">
        <v>0</v>
      </c>
      <c r="AI83" s="2" t="inlineStr">
        <is>
          <t>yes</t>
        </is>
      </c>
      <c r="AJ83" s="2" t="inlineStr">
        <is>
          <t>no</t>
        </is>
      </c>
      <c r="AK83" s="2" t="inlineStr">
        <is>
          <t>yes</t>
        </is>
      </c>
      <c r="AL83" s="2" t="inlineStr">
        <is>
          <t>yes</t>
        </is>
      </c>
      <c r="AM83" s="2" t="n"/>
      <c r="AN83" s="2" t="n"/>
      <c r="AO83" s="2" t="n"/>
      <c r="AP83" s="2" t="inlineStr">
        <is>
          <t>v3_2026-03-19</t>
        </is>
      </c>
    </row>
    <row r="84" ht="121.5" customHeight="1" s="10">
      <c r="A84" s="2" t="inlineStr">
        <is>
          <t>Q17_C</t>
        </is>
      </c>
      <c r="B84" s="2" t="n">
        <v>17</v>
      </c>
      <c r="C84" s="2" t="n">
        <v>17</v>
      </c>
      <c r="D84" s="2" t="inlineStr">
        <is>
          <t>Core</t>
        </is>
      </c>
      <c r="E84" s="2" t="n">
        <v>1.1</v>
      </c>
      <c r="F84" s="2" t="inlineStr">
        <is>
          <t>EmotionalRegulation</t>
        </is>
      </c>
      <c r="G84" s="2" t="inlineStr">
        <is>
          <t>AttachmentSafety</t>
        </is>
      </c>
      <c r="H84" s="2" t="n"/>
      <c r="I84" s="2" t="inlineStr">
        <is>
          <t>C</t>
        </is>
      </c>
      <c r="J84" s="2" t="inlineStr">
        <is>
          <t>C</t>
        </is>
      </c>
      <c r="K84" s="2" t="inlineStr">
        <is>
          <t>I'll ask once. If it's brushed off or ignored, I shift. I'm not the type to sit in someone else's silence for long.</t>
        </is>
      </c>
      <c r="L84" s="2" t="n">
        <v>9</v>
      </c>
      <c r="M84" s="2" t="n">
        <v>9</v>
      </c>
      <c r="N84" s="2" t="n">
        <v>10</v>
      </c>
      <c r="O84" s="2" t="n">
        <v>10</v>
      </c>
      <c r="P84" s="2" t="n">
        <v>10</v>
      </c>
      <c r="Q84" s="2" t="inlineStr">
        <is>
          <t>Regulated Grown-Up</t>
        </is>
      </c>
      <c r="R84" s="2" t="n">
        <v>9</v>
      </c>
      <c r="S84" s="2" t="n"/>
      <c r="T84" s="2" t="n"/>
      <c r="U84" s="2" t="n">
        <v>0</v>
      </c>
      <c r="V84" s="2" t="inlineStr">
        <is>
          <t>masc:1.1;fem:0.9</t>
        </is>
      </c>
      <c r="W84" s="2" t="n">
        <v>1.1</v>
      </c>
      <c r="X84" s="2" t="n">
        <v>0.9</v>
      </c>
      <c r="Y84" s="2" t="inlineStr">
        <is>
          <t>COMM_Direct</t>
        </is>
      </c>
      <c r="Z84" s="2" t="inlineStr">
        <is>
          <t>REG_CoRegulator</t>
        </is>
      </c>
      <c r="AA84" s="2" t="inlineStr">
        <is>
          <t>LANG_Words</t>
        </is>
      </c>
      <c r="AB84" s="2" t="n"/>
      <c r="AC84" s="2" t="n"/>
      <c r="AD84" s="2" t="n"/>
      <c r="AE84" s="2" t="n">
        <v>0</v>
      </c>
      <c r="AF84" s="2" t="inlineStr">
        <is>
          <t>direct with boundaries</t>
        </is>
      </c>
      <c r="AG84" s="2" t="inlineStr">
        <is>
          <t>firm line-setter</t>
        </is>
      </c>
      <c r="AH84" s="2" t="n">
        <v>0</v>
      </c>
      <c r="AI84" s="2" t="inlineStr">
        <is>
          <t>no</t>
        </is>
      </c>
      <c r="AJ84" s="2" t="inlineStr">
        <is>
          <t>no</t>
        </is>
      </c>
      <c r="AK84" s="2" t="inlineStr">
        <is>
          <t>yes</t>
        </is>
      </c>
      <c r="AL84" s="2" t="inlineStr">
        <is>
          <t>yes</t>
        </is>
      </c>
      <c r="AM84" s="2" t="n"/>
      <c r="AN84" s="2" t="n"/>
      <c r="AO84" s="2" t="n"/>
      <c r="AP84" s="2" t="inlineStr">
        <is>
          <t>v3_2026-03-19</t>
        </is>
      </c>
    </row>
    <row r="85" ht="121.5" customHeight="1" s="10">
      <c r="A85" s="2" t="inlineStr">
        <is>
          <t>Q17_D</t>
        </is>
      </c>
      <c r="B85" s="2" t="n">
        <v>17</v>
      </c>
      <c r="C85" s="2" t="n">
        <v>17</v>
      </c>
      <c r="D85" s="2" t="inlineStr">
        <is>
          <t>Core</t>
        </is>
      </c>
      <c r="E85" s="2" t="n">
        <v>1.1</v>
      </c>
      <c r="F85" s="2" t="inlineStr">
        <is>
          <t>EmotionalRegulation</t>
        </is>
      </c>
      <c r="G85" s="2" t="inlineStr">
        <is>
          <t>AttachmentSafety</t>
        </is>
      </c>
      <c r="H85" s="2" t="n"/>
      <c r="I85" s="2" t="inlineStr">
        <is>
          <t>D</t>
        </is>
      </c>
      <c r="J85" s="2" t="inlineStr">
        <is>
          <t>D</t>
        </is>
      </c>
      <c r="K85" s="2" t="inlineStr">
        <is>
          <t>I try to keep the mood up, shift the subject, make it feel less tense, even if I'm freaking out a little inside.</t>
        </is>
      </c>
      <c r="L85" s="2" t="n">
        <v>6</v>
      </c>
      <c r="M85" s="2" t="n">
        <v>7</v>
      </c>
      <c r="N85" s="2" t="n">
        <v>4</v>
      </c>
      <c r="O85" s="2" t="n">
        <v>4</v>
      </c>
      <c r="P85" s="2" t="n">
        <v>2</v>
      </c>
      <c r="Q85" s="2" t="inlineStr">
        <is>
          <t>Performer</t>
        </is>
      </c>
      <c r="R85" s="2" t="n">
        <v>7</v>
      </c>
      <c r="S85" s="2" t="n"/>
      <c r="T85" s="2" t="n"/>
      <c r="U85" s="2" t="n">
        <v>0</v>
      </c>
      <c r="V85" s="2" t="inlineStr">
        <is>
          <t>masc:0.3;fem:0.5</t>
        </is>
      </c>
      <c r="W85" s="2" t="n">
        <v>0.3</v>
      </c>
      <c r="X85" s="2" t="n">
        <v>0.5</v>
      </c>
      <c r="Y85" s="2" t="inlineStr">
        <is>
          <t>COMM_Indirect</t>
        </is>
      </c>
      <c r="Z85" s="2" t="inlineStr">
        <is>
          <t>REG_Distractor</t>
        </is>
      </c>
      <c r="AA85" s="2" t="inlineStr">
        <is>
          <t>LANG_Gifts</t>
        </is>
      </c>
      <c r="AB85" s="2" t="inlineStr">
        <is>
          <t>Vulnerability_Loop</t>
        </is>
      </c>
      <c r="AC85" s="2" t="inlineStr">
        <is>
          <t>Vulnerability_Loop</t>
        </is>
      </c>
      <c r="AD85" s="2" t="n"/>
      <c r="AE85" s="2" t="n">
        <v>5</v>
      </c>
      <c r="AF85" s="2" t="inlineStr">
        <is>
          <t>smooth cover-up</t>
        </is>
      </c>
      <c r="AG85" s="2" t="inlineStr">
        <is>
          <t>tension diffuser</t>
        </is>
      </c>
      <c r="AH85" s="2" t="n">
        <v>0</v>
      </c>
      <c r="AI85" s="2" t="inlineStr">
        <is>
          <t>yes</t>
        </is>
      </c>
      <c r="AJ85" s="2" t="inlineStr">
        <is>
          <t>no</t>
        </is>
      </c>
      <c r="AK85" s="2" t="inlineStr">
        <is>
          <t>yes</t>
        </is>
      </c>
      <c r="AL85" s="2" t="inlineStr">
        <is>
          <t>yes</t>
        </is>
      </c>
      <c r="AM85" s="2" t="n"/>
      <c r="AN85" s="2" t="n"/>
      <c r="AO85" s="2" t="n"/>
      <c r="AP85" s="2" t="inlineStr">
        <is>
          <t>v3_2026-03-19</t>
        </is>
      </c>
    </row>
    <row r="86" ht="108" customHeight="1" s="10">
      <c r="A86" s="2" t="inlineStr">
        <is>
          <t>Q17_E</t>
        </is>
      </c>
      <c r="B86" s="2" t="n">
        <v>17</v>
      </c>
      <c r="C86" s="2" t="n">
        <v>17</v>
      </c>
      <c r="D86" s="2" t="inlineStr">
        <is>
          <t>Core</t>
        </is>
      </c>
      <c r="E86" s="2" t="n">
        <v>1.1</v>
      </c>
      <c r="F86" s="2" t="inlineStr">
        <is>
          <t>EmotionalRegulation</t>
        </is>
      </c>
      <c r="G86" s="2" t="inlineStr">
        <is>
          <t>AttachmentSafety</t>
        </is>
      </c>
      <c r="H86" s="2" t="n"/>
      <c r="I86" s="2" t="inlineStr">
        <is>
          <t>E</t>
        </is>
      </c>
      <c r="J86" s="2" t="inlineStr">
        <is>
          <t>E</t>
        </is>
      </c>
      <c r="K86" s="2" t="inlineStr">
        <is>
          <t>I feel it, but I don't say anything. I stay present, hoping they'll come back to me on their own.</t>
        </is>
      </c>
      <c r="L86" s="2" t="n">
        <v>6</v>
      </c>
      <c r="M86" s="2" t="n">
        <v>6</v>
      </c>
      <c r="N86" s="2" t="n">
        <v>4</v>
      </c>
      <c r="O86" s="2" t="n">
        <v>4</v>
      </c>
      <c r="P86" s="2" t="n">
        <v>4</v>
      </c>
      <c r="Q86" s="2" t="inlineStr">
        <is>
          <t>Translator</t>
        </is>
      </c>
      <c r="R86" s="2" t="n">
        <v>3</v>
      </c>
      <c r="S86" s="2" t="n"/>
      <c r="T86" s="2" t="n"/>
      <c r="U86" s="2" t="n">
        <v>0</v>
      </c>
      <c r="V86" s="2" t="inlineStr">
        <is>
          <t>masc:-0.1;fem:1.6</t>
        </is>
      </c>
      <c r="W86" s="2" t="n">
        <v>-0.1</v>
      </c>
      <c r="X86" s="2" t="n">
        <v>1.6</v>
      </c>
      <c r="Y86" s="2" t="inlineStr">
        <is>
          <t>COMM_Indirect</t>
        </is>
      </c>
      <c r="Z86" s="2" t="inlineStr">
        <is>
          <t>REG_CoRegulator</t>
        </is>
      </c>
      <c r="AA86" s="2" t="inlineStr">
        <is>
          <t>LANG_Words</t>
        </is>
      </c>
      <c r="AB86" s="2" t="inlineStr">
        <is>
          <t>Vulnerability_Loop</t>
        </is>
      </c>
      <c r="AC86" s="2" t="inlineStr">
        <is>
          <t>Vulnerability_Loop</t>
        </is>
      </c>
      <c r="AD86" s="2" t="n"/>
      <c r="AE86" s="2" t="n">
        <v>5</v>
      </c>
      <c r="AF86" s="2" t="inlineStr">
        <is>
          <t>gentle waiter</t>
        </is>
      </c>
      <c r="AG86" s="2" t="inlineStr">
        <is>
          <t>silent holder</t>
        </is>
      </c>
      <c r="AH86" s="2" t="n">
        <v>0.6</v>
      </c>
      <c r="AI86" s="2" t="inlineStr">
        <is>
          <t>yes</t>
        </is>
      </c>
      <c r="AJ86" s="2" t="inlineStr">
        <is>
          <t>no</t>
        </is>
      </c>
      <c r="AK86" s="2" t="inlineStr">
        <is>
          <t>yes</t>
        </is>
      </c>
      <c r="AL86" s="2" t="inlineStr">
        <is>
          <t>yes</t>
        </is>
      </c>
      <c r="AM86" s="2" t="n"/>
      <c r="AN86" s="2" t="n"/>
      <c r="AO86" s="2" t="n"/>
      <c r="AP86" s="2" t="inlineStr">
        <is>
          <t>v3_2026-03-19</t>
        </is>
      </c>
    </row>
    <row r="87" ht="148.5" customHeight="1" s="10">
      <c r="A87" s="2" t="inlineStr">
        <is>
          <t>Q18_A</t>
        </is>
      </c>
      <c r="B87" s="2" t="n">
        <v>18</v>
      </c>
      <c r="C87" s="2" t="n">
        <v>18</v>
      </c>
      <c r="D87" s="2" t="inlineStr">
        <is>
          <t>Core</t>
        </is>
      </c>
      <c r="E87" s="2" t="n">
        <v>1.1</v>
      </c>
      <c r="F87" s="2" t="inlineStr">
        <is>
          <t>EmotionalRegulation</t>
        </is>
      </c>
      <c r="G87" s="2" t="inlineStr">
        <is>
          <t>AttachmentSafety</t>
        </is>
      </c>
      <c r="H87" s="2" t="inlineStr">
        <is>
          <t>They open up to you-then start pulling back. No explanation, just distance. What do you do with that shift?</t>
        </is>
      </c>
      <c r="I87" s="2" t="inlineStr">
        <is>
          <t>A</t>
        </is>
      </c>
      <c r="J87" s="2" t="inlineStr">
        <is>
          <t>A</t>
        </is>
      </c>
      <c r="K87" s="2" t="inlineStr">
        <is>
          <t>I match the energy. You pull back? I pull back faster. I've learned not to chase clarity from people who hide when it gets real.</t>
        </is>
      </c>
      <c r="L87" s="2" t="n">
        <v>7</v>
      </c>
      <c r="M87" s="2" t="n">
        <v>8</v>
      </c>
      <c r="N87" s="2" t="n">
        <v>4</v>
      </c>
      <c r="O87" s="2" t="n">
        <v>4</v>
      </c>
      <c r="P87" s="2" t="n">
        <v>0</v>
      </c>
      <c r="Q87" s="2" t="inlineStr">
        <is>
          <t>Icebox</t>
        </is>
      </c>
      <c r="R87" s="2" t="n">
        <v>1</v>
      </c>
      <c r="S87" s="2" t="n"/>
      <c r="T87" s="2" t="n"/>
      <c r="U87" s="2" t="n">
        <v>0</v>
      </c>
      <c r="V87" s="2" t="inlineStr">
        <is>
          <t>masc:1.8;fem:-1.6</t>
        </is>
      </c>
      <c r="W87" s="2" t="n">
        <v>1.8</v>
      </c>
      <c r="X87" s="2" t="n">
        <v>-1.6</v>
      </c>
      <c r="Y87" s="2" t="inlineStr">
        <is>
          <t>COMM_Avoidant</t>
        </is>
      </c>
      <c r="Z87" s="2" t="inlineStr">
        <is>
          <t>REG_Suppressor</t>
        </is>
      </c>
      <c r="AA87" s="2" t="inlineStr">
        <is>
          <t>LANG_Time</t>
        </is>
      </c>
      <c r="AB87" s="2" t="n"/>
      <c r="AC87" s="2" t="n"/>
      <c r="AD87" s="2" t="n"/>
      <c r="AE87" s="2" t="n">
        <v>0</v>
      </c>
      <c r="AF87" s="2" t="inlineStr">
        <is>
          <t>fast mirror exit</t>
        </is>
      </c>
      <c r="AG87" s="2" t="inlineStr">
        <is>
          <t>decisive mirror</t>
        </is>
      </c>
      <c r="AH87" s="2" t="n">
        <v>0.8</v>
      </c>
      <c r="AI87" s="2" t="inlineStr">
        <is>
          <t>no</t>
        </is>
      </c>
      <c r="AJ87" s="2" t="inlineStr">
        <is>
          <t>no</t>
        </is>
      </c>
      <c r="AK87" s="2" t="inlineStr">
        <is>
          <t>yes</t>
        </is>
      </c>
      <c r="AL87" s="2" t="inlineStr">
        <is>
          <t>yes</t>
        </is>
      </c>
      <c r="AM87" s="2" t="n"/>
      <c r="AN87" s="2" t="n"/>
      <c r="AO87" s="2" t="n"/>
      <c r="AP87" s="2" t="inlineStr">
        <is>
          <t>v3_2026-03-19</t>
        </is>
      </c>
    </row>
    <row r="88" ht="189" customHeight="1" s="10">
      <c r="A88" s="2" t="inlineStr">
        <is>
          <t>Q18_B</t>
        </is>
      </c>
      <c r="B88" s="2" t="n">
        <v>18</v>
      </c>
      <c r="C88" s="2" t="n">
        <v>18</v>
      </c>
      <c r="D88" s="2" t="inlineStr">
        <is>
          <t>Core</t>
        </is>
      </c>
      <c r="E88" s="2" t="n">
        <v>1.1</v>
      </c>
      <c r="F88" s="2" t="inlineStr">
        <is>
          <t>EmotionalRegulation</t>
        </is>
      </c>
      <c r="G88" s="2" t="inlineStr">
        <is>
          <t>AttachmentSafety</t>
        </is>
      </c>
      <c r="H88" s="2" t="n"/>
      <c r="I88" s="2" t="inlineStr">
        <is>
          <t>B</t>
        </is>
      </c>
      <c r="J88" s="2" t="inlineStr">
        <is>
          <t>B</t>
        </is>
      </c>
      <c r="K88" s="2" t="inlineStr">
        <is>
          <t>I start thinking I pushed too far. I replay the moment, wondering what I said that made them go quiet. It usually ends with me blaming myself.</t>
        </is>
      </c>
      <c r="L88" s="2" t="n">
        <v>4</v>
      </c>
      <c r="M88" s="2" t="n">
        <v>5</v>
      </c>
      <c r="N88" s="2" t="n">
        <v>2</v>
      </c>
      <c r="O88" s="2" t="n">
        <v>2</v>
      </c>
      <c r="P88" s="2" t="n">
        <v>2</v>
      </c>
      <c r="Q88" s="2" t="inlineStr">
        <is>
          <t>Analyzer</t>
        </is>
      </c>
      <c r="R88" s="2" t="n">
        <v>2</v>
      </c>
      <c r="S88" s="2" t="n"/>
      <c r="T88" s="2" t="n"/>
      <c r="U88" s="2" t="n">
        <v>0</v>
      </c>
      <c r="V88" s="2" t="inlineStr">
        <is>
          <t>masc:1.4;fem:0.1</t>
        </is>
      </c>
      <c r="W88" s="2" t="n">
        <v>1.4</v>
      </c>
      <c r="X88" s="2" t="n">
        <v>0.1</v>
      </c>
      <c r="Y88" s="2" t="inlineStr">
        <is>
          <t>COMM_Logical</t>
        </is>
      </c>
      <c r="Z88" s="2" t="inlineStr">
        <is>
          <t>REG_SelfSoother</t>
        </is>
      </c>
      <c r="AA88" s="2" t="inlineStr">
        <is>
          <t>LANG_Service</t>
        </is>
      </c>
      <c r="AB88" s="2" t="inlineStr">
        <is>
          <t>Vulnerability_Loop</t>
        </is>
      </c>
      <c r="AC88" s="2" t="inlineStr">
        <is>
          <t>Vulnerability_Loop</t>
        </is>
      </c>
      <c r="AD88" s="2" t="n"/>
      <c r="AE88" s="2" t="n">
        <v>5</v>
      </c>
      <c r="AF88" s="2" t="inlineStr">
        <is>
          <t>shame loop</t>
        </is>
      </c>
      <c r="AG88" s="2" t="inlineStr">
        <is>
          <t>self-blamer</t>
        </is>
      </c>
      <c r="AH88" s="2" t="n">
        <v>0</v>
      </c>
      <c r="AI88" s="2" t="inlineStr">
        <is>
          <t>yes</t>
        </is>
      </c>
      <c r="AJ88" s="2" t="inlineStr">
        <is>
          <t>no</t>
        </is>
      </c>
      <c r="AK88" s="2" t="inlineStr">
        <is>
          <t>yes</t>
        </is>
      </c>
      <c r="AL88" s="2" t="inlineStr">
        <is>
          <t>yes</t>
        </is>
      </c>
      <c r="AM88" s="2" t="n"/>
      <c r="AN88" s="2" t="n"/>
      <c r="AO88" s="2" t="n"/>
      <c r="AP88" s="2" t="inlineStr">
        <is>
          <t>v3_2026-03-19</t>
        </is>
      </c>
    </row>
    <row r="89" ht="148.5" customHeight="1" s="10">
      <c r="A89" s="2" t="inlineStr">
        <is>
          <t>Q18_C</t>
        </is>
      </c>
      <c r="B89" s="2" t="n">
        <v>18</v>
      </c>
      <c r="C89" s="2" t="n">
        <v>18</v>
      </c>
      <c r="D89" s="2" t="inlineStr">
        <is>
          <t>Core</t>
        </is>
      </c>
      <c r="E89" s="2" t="n">
        <v>1.1</v>
      </c>
      <c r="F89" s="2" t="inlineStr">
        <is>
          <t>EmotionalRegulation</t>
        </is>
      </c>
      <c r="G89" s="2" t="inlineStr">
        <is>
          <t>AttachmentSafety</t>
        </is>
      </c>
      <c r="H89" s="2" t="n"/>
      <c r="I89" s="2" t="inlineStr">
        <is>
          <t>C</t>
        </is>
      </c>
      <c r="J89" s="2" t="inlineStr">
        <is>
          <t>C</t>
        </is>
      </c>
      <c r="K89" s="2" t="inlineStr">
        <is>
          <t>I wait. Sometimes people get scared when they feel seen, I don't want to add pressure, but I definitely notice the change.</t>
        </is>
      </c>
      <c r="L89" s="2" t="n">
        <v>7</v>
      </c>
      <c r="M89" s="2" t="n">
        <v>8</v>
      </c>
      <c r="N89" s="2" t="n">
        <v>6</v>
      </c>
      <c r="O89" s="2" t="n">
        <v>6</v>
      </c>
      <c r="P89" s="2" t="n">
        <v>4</v>
      </c>
      <c r="Q89" s="2" t="inlineStr">
        <is>
          <t>Romantic Idealist</t>
        </is>
      </c>
      <c r="R89" s="2" t="n">
        <v>6</v>
      </c>
      <c r="S89" s="2" t="n"/>
      <c r="T89" s="2" t="n"/>
      <c r="U89" s="2" t="n">
        <v>0</v>
      </c>
      <c r="V89" s="2" t="inlineStr">
        <is>
          <t>masc:-0.4;fem:1.5</t>
        </is>
      </c>
      <c r="W89" s="2" t="n">
        <v>-0.4</v>
      </c>
      <c r="X89" s="2" t="n">
        <v>1.5</v>
      </c>
      <c r="Y89" s="2" t="inlineStr">
        <is>
          <t>COMM_Emotional</t>
        </is>
      </c>
      <c r="Z89" s="2" t="inlineStr">
        <is>
          <t>REG_Distractor</t>
        </is>
      </c>
      <c r="AA89" s="2" t="inlineStr">
        <is>
          <t>LANG_Gifts</t>
        </is>
      </c>
      <c r="AB89" s="2" t="n"/>
      <c r="AC89" s="2" t="n"/>
      <c r="AD89" s="2" t="n"/>
      <c r="AE89" s="2" t="n">
        <v>0</v>
      </c>
      <c r="AF89" s="2" t="inlineStr">
        <is>
          <t>patient rationalizer</t>
        </is>
      </c>
      <c r="AG89" s="2" t="inlineStr">
        <is>
          <t>hopeful waiter</t>
        </is>
      </c>
      <c r="AH89" s="2" t="n">
        <v>0</v>
      </c>
      <c r="AI89" s="2" t="inlineStr">
        <is>
          <t>no</t>
        </is>
      </c>
      <c r="AJ89" s="2" t="inlineStr">
        <is>
          <t>no</t>
        </is>
      </c>
      <c r="AK89" s="2" t="inlineStr">
        <is>
          <t>yes</t>
        </is>
      </c>
      <c r="AL89" s="2" t="inlineStr">
        <is>
          <t>yes</t>
        </is>
      </c>
      <c r="AM89" s="2" t="n"/>
      <c r="AN89" s="2" t="n"/>
      <c r="AO89" s="2" t="n"/>
      <c r="AP89" s="2" t="inlineStr">
        <is>
          <t>v3_2026-03-19</t>
        </is>
      </c>
    </row>
    <row r="90" ht="135" customHeight="1" s="10">
      <c r="A90" s="2" t="inlineStr">
        <is>
          <t>Q18_D</t>
        </is>
      </c>
      <c r="B90" s="2" t="n">
        <v>18</v>
      </c>
      <c r="C90" s="2" t="n">
        <v>18</v>
      </c>
      <c r="D90" s="2" t="inlineStr">
        <is>
          <t>Core</t>
        </is>
      </c>
      <c r="E90" s="2" t="n">
        <v>1.1</v>
      </c>
      <c r="F90" s="2" t="inlineStr">
        <is>
          <t>EmotionalRegulation</t>
        </is>
      </c>
      <c r="G90" s="2" t="inlineStr">
        <is>
          <t>AttachmentSafety</t>
        </is>
      </c>
      <c r="H90" s="2" t="n"/>
      <c r="I90" s="2" t="inlineStr">
        <is>
          <t>D</t>
        </is>
      </c>
      <c r="J90" s="2" t="inlineStr">
        <is>
          <t>D</t>
        </is>
      </c>
      <c r="K90" s="2" t="inlineStr">
        <is>
          <t>I go into fix-it mode. Check in more. Try to feel lighter, easier, more fun, anything to bring us back to how it felt before.</t>
        </is>
      </c>
      <c r="L90" s="2" t="n">
        <v>5</v>
      </c>
      <c r="M90" s="2" t="n">
        <v>6</v>
      </c>
      <c r="N90" s="2" t="n">
        <v>4</v>
      </c>
      <c r="O90" s="2" t="n">
        <v>4</v>
      </c>
      <c r="P90" s="2" t="n">
        <v>4</v>
      </c>
      <c r="Q90" s="2" t="inlineStr">
        <is>
          <t>Fixer</t>
        </is>
      </c>
      <c r="R90" s="2" t="n">
        <v>5</v>
      </c>
      <c r="S90" s="2" t="n"/>
      <c r="T90" s="2" t="n"/>
      <c r="U90" s="2" t="n">
        <v>0</v>
      </c>
      <c r="V90" s="2" t="inlineStr">
        <is>
          <t>masc:-0.4;fem:2.0</t>
        </is>
      </c>
      <c r="W90" s="2" t="n">
        <v>-0.4</v>
      </c>
      <c r="X90" s="2" t="n">
        <v>2</v>
      </c>
      <c r="Y90" s="2" t="inlineStr">
        <is>
          <t>COMM_Emotional</t>
        </is>
      </c>
      <c r="Z90" s="2" t="inlineStr">
        <is>
          <t>REG_CoRegulator</t>
        </is>
      </c>
      <c r="AA90" s="2" t="inlineStr">
        <is>
          <t>LANG_Service</t>
        </is>
      </c>
      <c r="AB90" s="2" t="inlineStr">
        <is>
          <t>Vulnerability_Loop</t>
        </is>
      </c>
      <c r="AC90" s="2" t="inlineStr">
        <is>
          <t>Vulnerability_Loop</t>
        </is>
      </c>
      <c r="AD90" s="2" t="n"/>
      <c r="AE90" s="2" t="n">
        <v>5</v>
      </c>
      <c r="AF90" s="2" t="inlineStr">
        <is>
          <t>emotional reset attempt</t>
        </is>
      </c>
      <c r="AG90" s="2" t="inlineStr">
        <is>
          <t>overcompensator</t>
        </is>
      </c>
      <c r="AH90" s="2" t="n">
        <v>0</v>
      </c>
      <c r="AI90" s="2" t="inlineStr">
        <is>
          <t>yes</t>
        </is>
      </c>
      <c r="AJ90" s="2" t="inlineStr">
        <is>
          <t>no</t>
        </is>
      </c>
      <c r="AK90" s="2" t="inlineStr">
        <is>
          <t>yes</t>
        </is>
      </c>
      <c r="AL90" s="2" t="inlineStr">
        <is>
          <t>yes</t>
        </is>
      </c>
      <c r="AM90" s="2" t="n"/>
      <c r="AN90" s="2" t="n"/>
      <c r="AO90" s="2" t="n"/>
      <c r="AP90" s="2" t="inlineStr">
        <is>
          <t>v3_2026-03-19</t>
        </is>
      </c>
    </row>
    <row r="91" ht="135" customHeight="1" s="10">
      <c r="A91" s="2" t="inlineStr">
        <is>
          <t>Q18_E</t>
        </is>
      </c>
      <c r="B91" s="2" t="n">
        <v>18</v>
      </c>
      <c r="C91" s="2" t="n">
        <v>18</v>
      </c>
      <c r="D91" s="2" t="inlineStr">
        <is>
          <t>Core</t>
        </is>
      </c>
      <c r="E91" s="2" t="n">
        <v>1.1</v>
      </c>
      <c r="F91" s="2" t="inlineStr">
        <is>
          <t>EmotionalRegulation</t>
        </is>
      </c>
      <c r="G91" s="2" t="inlineStr">
        <is>
          <t>AttachmentSafety</t>
        </is>
      </c>
      <c r="H91" s="2" t="n"/>
      <c r="I91" s="2" t="inlineStr">
        <is>
          <t>E</t>
        </is>
      </c>
      <c r="J91" s="2" t="inlineStr">
        <is>
          <t>E</t>
        </is>
      </c>
      <c r="K91" s="2" t="inlineStr">
        <is>
          <t>I make myself busy. I don't ask, I don't chase. But I clock it. I'll still be polite, but they won't get the same version of me again.</t>
        </is>
      </c>
      <c r="L91" s="2" t="n">
        <v>7</v>
      </c>
      <c r="M91" s="2" t="n">
        <v>8</v>
      </c>
      <c r="N91" s="2" t="n">
        <v>4</v>
      </c>
      <c r="O91" s="2" t="n">
        <v>4</v>
      </c>
      <c r="P91" s="2" t="n">
        <v>0</v>
      </c>
      <c r="Q91" s="2" t="inlineStr">
        <is>
          <t>Quiet Exit</t>
        </is>
      </c>
      <c r="R91" s="2" t="n">
        <v>4</v>
      </c>
      <c r="S91" s="2" t="n"/>
      <c r="T91" s="2" t="n"/>
      <c r="U91" s="2" t="n">
        <v>0</v>
      </c>
      <c r="V91" s="2" t="inlineStr">
        <is>
          <t>masc:1.4;fem:-1.3</t>
        </is>
      </c>
      <c r="W91" s="2" t="n">
        <v>1.4</v>
      </c>
      <c r="X91" s="2" t="n">
        <v>-1.3</v>
      </c>
      <c r="Y91" s="2" t="inlineStr">
        <is>
          <t>COMM_Avoidant</t>
        </is>
      </c>
      <c r="Z91" s="2" t="inlineStr">
        <is>
          <t>REG_Suppressor</t>
        </is>
      </c>
      <c r="AA91" s="2" t="inlineStr">
        <is>
          <t>LANG_Time</t>
        </is>
      </c>
      <c r="AB91" s="2" t="n"/>
      <c r="AC91" s="2" t="n"/>
      <c r="AD91" s="2" t="n"/>
      <c r="AE91" s="2" t="n">
        <v>0</v>
      </c>
      <c r="AF91" s="2" t="inlineStr">
        <is>
          <t>soft lockdown</t>
        </is>
      </c>
      <c r="AG91" s="2" t="inlineStr">
        <is>
          <t>guarded exit</t>
        </is>
      </c>
      <c r="AH91" s="2" t="n">
        <v>0</v>
      </c>
      <c r="AI91" s="2" t="inlineStr">
        <is>
          <t>no</t>
        </is>
      </c>
      <c r="AJ91" s="2" t="inlineStr">
        <is>
          <t>no</t>
        </is>
      </c>
      <c r="AK91" s="2" t="inlineStr">
        <is>
          <t>yes</t>
        </is>
      </c>
      <c r="AL91" s="2" t="inlineStr">
        <is>
          <t>yes</t>
        </is>
      </c>
      <c r="AM91" s="2" t="n"/>
      <c r="AN91" s="2" t="n"/>
      <c r="AO91" s="2" t="n"/>
      <c r="AP91" s="2" t="inlineStr">
        <is>
          <t>v3_2026-03-19</t>
        </is>
      </c>
    </row>
    <row r="92" ht="148.5" customHeight="1" s="10">
      <c r="A92" s="2" t="inlineStr">
        <is>
          <t>Q19_A</t>
        </is>
      </c>
      <c r="B92" s="2" t="n">
        <v>19</v>
      </c>
      <c r="C92" s="2" t="n">
        <v>19</v>
      </c>
      <c r="D92" s="2" t="inlineStr">
        <is>
          <t>Core</t>
        </is>
      </c>
      <c r="E92" s="2" t="n">
        <v>1.1</v>
      </c>
      <c r="F92" s="2" t="inlineStr">
        <is>
          <t>EmotionalRegulation</t>
        </is>
      </c>
      <c r="G92" s="2" t="inlineStr">
        <is>
          <t>AttachmentSafety</t>
        </is>
      </c>
      <c r="H92" s="2" t="inlineStr">
        <is>
          <t>You're starting to really like them. But they haven't asked much about you. How do you handle that imbalance?</t>
        </is>
      </c>
      <c r="I92" s="2" t="inlineStr">
        <is>
          <t>A</t>
        </is>
      </c>
      <c r="J92" s="2" t="inlineStr">
        <is>
          <t>A</t>
        </is>
      </c>
      <c r="K92" s="2" t="inlineStr">
        <is>
          <t>I clock it. If they're not curious, they're not serious. I don't make speeches, I just start pulling back and let them figure it out.</t>
        </is>
      </c>
      <c r="L92" s="2" t="n">
        <v>8</v>
      </c>
      <c r="M92" s="2" t="n">
        <v>9</v>
      </c>
      <c r="N92" s="2" t="n">
        <v>4</v>
      </c>
      <c r="O92" s="2" t="n">
        <v>6</v>
      </c>
      <c r="P92" s="2" t="n">
        <v>2</v>
      </c>
      <c r="Q92" s="2" t="inlineStr">
        <is>
          <t>Icebox</t>
        </is>
      </c>
      <c r="R92" s="2" t="n">
        <v>1</v>
      </c>
      <c r="S92" s="2" t="n"/>
      <c r="T92" s="2" t="n"/>
      <c r="U92" s="2" t="n">
        <v>0</v>
      </c>
      <c r="V92" s="2" t="inlineStr">
        <is>
          <t>masc:1.8;fem:-1.6</t>
        </is>
      </c>
      <c r="W92" s="2" t="n">
        <v>1.8</v>
      </c>
      <c r="X92" s="2" t="n">
        <v>-1.6</v>
      </c>
      <c r="Y92" s="2" t="inlineStr">
        <is>
          <t>COMM_Avoidant</t>
        </is>
      </c>
      <c r="Z92" s="2" t="inlineStr">
        <is>
          <t>REG_Suppressor</t>
        </is>
      </c>
      <c r="AA92" s="2" t="inlineStr">
        <is>
          <t>LANG_Time</t>
        </is>
      </c>
      <c r="AB92" s="2" t="n"/>
      <c r="AC92" s="2" t="n"/>
      <c r="AD92" s="2" t="n"/>
      <c r="AE92" s="2" t="n">
        <v>0</v>
      </c>
      <c r="AF92" s="2" t="inlineStr">
        <is>
          <t>quiet disengagement</t>
        </is>
      </c>
      <c r="AG92" s="2" t="inlineStr">
        <is>
          <t>measured pullback</t>
        </is>
      </c>
      <c r="AH92" s="2" t="n">
        <v>0</v>
      </c>
      <c r="AI92" s="2" t="inlineStr">
        <is>
          <t>no</t>
        </is>
      </c>
      <c r="AJ92" s="2" t="inlineStr">
        <is>
          <t>no</t>
        </is>
      </c>
      <c r="AK92" s="2" t="inlineStr">
        <is>
          <t>yes</t>
        </is>
      </c>
      <c r="AL92" s="2" t="inlineStr">
        <is>
          <t>yes</t>
        </is>
      </c>
      <c r="AM92" s="2" t="n"/>
      <c r="AN92" s="2" t="n"/>
      <c r="AO92" s="2" t="n"/>
      <c r="AP92" s="2" t="inlineStr">
        <is>
          <t>v3_2026-03-19</t>
        </is>
      </c>
    </row>
    <row r="93" ht="135" customHeight="1" s="10">
      <c r="A93" s="2" t="inlineStr">
        <is>
          <t>Q19_B</t>
        </is>
      </c>
      <c r="B93" s="2" t="n">
        <v>19</v>
      </c>
      <c r="C93" s="2" t="n">
        <v>19</v>
      </c>
      <c r="D93" s="2" t="inlineStr">
        <is>
          <t>Core</t>
        </is>
      </c>
      <c r="E93" s="2" t="n">
        <v>1.1</v>
      </c>
      <c r="F93" s="2" t="inlineStr">
        <is>
          <t>EmotionalRegulation</t>
        </is>
      </c>
      <c r="G93" s="2" t="inlineStr">
        <is>
          <t>AttachmentSafety</t>
        </is>
      </c>
      <c r="H93" s="2" t="n"/>
      <c r="I93" s="2" t="inlineStr">
        <is>
          <t>B</t>
        </is>
      </c>
      <c r="J93" s="2" t="inlineStr">
        <is>
          <t>B</t>
        </is>
      </c>
      <c r="K93" s="2" t="inlineStr">
        <is>
          <t>I start telling little stories about myself anyway, hoping they'll finally ask more. When they don't, it stings more than I let on.</t>
        </is>
      </c>
      <c r="L93" s="2" t="n">
        <v>5</v>
      </c>
      <c r="M93" s="2" t="n">
        <v>6</v>
      </c>
      <c r="N93" s="2" t="n">
        <v>2</v>
      </c>
      <c r="O93" s="2" t="n">
        <v>2</v>
      </c>
      <c r="P93" s="2" t="n">
        <v>0</v>
      </c>
      <c r="Q93" s="2" t="inlineStr">
        <is>
          <t>Phantom Seeker</t>
        </is>
      </c>
      <c r="R93" s="2" t="n">
        <v>10</v>
      </c>
      <c r="S93" s="2" t="n"/>
      <c r="T93" s="2" t="n"/>
      <c r="U93" s="2" t="n">
        <v>0</v>
      </c>
      <c r="V93" s="2" t="inlineStr">
        <is>
          <t>masc:-0.2;fem:1.5</t>
        </is>
      </c>
      <c r="W93" s="2" t="n">
        <v>-0.2</v>
      </c>
      <c r="X93" s="2" t="n">
        <v>1.5</v>
      </c>
      <c r="Y93" s="2" t="inlineStr">
        <is>
          <t>COMM_Emotional</t>
        </is>
      </c>
      <c r="Z93" s="2" t="inlineStr">
        <is>
          <t>REG_SelfSoother</t>
        </is>
      </c>
      <c r="AA93" s="2" t="inlineStr">
        <is>
          <t>LANG_Touch</t>
        </is>
      </c>
      <c r="AB93" s="2" t="inlineStr">
        <is>
          <t>Scorekeeping_Echo</t>
        </is>
      </c>
      <c r="AC93" s="2" t="inlineStr">
        <is>
          <t>Scorekeeping_Echo</t>
        </is>
      </c>
      <c r="AD93" s="2" t="n"/>
      <c r="AE93" s="2" t="n">
        <v>8</v>
      </c>
      <c r="AF93" s="2" t="inlineStr">
        <is>
          <t>indirect yearning</t>
        </is>
      </c>
      <c r="AG93" s="2" t="inlineStr">
        <is>
          <t>subtle tester</t>
        </is>
      </c>
      <c r="AH93" s="2" t="n">
        <v>0.2</v>
      </c>
      <c r="AI93" s="2" t="inlineStr">
        <is>
          <t>yes</t>
        </is>
      </c>
      <c r="AJ93" s="2" t="inlineStr">
        <is>
          <t>no</t>
        </is>
      </c>
      <c r="AK93" s="2" t="inlineStr">
        <is>
          <t>yes</t>
        </is>
      </c>
      <c r="AL93" s="2" t="inlineStr">
        <is>
          <t>yes</t>
        </is>
      </c>
      <c r="AM93" s="2" t="n"/>
      <c r="AN93" s="2" t="n"/>
      <c r="AO93" s="2" t="n"/>
      <c r="AP93" s="2" t="inlineStr">
        <is>
          <t>v3_2026-03-19</t>
        </is>
      </c>
    </row>
    <row r="94" ht="162" customHeight="1" s="10">
      <c r="A94" s="2" t="inlineStr">
        <is>
          <t>Q19_C</t>
        </is>
      </c>
      <c r="B94" s="2" t="n">
        <v>19</v>
      </c>
      <c r="C94" s="2" t="n">
        <v>19</v>
      </c>
      <c r="D94" s="2" t="inlineStr">
        <is>
          <t>Core</t>
        </is>
      </c>
      <c r="E94" s="2" t="n">
        <v>1.1</v>
      </c>
      <c r="F94" s="2" t="inlineStr">
        <is>
          <t>EmotionalRegulation</t>
        </is>
      </c>
      <c r="G94" s="2" t="inlineStr">
        <is>
          <t>AttachmentSafety</t>
        </is>
      </c>
      <c r="H94" s="2" t="n"/>
      <c r="I94" s="2" t="inlineStr">
        <is>
          <t>C</t>
        </is>
      </c>
      <c r="J94" s="2" t="inlineStr">
        <is>
          <t>C</t>
        </is>
      </c>
      <c r="K94" s="2" t="inlineStr">
        <is>
          <t>I keep the conversation going but note the pattern. If it keeps feeling one-sided, I stop investing. Curiosity should go both ways.</t>
        </is>
      </c>
      <c r="L94" s="2" t="n">
        <v>7</v>
      </c>
      <c r="M94" s="2" t="n">
        <v>8</v>
      </c>
      <c r="N94" s="2" t="n">
        <v>6</v>
      </c>
      <c r="O94" s="2" t="n">
        <v>8</v>
      </c>
      <c r="P94" s="2" t="n">
        <v>6</v>
      </c>
      <c r="Q94" s="2" t="inlineStr">
        <is>
          <t>Analyzer</t>
        </is>
      </c>
      <c r="R94" s="2" t="n">
        <v>2</v>
      </c>
      <c r="S94" s="2" t="n"/>
      <c r="T94" s="2" t="n"/>
      <c r="U94" s="2" t="n">
        <v>0</v>
      </c>
      <c r="V94" s="2" t="inlineStr">
        <is>
          <t>masc:1.4;fem:0.1</t>
        </is>
      </c>
      <c r="W94" s="2" t="n">
        <v>1.4</v>
      </c>
      <c r="X94" s="2" t="n">
        <v>0.1</v>
      </c>
      <c r="Y94" s="2" t="inlineStr">
        <is>
          <t>COMM_Logical</t>
        </is>
      </c>
      <c r="Z94" s="2" t="inlineStr">
        <is>
          <t>REG_SelfSoother</t>
        </is>
      </c>
      <c r="AA94" s="2" t="inlineStr">
        <is>
          <t>LANG_Service</t>
        </is>
      </c>
      <c r="AB94" s="2" t="n"/>
      <c r="AC94" s="2" t="n"/>
      <c r="AD94" s="2" t="n"/>
      <c r="AE94" s="2" t="n">
        <v>0</v>
      </c>
      <c r="AF94" s="2" t="inlineStr">
        <is>
          <t>measured monitoring</t>
        </is>
      </c>
      <c r="AG94" s="2" t="inlineStr">
        <is>
          <t>balanced assessor</t>
        </is>
      </c>
      <c r="AH94" s="2" t="n">
        <v>0</v>
      </c>
      <c r="AI94" s="2" t="inlineStr">
        <is>
          <t>no</t>
        </is>
      </c>
      <c r="AJ94" s="2" t="inlineStr">
        <is>
          <t>no</t>
        </is>
      </c>
      <c r="AK94" s="2" t="inlineStr">
        <is>
          <t>yes</t>
        </is>
      </c>
      <c r="AL94" s="2" t="inlineStr">
        <is>
          <t>yes</t>
        </is>
      </c>
      <c r="AM94" s="2" t="n"/>
      <c r="AN94" s="2" t="n"/>
      <c r="AO94" s="2" t="n"/>
      <c r="AP94" s="2" t="inlineStr">
        <is>
          <t>v3_2026-03-19</t>
        </is>
      </c>
    </row>
    <row r="95" ht="148.5" customHeight="1" s="10">
      <c r="A95" s="2" t="inlineStr">
        <is>
          <t>Q19_D</t>
        </is>
      </c>
      <c r="B95" s="2" t="n">
        <v>19</v>
      </c>
      <c r="C95" s="2" t="n">
        <v>19</v>
      </c>
      <c r="D95" s="2" t="inlineStr">
        <is>
          <t>Core</t>
        </is>
      </c>
      <c r="E95" s="2" t="n">
        <v>1.1</v>
      </c>
      <c r="F95" s="2" t="inlineStr">
        <is>
          <t>EmotionalRegulation</t>
        </is>
      </c>
      <c r="G95" s="2" t="inlineStr">
        <is>
          <t>AttachmentSafety</t>
        </is>
      </c>
      <c r="H95" s="2" t="n"/>
      <c r="I95" s="2" t="inlineStr">
        <is>
          <t>D</t>
        </is>
      </c>
      <c r="J95" s="2" t="inlineStr">
        <is>
          <t>D</t>
        </is>
      </c>
      <c r="K95" s="2" t="inlineStr">
        <is>
          <t>I assume I'm just too much or not interesting enough. So I shrink a little. Try to be easier to be around, maybe then they'll lean in.</t>
        </is>
      </c>
      <c r="L95" s="2" t="n">
        <v>4</v>
      </c>
      <c r="M95" s="2" t="n">
        <v>5</v>
      </c>
      <c r="N95" s="2" t="n">
        <v>2</v>
      </c>
      <c r="O95" s="2" t="n">
        <v>2</v>
      </c>
      <c r="P95" s="2" t="n">
        <v>2</v>
      </c>
      <c r="Q95" s="2" t="inlineStr">
        <is>
          <t>Fixer</t>
        </is>
      </c>
      <c r="R95" s="2" t="n">
        <v>5</v>
      </c>
      <c r="S95" s="2" t="n"/>
      <c r="T95" s="2" t="n"/>
      <c r="U95" s="2" t="n">
        <v>0</v>
      </c>
      <c r="V95" s="2" t="inlineStr">
        <is>
          <t>masc:-0.4;fem:2.0</t>
        </is>
      </c>
      <c r="W95" s="2" t="n">
        <v>-0.4</v>
      </c>
      <c r="X95" s="2" t="n">
        <v>2</v>
      </c>
      <c r="Y95" s="2" t="inlineStr">
        <is>
          <t>COMM_Emotional</t>
        </is>
      </c>
      <c r="Z95" s="2" t="inlineStr">
        <is>
          <t>REG_CoRegulator</t>
        </is>
      </c>
      <c r="AA95" s="2" t="inlineStr">
        <is>
          <t>LANG_Service</t>
        </is>
      </c>
      <c r="AB95" s="2" t="inlineStr">
        <is>
          <t>Commitment_Ambiguity</t>
        </is>
      </c>
      <c r="AC95" s="2" t="inlineStr">
        <is>
          <t>Commitment_Ambiguity</t>
        </is>
      </c>
      <c r="AD95" s="2" t="n"/>
      <c r="AE95" s="2" t="n">
        <v>5</v>
      </c>
      <c r="AF95" s="2" t="inlineStr">
        <is>
          <t>self-dimming</t>
        </is>
      </c>
      <c r="AG95" s="2" t="inlineStr">
        <is>
          <t>self-minimizer</t>
        </is>
      </c>
      <c r="AH95" s="2" t="n">
        <v>0</v>
      </c>
      <c r="AI95" s="2" t="inlineStr">
        <is>
          <t>yes</t>
        </is>
      </c>
      <c r="AJ95" s="2" t="inlineStr">
        <is>
          <t>no</t>
        </is>
      </c>
      <c r="AK95" s="2" t="inlineStr">
        <is>
          <t>yes</t>
        </is>
      </c>
      <c r="AL95" s="2" t="inlineStr">
        <is>
          <t>yes</t>
        </is>
      </c>
      <c r="AM95" s="2" t="n"/>
      <c r="AN95" s="2" t="n"/>
      <c r="AO95" s="2" t="n"/>
      <c r="AP95" s="2" t="inlineStr">
        <is>
          <t>v3_2026-03-19</t>
        </is>
      </c>
    </row>
    <row r="96" ht="135" customHeight="1" s="10">
      <c r="A96" s="2" t="inlineStr">
        <is>
          <t>Q19_E</t>
        </is>
      </c>
      <c r="B96" s="2" t="n">
        <v>19</v>
      </c>
      <c r="C96" s="2" t="n">
        <v>19</v>
      </c>
      <c r="D96" s="2" t="inlineStr">
        <is>
          <t>Core</t>
        </is>
      </c>
      <c r="E96" s="2" t="n">
        <v>1.1</v>
      </c>
      <c r="F96" s="2" t="inlineStr">
        <is>
          <t>EmotionalRegulation</t>
        </is>
      </c>
      <c r="G96" s="2" t="inlineStr">
        <is>
          <t>AttachmentSafety</t>
        </is>
      </c>
      <c r="H96" s="2" t="n"/>
      <c r="I96" s="2" t="inlineStr">
        <is>
          <t>E</t>
        </is>
      </c>
      <c r="J96" s="2" t="inlineStr">
        <is>
          <t>E</t>
        </is>
      </c>
      <c r="K96" s="2" t="inlineStr">
        <is>
          <t>If they're not asking, I stop sharing. It's not rejection, it's just proof they're not where I am. That tells me all I need to know.</t>
        </is>
      </c>
      <c r="L96" s="2" t="n">
        <v>9</v>
      </c>
      <c r="M96" s="2" t="n">
        <v>9</v>
      </c>
      <c r="N96" s="2" t="n">
        <v>10</v>
      </c>
      <c r="O96" s="2" t="n">
        <v>10</v>
      </c>
      <c r="P96" s="2" t="n">
        <v>10</v>
      </c>
      <c r="Q96" s="2" t="inlineStr">
        <is>
          <t>Regulated Grown-Up</t>
        </is>
      </c>
      <c r="R96" s="2" t="n">
        <v>9</v>
      </c>
      <c r="S96" s="2" t="n"/>
      <c r="T96" s="2" t="n"/>
      <c r="U96" s="2" t="n">
        <v>0</v>
      </c>
      <c r="V96" s="2" t="inlineStr">
        <is>
          <t>masc:1.1;fem:0.9</t>
        </is>
      </c>
      <c r="W96" s="2" t="n">
        <v>1.1</v>
      </c>
      <c r="X96" s="2" t="n">
        <v>0.9</v>
      </c>
      <c r="Y96" s="2" t="inlineStr">
        <is>
          <t>COMM_Direct</t>
        </is>
      </c>
      <c r="Z96" s="2" t="inlineStr">
        <is>
          <t>REG_CoRegulator</t>
        </is>
      </c>
      <c r="AA96" s="2" t="inlineStr">
        <is>
          <t>LANG_Words</t>
        </is>
      </c>
      <c r="AB96" s="2" t="n"/>
      <c r="AC96" s="2" t="n"/>
      <c r="AD96" s="2" t="n"/>
      <c r="AE96" s="2" t="n">
        <v>0</v>
      </c>
      <c r="AF96" s="2" t="inlineStr">
        <is>
          <t>blunt boundary recognition</t>
        </is>
      </c>
      <c r="AG96" s="2" t="inlineStr">
        <is>
          <t>decisive assessor</t>
        </is>
      </c>
      <c r="AH96" s="2" t="n">
        <v>0</v>
      </c>
      <c r="AI96" s="2" t="inlineStr">
        <is>
          <t>no</t>
        </is>
      </c>
      <c r="AJ96" s="2" t="inlineStr">
        <is>
          <t>no</t>
        </is>
      </c>
      <c r="AK96" s="2" t="inlineStr">
        <is>
          <t>yes</t>
        </is>
      </c>
      <c r="AL96" s="2" t="inlineStr">
        <is>
          <t>yes</t>
        </is>
      </c>
      <c r="AM96" s="2" t="n"/>
      <c r="AN96" s="2" t="n"/>
      <c r="AO96" s="2" t="n"/>
      <c r="AP96" s="2" t="inlineStr">
        <is>
          <t>v3_2026-03-19</t>
        </is>
      </c>
    </row>
    <row r="97" ht="135" customHeight="1" s="10">
      <c r="A97" s="2" t="inlineStr">
        <is>
          <t>Q20_A</t>
        </is>
      </c>
      <c r="B97" s="2" t="n">
        <v>20</v>
      </c>
      <c r="C97" s="2" t="n">
        <v>20</v>
      </c>
      <c r="D97" s="2" t="inlineStr">
        <is>
          <t>Core</t>
        </is>
      </c>
      <c r="E97" s="2" t="n">
        <v>1.1</v>
      </c>
      <c r="F97" s="2" t="inlineStr">
        <is>
          <t>EmotionalRegulation</t>
        </is>
      </c>
      <c r="G97" s="2" t="inlineStr">
        <is>
          <t>AttachmentSafety</t>
        </is>
      </c>
      <c r="H97" s="2" t="inlineStr">
        <is>
          <t>They say they're "just not ready for anything serious," but keep texting, flirting, and staying close. What do you do with that?</t>
        </is>
      </c>
      <c r="I97" s="2" t="inlineStr">
        <is>
          <t>A</t>
        </is>
      </c>
      <c r="J97" s="2" t="inlineStr">
        <is>
          <t>A</t>
        </is>
      </c>
      <c r="K97" s="2" t="inlineStr">
        <is>
          <t>I don't chase maybes. If you're not ready, I'm not holding space hoping you'll get there. I move different after that.</t>
        </is>
      </c>
      <c r="L97" s="2" t="n">
        <v>9</v>
      </c>
      <c r="M97" s="2" t="n">
        <v>9</v>
      </c>
      <c r="N97" s="2" t="n">
        <v>10</v>
      </c>
      <c r="O97" s="2" t="n">
        <v>10</v>
      </c>
      <c r="P97" s="2" t="n">
        <v>10</v>
      </c>
      <c r="Q97" s="2" t="inlineStr">
        <is>
          <t>Regulated Grown-Up</t>
        </is>
      </c>
      <c r="R97" s="2" t="n">
        <v>9</v>
      </c>
      <c r="S97" s="2" t="n"/>
      <c r="T97" s="2" t="n"/>
      <c r="U97" s="2" t="n">
        <v>0</v>
      </c>
      <c r="V97" s="2" t="inlineStr">
        <is>
          <t>masc:1.1;fem:0.9</t>
        </is>
      </c>
      <c r="W97" s="2" t="n">
        <v>1.1</v>
      </c>
      <c r="X97" s="2" t="n">
        <v>0.9</v>
      </c>
      <c r="Y97" s="2" t="inlineStr">
        <is>
          <t>COMM_Direct</t>
        </is>
      </c>
      <c r="Z97" s="2" t="inlineStr">
        <is>
          <t>REG_CoRegulator</t>
        </is>
      </c>
      <c r="AA97" s="2" t="inlineStr">
        <is>
          <t>LANG_Words</t>
        </is>
      </c>
      <c r="AB97" s="2" t="n"/>
      <c r="AC97" s="2" t="n"/>
      <c r="AD97" s="2" t="n"/>
      <c r="AE97" s="2" t="n">
        <v>0</v>
      </c>
      <c r="AF97" s="2" t="inlineStr">
        <is>
          <t>emotional detachment with clarity</t>
        </is>
      </c>
      <c r="AG97" s="2" t="inlineStr">
        <is>
          <t>clean exit</t>
        </is>
      </c>
      <c r="AH97" s="2" t="n">
        <v>0.2</v>
      </c>
      <c r="AI97" s="2" t="inlineStr">
        <is>
          <t>no</t>
        </is>
      </c>
      <c r="AJ97" s="2" t="inlineStr">
        <is>
          <t>no</t>
        </is>
      </c>
      <c r="AK97" s="2" t="inlineStr">
        <is>
          <t>yes</t>
        </is>
      </c>
      <c r="AL97" s="2" t="inlineStr">
        <is>
          <t>yes</t>
        </is>
      </c>
      <c r="AM97" s="2" t="n"/>
      <c r="AN97" s="2" t="n"/>
      <c r="AO97" s="2" t="n"/>
      <c r="AP97" s="2" t="inlineStr">
        <is>
          <t>v3_2026-03-19</t>
        </is>
      </c>
    </row>
    <row r="98" ht="135" customHeight="1" s="10">
      <c r="A98" s="2" t="inlineStr">
        <is>
          <t>Q20_B</t>
        </is>
      </c>
      <c r="B98" s="2" t="n">
        <v>20</v>
      </c>
      <c r="C98" s="2" t="n">
        <v>20</v>
      </c>
      <c r="D98" s="2" t="inlineStr">
        <is>
          <t>Core</t>
        </is>
      </c>
      <c r="E98" s="2" t="n">
        <v>1.1</v>
      </c>
      <c r="F98" s="2" t="inlineStr">
        <is>
          <t>EmotionalRegulation</t>
        </is>
      </c>
      <c r="G98" s="2" t="inlineStr">
        <is>
          <t>AttachmentSafety</t>
        </is>
      </c>
      <c r="H98" s="2" t="n"/>
      <c r="I98" s="2" t="inlineStr">
        <is>
          <t>B</t>
        </is>
      </c>
      <c r="J98" s="2" t="inlineStr">
        <is>
          <t>B</t>
        </is>
      </c>
      <c r="K98" s="2" t="inlineStr">
        <is>
          <t>I downplay what I want. I'd rather keep them close than scare them off. I tell myself maybe they'll change their mind.</t>
        </is>
      </c>
      <c r="L98" s="2" t="n">
        <v>4</v>
      </c>
      <c r="M98" s="2" t="n">
        <v>5</v>
      </c>
      <c r="N98" s="2" t="n">
        <v>0</v>
      </c>
      <c r="O98" s="2" t="n">
        <v>2</v>
      </c>
      <c r="P98" s="2" t="n">
        <v>0</v>
      </c>
      <c r="Q98" s="2" t="inlineStr">
        <is>
          <t>Phantom Seeker</t>
        </is>
      </c>
      <c r="R98" s="2" t="n">
        <v>10</v>
      </c>
      <c r="S98" s="2" t="n"/>
      <c r="T98" s="2" t="n"/>
      <c r="U98" s="2" t="n">
        <v>0</v>
      </c>
      <c r="V98" s="2" t="inlineStr">
        <is>
          <t>masc:-0.2;fem:1.5</t>
        </is>
      </c>
      <c r="W98" s="2" t="n">
        <v>-0.2</v>
      </c>
      <c r="X98" s="2" t="n">
        <v>1.5</v>
      </c>
      <c r="Y98" s="2" t="inlineStr">
        <is>
          <t>COMM_Emotional</t>
        </is>
      </c>
      <c r="Z98" s="2" t="inlineStr">
        <is>
          <t>REG_SelfSoother</t>
        </is>
      </c>
      <c r="AA98" s="2" t="inlineStr">
        <is>
          <t>LANG_Touch</t>
        </is>
      </c>
      <c r="AB98" s="2" t="inlineStr">
        <is>
          <t>Commitment_Ambiguity</t>
        </is>
      </c>
      <c r="AC98" s="2" t="inlineStr">
        <is>
          <t>Commitment_Ambiguity</t>
        </is>
      </c>
      <c r="AD98" s="2" t="n"/>
      <c r="AE98" s="2" t="n">
        <v>5</v>
      </c>
      <c r="AF98" s="2" t="inlineStr">
        <is>
          <t>self-silencing attachment</t>
        </is>
      </c>
      <c r="AG98" s="2" t="inlineStr">
        <is>
          <t>avoidant hope</t>
        </is>
      </c>
      <c r="AH98" s="2" t="n">
        <v>0.6</v>
      </c>
      <c r="AI98" s="2" t="inlineStr">
        <is>
          <t>yes</t>
        </is>
      </c>
      <c r="AJ98" s="2" t="inlineStr">
        <is>
          <t>no</t>
        </is>
      </c>
      <c r="AK98" s="2" t="inlineStr">
        <is>
          <t>yes</t>
        </is>
      </c>
      <c r="AL98" s="2" t="inlineStr">
        <is>
          <t>yes</t>
        </is>
      </c>
      <c r="AM98" s="2" t="n"/>
      <c r="AN98" s="2" t="n"/>
      <c r="AO98" s="2" t="n"/>
      <c r="AP98" s="2" t="inlineStr">
        <is>
          <t>v3_2026-03-19</t>
        </is>
      </c>
    </row>
    <row r="99" ht="148.5" customHeight="1" s="10">
      <c r="A99" s="2" t="inlineStr">
        <is>
          <t>Q20_C</t>
        </is>
      </c>
      <c r="B99" s="2" t="n">
        <v>20</v>
      </c>
      <c r="C99" s="2" t="n">
        <v>20</v>
      </c>
      <c r="D99" s="2" t="inlineStr">
        <is>
          <t>Core</t>
        </is>
      </c>
      <c r="E99" s="2" t="n">
        <v>1.1</v>
      </c>
      <c r="F99" s="2" t="inlineStr">
        <is>
          <t>EmotionalRegulation</t>
        </is>
      </c>
      <c r="G99" s="2" t="inlineStr">
        <is>
          <t>AttachmentSafety</t>
        </is>
      </c>
      <c r="H99" s="2" t="n"/>
      <c r="I99" s="2" t="inlineStr">
        <is>
          <t>C</t>
        </is>
      </c>
      <c r="J99" s="2" t="inlineStr">
        <is>
          <t>C</t>
        </is>
      </c>
      <c r="K99" s="2" t="inlineStr">
        <is>
          <t>I lean into the attention while it's there, but I'm already preparing for them to dip. I know how this story ends, I just don't rush it.</t>
        </is>
      </c>
      <c r="L99" s="2" t="n">
        <v>6</v>
      </c>
      <c r="M99" s="2" t="n">
        <v>7</v>
      </c>
      <c r="N99" s="2" t="n">
        <v>2</v>
      </c>
      <c r="O99" s="2" t="n">
        <v>2</v>
      </c>
      <c r="P99" s="2" t="n">
        <v>0</v>
      </c>
      <c r="Q99" s="2" t="inlineStr">
        <is>
          <t>Icebox</t>
        </is>
      </c>
      <c r="R99" s="2" t="n">
        <v>1</v>
      </c>
      <c r="S99" s="2" t="n"/>
      <c r="T99" s="2" t="n"/>
      <c r="U99" s="2" t="n">
        <v>0</v>
      </c>
      <c r="V99" s="2" t="inlineStr">
        <is>
          <t>masc:1.8;fem:-1.6</t>
        </is>
      </c>
      <c r="W99" s="2" t="n">
        <v>1.8</v>
      </c>
      <c r="X99" s="2" t="n">
        <v>-1.6</v>
      </c>
      <c r="Y99" s="2" t="inlineStr">
        <is>
          <t>COMM_Avoidant</t>
        </is>
      </c>
      <c r="Z99" s="2" t="inlineStr">
        <is>
          <t>REG_Suppressor</t>
        </is>
      </c>
      <c r="AA99" s="2" t="inlineStr">
        <is>
          <t>LANG_Time</t>
        </is>
      </c>
      <c r="AB99" s="2" t="n"/>
      <c r="AC99" s="2" t="n"/>
      <c r="AD99" s="2" t="n"/>
      <c r="AE99" s="2" t="n">
        <v>0</v>
      </c>
      <c r="AF99" s="2" t="inlineStr">
        <is>
          <t>detached indulgence</t>
        </is>
      </c>
      <c r="AG99" s="2" t="inlineStr">
        <is>
          <t>slow detacher</t>
        </is>
      </c>
      <c r="AH99" s="2" t="n">
        <v>1.2</v>
      </c>
      <c r="AI99" s="2" t="inlineStr">
        <is>
          <t>no</t>
        </is>
      </c>
      <c r="AJ99" s="2" t="inlineStr">
        <is>
          <t>no</t>
        </is>
      </c>
      <c r="AK99" s="2" t="inlineStr">
        <is>
          <t>yes</t>
        </is>
      </c>
      <c r="AL99" s="2" t="inlineStr">
        <is>
          <t>yes</t>
        </is>
      </c>
      <c r="AM99" s="2" t="n"/>
      <c r="AN99" s="2" t="n"/>
      <c r="AO99" s="2" t="n"/>
      <c r="AP99" s="2" t="inlineStr">
        <is>
          <t>v3_2026-03-19</t>
        </is>
      </c>
    </row>
    <row r="100" ht="148.5" customHeight="1" s="10">
      <c r="A100" s="2" t="inlineStr">
        <is>
          <t>Q20_D</t>
        </is>
      </c>
      <c r="B100" s="2" t="n">
        <v>20</v>
      </c>
      <c r="C100" s="2" t="n">
        <v>20</v>
      </c>
      <c r="D100" s="2" t="inlineStr">
        <is>
          <t>Core</t>
        </is>
      </c>
      <c r="E100" s="2" t="n">
        <v>1.1</v>
      </c>
      <c r="F100" s="2" t="inlineStr">
        <is>
          <t>EmotionalRegulation</t>
        </is>
      </c>
      <c r="G100" s="2" t="inlineStr">
        <is>
          <t>AttachmentSafety</t>
        </is>
      </c>
      <c r="H100" s="2" t="n"/>
      <c r="I100" s="2" t="inlineStr">
        <is>
          <t>D</t>
        </is>
      </c>
      <c r="J100" s="2" t="inlineStr">
        <is>
          <t>D</t>
        </is>
      </c>
      <c r="K100" s="2" t="inlineStr">
        <is>
          <t>I start fixing it in my head. Maybe if I give it time, make things feel safer, they'll realize what we have. It's not manipulation, it's belief.</t>
        </is>
      </c>
      <c r="L100" s="2" t="n">
        <v>5</v>
      </c>
      <c r="M100" s="2" t="n">
        <v>6</v>
      </c>
      <c r="N100" s="2" t="n">
        <v>4</v>
      </c>
      <c r="O100" s="2" t="n">
        <v>4</v>
      </c>
      <c r="P100" s="2" t="n">
        <v>4</v>
      </c>
      <c r="Q100" s="2" t="inlineStr">
        <is>
          <t>Fixer</t>
        </is>
      </c>
      <c r="R100" s="2" t="n">
        <v>5</v>
      </c>
      <c r="S100" s="2" t="n"/>
      <c r="T100" s="2" t="n"/>
      <c r="U100" s="2" t="n">
        <v>0</v>
      </c>
      <c r="V100" s="2" t="inlineStr">
        <is>
          <t>masc:-0.4;fem:2.0</t>
        </is>
      </c>
      <c r="W100" s="2" t="n">
        <v>-0.4</v>
      </c>
      <c r="X100" s="2" t="n">
        <v>2</v>
      </c>
      <c r="Y100" s="2" t="inlineStr">
        <is>
          <t>COMM_Emotional</t>
        </is>
      </c>
      <c r="Z100" s="2" t="inlineStr">
        <is>
          <t>REG_CoRegulator</t>
        </is>
      </c>
      <c r="AA100" s="2" t="inlineStr">
        <is>
          <t>LANG_Service</t>
        </is>
      </c>
      <c r="AB100" s="2" t="inlineStr">
        <is>
          <t>Commitment_Ambiguity</t>
        </is>
      </c>
      <c r="AC100" s="2" t="inlineStr">
        <is>
          <t>Commitment_Ambiguity</t>
        </is>
      </c>
      <c r="AD100" s="2" t="n"/>
      <c r="AE100" s="2" t="n">
        <v>5</v>
      </c>
      <c r="AF100" s="2" t="inlineStr">
        <is>
          <t>subtle persuasion loop</t>
        </is>
      </c>
      <c r="AG100" s="2" t="inlineStr">
        <is>
          <t>hopeful fixer</t>
        </is>
      </c>
      <c r="AH100" s="2" t="n">
        <v>0.2</v>
      </c>
      <c r="AI100" s="2" t="inlineStr">
        <is>
          <t>yes</t>
        </is>
      </c>
      <c r="AJ100" s="2" t="inlineStr">
        <is>
          <t>no</t>
        </is>
      </c>
      <c r="AK100" s="2" t="inlineStr">
        <is>
          <t>yes</t>
        </is>
      </c>
      <c r="AL100" s="2" t="inlineStr">
        <is>
          <t>yes</t>
        </is>
      </c>
      <c r="AM100" s="2" t="n"/>
      <c r="AN100" s="2" t="n"/>
      <c r="AO100" s="2" t="n"/>
      <c r="AP100" s="2" t="inlineStr">
        <is>
          <t>v3_2026-03-19</t>
        </is>
      </c>
    </row>
    <row r="101" ht="135" customHeight="1" s="10">
      <c r="A101" s="2" t="inlineStr">
        <is>
          <t>Q20_E</t>
        </is>
      </c>
      <c r="B101" s="2" t="n">
        <v>20</v>
      </c>
      <c r="C101" s="2" t="n">
        <v>20</v>
      </c>
      <c r="D101" s="2" t="inlineStr">
        <is>
          <t>Core</t>
        </is>
      </c>
      <c r="E101" s="2" t="n">
        <v>1.1</v>
      </c>
      <c r="F101" s="2" t="inlineStr">
        <is>
          <t>EmotionalRegulation</t>
        </is>
      </c>
      <c r="G101" s="2" t="inlineStr">
        <is>
          <t>AttachmentSafety</t>
        </is>
      </c>
      <c r="H101" s="2" t="n"/>
      <c r="I101" s="2" t="inlineStr">
        <is>
          <t>E</t>
        </is>
      </c>
      <c r="J101" s="2" t="inlineStr">
        <is>
          <t>E</t>
        </is>
      </c>
      <c r="K101" s="2" t="inlineStr">
        <is>
          <t>I mirror it. You want casual? Cool. I can do that, until I don't. Just don't get mad when I stop answering like I used to.</t>
        </is>
      </c>
      <c r="L101" s="2" t="n">
        <v>7</v>
      </c>
      <c r="M101" s="2" t="n">
        <v>8</v>
      </c>
      <c r="N101" s="2" t="n">
        <v>4</v>
      </c>
      <c r="O101" s="2" t="n">
        <v>6</v>
      </c>
      <c r="P101" s="2" t="n">
        <v>2</v>
      </c>
      <c r="Q101" s="2" t="inlineStr">
        <is>
          <t>Performer</t>
        </is>
      </c>
      <c r="R101" s="2" t="n">
        <v>7</v>
      </c>
      <c r="S101" s="2" t="n"/>
      <c r="T101" s="2" t="n"/>
      <c r="U101" s="2" t="n">
        <v>0</v>
      </c>
      <c r="V101" s="2" t="inlineStr">
        <is>
          <t>masc:0.3;fem:0.5</t>
        </is>
      </c>
      <c r="W101" s="2" t="n">
        <v>0.3</v>
      </c>
      <c r="X101" s="2" t="n">
        <v>0.5</v>
      </c>
      <c r="Y101" s="2" t="inlineStr">
        <is>
          <t>COMM_Indirect</t>
        </is>
      </c>
      <c r="Z101" s="2" t="inlineStr">
        <is>
          <t>REG_Distractor</t>
        </is>
      </c>
      <c r="AA101" s="2" t="inlineStr">
        <is>
          <t>LANG_Gifts</t>
        </is>
      </c>
      <c r="AB101" s="2" t="n"/>
      <c r="AC101" s="2" t="n"/>
      <c r="AD101" s="2" t="n"/>
      <c r="AE101" s="2" t="n">
        <v>0</v>
      </c>
      <c r="AF101" s="2" t="inlineStr">
        <is>
          <t>cool mask hot clock</t>
        </is>
      </c>
      <c r="AG101" s="2" t="inlineStr">
        <is>
          <t>casual timer</t>
        </is>
      </c>
      <c r="AH101" s="2" t="n">
        <v>0.6</v>
      </c>
      <c r="AI101" s="2" t="inlineStr">
        <is>
          <t>no</t>
        </is>
      </c>
      <c r="AJ101" s="2" t="inlineStr">
        <is>
          <t>no</t>
        </is>
      </c>
      <c r="AK101" s="2" t="inlineStr">
        <is>
          <t>yes</t>
        </is>
      </c>
      <c r="AL101" s="2" t="inlineStr">
        <is>
          <t>yes</t>
        </is>
      </c>
      <c r="AM101" s="2" t="n"/>
      <c r="AN101" s="2" t="n"/>
      <c r="AO101" s="2" t="n"/>
      <c r="AP101" s="2" t="inlineStr">
        <is>
          <t>v3_2026-03-19</t>
        </is>
      </c>
    </row>
    <row r="102" ht="108" customHeight="1" s="10">
      <c r="A102" s="2" t="inlineStr">
        <is>
          <t>Q21_A</t>
        </is>
      </c>
      <c r="B102" s="2" t="n">
        <v>21</v>
      </c>
      <c r="C102" s="2" t="n">
        <v>21</v>
      </c>
      <c r="D102" s="2" t="inlineStr">
        <is>
          <t>Core</t>
        </is>
      </c>
      <c r="E102" s="2" t="n">
        <v>1.1</v>
      </c>
      <c r="F102" s="2" t="inlineStr">
        <is>
          <t>EmotionalRegulation</t>
        </is>
      </c>
      <c r="G102" s="2" t="inlineStr">
        <is>
          <t>AttachmentSafety</t>
        </is>
      </c>
      <c r="H102" s="2" t="inlineStr">
        <is>
          <t>One day they're into you, then distant the next. How do you handle the mixed signals?</t>
        </is>
      </c>
      <c r="I102" s="2" t="inlineStr">
        <is>
          <t>A</t>
        </is>
      </c>
      <c r="J102" s="2" t="inlineStr">
        <is>
          <t>A</t>
        </is>
      </c>
      <c r="K102" s="2" t="inlineStr">
        <is>
          <t>If you're hot and cold, I'm room temperature and gone. I'm not here to decode moods.</t>
        </is>
      </c>
      <c r="L102" s="2" t="n">
        <v>9</v>
      </c>
      <c r="M102" s="2" t="n">
        <v>9</v>
      </c>
      <c r="N102" s="2" t="n">
        <v>10</v>
      </c>
      <c r="O102" s="2" t="n">
        <v>10</v>
      </c>
      <c r="P102" s="2" t="n">
        <v>10</v>
      </c>
      <c r="Q102" s="2" t="inlineStr">
        <is>
          <t>Regulated Grown-Up</t>
        </is>
      </c>
      <c r="R102" s="2" t="n">
        <v>9</v>
      </c>
      <c r="S102" s="2" t="n"/>
      <c r="T102" s="2" t="n"/>
      <c r="U102" s="2" t="n">
        <v>0</v>
      </c>
      <c r="V102" s="2" t="inlineStr">
        <is>
          <t>masc:1.1;fem:0.9</t>
        </is>
      </c>
      <c r="W102" s="2" t="n">
        <v>1.1</v>
      </c>
      <c r="X102" s="2" t="n">
        <v>0.9</v>
      </c>
      <c r="Y102" s="2" t="inlineStr">
        <is>
          <t>COMM_Direct</t>
        </is>
      </c>
      <c r="Z102" s="2" t="inlineStr">
        <is>
          <t>REG_CoRegulator</t>
        </is>
      </c>
      <c r="AA102" s="2" t="inlineStr">
        <is>
          <t>LANG_Words</t>
        </is>
      </c>
      <c r="AB102" s="2" t="n"/>
      <c r="AC102" s="2" t="n"/>
      <c r="AD102" s="2" t="n"/>
      <c r="AE102" s="2" t="n">
        <v>0</v>
      </c>
      <c r="AF102" s="2" t="inlineStr">
        <is>
          <t>blunt detachment</t>
        </is>
      </c>
      <c r="AG102" s="2" t="inlineStr">
        <is>
          <t>immediate cutoff</t>
        </is>
      </c>
      <c r="AH102" s="2" t="n">
        <v>1.2</v>
      </c>
      <c r="AI102" s="2" t="inlineStr">
        <is>
          <t>no</t>
        </is>
      </c>
      <c r="AJ102" s="2" t="inlineStr">
        <is>
          <t>no</t>
        </is>
      </c>
      <c r="AK102" s="2" t="inlineStr">
        <is>
          <t>yes</t>
        </is>
      </c>
      <c r="AL102" s="2" t="inlineStr">
        <is>
          <t>yes</t>
        </is>
      </c>
      <c r="AM102" s="2" t="n"/>
      <c r="AN102" s="2" t="n"/>
      <c r="AO102" s="2" t="n"/>
      <c r="AP102" s="2" t="inlineStr">
        <is>
          <t>v3_2026-03-19</t>
        </is>
      </c>
    </row>
    <row r="103" ht="175.5" customHeight="1" s="10">
      <c r="A103" s="2" t="inlineStr">
        <is>
          <t>Q21_B</t>
        </is>
      </c>
      <c r="B103" s="2" t="n">
        <v>21</v>
      </c>
      <c r="C103" s="2" t="n">
        <v>21</v>
      </c>
      <c r="D103" s="2" t="inlineStr">
        <is>
          <t>Core</t>
        </is>
      </c>
      <c r="E103" s="2" t="n">
        <v>1.1</v>
      </c>
      <c r="F103" s="2" t="inlineStr">
        <is>
          <t>EmotionalRegulation</t>
        </is>
      </c>
      <c r="G103" s="2" t="inlineStr">
        <is>
          <t>AttachmentSafety</t>
        </is>
      </c>
      <c r="H103" s="2" t="n"/>
      <c r="I103" s="2" t="inlineStr">
        <is>
          <t>B</t>
        </is>
      </c>
      <c r="J103" s="2" t="inlineStr">
        <is>
          <t>B</t>
        </is>
      </c>
      <c r="K103" s="2" t="inlineStr">
        <is>
          <t>I recheck our last texts. Then I reread mine. Then I wonder if I should've said less, or more. I don't bring it up, but it definitely rewires how I respond.</t>
        </is>
      </c>
      <c r="L103" s="2" t="n">
        <v>5</v>
      </c>
      <c r="M103" s="2" t="n">
        <v>6</v>
      </c>
      <c r="N103" s="2" t="n">
        <v>4</v>
      </c>
      <c r="O103" s="2" t="n">
        <v>4</v>
      </c>
      <c r="P103" s="2" t="n">
        <v>2</v>
      </c>
      <c r="Q103" s="2" t="inlineStr">
        <is>
          <t>Analyzer</t>
        </is>
      </c>
      <c r="R103" s="2" t="n">
        <v>2</v>
      </c>
      <c r="S103" s="2" t="n"/>
      <c r="T103" s="2" t="n"/>
      <c r="U103" s="2" t="n">
        <v>0</v>
      </c>
      <c r="V103" s="2" t="inlineStr">
        <is>
          <t>masc:1.4;fem:0.1</t>
        </is>
      </c>
      <c r="W103" s="2" t="n">
        <v>1.4</v>
      </c>
      <c r="X103" s="2" t="n">
        <v>0.1</v>
      </c>
      <c r="Y103" s="2" t="inlineStr">
        <is>
          <t>COMM_Logical</t>
        </is>
      </c>
      <c r="Z103" s="2" t="inlineStr">
        <is>
          <t>REG_SelfSoother</t>
        </is>
      </c>
      <c r="AA103" s="2" t="inlineStr">
        <is>
          <t>LANG_Service</t>
        </is>
      </c>
      <c r="AB103" s="2" t="inlineStr">
        <is>
          <t>Trust_Tension</t>
        </is>
      </c>
      <c r="AC103" s="2" t="inlineStr">
        <is>
          <t>Trust_Tension</t>
        </is>
      </c>
      <c r="AD103" s="2" t="n"/>
      <c r="AE103" s="2" t="n">
        <v>6</v>
      </c>
      <c r="AF103" s="2" t="inlineStr">
        <is>
          <t>emotional spiral</t>
        </is>
      </c>
      <c r="AG103" s="2" t="inlineStr">
        <is>
          <t>overanalyzer</t>
        </is>
      </c>
      <c r="AH103" s="2" t="n">
        <v>0</v>
      </c>
      <c r="AI103" s="2" t="inlineStr">
        <is>
          <t>yes</t>
        </is>
      </c>
      <c r="AJ103" s="2" t="inlineStr">
        <is>
          <t>no</t>
        </is>
      </c>
      <c r="AK103" s="2" t="inlineStr">
        <is>
          <t>yes</t>
        </is>
      </c>
      <c r="AL103" s="2" t="inlineStr">
        <is>
          <t>yes</t>
        </is>
      </c>
      <c r="AM103" s="2" t="n"/>
      <c r="AN103" s="2" t="n"/>
      <c r="AO103" s="2" t="n"/>
      <c r="AP103" s="2" t="inlineStr">
        <is>
          <t>v3_2026-03-19</t>
        </is>
      </c>
    </row>
    <row r="104" ht="121.5" customHeight="1" s="10">
      <c r="A104" s="2" t="inlineStr">
        <is>
          <t>Q21_C</t>
        </is>
      </c>
      <c r="B104" s="2" t="n">
        <v>21</v>
      </c>
      <c r="C104" s="2" t="n">
        <v>21</v>
      </c>
      <c r="D104" s="2" t="inlineStr">
        <is>
          <t>Core</t>
        </is>
      </c>
      <c r="E104" s="2" t="n">
        <v>1.1</v>
      </c>
      <c r="F104" s="2" t="inlineStr">
        <is>
          <t>EmotionalRegulation</t>
        </is>
      </c>
      <c r="G104" s="2" t="inlineStr">
        <is>
          <t>AttachmentSafety</t>
        </is>
      </c>
      <c r="H104" s="2" t="n"/>
      <c r="I104" s="2" t="inlineStr">
        <is>
          <t>C</t>
        </is>
      </c>
      <c r="J104" s="2" t="inlineStr">
        <is>
          <t>C</t>
        </is>
      </c>
      <c r="K104" s="2" t="inlineStr">
        <is>
          <t>I back off. They'll either notice or they won't. I'm not chasing people who don't know what they want.</t>
        </is>
      </c>
      <c r="L104" s="2" t="n">
        <v>4</v>
      </c>
      <c r="M104" s="2" t="n">
        <v>5</v>
      </c>
      <c r="N104" s="2" t="n">
        <v>0</v>
      </c>
      <c r="O104" s="2" t="n">
        <v>0</v>
      </c>
      <c r="P104" s="2" t="n">
        <v>0</v>
      </c>
      <c r="Q104" s="2" t="inlineStr">
        <is>
          <t>Icebox</t>
        </is>
      </c>
      <c r="R104" s="2" t="n">
        <v>1</v>
      </c>
      <c r="S104" s="2" t="n"/>
      <c r="T104" s="2" t="n"/>
      <c r="U104" s="2" t="n">
        <v>0</v>
      </c>
      <c r="V104" s="2" t="inlineStr">
        <is>
          <t>masc:1.8;fem:-1.6</t>
        </is>
      </c>
      <c r="W104" s="2" t="n">
        <v>1.8</v>
      </c>
      <c r="X104" s="2" t="n">
        <v>-1.6</v>
      </c>
      <c r="Y104" s="2" t="inlineStr">
        <is>
          <t>COMM_Avoidant</t>
        </is>
      </c>
      <c r="Z104" s="2" t="inlineStr">
        <is>
          <t>REG_Suppressor</t>
        </is>
      </c>
      <c r="AA104" s="2" t="inlineStr">
        <is>
          <t>LANG_Time</t>
        </is>
      </c>
      <c r="AB104" s="2" t="inlineStr">
        <is>
          <t>Vulnerability_Loop</t>
        </is>
      </c>
      <c r="AC104" s="2" t="inlineStr">
        <is>
          <t>Vulnerability_Loop</t>
        </is>
      </c>
      <c r="AD104" s="2" t="n"/>
      <c r="AE104" s="2" t="n">
        <v>5</v>
      </c>
      <c r="AF104" s="2" t="inlineStr">
        <is>
          <t>quiet burn</t>
        </is>
      </c>
      <c r="AG104" s="2" t="inlineStr">
        <is>
          <t>disengaged pullback</t>
        </is>
      </c>
      <c r="AH104" s="2" t="n">
        <v>0.6</v>
      </c>
      <c r="AI104" s="2" t="inlineStr">
        <is>
          <t>yes</t>
        </is>
      </c>
      <c r="AJ104" s="2" t="inlineStr">
        <is>
          <t>no</t>
        </is>
      </c>
      <c r="AK104" s="2" t="inlineStr">
        <is>
          <t>yes</t>
        </is>
      </c>
      <c r="AL104" s="2" t="inlineStr">
        <is>
          <t>yes</t>
        </is>
      </c>
      <c r="AM104" s="2" t="n"/>
      <c r="AN104" s="2" t="n"/>
      <c r="AO104" s="2" t="n"/>
      <c r="AP104" s="2" t="inlineStr">
        <is>
          <t>v3_2026-03-19</t>
        </is>
      </c>
    </row>
    <row r="105" ht="148.5" customHeight="1" s="10">
      <c r="A105" s="2" t="inlineStr">
        <is>
          <t>Q21_D</t>
        </is>
      </c>
      <c r="B105" s="2" t="n">
        <v>21</v>
      </c>
      <c r="C105" s="2" t="n">
        <v>21</v>
      </c>
      <c r="D105" s="2" t="inlineStr">
        <is>
          <t>Core</t>
        </is>
      </c>
      <c r="E105" s="2" t="n">
        <v>1.1</v>
      </c>
      <c r="F105" s="2" t="inlineStr">
        <is>
          <t>EmotionalRegulation</t>
        </is>
      </c>
      <c r="G105" s="2" t="inlineStr">
        <is>
          <t>AttachmentSafety</t>
        </is>
      </c>
      <c r="H105" s="2" t="n"/>
      <c r="I105" s="2" t="inlineStr">
        <is>
          <t>D</t>
        </is>
      </c>
      <c r="J105" s="2" t="inlineStr">
        <is>
          <t>D</t>
        </is>
      </c>
      <c r="K105" s="2" t="inlineStr">
        <is>
          <t>I stop bringing things up. If they don't want me, I'm not going to beg to be understood. I've played that game before.</t>
        </is>
      </c>
      <c r="L105" s="2" t="n">
        <v>6</v>
      </c>
      <c r="M105" s="2" t="n">
        <v>7</v>
      </c>
      <c r="N105" s="2" t="n">
        <v>4</v>
      </c>
      <c r="O105" s="2" t="n">
        <v>4</v>
      </c>
      <c r="P105" s="2" t="n">
        <v>4</v>
      </c>
      <c r="Q105" s="2" t="inlineStr">
        <is>
          <t>Fixer</t>
        </is>
      </c>
      <c r="R105" s="2" t="n">
        <v>5</v>
      </c>
      <c r="S105" s="2" t="n"/>
      <c r="T105" s="2" t="n"/>
      <c r="U105" s="2" t="n">
        <v>0</v>
      </c>
      <c r="V105" s="2" t="inlineStr">
        <is>
          <t>masc:-0.4;fem:2.0</t>
        </is>
      </c>
      <c r="W105" s="2" t="n">
        <v>-0.4</v>
      </c>
      <c r="X105" s="2" t="n">
        <v>2</v>
      </c>
      <c r="Y105" s="2" t="inlineStr">
        <is>
          <t>COMM_Emotional</t>
        </is>
      </c>
      <c r="Z105" s="2" t="inlineStr">
        <is>
          <t>REG_CoRegulator</t>
        </is>
      </c>
      <c r="AA105" s="2" t="inlineStr">
        <is>
          <t>LANG_Service</t>
        </is>
      </c>
      <c r="AB105" s="2" t="inlineStr">
        <is>
          <t>Affection_Mismatch , Independence_Collision</t>
        </is>
      </c>
      <c r="AC105" s="2" t="inlineStr">
        <is>
          <t>Affection_Mismatch</t>
        </is>
      </c>
      <c r="AD105" s="2" t="inlineStr">
        <is>
          <t>Independence_Collision</t>
        </is>
      </c>
      <c r="AE105" s="2" t="n">
        <v>9</v>
      </c>
      <c r="AF105" s="2" t="inlineStr">
        <is>
          <t>resigned caregiver</t>
        </is>
      </c>
      <c r="AG105" s="2" t="inlineStr">
        <is>
          <t>silent surrender</t>
        </is>
      </c>
      <c r="AH105" s="2" t="n">
        <v>1.2</v>
      </c>
      <c r="AI105" s="2" t="inlineStr">
        <is>
          <t>yes</t>
        </is>
      </c>
      <c r="AJ105" s="2" t="inlineStr">
        <is>
          <t>no</t>
        </is>
      </c>
      <c r="AK105" s="2" t="inlineStr">
        <is>
          <t>yes</t>
        </is>
      </c>
      <c r="AL105" s="2" t="inlineStr">
        <is>
          <t>yes</t>
        </is>
      </c>
      <c r="AM105" s="2" t="n"/>
      <c r="AN105" s="2" t="n"/>
      <c r="AO105" s="2" t="n"/>
      <c r="AP105" s="2" t="inlineStr">
        <is>
          <t>v3_2026-03-19</t>
        </is>
      </c>
    </row>
    <row r="106" ht="135" customHeight="1" s="10">
      <c r="A106" s="2" t="inlineStr">
        <is>
          <t>Q21_E</t>
        </is>
      </c>
      <c r="B106" s="2" t="n">
        <v>21</v>
      </c>
      <c r="C106" s="2" t="n">
        <v>21</v>
      </c>
      <c r="D106" s="2" t="inlineStr">
        <is>
          <t>Core</t>
        </is>
      </c>
      <c r="E106" s="2" t="n">
        <v>1.1</v>
      </c>
      <c r="F106" s="2" t="inlineStr">
        <is>
          <t>EmotionalRegulation</t>
        </is>
      </c>
      <c r="G106" s="2" t="inlineStr">
        <is>
          <t>AttachmentSafety</t>
        </is>
      </c>
      <c r="H106" s="2" t="n"/>
      <c r="I106" s="2" t="inlineStr">
        <is>
          <t>E</t>
        </is>
      </c>
      <c r="J106" s="2" t="inlineStr">
        <is>
          <t>E</t>
        </is>
      </c>
      <c r="K106" s="2" t="inlineStr">
        <is>
          <t>I tell myself it's probably just stress or a bad week. I don't want to give up too early, but it's hard not to notice when it shifts.</t>
        </is>
      </c>
      <c r="L106" s="2" t="n">
        <v>7</v>
      </c>
      <c r="M106" s="2" t="n">
        <v>8</v>
      </c>
      <c r="N106" s="2" t="n">
        <v>6</v>
      </c>
      <c r="O106" s="2" t="n">
        <v>6</v>
      </c>
      <c r="P106" s="2" t="n">
        <v>4</v>
      </c>
      <c r="Q106" s="2" t="inlineStr">
        <is>
          <t>Romantic Idealist</t>
        </is>
      </c>
      <c r="R106" s="2" t="n">
        <v>6</v>
      </c>
      <c r="S106" s="2" t="n"/>
      <c r="T106" s="2" t="n"/>
      <c r="U106" s="2" t="n">
        <v>0</v>
      </c>
      <c r="V106" s="2" t="inlineStr">
        <is>
          <t>masc:-0.4;fem:1.5</t>
        </is>
      </c>
      <c r="W106" s="2" t="n">
        <v>-0.4</v>
      </c>
      <c r="X106" s="2" t="n">
        <v>1.5</v>
      </c>
      <c r="Y106" s="2" t="inlineStr">
        <is>
          <t>COMM_Emotional</t>
        </is>
      </c>
      <c r="Z106" s="2" t="inlineStr">
        <is>
          <t>REG_Distractor</t>
        </is>
      </c>
      <c r="AA106" s="2" t="inlineStr">
        <is>
          <t>LANG_Gifts</t>
        </is>
      </c>
      <c r="AB106" s="2" t="n"/>
      <c r="AC106" s="2" t="n"/>
      <c r="AD106" s="2" t="n"/>
      <c r="AE106" s="2" t="n">
        <v>0</v>
      </c>
      <c r="AF106" s="2" t="inlineStr">
        <is>
          <t>tired hope</t>
        </is>
      </c>
      <c r="AG106" s="2" t="inlineStr">
        <is>
          <t>cautious optimist</t>
        </is>
      </c>
      <c r="AH106" s="2" t="n">
        <v>0</v>
      </c>
      <c r="AI106" s="2" t="inlineStr">
        <is>
          <t>no</t>
        </is>
      </c>
      <c r="AJ106" s="2" t="inlineStr">
        <is>
          <t>no</t>
        </is>
      </c>
      <c r="AK106" s="2" t="inlineStr">
        <is>
          <t>yes</t>
        </is>
      </c>
      <c r="AL106" s="2" t="inlineStr">
        <is>
          <t>yes</t>
        </is>
      </c>
      <c r="AM106" s="2" t="n"/>
      <c r="AN106" s="2" t="n"/>
      <c r="AO106" s="2" t="n"/>
      <c r="AP106" s="2" t="inlineStr">
        <is>
          <t>v3_2026-03-19</t>
        </is>
      </c>
    </row>
    <row r="107" ht="94.5" customHeight="1" s="10">
      <c r="A107" s="2" t="inlineStr">
        <is>
          <t>Q22_A</t>
        </is>
      </c>
      <c r="B107" s="2" t="n">
        <v>22</v>
      </c>
      <c r="C107" s="2" t="n">
        <v>22</v>
      </c>
      <c r="D107" s="2" t="inlineStr">
        <is>
          <t>Core</t>
        </is>
      </c>
      <c r="E107" s="2" t="n">
        <v>1.1</v>
      </c>
      <c r="F107" s="2" t="inlineStr">
        <is>
          <t>EmotionalRegulation</t>
        </is>
      </c>
      <c r="G107" s="2" t="inlineStr">
        <is>
          <t>AttachmentSafety</t>
        </is>
      </c>
      <c r="H107" s="2" t="inlineStr">
        <is>
          <t>You're deep in conversation and they suddenly shut down or go quiet. What do you do next?</t>
        </is>
      </c>
      <c r="I107" s="2" t="inlineStr">
        <is>
          <t>A</t>
        </is>
      </c>
      <c r="J107" s="2" t="inlineStr">
        <is>
          <t>A</t>
        </is>
      </c>
      <c r="K107" s="2" t="inlineStr">
        <is>
          <t>I give them space. If they want to talk, they will. If not, I take the hint.</t>
        </is>
      </c>
      <c r="L107" s="2" t="n">
        <v>8</v>
      </c>
      <c r="M107" s="2" t="n">
        <v>8</v>
      </c>
      <c r="N107" s="2" t="n">
        <v>4</v>
      </c>
      <c r="O107" s="2" t="n">
        <v>4</v>
      </c>
      <c r="P107" s="2" t="n">
        <v>0</v>
      </c>
      <c r="Q107" s="2" t="inlineStr">
        <is>
          <t>Icebox</t>
        </is>
      </c>
      <c r="R107" s="2" t="n">
        <v>1</v>
      </c>
      <c r="S107" s="2" t="n"/>
      <c r="T107" s="2" t="n"/>
      <c r="U107" s="2" t="n">
        <v>0</v>
      </c>
      <c r="V107" s="2" t="inlineStr">
        <is>
          <t>masc:1.8;fem:-1.6</t>
        </is>
      </c>
      <c r="W107" s="2" t="n">
        <v>1.8</v>
      </c>
      <c r="X107" s="2" t="n">
        <v>-1.6</v>
      </c>
      <c r="Y107" s="2" t="inlineStr">
        <is>
          <t>COMM_Avoidant</t>
        </is>
      </c>
      <c r="Z107" s="2" t="inlineStr">
        <is>
          <t>REG_Suppressor</t>
        </is>
      </c>
      <c r="AA107" s="2" t="inlineStr">
        <is>
          <t>LANG_Time</t>
        </is>
      </c>
      <c r="AB107" s="2" t="n"/>
      <c r="AC107" s="2" t="n"/>
      <c r="AD107" s="2" t="n"/>
      <c r="AE107" s="2" t="n">
        <v>0</v>
      </c>
      <c r="AF107" s="2" t="inlineStr">
        <is>
          <t>detached cool</t>
        </is>
      </c>
      <c r="AG107" s="2" t="inlineStr">
        <is>
          <t>patient withdrawer</t>
        </is>
      </c>
      <c r="AH107" s="2" t="n">
        <v>1.2</v>
      </c>
      <c r="AI107" s="2" t="inlineStr">
        <is>
          <t>no</t>
        </is>
      </c>
      <c r="AJ107" s="2" t="inlineStr">
        <is>
          <t>no</t>
        </is>
      </c>
      <c r="AK107" s="2" t="inlineStr">
        <is>
          <t>yes</t>
        </is>
      </c>
      <c r="AL107" s="2" t="inlineStr">
        <is>
          <t>yes</t>
        </is>
      </c>
      <c r="AM107" s="2" t="n"/>
      <c r="AN107" s="2" t="n"/>
      <c r="AO107" s="2" t="n"/>
      <c r="AP107" s="2" t="inlineStr">
        <is>
          <t>v3_2026-03-19</t>
        </is>
      </c>
    </row>
    <row r="108" ht="135" customHeight="1" s="10">
      <c r="A108" s="2" t="inlineStr">
        <is>
          <t>Q22_B</t>
        </is>
      </c>
      <c r="B108" s="2" t="n">
        <v>22</v>
      </c>
      <c r="C108" s="2" t="n">
        <v>22</v>
      </c>
      <c r="D108" s="2" t="inlineStr">
        <is>
          <t>Core</t>
        </is>
      </c>
      <c r="E108" s="2" t="n">
        <v>1.1</v>
      </c>
      <c r="F108" s="2" t="inlineStr">
        <is>
          <t>EmotionalRegulation</t>
        </is>
      </c>
      <c r="G108" s="2" t="inlineStr">
        <is>
          <t>AttachmentSafety</t>
        </is>
      </c>
      <c r="H108" s="2" t="n"/>
      <c r="I108" s="2" t="inlineStr">
        <is>
          <t>B</t>
        </is>
      </c>
      <c r="J108" s="2" t="inlineStr">
        <is>
          <t>B</t>
        </is>
      </c>
      <c r="K108" s="2" t="inlineStr">
        <is>
          <t>I immediately think I said something wrong. I start scanning every word trying to figure out what triggered it.</t>
        </is>
      </c>
      <c r="L108" s="2" t="n">
        <v>4</v>
      </c>
      <c r="M108" s="2" t="n">
        <v>5</v>
      </c>
      <c r="N108" s="2" t="n">
        <v>2</v>
      </c>
      <c r="O108" s="2" t="n">
        <v>2</v>
      </c>
      <c r="P108" s="2" t="n">
        <v>2</v>
      </c>
      <c r="Q108" s="2" t="inlineStr">
        <is>
          <t>Analyzer</t>
        </is>
      </c>
      <c r="R108" s="2" t="n">
        <v>2</v>
      </c>
      <c r="S108" s="2" t="n"/>
      <c r="T108" s="2" t="n"/>
      <c r="U108" s="2" t="n">
        <v>0</v>
      </c>
      <c r="V108" s="2" t="inlineStr">
        <is>
          <t>masc:1.4;fem:0.1</t>
        </is>
      </c>
      <c r="W108" s="2" t="n">
        <v>1.4</v>
      </c>
      <c r="X108" s="2" t="n">
        <v>0.1</v>
      </c>
      <c r="Y108" s="2" t="inlineStr">
        <is>
          <t>COMM_Logical</t>
        </is>
      </c>
      <c r="Z108" s="2" t="inlineStr">
        <is>
          <t>REG_SelfSoother</t>
        </is>
      </c>
      <c r="AA108" s="2" t="inlineStr">
        <is>
          <t>LANG_Service</t>
        </is>
      </c>
      <c r="AB108" s="2" t="inlineStr">
        <is>
          <t>Vulnerability_Loop</t>
        </is>
      </c>
      <c r="AC108" s="2" t="inlineStr">
        <is>
          <t>Vulnerability_Loop</t>
        </is>
      </c>
      <c r="AD108" s="2" t="n"/>
      <c r="AE108" s="2" t="n">
        <v>5</v>
      </c>
      <c r="AF108" s="2" t="inlineStr">
        <is>
          <t>inner spiral</t>
        </is>
      </c>
      <c r="AG108" s="2" t="inlineStr">
        <is>
          <t>self-blamer</t>
        </is>
      </c>
      <c r="AH108" s="2" t="n">
        <v>0</v>
      </c>
      <c r="AI108" s="2" t="inlineStr">
        <is>
          <t>yes</t>
        </is>
      </c>
      <c r="AJ108" s="2" t="inlineStr">
        <is>
          <t>no</t>
        </is>
      </c>
      <c r="AK108" s="2" t="inlineStr">
        <is>
          <t>yes</t>
        </is>
      </c>
      <c r="AL108" s="2" t="inlineStr">
        <is>
          <t>yes</t>
        </is>
      </c>
      <c r="AM108" s="2" t="n"/>
      <c r="AN108" s="2" t="n"/>
      <c r="AO108" s="2" t="n"/>
      <c r="AP108" s="2" t="inlineStr">
        <is>
          <t>v3_2026-03-19</t>
        </is>
      </c>
    </row>
    <row r="109" ht="121.5" customHeight="1" s="10">
      <c r="A109" s="2" t="inlineStr">
        <is>
          <t>Q22_C</t>
        </is>
      </c>
      <c r="B109" s="2" t="n">
        <v>22</v>
      </c>
      <c r="C109" s="2" t="n">
        <v>22</v>
      </c>
      <c r="D109" s="2" t="inlineStr">
        <is>
          <t>Core</t>
        </is>
      </c>
      <c r="E109" s="2" t="n">
        <v>1.1</v>
      </c>
      <c r="F109" s="2" t="inlineStr">
        <is>
          <t>EmotionalRegulation</t>
        </is>
      </c>
      <c r="G109" s="2" t="inlineStr">
        <is>
          <t>AttachmentSafety</t>
        </is>
      </c>
      <c r="H109" s="2" t="n"/>
      <c r="I109" s="2" t="inlineStr">
        <is>
          <t>C</t>
        </is>
      </c>
      <c r="J109" s="2" t="inlineStr">
        <is>
          <t>C</t>
        </is>
      </c>
      <c r="K109" s="2" t="inlineStr">
        <is>
          <t>I'll ask once. If it's brushed off or ignored, I shift. I'm not the type to sit in someone else's silence for long.</t>
        </is>
      </c>
      <c r="L109" s="2" t="n">
        <v>9</v>
      </c>
      <c r="M109" s="2" t="n">
        <v>9</v>
      </c>
      <c r="N109" s="2" t="n">
        <v>10</v>
      </c>
      <c r="O109" s="2" t="n">
        <v>10</v>
      </c>
      <c r="P109" s="2" t="n">
        <v>10</v>
      </c>
      <c r="Q109" s="2" t="inlineStr">
        <is>
          <t>Regulated Grown-Up</t>
        </is>
      </c>
      <c r="R109" s="2" t="n">
        <v>9</v>
      </c>
      <c r="S109" s="2" t="n"/>
      <c r="T109" s="2" t="n"/>
      <c r="U109" s="2" t="n">
        <v>0</v>
      </c>
      <c r="V109" s="2" t="inlineStr">
        <is>
          <t>masc:1.1;fem:0.9</t>
        </is>
      </c>
      <c r="W109" s="2" t="n">
        <v>1.1</v>
      </c>
      <c r="X109" s="2" t="n">
        <v>0.9</v>
      </c>
      <c r="Y109" s="2" t="inlineStr">
        <is>
          <t>COMM_Direct</t>
        </is>
      </c>
      <c r="Z109" s="2" t="inlineStr">
        <is>
          <t>REG_CoRegulator</t>
        </is>
      </c>
      <c r="AA109" s="2" t="inlineStr">
        <is>
          <t>LANG_Words</t>
        </is>
      </c>
      <c r="AB109" s="2" t="n"/>
      <c r="AC109" s="2" t="n"/>
      <c r="AD109" s="2" t="n"/>
      <c r="AE109" s="2" t="n">
        <v>0</v>
      </c>
      <c r="AF109" s="2" t="inlineStr">
        <is>
          <t>direct with boundaries</t>
        </is>
      </c>
      <c r="AG109" s="2" t="inlineStr">
        <is>
          <t>firm line-setter</t>
        </is>
      </c>
      <c r="AH109" s="2" t="n">
        <v>0</v>
      </c>
      <c r="AI109" s="2" t="inlineStr">
        <is>
          <t>no</t>
        </is>
      </c>
      <c r="AJ109" s="2" t="inlineStr">
        <is>
          <t>no</t>
        </is>
      </c>
      <c r="AK109" s="2" t="inlineStr">
        <is>
          <t>yes</t>
        </is>
      </c>
      <c r="AL109" s="2" t="inlineStr">
        <is>
          <t>yes</t>
        </is>
      </c>
      <c r="AM109" s="2" t="n"/>
      <c r="AN109" s="2" t="n"/>
      <c r="AO109" s="2" t="n"/>
      <c r="AP109" s="2" t="inlineStr">
        <is>
          <t>v3_2026-03-19</t>
        </is>
      </c>
    </row>
    <row r="110" ht="121.5" customHeight="1" s="10">
      <c r="A110" s="2" t="inlineStr">
        <is>
          <t>Q22_D</t>
        </is>
      </c>
      <c r="B110" s="2" t="n">
        <v>22</v>
      </c>
      <c r="C110" s="2" t="n">
        <v>22</v>
      </c>
      <c r="D110" s="2" t="inlineStr">
        <is>
          <t>Core</t>
        </is>
      </c>
      <c r="E110" s="2" t="n">
        <v>1.1</v>
      </c>
      <c r="F110" s="2" t="inlineStr">
        <is>
          <t>EmotionalRegulation</t>
        </is>
      </c>
      <c r="G110" s="2" t="inlineStr">
        <is>
          <t>AttachmentSafety</t>
        </is>
      </c>
      <c r="H110" s="2" t="n"/>
      <c r="I110" s="2" t="inlineStr">
        <is>
          <t>D</t>
        </is>
      </c>
      <c r="J110" s="2" t="inlineStr">
        <is>
          <t>D</t>
        </is>
      </c>
      <c r="K110" s="2" t="inlineStr">
        <is>
          <t>I try to keep the mood up, shift the subject, make it feel less tense,even if I'm freaking out a little inside.</t>
        </is>
      </c>
      <c r="L110" s="2" t="n">
        <v>6</v>
      </c>
      <c r="M110" s="2" t="n">
        <v>7</v>
      </c>
      <c r="N110" s="2" t="n">
        <v>4</v>
      </c>
      <c r="O110" s="2" t="n">
        <v>4</v>
      </c>
      <c r="P110" s="2" t="n">
        <v>2</v>
      </c>
      <c r="Q110" s="2" t="inlineStr">
        <is>
          <t>Performer</t>
        </is>
      </c>
      <c r="R110" s="2" t="n">
        <v>7</v>
      </c>
      <c r="S110" s="2" t="n"/>
      <c r="T110" s="2" t="n"/>
      <c r="U110" s="2" t="n">
        <v>0</v>
      </c>
      <c r="V110" s="2" t="inlineStr">
        <is>
          <t>masc:0.3;fem:0.5</t>
        </is>
      </c>
      <c r="W110" s="2" t="n">
        <v>0.3</v>
      </c>
      <c r="X110" s="2" t="n">
        <v>0.5</v>
      </c>
      <c r="Y110" s="2" t="inlineStr">
        <is>
          <t>COMM_Indirect</t>
        </is>
      </c>
      <c r="Z110" s="2" t="inlineStr">
        <is>
          <t>REG_Distractor</t>
        </is>
      </c>
      <c r="AA110" s="2" t="inlineStr">
        <is>
          <t>LANG_Gifts</t>
        </is>
      </c>
      <c r="AB110" s="2" t="inlineStr">
        <is>
          <t>Vulnerability_Loop</t>
        </is>
      </c>
      <c r="AC110" s="2" t="inlineStr">
        <is>
          <t>Vulnerability_Loop</t>
        </is>
      </c>
      <c r="AD110" s="2" t="n"/>
      <c r="AE110" s="2" t="n">
        <v>5</v>
      </c>
      <c r="AF110" s="2" t="inlineStr">
        <is>
          <t>smooth cover-up</t>
        </is>
      </c>
      <c r="AG110" s="2" t="inlineStr">
        <is>
          <t>tension diffuser</t>
        </is>
      </c>
      <c r="AH110" s="2" t="n">
        <v>0</v>
      </c>
      <c r="AI110" s="2" t="inlineStr">
        <is>
          <t>yes</t>
        </is>
      </c>
      <c r="AJ110" s="2" t="inlineStr">
        <is>
          <t>no</t>
        </is>
      </c>
      <c r="AK110" s="2" t="inlineStr">
        <is>
          <t>yes</t>
        </is>
      </c>
      <c r="AL110" s="2" t="inlineStr">
        <is>
          <t>yes</t>
        </is>
      </c>
      <c r="AM110" s="2" t="n"/>
      <c r="AN110" s="2" t="n"/>
      <c r="AO110" s="2" t="n"/>
      <c r="AP110" s="2" t="inlineStr">
        <is>
          <t>v3_2026-03-19</t>
        </is>
      </c>
    </row>
    <row r="111" ht="108" customHeight="1" s="10">
      <c r="A111" s="2" t="inlineStr">
        <is>
          <t>Q22_E</t>
        </is>
      </c>
      <c r="B111" s="2" t="n">
        <v>22</v>
      </c>
      <c r="C111" s="2" t="n">
        <v>22</v>
      </c>
      <c r="D111" s="2" t="inlineStr">
        <is>
          <t>Core</t>
        </is>
      </c>
      <c r="E111" s="2" t="n">
        <v>1.1</v>
      </c>
      <c r="F111" s="2" t="inlineStr">
        <is>
          <t>EmotionalRegulation</t>
        </is>
      </c>
      <c r="G111" s="2" t="inlineStr">
        <is>
          <t>AttachmentSafety</t>
        </is>
      </c>
      <c r="H111" s="2" t="n"/>
      <c r="I111" s="2" t="inlineStr">
        <is>
          <t>E</t>
        </is>
      </c>
      <c r="J111" s="2" t="inlineStr">
        <is>
          <t>E</t>
        </is>
      </c>
      <c r="K111" s="2" t="inlineStr">
        <is>
          <t>I feel it, but I don't say anything. I stay present, hoping they'll come back to me on their own.</t>
        </is>
      </c>
      <c r="L111" s="2" t="n">
        <v>6</v>
      </c>
      <c r="M111" s="2" t="n">
        <v>6</v>
      </c>
      <c r="N111" s="2" t="n">
        <v>4</v>
      </c>
      <c r="O111" s="2" t="n">
        <v>4</v>
      </c>
      <c r="P111" s="2" t="n">
        <v>4</v>
      </c>
      <c r="Q111" s="2" t="inlineStr">
        <is>
          <t>Translator</t>
        </is>
      </c>
      <c r="R111" s="2" t="n">
        <v>3</v>
      </c>
      <c r="S111" s="2" t="n"/>
      <c r="T111" s="2" t="n"/>
      <c r="U111" s="2" t="n">
        <v>0</v>
      </c>
      <c r="V111" s="2" t="inlineStr">
        <is>
          <t>masc:-0.1;fem:1.6</t>
        </is>
      </c>
      <c r="W111" s="2" t="n">
        <v>-0.1</v>
      </c>
      <c r="X111" s="2" t="n">
        <v>1.6</v>
      </c>
      <c r="Y111" s="2" t="inlineStr">
        <is>
          <t>COMM_Indirect</t>
        </is>
      </c>
      <c r="Z111" s="2" t="inlineStr">
        <is>
          <t>REG_CoRegulator</t>
        </is>
      </c>
      <c r="AA111" s="2" t="inlineStr">
        <is>
          <t>LANG_Words</t>
        </is>
      </c>
      <c r="AB111" s="2" t="inlineStr">
        <is>
          <t>Vulnerability_Loop</t>
        </is>
      </c>
      <c r="AC111" s="2" t="inlineStr">
        <is>
          <t>Vulnerability_Loop</t>
        </is>
      </c>
      <c r="AD111" s="2" t="n"/>
      <c r="AE111" s="2" t="n">
        <v>5</v>
      </c>
      <c r="AF111" s="2" t="inlineStr">
        <is>
          <t>gentle waiter</t>
        </is>
      </c>
      <c r="AG111" s="2" t="inlineStr">
        <is>
          <t>silent holder</t>
        </is>
      </c>
      <c r="AH111" s="2" t="n">
        <v>0.6</v>
      </c>
      <c r="AI111" s="2" t="inlineStr">
        <is>
          <t>yes</t>
        </is>
      </c>
      <c r="AJ111" s="2" t="inlineStr">
        <is>
          <t>no</t>
        </is>
      </c>
      <c r="AK111" s="2" t="inlineStr">
        <is>
          <t>yes</t>
        </is>
      </c>
      <c r="AL111" s="2" t="inlineStr">
        <is>
          <t>yes</t>
        </is>
      </c>
      <c r="AM111" s="2" t="n"/>
      <c r="AN111" s="2" t="n"/>
      <c r="AO111" s="2" t="n"/>
      <c r="AP111" s="2" t="inlineStr">
        <is>
          <t>v3_2026-03-19</t>
        </is>
      </c>
    </row>
    <row r="112" ht="108" customHeight="1" s="10">
      <c r="A112" s="2" t="inlineStr">
        <is>
          <t>Q23_A</t>
        </is>
      </c>
      <c r="B112" s="2" t="n">
        <v>23</v>
      </c>
      <c r="C112" s="2" t="n">
        <v>23</v>
      </c>
      <c r="D112" s="2" t="inlineStr">
        <is>
          <t>Core</t>
        </is>
      </c>
      <c r="E112" s="2" t="n">
        <v>1.1</v>
      </c>
      <c r="F112" s="2" t="inlineStr">
        <is>
          <t>EmotionalRegulation</t>
        </is>
      </c>
      <c r="G112" s="2" t="inlineStr">
        <is>
          <t>AttachmentSafety</t>
        </is>
      </c>
      <c r="H112" s="2" t="inlineStr">
        <is>
          <t>You realize you're the one always putting in effort. They're coasting. What do you do about it?</t>
        </is>
      </c>
      <c r="I112" s="2" t="inlineStr">
        <is>
          <t>A</t>
        </is>
      </c>
      <c r="J112" s="2" t="inlineStr">
        <is>
          <t>A</t>
        </is>
      </c>
      <c r="K112" s="2" t="inlineStr">
        <is>
          <t>I stop. No callout, no drama. If I was carrying it, then it dies when I stop moving.</t>
        </is>
      </c>
      <c r="L112" s="2" t="n">
        <v>8</v>
      </c>
      <c r="M112" s="2" t="n">
        <v>8</v>
      </c>
      <c r="N112" s="2" t="n">
        <v>4</v>
      </c>
      <c r="O112" s="2" t="n">
        <v>4</v>
      </c>
      <c r="P112" s="2" t="n">
        <v>2</v>
      </c>
      <c r="Q112" s="2" t="inlineStr">
        <is>
          <t>Quiet Exit</t>
        </is>
      </c>
      <c r="R112" s="2" t="n">
        <v>4</v>
      </c>
      <c r="S112" s="2" t="n"/>
      <c r="T112" s="2" t="n"/>
      <c r="U112" s="2" t="n">
        <v>0</v>
      </c>
      <c r="V112" s="2" t="inlineStr">
        <is>
          <t>masc:1.4;fem:-1.3</t>
        </is>
      </c>
      <c r="W112" s="2" t="n">
        <v>1.4</v>
      </c>
      <c r="X112" s="2" t="n">
        <v>-1.3</v>
      </c>
      <c r="Y112" s="2" t="inlineStr">
        <is>
          <t>COMM_Avoidant</t>
        </is>
      </c>
      <c r="Z112" s="2" t="inlineStr">
        <is>
          <t>REG_Suppressor</t>
        </is>
      </c>
      <c r="AA112" s="2" t="inlineStr">
        <is>
          <t>LANG_Time</t>
        </is>
      </c>
      <c r="AB112" s="2" t="n"/>
      <c r="AC112" s="2" t="n"/>
      <c r="AD112" s="2" t="n"/>
      <c r="AE112" s="2" t="n">
        <v>0</v>
      </c>
      <c r="AF112" s="2" t="inlineStr">
        <is>
          <t>effort withdrawal</t>
        </is>
      </c>
      <c r="AG112" s="2" t="inlineStr">
        <is>
          <t>quiet exit</t>
        </is>
      </c>
      <c r="AH112" s="2" t="n">
        <v>0.6</v>
      </c>
      <c r="AI112" s="2" t="inlineStr">
        <is>
          <t>no</t>
        </is>
      </c>
      <c r="AJ112" s="2" t="inlineStr">
        <is>
          <t>no</t>
        </is>
      </c>
      <c r="AK112" s="2" t="inlineStr">
        <is>
          <t>yes</t>
        </is>
      </c>
      <c r="AL112" s="2" t="inlineStr">
        <is>
          <t>yes</t>
        </is>
      </c>
      <c r="AM112" s="2" t="n"/>
      <c r="AN112" s="2" t="n"/>
      <c r="AO112" s="2" t="n"/>
      <c r="AP112" s="2" t="inlineStr">
        <is>
          <t>v3_2026-03-19</t>
        </is>
      </c>
    </row>
    <row r="113" ht="162" customHeight="1" s="10">
      <c r="A113" s="2" t="inlineStr">
        <is>
          <t>Q23_B</t>
        </is>
      </c>
      <c r="B113" s="2" t="n">
        <v>23</v>
      </c>
      <c r="C113" s="2" t="n">
        <v>23</v>
      </c>
      <c r="D113" s="2" t="inlineStr">
        <is>
          <t>Core</t>
        </is>
      </c>
      <c r="E113" s="2" t="n">
        <v>1.1</v>
      </c>
      <c r="F113" s="2" t="inlineStr">
        <is>
          <t>EmotionalRegulation</t>
        </is>
      </c>
      <c r="G113" s="2" t="inlineStr">
        <is>
          <t>AttachmentSafety</t>
        </is>
      </c>
      <c r="H113" s="2" t="n"/>
      <c r="I113" s="2" t="inlineStr">
        <is>
          <t>B</t>
        </is>
      </c>
      <c r="J113" s="2" t="inlineStr">
        <is>
          <t>B</t>
        </is>
      </c>
      <c r="K113" s="2" t="inlineStr">
        <is>
          <t>I try one more time, just to see if they notice. If not, I pull back hard. I need to know it wasn't just me pretending this thing was mutual.</t>
        </is>
      </c>
      <c r="L113" s="2" t="n">
        <v>5</v>
      </c>
      <c r="M113" s="2" t="n">
        <v>6</v>
      </c>
      <c r="N113" s="2" t="n">
        <v>2</v>
      </c>
      <c r="O113" s="2" t="n">
        <v>2</v>
      </c>
      <c r="P113" s="2" t="n">
        <v>0</v>
      </c>
      <c r="Q113" s="2" t="inlineStr">
        <is>
          <t>Phantom Seeker</t>
        </is>
      </c>
      <c r="R113" s="2" t="n">
        <v>10</v>
      </c>
      <c r="S113" s="2" t="n"/>
      <c r="T113" s="2" t="n"/>
      <c r="U113" s="2" t="n">
        <v>0</v>
      </c>
      <c r="V113" s="2" t="inlineStr">
        <is>
          <t>masc:-0.2;fem:1.5</t>
        </is>
      </c>
      <c r="W113" s="2" t="n">
        <v>-0.2</v>
      </c>
      <c r="X113" s="2" t="n">
        <v>1.5</v>
      </c>
      <c r="Y113" s="2" t="inlineStr">
        <is>
          <t>COMM_Emotional</t>
        </is>
      </c>
      <c r="Z113" s="2" t="inlineStr">
        <is>
          <t>REG_SelfSoother</t>
        </is>
      </c>
      <c r="AA113" s="2" t="inlineStr">
        <is>
          <t>LANG_Touch</t>
        </is>
      </c>
      <c r="AB113" s="2" t="inlineStr">
        <is>
          <t>Vulnerability_Loop , Pursuer_Distancer</t>
        </is>
      </c>
      <c r="AC113" s="2" t="inlineStr">
        <is>
          <t>Vulnerability_Loop</t>
        </is>
      </c>
      <c r="AD113" s="2" t="inlineStr">
        <is>
          <t>Pursuer_Distancer</t>
        </is>
      </c>
      <c r="AE113" s="2" t="n">
        <v>11</v>
      </c>
      <c r="AF113" s="2" t="inlineStr">
        <is>
          <t>last-ditch test</t>
        </is>
      </c>
      <c r="AG113" s="2" t="inlineStr">
        <is>
          <t>conditional engager</t>
        </is>
      </c>
      <c r="AH113" s="2" t="n">
        <v>1.2</v>
      </c>
      <c r="AI113" s="2" t="inlineStr">
        <is>
          <t>yes</t>
        </is>
      </c>
      <c r="AJ113" s="2" t="inlineStr">
        <is>
          <t>no</t>
        </is>
      </c>
      <c r="AK113" s="2" t="inlineStr">
        <is>
          <t>yes</t>
        </is>
      </c>
      <c r="AL113" s="2" t="inlineStr">
        <is>
          <t>yes</t>
        </is>
      </c>
      <c r="AM113" s="2" t="n"/>
      <c r="AN113" s="2" t="n"/>
      <c r="AO113" s="2" t="n"/>
      <c r="AP113" s="2" t="inlineStr">
        <is>
          <t>v3_2026-03-19</t>
        </is>
      </c>
    </row>
    <row r="114" ht="135" customHeight="1" s="10">
      <c r="A114" s="2" t="inlineStr">
        <is>
          <t>Q23_C</t>
        </is>
      </c>
      <c r="B114" s="2" t="n">
        <v>23</v>
      </c>
      <c r="C114" s="2" t="n">
        <v>23</v>
      </c>
      <c r="D114" s="2" t="inlineStr">
        <is>
          <t>Core</t>
        </is>
      </c>
      <c r="E114" s="2" t="n">
        <v>1.1</v>
      </c>
      <c r="F114" s="2" t="inlineStr">
        <is>
          <t>EmotionalRegulation</t>
        </is>
      </c>
      <c r="G114" s="2" t="inlineStr">
        <is>
          <t>AttachmentSafety</t>
        </is>
      </c>
      <c r="H114" s="2" t="n"/>
      <c r="I114" s="2" t="inlineStr">
        <is>
          <t>C</t>
        </is>
      </c>
      <c r="J114" s="2" t="inlineStr">
        <is>
          <t>C</t>
        </is>
      </c>
      <c r="K114" s="2" t="inlineStr">
        <is>
          <t>I ask. Not in a "what are we?" way ,I just need to know if I'm wasting my energy or building something real.</t>
        </is>
      </c>
      <c r="L114" s="2" t="n">
        <v>8</v>
      </c>
      <c r="M114" s="2" t="n">
        <v>9</v>
      </c>
      <c r="N114" s="2" t="n">
        <v>8</v>
      </c>
      <c r="O114" s="2" t="n">
        <v>8</v>
      </c>
      <c r="P114" s="2" t="n">
        <v>8</v>
      </c>
      <c r="Q114" s="2" t="inlineStr">
        <is>
          <t>Analyzer</t>
        </is>
      </c>
      <c r="R114" s="2" t="n">
        <v>2</v>
      </c>
      <c r="S114" s="2" t="n"/>
      <c r="T114" s="2" t="n"/>
      <c r="U114" s="2" t="n">
        <v>0</v>
      </c>
      <c r="V114" s="2" t="inlineStr">
        <is>
          <t>masc:1.4;fem:0.1</t>
        </is>
      </c>
      <c r="W114" s="2" t="n">
        <v>1.4</v>
      </c>
      <c r="X114" s="2" t="n">
        <v>0.1</v>
      </c>
      <c r="Y114" s="2" t="inlineStr">
        <is>
          <t>COMM_Logical</t>
        </is>
      </c>
      <c r="Z114" s="2" t="inlineStr">
        <is>
          <t>REG_SelfSoother</t>
        </is>
      </c>
      <c r="AA114" s="2" t="inlineStr">
        <is>
          <t>LANG_Service</t>
        </is>
      </c>
      <c r="AB114" s="2" t="n"/>
      <c r="AC114" s="2" t="n"/>
      <c r="AD114" s="2" t="n"/>
      <c r="AE114" s="2" t="n">
        <v>0</v>
      </c>
      <c r="AF114" s="2" t="inlineStr">
        <is>
          <t>clarity-seeking</t>
        </is>
      </c>
      <c r="AG114" s="2" t="inlineStr">
        <is>
          <t>direct assessor</t>
        </is>
      </c>
      <c r="AH114" s="2" t="n">
        <v>0</v>
      </c>
      <c r="AI114" s="2" t="inlineStr">
        <is>
          <t>no</t>
        </is>
      </c>
      <c r="AJ114" s="2" t="inlineStr">
        <is>
          <t>no</t>
        </is>
      </c>
      <c r="AK114" s="2" t="inlineStr">
        <is>
          <t>yes</t>
        </is>
      </c>
      <c r="AL114" s="2" t="inlineStr">
        <is>
          <t>yes</t>
        </is>
      </c>
      <c r="AM114" s="2" t="n"/>
      <c r="AN114" s="2" t="n"/>
      <c r="AO114" s="2" t="n"/>
      <c r="AP114" s="2" t="inlineStr">
        <is>
          <t>v3_2026-03-19</t>
        </is>
      </c>
    </row>
    <row r="115" ht="148.5" customHeight="1" s="10">
      <c r="A115" s="2" t="inlineStr">
        <is>
          <t>Q23_D</t>
        </is>
      </c>
      <c r="B115" s="2" t="n">
        <v>23</v>
      </c>
      <c r="C115" s="2" t="n">
        <v>23</v>
      </c>
      <c r="D115" s="2" t="inlineStr">
        <is>
          <t>Core</t>
        </is>
      </c>
      <c r="E115" s="2" t="n">
        <v>1.1</v>
      </c>
      <c r="F115" s="2" t="inlineStr">
        <is>
          <t>EmotionalRegulation</t>
        </is>
      </c>
      <c r="G115" s="2" t="inlineStr">
        <is>
          <t>AttachmentSafety</t>
        </is>
      </c>
      <c r="H115" s="2" t="n"/>
      <c r="I115" s="2" t="inlineStr">
        <is>
          <t>D</t>
        </is>
      </c>
      <c r="J115" s="2" t="inlineStr">
        <is>
          <t>D</t>
        </is>
      </c>
      <c r="K115" s="2" t="inlineStr">
        <is>
          <t>I double down. I give more, joke more, show up harder, hoping they'll finally meet me there. It's dumb, I know, but I still do it.</t>
        </is>
      </c>
      <c r="L115" s="2" t="n">
        <v>4</v>
      </c>
      <c r="M115" s="2" t="n">
        <v>5</v>
      </c>
      <c r="N115" s="2" t="n">
        <v>2</v>
      </c>
      <c r="O115" s="2" t="n">
        <v>2</v>
      </c>
      <c r="P115" s="2" t="n">
        <v>2</v>
      </c>
      <c r="Q115" s="2" t="inlineStr">
        <is>
          <t>Fixer</t>
        </is>
      </c>
      <c r="R115" s="2" t="n">
        <v>5</v>
      </c>
      <c r="S115" s="2" t="n"/>
      <c r="T115" s="2" t="n"/>
      <c r="U115" s="2" t="n">
        <v>0</v>
      </c>
      <c r="V115" s="2" t="inlineStr">
        <is>
          <t>masc:-0.4;fem:2.0</t>
        </is>
      </c>
      <c r="W115" s="2" t="n">
        <v>-0.4</v>
      </c>
      <c r="X115" s="2" t="n">
        <v>2</v>
      </c>
      <c r="Y115" s="2" t="inlineStr">
        <is>
          <t>COMM_Emotional</t>
        </is>
      </c>
      <c r="Z115" s="2" t="inlineStr">
        <is>
          <t>REG_CoRegulator</t>
        </is>
      </c>
      <c r="AA115" s="2" t="inlineStr">
        <is>
          <t>LANG_Service</t>
        </is>
      </c>
      <c r="AB115" s="2" t="inlineStr">
        <is>
          <t>Humor_Shield</t>
        </is>
      </c>
      <c r="AC115" s="2" t="inlineStr">
        <is>
          <t>Humor_Shield</t>
        </is>
      </c>
      <c r="AD115" s="2" t="n"/>
      <c r="AE115" s="2" t="n">
        <v>3</v>
      </c>
      <c r="AF115" s="2" t="inlineStr">
        <is>
          <t>effort loop</t>
        </is>
      </c>
      <c r="AG115" s="2" t="inlineStr">
        <is>
          <t>hopeful fixer</t>
        </is>
      </c>
      <c r="AH115" s="2" t="n">
        <v>0</v>
      </c>
      <c r="AI115" s="2" t="inlineStr">
        <is>
          <t>yes</t>
        </is>
      </c>
      <c r="AJ115" s="2" t="inlineStr">
        <is>
          <t>no</t>
        </is>
      </c>
      <c r="AK115" s="2" t="inlineStr">
        <is>
          <t>yes</t>
        </is>
      </c>
      <c r="AL115" s="2" t="inlineStr">
        <is>
          <t>yes</t>
        </is>
      </c>
      <c r="AM115" s="2" t="n"/>
      <c r="AN115" s="2" t="n"/>
      <c r="AO115" s="2" t="n"/>
      <c r="AP115" s="2" t="inlineStr">
        <is>
          <t>v3_2026-03-19</t>
        </is>
      </c>
    </row>
    <row r="116" ht="135" customHeight="1" s="10">
      <c r="A116" s="2" t="inlineStr">
        <is>
          <t>Q23_E</t>
        </is>
      </c>
      <c r="B116" s="2" t="n">
        <v>23</v>
      </c>
      <c r="C116" s="2" t="n">
        <v>23</v>
      </c>
      <c r="D116" s="2" t="inlineStr">
        <is>
          <t>Core</t>
        </is>
      </c>
      <c r="E116" s="2" t="n">
        <v>1.1</v>
      </c>
      <c r="F116" s="2" t="inlineStr">
        <is>
          <t>EmotionalRegulation</t>
        </is>
      </c>
      <c r="G116" s="2" t="inlineStr">
        <is>
          <t>AttachmentSafety</t>
        </is>
      </c>
      <c r="H116" s="2" t="n"/>
      <c r="I116" s="2" t="inlineStr">
        <is>
          <t>E</t>
        </is>
      </c>
      <c r="J116" s="2" t="inlineStr">
        <is>
          <t>E</t>
        </is>
      </c>
      <c r="K116" s="2" t="inlineStr">
        <is>
          <t>You didn't match my energy? I don't mention it, I just reroute mine. I'm not here to coach someone into caring.</t>
        </is>
      </c>
      <c r="L116" s="2" t="n">
        <v>8</v>
      </c>
      <c r="M116" s="2" t="n">
        <v>9</v>
      </c>
      <c r="N116" s="2" t="n">
        <v>4</v>
      </c>
      <c r="O116" s="2" t="n">
        <v>6</v>
      </c>
      <c r="P116" s="2" t="n">
        <v>2</v>
      </c>
      <c r="Q116" s="2" t="inlineStr">
        <is>
          <t>Icebox</t>
        </is>
      </c>
      <c r="R116" s="2" t="n">
        <v>1</v>
      </c>
      <c r="S116" s="2" t="n"/>
      <c r="T116" s="2" t="n"/>
      <c r="U116" s="2" t="n">
        <v>0</v>
      </c>
      <c r="V116" s="2" t="inlineStr">
        <is>
          <t>masc:1.8;fem:-1.6</t>
        </is>
      </c>
      <c r="W116" s="2" t="n">
        <v>1.8</v>
      </c>
      <c r="X116" s="2" t="n">
        <v>-1.6</v>
      </c>
      <c r="Y116" s="2" t="inlineStr">
        <is>
          <t>COMM_Avoidant</t>
        </is>
      </c>
      <c r="Z116" s="2" t="inlineStr">
        <is>
          <t>REG_Suppressor</t>
        </is>
      </c>
      <c r="AA116" s="2" t="inlineStr">
        <is>
          <t>LANG_Time</t>
        </is>
      </c>
      <c r="AB116" s="2" t="n"/>
      <c r="AC116" s="2" t="n"/>
      <c r="AD116" s="2" t="n"/>
      <c r="AE116" s="2" t="n">
        <v>0</v>
      </c>
      <c r="AF116" s="2" t="inlineStr">
        <is>
          <t>no-warning shift</t>
        </is>
      </c>
      <c r="AG116" s="2" t="inlineStr">
        <is>
          <t>decisive withdrawer</t>
        </is>
      </c>
      <c r="AH116" s="2" t="n">
        <v>0.6</v>
      </c>
      <c r="AI116" s="2" t="inlineStr">
        <is>
          <t>no</t>
        </is>
      </c>
      <c r="AJ116" s="2" t="inlineStr">
        <is>
          <t>no</t>
        </is>
      </c>
      <c r="AK116" s="2" t="inlineStr">
        <is>
          <t>yes</t>
        </is>
      </c>
      <c r="AL116" s="2" t="inlineStr">
        <is>
          <t>yes</t>
        </is>
      </c>
      <c r="AM116" s="2" t="n"/>
      <c r="AN116" s="2" t="n"/>
      <c r="AO116" s="2" t="n"/>
      <c r="AP116" s="2" t="inlineStr">
        <is>
          <t>v3_2026-03-19</t>
        </is>
      </c>
    </row>
    <row r="117" ht="108" customHeight="1" s="10">
      <c r="A117" s="2" t="inlineStr">
        <is>
          <t>Q24_A</t>
        </is>
      </c>
      <c r="B117" s="2" t="n">
        <v>24</v>
      </c>
      <c r="C117" s="2" t="n">
        <v>24</v>
      </c>
      <c r="D117" s="2" t="inlineStr">
        <is>
          <t>Core</t>
        </is>
      </c>
      <c r="E117" s="2" t="n">
        <v>1.1</v>
      </c>
      <c r="F117" s="2" t="inlineStr">
        <is>
          <t>EmotionalRegulation</t>
        </is>
      </c>
      <c r="G117" s="2" t="inlineStr">
        <is>
          <t>AttachmentSafety</t>
        </is>
      </c>
      <c r="H117" s="2" t="inlineStr">
        <is>
          <t>You go out of your way for someone... but it's clear they don't value it. What happens next?</t>
        </is>
      </c>
      <c r="I117" s="2" t="inlineStr">
        <is>
          <t>A</t>
        </is>
      </c>
      <c r="J117" s="2" t="inlineStr">
        <is>
          <t>A</t>
        </is>
      </c>
      <c r="K117" s="2" t="inlineStr">
        <is>
          <t>I note it, quietly. Next time they need something, I'm not showing up the same.</t>
        </is>
      </c>
      <c r="L117" s="2" t="n">
        <v>8</v>
      </c>
      <c r="M117" s="2" t="n">
        <v>8</v>
      </c>
      <c r="N117" s="2" t="n">
        <v>4</v>
      </c>
      <c r="O117" s="2" t="n">
        <v>4</v>
      </c>
      <c r="P117" s="2" t="n">
        <v>2</v>
      </c>
      <c r="Q117" s="2" t="inlineStr">
        <is>
          <t>Quiet Exit</t>
        </is>
      </c>
      <c r="R117" s="2" t="n">
        <v>4</v>
      </c>
      <c r="S117" s="2" t="n"/>
      <c r="T117" s="2" t="n"/>
      <c r="U117" s="2" t="n">
        <v>0</v>
      </c>
      <c r="V117" s="2" t="inlineStr">
        <is>
          <t>masc:1.4;fem:-1.3</t>
        </is>
      </c>
      <c r="W117" s="2" t="n">
        <v>1.4</v>
      </c>
      <c r="X117" s="2" t="n">
        <v>-1.3</v>
      </c>
      <c r="Y117" s="2" t="inlineStr">
        <is>
          <t>COMM_Avoidant</t>
        </is>
      </c>
      <c r="Z117" s="2" t="inlineStr">
        <is>
          <t>REG_Suppressor</t>
        </is>
      </c>
      <c r="AA117" s="2" t="inlineStr">
        <is>
          <t>LANG_Time</t>
        </is>
      </c>
      <c r="AB117" s="2" t="n"/>
      <c r="AC117" s="2" t="n"/>
      <c r="AD117" s="2" t="n"/>
      <c r="AE117" s="2" t="n">
        <v>0</v>
      </c>
      <c r="AF117" s="2" t="inlineStr">
        <is>
          <t>emotional cost accountant</t>
        </is>
      </c>
      <c r="AG117" s="2" t="inlineStr">
        <is>
          <t>boundary enforcer</t>
        </is>
      </c>
      <c r="AH117" s="2" t="n">
        <v>0</v>
      </c>
      <c r="AI117" s="2" t="inlineStr">
        <is>
          <t>no</t>
        </is>
      </c>
      <c r="AJ117" s="2" t="inlineStr">
        <is>
          <t>no</t>
        </is>
      </c>
      <c r="AK117" s="2" t="inlineStr">
        <is>
          <t>yes</t>
        </is>
      </c>
      <c r="AL117" s="2" t="inlineStr">
        <is>
          <t>yes</t>
        </is>
      </c>
      <c r="AM117" s="2" t="n"/>
      <c r="AN117" s="2" t="n"/>
      <c r="AO117" s="2" t="n"/>
      <c r="AP117" s="2" t="inlineStr">
        <is>
          <t>v3_2026-03-19</t>
        </is>
      </c>
    </row>
    <row r="118" ht="121.5" customHeight="1" s="10">
      <c r="A118" s="2" t="inlineStr">
        <is>
          <t>Q24_B</t>
        </is>
      </c>
      <c r="B118" s="2" t="n">
        <v>24</v>
      </c>
      <c r="C118" s="2" t="n">
        <v>24</v>
      </c>
      <c r="D118" s="2" t="inlineStr">
        <is>
          <t>Core</t>
        </is>
      </c>
      <c r="E118" s="2" t="n">
        <v>1.1</v>
      </c>
      <c r="F118" s="2" t="inlineStr">
        <is>
          <t>EmotionalRegulation</t>
        </is>
      </c>
      <c r="G118" s="2" t="inlineStr">
        <is>
          <t>AttachmentSafety</t>
        </is>
      </c>
      <c r="H118" s="2" t="n"/>
      <c r="I118" s="2" t="inlineStr">
        <is>
          <t>B</t>
        </is>
      </c>
      <c r="J118" s="2" t="inlineStr">
        <is>
          <t>B</t>
        </is>
      </c>
      <c r="K118" s="2" t="inlineStr">
        <is>
          <t>I try one more thing, one big gesture, maybe. If they still don't get it, that's on them.</t>
        </is>
      </c>
      <c r="L118" s="2" t="n">
        <v>6</v>
      </c>
      <c r="M118" s="2" t="n">
        <v>7</v>
      </c>
      <c r="N118" s="2" t="n">
        <v>4</v>
      </c>
      <c r="O118" s="2" t="n">
        <v>4</v>
      </c>
      <c r="P118" s="2" t="n">
        <v>2</v>
      </c>
      <c r="Q118" s="2" t="inlineStr">
        <is>
          <t>Romantic Idealist</t>
        </is>
      </c>
      <c r="R118" s="2" t="n">
        <v>6</v>
      </c>
      <c r="S118" s="2" t="n"/>
      <c r="T118" s="2" t="n"/>
      <c r="U118" s="2" t="n">
        <v>0</v>
      </c>
      <c r="V118" s="2" t="inlineStr">
        <is>
          <t>masc:-0.4;fem:1.5</t>
        </is>
      </c>
      <c r="W118" s="2" t="n">
        <v>-0.4</v>
      </c>
      <c r="X118" s="2" t="n">
        <v>1.5</v>
      </c>
      <c r="Y118" s="2" t="inlineStr">
        <is>
          <t>COMM_Emotional</t>
        </is>
      </c>
      <c r="Z118" s="2" t="inlineStr">
        <is>
          <t>REG_Distractor</t>
        </is>
      </c>
      <c r="AA118" s="2" t="inlineStr">
        <is>
          <t>LANG_Gifts</t>
        </is>
      </c>
      <c r="AB118" s="2" t="inlineStr">
        <is>
          <t>Commitment_Ambiguity</t>
        </is>
      </c>
      <c r="AC118" s="2" t="inlineStr">
        <is>
          <t>Commitment_Ambiguity</t>
        </is>
      </c>
      <c r="AD118" s="2" t="n"/>
      <c r="AE118" s="2" t="n">
        <v>5</v>
      </c>
      <c r="AF118" s="2" t="inlineStr">
        <is>
          <t>hopeful closer</t>
        </is>
      </c>
      <c r="AG118" s="2" t="inlineStr">
        <is>
          <t>last-chance giver</t>
        </is>
      </c>
      <c r="AH118" s="2" t="n">
        <v>0</v>
      </c>
      <c r="AI118" s="2" t="inlineStr">
        <is>
          <t>yes</t>
        </is>
      </c>
      <c r="AJ118" s="2" t="inlineStr">
        <is>
          <t>no</t>
        </is>
      </c>
      <c r="AK118" s="2" t="inlineStr">
        <is>
          <t>yes</t>
        </is>
      </c>
      <c r="AL118" s="2" t="inlineStr">
        <is>
          <t>yes</t>
        </is>
      </c>
      <c r="AM118" s="2" t="n"/>
      <c r="AN118" s="2" t="n"/>
      <c r="AO118" s="2" t="n"/>
      <c r="AP118" s="2" t="inlineStr">
        <is>
          <t>v3_2026-03-19</t>
        </is>
      </c>
    </row>
    <row r="119" ht="94.5" customHeight="1" s="10">
      <c r="A119" s="2" t="inlineStr">
        <is>
          <t>Q24_C</t>
        </is>
      </c>
      <c r="B119" s="2" t="n">
        <v>24</v>
      </c>
      <c r="C119" s="2" t="n">
        <v>24</v>
      </c>
      <c r="D119" s="2" t="inlineStr">
        <is>
          <t>Core</t>
        </is>
      </c>
      <c r="E119" s="2" t="n">
        <v>1.1</v>
      </c>
      <c r="F119" s="2" t="inlineStr">
        <is>
          <t>EmotionalRegulation</t>
        </is>
      </c>
      <c r="G119" s="2" t="inlineStr">
        <is>
          <t>AttachmentSafety</t>
        </is>
      </c>
      <c r="H119" s="2" t="n"/>
      <c r="I119" s="2" t="inlineStr">
        <is>
          <t>C</t>
        </is>
      </c>
      <c r="J119" s="2" t="inlineStr">
        <is>
          <t>C</t>
        </is>
      </c>
      <c r="K119" s="2" t="inlineStr">
        <is>
          <t>I say it. Not to guilt them, just so they know I noticed. Then I adjust accordingly.</t>
        </is>
      </c>
      <c r="L119" s="2" t="n">
        <v>8</v>
      </c>
      <c r="M119" s="2" t="n">
        <v>9</v>
      </c>
      <c r="N119" s="2" t="n">
        <v>8</v>
      </c>
      <c r="O119" s="2" t="n">
        <v>8</v>
      </c>
      <c r="P119" s="2" t="n">
        <v>8</v>
      </c>
      <c r="Q119" s="2" t="inlineStr">
        <is>
          <t>Analyzer</t>
        </is>
      </c>
      <c r="R119" s="2" t="n">
        <v>2</v>
      </c>
      <c r="S119" s="2" t="n"/>
      <c r="T119" s="2" t="n"/>
      <c r="U119" s="2" t="n">
        <v>0</v>
      </c>
      <c r="V119" s="2" t="inlineStr">
        <is>
          <t>masc:1.4;fem:0.1</t>
        </is>
      </c>
      <c r="W119" s="2" t="n">
        <v>1.4</v>
      </c>
      <c r="X119" s="2" t="n">
        <v>0.1</v>
      </c>
      <c r="Y119" s="2" t="inlineStr">
        <is>
          <t>COMM_Logical</t>
        </is>
      </c>
      <c r="Z119" s="2" t="inlineStr">
        <is>
          <t>REG_SelfSoother</t>
        </is>
      </c>
      <c r="AA119" s="2" t="inlineStr">
        <is>
          <t>LANG_Service</t>
        </is>
      </c>
      <c r="AB119" s="2" t="n"/>
      <c r="AC119" s="2" t="n"/>
      <c r="AD119" s="2" t="n"/>
      <c r="AE119" s="2" t="n">
        <v>0</v>
      </c>
      <c r="AF119" s="2" t="inlineStr">
        <is>
          <t>honest calibration</t>
        </is>
      </c>
      <c r="AG119" s="2" t="inlineStr">
        <is>
          <t>direct communicator</t>
        </is>
      </c>
      <c r="AH119" s="2" t="n">
        <v>0</v>
      </c>
      <c r="AI119" s="2" t="inlineStr">
        <is>
          <t>no</t>
        </is>
      </c>
      <c r="AJ119" s="2" t="inlineStr">
        <is>
          <t>no</t>
        </is>
      </c>
      <c r="AK119" s="2" t="inlineStr">
        <is>
          <t>yes</t>
        </is>
      </c>
      <c r="AL119" s="2" t="inlineStr">
        <is>
          <t>yes</t>
        </is>
      </c>
      <c r="AM119" s="2" t="n"/>
      <c r="AN119" s="2" t="n"/>
      <c r="AO119" s="2" t="n"/>
      <c r="AP119" s="2" t="inlineStr">
        <is>
          <t>v3_2026-03-19</t>
        </is>
      </c>
    </row>
    <row r="120" ht="162" customHeight="1" s="10">
      <c r="A120" s="2" t="inlineStr">
        <is>
          <t>Q24_D</t>
        </is>
      </c>
      <c r="B120" s="2" t="n">
        <v>24</v>
      </c>
      <c r="C120" s="2" t="n">
        <v>24</v>
      </c>
      <c r="D120" s="2" t="inlineStr">
        <is>
          <t>Core</t>
        </is>
      </c>
      <c r="E120" s="2" t="n">
        <v>1.1</v>
      </c>
      <c r="F120" s="2" t="inlineStr">
        <is>
          <t>EmotionalRegulation</t>
        </is>
      </c>
      <c r="G120" s="2" t="inlineStr">
        <is>
          <t>AttachmentSafety</t>
        </is>
      </c>
      <c r="H120" s="2" t="n"/>
      <c r="I120" s="2" t="inlineStr">
        <is>
          <t>D</t>
        </is>
      </c>
      <c r="J120" s="2" t="inlineStr">
        <is>
          <t>D</t>
        </is>
      </c>
      <c r="K120" s="2" t="inlineStr">
        <is>
          <t>I pretend it doesn't bother me... but then I start making sure they feel the shift. You can't keep taking from someone who stopped offering.</t>
        </is>
      </c>
      <c r="L120" s="2" t="n">
        <v>5</v>
      </c>
      <c r="M120" s="2" t="n">
        <v>6</v>
      </c>
      <c r="N120" s="2" t="n">
        <v>2</v>
      </c>
      <c r="O120" s="2" t="n">
        <v>4</v>
      </c>
      <c r="P120" s="2" t="n">
        <v>2</v>
      </c>
      <c r="Q120" s="2" t="inlineStr">
        <is>
          <t>Phantom Seeker</t>
        </is>
      </c>
      <c r="R120" s="2" t="n">
        <v>10</v>
      </c>
      <c r="S120" s="2" t="n"/>
      <c r="T120" s="2" t="n"/>
      <c r="U120" s="2" t="n">
        <v>0</v>
      </c>
      <c r="V120" s="2" t="inlineStr">
        <is>
          <t>masc:-0.2;fem:1.5</t>
        </is>
      </c>
      <c r="W120" s="2" t="n">
        <v>-0.2</v>
      </c>
      <c r="X120" s="2" t="n">
        <v>1.5</v>
      </c>
      <c r="Y120" s="2" t="inlineStr">
        <is>
          <t>COMM_Emotional</t>
        </is>
      </c>
      <c r="Z120" s="2" t="inlineStr">
        <is>
          <t>REG_SelfSoother</t>
        </is>
      </c>
      <c r="AA120" s="2" t="inlineStr">
        <is>
          <t>LANG_Touch</t>
        </is>
      </c>
      <c r="AB120" s="2" t="inlineStr">
        <is>
          <t>Vulnerability_Loop</t>
        </is>
      </c>
      <c r="AC120" s="2" t="inlineStr">
        <is>
          <t>Vulnerability_Loop</t>
        </is>
      </c>
      <c r="AD120" s="2" t="n"/>
      <c r="AE120" s="2" t="n">
        <v>5</v>
      </c>
      <c r="AF120" s="2" t="inlineStr">
        <is>
          <t>passive signal sender</t>
        </is>
      </c>
      <c r="AG120" s="2" t="inlineStr">
        <is>
          <t>indirect punisher</t>
        </is>
      </c>
      <c r="AH120" s="2" t="n">
        <v>0.2</v>
      </c>
      <c r="AI120" s="2" t="inlineStr">
        <is>
          <t>yes</t>
        </is>
      </c>
      <c r="AJ120" s="2" t="inlineStr">
        <is>
          <t>no</t>
        </is>
      </c>
      <c r="AK120" s="2" t="inlineStr">
        <is>
          <t>yes</t>
        </is>
      </c>
      <c r="AL120" s="2" t="inlineStr">
        <is>
          <t>yes</t>
        </is>
      </c>
      <c r="AM120" s="2" t="n"/>
      <c r="AN120" s="2" t="n"/>
      <c r="AO120" s="2" t="n"/>
      <c r="AP120" s="2" t="inlineStr">
        <is>
          <t>v3_2026-03-19</t>
        </is>
      </c>
    </row>
    <row r="121" ht="108" customHeight="1" s="10">
      <c r="A121" s="2" t="inlineStr">
        <is>
          <t>Q24_E</t>
        </is>
      </c>
      <c r="B121" s="2" t="n">
        <v>24</v>
      </c>
      <c r="C121" s="2" t="n">
        <v>24</v>
      </c>
      <c r="D121" s="2" t="inlineStr">
        <is>
          <t>Core</t>
        </is>
      </c>
      <c r="E121" s="2" t="n">
        <v>1.1</v>
      </c>
      <c r="F121" s="2" t="inlineStr">
        <is>
          <t>EmotionalRegulation</t>
        </is>
      </c>
      <c r="G121" s="2" t="inlineStr">
        <is>
          <t>AttachmentSafety</t>
        </is>
      </c>
      <c r="H121" s="2" t="n"/>
      <c r="I121" s="2" t="inlineStr">
        <is>
          <t>E</t>
        </is>
      </c>
      <c r="J121" s="2" t="inlineStr">
        <is>
          <t>E</t>
        </is>
      </c>
      <c r="K121" s="2" t="inlineStr">
        <is>
          <t>If it's not appreciated, it was a mistake. I never give twice where it's ignored once.</t>
        </is>
      </c>
      <c r="L121" s="2" t="n">
        <v>9</v>
      </c>
      <c r="M121" s="2" t="n">
        <v>9</v>
      </c>
      <c r="N121" s="2" t="n">
        <v>6</v>
      </c>
      <c r="O121" s="2" t="n">
        <v>6</v>
      </c>
      <c r="P121" s="2" t="n">
        <v>2</v>
      </c>
      <c r="Q121" s="2" t="inlineStr">
        <is>
          <t>Icebox</t>
        </is>
      </c>
      <c r="R121" s="2" t="n">
        <v>1</v>
      </c>
      <c r="S121" s="2" t="n"/>
      <c r="T121" s="2" t="n"/>
      <c r="U121" s="2" t="n">
        <v>0</v>
      </c>
      <c r="V121" s="2" t="inlineStr">
        <is>
          <t>masc:1.8;fem:-1.6</t>
        </is>
      </c>
      <c r="W121" s="2" t="n">
        <v>1.8</v>
      </c>
      <c r="X121" s="2" t="n">
        <v>-1.6</v>
      </c>
      <c r="Y121" s="2" t="inlineStr">
        <is>
          <t>COMM_Avoidant</t>
        </is>
      </c>
      <c r="Z121" s="2" t="inlineStr">
        <is>
          <t>REG_Suppressor</t>
        </is>
      </c>
      <c r="AA121" s="2" t="inlineStr">
        <is>
          <t>LANG_Time</t>
        </is>
      </c>
      <c r="AB121" s="2" t="n"/>
      <c r="AC121" s="2" t="n"/>
      <c r="AD121" s="2" t="n"/>
      <c r="AE121" s="2" t="n">
        <v>0</v>
      </c>
      <c r="AF121" s="2" t="inlineStr">
        <is>
          <t>cold cost-cut</t>
        </is>
      </c>
      <c r="AG121" s="2" t="inlineStr">
        <is>
          <t>clean exit</t>
        </is>
      </c>
      <c r="AH121" s="2" t="n">
        <v>0.6</v>
      </c>
      <c r="AI121" s="2" t="inlineStr">
        <is>
          <t>no</t>
        </is>
      </c>
      <c r="AJ121" s="2" t="inlineStr">
        <is>
          <t>no</t>
        </is>
      </c>
      <c r="AK121" s="2" t="inlineStr">
        <is>
          <t>yes</t>
        </is>
      </c>
      <c r="AL121" s="2" t="inlineStr">
        <is>
          <t>yes</t>
        </is>
      </c>
      <c r="AM121" s="2" t="n"/>
      <c r="AN121" s="2" t="n"/>
      <c r="AO121" s="2" t="n"/>
      <c r="AP121" s="2" t="inlineStr">
        <is>
          <t>v3_2026-03-19</t>
        </is>
      </c>
    </row>
    <row r="122" ht="135" customHeight="1" s="10">
      <c r="A122" s="2" t="inlineStr">
        <is>
          <t>Q25_A</t>
        </is>
      </c>
      <c r="B122" s="2" t="n">
        <v>25</v>
      </c>
      <c r="C122" s="2" t="n">
        <v>25</v>
      </c>
      <c r="D122" s="2" t="inlineStr">
        <is>
          <t>Core</t>
        </is>
      </c>
      <c r="E122" s="2" t="n">
        <v>1.1</v>
      </c>
      <c r="F122" s="2" t="inlineStr">
        <is>
          <t>ValuesLifestyle</t>
        </is>
      </c>
      <c r="G122" s="2" t="inlineStr">
        <is>
          <t>IntentAlignment</t>
        </is>
      </c>
      <c r="H122" s="2" t="inlineStr">
        <is>
          <t>You start falling for someone... but deep down, you don't think they feel the same. What's your next move?</t>
        </is>
      </c>
      <c r="I122" s="2" t="inlineStr">
        <is>
          <t>A</t>
        </is>
      </c>
      <c r="J122" s="2" t="inlineStr">
        <is>
          <t>A</t>
        </is>
      </c>
      <c r="K122" s="2" t="inlineStr">
        <is>
          <t>I don't say anything. I pull back before it becomes obvious. I've had enough one-sided stories in my life.</t>
        </is>
      </c>
      <c r="L122" s="2" t="n">
        <v>7</v>
      </c>
      <c r="M122" s="2" t="n">
        <v>8</v>
      </c>
      <c r="N122" s="2" t="n">
        <v>6</v>
      </c>
      <c r="O122" s="2" t="n">
        <v>8</v>
      </c>
      <c r="P122" s="2" t="n">
        <v>6</v>
      </c>
      <c r="Q122" s="2" t="inlineStr">
        <is>
          <t>Survivor</t>
        </is>
      </c>
      <c r="R122" s="2" t="n">
        <v>8</v>
      </c>
      <c r="S122" s="2" t="n"/>
      <c r="T122" s="2" t="n"/>
      <c r="U122" s="2" t="n">
        <v>0</v>
      </c>
      <c r="V122" s="2" t="inlineStr">
        <is>
          <t>masc:0.3;fem:1.3</t>
        </is>
      </c>
      <c r="W122" s="2" t="n">
        <v>0.3</v>
      </c>
      <c r="X122" s="2" t="n">
        <v>1.3</v>
      </c>
      <c r="Y122" s="2" t="inlineStr">
        <is>
          <t>COMM_Emotional</t>
        </is>
      </c>
      <c r="Z122" s="2" t="inlineStr">
        <is>
          <t>REG_SelfSoother</t>
        </is>
      </c>
      <c r="AA122" s="2" t="inlineStr">
        <is>
          <t>LANG_Service</t>
        </is>
      </c>
      <c r="AB122" s="2" t="n"/>
      <c r="AC122" s="2" t="n"/>
      <c r="AD122" s="2" t="n"/>
      <c r="AE122" s="2" t="n">
        <v>0</v>
      </c>
      <c r="AF122" s="2" t="inlineStr">
        <is>
          <t>preemptive exit</t>
        </is>
      </c>
      <c r="AG122" s="2" t="inlineStr">
        <is>
          <t>pattern recognizer</t>
        </is>
      </c>
      <c r="AH122" s="2" t="n">
        <v>0.6</v>
      </c>
      <c r="AI122" s="2" t="inlineStr">
        <is>
          <t>no</t>
        </is>
      </c>
      <c r="AJ122" s="2" t="inlineStr">
        <is>
          <t>no</t>
        </is>
      </c>
      <c r="AK122" s="2" t="inlineStr">
        <is>
          <t>no</t>
        </is>
      </c>
      <c r="AL122" s="2" t="inlineStr">
        <is>
          <t>no</t>
        </is>
      </c>
      <c r="AM122" s="2" t="n"/>
      <c r="AN122" s="2" t="n"/>
      <c r="AO122" s="2" t="n"/>
      <c r="AP122" s="2" t="inlineStr">
        <is>
          <t>v3_2026-03-19</t>
        </is>
      </c>
    </row>
    <row r="123" ht="135" customHeight="1" s="10">
      <c r="A123" s="2" t="inlineStr">
        <is>
          <t>Q25_B</t>
        </is>
      </c>
      <c r="B123" s="2" t="n">
        <v>25</v>
      </c>
      <c r="C123" s="2" t="n">
        <v>25</v>
      </c>
      <c r="D123" s="2" t="inlineStr">
        <is>
          <t>Core</t>
        </is>
      </c>
      <c r="E123" s="2" t="n">
        <v>1.1</v>
      </c>
      <c r="F123" s="2" t="inlineStr">
        <is>
          <t>ValuesLifestyle</t>
        </is>
      </c>
      <c r="G123" s="2" t="inlineStr">
        <is>
          <t>IntentAlignment</t>
        </is>
      </c>
      <c r="H123" s="2" t="n"/>
      <c r="I123" s="2" t="inlineStr">
        <is>
          <t>B</t>
        </is>
      </c>
      <c r="J123" s="2" t="inlineStr">
        <is>
          <t>B</t>
        </is>
      </c>
      <c r="K123" s="2" t="inlineStr">
        <is>
          <t>I try harder. I find reasons to stay in their orbit, hoping they eventually feel it too. It's dumb, but I get stuck in hope loops.</t>
        </is>
      </c>
      <c r="L123" s="2" t="n">
        <v>4</v>
      </c>
      <c r="M123" s="2" t="n">
        <v>5</v>
      </c>
      <c r="N123" s="2" t="n">
        <v>2</v>
      </c>
      <c r="O123" s="2" t="n">
        <v>2</v>
      </c>
      <c r="P123" s="2" t="n">
        <v>2</v>
      </c>
      <c r="Q123" s="2" t="inlineStr">
        <is>
          <t>Fixer</t>
        </is>
      </c>
      <c r="R123" s="2" t="n">
        <v>5</v>
      </c>
      <c r="S123" s="2" t="n"/>
      <c r="T123" s="2" t="n"/>
      <c r="U123" s="2" t="n">
        <v>0</v>
      </c>
      <c r="V123" s="2" t="inlineStr">
        <is>
          <t>masc:-0.4;fem:2.0</t>
        </is>
      </c>
      <c r="W123" s="2" t="n">
        <v>-0.4</v>
      </c>
      <c r="X123" s="2" t="n">
        <v>2</v>
      </c>
      <c r="Y123" s="2" t="inlineStr">
        <is>
          <t>COMM_Emotional</t>
        </is>
      </c>
      <c r="Z123" s="2" t="inlineStr">
        <is>
          <t>REG_CoRegulator</t>
        </is>
      </c>
      <c r="AA123" s="2" t="inlineStr">
        <is>
          <t>LANG_Service</t>
        </is>
      </c>
      <c r="AB123" s="2" t="inlineStr">
        <is>
          <t>Commitment_Ambiguity</t>
        </is>
      </c>
      <c r="AC123" s="2" t="inlineStr">
        <is>
          <t>Commitment_Ambiguity</t>
        </is>
      </c>
      <c r="AD123" s="2" t="n"/>
      <c r="AE123" s="2" t="n">
        <v>5</v>
      </c>
      <c r="AF123" s="2" t="inlineStr">
        <is>
          <t>persistence loop</t>
        </is>
      </c>
      <c r="AG123" s="2" t="inlineStr">
        <is>
          <t>loyal chaser</t>
        </is>
      </c>
      <c r="AH123" s="2" t="n">
        <v>0</v>
      </c>
      <c r="AI123" s="2" t="inlineStr">
        <is>
          <t>yes</t>
        </is>
      </c>
      <c r="AJ123" s="2" t="inlineStr">
        <is>
          <t>no</t>
        </is>
      </c>
      <c r="AK123" s="2" t="inlineStr">
        <is>
          <t>no</t>
        </is>
      </c>
      <c r="AL123" s="2" t="inlineStr">
        <is>
          <t>no</t>
        </is>
      </c>
      <c r="AM123" s="2" t="n"/>
      <c r="AN123" s="2" t="n"/>
      <c r="AO123" s="2" t="n"/>
      <c r="AP123" s="2" t="inlineStr">
        <is>
          <t>v3_2026-03-19</t>
        </is>
      </c>
    </row>
    <row r="124" ht="121.5" customHeight="1" s="10">
      <c r="A124" s="2" t="inlineStr">
        <is>
          <t>Q25_C</t>
        </is>
      </c>
      <c r="B124" s="2" t="n">
        <v>25</v>
      </c>
      <c r="C124" s="2" t="n">
        <v>25</v>
      </c>
      <c r="D124" s="2" t="inlineStr">
        <is>
          <t>Core</t>
        </is>
      </c>
      <c r="E124" s="2" t="n">
        <v>1.1</v>
      </c>
      <c r="F124" s="2" t="inlineStr">
        <is>
          <t>ValuesLifestyle</t>
        </is>
      </c>
      <c r="G124" s="2" t="inlineStr">
        <is>
          <t>IntentAlignment</t>
        </is>
      </c>
      <c r="H124" s="2" t="n"/>
      <c r="I124" s="2" t="inlineStr">
        <is>
          <t>C</t>
        </is>
      </c>
      <c r="J124" s="2" t="inlineStr">
        <is>
          <t>C</t>
        </is>
      </c>
      <c r="K124" s="2" t="inlineStr">
        <is>
          <t>I ask in roundabout ways. Not directly, but enough to get a read. If they dodge, I emotionally clock out.</t>
        </is>
      </c>
      <c r="L124" s="2" t="n">
        <v>8</v>
      </c>
      <c r="M124" s="2" t="n">
        <v>9</v>
      </c>
      <c r="N124" s="2" t="n">
        <v>8</v>
      </c>
      <c r="O124" s="2" t="n">
        <v>8</v>
      </c>
      <c r="P124" s="2" t="n">
        <v>8</v>
      </c>
      <c r="Q124" s="2" t="inlineStr">
        <is>
          <t>Analyzer</t>
        </is>
      </c>
      <c r="R124" s="2" t="n">
        <v>2</v>
      </c>
      <c r="S124" s="2" t="n"/>
      <c r="T124" s="2" t="n"/>
      <c r="U124" s="2" t="n">
        <v>0</v>
      </c>
      <c r="V124" s="2" t="inlineStr">
        <is>
          <t>masc:1.4;fem:0.1</t>
        </is>
      </c>
      <c r="W124" s="2" t="n">
        <v>1.4</v>
      </c>
      <c r="X124" s="2" t="n">
        <v>0.1</v>
      </c>
      <c r="Y124" s="2" t="inlineStr">
        <is>
          <t>COMM_Logical</t>
        </is>
      </c>
      <c r="Z124" s="2" t="inlineStr">
        <is>
          <t>REG_SelfSoother</t>
        </is>
      </c>
      <c r="AA124" s="2" t="inlineStr">
        <is>
          <t>LANG_Service</t>
        </is>
      </c>
      <c r="AB124" s="2" t="n"/>
      <c r="AC124" s="2" t="n"/>
      <c r="AD124" s="2" t="n"/>
      <c r="AE124" s="2" t="n">
        <v>0</v>
      </c>
      <c r="AF124" s="2" t="inlineStr">
        <is>
          <t>indirect clarifier</t>
        </is>
      </c>
      <c r="AG124" s="2" t="inlineStr">
        <is>
          <t>subtle assessor</t>
        </is>
      </c>
      <c r="AH124" s="2" t="n">
        <v>0</v>
      </c>
      <c r="AI124" s="2" t="inlineStr">
        <is>
          <t>no</t>
        </is>
      </c>
      <c r="AJ124" s="2" t="inlineStr">
        <is>
          <t>no</t>
        </is>
      </c>
      <c r="AK124" s="2" t="inlineStr">
        <is>
          <t>no</t>
        </is>
      </c>
      <c r="AL124" s="2" t="inlineStr">
        <is>
          <t>no</t>
        </is>
      </c>
      <c r="AM124" s="2" t="n"/>
      <c r="AN124" s="2" t="n"/>
      <c r="AO124" s="2" t="n"/>
      <c r="AP124" s="2" t="inlineStr">
        <is>
          <t>v3_2026-03-19</t>
        </is>
      </c>
    </row>
    <row r="125" ht="121.5" customHeight="1" s="10">
      <c r="A125" s="2" t="inlineStr">
        <is>
          <t>Q25_D</t>
        </is>
      </c>
      <c r="B125" s="2" t="n">
        <v>25</v>
      </c>
      <c r="C125" s="2" t="n">
        <v>25</v>
      </c>
      <c r="D125" s="2" t="inlineStr">
        <is>
          <t>Core</t>
        </is>
      </c>
      <c r="E125" s="2" t="n">
        <v>1.1</v>
      </c>
      <c r="F125" s="2" t="inlineStr">
        <is>
          <t>ValuesLifestyle</t>
        </is>
      </c>
      <c r="G125" s="2" t="inlineStr">
        <is>
          <t>IntentAlignment</t>
        </is>
      </c>
      <c r="H125" s="2" t="n"/>
      <c r="I125" s="2" t="inlineStr">
        <is>
          <t>D</t>
        </is>
      </c>
      <c r="J125" s="2" t="inlineStr">
        <is>
          <t>D</t>
        </is>
      </c>
      <c r="K125" s="2" t="inlineStr">
        <is>
          <t>I keep showing up, but softer. I can't fake confidence I don't feel, so I let them decide what this becomes.</t>
        </is>
      </c>
      <c r="L125" s="2" t="n">
        <v>5</v>
      </c>
      <c r="M125" s="2" t="n">
        <v>6</v>
      </c>
      <c r="N125" s="2" t="n">
        <v>2</v>
      </c>
      <c r="O125" s="2" t="n">
        <v>4</v>
      </c>
      <c r="P125" s="2" t="n">
        <v>2</v>
      </c>
      <c r="Q125" s="2" t="inlineStr">
        <is>
          <t>Phantom Seeker</t>
        </is>
      </c>
      <c r="R125" s="2" t="n">
        <v>10</v>
      </c>
      <c r="S125" s="2" t="n"/>
      <c r="T125" s="2" t="n"/>
      <c r="U125" s="2" t="n">
        <v>0</v>
      </c>
      <c r="V125" s="2" t="inlineStr">
        <is>
          <t>masc:-0.2;fem:1.5</t>
        </is>
      </c>
      <c r="W125" s="2" t="n">
        <v>-0.2</v>
      </c>
      <c r="X125" s="2" t="n">
        <v>1.5</v>
      </c>
      <c r="Y125" s="2" t="inlineStr">
        <is>
          <t>COMM_Emotional</t>
        </is>
      </c>
      <c r="Z125" s="2" t="inlineStr">
        <is>
          <t>REG_SelfSoother</t>
        </is>
      </c>
      <c r="AA125" s="2" t="inlineStr">
        <is>
          <t>LANG_Touch</t>
        </is>
      </c>
      <c r="AB125" s="2" t="inlineStr">
        <is>
          <t>Vulnerability_Loop</t>
        </is>
      </c>
      <c r="AC125" s="2" t="inlineStr">
        <is>
          <t>Vulnerability_Loop</t>
        </is>
      </c>
      <c r="AD125" s="2" t="n"/>
      <c r="AE125" s="2" t="n">
        <v>5</v>
      </c>
      <c r="AF125" s="2" t="inlineStr">
        <is>
          <t>quiet bid</t>
        </is>
      </c>
      <c r="AG125" s="2" t="inlineStr">
        <is>
          <t>reserved participant</t>
        </is>
      </c>
      <c r="AH125" s="2" t="n">
        <v>0</v>
      </c>
      <c r="AI125" s="2" t="inlineStr">
        <is>
          <t>yes</t>
        </is>
      </c>
      <c r="AJ125" s="2" t="inlineStr">
        <is>
          <t>no</t>
        </is>
      </c>
      <c r="AK125" s="2" t="inlineStr">
        <is>
          <t>no</t>
        </is>
      </c>
      <c r="AL125" s="2" t="inlineStr">
        <is>
          <t>no</t>
        </is>
      </c>
      <c r="AM125" s="2" t="n"/>
      <c r="AN125" s="2" t="n"/>
      <c r="AO125" s="2" t="n"/>
      <c r="AP125" s="2" t="inlineStr">
        <is>
          <t>v3_2026-03-19</t>
        </is>
      </c>
    </row>
    <row r="126" ht="108" customHeight="1" s="10">
      <c r="A126" s="2" t="inlineStr">
        <is>
          <t>Q25_E</t>
        </is>
      </c>
      <c r="B126" s="2" t="n">
        <v>25</v>
      </c>
      <c r="C126" s="2" t="n">
        <v>25</v>
      </c>
      <c r="D126" s="2" t="inlineStr">
        <is>
          <t>Core</t>
        </is>
      </c>
      <c r="E126" s="2" t="n">
        <v>1.1</v>
      </c>
      <c r="F126" s="2" t="inlineStr">
        <is>
          <t>ValuesLifestyle</t>
        </is>
      </c>
      <c r="G126" s="2" t="inlineStr">
        <is>
          <t>IntentAlignment</t>
        </is>
      </c>
      <c r="H126" s="2" t="n"/>
      <c r="I126" s="2" t="inlineStr">
        <is>
          <t>E</t>
        </is>
      </c>
      <c r="J126" s="2" t="inlineStr">
        <is>
          <t>E</t>
        </is>
      </c>
      <c r="K126" s="2" t="inlineStr">
        <is>
          <t>If I have to guess how you feel, I already know. I don't chase someone who wouldn't sprint for me.</t>
        </is>
      </c>
      <c r="L126" s="2" t="n">
        <v>9</v>
      </c>
      <c r="M126" s="2" t="n">
        <v>9</v>
      </c>
      <c r="N126" s="2" t="n">
        <v>6</v>
      </c>
      <c r="O126" s="2" t="n">
        <v>6</v>
      </c>
      <c r="P126" s="2" t="n">
        <v>2</v>
      </c>
      <c r="Q126" s="2" t="inlineStr">
        <is>
          <t>Icebox</t>
        </is>
      </c>
      <c r="R126" s="2" t="n">
        <v>1</v>
      </c>
      <c r="S126" s="2" t="n"/>
      <c r="T126" s="2" t="n"/>
      <c r="U126" s="2" t="n">
        <v>0</v>
      </c>
      <c r="V126" s="2" t="inlineStr">
        <is>
          <t>masc:1.8;fem:-1.6</t>
        </is>
      </c>
      <c r="W126" s="2" t="n">
        <v>1.8</v>
      </c>
      <c r="X126" s="2" t="n">
        <v>-1.6</v>
      </c>
      <c r="Y126" s="2" t="inlineStr">
        <is>
          <t>COMM_Avoidant</t>
        </is>
      </c>
      <c r="Z126" s="2" t="inlineStr">
        <is>
          <t>REG_Suppressor</t>
        </is>
      </c>
      <c r="AA126" s="2" t="inlineStr">
        <is>
          <t>LANG_Time</t>
        </is>
      </c>
      <c r="AB126" s="2" t="n"/>
      <c r="AC126" s="2" t="n"/>
      <c r="AD126" s="2" t="n"/>
      <c r="AE126" s="2" t="n">
        <v>0</v>
      </c>
      <c r="AF126" s="2" t="inlineStr">
        <is>
          <t>high-bar exit logic</t>
        </is>
      </c>
      <c r="AG126" s="2" t="inlineStr">
        <is>
          <t>non-negotiator</t>
        </is>
      </c>
      <c r="AH126" s="2" t="n">
        <v>0.6</v>
      </c>
      <c r="AI126" s="2" t="inlineStr">
        <is>
          <t>no</t>
        </is>
      </c>
      <c r="AJ126" s="2" t="inlineStr">
        <is>
          <t>no</t>
        </is>
      </c>
      <c r="AK126" s="2" t="inlineStr">
        <is>
          <t>no</t>
        </is>
      </c>
      <c r="AL126" s="2" t="inlineStr">
        <is>
          <t>no</t>
        </is>
      </c>
      <c r="AM126" s="2" t="n"/>
      <c r="AN126" s="2" t="n"/>
      <c r="AO126" s="2" t="n"/>
      <c r="AP126" s="2" t="inlineStr">
        <is>
          <t>v3_2026-03-19</t>
        </is>
      </c>
    </row>
    <row r="127" ht="135" customHeight="1" s="10">
      <c r="A127" s="2" t="inlineStr">
        <is>
          <t>Q26_A</t>
        </is>
      </c>
      <c r="B127" s="2" t="n">
        <v>26</v>
      </c>
      <c r="C127" s="2" t="n">
        <v>26</v>
      </c>
      <c r="D127" s="2" t="inlineStr">
        <is>
          <t>Core</t>
        </is>
      </c>
      <c r="E127" s="2" t="n">
        <v>1.1</v>
      </c>
      <c r="F127" s="2" t="inlineStr">
        <is>
          <t>ValuesLifestyle</t>
        </is>
      </c>
      <c r="G127" s="2" t="inlineStr">
        <is>
          <t>IntentAlignment</t>
        </is>
      </c>
      <c r="H127" s="2" t="inlineStr">
        <is>
          <t>You ask for something small-reassurance, support, a quick favor. But they brush it off or forget. What's your first thought?</t>
        </is>
      </c>
      <c r="I127" s="2" t="inlineStr">
        <is>
          <t>A</t>
        </is>
      </c>
      <c r="J127" s="2" t="inlineStr">
        <is>
          <t>A</t>
        </is>
      </c>
      <c r="K127" s="2" t="inlineStr">
        <is>
          <t>Cool. Won't ask again. I don't repeat myself when it comes to energy.</t>
        </is>
      </c>
      <c r="L127" s="2" t="n">
        <v>9</v>
      </c>
      <c r="M127" s="2" t="n">
        <v>9</v>
      </c>
      <c r="N127" s="2" t="n">
        <v>6</v>
      </c>
      <c r="O127" s="2" t="n">
        <v>6</v>
      </c>
      <c r="P127" s="2" t="n">
        <v>2</v>
      </c>
      <c r="Q127" s="2" t="inlineStr">
        <is>
          <t>Icebox</t>
        </is>
      </c>
      <c r="R127" s="2" t="n">
        <v>1</v>
      </c>
      <c r="S127" s="2" t="n"/>
      <c r="T127" s="2" t="n"/>
      <c r="U127" s="2" t="n">
        <v>0</v>
      </c>
      <c r="V127" s="2" t="inlineStr">
        <is>
          <t>masc:1.8;fem:-1.6</t>
        </is>
      </c>
      <c r="W127" s="2" t="n">
        <v>1.8</v>
      </c>
      <c r="X127" s="2" t="n">
        <v>-1.6</v>
      </c>
      <c r="Y127" s="2" t="inlineStr">
        <is>
          <t>COMM_Avoidant</t>
        </is>
      </c>
      <c r="Z127" s="2" t="inlineStr">
        <is>
          <t>REG_Suppressor</t>
        </is>
      </c>
      <c r="AA127" s="2" t="inlineStr">
        <is>
          <t>LANG_Time</t>
        </is>
      </c>
      <c r="AB127" s="2" t="n"/>
      <c r="AC127" s="2" t="n"/>
      <c r="AD127" s="2" t="n"/>
      <c r="AE127" s="2" t="n">
        <v>0</v>
      </c>
      <c r="AF127" s="2" t="inlineStr">
        <is>
          <t>cut-off switch mentality</t>
        </is>
      </c>
      <c r="AG127" s="2" t="inlineStr">
        <is>
          <t>decisive withdrawer</t>
        </is>
      </c>
      <c r="AH127" s="2" t="n">
        <v>0.6</v>
      </c>
      <c r="AI127" s="2" t="inlineStr">
        <is>
          <t>no</t>
        </is>
      </c>
      <c r="AJ127" s="2" t="inlineStr">
        <is>
          <t>no</t>
        </is>
      </c>
      <c r="AK127" s="2" t="inlineStr">
        <is>
          <t>no</t>
        </is>
      </c>
      <c r="AL127" s="2" t="inlineStr">
        <is>
          <t>no</t>
        </is>
      </c>
      <c r="AM127" s="2" t="n"/>
      <c r="AN127" s="2" t="n"/>
      <c r="AO127" s="2" t="n"/>
      <c r="AP127" s="2" t="inlineStr">
        <is>
          <t>v3_2026-03-19</t>
        </is>
      </c>
    </row>
    <row r="128" ht="121.5" customHeight="1" s="10">
      <c r="A128" s="2" t="inlineStr">
        <is>
          <t>Q26_B</t>
        </is>
      </c>
      <c r="B128" s="2" t="n">
        <v>26</v>
      </c>
      <c r="C128" s="2" t="n">
        <v>26</v>
      </c>
      <c r="D128" s="2" t="inlineStr">
        <is>
          <t>Core</t>
        </is>
      </c>
      <c r="E128" s="2" t="n">
        <v>1.1</v>
      </c>
      <c r="F128" s="2" t="inlineStr">
        <is>
          <t>ValuesLifestyle</t>
        </is>
      </c>
      <c r="G128" s="2" t="inlineStr">
        <is>
          <t>IntentAlignment</t>
        </is>
      </c>
      <c r="H128" s="2" t="n"/>
      <c r="I128" s="2" t="inlineStr">
        <is>
          <t>B</t>
        </is>
      </c>
      <c r="J128" s="2" t="inlineStr">
        <is>
          <t>B</t>
        </is>
      </c>
      <c r="K128" s="2" t="inlineStr">
        <is>
          <t>Maybe I was too much. I replay it in my head, wondering if I worded it wrong or came off needy.</t>
        </is>
      </c>
      <c r="L128" s="2" t="n">
        <v>4</v>
      </c>
      <c r="M128" s="2" t="n">
        <v>5</v>
      </c>
      <c r="N128" s="2" t="n">
        <v>2</v>
      </c>
      <c r="O128" s="2" t="n">
        <v>2</v>
      </c>
      <c r="P128" s="2" t="n">
        <v>0</v>
      </c>
      <c r="Q128" s="2" t="inlineStr">
        <is>
          <t>Phantom Seeker</t>
        </is>
      </c>
      <c r="R128" s="2" t="n">
        <v>10</v>
      </c>
      <c r="S128" s="2" t="n"/>
      <c r="T128" s="2" t="n"/>
      <c r="U128" s="2" t="n">
        <v>0</v>
      </c>
      <c r="V128" s="2" t="inlineStr">
        <is>
          <t>masc:-0.2;fem:1.5</t>
        </is>
      </c>
      <c r="W128" s="2" t="n">
        <v>-0.2</v>
      </c>
      <c r="X128" s="2" t="n">
        <v>1.5</v>
      </c>
      <c r="Y128" s="2" t="inlineStr">
        <is>
          <t>COMM_Emotional</t>
        </is>
      </c>
      <c r="Z128" s="2" t="inlineStr">
        <is>
          <t>REG_SelfSoother</t>
        </is>
      </c>
      <c r="AA128" s="2" t="inlineStr">
        <is>
          <t>LANG_Touch</t>
        </is>
      </c>
      <c r="AB128" s="2" t="inlineStr">
        <is>
          <t>Commitment_Ambiguity</t>
        </is>
      </c>
      <c r="AC128" s="2" t="inlineStr">
        <is>
          <t>Commitment_Ambiguity</t>
        </is>
      </c>
      <c r="AD128" s="2" t="n"/>
      <c r="AE128" s="2" t="n">
        <v>5</v>
      </c>
      <c r="AF128" s="2" t="inlineStr">
        <is>
          <t>internal shame loop</t>
        </is>
      </c>
      <c r="AG128" s="2" t="inlineStr">
        <is>
          <t>self-blamer</t>
        </is>
      </c>
      <c r="AH128" s="2" t="n">
        <v>0</v>
      </c>
      <c r="AI128" s="2" t="inlineStr">
        <is>
          <t>yes</t>
        </is>
      </c>
      <c r="AJ128" s="2" t="inlineStr">
        <is>
          <t>no</t>
        </is>
      </c>
      <c r="AK128" s="2" t="inlineStr">
        <is>
          <t>no</t>
        </is>
      </c>
      <c r="AL128" s="2" t="inlineStr">
        <is>
          <t>no</t>
        </is>
      </c>
      <c r="AM128" s="2" t="n"/>
      <c r="AN128" s="2" t="n"/>
      <c r="AO128" s="2" t="n"/>
      <c r="AP128" s="2" t="inlineStr">
        <is>
          <t>v3_2026-03-19</t>
        </is>
      </c>
    </row>
    <row r="129" ht="108" customHeight="1" s="10">
      <c r="A129" s="2" t="inlineStr">
        <is>
          <t>Q26_C</t>
        </is>
      </c>
      <c r="B129" s="2" t="n">
        <v>26</v>
      </c>
      <c r="C129" s="2" t="n">
        <v>26</v>
      </c>
      <c r="D129" s="2" t="inlineStr">
        <is>
          <t>Core</t>
        </is>
      </c>
      <c r="E129" s="2" t="n">
        <v>1.1</v>
      </c>
      <c r="F129" s="2" t="inlineStr">
        <is>
          <t>ValuesLifestyle</t>
        </is>
      </c>
      <c r="G129" s="2" t="inlineStr">
        <is>
          <t>IntentAlignment</t>
        </is>
      </c>
      <c r="H129" s="2" t="n"/>
      <c r="I129" s="2" t="inlineStr">
        <is>
          <t>C</t>
        </is>
      </c>
      <c r="J129" s="2" t="inlineStr">
        <is>
          <t>C</t>
        </is>
      </c>
      <c r="K129" s="2" t="inlineStr">
        <is>
          <t>I bring it up, but lightly, like a joke. If they care, they'll fix it. If they laugh it off again, I note it.</t>
        </is>
      </c>
      <c r="L129" s="2" t="n">
        <v>7</v>
      </c>
      <c r="M129" s="2" t="n">
        <v>8</v>
      </c>
      <c r="N129" s="2" t="n">
        <v>6</v>
      </c>
      <c r="O129" s="2" t="n">
        <v>6</v>
      </c>
      <c r="P129" s="2" t="n">
        <v>6</v>
      </c>
      <c r="Q129" s="2" t="inlineStr">
        <is>
          <t>Analyzer</t>
        </is>
      </c>
      <c r="R129" s="2" t="n">
        <v>2</v>
      </c>
      <c r="S129" s="2" t="n"/>
      <c r="T129" s="2" t="n"/>
      <c r="U129" s="2" t="n">
        <v>0</v>
      </c>
      <c r="V129" s="2" t="inlineStr">
        <is>
          <t>masc:1.4;fem:0.1</t>
        </is>
      </c>
      <c r="W129" s="2" t="n">
        <v>1.4</v>
      </c>
      <c r="X129" s="2" t="n">
        <v>0.1</v>
      </c>
      <c r="Y129" s="2" t="inlineStr">
        <is>
          <t>COMM_Logical</t>
        </is>
      </c>
      <c r="Z129" s="2" t="inlineStr">
        <is>
          <t>REG_SelfSoother</t>
        </is>
      </c>
      <c r="AA129" s="2" t="inlineStr">
        <is>
          <t>LANG_Service</t>
        </is>
      </c>
      <c r="AB129" s="2" t="n"/>
      <c r="AC129" s="2" t="n"/>
      <c r="AD129" s="2" t="n"/>
      <c r="AE129" s="2" t="n">
        <v>0</v>
      </c>
      <c r="AF129" s="2" t="inlineStr">
        <is>
          <t>test hidden in humor</t>
        </is>
      </c>
      <c r="AG129" s="2" t="inlineStr">
        <is>
          <t>subtle assessor</t>
        </is>
      </c>
      <c r="AH129" s="2" t="n">
        <v>0.6</v>
      </c>
      <c r="AI129" s="2" t="inlineStr">
        <is>
          <t>no</t>
        </is>
      </c>
      <c r="AJ129" s="2" t="inlineStr">
        <is>
          <t>no</t>
        </is>
      </c>
      <c r="AK129" s="2" t="inlineStr">
        <is>
          <t>no</t>
        </is>
      </c>
      <c r="AL129" s="2" t="inlineStr">
        <is>
          <t>no</t>
        </is>
      </c>
      <c r="AM129" s="2" t="n"/>
      <c r="AN129" s="2" t="n"/>
      <c r="AO129" s="2" t="n"/>
      <c r="AP129" s="2" t="inlineStr">
        <is>
          <t>v3_2026-03-19</t>
        </is>
      </c>
    </row>
    <row r="130" ht="162" customHeight="1" s="10">
      <c r="A130" s="2" t="inlineStr">
        <is>
          <t>Q26_D</t>
        </is>
      </c>
      <c r="B130" s="2" t="n">
        <v>26</v>
      </c>
      <c r="C130" s="2" t="n">
        <v>26</v>
      </c>
      <c r="D130" s="2" t="inlineStr">
        <is>
          <t>Core</t>
        </is>
      </c>
      <c r="E130" s="2" t="n">
        <v>1.1</v>
      </c>
      <c r="F130" s="2" t="inlineStr">
        <is>
          <t>ValuesLifestyle</t>
        </is>
      </c>
      <c r="G130" s="2" t="inlineStr">
        <is>
          <t>IntentAlignment</t>
        </is>
      </c>
      <c r="H130" s="2" t="n"/>
      <c r="I130" s="2" t="inlineStr">
        <is>
          <t>D</t>
        </is>
      </c>
      <c r="J130" s="2" t="inlineStr">
        <is>
          <t>D</t>
        </is>
      </c>
      <c r="K130" s="2" t="inlineStr">
        <is>
          <t>I end up doing it myself and tell myself it's fine. I've always handled things alone, so why expect different now?</t>
        </is>
      </c>
      <c r="L130" s="2" t="n">
        <v>6</v>
      </c>
      <c r="M130" s="2" t="n">
        <v>7</v>
      </c>
      <c r="N130" s="2" t="n">
        <v>4</v>
      </c>
      <c r="O130" s="2" t="n">
        <v>6</v>
      </c>
      <c r="P130" s="2" t="n">
        <v>4</v>
      </c>
      <c r="Q130" s="2" t="inlineStr">
        <is>
          <t>Survivor</t>
        </is>
      </c>
      <c r="R130" s="2" t="n">
        <v>8</v>
      </c>
      <c r="S130" s="2" t="n"/>
      <c r="T130" s="2" t="n"/>
      <c r="U130" s="2" t="n">
        <v>0</v>
      </c>
      <c r="V130" s="2" t="inlineStr">
        <is>
          <t>masc:0.3;fem:1.3</t>
        </is>
      </c>
      <c r="W130" s="2" t="n">
        <v>0.3</v>
      </c>
      <c r="X130" s="2" t="n">
        <v>1.3</v>
      </c>
      <c r="Y130" s="2" t="inlineStr">
        <is>
          <t>COMM_Emotional</t>
        </is>
      </c>
      <c r="Z130" s="2" t="inlineStr">
        <is>
          <t>REG_SelfSoother</t>
        </is>
      </c>
      <c r="AA130" s="2" t="inlineStr">
        <is>
          <t>LANG_Touch</t>
        </is>
      </c>
      <c r="AB130" s="2" t="inlineStr">
        <is>
          <t>Vulnerability_Loop</t>
        </is>
      </c>
      <c r="AC130" s="2" t="inlineStr">
        <is>
          <t>Vulnerability_Loop</t>
        </is>
      </c>
      <c r="AD130" s="2" t="n"/>
      <c r="AE130" s="2" t="n">
        <v>5</v>
      </c>
      <c r="AF130" s="2" t="inlineStr">
        <is>
          <t>forced self-reliance</t>
        </is>
      </c>
      <c r="AG130" s="2" t="inlineStr">
        <is>
          <t>self-sufficient pullback</t>
        </is>
      </c>
      <c r="AH130" s="2" t="n">
        <v>0</v>
      </c>
      <c r="AI130" s="2" t="inlineStr">
        <is>
          <t>yes</t>
        </is>
      </c>
      <c r="AJ130" s="2" t="inlineStr">
        <is>
          <t>no</t>
        </is>
      </c>
      <c r="AK130" s="2" t="inlineStr">
        <is>
          <t>no</t>
        </is>
      </c>
      <c r="AL130" s="2" t="inlineStr">
        <is>
          <t>no</t>
        </is>
      </c>
      <c r="AM130" s="2" t="n"/>
      <c r="AN130" s="2" t="n"/>
      <c r="AO130" s="2" t="n"/>
      <c r="AP130" s="2" t="inlineStr">
        <is>
          <t>v3_2026-03-19</t>
        </is>
      </c>
    </row>
    <row r="131" ht="108" customHeight="1" s="10">
      <c r="A131" s="2" t="inlineStr">
        <is>
          <t>Q26_E</t>
        </is>
      </c>
      <c r="B131" s="2" t="n">
        <v>26</v>
      </c>
      <c r="C131" s="2" t="n">
        <v>26</v>
      </c>
      <c r="D131" s="2" t="inlineStr">
        <is>
          <t>Core</t>
        </is>
      </c>
      <c r="E131" s="2" t="n">
        <v>1.1</v>
      </c>
      <c r="F131" s="2" t="inlineStr">
        <is>
          <t>ValuesLifestyle</t>
        </is>
      </c>
      <c r="G131" s="2" t="inlineStr">
        <is>
          <t>IntentAlignment</t>
        </is>
      </c>
      <c r="H131" s="2" t="n"/>
      <c r="I131" s="2" t="inlineStr">
        <is>
          <t>E</t>
        </is>
      </c>
      <c r="J131" s="2" t="inlineStr">
        <is>
          <t>E</t>
        </is>
      </c>
      <c r="K131" s="2" t="inlineStr">
        <is>
          <t>I give them the benefit of the doubt... for now. But next time I ask, I'm watching closely.</t>
        </is>
      </c>
      <c r="L131" s="2" t="n">
        <v>7</v>
      </c>
      <c r="M131" s="2" t="n">
        <v>8</v>
      </c>
      <c r="N131" s="2" t="n">
        <v>6</v>
      </c>
      <c r="O131" s="2" t="n">
        <v>6</v>
      </c>
      <c r="P131" s="2" t="n">
        <v>4</v>
      </c>
      <c r="Q131" s="2" t="inlineStr">
        <is>
          <t>Romantic Idealist</t>
        </is>
      </c>
      <c r="R131" s="2" t="n">
        <v>6</v>
      </c>
      <c r="S131" s="2" t="n"/>
      <c r="T131" s="2" t="n"/>
      <c r="U131" s="2" t="n">
        <v>0</v>
      </c>
      <c r="V131" s="2" t="inlineStr">
        <is>
          <t>masc:-0.4;fem:1.5</t>
        </is>
      </c>
      <c r="W131" s="2" t="n">
        <v>-0.4</v>
      </c>
      <c r="X131" s="2" t="n">
        <v>1.5</v>
      </c>
      <c r="Y131" s="2" t="inlineStr">
        <is>
          <t>COMM_Emotional</t>
        </is>
      </c>
      <c r="Z131" s="2" t="inlineStr">
        <is>
          <t>REG_Distractor</t>
        </is>
      </c>
      <c r="AA131" s="2" t="inlineStr">
        <is>
          <t>LANG_Gifts</t>
        </is>
      </c>
      <c r="AB131" s="2" t="n"/>
      <c r="AC131" s="2" t="n"/>
      <c r="AD131" s="2" t="n"/>
      <c r="AE131" s="2" t="n">
        <v>0</v>
      </c>
      <c r="AF131" s="2" t="inlineStr">
        <is>
          <t>conditional grace</t>
        </is>
      </c>
      <c r="AG131" s="2" t="inlineStr">
        <is>
          <t>hopeful monitor</t>
        </is>
      </c>
      <c r="AH131" s="2" t="n">
        <v>0</v>
      </c>
      <c r="AI131" s="2" t="inlineStr">
        <is>
          <t>no</t>
        </is>
      </c>
      <c r="AJ131" s="2" t="inlineStr">
        <is>
          <t>no</t>
        </is>
      </c>
      <c r="AK131" s="2" t="inlineStr">
        <is>
          <t>no</t>
        </is>
      </c>
      <c r="AL131" s="2" t="inlineStr">
        <is>
          <t>no</t>
        </is>
      </c>
      <c r="AM131" s="2" t="n"/>
      <c r="AN131" s="2" t="n"/>
      <c r="AO131" s="2" t="n"/>
      <c r="AP131" s="2" t="inlineStr">
        <is>
          <t>v3_2026-03-19</t>
        </is>
      </c>
    </row>
    <row r="132" ht="135" customHeight="1" s="10">
      <c r="A132" s="2" t="inlineStr">
        <is>
          <t>Q27_A</t>
        </is>
      </c>
      <c r="B132" s="2" t="n">
        <v>27</v>
      </c>
      <c r="C132" s="2" t="n">
        <v>27</v>
      </c>
      <c r="D132" s="2" t="inlineStr">
        <is>
          <t>Core</t>
        </is>
      </c>
      <c r="E132" s="2" t="n">
        <v>1.15</v>
      </c>
      <c r="F132" s="2" t="inlineStr">
        <is>
          <t>ValuesLifestyle</t>
        </is>
      </c>
      <c r="G132" s="2" t="inlineStr">
        <is>
          <t>IntentAlignment</t>
        </is>
      </c>
      <c r="H132" s="2" t="inlineStr">
        <is>
          <t>You finally open up about something that's been weighing on you. Their response feels... underwhelming. What now?</t>
        </is>
      </c>
      <c r="I132" s="2" t="inlineStr">
        <is>
          <t>A</t>
        </is>
      </c>
      <c r="J132" s="2" t="inlineStr">
        <is>
          <t>A</t>
        </is>
      </c>
      <c r="K132" s="2" t="inlineStr">
        <is>
          <t>Noted. That version of me won't show up again. I clock reactions.</t>
        </is>
      </c>
      <c r="L132" s="2" t="n">
        <v>9</v>
      </c>
      <c r="M132" s="2" t="n">
        <v>9</v>
      </c>
      <c r="N132" s="2" t="n">
        <v>6</v>
      </c>
      <c r="O132" s="2" t="n">
        <v>6</v>
      </c>
      <c r="P132" s="2" t="n">
        <v>2</v>
      </c>
      <c r="Q132" s="2" t="inlineStr">
        <is>
          <t>Icebox</t>
        </is>
      </c>
      <c r="R132" s="2" t="n">
        <v>1</v>
      </c>
      <c r="S132" s="2" t="n"/>
      <c r="T132" s="2" t="n"/>
      <c r="U132" s="2" t="n">
        <v>0</v>
      </c>
      <c r="V132" s="2" t="inlineStr">
        <is>
          <t>masc:1.8;fem:-1.6</t>
        </is>
      </c>
      <c r="W132" s="2" t="n">
        <v>1.8</v>
      </c>
      <c r="X132" s="2" t="n">
        <v>-1.6</v>
      </c>
      <c r="Y132" s="2" t="inlineStr">
        <is>
          <t>COMM_Avoidant</t>
        </is>
      </c>
      <c r="Z132" s="2" t="inlineStr">
        <is>
          <t>REG_Suppressor</t>
        </is>
      </c>
      <c r="AA132" s="2" t="inlineStr">
        <is>
          <t>LANG_Time</t>
        </is>
      </c>
      <c r="AB132" s="2" t="n"/>
      <c r="AC132" s="2" t="n"/>
      <c r="AD132" s="2" t="n"/>
      <c r="AE132" s="2" t="n">
        <v>0</v>
      </c>
      <c r="AF132" s="2" t="inlineStr">
        <is>
          <t>one-and-done disclosure</t>
        </is>
      </c>
      <c r="AG132" s="2" t="inlineStr">
        <is>
          <t>trust gatekeeper</t>
        </is>
      </c>
      <c r="AH132" s="2" t="n">
        <v>0</v>
      </c>
      <c r="AI132" s="2" t="inlineStr">
        <is>
          <t>no</t>
        </is>
      </c>
      <c r="AJ132" s="2" t="inlineStr">
        <is>
          <t>no</t>
        </is>
      </c>
      <c r="AK132" s="2" t="inlineStr">
        <is>
          <t>no</t>
        </is>
      </c>
      <c r="AL132" s="2" t="inlineStr">
        <is>
          <t>no</t>
        </is>
      </c>
      <c r="AM132" s="2" t="n"/>
      <c r="AN132" s="2" t="n"/>
      <c r="AO132" s="2" t="n"/>
      <c r="AP132" s="2" t="inlineStr">
        <is>
          <t>v3_2026-03-19</t>
        </is>
      </c>
    </row>
    <row r="133" ht="108" customHeight="1" s="10">
      <c r="A133" s="2" t="inlineStr">
        <is>
          <t>Q27_B</t>
        </is>
      </c>
      <c r="B133" s="2" t="n">
        <v>27</v>
      </c>
      <c r="C133" s="2" t="n">
        <v>27</v>
      </c>
      <c r="D133" s="2" t="inlineStr">
        <is>
          <t>Core</t>
        </is>
      </c>
      <c r="E133" s="2" t="n">
        <v>1.15</v>
      </c>
      <c r="F133" s="2" t="inlineStr">
        <is>
          <t>ValuesLifestyle</t>
        </is>
      </c>
      <c r="G133" s="2" t="inlineStr">
        <is>
          <t>IntentAlignment</t>
        </is>
      </c>
      <c r="H133" s="2" t="n"/>
      <c r="I133" s="2" t="inlineStr">
        <is>
          <t>B</t>
        </is>
      </c>
      <c r="J133" s="2" t="inlineStr">
        <is>
          <t>B</t>
        </is>
      </c>
      <c r="K133" s="2" t="inlineStr">
        <is>
          <t>I say I'm fine, but now I feel weird. I think about how I made it awkward, then wish I'd kept it in.</t>
        </is>
      </c>
      <c r="L133" s="2" t="n">
        <v>4</v>
      </c>
      <c r="M133" s="2" t="n">
        <v>5</v>
      </c>
      <c r="N133" s="2" t="n">
        <v>2</v>
      </c>
      <c r="O133" s="2" t="n">
        <v>2</v>
      </c>
      <c r="P133" s="2" t="n">
        <v>0</v>
      </c>
      <c r="Q133" s="2" t="inlineStr">
        <is>
          <t>Phantom Seeker</t>
        </is>
      </c>
      <c r="R133" s="2" t="n">
        <v>10</v>
      </c>
      <c r="S133" s="2" t="n"/>
      <c r="T133" s="2" t="n"/>
      <c r="U133" s="2" t="n">
        <v>0</v>
      </c>
      <c r="V133" s="2" t="inlineStr">
        <is>
          <t>masc:-0.2;fem:1.5</t>
        </is>
      </c>
      <c r="W133" s="2" t="n">
        <v>-0.2</v>
      </c>
      <c r="X133" s="2" t="n">
        <v>1.5</v>
      </c>
      <c r="Y133" s="2" t="inlineStr">
        <is>
          <t>COMM_Emotional</t>
        </is>
      </c>
      <c r="Z133" s="2" t="inlineStr">
        <is>
          <t>REG_SelfSoother</t>
        </is>
      </c>
      <c r="AA133" s="2" t="inlineStr">
        <is>
          <t>LANG_Touch</t>
        </is>
      </c>
      <c r="AB133" s="2" t="inlineStr">
        <is>
          <t>Vulnerability_Loop</t>
        </is>
      </c>
      <c r="AC133" s="2" t="inlineStr">
        <is>
          <t>Vulnerability_Loop</t>
        </is>
      </c>
      <c r="AD133" s="2" t="n"/>
      <c r="AE133" s="2" t="n">
        <v>5</v>
      </c>
      <c r="AF133" s="2" t="inlineStr">
        <is>
          <t>vulnerability regret spiral</t>
        </is>
      </c>
      <c r="AG133" s="2" t="inlineStr">
        <is>
          <t>internal retreater</t>
        </is>
      </c>
      <c r="AH133" s="2" t="n">
        <v>0</v>
      </c>
      <c r="AI133" s="2" t="inlineStr">
        <is>
          <t>yes</t>
        </is>
      </c>
      <c r="AJ133" s="2" t="inlineStr">
        <is>
          <t>no</t>
        </is>
      </c>
      <c r="AK133" s="2" t="inlineStr">
        <is>
          <t>no</t>
        </is>
      </c>
      <c r="AL133" s="2" t="inlineStr">
        <is>
          <t>no</t>
        </is>
      </c>
      <c r="AM133" s="2" t="n"/>
      <c r="AN133" s="2" t="n"/>
      <c r="AO133" s="2" t="n"/>
      <c r="AP133" s="2" t="inlineStr">
        <is>
          <t>v3_2026-03-19</t>
        </is>
      </c>
    </row>
    <row r="134" ht="108" customHeight="1" s="10">
      <c r="A134" s="2" t="inlineStr">
        <is>
          <t>Q27_C</t>
        </is>
      </c>
      <c r="B134" s="2" t="n">
        <v>27</v>
      </c>
      <c r="C134" s="2" t="n">
        <v>27</v>
      </c>
      <c r="D134" s="2" t="inlineStr">
        <is>
          <t>Core</t>
        </is>
      </c>
      <c r="E134" s="2" t="n">
        <v>1.15</v>
      </c>
      <c r="F134" s="2" t="inlineStr">
        <is>
          <t>ValuesLifestyle</t>
        </is>
      </c>
      <c r="G134" s="2" t="inlineStr">
        <is>
          <t>IntentAlignment</t>
        </is>
      </c>
      <c r="H134" s="2" t="n"/>
      <c r="I134" s="2" t="inlineStr">
        <is>
          <t>C</t>
        </is>
      </c>
      <c r="J134" s="2" t="inlineStr">
        <is>
          <t>C</t>
        </is>
      </c>
      <c r="K134" s="2" t="inlineStr">
        <is>
          <t>I replay their tone. Then I analyze whether they didn't care, or just didn't know how to respond.</t>
        </is>
      </c>
      <c r="L134" s="2" t="n">
        <v>7</v>
      </c>
      <c r="M134" s="2" t="n">
        <v>8</v>
      </c>
      <c r="N134" s="2" t="n">
        <v>6</v>
      </c>
      <c r="O134" s="2" t="n">
        <v>8</v>
      </c>
      <c r="P134" s="2" t="n">
        <v>6</v>
      </c>
      <c r="Q134" s="2" t="inlineStr">
        <is>
          <t>Analyzer</t>
        </is>
      </c>
      <c r="R134" s="2" t="n">
        <v>2</v>
      </c>
      <c r="S134" s="2" t="n"/>
      <c r="T134" s="2" t="n"/>
      <c r="U134" s="2" t="n">
        <v>0</v>
      </c>
      <c r="V134" s="2" t="inlineStr">
        <is>
          <t>masc:1.4;fem:0.1</t>
        </is>
      </c>
      <c r="W134" s="2" t="n">
        <v>1.4</v>
      </c>
      <c r="X134" s="2" t="n">
        <v>0.1</v>
      </c>
      <c r="Y134" s="2" t="inlineStr">
        <is>
          <t>COMM_Logical</t>
        </is>
      </c>
      <c r="Z134" s="2" t="inlineStr">
        <is>
          <t>REG_SelfSoother</t>
        </is>
      </c>
      <c r="AA134" s="2" t="inlineStr">
        <is>
          <t>LANG_Service</t>
        </is>
      </c>
      <c r="AB134" s="2" t="n"/>
      <c r="AC134" s="2" t="n"/>
      <c r="AD134" s="2" t="n"/>
      <c r="AE134" s="2" t="n">
        <v>0</v>
      </c>
      <c r="AF134" s="2" t="inlineStr">
        <is>
          <t>emotional forensics</t>
        </is>
      </c>
      <c r="AG134" s="2" t="inlineStr">
        <is>
          <t>intent decoder</t>
        </is>
      </c>
      <c r="AH134" s="2" t="n">
        <v>0</v>
      </c>
      <c r="AI134" s="2" t="inlineStr">
        <is>
          <t>no</t>
        </is>
      </c>
      <c r="AJ134" s="2" t="inlineStr">
        <is>
          <t>no</t>
        </is>
      </c>
      <c r="AK134" s="2" t="inlineStr">
        <is>
          <t>no</t>
        </is>
      </c>
      <c r="AL134" s="2" t="inlineStr">
        <is>
          <t>no</t>
        </is>
      </c>
      <c r="AM134" s="2" t="n"/>
      <c r="AN134" s="2" t="n"/>
      <c r="AO134" s="2" t="n"/>
      <c r="AP134" s="2" t="inlineStr">
        <is>
          <t>v3_2026-03-19</t>
        </is>
      </c>
    </row>
    <row r="135" ht="135" customHeight="1" s="10">
      <c r="A135" s="2" t="inlineStr">
        <is>
          <t>Q27_D</t>
        </is>
      </c>
      <c r="B135" s="2" t="n">
        <v>27</v>
      </c>
      <c r="C135" s="2" t="n">
        <v>27</v>
      </c>
      <c r="D135" s="2" t="inlineStr">
        <is>
          <t>Core</t>
        </is>
      </c>
      <c r="E135" s="2" t="n">
        <v>1.15</v>
      </c>
      <c r="F135" s="2" t="inlineStr">
        <is>
          <t>ValuesLifestyle</t>
        </is>
      </c>
      <c r="G135" s="2" t="inlineStr">
        <is>
          <t>IntentAlignment</t>
        </is>
      </c>
      <c r="H135" s="2" t="n"/>
      <c r="I135" s="2" t="inlineStr">
        <is>
          <t>D</t>
        </is>
      </c>
      <c r="J135" s="2" t="inlineStr">
        <is>
          <t>D</t>
        </is>
      </c>
      <c r="K135" s="2" t="inlineStr">
        <is>
          <t>I try to clean it up, like "Haha never mind," so they're not uncomfortable. It's easier if I'm the one holding the weight.</t>
        </is>
      </c>
      <c r="L135" s="2" t="n">
        <v>5</v>
      </c>
      <c r="M135" s="2" t="n">
        <v>6</v>
      </c>
      <c r="N135" s="2" t="n">
        <v>4</v>
      </c>
      <c r="O135" s="2" t="n">
        <v>4</v>
      </c>
      <c r="P135" s="2" t="n">
        <v>4</v>
      </c>
      <c r="Q135" s="2" t="inlineStr">
        <is>
          <t>Fixer</t>
        </is>
      </c>
      <c r="R135" s="2" t="n">
        <v>5</v>
      </c>
      <c r="S135" s="2" t="n"/>
      <c r="T135" s="2" t="n"/>
      <c r="U135" s="2" t="n">
        <v>0</v>
      </c>
      <c r="V135" s="2" t="inlineStr">
        <is>
          <t>masc:-0.4;fem:2.0</t>
        </is>
      </c>
      <c r="W135" s="2" t="n">
        <v>-0.4</v>
      </c>
      <c r="X135" s="2" t="n">
        <v>2</v>
      </c>
      <c r="Y135" s="2" t="inlineStr">
        <is>
          <t>COMM_Emotional</t>
        </is>
      </c>
      <c r="Z135" s="2" t="inlineStr">
        <is>
          <t>REG_CoRegulator</t>
        </is>
      </c>
      <c r="AA135" s="2" t="inlineStr">
        <is>
          <t>LANG_Service</t>
        </is>
      </c>
      <c r="AB135" s="2" t="inlineStr">
        <is>
          <t>Vulnerability_Loop</t>
        </is>
      </c>
      <c r="AC135" s="2" t="inlineStr">
        <is>
          <t>Vulnerability_Loop</t>
        </is>
      </c>
      <c r="AD135" s="2" t="n"/>
      <c r="AE135" s="2" t="n">
        <v>5</v>
      </c>
      <c r="AF135" s="2" t="inlineStr">
        <is>
          <t>self-erasure for harmony</t>
        </is>
      </c>
      <c r="AG135" s="2" t="inlineStr">
        <is>
          <t>over-accommodator</t>
        </is>
      </c>
      <c r="AH135" s="2" t="n">
        <v>0</v>
      </c>
      <c r="AI135" s="2" t="inlineStr">
        <is>
          <t>yes</t>
        </is>
      </c>
      <c r="AJ135" s="2" t="inlineStr">
        <is>
          <t>no</t>
        </is>
      </c>
      <c r="AK135" s="2" t="inlineStr">
        <is>
          <t>no</t>
        </is>
      </c>
      <c r="AL135" s="2" t="inlineStr">
        <is>
          <t>no</t>
        </is>
      </c>
      <c r="AM135" s="2" t="n"/>
      <c r="AN135" s="2" t="n"/>
      <c r="AO135" s="2" t="n"/>
      <c r="AP135" s="2" t="inlineStr">
        <is>
          <t>v3_2026-03-19</t>
        </is>
      </c>
    </row>
    <row r="136" ht="121.5" customHeight="1" s="10">
      <c r="A136" s="2" t="inlineStr">
        <is>
          <t>Q27_E</t>
        </is>
      </c>
      <c r="B136" s="2" t="n">
        <v>27</v>
      </c>
      <c r="C136" s="2" t="n">
        <v>27</v>
      </c>
      <c r="D136" s="2" t="inlineStr">
        <is>
          <t>Core</t>
        </is>
      </c>
      <c r="E136" s="2" t="n">
        <v>1.15</v>
      </c>
      <c r="F136" s="2" t="inlineStr">
        <is>
          <t>ValuesLifestyle</t>
        </is>
      </c>
      <c r="G136" s="2" t="inlineStr">
        <is>
          <t>IntentAlignment</t>
        </is>
      </c>
      <c r="H136" s="2" t="n"/>
      <c r="I136" s="2" t="inlineStr">
        <is>
          <t>E</t>
        </is>
      </c>
      <c r="J136" s="2" t="inlineStr">
        <is>
          <t>E</t>
        </is>
      </c>
      <c r="K136" s="2" t="inlineStr">
        <is>
          <t>I let it go in the moment, but the next time they open up, I mirror that same half-hearted energy back.</t>
        </is>
      </c>
      <c r="L136" s="2" t="n">
        <v>8</v>
      </c>
      <c r="M136" s="2" t="n">
        <v>8</v>
      </c>
      <c r="N136" s="2" t="n">
        <v>4</v>
      </c>
      <c r="O136" s="2" t="n">
        <v>4</v>
      </c>
      <c r="P136" s="2" t="n">
        <v>2</v>
      </c>
      <c r="Q136" s="2" t="inlineStr">
        <is>
          <t>Quiet Exit</t>
        </is>
      </c>
      <c r="R136" s="2" t="n">
        <v>4</v>
      </c>
      <c r="S136" s="2" t="n"/>
      <c r="T136" s="2" t="n"/>
      <c r="U136" s="2" t="n">
        <v>0</v>
      </c>
      <c r="V136" s="2" t="inlineStr">
        <is>
          <t>masc:1.4;fem:-1.3</t>
        </is>
      </c>
      <c r="W136" s="2" t="n">
        <v>1.4</v>
      </c>
      <c r="X136" s="2" t="n">
        <v>-1.3</v>
      </c>
      <c r="Y136" s="2" t="inlineStr">
        <is>
          <t>COMM_Avoidant</t>
        </is>
      </c>
      <c r="Z136" s="2" t="inlineStr">
        <is>
          <t>REG_Suppressor</t>
        </is>
      </c>
      <c r="AA136" s="2" t="inlineStr">
        <is>
          <t>LANG_Time</t>
        </is>
      </c>
      <c r="AB136" s="2" t="n"/>
      <c r="AC136" s="2" t="n"/>
      <c r="AD136" s="2" t="n"/>
      <c r="AE136" s="2" t="n">
        <v>0</v>
      </c>
      <c r="AF136" s="2" t="inlineStr">
        <is>
          <t>balanced withdrawal test</t>
        </is>
      </c>
      <c r="AG136" s="2" t="inlineStr">
        <is>
          <t>mirrored responder</t>
        </is>
      </c>
      <c r="AH136" s="2" t="n">
        <v>0.8</v>
      </c>
      <c r="AI136" s="2" t="inlineStr">
        <is>
          <t>no</t>
        </is>
      </c>
      <c r="AJ136" s="2" t="inlineStr">
        <is>
          <t>no</t>
        </is>
      </c>
      <c r="AK136" s="2" t="inlineStr">
        <is>
          <t>no</t>
        </is>
      </c>
      <c r="AL136" s="2" t="inlineStr">
        <is>
          <t>no</t>
        </is>
      </c>
      <c r="AM136" s="2" t="n"/>
      <c r="AN136" s="2" t="n"/>
      <c r="AO136" s="2" t="n"/>
      <c r="AP136" s="2" t="inlineStr">
        <is>
          <t>v3_2026-03-19</t>
        </is>
      </c>
    </row>
    <row r="137" ht="148.5" customHeight="1" s="10">
      <c r="A137" s="2" t="inlineStr">
        <is>
          <t>Q28_A</t>
        </is>
      </c>
      <c r="B137" s="2" t="n">
        <v>28</v>
      </c>
      <c r="C137" s="2" t="n">
        <v>28</v>
      </c>
      <c r="D137" s="2" t="inlineStr">
        <is>
          <t>Core</t>
        </is>
      </c>
      <c r="E137" s="2" t="n">
        <v>1.15</v>
      </c>
      <c r="F137" s="2" t="inlineStr">
        <is>
          <t>ValuesLifestyle</t>
        </is>
      </c>
      <c r="G137" s="2" t="inlineStr">
        <is>
          <t>IntentAlignment</t>
        </is>
      </c>
      <c r="H137" s="2" t="inlineStr">
        <is>
          <t>You catch them doing something shady-not cheating, but definitely questionable. They don't know you know. What's your move?</t>
        </is>
      </c>
      <c r="I137" s="2" t="inlineStr">
        <is>
          <t>A</t>
        </is>
      </c>
      <c r="J137" s="2" t="inlineStr">
        <is>
          <t>A</t>
        </is>
      </c>
      <c r="K137" s="2" t="inlineStr">
        <is>
          <t>I don't confront, I collect. I want to see if they'll admit it before I say anything.</t>
        </is>
      </c>
      <c r="L137" s="2" t="n">
        <v>7</v>
      </c>
      <c r="M137" s="2" t="n">
        <v>8</v>
      </c>
      <c r="N137" s="2" t="n">
        <v>6</v>
      </c>
      <c r="O137" s="2" t="n">
        <v>6</v>
      </c>
      <c r="P137" s="2" t="n">
        <v>6</v>
      </c>
      <c r="Q137" s="2" t="inlineStr">
        <is>
          <t>Analyzer</t>
        </is>
      </c>
      <c r="R137" s="2" t="n">
        <v>2</v>
      </c>
      <c r="S137" s="2" t="n"/>
      <c r="T137" s="2" t="n"/>
      <c r="U137" s="2" t="n">
        <v>0</v>
      </c>
      <c r="V137" s="2" t="inlineStr">
        <is>
          <t>masc:1.4;fem:0.1</t>
        </is>
      </c>
      <c r="W137" s="2" t="n">
        <v>1.4</v>
      </c>
      <c r="X137" s="2" t="n">
        <v>0.1</v>
      </c>
      <c r="Y137" s="2" t="inlineStr">
        <is>
          <t>COMM_Logical</t>
        </is>
      </c>
      <c r="Z137" s="2" t="inlineStr">
        <is>
          <t>REG_SelfSoother</t>
        </is>
      </c>
      <c r="AA137" s="2" t="inlineStr">
        <is>
          <t>LANG_Service</t>
        </is>
      </c>
      <c r="AB137" s="2" t="n"/>
      <c r="AC137" s="2" t="n"/>
      <c r="AD137" s="2" t="n"/>
      <c r="AE137" s="2" t="n">
        <v>0</v>
      </c>
      <c r="AF137" s="2" t="inlineStr">
        <is>
          <t>silent pattern tracker</t>
        </is>
      </c>
      <c r="AG137" s="2" t="inlineStr">
        <is>
          <t>quiet investigator</t>
        </is>
      </c>
      <c r="AH137" s="2" t="n">
        <v>1.2</v>
      </c>
      <c r="AI137" s="2" t="inlineStr">
        <is>
          <t>no</t>
        </is>
      </c>
      <c r="AJ137" s="2" t="inlineStr">
        <is>
          <t>no</t>
        </is>
      </c>
      <c r="AK137" s="2" t="inlineStr">
        <is>
          <t>no</t>
        </is>
      </c>
      <c r="AL137" s="2" t="inlineStr">
        <is>
          <t>no</t>
        </is>
      </c>
      <c r="AM137" s="2" t="n"/>
      <c r="AN137" s="2" t="n"/>
      <c r="AO137" s="2" t="n"/>
      <c r="AP137" s="2" t="inlineStr">
        <is>
          <t>v3_2026-03-19</t>
        </is>
      </c>
    </row>
    <row r="138" ht="135" customHeight="1" s="10">
      <c r="A138" s="2" t="inlineStr">
        <is>
          <t>Q28_B</t>
        </is>
      </c>
      <c r="B138" s="2" t="n">
        <v>28</v>
      </c>
      <c r="C138" s="2" t="n">
        <v>28</v>
      </c>
      <c r="D138" s="2" t="inlineStr">
        <is>
          <t>Core</t>
        </is>
      </c>
      <c r="E138" s="2" t="n">
        <v>1.15</v>
      </c>
      <c r="F138" s="2" t="inlineStr">
        <is>
          <t>ValuesLifestyle</t>
        </is>
      </c>
      <c r="G138" s="2" t="inlineStr">
        <is>
          <t>IntentAlignment</t>
        </is>
      </c>
      <c r="H138" s="2" t="n"/>
      <c r="I138" s="2" t="inlineStr">
        <is>
          <t>B</t>
        </is>
      </c>
      <c r="J138" s="2" t="inlineStr">
        <is>
          <t>B</t>
        </is>
      </c>
      <c r="K138" s="2" t="inlineStr">
        <is>
          <t>I act normal, but I'm already shifting. If you could do that once, you'll do it again. I don't wait for repeats.</t>
        </is>
      </c>
      <c r="L138" s="2" t="n">
        <v>8</v>
      </c>
      <c r="M138" s="2" t="n">
        <v>9</v>
      </c>
      <c r="N138" s="2" t="n">
        <v>4</v>
      </c>
      <c r="O138" s="2" t="n">
        <v>6</v>
      </c>
      <c r="P138" s="2" t="n">
        <v>2</v>
      </c>
      <c r="Q138" s="2" t="inlineStr">
        <is>
          <t>Icebox</t>
        </is>
      </c>
      <c r="R138" s="2" t="n">
        <v>1</v>
      </c>
      <c r="S138" s="2" t="n"/>
      <c r="T138" s="2" t="n"/>
      <c r="U138" s="2" t="n">
        <v>0</v>
      </c>
      <c r="V138" s="2" t="inlineStr">
        <is>
          <t>masc:1.8;fem:-1.6</t>
        </is>
      </c>
      <c r="W138" s="2" t="n">
        <v>1.8</v>
      </c>
      <c r="X138" s="2" t="n">
        <v>-1.6</v>
      </c>
      <c r="Y138" s="2" t="inlineStr">
        <is>
          <t>COMM_Avoidant</t>
        </is>
      </c>
      <c r="Z138" s="2" t="inlineStr">
        <is>
          <t>REG_Suppressor</t>
        </is>
      </c>
      <c r="AA138" s="2" t="inlineStr">
        <is>
          <t>LANG_Time</t>
        </is>
      </c>
      <c r="AB138" s="2" t="n"/>
      <c r="AC138" s="2" t="n"/>
      <c r="AD138" s="2" t="n"/>
      <c r="AE138" s="2" t="n">
        <v>0</v>
      </c>
      <c r="AF138" s="2" t="inlineStr">
        <is>
          <t>silent judgment</t>
        </is>
      </c>
      <c r="AG138" s="2" t="inlineStr">
        <is>
          <t>fast exiter</t>
        </is>
      </c>
      <c r="AH138" s="2" t="n">
        <v>0.6</v>
      </c>
      <c r="AI138" s="2" t="inlineStr">
        <is>
          <t>no</t>
        </is>
      </c>
      <c r="AJ138" s="2" t="inlineStr">
        <is>
          <t>no</t>
        </is>
      </c>
      <c r="AK138" s="2" t="inlineStr">
        <is>
          <t>no</t>
        </is>
      </c>
      <c r="AL138" s="2" t="inlineStr">
        <is>
          <t>no</t>
        </is>
      </c>
      <c r="AM138" s="2" t="n"/>
      <c r="AN138" s="2" t="n"/>
      <c r="AO138" s="2" t="n"/>
      <c r="AP138" s="2" t="inlineStr">
        <is>
          <t>v3_2026-03-19</t>
        </is>
      </c>
    </row>
    <row r="139" ht="108" customHeight="1" s="10">
      <c r="A139" s="2" t="inlineStr">
        <is>
          <t>Q28_C</t>
        </is>
      </c>
      <c r="B139" s="2" t="n">
        <v>28</v>
      </c>
      <c r="C139" s="2" t="n">
        <v>28</v>
      </c>
      <c r="D139" s="2" t="inlineStr">
        <is>
          <t>Core</t>
        </is>
      </c>
      <c r="E139" s="2" t="n">
        <v>1.15</v>
      </c>
      <c r="F139" s="2" t="inlineStr">
        <is>
          <t>ValuesLifestyle</t>
        </is>
      </c>
      <c r="G139" s="2" t="inlineStr">
        <is>
          <t>IntentAlignment</t>
        </is>
      </c>
      <c r="H139" s="2" t="n"/>
      <c r="I139" s="2" t="inlineStr">
        <is>
          <t>C</t>
        </is>
      </c>
      <c r="J139" s="2" t="inlineStr">
        <is>
          <t>C</t>
        </is>
      </c>
      <c r="K139" s="2" t="inlineStr">
        <is>
          <t>I ask directly. If you lie to my face, I'm done. I'd rather deal with a harsh truth than slow deceit.</t>
        </is>
      </c>
      <c r="L139" s="2" t="n">
        <v>10</v>
      </c>
      <c r="M139" s="2" t="n">
        <v>10</v>
      </c>
      <c r="N139" s="2" t="n">
        <v>10</v>
      </c>
      <c r="O139" s="2" t="n">
        <v>10</v>
      </c>
      <c r="P139" s="2" t="n">
        <v>10</v>
      </c>
      <c r="Q139" s="2" t="inlineStr">
        <is>
          <t>Regulated Grown-Up</t>
        </is>
      </c>
      <c r="R139" s="2" t="n">
        <v>9</v>
      </c>
      <c r="S139" s="2" t="n"/>
      <c r="T139" s="2" t="n"/>
      <c r="U139" s="2" t="n">
        <v>0</v>
      </c>
      <c r="V139" s="2" t="inlineStr">
        <is>
          <t>masc:1.1;fem:0.9</t>
        </is>
      </c>
      <c r="W139" s="2" t="n">
        <v>1.1</v>
      </c>
      <c r="X139" s="2" t="n">
        <v>0.9</v>
      </c>
      <c r="Y139" s="2" t="inlineStr">
        <is>
          <t>COMM_Direct</t>
        </is>
      </c>
      <c r="Z139" s="2" t="inlineStr">
        <is>
          <t>REG_CoRegulator</t>
        </is>
      </c>
      <c r="AA139" s="2" t="inlineStr">
        <is>
          <t>LANG_Words</t>
        </is>
      </c>
      <c r="AB139" s="2" t="n"/>
      <c r="AC139" s="2" t="n"/>
      <c r="AD139" s="2" t="n"/>
      <c r="AE139" s="2" t="n">
        <v>0</v>
      </c>
      <c r="AF139" s="2" t="inlineStr">
        <is>
          <t>boundary with teeth</t>
        </is>
      </c>
      <c r="AG139" s="2" t="inlineStr">
        <is>
          <t>direct confronter</t>
        </is>
      </c>
      <c r="AH139" s="2" t="n">
        <v>0</v>
      </c>
      <c r="AI139" s="2" t="inlineStr">
        <is>
          <t>no</t>
        </is>
      </c>
      <c r="AJ139" s="2" t="inlineStr">
        <is>
          <t>no</t>
        </is>
      </c>
      <c r="AK139" s="2" t="inlineStr">
        <is>
          <t>no</t>
        </is>
      </c>
      <c r="AL139" s="2" t="inlineStr">
        <is>
          <t>no</t>
        </is>
      </c>
      <c r="AM139" s="2" t="n"/>
      <c r="AN139" s="2" t="n"/>
      <c r="AO139" s="2" t="n"/>
      <c r="AP139" s="2" t="inlineStr">
        <is>
          <t>v3_2026-03-19</t>
        </is>
      </c>
    </row>
    <row r="140" ht="108" customHeight="1" s="10">
      <c r="A140" s="2" t="inlineStr">
        <is>
          <t>Q28_D</t>
        </is>
      </c>
      <c r="B140" s="2" t="n">
        <v>28</v>
      </c>
      <c r="C140" s="2" t="n">
        <v>28</v>
      </c>
      <c r="D140" s="2" t="inlineStr">
        <is>
          <t>Core</t>
        </is>
      </c>
      <c r="E140" s="2" t="n">
        <v>1.15</v>
      </c>
      <c r="F140" s="2" t="inlineStr">
        <is>
          <t>ValuesLifestyle</t>
        </is>
      </c>
      <c r="G140" s="2" t="inlineStr">
        <is>
          <t>IntentAlignment</t>
        </is>
      </c>
      <c r="H140" s="2" t="n"/>
      <c r="I140" s="2" t="inlineStr">
        <is>
          <t>D</t>
        </is>
      </c>
      <c r="J140" s="2" t="inlineStr">
        <is>
          <t>D</t>
        </is>
      </c>
      <c r="K140" s="2" t="inlineStr">
        <is>
          <t>I make a sarcastic comment or drop a subtle clue that I saw it, just to see how they react.</t>
        </is>
      </c>
      <c r="L140" s="2" t="n">
        <v>6</v>
      </c>
      <c r="M140" s="2" t="n">
        <v>7</v>
      </c>
      <c r="N140" s="2" t="n">
        <v>4</v>
      </c>
      <c r="O140" s="2" t="n">
        <v>4</v>
      </c>
      <c r="P140" s="2" t="n">
        <v>2</v>
      </c>
      <c r="Q140" s="2" t="inlineStr">
        <is>
          <t>Performer</t>
        </is>
      </c>
      <c r="R140" s="2" t="n">
        <v>7</v>
      </c>
      <c r="S140" s="2" t="n"/>
      <c r="T140" s="2" t="n"/>
      <c r="U140" s="2" t="n">
        <v>0</v>
      </c>
      <c r="V140" s="2" t="inlineStr">
        <is>
          <t>masc:0.2;fem:1.1</t>
        </is>
      </c>
      <c r="W140" s="2" t="n">
        <v>0.2</v>
      </c>
      <c r="X140" s="2" t="n">
        <v>1.1</v>
      </c>
      <c r="Y140" s="2" t="inlineStr">
        <is>
          <t>COMM_Indirect</t>
        </is>
      </c>
      <c r="Z140" s="2" t="inlineStr">
        <is>
          <t>REG_CoRegulator</t>
        </is>
      </c>
      <c r="AA140" s="2" t="inlineStr">
        <is>
          <t>LANG_Words</t>
        </is>
      </c>
      <c r="AB140" s="2" t="inlineStr">
        <is>
          <t>Scorekeeping_Echo</t>
        </is>
      </c>
      <c r="AC140" s="2" t="inlineStr">
        <is>
          <t>Scorekeeping_Echo</t>
        </is>
      </c>
      <c r="AD140" s="2" t="n"/>
      <c r="AE140" s="2" t="n">
        <v>8</v>
      </c>
      <c r="AF140" s="2" t="inlineStr">
        <is>
          <t>passive confrontation via humor</t>
        </is>
      </c>
      <c r="AG140" s="2" t="inlineStr">
        <is>
          <t>playful tester</t>
        </is>
      </c>
      <c r="AH140" s="2" t="n">
        <v>0.6</v>
      </c>
      <c r="AI140" s="2" t="inlineStr">
        <is>
          <t>yes</t>
        </is>
      </c>
      <c r="AJ140" s="2" t="inlineStr">
        <is>
          <t>no</t>
        </is>
      </c>
      <c r="AK140" s="2" t="inlineStr">
        <is>
          <t>no</t>
        </is>
      </c>
      <c r="AL140" s="2" t="inlineStr">
        <is>
          <t>no</t>
        </is>
      </c>
      <c r="AM140" s="2" t="n"/>
      <c r="AN140" s="2" t="n"/>
      <c r="AO140" s="2" t="n"/>
      <c r="AP140" s="2" t="inlineStr">
        <is>
          <t>v3_2026-03-19</t>
        </is>
      </c>
    </row>
    <row r="141" ht="121.5" customHeight="1" s="10">
      <c r="A141" s="2" t="inlineStr">
        <is>
          <t>Q28_E</t>
        </is>
      </c>
      <c r="B141" s="2" t="n">
        <v>28</v>
      </c>
      <c r="C141" s="2" t="n">
        <v>28</v>
      </c>
      <c r="D141" s="2" t="inlineStr">
        <is>
          <t>Core</t>
        </is>
      </c>
      <c r="E141" s="2" t="n">
        <v>1.15</v>
      </c>
      <c r="F141" s="2" t="inlineStr">
        <is>
          <t>ValuesLifestyle</t>
        </is>
      </c>
      <c r="G141" s="2" t="inlineStr">
        <is>
          <t>IntentAlignment</t>
        </is>
      </c>
      <c r="H141" s="2" t="n"/>
      <c r="I141" s="2" t="inlineStr">
        <is>
          <t>E</t>
        </is>
      </c>
      <c r="J141" s="2" t="inlineStr">
        <is>
          <t>E</t>
        </is>
      </c>
      <c r="K141" s="2" t="inlineStr">
        <is>
          <t>I question myself first. Maybe I misunderstood. Maybe they had a reason. I spiral before I speak.</t>
        </is>
      </c>
      <c r="L141" s="2" t="n">
        <v>5</v>
      </c>
      <c r="M141" s="2" t="n">
        <v>6</v>
      </c>
      <c r="N141" s="2" t="n">
        <v>2</v>
      </c>
      <c r="O141" s="2" t="n">
        <v>4</v>
      </c>
      <c r="P141" s="2" t="n">
        <v>2</v>
      </c>
      <c r="Q141" s="2" t="inlineStr">
        <is>
          <t>Romantic Idealist</t>
        </is>
      </c>
      <c r="R141" s="2" t="n">
        <v>6</v>
      </c>
      <c r="S141" s="2" t="n"/>
      <c r="T141" s="2" t="n"/>
      <c r="U141" s="2" t="n">
        <v>0</v>
      </c>
      <c r="V141" s="2" t="inlineStr">
        <is>
          <t>masc:-0.4;fem:1.5</t>
        </is>
      </c>
      <c r="W141" s="2" t="n">
        <v>-0.4</v>
      </c>
      <c r="X141" s="2" t="n">
        <v>1.5</v>
      </c>
      <c r="Y141" s="2" t="inlineStr">
        <is>
          <t>COMM_Emotional</t>
        </is>
      </c>
      <c r="Z141" s="2" t="inlineStr">
        <is>
          <t>REG_Distractor</t>
        </is>
      </c>
      <c r="AA141" s="2" t="inlineStr">
        <is>
          <t>LANG_Gifts</t>
        </is>
      </c>
      <c r="AB141" s="2" t="inlineStr">
        <is>
          <t>Commitment_Ambiguity</t>
        </is>
      </c>
      <c r="AC141" s="2" t="inlineStr">
        <is>
          <t>Commitment_Ambiguity</t>
        </is>
      </c>
      <c r="AD141" s="2" t="n"/>
      <c r="AE141" s="2" t="n">
        <v>5</v>
      </c>
      <c r="AF141" s="2" t="inlineStr">
        <is>
          <t>self-gaslighting</t>
        </is>
      </c>
      <c r="AG141" s="2" t="inlineStr">
        <is>
          <t>doubtful justifier</t>
        </is>
      </c>
      <c r="AH141" s="2" t="n">
        <v>0</v>
      </c>
      <c r="AI141" s="2" t="inlineStr">
        <is>
          <t>yes</t>
        </is>
      </c>
      <c r="AJ141" s="2" t="inlineStr">
        <is>
          <t>no</t>
        </is>
      </c>
      <c r="AK141" s="2" t="inlineStr">
        <is>
          <t>no</t>
        </is>
      </c>
      <c r="AL141" s="2" t="inlineStr">
        <is>
          <t>no</t>
        </is>
      </c>
      <c r="AM141" s="2" t="n"/>
      <c r="AN141" s="2" t="n"/>
      <c r="AO141" s="2" t="n"/>
      <c r="AP141" s="2" t="inlineStr">
        <is>
          <t>v3_2026-03-19</t>
        </is>
      </c>
    </row>
    <row r="142" ht="121.5" customHeight="1" s="10">
      <c r="A142" s="2" t="inlineStr">
        <is>
          <t>Q29_A</t>
        </is>
      </c>
      <c r="B142" s="2" t="n">
        <v>29</v>
      </c>
      <c r="C142" s="2" t="n">
        <v>29</v>
      </c>
      <c r="D142" s="2" t="inlineStr">
        <is>
          <t>Core</t>
        </is>
      </c>
      <c r="E142" s="2" t="n">
        <v>1.15</v>
      </c>
      <c r="F142" s="2" t="inlineStr">
        <is>
          <t>ValuesLifestyle</t>
        </is>
      </c>
      <c r="G142" s="2" t="inlineStr">
        <is>
          <t>IntentAlignment</t>
        </is>
      </c>
      <c r="H142" s="2" t="inlineStr">
        <is>
          <t>You start feeling like they're pulling back emotionally-but they haven't said anything. What's your instinct?</t>
        </is>
      </c>
      <c r="I142" s="2" t="inlineStr">
        <is>
          <t>A</t>
        </is>
      </c>
      <c r="J142" s="2" t="inlineStr">
        <is>
          <t>A</t>
        </is>
      </c>
      <c r="K142" s="2" t="inlineStr">
        <is>
          <t>I match the shift. You move less, I move less. I'm not here to overextend where I'm not met.</t>
        </is>
      </c>
      <c r="L142" s="2" t="n">
        <v>8</v>
      </c>
      <c r="M142" s="2" t="n">
        <v>9</v>
      </c>
      <c r="N142" s="2" t="n">
        <v>4</v>
      </c>
      <c r="O142" s="2" t="n">
        <v>6</v>
      </c>
      <c r="P142" s="2" t="n">
        <v>2</v>
      </c>
      <c r="Q142" s="2" t="inlineStr">
        <is>
          <t>Icebox</t>
        </is>
      </c>
      <c r="R142" s="2" t="n">
        <v>1</v>
      </c>
      <c r="S142" s="2" t="n"/>
      <c r="T142" s="2" t="n"/>
      <c r="U142" s="2" t="n">
        <v>0</v>
      </c>
      <c r="V142" s="2" t="inlineStr">
        <is>
          <t>masc:1.8;fem:-1.6</t>
        </is>
      </c>
      <c r="W142" s="2" t="n">
        <v>1.8</v>
      </c>
      <c r="X142" s="2" t="n">
        <v>-1.6</v>
      </c>
      <c r="Y142" s="2" t="inlineStr">
        <is>
          <t>COMM_Avoidant</t>
        </is>
      </c>
      <c r="Z142" s="2" t="inlineStr">
        <is>
          <t>REG_Suppressor</t>
        </is>
      </c>
      <c r="AA142" s="2" t="inlineStr">
        <is>
          <t>LANG_Time</t>
        </is>
      </c>
      <c r="AB142" s="2" t="n"/>
      <c r="AC142" s="2" t="n"/>
      <c r="AD142" s="2" t="n"/>
      <c r="AE142" s="2" t="n">
        <v>0</v>
      </c>
      <c r="AF142" s="2" t="inlineStr">
        <is>
          <t>energy mirror reflex</t>
        </is>
      </c>
      <c r="AG142" s="2" t="inlineStr">
        <is>
          <t>mirrored boundary</t>
        </is>
      </c>
      <c r="AH142" s="2" t="n">
        <v>0</v>
      </c>
      <c r="AI142" s="2" t="inlineStr">
        <is>
          <t>no</t>
        </is>
      </c>
      <c r="AJ142" s="2" t="inlineStr">
        <is>
          <t>no</t>
        </is>
      </c>
      <c r="AK142" s="2" t="inlineStr">
        <is>
          <t>no</t>
        </is>
      </c>
      <c r="AL142" s="2" t="inlineStr">
        <is>
          <t>no</t>
        </is>
      </c>
      <c r="AM142" s="2" t="n"/>
      <c r="AN142" s="2" t="n"/>
      <c r="AO142" s="2" t="n"/>
      <c r="AP142" s="2" t="inlineStr">
        <is>
          <t>v3_2026-03-19</t>
        </is>
      </c>
    </row>
    <row r="143" ht="135" customHeight="1" s="10">
      <c r="A143" s="2" t="inlineStr">
        <is>
          <t>Q29_B</t>
        </is>
      </c>
      <c r="B143" s="2" t="n">
        <v>29</v>
      </c>
      <c r="C143" s="2" t="n">
        <v>29</v>
      </c>
      <c r="D143" s="2" t="inlineStr">
        <is>
          <t>Core</t>
        </is>
      </c>
      <c r="E143" s="2" t="n">
        <v>1.15</v>
      </c>
      <c r="F143" s="2" t="inlineStr">
        <is>
          <t>ValuesLifestyle</t>
        </is>
      </c>
      <c r="G143" s="2" t="inlineStr">
        <is>
          <t>IntentAlignment</t>
        </is>
      </c>
      <c r="H143" s="2" t="n"/>
      <c r="I143" s="2" t="inlineStr">
        <is>
          <t>B</t>
        </is>
      </c>
      <c r="J143" s="2" t="inlineStr">
        <is>
          <t>B</t>
        </is>
      </c>
      <c r="K143" s="2" t="inlineStr">
        <is>
          <t>I keep the conversations going, but lighter. I don't want to ask directly, I'd rather just try to stay in their world a bit longer.</t>
        </is>
      </c>
      <c r="L143" s="2" t="n">
        <v>5</v>
      </c>
      <c r="M143" s="2" t="n">
        <v>6</v>
      </c>
      <c r="N143" s="2" t="n">
        <v>2</v>
      </c>
      <c r="O143" s="2" t="n">
        <v>4</v>
      </c>
      <c r="P143" s="2" t="n">
        <v>2</v>
      </c>
      <c r="Q143" s="2" t="inlineStr">
        <is>
          <t>Phantom Seeker</t>
        </is>
      </c>
      <c r="R143" s="2" t="n">
        <v>10</v>
      </c>
      <c r="S143" s="2" t="n"/>
      <c r="T143" s="2" t="n"/>
      <c r="U143" s="2" t="n">
        <v>0</v>
      </c>
      <c r="V143" s="2" t="inlineStr">
        <is>
          <t>masc:-0.2;fem:1.5</t>
        </is>
      </c>
      <c r="W143" s="2" t="n">
        <v>-0.2</v>
      </c>
      <c r="X143" s="2" t="n">
        <v>1.5</v>
      </c>
      <c r="Y143" s="2" t="inlineStr">
        <is>
          <t>COMM_Emotional</t>
        </is>
      </c>
      <c r="Z143" s="2" t="inlineStr">
        <is>
          <t>REG_SelfSoother</t>
        </is>
      </c>
      <c r="AA143" s="2" t="inlineStr">
        <is>
          <t>LANG_Touch</t>
        </is>
      </c>
      <c r="AB143" s="2" t="inlineStr">
        <is>
          <t>Vulnerability_Loop</t>
        </is>
      </c>
      <c r="AC143" s="2" t="inlineStr">
        <is>
          <t>Vulnerability_Loop</t>
        </is>
      </c>
      <c r="AD143" s="2" t="n"/>
      <c r="AE143" s="2" t="n">
        <v>5</v>
      </c>
      <c r="AF143" s="2" t="inlineStr">
        <is>
          <t>soft presence maintenance</t>
        </is>
      </c>
      <c r="AG143" s="2" t="inlineStr">
        <is>
          <t>gentle holder</t>
        </is>
      </c>
      <c r="AH143" s="2" t="n">
        <v>0</v>
      </c>
      <c r="AI143" s="2" t="inlineStr">
        <is>
          <t>yes</t>
        </is>
      </c>
      <c r="AJ143" s="2" t="inlineStr">
        <is>
          <t>no</t>
        </is>
      </c>
      <c r="AK143" s="2" t="inlineStr">
        <is>
          <t>no</t>
        </is>
      </c>
      <c r="AL143" s="2" t="inlineStr">
        <is>
          <t>no</t>
        </is>
      </c>
      <c r="AM143" s="2" t="n"/>
      <c r="AN143" s="2" t="n"/>
      <c r="AO143" s="2" t="n"/>
      <c r="AP143" s="2" t="inlineStr">
        <is>
          <t>v3_2026-03-19</t>
        </is>
      </c>
    </row>
    <row r="144" ht="135" customHeight="1" s="10">
      <c r="A144" s="2" t="inlineStr">
        <is>
          <t>Q29_C</t>
        </is>
      </c>
      <c r="B144" s="2" t="n">
        <v>29</v>
      </c>
      <c r="C144" s="2" t="n">
        <v>29</v>
      </c>
      <c r="D144" s="2" t="inlineStr">
        <is>
          <t>Core</t>
        </is>
      </c>
      <c r="E144" s="2" t="n">
        <v>1.15</v>
      </c>
      <c r="F144" s="2" t="inlineStr">
        <is>
          <t>ValuesLifestyle</t>
        </is>
      </c>
      <c r="G144" s="2" t="inlineStr">
        <is>
          <t>IntentAlignment</t>
        </is>
      </c>
      <c r="H144" s="2" t="n"/>
      <c r="I144" s="2" t="inlineStr">
        <is>
          <t>C</t>
        </is>
      </c>
      <c r="J144" s="2" t="inlineStr">
        <is>
          <t>C</t>
        </is>
      </c>
      <c r="K144" s="2" t="inlineStr">
        <is>
          <t>I bring it up. I don't like guessing games. If we're drifting, I'd rather name it than pretend it's not happening.</t>
        </is>
      </c>
      <c r="L144" s="2" t="n">
        <v>10</v>
      </c>
      <c r="M144" s="2" t="n">
        <v>10</v>
      </c>
      <c r="N144" s="2" t="n">
        <v>10</v>
      </c>
      <c r="O144" s="2" t="n">
        <v>10</v>
      </c>
      <c r="P144" s="2" t="n">
        <v>10</v>
      </c>
      <c r="Q144" s="2" t="inlineStr">
        <is>
          <t>Regulated Grown-Up</t>
        </is>
      </c>
      <c r="R144" s="2" t="n">
        <v>9</v>
      </c>
      <c r="S144" s="2" t="n"/>
      <c r="T144" s="2" t="n"/>
      <c r="U144" s="2" t="n">
        <v>0</v>
      </c>
      <c r="V144" s="2" t="inlineStr">
        <is>
          <t>masc:1.1;fem:0.9</t>
        </is>
      </c>
      <c r="W144" s="2" t="n">
        <v>1.1</v>
      </c>
      <c r="X144" s="2" t="n">
        <v>0.9</v>
      </c>
      <c r="Y144" s="2" t="inlineStr">
        <is>
          <t>COMM_Direct</t>
        </is>
      </c>
      <c r="Z144" s="2" t="inlineStr">
        <is>
          <t>REG_CoRegulator</t>
        </is>
      </c>
      <c r="AA144" s="2" t="inlineStr">
        <is>
          <t>LANG_Words</t>
        </is>
      </c>
      <c r="AB144" s="2" t="n"/>
      <c r="AC144" s="2" t="n"/>
      <c r="AD144" s="2" t="n"/>
      <c r="AE144" s="2" t="n">
        <v>0</v>
      </c>
      <c r="AF144" s="2" t="inlineStr">
        <is>
          <t>clarity seeker</t>
        </is>
      </c>
      <c r="AG144" s="2" t="inlineStr">
        <is>
          <t>direct communicator</t>
        </is>
      </c>
      <c r="AH144" s="2" t="n">
        <v>0.5</v>
      </c>
      <c r="AI144" s="2" t="inlineStr">
        <is>
          <t>no</t>
        </is>
      </c>
      <c r="AJ144" s="2" t="inlineStr">
        <is>
          <t>no</t>
        </is>
      </c>
      <c r="AK144" s="2" t="inlineStr">
        <is>
          <t>no</t>
        </is>
      </c>
      <c r="AL144" s="2" t="inlineStr">
        <is>
          <t>no</t>
        </is>
      </c>
      <c r="AM144" s="2" t="n"/>
      <c r="AN144" s="2" t="n"/>
      <c r="AO144" s="2" t="n"/>
      <c r="AP144" s="2" t="inlineStr">
        <is>
          <t>v3_2026-03-19</t>
        </is>
      </c>
    </row>
    <row r="145" ht="135" customHeight="1" s="10">
      <c r="A145" s="2" t="inlineStr">
        <is>
          <t>Q29_D</t>
        </is>
      </c>
      <c r="B145" s="2" t="n">
        <v>29</v>
      </c>
      <c r="C145" s="2" t="n">
        <v>29</v>
      </c>
      <c r="D145" s="2" t="inlineStr">
        <is>
          <t>Core</t>
        </is>
      </c>
      <c r="E145" s="2" t="n">
        <v>1.15</v>
      </c>
      <c r="F145" s="2" t="inlineStr">
        <is>
          <t>ValuesLifestyle</t>
        </is>
      </c>
      <c r="G145" s="2" t="inlineStr">
        <is>
          <t>IntentAlignment</t>
        </is>
      </c>
      <c r="H145" s="2" t="n"/>
      <c r="I145" s="2" t="inlineStr">
        <is>
          <t>D</t>
        </is>
      </c>
      <c r="J145" s="2" t="inlineStr">
        <is>
          <t>D</t>
        </is>
      </c>
      <c r="K145" s="2" t="inlineStr">
        <is>
          <t>I start mentally preparing for the end. I've seen this before, distance always comes before the goodbye.</t>
        </is>
      </c>
      <c r="L145" s="2" t="n">
        <v>6</v>
      </c>
      <c r="M145" s="2" t="n">
        <v>7</v>
      </c>
      <c r="N145" s="2" t="n">
        <v>4</v>
      </c>
      <c r="O145" s="2" t="n">
        <v>6</v>
      </c>
      <c r="P145" s="2" t="n">
        <v>4</v>
      </c>
      <c r="Q145" s="2" t="inlineStr">
        <is>
          <t>Survivor</t>
        </is>
      </c>
      <c r="R145" s="2" t="n">
        <v>8</v>
      </c>
      <c r="S145" s="2" t="n"/>
      <c r="T145" s="2" t="n"/>
      <c r="U145" s="2" t="n">
        <v>0</v>
      </c>
      <c r="V145" s="2" t="inlineStr">
        <is>
          <t>masc:0.3;fem:1.3</t>
        </is>
      </c>
      <c r="W145" s="2" t="n">
        <v>0.3</v>
      </c>
      <c r="X145" s="2" t="n">
        <v>1.3</v>
      </c>
      <c r="Y145" s="2" t="inlineStr">
        <is>
          <t>COMM_Emotional</t>
        </is>
      </c>
      <c r="Z145" s="2" t="inlineStr">
        <is>
          <t>REG_SelfSoother</t>
        </is>
      </c>
      <c r="AA145" s="2" t="inlineStr">
        <is>
          <t>LANG_Service</t>
        </is>
      </c>
      <c r="AB145" s="2" t="inlineStr">
        <is>
          <t>Vulnerability_Loop</t>
        </is>
      </c>
      <c r="AC145" s="2" t="inlineStr">
        <is>
          <t>Vulnerability_Loop</t>
        </is>
      </c>
      <c r="AD145" s="2" t="n"/>
      <c r="AE145" s="2" t="n">
        <v>5</v>
      </c>
      <c r="AF145" s="2" t="inlineStr">
        <is>
          <t>preemptive grief process</t>
        </is>
      </c>
      <c r="AG145" s="2" t="inlineStr">
        <is>
          <t>guarded planner</t>
        </is>
      </c>
      <c r="AH145" s="2" t="n">
        <v>0</v>
      </c>
      <c r="AI145" s="2" t="inlineStr">
        <is>
          <t>yes</t>
        </is>
      </c>
      <c r="AJ145" s="2" t="inlineStr">
        <is>
          <t>no</t>
        </is>
      </c>
      <c r="AK145" s="2" t="inlineStr">
        <is>
          <t>no</t>
        </is>
      </c>
      <c r="AL145" s="2" t="inlineStr">
        <is>
          <t>no</t>
        </is>
      </c>
      <c r="AM145" s="2" t="n"/>
      <c r="AN145" s="2" t="n"/>
      <c r="AO145" s="2" t="n"/>
      <c r="AP145" s="2" t="inlineStr">
        <is>
          <t>v3_2026-03-19</t>
        </is>
      </c>
    </row>
    <row r="146" ht="135" customHeight="1" s="10">
      <c r="A146" s="2" t="inlineStr">
        <is>
          <t>Q29_E</t>
        </is>
      </c>
      <c r="B146" s="2" t="n">
        <v>29</v>
      </c>
      <c r="C146" s="2" t="n">
        <v>29</v>
      </c>
      <c r="D146" s="2" t="inlineStr">
        <is>
          <t>Core</t>
        </is>
      </c>
      <c r="E146" s="2" t="n">
        <v>1.15</v>
      </c>
      <c r="F146" s="2" t="inlineStr">
        <is>
          <t>ValuesLifestyle</t>
        </is>
      </c>
      <c r="G146" s="2" t="inlineStr">
        <is>
          <t>IntentAlignment</t>
        </is>
      </c>
      <c r="H146" s="2" t="n"/>
      <c r="I146" s="2" t="inlineStr">
        <is>
          <t>E</t>
        </is>
      </c>
      <c r="J146" s="2" t="inlineStr">
        <is>
          <t>E</t>
        </is>
      </c>
      <c r="K146" s="2" t="inlineStr">
        <is>
          <t>I start monitoring everything, timing, wording, vibe. I try to pinpoint exactly when the shift started.</t>
        </is>
      </c>
      <c r="L146" s="2" t="n">
        <v>7</v>
      </c>
      <c r="M146" s="2" t="n">
        <v>8</v>
      </c>
      <c r="N146" s="2" t="n">
        <v>6</v>
      </c>
      <c r="O146" s="2" t="n">
        <v>6</v>
      </c>
      <c r="P146" s="2" t="n">
        <v>6</v>
      </c>
      <c r="Q146" s="2" t="inlineStr">
        <is>
          <t>Analyzer</t>
        </is>
      </c>
      <c r="R146" s="2" t="n">
        <v>2</v>
      </c>
      <c r="S146" s="2" t="n"/>
      <c r="T146" s="2" t="n"/>
      <c r="U146" s="2" t="n">
        <v>0</v>
      </c>
      <c r="V146" s="2" t="inlineStr">
        <is>
          <t>masc:1.4;fem:0.1</t>
        </is>
      </c>
      <c r="W146" s="2" t="n">
        <v>1.4</v>
      </c>
      <c r="X146" s="2" t="n">
        <v>0.1</v>
      </c>
      <c r="Y146" s="2" t="inlineStr">
        <is>
          <t>COMM_Logical</t>
        </is>
      </c>
      <c r="Z146" s="2" t="inlineStr">
        <is>
          <t>REG_SelfSoother</t>
        </is>
      </c>
      <c r="AA146" s="2" t="inlineStr">
        <is>
          <t>LANG_Service</t>
        </is>
      </c>
      <c r="AB146" s="2" t="n"/>
      <c r="AC146" s="2" t="n"/>
      <c r="AD146" s="2" t="n"/>
      <c r="AE146" s="2" t="n">
        <v>0</v>
      </c>
      <c r="AF146" s="2" t="inlineStr">
        <is>
          <t>pattern lockdown mode</t>
        </is>
      </c>
      <c r="AG146" s="2" t="inlineStr">
        <is>
          <t>detailed tracker</t>
        </is>
      </c>
      <c r="AH146" s="2" t="n">
        <v>0.6</v>
      </c>
      <c r="AI146" s="2" t="inlineStr">
        <is>
          <t>no</t>
        </is>
      </c>
      <c r="AJ146" s="2" t="inlineStr">
        <is>
          <t>no</t>
        </is>
      </c>
      <c r="AK146" s="2" t="inlineStr">
        <is>
          <t>no</t>
        </is>
      </c>
      <c r="AL146" s="2" t="inlineStr">
        <is>
          <t>no</t>
        </is>
      </c>
      <c r="AM146" s="2" t="n"/>
      <c r="AN146" s="2" t="n"/>
      <c r="AO146" s="2" t="n"/>
      <c r="AP146" s="2" t="inlineStr">
        <is>
          <t>v3_2026-03-19</t>
        </is>
      </c>
    </row>
    <row r="147" ht="135" customHeight="1" s="10">
      <c r="A147" s="2" t="inlineStr">
        <is>
          <t>Q30_A</t>
        </is>
      </c>
      <c r="B147" s="2" t="n">
        <v>30</v>
      </c>
      <c r="C147" s="2" t="n">
        <v>30</v>
      </c>
      <c r="D147" s="2" t="inlineStr">
        <is>
          <t>Core</t>
        </is>
      </c>
      <c r="E147" s="2" t="n">
        <v>1.15</v>
      </c>
      <c r="F147" s="2" t="inlineStr">
        <is>
          <t>ValuesLifestyle</t>
        </is>
      </c>
      <c r="G147" s="2" t="inlineStr">
        <is>
          <t>IntentAlignment</t>
        </is>
      </c>
      <c r="H147" s="2" t="inlineStr">
        <is>
          <t>You show up honest-open, maybe even a little unsure. But they respond with distance or sarcasm. What's your next move?</t>
        </is>
      </c>
      <c r="I147" s="2" t="inlineStr">
        <is>
          <t>A</t>
        </is>
      </c>
      <c r="J147" s="2" t="inlineStr">
        <is>
          <t>A</t>
        </is>
      </c>
      <c r="K147" s="2" t="inlineStr">
        <is>
          <t>I laugh it off like I wasn't being serious. Then I close that part of myself off, probably for good.</t>
        </is>
      </c>
      <c r="L147" s="2" t="n">
        <v>8</v>
      </c>
      <c r="M147" s="2" t="n">
        <v>9</v>
      </c>
      <c r="N147" s="2" t="n">
        <v>4</v>
      </c>
      <c r="O147" s="2" t="n">
        <v>6</v>
      </c>
      <c r="P147" s="2" t="n">
        <v>2</v>
      </c>
      <c r="Q147" s="2" t="inlineStr">
        <is>
          <t>Icebox</t>
        </is>
      </c>
      <c r="R147" s="2" t="n">
        <v>1</v>
      </c>
      <c r="S147" s="2" t="n"/>
      <c r="T147" s="2" t="n"/>
      <c r="U147" s="2" t="n">
        <v>0</v>
      </c>
      <c r="V147" s="2" t="inlineStr">
        <is>
          <t>masc:1.8;fem:-1.6</t>
        </is>
      </c>
      <c r="W147" s="2" t="n">
        <v>1.8</v>
      </c>
      <c r="X147" s="2" t="n">
        <v>-1.6</v>
      </c>
      <c r="Y147" s="2" t="inlineStr">
        <is>
          <t>COMM_Avoidant</t>
        </is>
      </c>
      <c r="Z147" s="2" t="inlineStr">
        <is>
          <t>REG_Suppressor</t>
        </is>
      </c>
      <c r="AA147" s="2" t="inlineStr">
        <is>
          <t>LANG_Time</t>
        </is>
      </c>
      <c r="AB147" s="2" t="n"/>
      <c r="AC147" s="2" t="n"/>
      <c r="AD147" s="2" t="n"/>
      <c r="AE147" s="2" t="n">
        <v>0</v>
      </c>
      <c r="AF147" s="2" t="inlineStr">
        <is>
          <t>emotional retraction protocol</t>
        </is>
      </c>
      <c r="AG147" s="2" t="inlineStr">
        <is>
          <t>trust closer</t>
        </is>
      </c>
      <c r="AH147" s="2" t="n">
        <v>0</v>
      </c>
      <c r="AI147" s="2" t="inlineStr">
        <is>
          <t>no</t>
        </is>
      </c>
      <c r="AJ147" s="2" t="inlineStr">
        <is>
          <t>no</t>
        </is>
      </c>
      <c r="AK147" s="2" t="inlineStr">
        <is>
          <t>no</t>
        </is>
      </c>
      <c r="AL147" s="2" t="inlineStr">
        <is>
          <t>no</t>
        </is>
      </c>
      <c r="AM147" s="2" t="n"/>
      <c r="AN147" s="2" t="n"/>
      <c r="AO147" s="2" t="n"/>
      <c r="AP147" s="2" t="inlineStr">
        <is>
          <t>v3_2026-03-19</t>
        </is>
      </c>
    </row>
    <row r="148" ht="121.5" customHeight="1" s="10">
      <c r="A148" s="2" t="inlineStr">
        <is>
          <t>Q30_B</t>
        </is>
      </c>
      <c r="B148" s="2" t="n">
        <v>30</v>
      </c>
      <c r="C148" s="2" t="n">
        <v>30</v>
      </c>
      <c r="D148" s="2" t="inlineStr">
        <is>
          <t>Core</t>
        </is>
      </c>
      <c r="E148" s="2" t="n">
        <v>1.15</v>
      </c>
      <c r="F148" s="2" t="inlineStr">
        <is>
          <t>ValuesLifestyle</t>
        </is>
      </c>
      <c r="G148" s="2" t="inlineStr">
        <is>
          <t>IntentAlignment</t>
        </is>
      </c>
      <c r="H148" s="2" t="n"/>
      <c r="I148" s="2" t="inlineStr">
        <is>
          <t>B</t>
        </is>
      </c>
      <c r="J148" s="2" t="inlineStr">
        <is>
          <t>B</t>
        </is>
      </c>
      <c r="K148" s="2" t="inlineStr">
        <is>
          <t>I over-explain myself. I try to make it less intense so maybe they'll lean back in. I just hate the silence.</t>
        </is>
      </c>
      <c r="L148" s="2" t="n">
        <v>4</v>
      </c>
      <c r="M148" s="2" t="n">
        <v>5</v>
      </c>
      <c r="N148" s="2" t="n">
        <v>2</v>
      </c>
      <c r="O148" s="2" t="n">
        <v>2</v>
      </c>
      <c r="P148" s="2" t="n">
        <v>0</v>
      </c>
      <c r="Q148" s="2" t="inlineStr">
        <is>
          <t>Phantom Seeker</t>
        </is>
      </c>
      <c r="R148" s="2" t="n">
        <v>10</v>
      </c>
      <c r="S148" s="2" t="n"/>
      <c r="T148" s="2" t="n"/>
      <c r="U148" s="2" t="n">
        <v>0</v>
      </c>
      <c r="V148" s="2" t="inlineStr">
        <is>
          <t>masc:-0.2;fem:1.5</t>
        </is>
      </c>
      <c r="W148" s="2" t="n">
        <v>-0.2</v>
      </c>
      <c r="X148" s="2" t="n">
        <v>1.5</v>
      </c>
      <c r="Y148" s="2" t="inlineStr">
        <is>
          <t>COMM_Emotional</t>
        </is>
      </c>
      <c r="Z148" s="2" t="inlineStr">
        <is>
          <t>REG_SelfSoother</t>
        </is>
      </c>
      <c r="AA148" s="2" t="inlineStr">
        <is>
          <t>LANG_Touch</t>
        </is>
      </c>
      <c r="AB148" s="2" t="inlineStr">
        <is>
          <t>Commitment_Ambiguity</t>
        </is>
      </c>
      <c r="AC148" s="2" t="inlineStr">
        <is>
          <t>Commitment_Ambiguity</t>
        </is>
      </c>
      <c r="AD148" s="2" t="n"/>
      <c r="AE148" s="2" t="n">
        <v>5</v>
      </c>
      <c r="AF148" s="2" t="inlineStr">
        <is>
          <t>emotional recalibration attempt</t>
        </is>
      </c>
      <c r="AG148" s="2" t="inlineStr">
        <is>
          <t>approval seeker</t>
        </is>
      </c>
      <c r="AH148" s="2" t="n">
        <v>0</v>
      </c>
      <c r="AI148" s="2" t="inlineStr">
        <is>
          <t>yes</t>
        </is>
      </c>
      <c r="AJ148" s="2" t="inlineStr">
        <is>
          <t>no</t>
        </is>
      </c>
      <c r="AK148" s="2" t="inlineStr">
        <is>
          <t>no</t>
        </is>
      </c>
      <c r="AL148" s="2" t="inlineStr">
        <is>
          <t>no</t>
        </is>
      </c>
      <c r="AM148" s="2" t="n"/>
      <c r="AN148" s="2" t="n"/>
      <c r="AO148" s="2" t="n"/>
      <c r="AP148" s="2" t="inlineStr">
        <is>
          <t>v3_2026-03-19</t>
        </is>
      </c>
    </row>
    <row r="149" ht="135" customHeight="1" s="10">
      <c r="A149" s="2" t="inlineStr">
        <is>
          <t>Q30_C</t>
        </is>
      </c>
      <c r="B149" s="2" t="n">
        <v>30</v>
      </c>
      <c r="C149" s="2" t="n">
        <v>30</v>
      </c>
      <c r="D149" s="2" t="inlineStr">
        <is>
          <t>Core</t>
        </is>
      </c>
      <c r="E149" s="2" t="n">
        <v>1.15</v>
      </c>
      <c r="F149" s="2" t="inlineStr">
        <is>
          <t>ValuesLifestyle</t>
        </is>
      </c>
      <c r="G149" s="2" t="inlineStr">
        <is>
          <t>IntentAlignment</t>
        </is>
      </c>
      <c r="H149" s="2" t="n"/>
      <c r="I149" s="2" t="inlineStr">
        <is>
          <t>C</t>
        </is>
      </c>
      <c r="J149" s="2" t="inlineStr">
        <is>
          <t>C</t>
        </is>
      </c>
      <c r="K149" s="2" t="inlineStr">
        <is>
          <t>I say something direct, "That wasn't really the moment for that." If I'm being real, I expect the same back.</t>
        </is>
      </c>
      <c r="L149" s="2" t="n">
        <v>9</v>
      </c>
      <c r="M149" s="2" t="n">
        <v>9</v>
      </c>
      <c r="N149" s="2" t="n">
        <v>10</v>
      </c>
      <c r="O149" s="2" t="n">
        <v>10</v>
      </c>
      <c r="P149" s="2" t="n">
        <v>10</v>
      </c>
      <c r="Q149" s="2" t="inlineStr">
        <is>
          <t>Regulated Grown-Up</t>
        </is>
      </c>
      <c r="R149" s="2" t="n">
        <v>9</v>
      </c>
      <c r="S149" s="2" t="n"/>
      <c r="T149" s="2" t="n"/>
      <c r="U149" s="2" t="n">
        <v>0</v>
      </c>
      <c r="V149" s="2" t="inlineStr">
        <is>
          <t>masc:1.1;fem:0.9</t>
        </is>
      </c>
      <c r="W149" s="2" t="n">
        <v>1.1</v>
      </c>
      <c r="X149" s="2" t="n">
        <v>0.9</v>
      </c>
      <c r="Y149" s="2" t="inlineStr">
        <is>
          <t>COMM_Direct</t>
        </is>
      </c>
      <c r="Z149" s="2" t="inlineStr">
        <is>
          <t>REG_CoRegulator</t>
        </is>
      </c>
      <c r="AA149" s="2" t="inlineStr">
        <is>
          <t>LANG_Words</t>
        </is>
      </c>
      <c r="AB149" s="2" t="n"/>
      <c r="AC149" s="2" t="n"/>
      <c r="AD149" s="2" t="n"/>
      <c r="AE149" s="2" t="n">
        <v>0</v>
      </c>
      <c r="AF149" s="2" t="inlineStr">
        <is>
          <t>standard of reciprocity</t>
        </is>
      </c>
      <c r="AG149" s="2" t="inlineStr">
        <is>
          <t>boundary enforcer</t>
        </is>
      </c>
      <c r="AH149" s="2" t="n">
        <v>0</v>
      </c>
      <c r="AI149" s="2" t="inlineStr">
        <is>
          <t>no</t>
        </is>
      </c>
      <c r="AJ149" s="2" t="inlineStr">
        <is>
          <t>no</t>
        </is>
      </c>
      <c r="AK149" s="2" t="inlineStr">
        <is>
          <t>no</t>
        </is>
      </c>
      <c r="AL149" s="2" t="inlineStr">
        <is>
          <t>no</t>
        </is>
      </c>
      <c r="AM149" s="2" t="n"/>
      <c r="AN149" s="2" t="n"/>
      <c r="AO149" s="2" t="n"/>
      <c r="AP149" s="2" t="inlineStr">
        <is>
          <t>v3_2026-03-19</t>
        </is>
      </c>
    </row>
    <row r="150" ht="148.5" customHeight="1" s="10">
      <c r="A150" s="2" t="inlineStr">
        <is>
          <t>Q30_D</t>
        </is>
      </c>
      <c r="B150" s="2" t="n">
        <v>30</v>
      </c>
      <c r="C150" s="2" t="n">
        <v>30</v>
      </c>
      <c r="D150" s="2" t="inlineStr">
        <is>
          <t>Core</t>
        </is>
      </c>
      <c r="E150" s="2" t="n">
        <v>1.15</v>
      </c>
      <c r="F150" s="2" t="inlineStr">
        <is>
          <t>ValuesLifestyle</t>
        </is>
      </c>
      <c r="G150" s="2" t="inlineStr">
        <is>
          <t>IntentAlignment</t>
        </is>
      </c>
      <c r="H150" s="2" t="n"/>
      <c r="I150" s="2" t="inlineStr">
        <is>
          <t>D</t>
        </is>
      </c>
      <c r="J150" s="2" t="inlineStr">
        <is>
          <t>D</t>
        </is>
      </c>
      <c r="K150" s="2" t="inlineStr">
        <is>
          <t>I flip the energy fast. I shift into playful or sarcastic too. It's easier to hide behind the bit than stay vulnerable alone.</t>
        </is>
      </c>
      <c r="L150" s="2" t="n">
        <v>6</v>
      </c>
      <c r="M150" s="2" t="n">
        <v>7</v>
      </c>
      <c r="N150" s="2" t="n">
        <v>2</v>
      </c>
      <c r="O150" s="2" t="n">
        <v>4</v>
      </c>
      <c r="P150" s="2" t="n">
        <v>0</v>
      </c>
      <c r="Q150" s="2" t="inlineStr">
        <is>
          <t>Performer</t>
        </is>
      </c>
      <c r="R150" s="2" t="n">
        <v>7</v>
      </c>
      <c r="S150" s="2" t="n"/>
      <c r="T150" s="2" t="n"/>
      <c r="U150" s="2" t="n">
        <v>0</v>
      </c>
      <c r="V150" s="2" t="inlineStr">
        <is>
          <t>masc:0.3;fem:0.5</t>
        </is>
      </c>
      <c r="W150" s="2" t="n">
        <v>0.3</v>
      </c>
      <c r="X150" s="2" t="n">
        <v>0.5</v>
      </c>
      <c r="Y150" s="2" t="inlineStr">
        <is>
          <t>COMM_Indirect</t>
        </is>
      </c>
      <c r="Z150" s="2" t="inlineStr">
        <is>
          <t>REG_Distractor</t>
        </is>
      </c>
      <c r="AA150" s="2" t="inlineStr">
        <is>
          <t>LANG_Gifts</t>
        </is>
      </c>
      <c r="AB150" s="2" t="inlineStr">
        <is>
          <t>Vulnerability_Loop</t>
        </is>
      </c>
      <c r="AC150" s="2" t="inlineStr">
        <is>
          <t>Vulnerability_Loop</t>
        </is>
      </c>
      <c r="AD150" s="2" t="n"/>
      <c r="AE150" s="2" t="n">
        <v>5</v>
      </c>
      <c r="AF150" s="2" t="inlineStr">
        <is>
          <t>humorous armor deployment</t>
        </is>
      </c>
      <c r="AG150" s="2" t="inlineStr">
        <is>
          <t>deflection player</t>
        </is>
      </c>
      <c r="AH150" s="2" t="n">
        <v>0.6</v>
      </c>
      <c r="AI150" s="2" t="inlineStr">
        <is>
          <t>yes</t>
        </is>
      </c>
      <c r="AJ150" s="2" t="inlineStr">
        <is>
          <t>no</t>
        </is>
      </c>
      <c r="AK150" s="2" t="inlineStr">
        <is>
          <t>no</t>
        </is>
      </c>
      <c r="AL150" s="2" t="inlineStr">
        <is>
          <t>no</t>
        </is>
      </c>
      <c r="AM150" s="2" t="n"/>
      <c r="AN150" s="2" t="n"/>
      <c r="AO150" s="2" t="n"/>
      <c r="AP150" s="2" t="inlineStr">
        <is>
          <t>v3_2026-03-19</t>
        </is>
      </c>
    </row>
    <row r="151" ht="135" customHeight="1" s="10">
      <c r="A151" s="2" t="inlineStr">
        <is>
          <t>Q30_E</t>
        </is>
      </c>
      <c r="B151" s="2" t="n">
        <v>30</v>
      </c>
      <c r="C151" s="2" t="n">
        <v>30</v>
      </c>
      <c r="D151" s="2" t="inlineStr">
        <is>
          <t>Core</t>
        </is>
      </c>
      <c r="E151" s="2" t="n">
        <v>1.15</v>
      </c>
      <c r="F151" s="2" t="inlineStr">
        <is>
          <t>ValuesLifestyle</t>
        </is>
      </c>
      <c r="G151" s="2" t="inlineStr">
        <is>
          <t>IntentAlignment</t>
        </is>
      </c>
      <c r="H151" s="2" t="n"/>
      <c r="I151" s="2" t="inlineStr">
        <is>
          <t>E</t>
        </is>
      </c>
      <c r="J151" s="2" t="inlineStr">
        <is>
          <t>E</t>
        </is>
      </c>
      <c r="K151" s="2" t="inlineStr">
        <is>
          <t>I retreat a little, but I take note. That kind of reaction stings more than I'll admit, and I don't forget it.</t>
        </is>
      </c>
      <c r="L151" s="2" t="n">
        <v>7</v>
      </c>
      <c r="M151" s="2" t="n">
        <v>8</v>
      </c>
      <c r="N151" s="2" t="n">
        <v>4</v>
      </c>
      <c r="O151" s="2" t="n">
        <v>4</v>
      </c>
      <c r="P151" s="2" t="n">
        <v>0</v>
      </c>
      <c r="Q151" s="2" t="inlineStr">
        <is>
          <t>Quiet Exit</t>
        </is>
      </c>
      <c r="R151" s="2" t="n">
        <v>4</v>
      </c>
      <c r="S151" s="2" t="n"/>
      <c r="T151" s="2" t="n"/>
      <c r="U151" s="2" t="n">
        <v>0</v>
      </c>
      <c r="V151" s="2" t="inlineStr">
        <is>
          <t>masc:1.4;fem:-1.3</t>
        </is>
      </c>
      <c r="W151" s="2" t="n">
        <v>1.4</v>
      </c>
      <c r="X151" s="2" t="n">
        <v>-1.3</v>
      </c>
      <c r="Y151" s="2" t="inlineStr">
        <is>
          <t>COMM_Avoidant</t>
        </is>
      </c>
      <c r="Z151" s="2" t="inlineStr">
        <is>
          <t>REG_Suppressor</t>
        </is>
      </c>
      <c r="AA151" s="2" t="inlineStr">
        <is>
          <t>LANG_Time</t>
        </is>
      </c>
      <c r="AB151" s="2" t="n"/>
      <c r="AC151" s="2" t="n"/>
      <c r="AD151" s="2" t="n"/>
      <c r="AE151" s="2" t="n">
        <v>0</v>
      </c>
      <c r="AF151" s="2" t="inlineStr">
        <is>
          <t>subtle hurt long memory</t>
        </is>
      </c>
      <c r="AG151" s="2" t="inlineStr">
        <is>
          <t>quiet recorder</t>
        </is>
      </c>
      <c r="AH151" s="2" t="n">
        <v>0</v>
      </c>
      <c r="AI151" s="2" t="inlineStr">
        <is>
          <t>no</t>
        </is>
      </c>
      <c r="AJ151" s="2" t="inlineStr">
        <is>
          <t>no</t>
        </is>
      </c>
      <c r="AK151" s="2" t="inlineStr">
        <is>
          <t>no</t>
        </is>
      </c>
      <c r="AL151" s="2" t="inlineStr">
        <is>
          <t>no</t>
        </is>
      </c>
      <c r="AM151" s="2" t="n"/>
      <c r="AN151" s="2" t="n"/>
      <c r="AO151" s="2" t="n"/>
      <c r="AP151" s="2" t="inlineStr">
        <is>
          <t>v3_2026-03-19</t>
        </is>
      </c>
    </row>
    <row r="152" ht="121.5" customHeight="1" s="10">
      <c r="A152" s="2" t="inlineStr">
        <is>
          <t>Q31_A</t>
        </is>
      </c>
      <c r="B152" s="2" t="n">
        <v>31</v>
      </c>
      <c r="C152" s="2" t="n">
        <v>31</v>
      </c>
      <c r="D152" s="2" t="inlineStr">
        <is>
          <t>Core</t>
        </is>
      </c>
      <c r="E152" s="2" t="n">
        <v>1.15</v>
      </c>
      <c r="F152" s="2" t="inlineStr">
        <is>
          <t>ValuesLifestyle</t>
        </is>
      </c>
      <c r="G152" s="2" t="inlineStr">
        <is>
          <t>IntentAlignment</t>
        </is>
      </c>
      <c r="H152" s="2" t="inlineStr">
        <is>
          <t>You realize you said or did something that might've hurt them. They haven't brought it up. How do you usually handle it?</t>
        </is>
      </c>
      <c r="I152" s="2" t="inlineStr">
        <is>
          <t>A</t>
        </is>
      </c>
      <c r="J152" s="2" t="inlineStr">
        <is>
          <t>A</t>
        </is>
      </c>
      <c r="K152" s="2" t="inlineStr">
        <is>
          <t>I let it pass. If they're not saying anything, maybe it wasn't that deep.</t>
        </is>
      </c>
      <c r="L152" s="2" t="n">
        <v>8</v>
      </c>
      <c r="M152" s="2" t="n">
        <v>8</v>
      </c>
      <c r="N152" s="2" t="n">
        <v>4</v>
      </c>
      <c r="O152" s="2" t="n">
        <v>4</v>
      </c>
      <c r="P152" s="2" t="n">
        <v>2</v>
      </c>
      <c r="Q152" s="2" t="inlineStr">
        <is>
          <t>Icebox</t>
        </is>
      </c>
      <c r="R152" s="2" t="n">
        <v>1</v>
      </c>
      <c r="S152" s="2" t="n"/>
      <c r="T152" s="2" t="n"/>
      <c r="U152" s="2" t="n">
        <v>0</v>
      </c>
      <c r="V152" s="2" t="inlineStr">
        <is>
          <t>masc:1.8;fem:-1.6</t>
        </is>
      </c>
      <c r="W152" s="2" t="n">
        <v>1.8</v>
      </c>
      <c r="X152" s="2" t="n">
        <v>-1.6</v>
      </c>
      <c r="Y152" s="2" t="inlineStr">
        <is>
          <t>COMM_Avoidant</t>
        </is>
      </c>
      <c r="Z152" s="2" t="inlineStr">
        <is>
          <t>REG_Suppressor</t>
        </is>
      </c>
      <c r="AA152" s="2" t="inlineStr">
        <is>
          <t>LANG_Time</t>
        </is>
      </c>
      <c r="AB152" s="2" t="n"/>
      <c r="AC152" s="2" t="n"/>
      <c r="AD152" s="2" t="n"/>
      <c r="AE152" s="2" t="n">
        <v>0</v>
      </c>
      <c r="AF152" s="2" t="inlineStr">
        <is>
          <t>let it die in silence</t>
        </is>
      </c>
      <c r="AG152" s="2" t="inlineStr">
        <is>
          <t>passive resolver</t>
        </is>
      </c>
      <c r="AH152" s="2" t="n">
        <v>0</v>
      </c>
      <c r="AI152" s="2" t="inlineStr">
        <is>
          <t>no</t>
        </is>
      </c>
      <c r="AJ152" s="2" t="inlineStr">
        <is>
          <t>no</t>
        </is>
      </c>
      <c r="AK152" s="2" t="inlineStr">
        <is>
          <t>no</t>
        </is>
      </c>
      <c r="AL152" s="2" t="inlineStr">
        <is>
          <t>no</t>
        </is>
      </c>
      <c r="AM152" s="2" t="n"/>
      <c r="AN152" s="2" t="n"/>
      <c r="AO152" s="2" t="n"/>
      <c r="AP152" s="2" t="inlineStr">
        <is>
          <t>v3_2026-03-19</t>
        </is>
      </c>
    </row>
    <row r="153" ht="135" customHeight="1" s="10">
      <c r="A153" s="2" t="inlineStr">
        <is>
          <t>Q31_B</t>
        </is>
      </c>
      <c r="B153" s="2" t="n">
        <v>31</v>
      </c>
      <c r="C153" s="2" t="n">
        <v>31</v>
      </c>
      <c r="D153" s="2" t="inlineStr">
        <is>
          <t>Core</t>
        </is>
      </c>
      <c r="E153" s="2" t="n">
        <v>1.15</v>
      </c>
      <c r="F153" s="2" t="inlineStr">
        <is>
          <t>ValuesLifestyle</t>
        </is>
      </c>
      <c r="G153" s="2" t="inlineStr">
        <is>
          <t>IntentAlignment</t>
        </is>
      </c>
      <c r="H153" s="2" t="n"/>
      <c r="I153" s="2" t="inlineStr">
        <is>
          <t>B</t>
        </is>
      </c>
      <c r="J153" s="2" t="inlineStr">
        <is>
          <t>B</t>
        </is>
      </c>
      <c r="K153" s="2" t="inlineStr">
        <is>
          <t>I sit with it for a while, overthinking every part. I want to apologize, but I'm scared it'll make it worse.</t>
        </is>
      </c>
      <c r="L153" s="2" t="n">
        <v>4</v>
      </c>
      <c r="M153" s="2" t="n">
        <v>5</v>
      </c>
      <c r="N153" s="2" t="n">
        <v>2</v>
      </c>
      <c r="O153" s="2" t="n">
        <v>2</v>
      </c>
      <c r="P153" s="2" t="n">
        <v>0</v>
      </c>
      <c r="Q153" s="2" t="inlineStr">
        <is>
          <t>Phantom Seeker</t>
        </is>
      </c>
      <c r="R153" s="2" t="n">
        <v>10</v>
      </c>
      <c r="S153" s="2" t="n"/>
      <c r="T153" s="2" t="n"/>
      <c r="U153" s="2" t="n">
        <v>0</v>
      </c>
      <c r="V153" s="2" t="inlineStr">
        <is>
          <t>masc:-0.2;fem:1.5</t>
        </is>
      </c>
      <c r="W153" s="2" t="n">
        <v>-0.2</v>
      </c>
      <c r="X153" s="2" t="n">
        <v>1.5</v>
      </c>
      <c r="Y153" s="2" t="inlineStr">
        <is>
          <t>COMM_Emotional</t>
        </is>
      </c>
      <c r="Z153" s="2" t="inlineStr">
        <is>
          <t>REG_SelfSoother</t>
        </is>
      </c>
      <c r="AA153" s="2" t="inlineStr">
        <is>
          <t>LANG_Touch</t>
        </is>
      </c>
      <c r="AB153" s="2" t="inlineStr">
        <is>
          <t>Vulnerability_Loop</t>
        </is>
      </c>
      <c r="AC153" s="2" t="inlineStr">
        <is>
          <t>Vulnerability_Loop</t>
        </is>
      </c>
      <c r="AD153" s="2" t="n"/>
      <c r="AE153" s="2" t="n">
        <v>5</v>
      </c>
      <c r="AF153" s="2" t="inlineStr">
        <is>
          <t>shame paralysis</t>
        </is>
      </c>
      <c r="AG153" s="2" t="inlineStr">
        <is>
          <t>anxious holder</t>
        </is>
      </c>
      <c r="AH153" s="2" t="n">
        <v>0</v>
      </c>
      <c r="AI153" s="2" t="inlineStr">
        <is>
          <t>yes</t>
        </is>
      </c>
      <c r="AJ153" s="2" t="inlineStr">
        <is>
          <t>no</t>
        </is>
      </c>
      <c r="AK153" s="2" t="inlineStr">
        <is>
          <t>no</t>
        </is>
      </c>
      <c r="AL153" s="2" t="inlineStr">
        <is>
          <t>no</t>
        </is>
      </c>
      <c r="AM153" s="2" t="n"/>
      <c r="AN153" s="2" t="n"/>
      <c r="AO153" s="2" t="n"/>
      <c r="AP153" s="2" t="inlineStr">
        <is>
          <t>v3_2026-03-19</t>
        </is>
      </c>
    </row>
    <row r="154" ht="81" customHeight="1" s="10">
      <c r="A154" s="2" t="inlineStr">
        <is>
          <t>Q31_C</t>
        </is>
      </c>
      <c r="B154" s="2" t="n">
        <v>31</v>
      </c>
      <c r="C154" s="2" t="n">
        <v>31</v>
      </c>
      <c r="D154" s="2" t="inlineStr">
        <is>
          <t>Core</t>
        </is>
      </c>
      <c r="E154" s="2" t="n">
        <v>1.15</v>
      </c>
      <c r="F154" s="2" t="inlineStr">
        <is>
          <t>ValuesLifestyle</t>
        </is>
      </c>
      <c r="G154" s="2" t="inlineStr">
        <is>
          <t>IntentAlignment</t>
        </is>
      </c>
      <c r="H154" s="2" t="n"/>
      <c r="I154" s="2" t="inlineStr">
        <is>
          <t>C</t>
        </is>
      </c>
      <c r="J154" s="2" t="inlineStr">
        <is>
          <t>C</t>
        </is>
      </c>
      <c r="K154" s="2" t="inlineStr">
        <is>
          <t>I bring it up myself. Even if they say it's fine, I want them to know I saw it.</t>
        </is>
      </c>
      <c r="L154" s="2" t="n">
        <v>9</v>
      </c>
      <c r="M154" s="2" t="n">
        <v>9</v>
      </c>
      <c r="N154" s="2" t="n">
        <v>10</v>
      </c>
      <c r="O154" s="2" t="n">
        <v>10</v>
      </c>
      <c r="P154" s="2" t="n">
        <v>10</v>
      </c>
      <c r="Q154" s="2" t="inlineStr">
        <is>
          <t>Regulated Grown-Up</t>
        </is>
      </c>
      <c r="R154" s="2" t="n">
        <v>9</v>
      </c>
      <c r="S154" s="2" t="n"/>
      <c r="T154" s="2" t="n"/>
      <c r="U154" s="2" t="n">
        <v>0</v>
      </c>
      <c r="V154" s="2" t="inlineStr">
        <is>
          <t>masc:1.1;fem:0.9</t>
        </is>
      </c>
      <c r="W154" s="2" t="n">
        <v>1.1</v>
      </c>
      <c r="X154" s="2" t="n">
        <v>0.9</v>
      </c>
      <c r="Y154" s="2" t="inlineStr">
        <is>
          <t>COMM_Direct</t>
        </is>
      </c>
      <c r="Z154" s="2" t="inlineStr">
        <is>
          <t>REG_CoRegulator</t>
        </is>
      </c>
      <c r="AA154" s="2" t="inlineStr">
        <is>
          <t>LANG_Words</t>
        </is>
      </c>
      <c r="AB154" s="2" t="n"/>
      <c r="AC154" s="2" t="n"/>
      <c r="AD154" s="2" t="n"/>
      <c r="AE154" s="2" t="n">
        <v>0</v>
      </c>
      <c r="AF154" s="2" t="inlineStr">
        <is>
          <t>proactive accountability</t>
        </is>
      </c>
      <c r="AG154" s="2" t="inlineStr">
        <is>
          <t>direct repairer</t>
        </is>
      </c>
      <c r="AH154" s="2" t="n">
        <v>0</v>
      </c>
      <c r="AI154" s="2" t="inlineStr">
        <is>
          <t>no</t>
        </is>
      </c>
      <c r="AJ154" s="2" t="inlineStr">
        <is>
          <t>no</t>
        </is>
      </c>
      <c r="AK154" s="2" t="inlineStr">
        <is>
          <t>no</t>
        </is>
      </c>
      <c r="AL154" s="2" t="inlineStr">
        <is>
          <t>no</t>
        </is>
      </c>
      <c r="AM154" s="2" t="n"/>
      <c r="AN154" s="2" t="n"/>
      <c r="AO154" s="2" t="n"/>
      <c r="AP154" s="2" t="inlineStr">
        <is>
          <t>v3_2026-03-19</t>
        </is>
      </c>
    </row>
    <row r="155" ht="121.5" customHeight="1" s="10">
      <c r="A155" s="2" t="inlineStr">
        <is>
          <t>Q31_D</t>
        </is>
      </c>
      <c r="B155" s="2" t="n">
        <v>31</v>
      </c>
      <c r="C155" s="2" t="n">
        <v>31</v>
      </c>
      <c r="D155" s="2" t="inlineStr">
        <is>
          <t>Core</t>
        </is>
      </c>
      <c r="E155" s="2" t="n">
        <v>1.15</v>
      </c>
      <c r="F155" s="2" t="inlineStr">
        <is>
          <t>ValuesLifestyle</t>
        </is>
      </c>
      <c r="G155" s="2" t="inlineStr">
        <is>
          <t>IntentAlignment</t>
        </is>
      </c>
      <c r="H155" s="2" t="n"/>
      <c r="I155" s="2" t="inlineStr">
        <is>
          <t>D</t>
        </is>
      </c>
      <c r="J155" s="2" t="inlineStr">
        <is>
          <t>D</t>
        </is>
      </c>
      <c r="K155" s="2" t="inlineStr">
        <is>
          <t>I drop hints that I noticed, like being extra nice or saying, "You good?" Hoping they'll give me a way back in.</t>
        </is>
      </c>
      <c r="L155" s="2" t="n">
        <v>6</v>
      </c>
      <c r="M155" s="2" t="n">
        <v>7</v>
      </c>
      <c r="N155" s="2" t="n">
        <v>4</v>
      </c>
      <c r="O155" s="2" t="n">
        <v>4</v>
      </c>
      <c r="P155" s="2" t="n">
        <v>2</v>
      </c>
      <c r="Q155" s="2" t="inlineStr">
        <is>
          <t>Performer</t>
        </is>
      </c>
      <c r="R155" s="2" t="n">
        <v>7</v>
      </c>
      <c r="S155" s="2" t="n"/>
      <c r="T155" s="2" t="n"/>
      <c r="U155" s="2" t="n">
        <v>0</v>
      </c>
      <c r="V155" s="2" t="inlineStr">
        <is>
          <t>masc:0.3;fem:0.5</t>
        </is>
      </c>
      <c r="W155" s="2" t="n">
        <v>0.3</v>
      </c>
      <c r="X155" s="2" t="n">
        <v>0.5</v>
      </c>
      <c r="Y155" s="2" t="inlineStr">
        <is>
          <t>COMM_Indirect</t>
        </is>
      </c>
      <c r="Z155" s="2" t="inlineStr">
        <is>
          <t>REG_Distractor</t>
        </is>
      </c>
      <c r="AA155" s="2" t="inlineStr">
        <is>
          <t>LANG_Gifts</t>
        </is>
      </c>
      <c r="AB155" s="2" t="inlineStr">
        <is>
          <t>Vulnerability_Loop</t>
        </is>
      </c>
      <c r="AC155" s="2" t="inlineStr">
        <is>
          <t>Vulnerability_Loop</t>
        </is>
      </c>
      <c r="AD155" s="2" t="n"/>
      <c r="AE155" s="2" t="n">
        <v>5</v>
      </c>
      <c r="AF155" s="2" t="inlineStr">
        <is>
          <t>indirect repair attempt</t>
        </is>
      </c>
      <c r="AG155" s="2" t="inlineStr">
        <is>
          <t>soft restorer</t>
        </is>
      </c>
      <c r="AH155" s="2" t="n">
        <v>0</v>
      </c>
      <c r="AI155" s="2" t="inlineStr">
        <is>
          <t>yes</t>
        </is>
      </c>
      <c r="AJ155" s="2" t="inlineStr">
        <is>
          <t>no</t>
        </is>
      </c>
      <c r="AK155" s="2" t="inlineStr">
        <is>
          <t>no</t>
        </is>
      </c>
      <c r="AL155" s="2" t="inlineStr">
        <is>
          <t>no</t>
        </is>
      </c>
      <c r="AM155" s="2" t="n"/>
      <c r="AN155" s="2" t="n"/>
      <c r="AO155" s="2" t="n"/>
      <c r="AP155" s="2" t="inlineStr">
        <is>
          <t>v3_2026-03-19</t>
        </is>
      </c>
    </row>
    <row r="156" ht="108" customHeight="1" s="10">
      <c r="A156" s="2" t="inlineStr">
        <is>
          <t>Q31_E</t>
        </is>
      </c>
      <c r="B156" s="2" t="n">
        <v>31</v>
      </c>
      <c r="C156" s="2" t="n">
        <v>31</v>
      </c>
      <c r="D156" s="2" t="inlineStr">
        <is>
          <t>Core</t>
        </is>
      </c>
      <c r="E156" s="2" t="n">
        <v>1.15</v>
      </c>
      <c r="F156" s="2" t="inlineStr">
        <is>
          <t>ValuesLifestyle</t>
        </is>
      </c>
      <c r="G156" s="2" t="inlineStr">
        <is>
          <t>IntentAlignment</t>
        </is>
      </c>
      <c r="H156" s="2" t="n"/>
      <c r="I156" s="2" t="inlineStr">
        <is>
          <t>E</t>
        </is>
      </c>
      <c r="J156" s="2" t="inlineStr">
        <is>
          <t>E</t>
        </is>
      </c>
      <c r="K156" s="2" t="inlineStr">
        <is>
          <t>I kind of punish myself internally. I tell myself this is why people pull away from me.</t>
        </is>
      </c>
      <c r="L156" s="2" t="n">
        <v>4</v>
      </c>
      <c r="M156" s="2" t="n">
        <v>5</v>
      </c>
      <c r="N156" s="2" t="n">
        <v>2</v>
      </c>
      <c r="O156" s="2" t="n">
        <v>2</v>
      </c>
      <c r="P156" s="2" t="n">
        <v>2</v>
      </c>
      <c r="Q156" s="2" t="inlineStr">
        <is>
          <t>Survivor</t>
        </is>
      </c>
      <c r="R156" s="2" t="n">
        <v>8</v>
      </c>
      <c r="S156" s="2" t="n"/>
      <c r="T156" s="2" t="n"/>
      <c r="U156" s="2" t="n">
        <v>0</v>
      </c>
      <c r="V156" s="2" t="inlineStr">
        <is>
          <t>masc:0.3;fem:1.3</t>
        </is>
      </c>
      <c r="W156" s="2" t="n">
        <v>0.3</v>
      </c>
      <c r="X156" s="2" t="n">
        <v>1.3</v>
      </c>
      <c r="Y156" s="2" t="inlineStr">
        <is>
          <t>COMM_Emotional</t>
        </is>
      </c>
      <c r="Z156" s="2" t="inlineStr">
        <is>
          <t>REG_SelfSoother</t>
        </is>
      </c>
      <c r="AA156" s="2" t="inlineStr">
        <is>
          <t>LANG_Service</t>
        </is>
      </c>
      <c r="AB156" s="2" t="inlineStr">
        <is>
          <t>Vulnerability_Loop</t>
        </is>
      </c>
      <c r="AC156" s="2" t="inlineStr">
        <is>
          <t>Vulnerability_Loop</t>
        </is>
      </c>
      <c r="AD156" s="2" t="n"/>
      <c r="AE156" s="2" t="n">
        <v>5</v>
      </c>
      <c r="AF156" s="2" t="inlineStr">
        <is>
          <t>internalized blame cycle</t>
        </is>
      </c>
      <c r="AG156" s="2" t="inlineStr">
        <is>
          <t>self-blamer</t>
        </is>
      </c>
      <c r="AH156" s="2" t="n">
        <v>0.6</v>
      </c>
      <c r="AI156" s="2" t="inlineStr">
        <is>
          <t>yes</t>
        </is>
      </c>
      <c r="AJ156" s="2" t="inlineStr">
        <is>
          <t>no</t>
        </is>
      </c>
      <c r="AK156" s="2" t="inlineStr">
        <is>
          <t>no</t>
        </is>
      </c>
      <c r="AL156" s="2" t="inlineStr">
        <is>
          <t>no</t>
        </is>
      </c>
      <c r="AM156" s="2" t="n"/>
      <c r="AN156" s="2" t="n"/>
      <c r="AO156" s="2" t="n"/>
      <c r="AP156" s="2" t="inlineStr">
        <is>
          <t>v3_2026-03-19</t>
        </is>
      </c>
    </row>
    <row r="157" ht="121.5" customHeight="1" s="10">
      <c r="A157" s="2" t="inlineStr">
        <is>
          <t>Q32_A</t>
        </is>
      </c>
      <c r="B157" s="2" t="n">
        <v>32</v>
      </c>
      <c r="C157" s="2" t="n">
        <v>32</v>
      </c>
      <c r="D157" s="2" t="inlineStr">
        <is>
          <t>Core</t>
        </is>
      </c>
      <c r="E157" s="2" t="n">
        <v>1.15</v>
      </c>
      <c r="F157" s="2" t="inlineStr">
        <is>
          <t>ValuesLifestyle</t>
        </is>
      </c>
      <c r="G157" s="2" t="inlineStr">
        <is>
          <t>IntentAlignment</t>
        </is>
      </c>
      <c r="H157" s="2" t="inlineStr">
        <is>
          <t>You notice you've been putting in more effort-texting first, planning things, carrying the vibe. What's your response?</t>
        </is>
      </c>
      <c r="I157" s="2" t="inlineStr">
        <is>
          <t>A</t>
        </is>
      </c>
      <c r="J157" s="2" t="inlineStr">
        <is>
          <t>A</t>
        </is>
      </c>
      <c r="K157" s="2" t="inlineStr">
        <is>
          <t>I pull back immediately. If I feel one-sided energy, I shut it down without warning.</t>
        </is>
      </c>
      <c r="L157" s="2" t="n">
        <v>9</v>
      </c>
      <c r="M157" s="2" t="n">
        <v>9</v>
      </c>
      <c r="N157" s="2" t="n">
        <v>6</v>
      </c>
      <c r="O157" s="2" t="n">
        <v>6</v>
      </c>
      <c r="P157" s="2" t="n">
        <v>2</v>
      </c>
      <c r="Q157" s="2" t="inlineStr">
        <is>
          <t>Icebox</t>
        </is>
      </c>
      <c r="R157" s="2" t="n">
        <v>1</v>
      </c>
      <c r="S157" s="2" t="n"/>
      <c r="T157" s="2" t="n"/>
      <c r="U157" s="2" t="n">
        <v>0</v>
      </c>
      <c r="V157" s="2" t="inlineStr">
        <is>
          <t>masc:1.8;fem:-1.6</t>
        </is>
      </c>
      <c r="W157" s="2" t="n">
        <v>1.8</v>
      </c>
      <c r="X157" s="2" t="n">
        <v>-1.6</v>
      </c>
      <c r="Y157" s="2" t="inlineStr">
        <is>
          <t>COMM_Avoidant</t>
        </is>
      </c>
      <c r="Z157" s="2" t="inlineStr">
        <is>
          <t>REG_Suppressor</t>
        </is>
      </c>
      <c r="AA157" s="2" t="inlineStr">
        <is>
          <t>LANG_Time</t>
        </is>
      </c>
      <c r="AB157" s="2" t="n"/>
      <c r="AC157" s="2" t="n"/>
      <c r="AD157" s="2" t="n"/>
      <c r="AE157" s="2" t="n">
        <v>0</v>
      </c>
      <c r="AF157" s="2" t="inlineStr">
        <is>
          <t>cut-the-cord reflex</t>
        </is>
      </c>
      <c r="AG157" s="2" t="inlineStr">
        <is>
          <t>decisive withdrawer</t>
        </is>
      </c>
      <c r="AH157" s="2" t="n">
        <v>1.2</v>
      </c>
      <c r="AI157" s="2" t="inlineStr">
        <is>
          <t>no</t>
        </is>
      </c>
      <c r="AJ157" s="2" t="inlineStr">
        <is>
          <t>no</t>
        </is>
      </c>
      <c r="AK157" s="2" t="inlineStr">
        <is>
          <t>no</t>
        </is>
      </c>
      <c r="AL157" s="2" t="inlineStr">
        <is>
          <t>no</t>
        </is>
      </c>
      <c r="AM157" s="2" t="n"/>
      <c r="AN157" s="2" t="n"/>
      <c r="AO157" s="2" t="n"/>
      <c r="AP157" s="2" t="inlineStr">
        <is>
          <t>v3_2026-03-19</t>
        </is>
      </c>
    </row>
    <row r="158" ht="135" customHeight="1" s="10">
      <c r="A158" s="2" t="inlineStr">
        <is>
          <t>Q32_B</t>
        </is>
      </c>
      <c r="B158" s="2" t="n">
        <v>32</v>
      </c>
      <c r="C158" s="2" t="n">
        <v>32</v>
      </c>
      <c r="D158" s="2" t="inlineStr">
        <is>
          <t>Core</t>
        </is>
      </c>
      <c r="E158" s="2" t="n">
        <v>1.15</v>
      </c>
      <c r="F158" s="2" t="inlineStr">
        <is>
          <t>ValuesLifestyle</t>
        </is>
      </c>
      <c r="G158" s="2" t="inlineStr">
        <is>
          <t>IntentAlignment</t>
        </is>
      </c>
      <c r="H158" s="2" t="n"/>
      <c r="I158" s="2" t="inlineStr">
        <is>
          <t>B</t>
        </is>
      </c>
      <c r="J158" s="2" t="inlineStr">
        <is>
          <t>B</t>
        </is>
      </c>
      <c r="K158" s="2" t="inlineStr">
        <is>
          <t>I start wondering what I did wrong. Maybe I'm overstepping, so I ease up and wait for them to miss me.</t>
        </is>
      </c>
      <c r="L158" s="2" t="n">
        <v>5</v>
      </c>
      <c r="M158" s="2" t="n">
        <v>6</v>
      </c>
      <c r="N158" s="2" t="n">
        <v>2</v>
      </c>
      <c r="O158" s="2" t="n">
        <v>2</v>
      </c>
      <c r="P158" s="2" t="n">
        <v>2</v>
      </c>
      <c r="Q158" s="2" t="inlineStr">
        <is>
          <t>Phantom Seeker</t>
        </is>
      </c>
      <c r="R158" s="2" t="n">
        <v>10</v>
      </c>
      <c r="S158" s="2" t="n"/>
      <c r="T158" s="2" t="n"/>
      <c r="U158" s="2" t="n">
        <v>0</v>
      </c>
      <c r="V158" s="2" t="inlineStr">
        <is>
          <t>masc:-0.2;fem:1.5</t>
        </is>
      </c>
      <c r="W158" s="2" t="n">
        <v>-0.2</v>
      </c>
      <c r="X158" s="2" t="n">
        <v>1.5</v>
      </c>
      <c r="Y158" s="2" t="inlineStr">
        <is>
          <t>COMM_Emotional</t>
        </is>
      </c>
      <c r="Z158" s="2" t="inlineStr">
        <is>
          <t>REG_SelfSoother</t>
        </is>
      </c>
      <c r="AA158" s="2" t="inlineStr">
        <is>
          <t>LANG_Touch</t>
        </is>
      </c>
      <c r="AB158" s="2" t="inlineStr">
        <is>
          <t>Commitment_Ambiguity</t>
        </is>
      </c>
      <c r="AC158" s="2" t="inlineStr">
        <is>
          <t>Commitment_Ambiguity</t>
        </is>
      </c>
      <c r="AD158" s="2" t="n"/>
      <c r="AE158" s="2" t="n">
        <v>5</v>
      </c>
      <c r="AF158" s="2" t="inlineStr">
        <is>
          <t>emotional retraction test</t>
        </is>
      </c>
      <c r="AG158" s="2" t="inlineStr">
        <is>
          <t>subtle distancer</t>
        </is>
      </c>
      <c r="AH158" s="2" t="n">
        <v>0.6</v>
      </c>
      <c r="AI158" s="2" t="inlineStr">
        <is>
          <t>yes</t>
        </is>
      </c>
      <c r="AJ158" s="2" t="inlineStr">
        <is>
          <t>no</t>
        </is>
      </c>
      <c r="AK158" s="2" t="inlineStr">
        <is>
          <t>no</t>
        </is>
      </c>
      <c r="AL158" s="2" t="inlineStr">
        <is>
          <t>no</t>
        </is>
      </c>
      <c r="AM158" s="2" t="n"/>
      <c r="AN158" s="2" t="n"/>
      <c r="AO158" s="2" t="n"/>
      <c r="AP158" s="2" t="inlineStr">
        <is>
          <t>v3_2026-03-19</t>
        </is>
      </c>
    </row>
    <row r="159" ht="108" customHeight="1" s="10">
      <c r="A159" s="2" t="inlineStr">
        <is>
          <t>Q32_C</t>
        </is>
      </c>
      <c r="B159" s="2" t="n">
        <v>32</v>
      </c>
      <c r="C159" s="2" t="n">
        <v>32</v>
      </c>
      <c r="D159" s="2" t="inlineStr">
        <is>
          <t>Core</t>
        </is>
      </c>
      <c r="E159" s="2" t="n">
        <v>1.15</v>
      </c>
      <c r="F159" s="2" t="inlineStr">
        <is>
          <t>ValuesLifestyle</t>
        </is>
      </c>
      <c r="G159" s="2" t="inlineStr">
        <is>
          <t>IntentAlignment</t>
        </is>
      </c>
      <c r="H159" s="2" t="n"/>
      <c r="I159" s="2" t="inlineStr">
        <is>
          <t>C</t>
        </is>
      </c>
      <c r="J159" s="2" t="inlineStr">
        <is>
          <t>C</t>
        </is>
      </c>
      <c r="K159" s="2" t="inlineStr">
        <is>
          <t>I bring it up casually "Hey, I've been doing a lot of the reaching out lately. Everything good?"</t>
        </is>
      </c>
      <c r="L159" s="2" t="n">
        <v>9</v>
      </c>
      <c r="M159" s="2" t="n">
        <v>9</v>
      </c>
      <c r="N159" s="2" t="n">
        <v>10</v>
      </c>
      <c r="O159" s="2" t="n">
        <v>10</v>
      </c>
      <c r="P159" s="2" t="n">
        <v>10</v>
      </c>
      <c r="Q159" s="2" t="inlineStr">
        <is>
          <t>Regulated Grown-Up</t>
        </is>
      </c>
      <c r="R159" s="2" t="n">
        <v>9</v>
      </c>
      <c r="S159" s="2" t="n"/>
      <c r="T159" s="2" t="n"/>
      <c r="U159" s="2" t="n">
        <v>0</v>
      </c>
      <c r="V159" s="2" t="inlineStr">
        <is>
          <t>masc:1.1;fem:0.9</t>
        </is>
      </c>
      <c r="W159" s="2" t="n">
        <v>1.1</v>
      </c>
      <c r="X159" s="2" t="n">
        <v>0.9</v>
      </c>
      <c r="Y159" s="2" t="inlineStr">
        <is>
          <t>COMM_Direct</t>
        </is>
      </c>
      <c r="Z159" s="2" t="inlineStr">
        <is>
          <t>REG_CoRegulator</t>
        </is>
      </c>
      <c r="AA159" s="2" t="inlineStr">
        <is>
          <t>LANG_Words</t>
        </is>
      </c>
      <c r="AB159" s="2" t="n"/>
      <c r="AC159" s="2" t="n"/>
      <c r="AD159" s="2" t="n"/>
      <c r="AE159" s="2" t="n">
        <v>0</v>
      </c>
      <c r="AF159" s="2" t="inlineStr">
        <is>
          <t>balance check</t>
        </is>
      </c>
      <c r="AG159" s="2" t="inlineStr">
        <is>
          <t>direct communicator</t>
        </is>
      </c>
      <c r="AH159" s="2" t="n">
        <v>0</v>
      </c>
      <c r="AI159" s="2" t="inlineStr">
        <is>
          <t>no</t>
        </is>
      </c>
      <c r="AJ159" s="2" t="inlineStr">
        <is>
          <t>no</t>
        </is>
      </c>
      <c r="AK159" s="2" t="inlineStr">
        <is>
          <t>no</t>
        </is>
      </c>
      <c r="AL159" s="2" t="inlineStr">
        <is>
          <t>no</t>
        </is>
      </c>
      <c r="AM159" s="2" t="n"/>
      <c r="AN159" s="2" t="n"/>
      <c r="AO159" s="2" t="n"/>
      <c r="AP159" s="2" t="inlineStr">
        <is>
          <t>v3_2026-03-19</t>
        </is>
      </c>
    </row>
    <row r="160" ht="94.5" customHeight="1" s="10">
      <c r="A160" s="2" t="inlineStr">
        <is>
          <t>Q32_D</t>
        </is>
      </c>
      <c r="B160" s="2" t="n">
        <v>32</v>
      </c>
      <c r="C160" s="2" t="n">
        <v>32</v>
      </c>
      <c r="D160" s="2" t="inlineStr">
        <is>
          <t>Core</t>
        </is>
      </c>
      <c r="E160" s="2" t="n">
        <v>1.15</v>
      </c>
      <c r="F160" s="2" t="inlineStr">
        <is>
          <t>ValuesLifestyle</t>
        </is>
      </c>
      <c r="G160" s="2" t="inlineStr">
        <is>
          <t>IntentAlignment</t>
        </is>
      </c>
      <c r="H160" s="2" t="n"/>
      <c r="I160" s="2" t="inlineStr">
        <is>
          <t>D</t>
        </is>
      </c>
      <c r="J160" s="2" t="inlineStr">
        <is>
          <t>D</t>
        </is>
      </c>
      <c r="K160" s="2" t="inlineStr">
        <is>
          <t>I keep doing it, honestly. If I care, I'd rather carry it than risk the connection falling off.</t>
        </is>
      </c>
      <c r="L160" s="2" t="n">
        <v>4</v>
      </c>
      <c r="M160" s="2" t="n">
        <v>5</v>
      </c>
      <c r="N160" s="2" t="n">
        <v>2</v>
      </c>
      <c r="O160" s="2" t="n">
        <v>2</v>
      </c>
      <c r="P160" s="2" t="n">
        <v>2</v>
      </c>
      <c r="Q160" s="2" t="inlineStr">
        <is>
          <t>Fixer</t>
        </is>
      </c>
      <c r="R160" s="2" t="n">
        <v>5</v>
      </c>
      <c r="S160" s="2" t="n"/>
      <c r="T160" s="2" t="n"/>
      <c r="U160" s="2" t="n">
        <v>0</v>
      </c>
      <c r="V160" s="2" t="inlineStr">
        <is>
          <t>masc:-0.2;fem:1.7</t>
        </is>
      </c>
      <c r="W160" s="2" t="n">
        <v>-0.2</v>
      </c>
      <c r="X160" s="2" t="n">
        <v>1.7</v>
      </c>
      <c r="Y160" s="2" t="inlineStr">
        <is>
          <t>COMM_Emotional</t>
        </is>
      </c>
      <c r="Z160" s="2" t="inlineStr">
        <is>
          <t>REG_SelfSoother</t>
        </is>
      </c>
      <c r="AA160" s="2" t="inlineStr">
        <is>
          <t>LANG_Service</t>
        </is>
      </c>
      <c r="AB160" s="2" t="inlineStr">
        <is>
          <t>Vulnerability_Loop</t>
        </is>
      </c>
      <c r="AC160" s="2" t="inlineStr">
        <is>
          <t>Vulnerability_Loop</t>
        </is>
      </c>
      <c r="AD160" s="2" t="n"/>
      <c r="AE160" s="2" t="n">
        <v>5</v>
      </c>
      <c r="AF160" s="2" t="inlineStr">
        <is>
          <t>emotional weight-lifter</t>
        </is>
      </c>
      <c r="AG160" s="2" t="inlineStr">
        <is>
          <t>overfunctioner</t>
        </is>
      </c>
      <c r="AH160" s="2" t="n">
        <v>0</v>
      </c>
      <c r="AI160" s="2" t="inlineStr">
        <is>
          <t>yes</t>
        </is>
      </c>
      <c r="AJ160" s="2" t="inlineStr">
        <is>
          <t>no</t>
        </is>
      </c>
      <c r="AK160" s="2" t="inlineStr">
        <is>
          <t>no</t>
        </is>
      </c>
      <c r="AL160" s="2" t="inlineStr">
        <is>
          <t>no</t>
        </is>
      </c>
      <c r="AM160" s="2" t="n"/>
      <c r="AN160" s="2" t="n"/>
      <c r="AO160" s="2" t="n"/>
      <c r="AP160" s="2" t="inlineStr">
        <is>
          <t>v3_2026-03-19</t>
        </is>
      </c>
    </row>
    <row r="161" ht="108" customHeight="1" s="10">
      <c r="A161" s="2" t="inlineStr">
        <is>
          <t>Q32_E</t>
        </is>
      </c>
      <c r="B161" s="2" t="n">
        <v>32</v>
      </c>
      <c r="C161" s="2" t="n">
        <v>32</v>
      </c>
      <c r="D161" s="2" t="inlineStr">
        <is>
          <t>Core</t>
        </is>
      </c>
      <c r="E161" s="2" t="n">
        <v>1.15</v>
      </c>
      <c r="F161" s="2" t="inlineStr">
        <is>
          <t>ValuesLifestyle</t>
        </is>
      </c>
      <c r="G161" s="2" t="inlineStr">
        <is>
          <t>IntentAlignment</t>
        </is>
      </c>
      <c r="H161" s="2" t="n"/>
      <c r="I161" s="2" t="inlineStr">
        <is>
          <t>E</t>
        </is>
      </c>
      <c r="J161" s="2" t="inlineStr">
        <is>
          <t>E</t>
        </is>
      </c>
      <c r="K161" s="2" t="inlineStr">
        <is>
          <t>I start getting passive-aggressive, short replies, less effort, hoping they'll notice and step up.</t>
        </is>
      </c>
      <c r="L161" s="2" t="n">
        <v>5</v>
      </c>
      <c r="M161" s="2" t="n">
        <v>6</v>
      </c>
      <c r="N161" s="2" t="n">
        <v>0</v>
      </c>
      <c r="O161" s="2" t="n">
        <v>2</v>
      </c>
      <c r="P161" s="2" t="n">
        <v>0</v>
      </c>
      <c r="Q161" s="2" t="inlineStr">
        <is>
          <t>Performer</t>
        </is>
      </c>
      <c r="R161" s="2" t="n">
        <v>7</v>
      </c>
      <c r="S161" s="2" t="n"/>
      <c r="T161" s="2" t="n"/>
      <c r="U161" s="2" t="n">
        <v>0</v>
      </c>
      <c r="V161" s="2" t="inlineStr">
        <is>
          <t>masc:0.3;fem:0.5</t>
        </is>
      </c>
      <c r="W161" s="2" t="n">
        <v>0.3</v>
      </c>
      <c r="X161" s="2" t="n">
        <v>0.5</v>
      </c>
      <c r="Y161" s="2" t="inlineStr">
        <is>
          <t>COMM_Indirect</t>
        </is>
      </c>
      <c r="Z161" s="2" t="inlineStr">
        <is>
          <t>REG_Distractor</t>
        </is>
      </c>
      <c r="AA161" s="2" t="inlineStr">
        <is>
          <t>LANG_Gifts</t>
        </is>
      </c>
      <c r="AB161" s="2" t="inlineStr">
        <is>
          <t>Scorekeeping_Echo</t>
        </is>
      </c>
      <c r="AC161" s="2" t="inlineStr">
        <is>
          <t>Scorekeeping_Echo</t>
        </is>
      </c>
      <c r="AD161" s="2" t="n"/>
      <c r="AE161" s="2" t="n">
        <v>8</v>
      </c>
      <c r="AF161" s="2" t="inlineStr">
        <is>
          <t>withdrawal performance</t>
        </is>
      </c>
      <c r="AG161" s="2" t="inlineStr">
        <is>
          <t>subtle protester</t>
        </is>
      </c>
      <c r="AH161" s="2" t="n">
        <v>1.2</v>
      </c>
      <c r="AI161" s="2" t="inlineStr">
        <is>
          <t>yes</t>
        </is>
      </c>
      <c r="AJ161" s="2" t="inlineStr">
        <is>
          <t>no</t>
        </is>
      </c>
      <c r="AK161" s="2" t="inlineStr">
        <is>
          <t>no</t>
        </is>
      </c>
      <c r="AL161" s="2" t="inlineStr">
        <is>
          <t>no</t>
        </is>
      </c>
      <c r="AM161" s="2" t="n"/>
      <c r="AN161" s="2" t="n"/>
      <c r="AO161" s="2" t="n"/>
      <c r="AP161" s="2" t="inlineStr">
        <is>
          <t>v3_2026-03-19</t>
        </is>
      </c>
    </row>
    <row r="162" ht="108" customHeight="1" s="10">
      <c r="A162" s="2" t="inlineStr">
        <is>
          <t>Q33_A</t>
        </is>
      </c>
      <c r="B162" s="2" t="n">
        <v>33</v>
      </c>
      <c r="C162" s="2" t="n">
        <v>33</v>
      </c>
      <c r="D162" s="2" t="inlineStr">
        <is>
          <t>Core</t>
        </is>
      </c>
      <c r="E162" s="2" t="n">
        <v>1.15</v>
      </c>
      <c r="F162" s="2" t="inlineStr">
        <is>
          <t>CommitmentPace</t>
        </is>
      </c>
      <c r="G162" s="2" t="inlineStr">
        <is>
          <t>IntentAlignment</t>
        </is>
      </c>
      <c r="H162" s="2" t="inlineStr">
        <is>
          <t>You realize you're not feeling it with someone-but they clearly are. How do you usually pull back?</t>
        </is>
      </c>
      <c r="I162" s="2" t="inlineStr">
        <is>
          <t>A</t>
        </is>
      </c>
      <c r="J162" s="2" t="inlineStr">
        <is>
          <t>A</t>
        </is>
      </c>
      <c r="K162" s="2" t="inlineStr">
        <is>
          <t>I slowly drift. Less texts, less talk, hoping they get the hint without me having to say it</t>
        </is>
      </c>
      <c r="L162" s="2" t="n">
        <v>8</v>
      </c>
      <c r="M162" s="2" t="n">
        <v>8</v>
      </c>
      <c r="N162" s="2" t="n">
        <v>4</v>
      </c>
      <c r="O162" s="2" t="n">
        <v>4</v>
      </c>
      <c r="P162" s="2" t="n">
        <v>2</v>
      </c>
      <c r="Q162" s="2" t="inlineStr">
        <is>
          <t>Quiet Exit</t>
        </is>
      </c>
      <c r="R162" s="2" t="n">
        <v>4</v>
      </c>
      <c r="S162" s="2" t="n"/>
      <c r="T162" s="2" t="n"/>
      <c r="U162" s="2" t="n">
        <v>0</v>
      </c>
      <c r="V162" s="2" t="inlineStr">
        <is>
          <t>masc:1.4;fem:-1.3</t>
        </is>
      </c>
      <c r="W162" s="2" t="n">
        <v>1.4</v>
      </c>
      <c r="X162" s="2" t="n">
        <v>-1.3</v>
      </c>
      <c r="Y162" s="2" t="inlineStr">
        <is>
          <t>COMM_Avoidant</t>
        </is>
      </c>
      <c r="Z162" s="2" t="inlineStr">
        <is>
          <t>REG_Suppressor</t>
        </is>
      </c>
      <c r="AA162" s="2" t="inlineStr">
        <is>
          <t>LANG_Time</t>
        </is>
      </c>
      <c r="AB162" s="2" t="n"/>
      <c r="AC162" s="2" t="n"/>
      <c r="AD162" s="2" t="n"/>
      <c r="AE162" s="2" t="n">
        <v>0</v>
      </c>
      <c r="AF162" s="2" t="inlineStr">
        <is>
          <t>emotional phase-out</t>
        </is>
      </c>
      <c r="AG162" s="2" t="inlineStr">
        <is>
          <t>quiet exiter</t>
        </is>
      </c>
      <c r="AH162" s="2" t="n">
        <v>0</v>
      </c>
      <c r="AI162" s="2" t="inlineStr">
        <is>
          <t>no</t>
        </is>
      </c>
      <c r="AJ162" s="2" t="inlineStr">
        <is>
          <t>no</t>
        </is>
      </c>
      <c r="AK162" s="2" t="inlineStr">
        <is>
          <t>yes</t>
        </is>
      </c>
      <c r="AL162" s="2" t="inlineStr">
        <is>
          <t>yes</t>
        </is>
      </c>
      <c r="AM162" s="2" t="n"/>
      <c r="AN162" s="2" t="n"/>
      <c r="AO162" s="2" t="n"/>
      <c r="AP162" s="2" t="inlineStr">
        <is>
          <t>v3_2026-03-19</t>
        </is>
      </c>
    </row>
    <row r="163" ht="94.5" customHeight="1" s="10">
      <c r="A163" s="2" t="inlineStr">
        <is>
          <t>Q33_B</t>
        </is>
      </c>
      <c r="B163" s="2" t="n">
        <v>33</v>
      </c>
      <c r="C163" s="2" t="n">
        <v>33</v>
      </c>
      <c r="D163" s="2" t="inlineStr">
        <is>
          <t>Core</t>
        </is>
      </c>
      <c r="E163" s="2" t="n">
        <v>1.15</v>
      </c>
      <c r="F163" s="2" t="inlineStr">
        <is>
          <t>CommitmentPace</t>
        </is>
      </c>
      <c r="G163" s="2" t="inlineStr">
        <is>
          <t>IntentAlignment</t>
        </is>
      </c>
      <c r="H163" s="2" t="n"/>
      <c r="I163" s="2" t="inlineStr">
        <is>
          <t>B</t>
        </is>
      </c>
      <c r="J163" s="2" t="inlineStr">
        <is>
          <t>B</t>
        </is>
      </c>
      <c r="K163" s="2" t="inlineStr">
        <is>
          <t>I still show up, but colder. I make it easier for them to walk away first.</t>
        </is>
      </c>
      <c r="L163" s="2" t="n">
        <v>7</v>
      </c>
      <c r="M163" s="2" t="n">
        <v>8</v>
      </c>
      <c r="N163" s="2" t="n">
        <v>4</v>
      </c>
      <c r="O163" s="2" t="n">
        <v>4</v>
      </c>
      <c r="P163" s="2" t="n">
        <v>0</v>
      </c>
      <c r="Q163" s="2" t="inlineStr">
        <is>
          <t>Icebox</t>
        </is>
      </c>
      <c r="R163" s="2" t="n">
        <v>1</v>
      </c>
      <c r="S163" s="2" t="n"/>
      <c r="T163" s="2" t="n"/>
      <c r="U163" s="2" t="n">
        <v>0</v>
      </c>
      <c r="V163" s="2" t="inlineStr">
        <is>
          <t>masc:1.8;fem:-1.6</t>
        </is>
      </c>
      <c r="W163" s="2" t="n">
        <v>1.8</v>
      </c>
      <c r="X163" s="2" t="n">
        <v>-1.6</v>
      </c>
      <c r="Y163" s="2" t="inlineStr">
        <is>
          <t>COMM_Avoidant</t>
        </is>
      </c>
      <c r="Z163" s="2" t="inlineStr">
        <is>
          <t>REG_Suppressor</t>
        </is>
      </c>
      <c r="AA163" s="2" t="inlineStr">
        <is>
          <t>LANG_Time</t>
        </is>
      </c>
      <c r="AB163" s="2" t="n"/>
      <c r="AC163" s="2" t="n"/>
      <c r="AD163" s="2" t="n"/>
      <c r="AE163" s="2" t="n">
        <v>0</v>
      </c>
      <c r="AF163" s="2" t="inlineStr">
        <is>
          <t>indirect push-away</t>
        </is>
      </c>
      <c r="AG163" s="2" t="inlineStr">
        <is>
          <t>soft detacher</t>
        </is>
      </c>
      <c r="AH163" s="2" t="n">
        <v>0.8</v>
      </c>
      <c r="AI163" s="2" t="inlineStr">
        <is>
          <t>no</t>
        </is>
      </c>
      <c r="AJ163" s="2" t="inlineStr">
        <is>
          <t>no</t>
        </is>
      </c>
      <c r="AK163" s="2" t="inlineStr">
        <is>
          <t>yes</t>
        </is>
      </c>
      <c r="AL163" s="2" t="inlineStr">
        <is>
          <t>yes</t>
        </is>
      </c>
      <c r="AM163" s="2" t="n"/>
      <c r="AN163" s="2" t="n"/>
      <c r="AO163" s="2" t="n"/>
      <c r="AP163" s="2" t="inlineStr">
        <is>
          <t>v3_2026-03-19</t>
        </is>
      </c>
    </row>
    <row r="164" ht="135" customHeight="1" s="10">
      <c r="A164" s="2" t="inlineStr">
        <is>
          <t>Q33_C</t>
        </is>
      </c>
      <c r="B164" s="2" t="n">
        <v>33</v>
      </c>
      <c r="C164" s="2" t="n">
        <v>33</v>
      </c>
      <c r="D164" s="2" t="inlineStr">
        <is>
          <t>Core</t>
        </is>
      </c>
      <c r="E164" s="2" t="n">
        <v>1.15</v>
      </c>
      <c r="F164" s="2" t="inlineStr">
        <is>
          <t>CommitmentPace</t>
        </is>
      </c>
      <c r="G164" s="2" t="inlineStr">
        <is>
          <t>IntentAlignment</t>
        </is>
      </c>
      <c r="H164" s="2" t="n"/>
      <c r="I164" s="2" t="inlineStr">
        <is>
          <t>C</t>
        </is>
      </c>
      <c r="J164" s="2" t="inlineStr">
        <is>
          <t>C</t>
        </is>
      </c>
      <c r="K164" s="2" t="inlineStr">
        <is>
          <t>I stay a little longer than I mean to. I don't want to hurt them, and part of me feels responsible for how they feel.</t>
        </is>
      </c>
      <c r="L164" s="2" t="n">
        <v>5</v>
      </c>
      <c r="M164" s="2" t="n">
        <v>6</v>
      </c>
      <c r="N164" s="2" t="n">
        <v>4</v>
      </c>
      <c r="O164" s="2" t="n">
        <v>4</v>
      </c>
      <c r="P164" s="2" t="n">
        <v>4</v>
      </c>
      <c r="Q164" s="2" t="inlineStr">
        <is>
          <t>Fixer</t>
        </is>
      </c>
      <c r="R164" s="2" t="n">
        <v>5</v>
      </c>
      <c r="S164" s="2" t="n"/>
      <c r="T164" s="2" t="n"/>
      <c r="U164" s="2" t="n">
        <v>0</v>
      </c>
      <c r="V164" s="2" t="inlineStr">
        <is>
          <t>masc:-0.4;fem:2.0</t>
        </is>
      </c>
      <c r="W164" s="2" t="n">
        <v>-0.4</v>
      </c>
      <c r="X164" s="2" t="n">
        <v>2</v>
      </c>
      <c r="Y164" s="2" t="inlineStr">
        <is>
          <t>COMM_Emotional</t>
        </is>
      </c>
      <c r="Z164" s="2" t="inlineStr">
        <is>
          <t>REG_CoRegulator</t>
        </is>
      </c>
      <c r="AA164" s="2" t="inlineStr">
        <is>
          <t>LANG_Service</t>
        </is>
      </c>
      <c r="AB164" s="2" t="inlineStr">
        <is>
          <t>Vulnerability_Loop</t>
        </is>
      </c>
      <c r="AC164" s="2" t="inlineStr">
        <is>
          <t>Vulnerability_Loop</t>
        </is>
      </c>
      <c r="AD164" s="2" t="n"/>
      <c r="AE164" s="2" t="n">
        <v>5</v>
      </c>
      <c r="AF164" s="2" t="inlineStr">
        <is>
          <t>guilt-fueled delay</t>
        </is>
      </c>
      <c r="AG164" s="2" t="inlineStr">
        <is>
          <t>hesitant leaver</t>
        </is>
      </c>
      <c r="AH164" s="2" t="n">
        <v>0.2</v>
      </c>
      <c r="AI164" s="2" t="inlineStr">
        <is>
          <t>yes</t>
        </is>
      </c>
      <c r="AJ164" s="2" t="inlineStr">
        <is>
          <t>no</t>
        </is>
      </c>
      <c r="AK164" s="2" t="inlineStr">
        <is>
          <t>yes</t>
        </is>
      </c>
      <c r="AL164" s="2" t="inlineStr">
        <is>
          <t>yes</t>
        </is>
      </c>
      <c r="AM164" s="2" t="n"/>
      <c r="AN164" s="2" t="n"/>
      <c r="AO164" s="2" t="n"/>
      <c r="AP164" s="2" t="inlineStr">
        <is>
          <t>v3_2026-03-19</t>
        </is>
      </c>
    </row>
    <row r="165" ht="148.5" customHeight="1" s="10">
      <c r="A165" s="2" t="inlineStr">
        <is>
          <t>Q33_D</t>
        </is>
      </c>
      <c r="B165" s="2" t="n">
        <v>33</v>
      </c>
      <c r="C165" s="2" t="n">
        <v>33</v>
      </c>
      <c r="D165" s="2" t="inlineStr">
        <is>
          <t>Core</t>
        </is>
      </c>
      <c r="E165" s="2" t="n">
        <v>1.15</v>
      </c>
      <c r="F165" s="2" t="inlineStr">
        <is>
          <t>CommitmentPace</t>
        </is>
      </c>
      <c r="G165" s="2" t="inlineStr">
        <is>
          <t>IntentAlignment</t>
        </is>
      </c>
      <c r="H165" s="2" t="n"/>
      <c r="I165" s="2" t="inlineStr">
        <is>
          <t>D</t>
        </is>
      </c>
      <c r="J165" s="2" t="inlineStr">
        <is>
          <t>D</t>
        </is>
      </c>
      <c r="K165" s="2" t="inlineStr">
        <is>
          <t>I avoid the conversation by blaming timing or saying "I'm just not in the right headspace," even if that's not the full truth.</t>
        </is>
      </c>
      <c r="L165" s="2" t="n">
        <v>5</v>
      </c>
      <c r="M165" s="2" t="n">
        <v>6</v>
      </c>
      <c r="N165" s="2" t="n">
        <v>2</v>
      </c>
      <c r="O165" s="2" t="n">
        <v>2</v>
      </c>
      <c r="P165" s="2" t="n">
        <v>0</v>
      </c>
      <c r="Q165" s="2" t="inlineStr">
        <is>
          <t>Performer</t>
        </is>
      </c>
      <c r="R165" s="2" t="n">
        <v>7</v>
      </c>
      <c r="S165" s="2" t="n"/>
      <c r="T165" s="2" t="n"/>
      <c r="U165" s="2" t="n">
        <v>0</v>
      </c>
      <c r="V165" s="2" t="inlineStr">
        <is>
          <t>masc:0.3;fem:0.5</t>
        </is>
      </c>
      <c r="W165" s="2" t="n">
        <v>0.3</v>
      </c>
      <c r="X165" s="2" t="n">
        <v>0.5</v>
      </c>
      <c r="Y165" s="2" t="inlineStr">
        <is>
          <t>COMM_Indirect</t>
        </is>
      </c>
      <c r="Z165" s="2" t="inlineStr">
        <is>
          <t>REG_Distractor</t>
        </is>
      </c>
      <c r="AA165" s="2" t="inlineStr">
        <is>
          <t>LANG_Gifts</t>
        </is>
      </c>
      <c r="AB165" s="2" t="inlineStr">
        <is>
          <t>Vulnerability_Loop</t>
        </is>
      </c>
      <c r="AC165" s="2" t="inlineStr">
        <is>
          <t>Vulnerability_Loop</t>
        </is>
      </c>
      <c r="AD165" s="2" t="n"/>
      <c r="AE165" s="2" t="n">
        <v>5</v>
      </c>
      <c r="AF165" s="2" t="inlineStr">
        <is>
          <t>exit with surface excuse</t>
        </is>
      </c>
      <c r="AG165" s="2" t="inlineStr">
        <is>
          <t>impression manager</t>
        </is>
      </c>
      <c r="AH165" s="2" t="n">
        <v>0.6</v>
      </c>
      <c r="AI165" s="2" t="inlineStr">
        <is>
          <t>yes</t>
        </is>
      </c>
      <c r="AJ165" s="2" t="inlineStr">
        <is>
          <t>no</t>
        </is>
      </c>
      <c r="AK165" s="2" t="inlineStr">
        <is>
          <t>yes</t>
        </is>
      </c>
      <c r="AL165" s="2" t="inlineStr">
        <is>
          <t>yes</t>
        </is>
      </c>
      <c r="AM165" s="2" t="n"/>
      <c r="AN165" s="2" t="n"/>
      <c r="AO165" s="2" t="n"/>
      <c r="AP165" s="2" t="inlineStr">
        <is>
          <t>v3_2026-03-19</t>
        </is>
      </c>
    </row>
    <row r="166" ht="108" customHeight="1" s="10">
      <c r="A166" s="2" t="inlineStr">
        <is>
          <t>Q33_E</t>
        </is>
      </c>
      <c r="B166" s="2" t="n">
        <v>33</v>
      </c>
      <c r="C166" s="2" t="n">
        <v>33</v>
      </c>
      <c r="D166" s="2" t="inlineStr">
        <is>
          <t>Core</t>
        </is>
      </c>
      <c r="E166" s="2" t="n">
        <v>1.15</v>
      </c>
      <c r="F166" s="2" t="inlineStr">
        <is>
          <t>CommitmentPace</t>
        </is>
      </c>
      <c r="G166" s="2" t="inlineStr">
        <is>
          <t>IntentAlignment</t>
        </is>
      </c>
      <c r="H166" s="2" t="n"/>
      <c r="I166" s="2" t="inlineStr">
        <is>
          <t>E</t>
        </is>
      </c>
      <c r="J166" s="2" t="inlineStr">
        <is>
          <t>E</t>
        </is>
      </c>
      <c r="K166" s="2" t="inlineStr">
        <is>
          <t>I act casual, like we're just vibing, but inside I'm already out. I don't like being the one to say it.</t>
        </is>
      </c>
      <c r="L166" s="2" t="n">
        <v>4</v>
      </c>
      <c r="M166" s="2" t="n">
        <v>5</v>
      </c>
      <c r="N166" s="2" t="n">
        <v>0</v>
      </c>
      <c r="O166" s="2" t="n">
        <v>2</v>
      </c>
      <c r="P166" s="2" t="n">
        <v>0</v>
      </c>
      <c r="Q166" s="2" t="inlineStr">
        <is>
          <t>Phantom Seeker</t>
        </is>
      </c>
      <c r="R166" s="2" t="n">
        <v>10</v>
      </c>
      <c r="S166" s="2" t="n"/>
      <c r="T166" s="2" t="n"/>
      <c r="U166" s="2" t="n">
        <v>0</v>
      </c>
      <c r="V166" s="2" t="inlineStr">
        <is>
          <t>masc:-0.2;fem:1.5</t>
        </is>
      </c>
      <c r="W166" s="2" t="n">
        <v>-0.2</v>
      </c>
      <c r="X166" s="2" t="n">
        <v>1.5</v>
      </c>
      <c r="Y166" s="2" t="inlineStr">
        <is>
          <t>COMM_Emotional</t>
        </is>
      </c>
      <c r="Z166" s="2" t="inlineStr">
        <is>
          <t>REG_SelfSoother</t>
        </is>
      </c>
      <c r="AA166" s="2" t="inlineStr">
        <is>
          <t>LANG_Touch</t>
        </is>
      </c>
      <c r="AB166" s="2" t="inlineStr">
        <is>
          <t>Vulnerability_Loop</t>
        </is>
      </c>
      <c r="AC166" s="2" t="inlineStr">
        <is>
          <t>Vulnerability_Loop</t>
        </is>
      </c>
      <c r="AD166" s="2" t="n"/>
      <c r="AE166" s="2" t="n">
        <v>5</v>
      </c>
      <c r="AF166" s="2" t="inlineStr">
        <is>
          <t>discomfort avoidance</t>
        </is>
      </c>
      <c r="AG166" s="2" t="inlineStr">
        <is>
          <t>quiet escape</t>
        </is>
      </c>
      <c r="AH166" s="2" t="n">
        <v>0.6</v>
      </c>
      <c r="AI166" s="2" t="inlineStr">
        <is>
          <t>yes</t>
        </is>
      </c>
      <c r="AJ166" s="2" t="inlineStr">
        <is>
          <t>no</t>
        </is>
      </c>
      <c r="AK166" s="2" t="inlineStr">
        <is>
          <t>yes</t>
        </is>
      </c>
      <c r="AL166" s="2" t="inlineStr">
        <is>
          <t>yes</t>
        </is>
      </c>
      <c r="AM166" s="2" t="n"/>
      <c r="AN166" s="2" t="n"/>
      <c r="AO166" s="2" t="n"/>
      <c r="AP166" s="2" t="inlineStr">
        <is>
          <t>v3_2026-03-19</t>
        </is>
      </c>
    </row>
    <row r="167" ht="135" customHeight="1" s="10">
      <c r="A167" s="2" t="inlineStr">
        <is>
          <t>Q34_A</t>
        </is>
      </c>
      <c r="B167" s="2" t="n">
        <v>34</v>
      </c>
      <c r="C167" s="2" t="n">
        <v>34</v>
      </c>
      <c r="D167" s="2" t="inlineStr">
        <is>
          <t>Core</t>
        </is>
      </c>
      <c r="E167" s="2" t="n">
        <v>1.15</v>
      </c>
      <c r="F167" s="2" t="inlineStr">
        <is>
          <t>CommitmentPace</t>
        </is>
      </c>
      <c r="G167" s="2" t="inlineStr">
        <is>
          <t>IntentAlignment</t>
        </is>
      </c>
      <c r="H167" s="2" t="inlineStr">
        <is>
          <t>You start noticing they only really show up when it benefits them-emotionally or otherwise. What's your instinct?</t>
        </is>
      </c>
      <c r="I167" s="2" t="inlineStr">
        <is>
          <t>A</t>
        </is>
      </c>
      <c r="J167" s="2" t="inlineStr">
        <is>
          <t>A</t>
        </is>
      </c>
      <c r="K167" s="2" t="inlineStr">
        <is>
          <t>I don't say a word. I just clock it and start shifting out. I don't play loyalty with users.</t>
        </is>
      </c>
      <c r="L167" s="2" t="n">
        <v>9</v>
      </c>
      <c r="M167" s="2" t="n">
        <v>9</v>
      </c>
      <c r="N167" s="2" t="n">
        <v>6</v>
      </c>
      <c r="O167" s="2" t="n">
        <v>6</v>
      </c>
      <c r="P167" s="2" t="n">
        <v>2</v>
      </c>
      <c r="Q167" s="2" t="inlineStr">
        <is>
          <t>Icebox</t>
        </is>
      </c>
      <c r="R167" s="2" t="n">
        <v>1</v>
      </c>
      <c r="S167" s="2" t="n"/>
      <c r="T167" s="2" t="n"/>
      <c r="U167" s="2" t="n">
        <v>0</v>
      </c>
      <c r="V167" s="2" t="inlineStr">
        <is>
          <t>masc:1.8;fem:-1.6</t>
        </is>
      </c>
      <c r="W167" s="2" t="n">
        <v>1.8</v>
      </c>
      <c r="X167" s="2" t="n">
        <v>-1.6</v>
      </c>
      <c r="Y167" s="2" t="inlineStr">
        <is>
          <t>COMM_Avoidant</t>
        </is>
      </c>
      <c r="Z167" s="2" t="inlineStr">
        <is>
          <t>REG_Suppressor</t>
        </is>
      </c>
      <c r="AA167" s="2" t="inlineStr">
        <is>
          <t>LANG_Time</t>
        </is>
      </c>
      <c r="AB167" s="2" t="n"/>
      <c r="AC167" s="2" t="n"/>
      <c r="AD167" s="2" t="n"/>
      <c r="AE167" s="2" t="n">
        <v>0</v>
      </c>
      <c r="AF167" s="2" t="inlineStr">
        <is>
          <t>silent pattern cut-off</t>
        </is>
      </c>
      <c r="AG167" s="2" t="inlineStr">
        <is>
          <t>boundary enforcer</t>
        </is>
      </c>
      <c r="AH167" s="2" t="n">
        <v>0.2</v>
      </c>
      <c r="AI167" s="2" t="inlineStr">
        <is>
          <t>no</t>
        </is>
      </c>
      <c r="AJ167" s="2" t="inlineStr">
        <is>
          <t>no</t>
        </is>
      </c>
      <c r="AK167" s="2" t="inlineStr">
        <is>
          <t>yes</t>
        </is>
      </c>
      <c r="AL167" s="2" t="inlineStr">
        <is>
          <t>yes</t>
        </is>
      </c>
      <c r="AM167" s="2" t="n"/>
      <c r="AN167" s="2" t="n"/>
      <c r="AO167" s="2" t="n"/>
      <c r="AP167" s="2" t="inlineStr">
        <is>
          <t>v3_2026-03-19</t>
        </is>
      </c>
    </row>
    <row r="168" ht="121.5" customHeight="1" s="10">
      <c r="A168" s="2" t="inlineStr">
        <is>
          <t>Q34_B</t>
        </is>
      </c>
      <c r="B168" s="2" t="n">
        <v>34</v>
      </c>
      <c r="C168" s="2" t="n">
        <v>34</v>
      </c>
      <c r="D168" s="2" t="inlineStr">
        <is>
          <t>Core</t>
        </is>
      </c>
      <c r="E168" s="2" t="n">
        <v>1.15</v>
      </c>
      <c r="F168" s="2" t="inlineStr">
        <is>
          <t>CommitmentPace</t>
        </is>
      </c>
      <c r="G168" s="2" t="inlineStr">
        <is>
          <t>IntentAlignment</t>
        </is>
      </c>
      <c r="H168" s="2" t="n"/>
      <c r="I168" s="2" t="inlineStr">
        <is>
          <t>B</t>
        </is>
      </c>
      <c r="J168" s="2" t="inlineStr">
        <is>
          <t>B</t>
        </is>
      </c>
      <c r="K168" s="2" t="inlineStr">
        <is>
          <t>I try to be okay with it, but it messes with my head. I keep wondering if I'm reading too much into it.</t>
        </is>
      </c>
      <c r="L168" s="2" t="n">
        <v>5</v>
      </c>
      <c r="M168" s="2" t="n">
        <v>6</v>
      </c>
      <c r="N168" s="2" t="n">
        <v>2</v>
      </c>
      <c r="O168" s="2" t="n">
        <v>4</v>
      </c>
      <c r="P168" s="2" t="n">
        <v>2</v>
      </c>
      <c r="Q168" s="2" t="inlineStr">
        <is>
          <t>Phantom Seeker</t>
        </is>
      </c>
      <c r="R168" s="2" t="n">
        <v>10</v>
      </c>
      <c r="S168" s="2" t="n"/>
      <c r="T168" s="2" t="n"/>
      <c r="U168" s="2" t="n">
        <v>0</v>
      </c>
      <c r="V168" s="2" t="inlineStr">
        <is>
          <t>masc:-0.2;fem:1.5</t>
        </is>
      </c>
      <c r="W168" s="2" t="n">
        <v>-0.2</v>
      </c>
      <c r="X168" s="2" t="n">
        <v>1.5</v>
      </c>
      <c r="Y168" s="2" t="inlineStr">
        <is>
          <t>COMM_Emotional</t>
        </is>
      </c>
      <c r="Z168" s="2" t="inlineStr">
        <is>
          <t>REG_SelfSoother</t>
        </is>
      </c>
      <c r="AA168" s="2" t="inlineStr">
        <is>
          <t>LANG_Touch</t>
        </is>
      </c>
      <c r="AB168" s="2" t="inlineStr">
        <is>
          <t>Vulnerability_Loop</t>
        </is>
      </c>
      <c r="AC168" s="2" t="inlineStr">
        <is>
          <t>Vulnerability_Loop</t>
        </is>
      </c>
      <c r="AD168" s="2" t="n"/>
      <c r="AE168" s="2" t="n">
        <v>5</v>
      </c>
      <c r="AF168" s="2" t="inlineStr">
        <is>
          <t>self-doubt spiral</t>
        </is>
      </c>
      <c r="AG168" s="2" t="inlineStr">
        <is>
          <t>uncertain assessor</t>
        </is>
      </c>
      <c r="AH168" s="2" t="n">
        <v>0</v>
      </c>
      <c r="AI168" s="2" t="inlineStr">
        <is>
          <t>yes</t>
        </is>
      </c>
      <c r="AJ168" s="2" t="inlineStr">
        <is>
          <t>no</t>
        </is>
      </c>
      <c r="AK168" s="2" t="inlineStr">
        <is>
          <t>yes</t>
        </is>
      </c>
      <c r="AL168" s="2" t="inlineStr">
        <is>
          <t>yes</t>
        </is>
      </c>
      <c r="AM168" s="2" t="n"/>
      <c r="AN168" s="2" t="n"/>
      <c r="AO168" s="2" t="n"/>
      <c r="AP168" s="2" t="inlineStr">
        <is>
          <t>v3_2026-03-19</t>
        </is>
      </c>
    </row>
    <row r="169" ht="94.5" customHeight="1" s="10">
      <c r="A169" s="2" t="inlineStr">
        <is>
          <t>Q34_C</t>
        </is>
      </c>
      <c r="B169" s="2" t="n">
        <v>34</v>
      </c>
      <c r="C169" s="2" t="n">
        <v>34</v>
      </c>
      <c r="D169" s="2" t="inlineStr">
        <is>
          <t>Core</t>
        </is>
      </c>
      <c r="E169" s="2" t="n">
        <v>1.15</v>
      </c>
      <c r="F169" s="2" t="inlineStr">
        <is>
          <t>CommitmentPace</t>
        </is>
      </c>
      <c r="G169" s="2" t="inlineStr">
        <is>
          <t>IntentAlignment</t>
        </is>
      </c>
      <c r="H169" s="2" t="n"/>
      <c r="I169" s="2" t="inlineStr">
        <is>
          <t>C</t>
        </is>
      </c>
      <c r="J169" s="2" t="inlineStr">
        <is>
          <t>C</t>
        </is>
      </c>
      <c r="K169" s="2" t="inlineStr">
        <is>
          <t>I adjust. If they only come around for certain things, I act like that's all I want too.</t>
        </is>
      </c>
      <c r="L169" s="2" t="n">
        <v>5</v>
      </c>
      <c r="M169" s="2" t="n">
        <v>6</v>
      </c>
      <c r="N169" s="2" t="n">
        <v>2</v>
      </c>
      <c r="O169" s="2" t="n">
        <v>2</v>
      </c>
      <c r="P169" s="2" t="n">
        <v>0</v>
      </c>
      <c r="Q169" s="2" t="inlineStr">
        <is>
          <t>Performer</t>
        </is>
      </c>
      <c r="R169" s="2" t="n">
        <v>7</v>
      </c>
      <c r="S169" s="2" t="n"/>
      <c r="T169" s="2" t="n"/>
      <c r="U169" s="2" t="n">
        <v>0</v>
      </c>
      <c r="V169" s="2" t="inlineStr">
        <is>
          <t>masc:0.3;fem:0.5</t>
        </is>
      </c>
      <c r="W169" s="2" t="n">
        <v>0.3</v>
      </c>
      <c r="X169" s="2" t="n">
        <v>0.5</v>
      </c>
      <c r="Y169" s="2" t="inlineStr">
        <is>
          <t>COMM_Indirect</t>
        </is>
      </c>
      <c r="Z169" s="2" t="inlineStr">
        <is>
          <t>REG_Distractor</t>
        </is>
      </c>
      <c r="AA169" s="2" t="inlineStr">
        <is>
          <t>LANG_Gifts</t>
        </is>
      </c>
      <c r="AB169" s="2" t="inlineStr">
        <is>
          <t>Vulnerability_Loop</t>
        </is>
      </c>
      <c r="AC169" s="2" t="inlineStr">
        <is>
          <t>Vulnerability_Loop</t>
        </is>
      </c>
      <c r="AD169" s="2" t="n"/>
      <c r="AE169" s="2" t="n">
        <v>5</v>
      </c>
      <c r="AF169" s="2" t="inlineStr">
        <is>
          <t>emotional roleplay reflex</t>
        </is>
      </c>
      <c r="AG169" s="2" t="inlineStr">
        <is>
          <t>adaptive masker</t>
        </is>
      </c>
      <c r="AH169" s="2" t="n">
        <v>0.6</v>
      </c>
      <c r="AI169" s="2" t="inlineStr">
        <is>
          <t>yes</t>
        </is>
      </c>
      <c r="AJ169" s="2" t="inlineStr">
        <is>
          <t>no</t>
        </is>
      </c>
      <c r="AK169" s="2" t="inlineStr">
        <is>
          <t>yes</t>
        </is>
      </c>
      <c r="AL169" s="2" t="inlineStr">
        <is>
          <t>yes</t>
        </is>
      </c>
      <c r="AM169" s="2" t="n"/>
      <c r="AN169" s="2" t="n"/>
      <c r="AO169" s="2" t="n"/>
      <c r="AP169" s="2" t="inlineStr">
        <is>
          <t>v3_2026-03-19</t>
        </is>
      </c>
    </row>
    <row r="170" ht="148.5" customHeight="1" s="10">
      <c r="A170" s="2" t="inlineStr">
        <is>
          <t>Q34_D</t>
        </is>
      </c>
      <c r="B170" s="2" t="n">
        <v>34</v>
      </c>
      <c r="C170" s="2" t="n">
        <v>34</v>
      </c>
      <c r="D170" s="2" t="inlineStr">
        <is>
          <t>Core</t>
        </is>
      </c>
      <c r="E170" s="2" t="n">
        <v>1.15</v>
      </c>
      <c r="F170" s="2" t="inlineStr">
        <is>
          <t>CommitmentPace</t>
        </is>
      </c>
      <c r="G170" s="2" t="inlineStr">
        <is>
          <t>IntentAlignment</t>
        </is>
      </c>
      <c r="H170" s="2" t="n"/>
      <c r="I170" s="2" t="inlineStr">
        <is>
          <t>D</t>
        </is>
      </c>
      <c r="J170" s="2" t="inlineStr">
        <is>
          <t>D</t>
        </is>
      </c>
      <c r="K170" s="2" t="inlineStr">
        <is>
          <t>I make excuses for them. Maybe they're going through something. Maybe they don't even realize they're doing it.</t>
        </is>
      </c>
      <c r="L170" s="2" t="n">
        <v>4</v>
      </c>
      <c r="M170" s="2" t="n">
        <v>5</v>
      </c>
      <c r="N170" s="2" t="n">
        <v>2</v>
      </c>
      <c r="O170" s="2" t="n">
        <v>2</v>
      </c>
      <c r="P170" s="2" t="n">
        <v>2</v>
      </c>
      <c r="Q170" s="2" t="inlineStr">
        <is>
          <t>Fixer</t>
        </is>
      </c>
      <c r="R170" s="2" t="n">
        <v>5</v>
      </c>
      <c r="S170" s="2" t="n"/>
      <c r="T170" s="2" t="n"/>
      <c r="U170" s="2" t="n">
        <v>0</v>
      </c>
      <c r="V170" s="2" t="inlineStr">
        <is>
          <t>masc:-0.4;fem:2.0</t>
        </is>
      </c>
      <c r="W170" s="2" t="n">
        <v>-0.4</v>
      </c>
      <c r="X170" s="2" t="n">
        <v>2</v>
      </c>
      <c r="Y170" s="2" t="inlineStr">
        <is>
          <t>COMM_Emotional</t>
        </is>
      </c>
      <c r="Z170" s="2" t="inlineStr">
        <is>
          <t>REG_CoRegulator</t>
        </is>
      </c>
      <c r="AA170" s="2" t="inlineStr">
        <is>
          <t>LANG_Service</t>
        </is>
      </c>
      <c r="AB170" s="2" t="inlineStr">
        <is>
          <t>Commitment_Ambiguity</t>
        </is>
      </c>
      <c r="AC170" s="2" t="inlineStr">
        <is>
          <t>Commitment_Ambiguity</t>
        </is>
      </c>
      <c r="AD170" s="2" t="n"/>
      <c r="AE170" s="2" t="n">
        <v>5</v>
      </c>
      <c r="AF170" s="2" t="inlineStr">
        <is>
          <t>justification loop</t>
        </is>
      </c>
      <c r="AG170" s="2" t="inlineStr">
        <is>
          <t>excuse maker</t>
        </is>
      </c>
      <c r="AH170" s="2" t="n">
        <v>0</v>
      </c>
      <c r="AI170" s="2" t="inlineStr">
        <is>
          <t>yes</t>
        </is>
      </c>
      <c r="AJ170" s="2" t="inlineStr">
        <is>
          <t>no</t>
        </is>
      </c>
      <c r="AK170" s="2" t="inlineStr">
        <is>
          <t>yes</t>
        </is>
      </c>
      <c r="AL170" s="2" t="inlineStr">
        <is>
          <t>yes</t>
        </is>
      </c>
      <c r="AM170" s="2" t="n"/>
      <c r="AN170" s="2" t="n"/>
      <c r="AO170" s="2" t="n"/>
      <c r="AP170" s="2" t="inlineStr">
        <is>
          <t>v3_2026-03-19</t>
        </is>
      </c>
    </row>
    <row r="171" ht="94.5" customHeight="1" s="10">
      <c r="A171" s="2" t="inlineStr">
        <is>
          <t>Q34_E</t>
        </is>
      </c>
      <c r="B171" s="2" t="n">
        <v>34</v>
      </c>
      <c r="C171" s="2" t="n">
        <v>34</v>
      </c>
      <c r="D171" s="2" t="inlineStr">
        <is>
          <t>Core</t>
        </is>
      </c>
      <c r="E171" s="2" t="n">
        <v>1.15</v>
      </c>
      <c r="F171" s="2" t="inlineStr">
        <is>
          <t>CommitmentPace</t>
        </is>
      </c>
      <c r="G171" s="2" t="inlineStr">
        <is>
          <t>IntentAlignment</t>
        </is>
      </c>
      <c r="H171" s="2" t="n"/>
      <c r="I171" s="2" t="inlineStr">
        <is>
          <t>E</t>
        </is>
      </c>
      <c r="J171" s="2" t="inlineStr">
        <is>
          <t>E</t>
        </is>
      </c>
      <c r="K171" s="2" t="inlineStr">
        <is>
          <t>I start testing it, pull back on what I give and see how long it takes for them to disappear.</t>
        </is>
      </c>
      <c r="L171" s="2" t="n">
        <v>8</v>
      </c>
      <c r="M171" s="2" t="n">
        <v>9</v>
      </c>
      <c r="N171" s="2" t="n">
        <v>8</v>
      </c>
      <c r="O171" s="2" t="n">
        <v>8</v>
      </c>
      <c r="P171" s="2" t="n">
        <v>6</v>
      </c>
      <c r="Q171" s="2" t="inlineStr">
        <is>
          <t>Analyzer</t>
        </is>
      </c>
      <c r="R171" s="2" t="n">
        <v>2</v>
      </c>
      <c r="S171" s="2" t="n"/>
      <c r="T171" s="2" t="n"/>
      <c r="U171" s="2" t="n">
        <v>0</v>
      </c>
      <c r="V171" s="2" t="inlineStr">
        <is>
          <t>masc:1.4;fem:0.1</t>
        </is>
      </c>
      <c r="W171" s="2" t="n">
        <v>1.4</v>
      </c>
      <c r="X171" s="2" t="n">
        <v>0.1</v>
      </c>
      <c r="Y171" s="2" t="inlineStr">
        <is>
          <t>COMM_Logical</t>
        </is>
      </c>
      <c r="Z171" s="2" t="inlineStr">
        <is>
          <t>REG_SelfSoother</t>
        </is>
      </c>
      <c r="AA171" s="2" t="inlineStr">
        <is>
          <t>LANG_Service</t>
        </is>
      </c>
      <c r="AB171" s="2" t="n"/>
      <c r="AC171" s="2" t="n"/>
      <c r="AD171" s="2" t="n"/>
      <c r="AE171" s="2" t="n">
        <v>0</v>
      </c>
      <c r="AF171" s="2" t="inlineStr">
        <is>
          <t>value-to-effort gauge</t>
        </is>
      </c>
      <c r="AG171" s="2" t="inlineStr">
        <is>
          <t>behavioral tester</t>
        </is>
      </c>
      <c r="AH171" s="2" t="n">
        <v>1.8</v>
      </c>
      <c r="AI171" s="2" t="inlineStr">
        <is>
          <t>no</t>
        </is>
      </c>
      <c r="AJ171" s="2" t="inlineStr">
        <is>
          <t>no</t>
        </is>
      </c>
      <c r="AK171" s="2" t="inlineStr">
        <is>
          <t>yes</t>
        </is>
      </c>
      <c r="AL171" s="2" t="inlineStr">
        <is>
          <t>yes</t>
        </is>
      </c>
      <c r="AM171" s="2" t="n"/>
      <c r="AN171" s="2" t="n"/>
      <c r="AO171" s="2" t="n"/>
      <c r="AP171" s="2" t="inlineStr">
        <is>
          <t>v3_2026-03-19</t>
        </is>
      </c>
    </row>
    <row r="172" ht="135" customHeight="1" s="10">
      <c r="A172" s="2" t="inlineStr">
        <is>
          <t>Q35_A</t>
        </is>
      </c>
      <c r="B172" s="2" t="n">
        <v>35</v>
      </c>
      <c r="C172" s="2" t="n">
        <v>35</v>
      </c>
      <c r="D172" s="2" t="inlineStr">
        <is>
          <t>Core</t>
        </is>
      </c>
      <c r="E172" s="2" t="n">
        <v>1.15</v>
      </c>
      <c r="F172" s="2" t="inlineStr">
        <is>
          <t>CommitmentPace</t>
        </is>
      </c>
      <c r="G172" s="2" t="inlineStr">
        <is>
          <t>IntentAlignment</t>
        </is>
      </c>
      <c r="H172" s="2" t="inlineStr">
        <is>
          <t>Someone calls you out-not mean, but honest. Says you hurt them or dropped the ball emotionally. What's your first reaction?</t>
        </is>
      </c>
      <c r="I172" s="2" t="inlineStr">
        <is>
          <t>A</t>
        </is>
      </c>
      <c r="J172" s="2" t="inlineStr">
        <is>
          <t>A</t>
        </is>
      </c>
      <c r="K172" s="2" t="inlineStr">
        <is>
          <t>I get quiet. My instinct is to pull away until I can think through what they said.</t>
        </is>
      </c>
      <c r="L172" s="2" t="n">
        <v>8</v>
      </c>
      <c r="M172" s="2" t="n">
        <v>8</v>
      </c>
      <c r="N172" s="2" t="n">
        <v>4</v>
      </c>
      <c r="O172" s="2" t="n">
        <v>4</v>
      </c>
      <c r="P172" s="2" t="n">
        <v>2</v>
      </c>
      <c r="Q172" s="2" t="inlineStr">
        <is>
          <t>Icebox</t>
        </is>
      </c>
      <c r="R172" s="2" t="n">
        <v>1</v>
      </c>
      <c r="S172" s="2" t="n"/>
      <c r="T172" s="2" t="n"/>
      <c r="U172" s="2" t="n">
        <v>0</v>
      </c>
      <c r="V172" s="2" t="inlineStr">
        <is>
          <t>masc:1.8;fem:-1.6</t>
        </is>
      </c>
      <c r="W172" s="2" t="n">
        <v>1.8</v>
      </c>
      <c r="X172" s="2" t="n">
        <v>-1.6</v>
      </c>
      <c r="Y172" s="2" t="inlineStr">
        <is>
          <t>COMM_Avoidant</t>
        </is>
      </c>
      <c r="Z172" s="2" t="inlineStr">
        <is>
          <t>REG_Suppressor</t>
        </is>
      </c>
      <c r="AA172" s="2" t="inlineStr">
        <is>
          <t>LANG_Time</t>
        </is>
      </c>
      <c r="AB172" s="2" t="n"/>
      <c r="AC172" s="2" t="n"/>
      <c r="AD172" s="2" t="n"/>
      <c r="AE172" s="2" t="n">
        <v>0</v>
      </c>
      <c r="AF172" s="2" t="inlineStr">
        <is>
          <t>internal processing lockdown</t>
        </is>
      </c>
      <c r="AG172" s="2" t="inlineStr">
        <is>
          <t>space taker</t>
        </is>
      </c>
      <c r="AH172" s="2" t="n">
        <v>0</v>
      </c>
      <c r="AI172" s="2" t="inlineStr">
        <is>
          <t>no</t>
        </is>
      </c>
      <c r="AJ172" s="2" t="inlineStr">
        <is>
          <t>no</t>
        </is>
      </c>
      <c r="AK172" s="2" t="inlineStr">
        <is>
          <t>yes</t>
        </is>
      </c>
      <c r="AL172" s="2" t="inlineStr">
        <is>
          <t>yes</t>
        </is>
      </c>
      <c r="AM172" s="2" t="n"/>
      <c r="AN172" s="2" t="n"/>
      <c r="AO172" s="2" t="n"/>
      <c r="AP172" s="2" t="inlineStr">
        <is>
          <t>v3_2026-03-19</t>
        </is>
      </c>
    </row>
    <row r="173" ht="108" customHeight="1" s="10">
      <c r="A173" s="2" t="inlineStr">
        <is>
          <t>Q35_B</t>
        </is>
      </c>
      <c r="B173" s="2" t="n">
        <v>35</v>
      </c>
      <c r="C173" s="2" t="n">
        <v>35</v>
      </c>
      <c r="D173" s="2" t="inlineStr">
        <is>
          <t>Core</t>
        </is>
      </c>
      <c r="E173" s="2" t="n">
        <v>1.15</v>
      </c>
      <c r="F173" s="2" t="inlineStr">
        <is>
          <t>CommitmentPace</t>
        </is>
      </c>
      <c r="G173" s="2" t="inlineStr">
        <is>
          <t>IntentAlignment</t>
        </is>
      </c>
      <c r="H173" s="2" t="n"/>
      <c r="I173" s="2" t="inlineStr">
        <is>
          <t>B</t>
        </is>
      </c>
      <c r="J173" s="2" t="inlineStr">
        <is>
          <t>B</t>
        </is>
      </c>
      <c r="K173" s="2" t="inlineStr">
        <is>
          <t>I feel awful. I start apologizing right away, even if I don't fully understand it yet.</t>
        </is>
      </c>
      <c r="L173" s="2" t="n">
        <v>6</v>
      </c>
      <c r="M173" s="2" t="n">
        <v>7</v>
      </c>
      <c r="N173" s="2" t="n">
        <v>4</v>
      </c>
      <c r="O173" s="2" t="n">
        <v>4</v>
      </c>
      <c r="P173" s="2" t="n">
        <v>2</v>
      </c>
      <c r="Q173" s="2" t="inlineStr">
        <is>
          <t>Phantom Seeker</t>
        </is>
      </c>
      <c r="R173" s="2" t="n">
        <v>10</v>
      </c>
      <c r="S173" s="2" t="n"/>
      <c r="T173" s="2" t="n"/>
      <c r="U173" s="2" t="n">
        <v>0</v>
      </c>
      <c r="V173" s="2" t="inlineStr">
        <is>
          <t>masc:-0.2;fem:1.5</t>
        </is>
      </c>
      <c r="W173" s="2" t="n">
        <v>-0.2</v>
      </c>
      <c r="X173" s="2" t="n">
        <v>1.5</v>
      </c>
      <c r="Y173" s="2" t="inlineStr">
        <is>
          <t>COMM_Emotional</t>
        </is>
      </c>
      <c r="Z173" s="2" t="inlineStr">
        <is>
          <t>REG_SelfSoother</t>
        </is>
      </c>
      <c r="AA173" s="2" t="inlineStr">
        <is>
          <t>LANG_Touch</t>
        </is>
      </c>
      <c r="AB173" s="2" t="inlineStr">
        <is>
          <t>Vulnerability_Loop</t>
        </is>
      </c>
      <c r="AC173" s="2" t="inlineStr">
        <is>
          <t>Vulnerability_Loop</t>
        </is>
      </c>
      <c r="AD173" s="2" t="n"/>
      <c r="AE173" s="2" t="n">
        <v>5</v>
      </c>
      <c r="AF173" s="2" t="inlineStr">
        <is>
          <t>guilt-fueled repair attempt</t>
        </is>
      </c>
      <c r="AG173" s="2" t="inlineStr">
        <is>
          <t>quick apologizer</t>
        </is>
      </c>
      <c r="AH173" s="2" t="n">
        <v>0.2</v>
      </c>
      <c r="AI173" s="2" t="inlineStr">
        <is>
          <t>yes</t>
        </is>
      </c>
      <c r="AJ173" s="2" t="inlineStr">
        <is>
          <t>no</t>
        </is>
      </c>
      <c r="AK173" s="2" t="inlineStr">
        <is>
          <t>yes</t>
        </is>
      </c>
      <c r="AL173" s="2" t="inlineStr">
        <is>
          <t>yes</t>
        </is>
      </c>
      <c r="AM173" s="2" t="n"/>
      <c r="AN173" s="2" t="n"/>
      <c r="AO173" s="2" t="n"/>
      <c r="AP173" s="2" t="inlineStr">
        <is>
          <t>v3_2026-03-19</t>
        </is>
      </c>
    </row>
    <row r="174" ht="108" customHeight="1" s="10">
      <c r="A174" s="2" t="inlineStr">
        <is>
          <t>Q35_C</t>
        </is>
      </c>
      <c r="B174" s="2" t="n">
        <v>35</v>
      </c>
      <c r="C174" s="2" t="n">
        <v>35</v>
      </c>
      <c r="D174" s="2" t="inlineStr">
        <is>
          <t>Core</t>
        </is>
      </c>
      <c r="E174" s="2" t="n">
        <v>1.15</v>
      </c>
      <c r="F174" s="2" t="inlineStr">
        <is>
          <t>CommitmentPace</t>
        </is>
      </c>
      <c r="G174" s="2" t="inlineStr">
        <is>
          <t>IntentAlignment</t>
        </is>
      </c>
      <c r="H174" s="2" t="n"/>
      <c r="I174" s="2" t="inlineStr">
        <is>
          <t>C</t>
        </is>
      </c>
      <c r="J174" s="2" t="inlineStr">
        <is>
          <t>C</t>
        </is>
      </c>
      <c r="K174" s="2" t="inlineStr">
        <is>
          <t>I get defensive at first. Then I think about it later, sometimes for way too long.</t>
        </is>
      </c>
      <c r="L174" s="2" t="n">
        <v>6</v>
      </c>
      <c r="M174" s="2" t="n">
        <v>7</v>
      </c>
      <c r="N174" s="2" t="n">
        <v>4</v>
      </c>
      <c r="O174" s="2" t="n">
        <v>6</v>
      </c>
      <c r="P174" s="2" t="n">
        <v>4</v>
      </c>
      <c r="Q174" s="2" t="inlineStr">
        <is>
          <t>Analyzer</t>
        </is>
      </c>
      <c r="R174" s="2" t="n">
        <v>2</v>
      </c>
      <c r="S174" s="2" t="n"/>
      <c r="T174" s="2" t="n"/>
      <c r="U174" s="2" t="n">
        <v>0</v>
      </c>
      <c r="V174" s="2" t="inlineStr">
        <is>
          <t>masc:1.4;fem:0.1</t>
        </is>
      </c>
      <c r="W174" s="2" t="n">
        <v>1.4</v>
      </c>
      <c r="X174" s="2" t="n">
        <v>0.1</v>
      </c>
      <c r="Y174" s="2" t="inlineStr">
        <is>
          <t>COMM_Logical</t>
        </is>
      </c>
      <c r="Z174" s="2" t="inlineStr">
        <is>
          <t>REG_SelfSoother</t>
        </is>
      </c>
      <c r="AA174" s="2" t="inlineStr">
        <is>
          <t>LANG_Service</t>
        </is>
      </c>
      <c r="AB174" s="2" t="inlineStr">
        <is>
          <t>Commitment_Ambiguity</t>
        </is>
      </c>
      <c r="AC174" s="2" t="inlineStr">
        <is>
          <t>Commitment_Ambiguity</t>
        </is>
      </c>
      <c r="AD174" s="2" t="n"/>
      <c r="AE174" s="2" t="n">
        <v>5</v>
      </c>
      <c r="AF174" s="2" t="inlineStr">
        <is>
          <t>delayed accountability</t>
        </is>
      </c>
      <c r="AG174" s="2" t="inlineStr">
        <is>
          <t>defensive processor</t>
        </is>
      </c>
      <c r="AH174" s="2" t="n">
        <v>0</v>
      </c>
      <c r="AI174" s="2" t="inlineStr">
        <is>
          <t>yes</t>
        </is>
      </c>
      <c r="AJ174" s="2" t="inlineStr">
        <is>
          <t>no</t>
        </is>
      </c>
      <c r="AK174" s="2" t="inlineStr">
        <is>
          <t>yes</t>
        </is>
      </c>
      <c r="AL174" s="2" t="inlineStr">
        <is>
          <t>yes</t>
        </is>
      </c>
      <c r="AM174" s="2" t="n"/>
      <c r="AN174" s="2" t="n"/>
      <c r="AO174" s="2" t="n"/>
      <c r="AP174" s="2" t="inlineStr">
        <is>
          <t>v3_2026-03-19</t>
        </is>
      </c>
    </row>
    <row r="175" ht="121.5" customHeight="1" s="10">
      <c r="A175" s="2" t="inlineStr">
        <is>
          <t>Q35_D</t>
        </is>
      </c>
      <c r="B175" s="2" t="n">
        <v>35</v>
      </c>
      <c r="C175" s="2" t="n">
        <v>35</v>
      </c>
      <c r="D175" s="2" t="inlineStr">
        <is>
          <t>Core</t>
        </is>
      </c>
      <c r="E175" s="2" t="n">
        <v>1.15</v>
      </c>
      <c r="F175" s="2" t="inlineStr">
        <is>
          <t>CommitmentPace</t>
        </is>
      </c>
      <c r="G175" s="2" t="inlineStr">
        <is>
          <t>IntentAlignment</t>
        </is>
      </c>
      <c r="H175" s="2" t="n"/>
      <c r="I175" s="2" t="inlineStr">
        <is>
          <t>D</t>
        </is>
      </c>
      <c r="J175" s="2" t="inlineStr">
        <is>
          <t>D</t>
        </is>
      </c>
      <c r="K175" s="2" t="inlineStr">
        <is>
          <t>I try to fix it immediately, ask what they need, how I can make it right. I don't want them sitting in pain.</t>
        </is>
      </c>
      <c r="L175" s="2" t="n">
        <v>9</v>
      </c>
      <c r="M175" s="2" t="n">
        <v>9</v>
      </c>
      <c r="N175" s="2" t="n">
        <v>10</v>
      </c>
      <c r="O175" s="2" t="n">
        <v>10</v>
      </c>
      <c r="P175" s="2" t="n">
        <v>10</v>
      </c>
      <c r="Q175" s="2" t="inlineStr">
        <is>
          <t>Fixer</t>
        </is>
      </c>
      <c r="R175" s="2" t="n">
        <v>5</v>
      </c>
      <c r="S175" s="2" t="n"/>
      <c r="T175" s="2" t="n"/>
      <c r="U175" s="2" t="n">
        <v>0</v>
      </c>
      <c r="V175" s="2" t="inlineStr">
        <is>
          <t>masc:-0.4;fem:2.0</t>
        </is>
      </c>
      <c r="W175" s="2" t="n">
        <v>-0.4</v>
      </c>
      <c r="X175" s="2" t="n">
        <v>2</v>
      </c>
      <c r="Y175" s="2" t="inlineStr">
        <is>
          <t>COMM_Emotional</t>
        </is>
      </c>
      <c r="Z175" s="2" t="inlineStr">
        <is>
          <t>REG_CoRegulator</t>
        </is>
      </c>
      <c r="AA175" s="2" t="inlineStr">
        <is>
          <t>LANG_Service</t>
        </is>
      </c>
      <c r="AB175" s="2" t="n"/>
      <c r="AC175" s="2" t="n"/>
      <c r="AD175" s="2" t="n"/>
      <c r="AE175" s="2" t="n">
        <v>0</v>
      </c>
      <c r="AF175" s="2" t="inlineStr">
        <is>
          <t>urgent repair mode</t>
        </is>
      </c>
      <c r="AG175" s="2" t="inlineStr">
        <is>
          <t>immediate fixer</t>
        </is>
      </c>
      <c r="AH175" s="2" t="n">
        <v>0</v>
      </c>
      <c r="AI175" s="2" t="inlineStr">
        <is>
          <t>no</t>
        </is>
      </c>
      <c r="AJ175" s="2" t="inlineStr">
        <is>
          <t>no</t>
        </is>
      </c>
      <c r="AK175" s="2" t="inlineStr">
        <is>
          <t>yes</t>
        </is>
      </c>
      <c r="AL175" s="2" t="inlineStr">
        <is>
          <t>yes</t>
        </is>
      </c>
      <c r="AM175" s="2" t="n"/>
      <c r="AN175" s="2" t="n"/>
      <c r="AO175" s="2" t="n"/>
      <c r="AP175" s="2" t="inlineStr">
        <is>
          <t>v3_2026-03-19</t>
        </is>
      </c>
    </row>
    <row r="176" ht="94.5" customHeight="1" s="10">
      <c r="A176" s="2" t="inlineStr">
        <is>
          <t>Q35_E</t>
        </is>
      </c>
      <c r="B176" s="2" t="n">
        <v>35</v>
      </c>
      <c r="C176" s="2" t="n">
        <v>35</v>
      </c>
      <c r="D176" s="2" t="inlineStr">
        <is>
          <t>Core</t>
        </is>
      </c>
      <c r="E176" s="2" t="n">
        <v>1.15</v>
      </c>
      <c r="F176" s="2" t="inlineStr">
        <is>
          <t>CommitmentPace</t>
        </is>
      </c>
      <c r="G176" s="2" t="inlineStr">
        <is>
          <t>IntentAlignment</t>
        </is>
      </c>
      <c r="H176" s="2" t="n"/>
      <c r="I176" s="2" t="inlineStr">
        <is>
          <t>E</t>
        </is>
      </c>
      <c r="J176" s="2" t="inlineStr">
        <is>
          <t>E</t>
        </is>
      </c>
      <c r="K176" s="2" t="inlineStr">
        <is>
          <t>I make a joke or shift the vibe. I hate heavy stuff, so I try to steer it back to calm</t>
        </is>
      </c>
      <c r="L176" s="2" t="n">
        <v>5</v>
      </c>
      <c r="M176" s="2" t="n">
        <v>6</v>
      </c>
      <c r="N176" s="2" t="n">
        <v>2</v>
      </c>
      <c r="O176" s="2" t="n">
        <v>2</v>
      </c>
      <c r="P176" s="2" t="n">
        <v>0</v>
      </c>
      <c r="Q176" s="2" t="inlineStr">
        <is>
          <t>Performer</t>
        </is>
      </c>
      <c r="R176" s="2" t="n">
        <v>7</v>
      </c>
      <c r="S176" s="2" t="n"/>
      <c r="T176" s="2" t="n"/>
      <c r="U176" s="2" t="n">
        <v>0</v>
      </c>
      <c r="V176" s="2" t="inlineStr">
        <is>
          <t>masc:0.3;fem:0.5</t>
        </is>
      </c>
      <c r="W176" s="2" t="n">
        <v>0.3</v>
      </c>
      <c r="X176" s="2" t="n">
        <v>0.5</v>
      </c>
      <c r="Y176" s="2" t="inlineStr">
        <is>
          <t>COMM_Indirect</t>
        </is>
      </c>
      <c r="Z176" s="2" t="inlineStr">
        <is>
          <t>REG_Distractor</t>
        </is>
      </c>
      <c r="AA176" s="2" t="inlineStr">
        <is>
          <t>LANG_Gifts</t>
        </is>
      </c>
      <c r="AB176" s="2" t="inlineStr">
        <is>
          <t>Humor_Shield</t>
        </is>
      </c>
      <c r="AC176" s="2" t="inlineStr">
        <is>
          <t>Humor_Shield</t>
        </is>
      </c>
      <c r="AD176" s="2" t="n"/>
      <c r="AE176" s="2" t="n">
        <v>3</v>
      </c>
      <c r="AF176" s="2" t="inlineStr">
        <is>
          <t>emotional re-route reflex</t>
        </is>
      </c>
      <c r="AG176" s="2" t="inlineStr">
        <is>
          <t>mood deflector</t>
        </is>
      </c>
      <c r="AH176" s="2" t="n">
        <v>0.2</v>
      </c>
      <c r="AI176" s="2" t="inlineStr">
        <is>
          <t>yes</t>
        </is>
      </c>
      <c r="AJ176" s="2" t="inlineStr">
        <is>
          <t>no</t>
        </is>
      </c>
      <c r="AK176" s="2" t="inlineStr">
        <is>
          <t>yes</t>
        </is>
      </c>
      <c r="AL176" s="2" t="inlineStr">
        <is>
          <t>yes</t>
        </is>
      </c>
      <c r="AM176" s="2" t="n"/>
      <c r="AN176" s="2" t="n"/>
      <c r="AO176" s="2" t="n"/>
      <c r="AP176" s="2" t="inlineStr">
        <is>
          <t>v3_2026-03-19</t>
        </is>
      </c>
    </row>
    <row r="177" ht="135" customHeight="1" s="10">
      <c r="A177" s="2" t="inlineStr">
        <is>
          <t>Q36_A</t>
        </is>
      </c>
      <c r="B177" s="2" t="n">
        <v>36</v>
      </c>
      <c r="C177" s="2" t="n">
        <v>36</v>
      </c>
      <c r="D177" s="2" t="inlineStr">
        <is>
          <t>Core</t>
        </is>
      </c>
      <c r="E177" s="2" t="n">
        <v>1.15</v>
      </c>
      <c r="F177" s="2" t="inlineStr">
        <is>
          <t>CommitmentPace</t>
        </is>
      </c>
      <c r="G177" s="2" t="inlineStr">
        <is>
          <t>IntentAlignment</t>
        </is>
      </c>
      <c r="H177" s="2" t="inlineStr">
        <is>
          <t>You were consistent, showed up, and stayed real-but they still chose someone else. What's your honest reaction?</t>
        </is>
      </c>
      <c r="I177" s="2" t="inlineStr">
        <is>
          <t>A</t>
        </is>
      </c>
      <c r="J177" s="2" t="inlineStr">
        <is>
          <t>A</t>
        </is>
      </c>
      <c r="K177" s="2" t="inlineStr">
        <is>
          <t>I start comparing myself to the person they picked, quietly trying to figure out what they had that I didn't.</t>
        </is>
      </c>
      <c r="L177" s="2" t="n">
        <v>5</v>
      </c>
      <c r="M177" s="2" t="n">
        <v>6</v>
      </c>
      <c r="N177" s="2" t="n">
        <v>4</v>
      </c>
      <c r="O177" s="2" t="n">
        <v>4</v>
      </c>
      <c r="P177" s="2" t="n">
        <v>2</v>
      </c>
      <c r="Q177" s="2" t="inlineStr">
        <is>
          <t>Analyzer</t>
        </is>
      </c>
      <c r="R177" s="2" t="n">
        <v>2</v>
      </c>
      <c r="S177" s="2" t="n"/>
      <c r="T177" s="2" t="n"/>
      <c r="U177" s="2" t="n">
        <v>0</v>
      </c>
      <c r="V177" s="2" t="inlineStr">
        <is>
          <t>masc:1.4;fem:0.1</t>
        </is>
      </c>
      <c r="W177" s="2" t="n">
        <v>1.4</v>
      </c>
      <c r="X177" s="2" t="n">
        <v>0.1</v>
      </c>
      <c r="Y177" s="2" t="inlineStr">
        <is>
          <t>COMM_Logical</t>
        </is>
      </c>
      <c r="Z177" s="2" t="inlineStr">
        <is>
          <t>REG_SelfSoother</t>
        </is>
      </c>
      <c r="AA177" s="2" t="inlineStr">
        <is>
          <t>LANG_Service</t>
        </is>
      </c>
      <c r="AB177" s="2" t="inlineStr">
        <is>
          <t>Vulnerability_Loop</t>
        </is>
      </c>
      <c r="AC177" s="2" t="inlineStr">
        <is>
          <t>Vulnerability_Loop</t>
        </is>
      </c>
      <c r="AD177" s="2" t="n"/>
      <c r="AE177" s="2" t="n">
        <v>5</v>
      </c>
      <c r="AF177" s="2" t="inlineStr">
        <is>
          <t>post-rejection audit</t>
        </is>
      </c>
      <c r="AG177" s="2" t="inlineStr">
        <is>
          <t>comparison seeker</t>
        </is>
      </c>
      <c r="AH177" s="2" t="n">
        <v>0</v>
      </c>
      <c r="AI177" s="2" t="inlineStr">
        <is>
          <t>yes</t>
        </is>
      </c>
      <c r="AJ177" s="2" t="inlineStr">
        <is>
          <t>no</t>
        </is>
      </c>
      <c r="AK177" s="2" t="inlineStr">
        <is>
          <t>yes</t>
        </is>
      </c>
      <c r="AL177" s="2" t="inlineStr">
        <is>
          <t>yes</t>
        </is>
      </c>
      <c r="AM177" s="2" t="n"/>
      <c r="AN177" s="2" t="n"/>
      <c r="AO177" s="2" t="n"/>
      <c r="AP177" s="2" t="inlineStr">
        <is>
          <t>v3_2026-03-19</t>
        </is>
      </c>
    </row>
    <row r="178" ht="81" customHeight="1" s="10">
      <c r="A178" s="2" t="inlineStr">
        <is>
          <t>Q36_B</t>
        </is>
      </c>
      <c r="B178" s="2" t="n">
        <v>36</v>
      </c>
      <c r="C178" s="2" t="n">
        <v>36</v>
      </c>
      <c r="D178" s="2" t="inlineStr">
        <is>
          <t>Core</t>
        </is>
      </c>
      <c r="E178" s="2" t="n">
        <v>1.15</v>
      </c>
      <c r="F178" s="2" t="inlineStr">
        <is>
          <t>CommitmentPace</t>
        </is>
      </c>
      <c r="G178" s="2" t="inlineStr">
        <is>
          <t>IntentAlignment</t>
        </is>
      </c>
      <c r="H178" s="2" t="n"/>
      <c r="I178" s="2" t="inlineStr">
        <is>
          <t>B</t>
        </is>
      </c>
      <c r="J178" s="2" t="inlineStr">
        <is>
          <t>B</t>
        </is>
      </c>
      <c r="K178" s="2" t="inlineStr">
        <is>
          <t>I shut down emotionally. If that wasn't enough, then nothing will be.</t>
        </is>
      </c>
      <c r="L178" s="2" t="n">
        <v>4</v>
      </c>
      <c r="M178" s="2" t="n">
        <v>5</v>
      </c>
      <c r="N178" s="2" t="n">
        <v>0</v>
      </c>
      <c r="O178" s="2" t="n">
        <v>0</v>
      </c>
      <c r="P178" s="2" t="n">
        <v>0</v>
      </c>
      <c r="Q178" s="2" t="inlineStr">
        <is>
          <t>Icebox</t>
        </is>
      </c>
      <c r="R178" s="2" t="n">
        <v>1</v>
      </c>
      <c r="S178" s="2" t="n"/>
      <c r="T178" s="2" t="n"/>
      <c r="U178" s="2" t="n">
        <v>0</v>
      </c>
      <c r="V178" s="2" t="inlineStr">
        <is>
          <t>masc:1.8;fem:-1.6</t>
        </is>
      </c>
      <c r="W178" s="2" t="n">
        <v>1.8</v>
      </c>
      <c r="X178" s="2" t="n">
        <v>-1.6</v>
      </c>
      <c r="Y178" s="2" t="inlineStr">
        <is>
          <t>COMM_Avoidant</t>
        </is>
      </c>
      <c r="Z178" s="2" t="inlineStr">
        <is>
          <t>REG_Suppressor</t>
        </is>
      </c>
      <c r="AA178" s="2" t="inlineStr">
        <is>
          <t>LANG_Time</t>
        </is>
      </c>
      <c r="AB178" s="2" t="inlineStr">
        <is>
          <t>Vulnerability_Loop , Pursuer_Distancer</t>
        </is>
      </c>
      <c r="AC178" s="2" t="inlineStr">
        <is>
          <t>Vulnerability_Loop</t>
        </is>
      </c>
      <c r="AD178" s="2" t="inlineStr">
        <is>
          <t>Pursuer_Distancer</t>
        </is>
      </c>
      <c r="AE178" s="2" t="n">
        <v>11</v>
      </c>
      <c r="AF178" s="2" t="inlineStr">
        <is>
          <t>proof of unlovability</t>
        </is>
      </c>
      <c r="AG178" s="2" t="inlineStr">
        <is>
          <t>emotional closer</t>
        </is>
      </c>
      <c r="AH178" s="2" t="n">
        <v>0</v>
      </c>
      <c r="AI178" s="2" t="inlineStr">
        <is>
          <t>yes</t>
        </is>
      </c>
      <c r="AJ178" s="2" t="inlineStr">
        <is>
          <t>no</t>
        </is>
      </c>
      <c r="AK178" s="2" t="inlineStr">
        <is>
          <t>yes</t>
        </is>
      </c>
      <c r="AL178" s="2" t="inlineStr">
        <is>
          <t>yes</t>
        </is>
      </c>
      <c r="AM178" s="2" t="n"/>
      <c r="AN178" s="2" t="n"/>
      <c r="AO178" s="2" t="n"/>
      <c r="AP178" s="2" t="inlineStr">
        <is>
          <t>v3_2026-03-19</t>
        </is>
      </c>
    </row>
    <row r="179" ht="108" customHeight="1" s="10">
      <c r="A179" s="2" t="inlineStr">
        <is>
          <t>Q36_C</t>
        </is>
      </c>
      <c r="B179" s="2" t="n">
        <v>36</v>
      </c>
      <c r="C179" s="2" t="n">
        <v>36</v>
      </c>
      <c r="D179" s="2" t="inlineStr">
        <is>
          <t>Core</t>
        </is>
      </c>
      <c r="E179" s="2" t="n">
        <v>1.15</v>
      </c>
      <c r="F179" s="2" t="inlineStr">
        <is>
          <t>CommitmentPace</t>
        </is>
      </c>
      <c r="G179" s="2" t="inlineStr">
        <is>
          <t>IntentAlignment</t>
        </is>
      </c>
      <c r="H179" s="2" t="n"/>
      <c r="I179" s="2" t="inlineStr">
        <is>
          <t>C</t>
        </is>
      </c>
      <c r="J179" s="2" t="inlineStr">
        <is>
          <t>C</t>
        </is>
      </c>
      <c r="K179" s="2" t="inlineStr">
        <is>
          <t>I act like I'm fine, but I replay everything. I wonder if I was too much or not enough.</t>
        </is>
      </c>
      <c r="L179" s="2" t="n">
        <v>5</v>
      </c>
      <c r="M179" s="2" t="n">
        <v>6</v>
      </c>
      <c r="N179" s="2" t="n">
        <v>2</v>
      </c>
      <c r="O179" s="2" t="n">
        <v>4</v>
      </c>
      <c r="P179" s="2" t="n">
        <v>2</v>
      </c>
      <c r="Q179" s="2" t="inlineStr">
        <is>
          <t>Phantom Seeker</t>
        </is>
      </c>
      <c r="R179" s="2" t="n">
        <v>10</v>
      </c>
      <c r="S179" s="2" t="n"/>
      <c r="T179" s="2" t="n"/>
      <c r="U179" s="2" t="n">
        <v>0</v>
      </c>
      <c r="V179" s="2" t="inlineStr">
        <is>
          <t>masc:-0.2;fem:1.5</t>
        </is>
      </c>
      <c r="W179" s="2" t="n">
        <v>-0.2</v>
      </c>
      <c r="X179" s="2" t="n">
        <v>1.5</v>
      </c>
      <c r="Y179" s="2" t="inlineStr">
        <is>
          <t>COMM_Emotional</t>
        </is>
      </c>
      <c r="Z179" s="2" t="inlineStr">
        <is>
          <t>REG_SelfSoother</t>
        </is>
      </c>
      <c r="AA179" s="2" t="inlineStr">
        <is>
          <t>LANG_Touch</t>
        </is>
      </c>
      <c r="AB179" s="2" t="inlineStr">
        <is>
          <t>Vulnerability_Loop</t>
        </is>
      </c>
      <c r="AC179" s="2" t="inlineStr">
        <is>
          <t>Vulnerability_Loop</t>
        </is>
      </c>
      <c r="AD179" s="2" t="n"/>
      <c r="AE179" s="2" t="n">
        <v>5</v>
      </c>
      <c r="AF179" s="2" t="inlineStr">
        <is>
          <t>internal replay loop</t>
        </is>
      </c>
      <c r="AG179" s="2" t="inlineStr">
        <is>
          <t>self-doubter</t>
        </is>
      </c>
      <c r="AH179" s="2" t="n">
        <v>0</v>
      </c>
      <c r="AI179" s="2" t="inlineStr">
        <is>
          <t>yes</t>
        </is>
      </c>
      <c r="AJ179" s="2" t="inlineStr">
        <is>
          <t>no</t>
        </is>
      </c>
      <c r="AK179" s="2" t="inlineStr">
        <is>
          <t>yes</t>
        </is>
      </c>
      <c r="AL179" s="2" t="inlineStr">
        <is>
          <t>yes</t>
        </is>
      </c>
      <c r="AM179" s="2" t="n"/>
      <c r="AN179" s="2" t="n"/>
      <c r="AO179" s="2" t="n"/>
      <c r="AP179" s="2" t="inlineStr">
        <is>
          <t>v3_2026-03-19</t>
        </is>
      </c>
    </row>
    <row r="180" ht="108" customHeight="1" s="10">
      <c r="A180" s="2" t="inlineStr">
        <is>
          <t>Q36_D</t>
        </is>
      </c>
      <c r="B180" s="2" t="n">
        <v>36</v>
      </c>
      <c r="C180" s="2" t="n">
        <v>36</v>
      </c>
      <c r="D180" s="2" t="inlineStr">
        <is>
          <t>Core</t>
        </is>
      </c>
      <c r="E180" s="2" t="n">
        <v>1.15</v>
      </c>
      <c r="F180" s="2" t="inlineStr">
        <is>
          <t>CommitmentPace</t>
        </is>
      </c>
      <c r="G180" s="2" t="inlineStr">
        <is>
          <t>IntentAlignment</t>
        </is>
      </c>
      <c r="H180" s="2" t="n"/>
      <c r="I180" s="2" t="inlineStr">
        <is>
          <t>D</t>
        </is>
      </c>
      <c r="J180" s="2" t="inlineStr">
        <is>
          <t>D</t>
        </is>
      </c>
      <c r="K180" s="2" t="inlineStr">
        <is>
          <t>I make a joke about it or post something slick. If I'm gonna lose, I'm losing with style</t>
        </is>
      </c>
      <c r="L180" s="2" t="n">
        <v>6</v>
      </c>
      <c r="M180" s="2" t="n">
        <v>7</v>
      </c>
      <c r="N180" s="2" t="n">
        <v>2</v>
      </c>
      <c r="O180" s="2" t="n">
        <v>4</v>
      </c>
      <c r="P180" s="2" t="n">
        <v>2</v>
      </c>
      <c r="Q180" s="2" t="inlineStr">
        <is>
          <t>Performer</t>
        </is>
      </c>
      <c r="R180" s="2" t="n">
        <v>7</v>
      </c>
      <c r="S180" s="2" t="n"/>
      <c r="T180" s="2" t="n"/>
      <c r="U180" s="2" t="n">
        <v>0</v>
      </c>
      <c r="V180" s="2" t="inlineStr">
        <is>
          <t>masc:0.3;fem:0.5</t>
        </is>
      </c>
      <c r="W180" s="2" t="n">
        <v>0.3</v>
      </c>
      <c r="X180" s="2" t="n">
        <v>0.5</v>
      </c>
      <c r="Y180" s="2" t="inlineStr">
        <is>
          <t>COMM_Indirect</t>
        </is>
      </c>
      <c r="Z180" s="2" t="inlineStr">
        <is>
          <t>REG_Distractor</t>
        </is>
      </c>
      <c r="AA180" s="2" t="inlineStr">
        <is>
          <t>LANG_Gifts</t>
        </is>
      </c>
      <c r="AB180" s="2" t="n"/>
      <c r="AC180" s="2" t="n"/>
      <c r="AD180" s="2" t="n"/>
      <c r="AE180" s="2" t="n">
        <v>0</v>
      </c>
      <c r="AF180" s="2" t="inlineStr">
        <is>
          <t>deflect with cool</t>
        </is>
      </c>
      <c r="AG180" s="2" t="inlineStr">
        <is>
          <t>image protector</t>
        </is>
      </c>
      <c r="AH180" s="2" t="n">
        <v>0.6</v>
      </c>
      <c r="AI180" s="2" t="inlineStr">
        <is>
          <t>no</t>
        </is>
      </c>
      <c r="AJ180" s="2" t="inlineStr">
        <is>
          <t>no</t>
        </is>
      </c>
      <c r="AK180" s="2" t="inlineStr">
        <is>
          <t>yes</t>
        </is>
      </c>
      <c r="AL180" s="2" t="inlineStr">
        <is>
          <t>yes</t>
        </is>
      </c>
      <c r="AM180" s="2" t="n"/>
      <c r="AN180" s="2" t="n"/>
      <c r="AO180" s="2" t="n"/>
      <c r="AP180" s="2" t="inlineStr">
        <is>
          <t>v3_2026-03-19</t>
        </is>
      </c>
    </row>
    <row r="181" ht="94.5" customHeight="1" s="10">
      <c r="A181" s="2" t="inlineStr">
        <is>
          <t>Q36_E</t>
        </is>
      </c>
      <c r="B181" s="2" t="n">
        <v>36</v>
      </c>
      <c r="C181" s="2" t="n">
        <v>36</v>
      </c>
      <c r="D181" s="2" t="inlineStr">
        <is>
          <t>Core</t>
        </is>
      </c>
      <c r="E181" s="2" t="n">
        <v>1.15</v>
      </c>
      <c r="F181" s="2" t="inlineStr">
        <is>
          <t>CommitmentPace</t>
        </is>
      </c>
      <c r="G181" s="2" t="inlineStr">
        <is>
          <t>IntentAlignment</t>
        </is>
      </c>
      <c r="H181" s="2" t="n"/>
      <c r="I181" s="2" t="inlineStr">
        <is>
          <t>E</t>
        </is>
      </c>
      <c r="J181" s="2" t="inlineStr">
        <is>
          <t>E</t>
        </is>
      </c>
      <c r="K181" s="2" t="inlineStr">
        <is>
          <t>I convince myself it was never real to begin with. If it was, they wouldn't have left.</t>
        </is>
      </c>
      <c r="L181" s="2" t="n">
        <v>6</v>
      </c>
      <c r="M181" s="2" t="n">
        <v>7</v>
      </c>
      <c r="N181" s="2" t="n">
        <v>4</v>
      </c>
      <c r="O181" s="2" t="n">
        <v>6</v>
      </c>
      <c r="P181" s="2" t="n">
        <v>6</v>
      </c>
      <c r="Q181" s="2" t="inlineStr">
        <is>
          <t>Survivor</t>
        </is>
      </c>
      <c r="R181" s="2" t="n">
        <v>8</v>
      </c>
      <c r="S181" s="2" t="n"/>
      <c r="T181" s="2" t="n"/>
      <c r="U181" s="2" t="n">
        <v>0</v>
      </c>
      <c r="V181" s="2" t="inlineStr">
        <is>
          <t>masc:0.3;fem:1.3</t>
        </is>
      </c>
      <c r="W181" s="2" t="n">
        <v>0.3</v>
      </c>
      <c r="X181" s="2" t="n">
        <v>1.3</v>
      </c>
      <c r="Y181" s="2" t="inlineStr">
        <is>
          <t>COMM_Emotional</t>
        </is>
      </c>
      <c r="Z181" s="2" t="inlineStr">
        <is>
          <t>REG_SelfSoother</t>
        </is>
      </c>
      <c r="AA181" s="2" t="inlineStr">
        <is>
          <t>LANG_Service</t>
        </is>
      </c>
      <c r="AB181" s="2" t="n"/>
      <c r="AC181" s="2" t="n"/>
      <c r="AD181" s="2" t="n"/>
      <c r="AE181" s="2" t="n">
        <v>0</v>
      </c>
      <c r="AF181" s="2" t="inlineStr">
        <is>
          <t>protective rewrite</t>
        </is>
      </c>
      <c r="AG181" s="2" t="inlineStr">
        <is>
          <t>narrative reframer</t>
        </is>
      </c>
      <c r="AH181" s="2" t="n">
        <v>0</v>
      </c>
      <c r="AI181" s="2" t="inlineStr">
        <is>
          <t>no</t>
        </is>
      </c>
      <c r="AJ181" s="2" t="inlineStr">
        <is>
          <t>no</t>
        </is>
      </c>
      <c r="AK181" s="2" t="inlineStr">
        <is>
          <t>yes</t>
        </is>
      </c>
      <c r="AL181" s="2" t="inlineStr">
        <is>
          <t>yes</t>
        </is>
      </c>
      <c r="AM181" s="2" t="n"/>
      <c r="AN181" s="2" t="n"/>
      <c r="AO181" s="2" t="n"/>
      <c r="AP181" s="2" t="inlineStr">
        <is>
          <t>v3_2026-03-19</t>
        </is>
      </c>
    </row>
    <row r="182" ht="121.5" customHeight="1" s="10">
      <c r="A182" s="2" t="inlineStr">
        <is>
          <t>Q37_A</t>
        </is>
      </c>
      <c r="B182" s="2" t="n">
        <v>37</v>
      </c>
      <c r="C182" s="2" t="n">
        <v>37</v>
      </c>
      <c r="D182" s="2" t="inlineStr">
        <is>
          <t>Core</t>
        </is>
      </c>
      <c r="E182" s="2" t="n">
        <v>1.2</v>
      </c>
      <c r="F182" s="2" t="inlineStr">
        <is>
          <t>CommitmentPace</t>
        </is>
      </c>
      <c r="G182" s="2" t="inlineStr">
        <is>
          <t>IntentAlignment</t>
        </is>
      </c>
      <c r="H182" s="2" t="inlineStr">
        <is>
          <t>You feel emotionally overloaded-something triggered you, but you don't want to show it. What usually happens next?</t>
        </is>
      </c>
      <c r="I182" s="2" t="inlineStr">
        <is>
          <t>A</t>
        </is>
      </c>
      <c r="J182" s="2" t="inlineStr">
        <is>
          <t>A</t>
        </is>
      </c>
      <c r="K182" s="2" t="inlineStr">
        <is>
          <t>I analyze it in my head, trying to figure out if I even should be this upset. I don't trust my first reaction.</t>
        </is>
      </c>
      <c r="L182" s="2" t="n">
        <v>7</v>
      </c>
      <c r="M182" s="2" t="n">
        <v>8</v>
      </c>
      <c r="N182" s="2" t="n">
        <v>6</v>
      </c>
      <c r="O182" s="2" t="n">
        <v>8</v>
      </c>
      <c r="P182" s="2" t="n">
        <v>6</v>
      </c>
      <c r="Q182" s="2" t="inlineStr">
        <is>
          <t>Analyzer</t>
        </is>
      </c>
      <c r="R182" s="2" t="n">
        <v>2</v>
      </c>
      <c r="S182" s="2" t="n"/>
      <c r="T182" s="2" t="n"/>
      <c r="U182" s="2" t="n">
        <v>0</v>
      </c>
      <c r="V182" s="2" t="inlineStr">
        <is>
          <t>masc:1.4;fem:0.1</t>
        </is>
      </c>
      <c r="W182" s="2" t="n">
        <v>1.4</v>
      </c>
      <c r="X182" s="2" t="n">
        <v>0.1</v>
      </c>
      <c r="Y182" s="2" t="inlineStr">
        <is>
          <t>COMM_Logical</t>
        </is>
      </c>
      <c r="Z182" s="2" t="inlineStr">
        <is>
          <t>REG_SelfSoother</t>
        </is>
      </c>
      <c r="AA182" s="2" t="inlineStr">
        <is>
          <t>LANG_Service</t>
        </is>
      </c>
      <c r="AB182" s="2" t="n"/>
      <c r="AC182" s="2" t="n"/>
      <c r="AD182" s="2" t="n"/>
      <c r="AE182" s="2" t="n">
        <v>0</v>
      </c>
      <c r="AF182" s="2" t="inlineStr">
        <is>
          <t>internal emotional filter</t>
        </is>
      </c>
      <c r="AG182" s="2" t="inlineStr">
        <is>
          <t>reaction assessor</t>
        </is>
      </c>
      <c r="AH182" s="2" t="n">
        <v>0</v>
      </c>
      <c r="AI182" s="2" t="inlineStr">
        <is>
          <t>no</t>
        </is>
      </c>
      <c r="AJ182" s="2" t="inlineStr">
        <is>
          <t>no</t>
        </is>
      </c>
      <c r="AK182" s="2" t="inlineStr">
        <is>
          <t>yes</t>
        </is>
      </c>
      <c r="AL182" s="2" t="inlineStr">
        <is>
          <t>yes</t>
        </is>
      </c>
      <c r="AM182" s="2" t="n"/>
      <c r="AN182" s="2" t="n"/>
      <c r="AO182" s="2" t="n"/>
      <c r="AP182" s="2" t="inlineStr">
        <is>
          <t>v3_2026-03-19</t>
        </is>
      </c>
    </row>
    <row r="183" ht="162" customHeight="1" s="10">
      <c r="A183" s="2" t="inlineStr">
        <is>
          <t>Q37_B</t>
        </is>
      </c>
      <c r="B183" s="2" t="n">
        <v>37</v>
      </c>
      <c r="C183" s="2" t="n">
        <v>37</v>
      </c>
      <c r="D183" s="2" t="inlineStr">
        <is>
          <t>Core</t>
        </is>
      </c>
      <c r="E183" s="2" t="n">
        <v>1.2</v>
      </c>
      <c r="F183" s="2" t="inlineStr">
        <is>
          <t>CommitmentPace</t>
        </is>
      </c>
      <c r="G183" s="2" t="inlineStr">
        <is>
          <t>IntentAlignment</t>
        </is>
      </c>
      <c r="H183" s="2" t="n"/>
      <c r="I183" s="2" t="inlineStr">
        <is>
          <t>B</t>
        </is>
      </c>
      <c r="J183" s="2" t="inlineStr">
        <is>
          <t>B</t>
        </is>
      </c>
      <c r="K183" s="2" t="inlineStr">
        <is>
          <t>I shift the conversation fast or start asking questions about them. I'd rather be in control of the vibe than risk them seeing me spiral.</t>
        </is>
      </c>
      <c r="L183" s="2" t="n">
        <v>6</v>
      </c>
      <c r="M183" s="2" t="n">
        <v>7</v>
      </c>
      <c r="N183" s="2" t="n">
        <v>2</v>
      </c>
      <c r="O183" s="2" t="n">
        <v>4</v>
      </c>
      <c r="P183" s="2" t="n">
        <v>0</v>
      </c>
      <c r="Q183" s="2" t="inlineStr">
        <is>
          <t>Performer</t>
        </is>
      </c>
      <c r="R183" s="2" t="n">
        <v>7</v>
      </c>
      <c r="S183" s="2" t="n"/>
      <c r="T183" s="2" t="n"/>
      <c r="U183" s="2" t="n">
        <v>0</v>
      </c>
      <c r="V183" s="2" t="inlineStr">
        <is>
          <t>masc:0.3;fem:0.5</t>
        </is>
      </c>
      <c r="W183" s="2" t="n">
        <v>0.3</v>
      </c>
      <c r="X183" s="2" t="n">
        <v>0.5</v>
      </c>
      <c r="Y183" s="2" t="inlineStr">
        <is>
          <t>COMM_Indirect</t>
        </is>
      </c>
      <c r="Z183" s="2" t="inlineStr">
        <is>
          <t>REG_Distractor</t>
        </is>
      </c>
      <c r="AA183" s="2" t="inlineStr">
        <is>
          <t>LANG_Gifts</t>
        </is>
      </c>
      <c r="AB183" s="2" t="inlineStr">
        <is>
          <t>Control_Avoidance</t>
        </is>
      </c>
      <c r="AC183" s="2" t="inlineStr">
        <is>
          <t>Control_Avoidance</t>
        </is>
      </c>
      <c r="AD183" s="2" t="n"/>
      <c r="AE183" s="2" t="n">
        <v>6</v>
      </c>
      <c r="AF183" s="2" t="inlineStr">
        <is>
          <t>vibe manager reflex</t>
        </is>
      </c>
      <c r="AG183" s="2" t="inlineStr">
        <is>
          <t>tone shifter</t>
        </is>
      </c>
      <c r="AH183" s="2" t="n">
        <v>0</v>
      </c>
      <c r="AI183" s="2" t="inlineStr">
        <is>
          <t>yes</t>
        </is>
      </c>
      <c r="AJ183" s="2" t="inlineStr">
        <is>
          <t>no</t>
        </is>
      </c>
      <c r="AK183" s="2" t="inlineStr">
        <is>
          <t>yes</t>
        </is>
      </c>
      <c r="AL183" s="2" t="inlineStr">
        <is>
          <t>yes</t>
        </is>
      </c>
      <c r="AM183" s="2" t="n"/>
      <c r="AN183" s="2" t="n"/>
      <c r="AO183" s="2" t="n"/>
      <c r="AP183" s="2" t="inlineStr">
        <is>
          <t>v3_2026-03-19</t>
        </is>
      </c>
    </row>
    <row r="184" ht="108" customHeight="1" s="10">
      <c r="A184" s="2" t="inlineStr">
        <is>
          <t>Q37_C</t>
        </is>
      </c>
      <c r="B184" s="2" t="n">
        <v>37</v>
      </c>
      <c r="C184" s="2" t="n">
        <v>37</v>
      </c>
      <c r="D184" s="2" t="inlineStr">
        <is>
          <t>Core</t>
        </is>
      </c>
      <c r="E184" s="2" t="n">
        <v>1.2</v>
      </c>
      <c r="F184" s="2" t="inlineStr">
        <is>
          <t>CommitmentPace</t>
        </is>
      </c>
      <c r="G184" s="2" t="inlineStr">
        <is>
          <t>IntentAlignment</t>
        </is>
      </c>
      <c r="H184" s="2" t="n"/>
      <c r="I184" s="2" t="inlineStr">
        <is>
          <t>C</t>
        </is>
      </c>
      <c r="J184" s="2" t="inlineStr">
        <is>
          <t>C</t>
        </is>
      </c>
      <c r="K184" s="2" t="inlineStr">
        <is>
          <t>I act extra calm or even helpful. I overcorrect so no one sees the mess I'm carrying underneath.</t>
        </is>
      </c>
      <c r="L184" s="2" t="n">
        <v>6</v>
      </c>
      <c r="M184" s="2" t="n">
        <v>7</v>
      </c>
      <c r="N184" s="2" t="n">
        <v>4</v>
      </c>
      <c r="O184" s="2" t="n">
        <v>6</v>
      </c>
      <c r="P184" s="2" t="n">
        <v>4</v>
      </c>
      <c r="Q184" s="2" t="inlineStr">
        <is>
          <t>Fixer</t>
        </is>
      </c>
      <c r="R184" s="2" t="n">
        <v>5</v>
      </c>
      <c r="S184" s="2" t="n"/>
      <c r="T184" s="2" t="n"/>
      <c r="U184" s="2" t="n">
        <v>0</v>
      </c>
      <c r="V184" s="2" t="inlineStr">
        <is>
          <t>masc:-0.4;fem:2.0</t>
        </is>
      </c>
      <c r="W184" s="2" t="n">
        <v>-0.4</v>
      </c>
      <c r="X184" s="2" t="n">
        <v>2</v>
      </c>
      <c r="Y184" s="2" t="inlineStr">
        <is>
          <t>COMM_Emotional</t>
        </is>
      </c>
      <c r="Z184" s="2" t="inlineStr">
        <is>
          <t>REG_CoRegulator</t>
        </is>
      </c>
      <c r="AA184" s="2" t="inlineStr">
        <is>
          <t>LANG_Service</t>
        </is>
      </c>
      <c r="AB184" s="2" t="inlineStr">
        <is>
          <t>Vulnerability_Loop</t>
        </is>
      </c>
      <c r="AC184" s="2" t="inlineStr">
        <is>
          <t>Vulnerability_Loop</t>
        </is>
      </c>
      <c r="AD184" s="2" t="n"/>
      <c r="AE184" s="2" t="n">
        <v>5</v>
      </c>
      <c r="AF184" s="2" t="inlineStr">
        <is>
          <t>composed but cracked</t>
        </is>
      </c>
      <c r="AG184" s="2" t="inlineStr">
        <is>
          <t>appearance keeper</t>
        </is>
      </c>
      <c r="AH184" s="2" t="n">
        <v>0</v>
      </c>
      <c r="AI184" s="2" t="inlineStr">
        <is>
          <t>yes</t>
        </is>
      </c>
      <c r="AJ184" s="2" t="inlineStr">
        <is>
          <t>no</t>
        </is>
      </c>
      <c r="AK184" s="2" t="inlineStr">
        <is>
          <t>yes</t>
        </is>
      </c>
      <c r="AL184" s="2" t="inlineStr">
        <is>
          <t>yes</t>
        </is>
      </c>
      <c r="AM184" s="2" t="n"/>
      <c r="AN184" s="2" t="n"/>
      <c r="AO184" s="2" t="n"/>
      <c r="AP184" s="2" t="inlineStr">
        <is>
          <t>v3_2026-03-19</t>
        </is>
      </c>
    </row>
    <row r="185" ht="121.5" customHeight="1" s="10">
      <c r="A185" s="2" t="inlineStr">
        <is>
          <t>Q37_D</t>
        </is>
      </c>
      <c r="B185" s="2" t="n">
        <v>37</v>
      </c>
      <c r="C185" s="2" t="n">
        <v>37</v>
      </c>
      <c r="D185" s="2" t="inlineStr">
        <is>
          <t>Core</t>
        </is>
      </c>
      <c r="E185" s="2" t="n">
        <v>1.2</v>
      </c>
      <c r="F185" s="2" t="inlineStr">
        <is>
          <t>CommitmentPace</t>
        </is>
      </c>
      <c r="G185" s="2" t="inlineStr">
        <is>
          <t>IntentAlignment</t>
        </is>
      </c>
      <c r="H185" s="2" t="n"/>
      <c r="I185" s="2" t="inlineStr">
        <is>
          <t>D</t>
        </is>
      </c>
      <c r="J185" s="2" t="inlineStr">
        <is>
          <t>D</t>
        </is>
      </c>
      <c r="K185" s="2" t="inlineStr">
        <is>
          <t>I pretend I'm fine, but inside I'm spiraling. I don't say anything, just shut down and let it fester.</t>
        </is>
      </c>
      <c r="L185" s="2" t="n">
        <v>4</v>
      </c>
      <c r="M185" s="2" t="n">
        <v>5</v>
      </c>
      <c r="N185" s="2" t="n">
        <v>0</v>
      </c>
      <c r="O185" s="2" t="n">
        <v>0</v>
      </c>
      <c r="P185" s="2" t="n">
        <v>0</v>
      </c>
      <c r="Q185" s="2" t="inlineStr">
        <is>
          <t>Phantom Seeker</t>
        </is>
      </c>
      <c r="R185" s="2" t="n">
        <v>10</v>
      </c>
      <c r="S185" s="2" t="n"/>
      <c r="T185" s="2" t="n"/>
      <c r="U185" s="2" t="n">
        <v>0</v>
      </c>
      <c r="V185" s="2" t="inlineStr">
        <is>
          <t>masc:-0.2;fem:1.5</t>
        </is>
      </c>
      <c r="W185" s="2" t="n">
        <v>-0.2</v>
      </c>
      <c r="X185" s="2" t="n">
        <v>1.5</v>
      </c>
      <c r="Y185" s="2" t="inlineStr">
        <is>
          <t>COMM_Emotional</t>
        </is>
      </c>
      <c r="Z185" s="2" t="inlineStr">
        <is>
          <t>REG_SelfSoother</t>
        </is>
      </c>
      <c r="AA185" s="2" t="inlineStr">
        <is>
          <t>LANG_Touch</t>
        </is>
      </c>
      <c r="AB185" s="2" t="inlineStr">
        <is>
          <t>Vulnerability_Loop , Pursuer_Distancer</t>
        </is>
      </c>
      <c r="AC185" s="2" t="inlineStr">
        <is>
          <t>Vulnerability_Loop</t>
        </is>
      </c>
      <c r="AD185" s="2" t="inlineStr">
        <is>
          <t>Pursuer_Distancer</t>
        </is>
      </c>
      <c r="AE185" s="2" t="n">
        <v>11</v>
      </c>
      <c r="AF185" s="2" t="inlineStr">
        <is>
          <t>silent sufferer reflex</t>
        </is>
      </c>
      <c r="AG185" s="2" t="inlineStr">
        <is>
          <t>internalizer</t>
        </is>
      </c>
      <c r="AH185" s="2" t="n">
        <v>0.6</v>
      </c>
      <c r="AI185" s="2" t="inlineStr">
        <is>
          <t>yes</t>
        </is>
      </c>
      <c r="AJ185" s="2" t="inlineStr">
        <is>
          <t>no</t>
        </is>
      </c>
      <c r="AK185" s="2" t="inlineStr">
        <is>
          <t>yes</t>
        </is>
      </c>
      <c r="AL185" s="2" t="inlineStr">
        <is>
          <t>yes</t>
        </is>
      </c>
      <c r="AM185" s="2" t="n"/>
      <c r="AN185" s="2" t="n"/>
      <c r="AO185" s="2" t="n"/>
      <c r="AP185" s="2" t="inlineStr">
        <is>
          <t>v3_2026-03-19</t>
        </is>
      </c>
    </row>
    <row r="186" ht="81" customHeight="1" s="10">
      <c r="A186" s="2" t="inlineStr">
        <is>
          <t>Q37_E</t>
        </is>
      </c>
      <c r="B186" s="2" t="n">
        <v>37</v>
      </c>
      <c r="C186" s="2" t="n">
        <v>37</v>
      </c>
      <c r="D186" s="2" t="inlineStr">
        <is>
          <t>Core</t>
        </is>
      </c>
      <c r="E186" s="2" t="n">
        <v>1.2</v>
      </c>
      <c r="F186" s="2" t="inlineStr">
        <is>
          <t>CommitmentPace</t>
        </is>
      </c>
      <c r="G186" s="2" t="inlineStr">
        <is>
          <t>IntentAlignment</t>
        </is>
      </c>
      <c r="H186" s="2" t="n"/>
      <c r="I186" s="2" t="inlineStr">
        <is>
          <t>E</t>
        </is>
      </c>
      <c r="J186" s="2" t="inlineStr">
        <is>
          <t>E</t>
        </is>
      </c>
      <c r="K186" s="2" t="inlineStr">
        <is>
          <t>I go cold. I don't mean to, but I get short or distant until I can reset.</t>
        </is>
      </c>
      <c r="L186" s="2" t="n">
        <v>6</v>
      </c>
      <c r="M186" s="2" t="n">
        <v>7</v>
      </c>
      <c r="N186" s="2" t="n">
        <v>2</v>
      </c>
      <c r="O186" s="2" t="n">
        <v>2</v>
      </c>
      <c r="P186" s="2" t="n">
        <v>0</v>
      </c>
      <c r="Q186" s="2" t="inlineStr">
        <is>
          <t>Icebox</t>
        </is>
      </c>
      <c r="R186" s="2" t="n">
        <v>1</v>
      </c>
      <c r="S186" s="2" t="n"/>
      <c r="T186" s="2" t="n"/>
      <c r="U186" s="2" t="n">
        <v>0</v>
      </c>
      <c r="V186" s="2" t="inlineStr">
        <is>
          <t>masc:1.8;fem:-1.6</t>
        </is>
      </c>
      <c r="W186" s="2" t="n">
        <v>1.8</v>
      </c>
      <c r="X186" s="2" t="n">
        <v>-1.6</v>
      </c>
      <c r="Y186" s="2" t="inlineStr">
        <is>
          <t>COMM_Avoidant</t>
        </is>
      </c>
      <c r="Z186" s="2" t="inlineStr">
        <is>
          <t>REG_Suppressor</t>
        </is>
      </c>
      <c r="AA186" s="2" t="inlineStr">
        <is>
          <t>LANG_Time</t>
        </is>
      </c>
      <c r="AB186" s="2" t="inlineStr">
        <is>
          <t>Vulnerability_Loop , Affection_Mismatch</t>
        </is>
      </c>
      <c r="AC186" s="2" t="inlineStr">
        <is>
          <t>Vulnerability_Loop</t>
        </is>
      </c>
      <c r="AD186" s="2" t="inlineStr">
        <is>
          <t>Affection_Mismatch</t>
        </is>
      </c>
      <c r="AE186" s="2" t="n">
        <v>9</v>
      </c>
      <c r="AF186" s="2" t="inlineStr">
        <is>
          <t>emotional lockdown</t>
        </is>
      </c>
      <c r="AG186" s="2" t="inlineStr">
        <is>
          <t>space taker</t>
        </is>
      </c>
      <c r="AH186" s="2" t="n">
        <v>0.6</v>
      </c>
      <c r="AI186" s="2" t="inlineStr">
        <is>
          <t>yes</t>
        </is>
      </c>
      <c r="AJ186" s="2" t="inlineStr">
        <is>
          <t>no</t>
        </is>
      </c>
      <c r="AK186" s="2" t="inlineStr">
        <is>
          <t>yes</t>
        </is>
      </c>
      <c r="AL186" s="2" t="inlineStr">
        <is>
          <t>yes</t>
        </is>
      </c>
      <c r="AM186" s="2" t="n"/>
      <c r="AN186" s="2" t="n"/>
      <c r="AO186" s="2" t="n"/>
      <c r="AP186" s="2" t="inlineStr">
        <is>
          <t>v3_2026-03-19</t>
        </is>
      </c>
    </row>
    <row r="187" ht="121.5" customHeight="1" s="10">
      <c r="A187" s="2" t="inlineStr">
        <is>
          <t>Q38_A</t>
        </is>
      </c>
      <c r="B187" s="2" t="n">
        <v>38</v>
      </c>
      <c r="C187" s="2" t="n">
        <v>38</v>
      </c>
      <c r="D187" s="2" t="inlineStr">
        <is>
          <t>Core</t>
        </is>
      </c>
      <c r="E187" s="2" t="n">
        <v>1.2</v>
      </c>
      <c r="F187" s="2" t="inlineStr">
        <is>
          <t>CommitmentPace</t>
        </is>
      </c>
      <c r="G187" s="2" t="inlineStr">
        <is>
          <t>IntentAlignment</t>
        </is>
      </c>
      <c r="H187" s="2" t="inlineStr">
        <is>
          <t>Someone starts seeing the real you-your fears, flaws, the stuff you don't usually show. What happens next?</t>
        </is>
      </c>
      <c r="I187" s="2" t="inlineStr">
        <is>
          <t>A</t>
        </is>
      </c>
      <c r="J187" s="2" t="inlineStr">
        <is>
          <t>A</t>
        </is>
      </c>
      <c r="K187" s="2" t="inlineStr">
        <is>
          <t>I act normal on the surface, but I start scanning everything they say after that, looking for proof they meant it.</t>
        </is>
      </c>
      <c r="L187" s="2" t="n">
        <v>7</v>
      </c>
      <c r="M187" s="2" t="n">
        <v>8</v>
      </c>
      <c r="N187" s="2" t="n">
        <v>6</v>
      </c>
      <c r="O187" s="2" t="n">
        <v>8</v>
      </c>
      <c r="P187" s="2" t="n">
        <v>6</v>
      </c>
      <c r="Q187" s="2" t="inlineStr">
        <is>
          <t>Analyzer</t>
        </is>
      </c>
      <c r="R187" s="2" t="n">
        <v>2</v>
      </c>
      <c r="S187" s="2" t="n"/>
      <c r="T187" s="2" t="n"/>
      <c r="U187" s="2" t="n">
        <v>0</v>
      </c>
      <c r="V187" s="2" t="inlineStr">
        <is>
          <t>masc:1.4;fem:0.1</t>
        </is>
      </c>
      <c r="W187" s="2" t="n">
        <v>1.4</v>
      </c>
      <c r="X187" s="2" t="n">
        <v>0.1</v>
      </c>
      <c r="Y187" s="2" t="inlineStr">
        <is>
          <t>COMM_Logical</t>
        </is>
      </c>
      <c r="Z187" s="2" t="inlineStr">
        <is>
          <t>REG_SelfSoother</t>
        </is>
      </c>
      <c r="AA187" s="2" t="inlineStr">
        <is>
          <t>LANG_Service</t>
        </is>
      </c>
      <c r="AB187" s="2" t="n"/>
      <c r="AC187" s="2" t="n"/>
      <c r="AD187" s="2" t="n"/>
      <c r="AE187" s="2" t="n">
        <v>0</v>
      </c>
      <c r="AF187" s="2" t="inlineStr">
        <is>
          <t>authenticity investigator</t>
        </is>
      </c>
      <c r="AG187" s="2" t="inlineStr">
        <is>
          <t>intent checker</t>
        </is>
      </c>
      <c r="AH187" s="2" t="n">
        <v>0</v>
      </c>
      <c r="AI187" s="2" t="inlineStr">
        <is>
          <t>no</t>
        </is>
      </c>
      <c r="AJ187" s="2" t="inlineStr">
        <is>
          <t>no</t>
        </is>
      </c>
      <c r="AK187" s="2" t="inlineStr">
        <is>
          <t>yes</t>
        </is>
      </c>
      <c r="AL187" s="2" t="inlineStr">
        <is>
          <t>yes</t>
        </is>
      </c>
      <c r="AM187" s="2" t="n"/>
      <c r="AN187" s="2" t="n"/>
      <c r="AO187" s="2" t="n"/>
      <c r="AP187" s="2" t="inlineStr">
        <is>
          <t>v3_2026-03-19</t>
        </is>
      </c>
    </row>
    <row r="188" ht="94.5" customHeight="1" s="10">
      <c r="A188" s="2" t="inlineStr">
        <is>
          <t>Q38_B</t>
        </is>
      </c>
      <c r="B188" s="2" t="n">
        <v>38</v>
      </c>
      <c r="C188" s="2" t="n">
        <v>38</v>
      </c>
      <c r="D188" s="2" t="inlineStr">
        <is>
          <t>Core</t>
        </is>
      </c>
      <c r="E188" s="2" t="n">
        <v>1.2</v>
      </c>
      <c r="F188" s="2" t="inlineStr">
        <is>
          <t>CommitmentPace</t>
        </is>
      </c>
      <c r="G188" s="2" t="inlineStr">
        <is>
          <t>IntentAlignment</t>
        </is>
      </c>
      <c r="H188" s="2" t="n"/>
      <c r="I188" s="2" t="inlineStr">
        <is>
          <t>B</t>
        </is>
      </c>
      <c r="J188" s="2" t="inlineStr">
        <is>
          <t>B</t>
        </is>
      </c>
      <c r="K188" s="2" t="inlineStr">
        <is>
          <t>I keep it light. They think they're seeing the real me, but I know what I hold back.</t>
        </is>
      </c>
      <c r="L188" s="2" t="n">
        <v>6</v>
      </c>
      <c r="M188" s="2" t="n">
        <v>7</v>
      </c>
      <c r="N188" s="2" t="n">
        <v>4</v>
      </c>
      <c r="O188" s="2" t="n">
        <v>4</v>
      </c>
      <c r="P188" s="2" t="n">
        <v>2</v>
      </c>
      <c r="Q188" s="2" t="inlineStr">
        <is>
          <t>Performer</t>
        </is>
      </c>
      <c r="R188" s="2" t="n">
        <v>7</v>
      </c>
      <c r="S188" s="2" t="n"/>
      <c r="T188" s="2" t="n"/>
      <c r="U188" s="2" t="n">
        <v>0</v>
      </c>
      <c r="V188" s="2" t="inlineStr">
        <is>
          <t>masc:0.3;fem:0.5</t>
        </is>
      </c>
      <c r="W188" s="2" t="n">
        <v>0.3</v>
      </c>
      <c r="X188" s="2" t="n">
        <v>0.5</v>
      </c>
      <c r="Y188" s="2" t="inlineStr">
        <is>
          <t>COMM_Indirect</t>
        </is>
      </c>
      <c r="Z188" s="2" t="inlineStr">
        <is>
          <t>REG_Distractor</t>
        </is>
      </c>
      <c r="AA188" s="2" t="inlineStr">
        <is>
          <t>LANG_Gifts</t>
        </is>
      </c>
      <c r="AB188" s="2" t="inlineStr">
        <is>
          <t>Conflict_Flip</t>
        </is>
      </c>
      <c r="AC188" s="2" t="inlineStr">
        <is>
          <t>Conflict_Flip</t>
        </is>
      </c>
      <c r="AD188" s="2" t="n"/>
      <c r="AE188" s="2" t="n">
        <v>4</v>
      </c>
      <c r="AF188" s="2" t="inlineStr">
        <is>
          <t>strategic revelation</t>
        </is>
      </c>
      <c r="AG188" s="2" t="inlineStr">
        <is>
          <t>controlled sharer</t>
        </is>
      </c>
      <c r="AH188" s="2" t="n">
        <v>0</v>
      </c>
      <c r="AI188" s="2" t="inlineStr">
        <is>
          <t>yes</t>
        </is>
      </c>
      <c r="AJ188" s="2" t="inlineStr">
        <is>
          <t>no</t>
        </is>
      </c>
      <c r="AK188" s="2" t="inlineStr">
        <is>
          <t>yes</t>
        </is>
      </c>
      <c r="AL188" s="2" t="inlineStr">
        <is>
          <t>yes</t>
        </is>
      </c>
      <c r="AM188" s="2" t="n"/>
      <c r="AN188" s="2" t="n"/>
      <c r="AO188" s="2" t="n"/>
      <c r="AP188" s="2" t="inlineStr">
        <is>
          <t>v3_2026-03-19</t>
        </is>
      </c>
    </row>
    <row r="189" ht="108" customHeight="1" s="10">
      <c r="A189" s="2" t="inlineStr">
        <is>
          <t>Q38_C</t>
        </is>
      </c>
      <c r="B189" s="2" t="n">
        <v>38</v>
      </c>
      <c r="C189" s="2" t="n">
        <v>38</v>
      </c>
      <c r="D189" s="2" t="inlineStr">
        <is>
          <t>Core</t>
        </is>
      </c>
      <c r="E189" s="2" t="n">
        <v>1.2</v>
      </c>
      <c r="F189" s="2" t="inlineStr">
        <is>
          <t>CommitmentPace</t>
        </is>
      </c>
      <c r="G189" s="2" t="inlineStr">
        <is>
          <t>IntentAlignment</t>
        </is>
      </c>
      <c r="H189" s="2" t="n"/>
      <c r="I189" s="2" t="inlineStr">
        <is>
          <t>C</t>
        </is>
      </c>
      <c r="J189" s="2" t="inlineStr">
        <is>
          <t>C</t>
        </is>
      </c>
      <c r="K189" s="2" t="inlineStr">
        <is>
          <t>I pull back a little. It's not that I don't want to be seen, it's that I don't trust what they'll do with it.</t>
        </is>
      </c>
      <c r="L189" s="2" t="n">
        <v>7</v>
      </c>
      <c r="M189" s="2" t="n">
        <v>8</v>
      </c>
      <c r="N189" s="2" t="n">
        <v>4</v>
      </c>
      <c r="O189" s="2" t="n">
        <v>4</v>
      </c>
      <c r="P189" s="2" t="n">
        <v>0</v>
      </c>
      <c r="Q189" s="2" t="inlineStr">
        <is>
          <t>Icebox</t>
        </is>
      </c>
      <c r="R189" s="2" t="n">
        <v>1</v>
      </c>
      <c r="S189" s="2" t="n"/>
      <c r="T189" s="2" t="n"/>
      <c r="U189" s="2" t="n">
        <v>0</v>
      </c>
      <c r="V189" s="2" t="inlineStr">
        <is>
          <t>masc:1.8;fem:-1.6</t>
        </is>
      </c>
      <c r="W189" s="2" t="n">
        <v>1.8</v>
      </c>
      <c r="X189" s="2" t="n">
        <v>-1.6</v>
      </c>
      <c r="Y189" s="2" t="inlineStr">
        <is>
          <t>COMM_Avoidant</t>
        </is>
      </c>
      <c r="Z189" s="2" t="inlineStr">
        <is>
          <t>REG_Suppressor</t>
        </is>
      </c>
      <c r="AA189" s="2" t="inlineStr">
        <is>
          <t>LANG_Time</t>
        </is>
      </c>
      <c r="AB189" s="2" t="n"/>
      <c r="AC189" s="2" t="n"/>
      <c r="AD189" s="2" t="n"/>
      <c r="AE189" s="2" t="n">
        <v>0</v>
      </c>
      <c r="AF189" s="2" t="inlineStr">
        <is>
          <t>defensive vulnerability delay</t>
        </is>
      </c>
      <c r="AG189" s="2" t="inlineStr">
        <is>
          <t>cautious opener</t>
        </is>
      </c>
      <c r="AH189" s="2" t="n">
        <v>0.6</v>
      </c>
      <c r="AI189" s="2" t="inlineStr">
        <is>
          <t>no</t>
        </is>
      </c>
      <c r="AJ189" s="2" t="inlineStr">
        <is>
          <t>no</t>
        </is>
      </c>
      <c r="AK189" s="2" t="inlineStr">
        <is>
          <t>yes</t>
        </is>
      </c>
      <c r="AL189" s="2" t="inlineStr">
        <is>
          <t>yes</t>
        </is>
      </c>
      <c r="AM189" s="2" t="n"/>
      <c r="AN189" s="2" t="n"/>
      <c r="AO189" s="2" t="n"/>
      <c r="AP189" s="2" t="inlineStr">
        <is>
          <t>v3_2026-03-19</t>
        </is>
      </c>
    </row>
    <row r="190" ht="121.5" customHeight="1" s="10">
      <c r="A190" s="2" t="inlineStr">
        <is>
          <t>Q38_D</t>
        </is>
      </c>
      <c r="B190" s="2" t="n">
        <v>38</v>
      </c>
      <c r="C190" s="2" t="n">
        <v>38</v>
      </c>
      <c r="D190" s="2" t="inlineStr">
        <is>
          <t>Core</t>
        </is>
      </c>
      <c r="E190" s="2" t="n">
        <v>1.2</v>
      </c>
      <c r="F190" s="2" t="inlineStr">
        <is>
          <t>CommitmentPace</t>
        </is>
      </c>
      <c r="G190" s="2" t="inlineStr">
        <is>
          <t>IntentAlignment</t>
        </is>
      </c>
      <c r="H190" s="2" t="n"/>
      <c r="I190" s="2" t="inlineStr">
        <is>
          <t>D</t>
        </is>
      </c>
      <c r="J190" s="2" t="inlineStr">
        <is>
          <t>D</t>
        </is>
      </c>
      <c r="K190" s="2" t="inlineStr">
        <is>
          <t>I start thinking it's too good to be true. I wonder how long until they get tired of the real me.</t>
        </is>
      </c>
      <c r="L190" s="2" t="n">
        <v>5</v>
      </c>
      <c r="M190" s="2" t="n">
        <v>6</v>
      </c>
      <c r="N190" s="2" t="n">
        <v>2</v>
      </c>
      <c r="O190" s="2" t="n">
        <v>4</v>
      </c>
      <c r="P190" s="2" t="n">
        <v>2</v>
      </c>
      <c r="Q190" s="2" t="inlineStr">
        <is>
          <t>Phantom Seeker</t>
        </is>
      </c>
      <c r="R190" s="2" t="n">
        <v>10</v>
      </c>
      <c r="S190" s="2" t="n"/>
      <c r="T190" s="2" t="n"/>
      <c r="U190" s="2" t="n">
        <v>0</v>
      </c>
      <c r="V190" s="2" t="inlineStr">
        <is>
          <t>masc:-0.2;fem:1.5</t>
        </is>
      </c>
      <c r="W190" s="2" t="n">
        <v>-0.2</v>
      </c>
      <c r="X190" s="2" t="n">
        <v>1.5</v>
      </c>
      <c r="Y190" s="2" t="inlineStr">
        <is>
          <t>COMM_Emotional</t>
        </is>
      </c>
      <c r="Z190" s="2" t="inlineStr">
        <is>
          <t>REG_SelfSoother</t>
        </is>
      </c>
      <c r="AA190" s="2" t="inlineStr">
        <is>
          <t>LANG_Touch</t>
        </is>
      </c>
      <c r="AB190" s="2" t="inlineStr">
        <is>
          <t>Vulnerability_Loop</t>
        </is>
      </c>
      <c r="AC190" s="2" t="inlineStr">
        <is>
          <t>Vulnerability_Loop</t>
        </is>
      </c>
      <c r="AD190" s="2" t="n"/>
      <c r="AE190" s="2" t="n">
        <v>5</v>
      </c>
      <c r="AF190" s="2" t="inlineStr">
        <is>
          <t>impostor attachment</t>
        </is>
      </c>
      <c r="AG190" s="2" t="inlineStr">
        <is>
          <t>doubtful connector</t>
        </is>
      </c>
      <c r="AH190" s="2" t="n">
        <v>0</v>
      </c>
      <c r="AI190" s="2" t="inlineStr">
        <is>
          <t>yes</t>
        </is>
      </c>
      <c r="AJ190" s="2" t="inlineStr">
        <is>
          <t>no</t>
        </is>
      </c>
      <c r="AK190" s="2" t="inlineStr">
        <is>
          <t>yes</t>
        </is>
      </c>
      <c r="AL190" s="2" t="inlineStr">
        <is>
          <t>yes</t>
        </is>
      </c>
      <c r="AM190" s="2" t="n"/>
      <c r="AN190" s="2" t="n"/>
      <c r="AO190" s="2" t="n"/>
      <c r="AP190" s="2" t="inlineStr">
        <is>
          <t>v3_2026-03-19</t>
        </is>
      </c>
    </row>
    <row r="191" ht="121.5" customHeight="1" s="10">
      <c r="A191" s="2" t="inlineStr">
        <is>
          <t>Q38_E</t>
        </is>
      </c>
      <c r="B191" s="2" t="n">
        <v>38</v>
      </c>
      <c r="C191" s="2" t="n">
        <v>38</v>
      </c>
      <c r="D191" s="2" t="inlineStr">
        <is>
          <t>Core</t>
        </is>
      </c>
      <c r="E191" s="2" t="n">
        <v>1.2</v>
      </c>
      <c r="F191" s="2" t="inlineStr">
        <is>
          <t>CommitmentPace</t>
        </is>
      </c>
      <c r="G191" s="2" t="inlineStr">
        <is>
          <t>IntentAlignment</t>
        </is>
      </c>
      <c r="H191" s="2" t="n"/>
      <c r="I191" s="2" t="inlineStr">
        <is>
          <t>E</t>
        </is>
      </c>
      <c r="J191" s="2" t="inlineStr">
        <is>
          <t>E</t>
        </is>
      </c>
      <c r="K191" s="2" t="inlineStr">
        <is>
          <t>I try to prove I'm worth staying for-get more helpful, more thoughtful, like I need to earn that kind of care.</t>
        </is>
      </c>
      <c r="L191" s="2" t="n">
        <v>5</v>
      </c>
      <c r="M191" s="2" t="n">
        <v>6</v>
      </c>
      <c r="N191" s="2" t="n">
        <v>4</v>
      </c>
      <c r="O191" s="2" t="n">
        <v>4</v>
      </c>
      <c r="P191" s="2" t="n">
        <v>4</v>
      </c>
      <c r="Q191" s="2" t="inlineStr">
        <is>
          <t>Fixer</t>
        </is>
      </c>
      <c r="R191" s="2" t="n">
        <v>5</v>
      </c>
      <c r="S191" s="2" t="n"/>
      <c r="T191" s="2" t="n"/>
      <c r="U191" s="2" t="n">
        <v>0</v>
      </c>
      <c r="V191" s="2" t="inlineStr">
        <is>
          <t>masc:-0.4;fem:2.0</t>
        </is>
      </c>
      <c r="W191" s="2" t="n">
        <v>-0.4</v>
      </c>
      <c r="X191" s="2" t="n">
        <v>2</v>
      </c>
      <c r="Y191" s="2" t="inlineStr">
        <is>
          <t>COMM_Emotional</t>
        </is>
      </c>
      <c r="Z191" s="2" t="inlineStr">
        <is>
          <t>REG_CoRegulator</t>
        </is>
      </c>
      <c r="AA191" s="2" t="inlineStr">
        <is>
          <t>LANG_Service</t>
        </is>
      </c>
      <c r="AB191" s="2" t="inlineStr">
        <is>
          <t>Vulnerability_Loop</t>
        </is>
      </c>
      <c r="AC191" s="2" t="inlineStr">
        <is>
          <t>Vulnerability_Loop</t>
        </is>
      </c>
      <c r="AD191" s="2" t="n"/>
      <c r="AE191" s="2" t="n">
        <v>5</v>
      </c>
      <c r="AF191" s="2" t="inlineStr">
        <is>
          <t>worth-proving reflex</t>
        </is>
      </c>
      <c r="AG191" s="2" t="inlineStr">
        <is>
          <t>service justifier</t>
        </is>
      </c>
      <c r="AH191" s="2" t="n">
        <v>0</v>
      </c>
      <c r="AI191" s="2" t="inlineStr">
        <is>
          <t>yes</t>
        </is>
      </c>
      <c r="AJ191" s="2" t="inlineStr">
        <is>
          <t>no</t>
        </is>
      </c>
      <c r="AK191" s="2" t="inlineStr">
        <is>
          <t>yes</t>
        </is>
      </c>
      <c r="AL191" s="2" t="inlineStr">
        <is>
          <t>yes</t>
        </is>
      </c>
      <c r="AM191" s="2" t="n"/>
      <c r="AN191" s="2" t="n"/>
      <c r="AO191" s="2" t="n"/>
      <c r="AP191" s="2" t="inlineStr">
        <is>
          <t>v3_2026-03-19</t>
        </is>
      </c>
    </row>
    <row r="192" ht="135" customHeight="1" s="10">
      <c r="A192" s="2" t="inlineStr">
        <is>
          <t>Q39_A</t>
        </is>
      </c>
      <c r="B192" s="2" t="n">
        <v>39</v>
      </c>
      <c r="C192" s="2" t="n">
        <v>39</v>
      </c>
      <c r="D192" s="2" t="inlineStr">
        <is>
          <t>Core</t>
        </is>
      </c>
      <c r="E192" s="2" t="n">
        <v>1.2</v>
      </c>
      <c r="F192" s="2" t="inlineStr">
        <is>
          <t>CommitmentPace</t>
        </is>
      </c>
      <c r="G192" s="2" t="inlineStr">
        <is>
          <t>IntentAlignment</t>
        </is>
      </c>
      <c r="H192" s="2" t="inlineStr">
        <is>
          <t>Someone you care about starts spiraling emotionally-maybe crying, venting, or breaking down. What's your honest first instinct?</t>
        </is>
      </c>
      <c r="I192" s="2" t="inlineStr">
        <is>
          <t>A</t>
        </is>
      </c>
      <c r="J192" s="2" t="inlineStr">
        <is>
          <t>A</t>
        </is>
      </c>
      <c r="K192" s="2" t="inlineStr">
        <is>
          <t>I freeze a little. I care, but I don't always know what to do when it gets intense.</t>
        </is>
      </c>
      <c r="L192" s="2" t="n">
        <v>6</v>
      </c>
      <c r="M192" s="2" t="n">
        <v>7</v>
      </c>
      <c r="N192" s="2" t="n">
        <v>2</v>
      </c>
      <c r="O192" s="2" t="n">
        <v>2</v>
      </c>
      <c r="P192" s="2" t="n">
        <v>0</v>
      </c>
      <c r="Q192" s="2" t="inlineStr">
        <is>
          <t>Icebox</t>
        </is>
      </c>
      <c r="R192" s="2" t="n">
        <v>1</v>
      </c>
      <c r="S192" s="2" t="n"/>
      <c r="T192" s="2" t="n"/>
      <c r="U192" s="2" t="n">
        <v>0</v>
      </c>
      <c r="V192" s="2" t="inlineStr">
        <is>
          <t>masc:1.8;fem:-1.6</t>
        </is>
      </c>
      <c r="W192" s="2" t="n">
        <v>1.8</v>
      </c>
      <c r="X192" s="2" t="n">
        <v>-1.6</v>
      </c>
      <c r="Y192" s="2" t="inlineStr">
        <is>
          <t>COMM_Avoidant</t>
        </is>
      </c>
      <c r="Z192" s="2" t="inlineStr">
        <is>
          <t>REG_Suppressor</t>
        </is>
      </c>
      <c r="AA192" s="2" t="inlineStr">
        <is>
          <t>LANG_Time</t>
        </is>
      </c>
      <c r="AB192" s="2" t="inlineStr">
        <is>
          <t>Vulnerability_Loop</t>
        </is>
      </c>
      <c r="AC192" s="2" t="inlineStr">
        <is>
          <t>Vulnerability_Loop</t>
        </is>
      </c>
      <c r="AD192" s="2" t="n"/>
      <c r="AE192" s="2" t="n">
        <v>5</v>
      </c>
      <c r="AF192" s="2" t="inlineStr">
        <is>
          <t>empathic freeze response</t>
        </is>
      </c>
      <c r="AG192" s="2" t="inlineStr">
        <is>
          <t>unsure supporter</t>
        </is>
      </c>
      <c r="AH192" s="2" t="n">
        <v>0</v>
      </c>
      <c r="AI192" s="2" t="inlineStr">
        <is>
          <t>yes</t>
        </is>
      </c>
      <c r="AJ192" s="2" t="inlineStr">
        <is>
          <t>no</t>
        </is>
      </c>
      <c r="AK192" s="2" t="inlineStr">
        <is>
          <t>yes</t>
        </is>
      </c>
      <c r="AL192" s="2" t="inlineStr">
        <is>
          <t>yes</t>
        </is>
      </c>
      <c r="AM192" s="2" t="n"/>
      <c r="AN192" s="2" t="n"/>
      <c r="AO192" s="2" t="n"/>
      <c r="AP192" s="2" t="inlineStr">
        <is>
          <t>v3_2026-03-19</t>
        </is>
      </c>
    </row>
    <row r="193" ht="108" customHeight="1" s="10">
      <c r="A193" s="2" t="inlineStr">
        <is>
          <t>Q39_B</t>
        </is>
      </c>
      <c r="B193" s="2" t="n">
        <v>39</v>
      </c>
      <c r="C193" s="2" t="n">
        <v>39</v>
      </c>
      <c r="D193" s="2" t="inlineStr">
        <is>
          <t>Core</t>
        </is>
      </c>
      <c r="E193" s="2" t="n">
        <v>1.2</v>
      </c>
      <c r="F193" s="2" t="inlineStr">
        <is>
          <t>CommitmentPace</t>
        </is>
      </c>
      <c r="G193" s="2" t="inlineStr">
        <is>
          <t>IntentAlignment</t>
        </is>
      </c>
      <c r="H193" s="2" t="n"/>
      <c r="I193" s="2" t="inlineStr">
        <is>
          <t>B</t>
        </is>
      </c>
      <c r="J193" s="2" t="inlineStr">
        <is>
          <t>B</t>
        </is>
      </c>
      <c r="K193" s="2" t="inlineStr">
        <is>
          <t>I jump into soothe mode-even if I'm overwhelmed too. I just want to make it stop for them.</t>
        </is>
      </c>
      <c r="L193" s="2" t="n">
        <v>8</v>
      </c>
      <c r="M193" s="2" t="n">
        <v>9</v>
      </c>
      <c r="N193" s="2" t="n">
        <v>8</v>
      </c>
      <c r="O193" s="2" t="n">
        <v>10</v>
      </c>
      <c r="P193" s="2" t="n">
        <v>8</v>
      </c>
      <c r="Q193" s="2" t="inlineStr">
        <is>
          <t>Fixer</t>
        </is>
      </c>
      <c r="R193" s="2" t="n">
        <v>5</v>
      </c>
      <c r="S193" s="2" t="n"/>
      <c r="T193" s="2" t="n"/>
      <c r="U193" s="2" t="n">
        <v>0</v>
      </c>
      <c r="V193" s="2" t="inlineStr">
        <is>
          <t>masc:-0.4;fem:2.0</t>
        </is>
      </c>
      <c r="W193" s="2" t="n">
        <v>-0.4</v>
      </c>
      <c r="X193" s="2" t="n">
        <v>2</v>
      </c>
      <c r="Y193" s="2" t="inlineStr">
        <is>
          <t>COMM_Emotional</t>
        </is>
      </c>
      <c r="Z193" s="2" t="inlineStr">
        <is>
          <t>REG_CoRegulator</t>
        </is>
      </c>
      <c r="AA193" s="2" t="inlineStr">
        <is>
          <t>LANG_Service</t>
        </is>
      </c>
      <c r="AB193" s="2" t="n"/>
      <c r="AC193" s="2" t="n"/>
      <c r="AD193" s="2" t="n"/>
      <c r="AE193" s="2" t="n">
        <v>0</v>
      </c>
      <c r="AF193" s="2" t="inlineStr">
        <is>
          <t>emotional rescue reflex</t>
        </is>
      </c>
      <c r="AG193" s="2" t="inlineStr">
        <is>
          <t>active comforter</t>
        </is>
      </c>
      <c r="AH193" s="2" t="n">
        <v>0</v>
      </c>
      <c r="AI193" s="2" t="inlineStr">
        <is>
          <t>no</t>
        </is>
      </c>
      <c r="AJ193" s="2" t="inlineStr">
        <is>
          <t>no</t>
        </is>
      </c>
      <c r="AK193" s="2" t="inlineStr">
        <is>
          <t>yes</t>
        </is>
      </c>
      <c r="AL193" s="2" t="inlineStr">
        <is>
          <t>yes</t>
        </is>
      </c>
      <c r="AM193" s="2" t="n"/>
      <c r="AN193" s="2" t="n"/>
      <c r="AO193" s="2" t="n"/>
      <c r="AP193" s="2" t="inlineStr">
        <is>
          <t>v3_2026-03-19</t>
        </is>
      </c>
    </row>
    <row r="194" ht="148.5" customHeight="1" s="10">
      <c r="A194" s="2" t="inlineStr">
        <is>
          <t>Q39_C</t>
        </is>
      </c>
      <c r="B194" s="2" t="n">
        <v>39</v>
      </c>
      <c r="C194" s="2" t="n">
        <v>39</v>
      </c>
      <c r="D194" s="2" t="inlineStr">
        <is>
          <t>Core</t>
        </is>
      </c>
      <c r="E194" s="2" t="n">
        <v>1.2</v>
      </c>
      <c r="F194" s="2" t="inlineStr">
        <is>
          <t>CommitmentPace</t>
        </is>
      </c>
      <c r="G194" s="2" t="inlineStr">
        <is>
          <t>IntentAlignment</t>
        </is>
      </c>
      <c r="H194" s="2" t="n"/>
      <c r="I194" s="2" t="inlineStr">
        <is>
          <t>C</t>
        </is>
      </c>
      <c r="J194" s="2" t="inlineStr">
        <is>
          <t>C</t>
        </is>
      </c>
      <c r="K194" s="2" t="inlineStr">
        <is>
          <t>I try to keep my face calm while scanning for the root of what triggered it. I want to understand more than react.</t>
        </is>
      </c>
      <c r="L194" s="2" t="n">
        <v>8</v>
      </c>
      <c r="M194" s="2" t="n">
        <v>9</v>
      </c>
      <c r="N194" s="2" t="n">
        <v>8</v>
      </c>
      <c r="O194" s="2" t="n">
        <v>8</v>
      </c>
      <c r="P194" s="2" t="n">
        <v>8</v>
      </c>
      <c r="Q194" s="2" t="inlineStr">
        <is>
          <t>Analyzer</t>
        </is>
      </c>
      <c r="R194" s="2" t="n">
        <v>2</v>
      </c>
      <c r="S194" s="2" t="n"/>
      <c r="T194" s="2" t="n"/>
      <c r="U194" s="2" t="n">
        <v>0</v>
      </c>
      <c r="V194" s="2" t="inlineStr">
        <is>
          <t>masc:1.4;fem:0.1</t>
        </is>
      </c>
      <c r="W194" s="2" t="n">
        <v>1.4</v>
      </c>
      <c r="X194" s="2" t="n">
        <v>0.1</v>
      </c>
      <c r="Y194" s="2" t="inlineStr">
        <is>
          <t>COMM_Logical</t>
        </is>
      </c>
      <c r="Z194" s="2" t="inlineStr">
        <is>
          <t>REG_SelfSoother</t>
        </is>
      </c>
      <c r="AA194" s="2" t="inlineStr">
        <is>
          <t>LANG_Service</t>
        </is>
      </c>
      <c r="AB194" s="2" t="n"/>
      <c r="AC194" s="2" t="n"/>
      <c r="AD194" s="2" t="n"/>
      <c r="AE194" s="2" t="n">
        <v>0</v>
      </c>
      <c r="AF194" s="2" t="inlineStr">
        <is>
          <t>real-time emotional investigator</t>
        </is>
      </c>
      <c r="AG194" s="2" t="inlineStr">
        <is>
          <t>cause finder</t>
        </is>
      </c>
      <c r="AH194" s="2" t="n">
        <v>0</v>
      </c>
      <c r="AI194" s="2" t="inlineStr">
        <is>
          <t>no</t>
        </is>
      </c>
      <c r="AJ194" s="2" t="inlineStr">
        <is>
          <t>no</t>
        </is>
      </c>
      <c r="AK194" s="2" t="inlineStr">
        <is>
          <t>yes</t>
        </is>
      </c>
      <c r="AL194" s="2" t="inlineStr">
        <is>
          <t>yes</t>
        </is>
      </c>
      <c r="AM194" s="2" t="n"/>
      <c r="AN194" s="2" t="n"/>
      <c r="AO194" s="2" t="n"/>
      <c r="AP194" s="2" t="inlineStr">
        <is>
          <t>v3_2026-03-19</t>
        </is>
      </c>
    </row>
    <row r="195" ht="148.5" customHeight="1" s="10">
      <c r="A195" s="2" t="inlineStr">
        <is>
          <t>Q39_D</t>
        </is>
      </c>
      <c r="B195" s="2" t="n">
        <v>39</v>
      </c>
      <c r="C195" s="2" t="n">
        <v>39</v>
      </c>
      <c r="D195" s="2" t="inlineStr">
        <is>
          <t>Core</t>
        </is>
      </c>
      <c r="E195" s="2" t="n">
        <v>1.2</v>
      </c>
      <c r="F195" s="2" t="inlineStr">
        <is>
          <t>CommitmentPace</t>
        </is>
      </c>
      <c r="G195" s="2" t="inlineStr">
        <is>
          <t>IntentAlignment</t>
        </is>
      </c>
      <c r="H195" s="2" t="n"/>
      <c r="I195" s="2" t="inlineStr">
        <is>
          <t>D</t>
        </is>
      </c>
      <c r="J195" s="2" t="inlineStr">
        <is>
          <t>D</t>
        </is>
      </c>
      <c r="K195" s="2" t="inlineStr">
        <is>
          <t>I stay with them, but I don't say much. I figure they'll talk when they're ready-I just try to hold space without pressure.</t>
        </is>
      </c>
      <c r="L195" s="2" t="n">
        <v>8</v>
      </c>
      <c r="M195" s="2" t="n">
        <v>9</v>
      </c>
      <c r="N195" s="2" t="n">
        <v>8</v>
      </c>
      <c r="O195" s="2" t="n">
        <v>8</v>
      </c>
      <c r="P195" s="2" t="n">
        <v>8</v>
      </c>
      <c r="Q195" s="2" t="inlineStr">
        <is>
          <t>Survivor</t>
        </is>
      </c>
      <c r="R195" s="2" t="n">
        <v>8</v>
      </c>
      <c r="S195" s="2" t="n"/>
      <c r="T195" s="2" t="n"/>
      <c r="U195" s="2" t="n">
        <v>0</v>
      </c>
      <c r="V195" s="2" t="inlineStr">
        <is>
          <t>masc:0.3;fem:1.3</t>
        </is>
      </c>
      <c r="W195" s="2" t="n">
        <v>0.3</v>
      </c>
      <c r="X195" s="2" t="n">
        <v>1.3</v>
      </c>
      <c r="Y195" s="2" t="inlineStr">
        <is>
          <t>COMM_Emotional</t>
        </is>
      </c>
      <c r="Z195" s="2" t="inlineStr">
        <is>
          <t>REG_SelfSoother</t>
        </is>
      </c>
      <c r="AA195" s="2" t="inlineStr">
        <is>
          <t>LANG_Service</t>
        </is>
      </c>
      <c r="AB195" s="2" t="n"/>
      <c r="AC195" s="2" t="n"/>
      <c r="AD195" s="2" t="n"/>
      <c r="AE195" s="2" t="n">
        <v>0</v>
      </c>
      <c r="AF195" s="2" t="inlineStr">
        <is>
          <t>quiet steady presence</t>
        </is>
      </c>
      <c r="AG195" s="2" t="inlineStr">
        <is>
          <t>silent anchor</t>
        </is>
      </c>
      <c r="AH195" s="2" t="n">
        <v>0.6</v>
      </c>
      <c r="AI195" s="2" t="inlineStr">
        <is>
          <t>no</t>
        </is>
      </c>
      <c r="AJ195" s="2" t="inlineStr">
        <is>
          <t>no</t>
        </is>
      </c>
      <c r="AK195" s="2" t="inlineStr">
        <is>
          <t>yes</t>
        </is>
      </c>
      <c r="AL195" s="2" t="inlineStr">
        <is>
          <t>yes</t>
        </is>
      </c>
      <c r="AM195" s="2" t="n"/>
      <c r="AN195" s="2" t="n"/>
      <c r="AO195" s="2" t="n"/>
      <c r="AP195" s="2" t="inlineStr">
        <is>
          <t>v3_2026-03-19</t>
        </is>
      </c>
    </row>
    <row r="196" ht="121.5" customHeight="1" s="10">
      <c r="A196" s="2" t="inlineStr">
        <is>
          <t>Q39_E</t>
        </is>
      </c>
      <c r="B196" s="2" t="n">
        <v>39</v>
      </c>
      <c r="C196" s="2" t="n">
        <v>39</v>
      </c>
      <c r="D196" s="2" t="inlineStr">
        <is>
          <t>Core</t>
        </is>
      </c>
      <c r="E196" s="2" t="n">
        <v>1.2</v>
      </c>
      <c r="F196" s="2" t="inlineStr">
        <is>
          <t>CommitmentPace</t>
        </is>
      </c>
      <c r="G196" s="2" t="inlineStr">
        <is>
          <t>IntentAlignment</t>
        </is>
      </c>
      <c r="H196" s="2" t="n"/>
      <c r="I196" s="2" t="inlineStr">
        <is>
          <t>E</t>
        </is>
      </c>
      <c r="J196" s="2" t="inlineStr">
        <is>
          <t>E</t>
        </is>
      </c>
      <c r="K196" s="2" t="inlineStr">
        <is>
          <t>I redirect. Ask if they wanna get food or watch something-anything to ground them and shift the energy.</t>
        </is>
      </c>
      <c r="L196" s="2" t="n">
        <v>6</v>
      </c>
      <c r="M196" s="2" t="n">
        <v>7</v>
      </c>
      <c r="N196" s="2" t="n">
        <v>4</v>
      </c>
      <c r="O196" s="2" t="n">
        <v>4</v>
      </c>
      <c r="P196" s="2" t="n">
        <v>2</v>
      </c>
      <c r="Q196" s="2" t="inlineStr">
        <is>
          <t>Performer</t>
        </is>
      </c>
      <c r="R196" s="2" t="n">
        <v>7</v>
      </c>
      <c r="S196" s="2" t="n"/>
      <c r="T196" s="2" t="n"/>
      <c r="U196" s="2" t="n">
        <v>0</v>
      </c>
      <c r="V196" s="2" t="inlineStr">
        <is>
          <t>masc:0.3;fem:0.5</t>
        </is>
      </c>
      <c r="W196" s="2" t="n">
        <v>0.3</v>
      </c>
      <c r="X196" s="2" t="n">
        <v>0.5</v>
      </c>
      <c r="Y196" s="2" t="inlineStr">
        <is>
          <t>COMM_Indirect</t>
        </is>
      </c>
      <c r="Z196" s="2" t="inlineStr">
        <is>
          <t>REG_Distractor</t>
        </is>
      </c>
      <c r="AA196" s="2" t="inlineStr">
        <is>
          <t>LANG_Gifts</t>
        </is>
      </c>
      <c r="AB196" s="2" t="inlineStr">
        <is>
          <t>Conflict_Flip</t>
        </is>
      </c>
      <c r="AC196" s="2" t="inlineStr">
        <is>
          <t>Conflict_Flip</t>
        </is>
      </c>
      <c r="AD196" s="2" t="n"/>
      <c r="AE196" s="2" t="n">
        <v>4</v>
      </c>
      <c r="AF196" s="2" t="inlineStr">
        <is>
          <t>soothing through distraction</t>
        </is>
      </c>
      <c r="AG196" s="2" t="inlineStr">
        <is>
          <t>light energy shifter</t>
        </is>
      </c>
      <c r="AH196" s="2" t="n">
        <v>0</v>
      </c>
      <c r="AI196" s="2" t="inlineStr">
        <is>
          <t>yes</t>
        </is>
      </c>
      <c r="AJ196" s="2" t="inlineStr">
        <is>
          <t>no</t>
        </is>
      </c>
      <c r="AK196" s="2" t="inlineStr">
        <is>
          <t>yes</t>
        </is>
      </c>
      <c r="AL196" s="2" t="inlineStr">
        <is>
          <t>yes</t>
        </is>
      </c>
      <c r="AM196" s="2" t="n"/>
      <c r="AN196" s="2" t="n"/>
      <c r="AO196" s="2" t="n"/>
      <c r="AP196" s="2" t="inlineStr">
        <is>
          <t>v3_2026-03-19</t>
        </is>
      </c>
    </row>
    <row r="197" ht="94.5" customHeight="1" s="10">
      <c r="A197" s="2" t="inlineStr">
        <is>
          <t>Q40_A</t>
        </is>
      </c>
      <c r="B197" s="2" t="n">
        <v>40</v>
      </c>
      <c r="C197" s="2" t="n">
        <v>40</v>
      </c>
      <c r="D197" s="2" t="inlineStr">
        <is>
          <t>Core</t>
        </is>
      </c>
      <c r="E197" s="2" t="n">
        <v>1.2</v>
      </c>
      <c r="F197" s="2" t="inlineStr">
        <is>
          <t>CommitmentPace</t>
        </is>
      </c>
      <c r="G197" s="2" t="inlineStr">
        <is>
          <t>IntentAlignment</t>
        </is>
      </c>
      <c r="H197" s="2" t="inlineStr">
        <is>
          <t>If you're being honest-what's usually the real reason you try to win someone over?</t>
        </is>
      </c>
      <c r="I197" s="2" t="inlineStr">
        <is>
          <t>A</t>
        </is>
      </c>
      <c r="J197" s="2" t="inlineStr">
        <is>
          <t>A</t>
        </is>
      </c>
      <c r="K197" s="2" t="inlineStr">
        <is>
          <t>To prove I'm wanted. If I'm chosen, it means I'm not as forgettable as I feel.</t>
        </is>
      </c>
      <c r="L197" s="2" t="n">
        <v>4</v>
      </c>
      <c r="M197" s="2" t="n">
        <v>5</v>
      </c>
      <c r="N197" s="2" t="n">
        <v>2</v>
      </c>
      <c r="O197" s="2" t="n">
        <v>2</v>
      </c>
      <c r="P197" s="2" t="n">
        <v>0</v>
      </c>
      <c r="Q197" s="2" t="inlineStr">
        <is>
          <t>Phantom Seeker</t>
        </is>
      </c>
      <c r="R197" s="2" t="n">
        <v>10</v>
      </c>
      <c r="S197" s="2" t="n"/>
      <c r="T197" s="2" t="n"/>
      <c r="U197" s="2" t="n">
        <v>0</v>
      </c>
      <c r="V197" s="2" t="inlineStr">
        <is>
          <t>masc:-0.2;fem:1.5</t>
        </is>
      </c>
      <c r="W197" s="2" t="n">
        <v>-0.2</v>
      </c>
      <c r="X197" s="2" t="n">
        <v>1.5</v>
      </c>
      <c r="Y197" s="2" t="inlineStr">
        <is>
          <t>COMM_Emotional</t>
        </is>
      </c>
      <c r="Z197" s="2" t="inlineStr">
        <is>
          <t>REG_SelfSoother</t>
        </is>
      </c>
      <c r="AA197" s="2" t="inlineStr">
        <is>
          <t>LANG_Touch</t>
        </is>
      </c>
      <c r="AB197" s="2" t="inlineStr">
        <is>
          <t>Vulnerability_Loop</t>
        </is>
      </c>
      <c r="AC197" s="2" t="inlineStr">
        <is>
          <t>Vulnerability_Loop</t>
        </is>
      </c>
      <c r="AD197" s="2" t="n"/>
      <c r="AE197" s="2" t="n">
        <v>5</v>
      </c>
      <c r="AF197" s="2" t="inlineStr">
        <is>
          <t>longing for proof</t>
        </is>
      </c>
      <c r="AG197" s="2" t="inlineStr">
        <is>
          <t>validation seeker</t>
        </is>
      </c>
      <c r="AH197" s="2" t="n">
        <v>0</v>
      </c>
      <c r="AI197" s="2" t="inlineStr">
        <is>
          <t>yes</t>
        </is>
      </c>
      <c r="AJ197" s="2" t="inlineStr">
        <is>
          <t>no</t>
        </is>
      </c>
      <c r="AK197" s="2" t="inlineStr">
        <is>
          <t>yes</t>
        </is>
      </c>
      <c r="AL197" s="2" t="inlineStr">
        <is>
          <t>yes</t>
        </is>
      </c>
      <c r="AM197" s="2" t="n"/>
      <c r="AN197" s="2" t="n"/>
      <c r="AO197" s="2" t="n"/>
      <c r="AP197" s="2" t="inlineStr">
        <is>
          <t>v3_2026-03-19</t>
        </is>
      </c>
    </row>
    <row r="198" ht="94.5" customHeight="1" s="10">
      <c r="A198" s="2" t="inlineStr">
        <is>
          <t>Q40_B</t>
        </is>
      </c>
      <c r="B198" s="2" t="n">
        <v>40</v>
      </c>
      <c r="C198" s="2" t="n">
        <v>40</v>
      </c>
      <c r="D198" s="2" t="inlineStr">
        <is>
          <t>Core</t>
        </is>
      </c>
      <c r="E198" s="2" t="n">
        <v>1.2</v>
      </c>
      <c r="F198" s="2" t="inlineStr">
        <is>
          <t>CommitmentPace</t>
        </is>
      </c>
      <c r="G198" s="2" t="inlineStr">
        <is>
          <t>IntentAlignment</t>
        </is>
      </c>
      <c r="H198" s="2" t="n"/>
      <c r="I198" s="2" t="inlineStr">
        <is>
          <t>B</t>
        </is>
      </c>
      <c r="J198" s="2" t="inlineStr">
        <is>
          <t>B</t>
        </is>
      </c>
      <c r="K198" s="2" t="inlineStr">
        <is>
          <t>To stay in control. If I keep the upper hand, I can leave before I get left.</t>
        </is>
      </c>
      <c r="L198" s="2" t="n">
        <v>6</v>
      </c>
      <c r="M198" s="2" t="n">
        <v>7</v>
      </c>
      <c r="N198" s="2" t="n">
        <v>2</v>
      </c>
      <c r="O198" s="2" t="n">
        <v>2</v>
      </c>
      <c r="P198" s="2" t="n">
        <v>0</v>
      </c>
      <c r="Q198" s="2" t="inlineStr">
        <is>
          <t>Icebox</t>
        </is>
      </c>
      <c r="R198" s="2" t="n">
        <v>1</v>
      </c>
      <c r="S198" s="2" t="n"/>
      <c r="T198" s="2" t="n"/>
      <c r="U198" s="2" t="n">
        <v>0</v>
      </c>
      <c r="V198" s="2" t="inlineStr">
        <is>
          <t>masc:1.8;fem:-1.6</t>
        </is>
      </c>
      <c r="W198" s="2" t="n">
        <v>1.8</v>
      </c>
      <c r="X198" s="2" t="n">
        <v>-1.6</v>
      </c>
      <c r="Y198" s="2" t="inlineStr">
        <is>
          <t>COMM_Avoidant</t>
        </is>
      </c>
      <c r="Z198" s="2" t="inlineStr">
        <is>
          <t>REG_Suppressor</t>
        </is>
      </c>
      <c r="AA198" s="2" t="inlineStr">
        <is>
          <t>LANG_Time</t>
        </is>
      </c>
      <c r="AB198" s="2" t="inlineStr">
        <is>
          <t>Control_Avoidance</t>
        </is>
      </c>
      <c r="AC198" s="2" t="inlineStr">
        <is>
          <t>Control_Avoidance</t>
        </is>
      </c>
      <c r="AD198" s="2" t="n"/>
      <c r="AE198" s="2" t="n">
        <v>6</v>
      </c>
      <c r="AF198" s="2" t="inlineStr">
        <is>
          <t>power preservation pattern</t>
        </is>
      </c>
      <c r="AG198" s="2" t="inlineStr">
        <is>
          <t>emotional guard</t>
        </is>
      </c>
      <c r="AH198" s="2" t="n">
        <v>0</v>
      </c>
      <c r="AI198" s="2" t="inlineStr">
        <is>
          <t>yes</t>
        </is>
      </c>
      <c r="AJ198" s="2" t="inlineStr">
        <is>
          <t>no</t>
        </is>
      </c>
      <c r="AK198" s="2" t="inlineStr">
        <is>
          <t>yes</t>
        </is>
      </c>
      <c r="AL198" s="2" t="inlineStr">
        <is>
          <t>yes</t>
        </is>
      </c>
      <c r="AM198" s="2" t="n"/>
      <c r="AN198" s="2" t="n"/>
      <c r="AO198" s="2" t="n"/>
      <c r="AP198" s="2" t="inlineStr">
        <is>
          <t>v3_2026-03-19</t>
        </is>
      </c>
    </row>
    <row r="199" ht="81" customHeight="1" s="10">
      <c r="A199" s="2" t="inlineStr">
        <is>
          <t>Q40_C</t>
        </is>
      </c>
      <c r="B199" s="2" t="n">
        <v>40</v>
      </c>
      <c r="C199" s="2" t="n">
        <v>40</v>
      </c>
      <c r="D199" s="2" t="inlineStr">
        <is>
          <t>Core</t>
        </is>
      </c>
      <c r="E199" s="2" t="n">
        <v>1.2</v>
      </c>
      <c r="F199" s="2" t="inlineStr">
        <is>
          <t>CommitmentPace</t>
        </is>
      </c>
      <c r="G199" s="2" t="inlineStr">
        <is>
          <t>IntentAlignment</t>
        </is>
      </c>
      <c r="H199" s="2" t="n"/>
      <c r="I199" s="2" t="inlineStr">
        <is>
          <t>C</t>
        </is>
      </c>
      <c r="J199" s="2" t="inlineStr">
        <is>
          <t>C</t>
        </is>
      </c>
      <c r="K199" s="2" t="inlineStr">
        <is>
          <t>To matter. If I'm helpful or healing, it gives me a reason to be kept around.</t>
        </is>
      </c>
      <c r="L199" s="2" t="n">
        <v>8</v>
      </c>
      <c r="M199" s="2" t="n">
        <v>9</v>
      </c>
      <c r="N199" s="2" t="n">
        <v>8</v>
      </c>
      <c r="O199" s="2" t="n">
        <v>10</v>
      </c>
      <c r="P199" s="2" t="n">
        <v>8</v>
      </c>
      <c r="Q199" s="2" t="inlineStr">
        <is>
          <t>Fixer</t>
        </is>
      </c>
      <c r="R199" s="2" t="n">
        <v>5</v>
      </c>
      <c r="S199" s="2" t="n"/>
      <c r="T199" s="2" t="n"/>
      <c r="U199" s="2" t="n">
        <v>0</v>
      </c>
      <c r="V199" s="2" t="inlineStr">
        <is>
          <t>masc:-0.4;fem:2.0</t>
        </is>
      </c>
      <c r="W199" s="2" t="n">
        <v>-0.4</v>
      </c>
      <c r="X199" s="2" t="n">
        <v>2</v>
      </c>
      <c r="Y199" s="2" t="inlineStr">
        <is>
          <t>COMM_Emotional</t>
        </is>
      </c>
      <c r="Z199" s="2" t="inlineStr">
        <is>
          <t>REG_CoRegulator</t>
        </is>
      </c>
      <c r="AA199" s="2" t="inlineStr">
        <is>
          <t>LANG_Service</t>
        </is>
      </c>
      <c r="AB199" s="2" t="n"/>
      <c r="AC199" s="2" t="n"/>
      <c r="AD199" s="2" t="n"/>
      <c r="AE199" s="2" t="n">
        <v>0</v>
      </c>
      <c r="AF199" s="2" t="inlineStr">
        <is>
          <t>value-by-function reflex</t>
        </is>
      </c>
      <c r="AG199" s="2" t="inlineStr">
        <is>
          <t>role fulfiller</t>
        </is>
      </c>
      <c r="AH199" s="2" t="n">
        <v>0</v>
      </c>
      <c r="AI199" s="2" t="inlineStr">
        <is>
          <t>no</t>
        </is>
      </c>
      <c r="AJ199" s="2" t="inlineStr">
        <is>
          <t>no</t>
        </is>
      </c>
      <c r="AK199" s="2" t="inlineStr">
        <is>
          <t>yes</t>
        </is>
      </c>
      <c r="AL199" s="2" t="inlineStr">
        <is>
          <t>yes</t>
        </is>
      </c>
      <c r="AM199" s="2" t="n"/>
      <c r="AN199" s="2" t="n"/>
      <c r="AO199" s="2" t="n"/>
      <c r="AP199" s="2" t="inlineStr">
        <is>
          <t>v3_2026-03-19</t>
        </is>
      </c>
    </row>
    <row r="200" ht="94.5" customHeight="1" s="10">
      <c r="A200" s="2" t="inlineStr">
        <is>
          <t>Q40_D</t>
        </is>
      </c>
      <c r="B200" s="2" t="n">
        <v>40</v>
      </c>
      <c r="C200" s="2" t="n">
        <v>40</v>
      </c>
      <c r="D200" s="2" t="inlineStr">
        <is>
          <t>Core</t>
        </is>
      </c>
      <c r="E200" s="2" t="n">
        <v>1.2</v>
      </c>
      <c r="F200" s="2" t="inlineStr">
        <is>
          <t>CommitmentPace</t>
        </is>
      </c>
      <c r="G200" s="2" t="inlineStr">
        <is>
          <t>IntentAlignment</t>
        </is>
      </c>
      <c r="H200" s="2" t="n"/>
      <c r="I200" s="2" t="inlineStr">
        <is>
          <t>D</t>
        </is>
      </c>
      <c r="J200" s="2" t="inlineStr">
        <is>
          <t>D</t>
        </is>
      </c>
      <c r="K200" s="2" t="inlineStr">
        <is>
          <t>To finally feel safe. If someone sees me fully and stays, that rewrites everything.</t>
        </is>
      </c>
      <c r="L200" s="2" t="n">
        <v>9</v>
      </c>
      <c r="M200" s="2" t="n">
        <v>9</v>
      </c>
      <c r="N200" s="2" t="n">
        <v>8</v>
      </c>
      <c r="O200" s="2" t="n">
        <v>8</v>
      </c>
      <c r="P200" s="2" t="n">
        <v>6</v>
      </c>
      <c r="Q200" s="2" t="inlineStr">
        <is>
          <t>Romantic Idealist</t>
        </is>
      </c>
      <c r="R200" s="2" t="n">
        <v>6</v>
      </c>
      <c r="S200" s="2" t="n"/>
      <c r="T200" s="2" t="n"/>
      <c r="U200" s="2" t="n">
        <v>0</v>
      </c>
      <c r="V200" s="2" t="inlineStr">
        <is>
          <t>masc:-0.4;fem:1.5</t>
        </is>
      </c>
      <c r="W200" s="2" t="n">
        <v>-0.4</v>
      </c>
      <c r="X200" s="2" t="n">
        <v>1.5</v>
      </c>
      <c r="Y200" s="2" t="inlineStr">
        <is>
          <t>COMM_Emotional</t>
        </is>
      </c>
      <c r="Z200" s="2" t="inlineStr">
        <is>
          <t>REG_Distractor</t>
        </is>
      </c>
      <c r="AA200" s="2" t="inlineStr">
        <is>
          <t>LANG_Gifts</t>
        </is>
      </c>
      <c r="AB200" s="2" t="n"/>
      <c r="AC200" s="2" t="n"/>
      <c r="AD200" s="2" t="n"/>
      <c r="AE200" s="2" t="n">
        <v>0</v>
      </c>
      <c r="AF200" s="2" t="inlineStr">
        <is>
          <t>redemption arc seeker</t>
        </is>
      </c>
      <c r="AG200" s="2" t="inlineStr">
        <is>
          <t>trust rebuilder</t>
        </is>
      </c>
      <c r="AH200" s="2" t="n">
        <v>0</v>
      </c>
      <c r="AI200" s="2" t="inlineStr">
        <is>
          <t>no</t>
        </is>
      </c>
      <c r="AJ200" s="2" t="inlineStr">
        <is>
          <t>no</t>
        </is>
      </c>
      <c r="AK200" s="2" t="inlineStr">
        <is>
          <t>yes</t>
        </is>
      </c>
      <c r="AL200" s="2" t="inlineStr">
        <is>
          <t>yes</t>
        </is>
      </c>
      <c r="AM200" s="2" t="n"/>
      <c r="AN200" s="2" t="n"/>
      <c r="AO200" s="2" t="n"/>
      <c r="AP200" s="2" t="inlineStr">
        <is>
          <t>v3_2026-03-19</t>
        </is>
      </c>
    </row>
    <row r="201" ht="121.5" customHeight="1" s="10">
      <c r="A201" s="2" t="inlineStr">
        <is>
          <t>Q40_E</t>
        </is>
      </c>
      <c r="B201" s="2" t="n">
        <v>40</v>
      </c>
      <c r="C201" s="2" t="n">
        <v>40</v>
      </c>
      <c r="D201" s="2" t="inlineStr">
        <is>
          <t>Core</t>
        </is>
      </c>
      <c r="E201" s="2" t="n">
        <v>1.2</v>
      </c>
      <c r="F201" s="2" t="inlineStr">
        <is>
          <t>CommitmentPace</t>
        </is>
      </c>
      <c r="G201" s="2" t="inlineStr">
        <is>
          <t>IntentAlignment</t>
        </is>
      </c>
      <c r="H201" s="2" t="n"/>
      <c r="I201" s="2" t="inlineStr">
        <is>
          <t>E</t>
        </is>
      </c>
      <c r="J201" s="2" t="inlineStr">
        <is>
          <t>E</t>
        </is>
      </c>
      <c r="K201" s="2" t="inlineStr">
        <is>
          <t>To be mirrored. If someone gets me and reflects me back clearly, that's where I feel most alive</t>
        </is>
      </c>
      <c r="L201" s="2" t="n">
        <v>9</v>
      </c>
      <c r="M201" s="2" t="n">
        <v>9</v>
      </c>
      <c r="N201" s="2" t="n">
        <v>10</v>
      </c>
      <c r="O201" s="2" t="n">
        <v>8</v>
      </c>
      <c r="P201" s="2" t="n">
        <v>8</v>
      </c>
      <c r="Q201" s="2" t="inlineStr">
        <is>
          <t>Analyzer</t>
        </is>
      </c>
      <c r="R201" s="2" t="n">
        <v>2</v>
      </c>
      <c r="S201" s="2" t="n"/>
      <c r="T201" s="2" t="n"/>
      <c r="U201" s="2" t="n">
        <v>0</v>
      </c>
      <c r="V201" s="2" t="inlineStr">
        <is>
          <t>masc:1.4;fem:0.1</t>
        </is>
      </c>
      <c r="W201" s="2" t="n">
        <v>1.4</v>
      </c>
      <c r="X201" s="2" t="n">
        <v>0.1</v>
      </c>
      <c r="Y201" s="2" t="inlineStr">
        <is>
          <t>COMM_Logical</t>
        </is>
      </c>
      <c r="Z201" s="2" t="inlineStr">
        <is>
          <t>REG_SelfSoother</t>
        </is>
      </c>
      <c r="AA201" s="2" t="inlineStr">
        <is>
          <t>LANG_Service</t>
        </is>
      </c>
      <c r="AB201" s="2" t="n"/>
      <c r="AC201" s="2" t="n"/>
      <c r="AD201" s="2" t="n"/>
      <c r="AE201" s="2" t="n">
        <v>0</v>
      </c>
      <c r="AF201" s="2" t="inlineStr">
        <is>
          <t>emotional validation logic</t>
        </is>
      </c>
      <c r="AG201" s="2" t="inlineStr">
        <is>
          <t>reflective bond seeker</t>
        </is>
      </c>
      <c r="AH201" s="2" t="n">
        <v>0</v>
      </c>
      <c r="AI201" s="2" t="inlineStr">
        <is>
          <t>no</t>
        </is>
      </c>
      <c r="AJ201" s="2" t="inlineStr">
        <is>
          <t>no</t>
        </is>
      </c>
      <c r="AK201" s="2" t="inlineStr">
        <is>
          <t>yes</t>
        </is>
      </c>
      <c r="AL201" s="2" t="inlineStr">
        <is>
          <t>yes</t>
        </is>
      </c>
      <c r="AM201" s="2" t="n"/>
      <c r="AN201" s="2" t="n"/>
      <c r="AO201" s="2" t="n"/>
      <c r="AP201" s="2" t="inlineStr">
        <is>
          <t>v3_2026-03-19</t>
        </is>
      </c>
    </row>
    <row r="202" ht="94.5" customHeight="1" s="10">
      <c r="A202" s="2" t="inlineStr">
        <is>
          <t>Q41_A</t>
        </is>
      </c>
      <c r="B202" s="2" t="n">
        <v>41</v>
      </c>
      <c r="C202" s="2" t="n">
        <v>41</v>
      </c>
      <c r="D202" s="2" t="inlineStr">
        <is>
          <t>Core</t>
        </is>
      </c>
      <c r="E202" s="2" t="n">
        <v>1.3</v>
      </c>
      <c r="F202" s="2" t="inlineStr">
        <is>
          <t>EmotionalNeeds</t>
        </is>
      </c>
      <c r="G202" s="2" t="inlineStr">
        <is>
          <t>IntimacyThreshold</t>
        </is>
      </c>
      <c r="H202" s="2" t="inlineStr">
        <is>
          <t>You say you want connection, but what do you actually chase without realizing it?</t>
        </is>
      </c>
      <c r="I202" s="2" t="inlineStr">
        <is>
          <t>A</t>
        </is>
      </c>
      <c r="J202" s="2" t="inlineStr">
        <is>
          <t>A</t>
        </is>
      </c>
      <c r="K202" s="2" t="inlineStr">
        <is>
          <t>People who feel just out of reach. If it's too easy, I question it.</t>
        </is>
      </c>
      <c r="L202" s="2" t="n">
        <v>5</v>
      </c>
      <c r="M202" s="2" t="n">
        <v>6</v>
      </c>
      <c r="N202" s="2" t="n">
        <v>2</v>
      </c>
      <c r="O202" s="2" t="n">
        <v>4</v>
      </c>
      <c r="P202" s="2" t="n">
        <v>2</v>
      </c>
      <c r="Q202" s="2" t="inlineStr">
        <is>
          <t>Phantom Seeker</t>
        </is>
      </c>
      <c r="R202" s="2" t="n">
        <v>10</v>
      </c>
      <c r="S202" s="2" t="n"/>
      <c r="T202" s="2" t="n"/>
      <c r="U202" s="2" t="n">
        <v>0</v>
      </c>
      <c r="V202" s="2" t="inlineStr">
        <is>
          <t>masc:-0.2;fem:1.5</t>
        </is>
      </c>
      <c r="W202" s="2" t="n">
        <v>-0.2</v>
      </c>
      <c r="X202" s="2" t="n">
        <v>1.5</v>
      </c>
      <c r="Y202" s="2" t="inlineStr">
        <is>
          <t>COMM_Emotional</t>
        </is>
      </c>
      <c r="Z202" s="2" t="inlineStr">
        <is>
          <t>REG_SelfSoother</t>
        </is>
      </c>
      <c r="AA202" s="2" t="inlineStr">
        <is>
          <t>LANG_Touch</t>
        </is>
      </c>
      <c r="AB202" s="2" t="inlineStr">
        <is>
          <t>Vulnerability_Loop</t>
        </is>
      </c>
      <c r="AC202" s="2" t="inlineStr">
        <is>
          <t>Vulnerability_Loop</t>
        </is>
      </c>
      <c r="AD202" s="2" t="n"/>
      <c r="AE202" s="2" t="n">
        <v>5</v>
      </c>
      <c r="AF202" s="2" t="inlineStr">
        <is>
          <t>familiar distance</t>
        </is>
      </c>
      <c r="AG202" s="2" t="inlineStr">
        <is>
          <t>unattainable chaser</t>
        </is>
      </c>
      <c r="AH202" s="2" t="n">
        <v>0</v>
      </c>
      <c r="AI202" s="2" t="inlineStr">
        <is>
          <t>yes</t>
        </is>
      </c>
      <c r="AJ202" s="2" t="inlineStr">
        <is>
          <t>no</t>
        </is>
      </c>
      <c r="AK202" s="2" t="inlineStr">
        <is>
          <t>no</t>
        </is>
      </c>
      <c r="AL202" s="2" t="inlineStr">
        <is>
          <t>no</t>
        </is>
      </c>
      <c r="AM202" s="2" t="n"/>
      <c r="AN202" s="2" t="n"/>
      <c r="AO202" s="2" t="n"/>
      <c r="AP202" s="2" t="inlineStr">
        <is>
          <t>v3_2026-03-19</t>
        </is>
      </c>
    </row>
    <row r="203" ht="108" customHeight="1" s="10">
      <c r="A203" s="2" t="inlineStr">
        <is>
          <t>Q41_B</t>
        </is>
      </c>
      <c r="B203" s="2" t="n">
        <v>41</v>
      </c>
      <c r="C203" s="2" t="n">
        <v>41</v>
      </c>
      <c r="D203" s="2" t="inlineStr">
        <is>
          <t>Core</t>
        </is>
      </c>
      <c r="E203" s="2" t="n">
        <v>1.3</v>
      </c>
      <c r="F203" s="2" t="inlineStr">
        <is>
          <t>EmotionalNeeds</t>
        </is>
      </c>
      <c r="G203" s="2" t="inlineStr">
        <is>
          <t>IntimacyThreshold</t>
        </is>
      </c>
      <c r="H203" s="2" t="n"/>
      <c r="I203" s="2" t="inlineStr">
        <is>
          <t>B</t>
        </is>
      </c>
      <c r="J203" s="2" t="inlineStr">
        <is>
          <t>B</t>
        </is>
      </c>
      <c r="K203" s="2" t="inlineStr">
        <is>
          <t>The ones who don't really need me. If I win them over, it means I'm finally enough.</t>
        </is>
      </c>
      <c r="L203" s="2" t="n">
        <v>6</v>
      </c>
      <c r="M203" s="2" t="n">
        <v>7</v>
      </c>
      <c r="N203" s="2" t="n">
        <v>4</v>
      </c>
      <c r="O203" s="2" t="n">
        <v>6</v>
      </c>
      <c r="P203" s="2" t="n">
        <v>4</v>
      </c>
      <c r="Q203" s="2" t="inlineStr">
        <is>
          <t>Fixer</t>
        </is>
      </c>
      <c r="R203" s="2" t="n">
        <v>5</v>
      </c>
      <c r="S203" s="2" t="n"/>
      <c r="T203" s="2" t="n"/>
      <c r="U203" s="2" t="n">
        <v>0</v>
      </c>
      <c r="V203" s="2" t="inlineStr">
        <is>
          <t>masc:-0.4;fem:2.0</t>
        </is>
      </c>
      <c r="W203" s="2" t="n">
        <v>-0.4</v>
      </c>
      <c r="X203" s="2" t="n">
        <v>2</v>
      </c>
      <c r="Y203" s="2" t="inlineStr">
        <is>
          <t>COMM_Emotional</t>
        </is>
      </c>
      <c r="Z203" s="2" t="inlineStr">
        <is>
          <t>REG_CoRegulator</t>
        </is>
      </c>
      <c r="AA203" s="2" t="inlineStr">
        <is>
          <t>LANG_Service</t>
        </is>
      </c>
      <c r="AB203" s="2" t="inlineStr">
        <is>
          <t>Vulnerability_Loop</t>
        </is>
      </c>
      <c r="AC203" s="2" t="inlineStr">
        <is>
          <t>Vulnerability_Loop</t>
        </is>
      </c>
      <c r="AD203" s="2" t="n"/>
      <c r="AE203" s="2" t="n">
        <v>5</v>
      </c>
      <c r="AF203" s="2" t="inlineStr">
        <is>
          <t>approval through resistance</t>
        </is>
      </c>
      <c r="AG203" s="2" t="inlineStr">
        <is>
          <t>fixer targeter</t>
        </is>
      </c>
      <c r="AH203" s="2" t="n">
        <v>0</v>
      </c>
      <c r="AI203" s="2" t="inlineStr">
        <is>
          <t>yes</t>
        </is>
      </c>
      <c r="AJ203" s="2" t="inlineStr">
        <is>
          <t>no</t>
        </is>
      </c>
      <c r="AK203" s="2" t="inlineStr">
        <is>
          <t>no</t>
        </is>
      </c>
      <c r="AL203" s="2" t="inlineStr">
        <is>
          <t>no</t>
        </is>
      </c>
      <c r="AM203" s="2" t="n"/>
      <c r="AN203" s="2" t="n"/>
      <c r="AO203" s="2" t="n"/>
      <c r="AP203" s="2" t="inlineStr">
        <is>
          <t>v3_2026-03-19</t>
        </is>
      </c>
    </row>
    <row r="204" ht="94.5" customHeight="1" s="10">
      <c r="A204" s="2" t="inlineStr">
        <is>
          <t>Q41_C</t>
        </is>
      </c>
      <c r="B204" s="2" t="n">
        <v>41</v>
      </c>
      <c r="C204" s="2" t="n">
        <v>41</v>
      </c>
      <c r="D204" s="2" t="inlineStr">
        <is>
          <t>Core</t>
        </is>
      </c>
      <c r="E204" s="2" t="n">
        <v>1.3</v>
      </c>
      <c r="F204" s="2" t="inlineStr">
        <is>
          <t>EmotionalNeeds</t>
        </is>
      </c>
      <c r="G204" s="2" t="inlineStr">
        <is>
          <t>IntimacyThreshold</t>
        </is>
      </c>
      <c r="H204" s="2" t="n"/>
      <c r="I204" s="2" t="inlineStr">
        <is>
          <t>C</t>
        </is>
      </c>
      <c r="J204" s="2" t="inlineStr">
        <is>
          <t>C</t>
        </is>
      </c>
      <c r="K204" s="2" t="inlineStr">
        <is>
          <t>People who match my energy but not my depth. It lets me stay in control.</t>
        </is>
      </c>
      <c r="L204" s="2" t="n">
        <v>5</v>
      </c>
      <c r="M204" s="2" t="n">
        <v>6</v>
      </c>
      <c r="N204" s="2" t="n">
        <v>2</v>
      </c>
      <c r="O204" s="2" t="n">
        <v>2</v>
      </c>
      <c r="P204" s="2" t="n">
        <v>0</v>
      </c>
      <c r="Q204" s="2" t="inlineStr">
        <is>
          <t>Performer</t>
        </is>
      </c>
      <c r="R204" s="2" t="n">
        <v>7</v>
      </c>
      <c r="S204" s="2" t="n"/>
      <c r="T204" s="2" t="n"/>
      <c r="U204" s="2" t="n">
        <v>0</v>
      </c>
      <c r="V204" s="2" t="inlineStr">
        <is>
          <t>masc:0.3;fem:0.5</t>
        </is>
      </c>
      <c r="W204" s="2" t="n">
        <v>0.3</v>
      </c>
      <c r="X204" s="2" t="n">
        <v>0.5</v>
      </c>
      <c r="Y204" s="2" t="inlineStr">
        <is>
          <t>COMM_Indirect</t>
        </is>
      </c>
      <c r="Z204" s="2" t="inlineStr">
        <is>
          <t>REG_Distractor</t>
        </is>
      </c>
      <c r="AA204" s="2" t="inlineStr">
        <is>
          <t>LANG_Gifts</t>
        </is>
      </c>
      <c r="AB204" s="2" t="inlineStr">
        <is>
          <t>Control_Avoidance</t>
        </is>
      </c>
      <c r="AC204" s="2" t="inlineStr">
        <is>
          <t>Control_Avoidance</t>
        </is>
      </c>
      <c r="AD204" s="2" t="n"/>
      <c r="AE204" s="2" t="n">
        <v>6</v>
      </c>
      <c r="AF204" s="2" t="inlineStr">
        <is>
          <t>surface compatibility loop</t>
        </is>
      </c>
      <c r="AG204" s="2" t="inlineStr">
        <is>
          <t>vibe manager</t>
        </is>
      </c>
      <c r="AH204" s="2" t="n">
        <v>0</v>
      </c>
      <c r="AI204" s="2" t="inlineStr">
        <is>
          <t>yes</t>
        </is>
      </c>
      <c r="AJ204" s="2" t="inlineStr">
        <is>
          <t>no</t>
        </is>
      </c>
      <c r="AK204" s="2" t="inlineStr">
        <is>
          <t>no</t>
        </is>
      </c>
      <c r="AL204" s="2" t="inlineStr">
        <is>
          <t>no</t>
        </is>
      </c>
      <c r="AM204" s="2" t="n"/>
      <c r="AN204" s="2" t="n"/>
      <c r="AO204" s="2" t="n"/>
      <c r="AP204" s="2" t="inlineStr">
        <is>
          <t>v3_2026-03-19</t>
        </is>
      </c>
    </row>
    <row r="205" ht="81" customHeight="1" s="10">
      <c r="A205" s="2" t="inlineStr">
        <is>
          <t>Q41_D</t>
        </is>
      </c>
      <c r="B205" s="2" t="n">
        <v>41</v>
      </c>
      <c r="C205" s="2" t="n">
        <v>41</v>
      </c>
      <c r="D205" s="2" t="inlineStr">
        <is>
          <t>Core</t>
        </is>
      </c>
      <c r="E205" s="2" t="n">
        <v>1.3</v>
      </c>
      <c r="F205" s="2" t="inlineStr">
        <is>
          <t>EmotionalNeeds</t>
        </is>
      </c>
      <c r="G205" s="2" t="inlineStr">
        <is>
          <t>IntimacyThreshold</t>
        </is>
      </c>
      <c r="H205" s="2" t="n"/>
      <c r="I205" s="2" t="inlineStr">
        <is>
          <t>D</t>
        </is>
      </c>
      <c r="J205" s="2" t="inlineStr">
        <is>
          <t>D</t>
        </is>
      </c>
      <c r="K205" s="2" t="inlineStr">
        <is>
          <t>Intellectual equals. If they can't meet me mentally, I lose interest, fast.</t>
        </is>
      </c>
      <c r="L205" s="2" t="n">
        <v>9</v>
      </c>
      <c r="M205" s="2" t="n">
        <v>9</v>
      </c>
      <c r="N205" s="2" t="n">
        <v>10</v>
      </c>
      <c r="O205" s="2" t="n">
        <v>8</v>
      </c>
      <c r="P205" s="2" t="n">
        <v>8</v>
      </c>
      <c r="Q205" s="2" t="inlineStr">
        <is>
          <t>Analyzer</t>
        </is>
      </c>
      <c r="R205" s="2" t="n">
        <v>2</v>
      </c>
      <c r="S205" s="2" t="n"/>
      <c r="T205" s="2" t="n"/>
      <c r="U205" s="2" t="n">
        <v>0</v>
      </c>
      <c r="V205" s="2" t="inlineStr">
        <is>
          <t>masc:1.4;fem:0.1</t>
        </is>
      </c>
      <c r="W205" s="2" t="n">
        <v>1.4</v>
      </c>
      <c r="X205" s="2" t="n">
        <v>0.1</v>
      </c>
      <c r="Y205" s="2" t="inlineStr">
        <is>
          <t>COMM_Logical</t>
        </is>
      </c>
      <c r="Z205" s="2" t="inlineStr">
        <is>
          <t>REG_SelfSoother</t>
        </is>
      </c>
      <c r="AA205" s="2" t="inlineStr">
        <is>
          <t>LANG_Service</t>
        </is>
      </c>
      <c r="AB205" s="2" t="n"/>
      <c r="AC205" s="2" t="n"/>
      <c r="AD205" s="2" t="n"/>
      <c r="AE205" s="2" t="n">
        <v>0</v>
      </c>
      <c r="AF205" s="2" t="inlineStr">
        <is>
          <t>mind-first filtering</t>
        </is>
      </c>
      <c r="AG205" s="2" t="inlineStr">
        <is>
          <t>cerebral matcher</t>
        </is>
      </c>
      <c r="AH205" s="2" t="n">
        <v>0</v>
      </c>
      <c r="AI205" s="2" t="inlineStr">
        <is>
          <t>no</t>
        </is>
      </c>
      <c r="AJ205" s="2" t="inlineStr">
        <is>
          <t>no</t>
        </is>
      </c>
      <c r="AK205" s="2" t="inlineStr">
        <is>
          <t>no</t>
        </is>
      </c>
      <c r="AL205" s="2" t="inlineStr">
        <is>
          <t>no</t>
        </is>
      </c>
      <c r="AM205" s="2" t="n"/>
      <c r="AN205" s="2" t="n"/>
      <c r="AO205" s="2" t="n"/>
      <c r="AP205" s="2" t="inlineStr">
        <is>
          <t>v3_2026-03-19</t>
        </is>
      </c>
    </row>
    <row r="206" ht="108" customHeight="1" s="10">
      <c r="A206" s="2" t="inlineStr">
        <is>
          <t>Q41_E</t>
        </is>
      </c>
      <c r="B206" s="2" t="n">
        <v>41</v>
      </c>
      <c r="C206" s="2" t="n">
        <v>41</v>
      </c>
      <c r="D206" s="2" t="inlineStr">
        <is>
          <t>Core</t>
        </is>
      </c>
      <c r="E206" s="2" t="n">
        <v>1.3</v>
      </c>
      <c r="F206" s="2" t="inlineStr">
        <is>
          <t>EmotionalNeeds</t>
        </is>
      </c>
      <c r="G206" s="2" t="inlineStr">
        <is>
          <t>IntimacyThreshold</t>
        </is>
      </c>
      <c r="H206" s="2" t="n"/>
      <c r="I206" s="2" t="inlineStr">
        <is>
          <t>E</t>
        </is>
      </c>
      <c r="J206" s="2" t="inlineStr">
        <is>
          <t>E</t>
        </is>
      </c>
      <c r="K206" s="2" t="inlineStr">
        <is>
          <t>Safe people I don't fully open up to. That way, if they leave, they never really had me.</t>
        </is>
      </c>
      <c r="L206" s="2" t="n">
        <v>8</v>
      </c>
      <c r="M206" s="2" t="n">
        <v>8</v>
      </c>
      <c r="N206" s="2" t="n">
        <v>4</v>
      </c>
      <c r="O206" s="2" t="n">
        <v>4</v>
      </c>
      <c r="P206" s="2" t="n">
        <v>2</v>
      </c>
      <c r="Q206" s="2" t="inlineStr">
        <is>
          <t>Icebox</t>
        </is>
      </c>
      <c r="R206" s="2" t="n">
        <v>1</v>
      </c>
      <c r="S206" s="2" t="n"/>
      <c r="T206" s="2" t="n"/>
      <c r="U206" s="2" t="n">
        <v>0</v>
      </c>
      <c r="V206" s="2" t="inlineStr">
        <is>
          <t>masc:1.8;fem:-1.6</t>
        </is>
      </c>
      <c r="W206" s="2" t="n">
        <v>1.8</v>
      </c>
      <c r="X206" s="2" t="n">
        <v>-1.6</v>
      </c>
      <c r="Y206" s="2" t="inlineStr">
        <is>
          <t>COMM_Avoidant</t>
        </is>
      </c>
      <c r="Z206" s="2" t="inlineStr">
        <is>
          <t>REG_Suppressor</t>
        </is>
      </c>
      <c r="AA206" s="2" t="inlineStr">
        <is>
          <t>LANG_Time</t>
        </is>
      </c>
      <c r="AB206" s="2" t="n"/>
      <c r="AC206" s="2" t="n"/>
      <c r="AD206" s="2" t="n"/>
      <c r="AE206" s="2" t="n">
        <v>0</v>
      </c>
      <c r="AF206" s="2" t="inlineStr">
        <is>
          <t>emotional exit strategy</t>
        </is>
      </c>
      <c r="AG206" s="2" t="inlineStr">
        <is>
          <t>risk avoider</t>
        </is>
      </c>
      <c r="AH206" s="2" t="n">
        <v>0.2</v>
      </c>
      <c r="AI206" s="2" t="inlineStr">
        <is>
          <t>no</t>
        </is>
      </c>
      <c r="AJ206" s="2" t="inlineStr">
        <is>
          <t>no</t>
        </is>
      </c>
      <c r="AK206" s="2" t="inlineStr">
        <is>
          <t>no</t>
        </is>
      </c>
      <c r="AL206" s="2" t="inlineStr">
        <is>
          <t>no</t>
        </is>
      </c>
      <c r="AM206" s="2" t="n"/>
      <c r="AN206" s="2" t="n"/>
      <c r="AO206" s="2" t="n"/>
      <c r="AP206" s="2" t="inlineStr">
        <is>
          <t>v3_2026-03-19</t>
        </is>
      </c>
    </row>
    <row r="207" ht="94.5" customHeight="1" s="10">
      <c r="A207" s="2" t="inlineStr">
        <is>
          <t>Q42_A</t>
        </is>
      </c>
      <c r="B207" s="2" t="n">
        <v>42</v>
      </c>
      <c r="C207" s="2" t="n">
        <v>42</v>
      </c>
      <c r="D207" s="2" t="inlineStr">
        <is>
          <t>Core</t>
        </is>
      </c>
      <c r="E207" s="2" t="n">
        <v>1.3</v>
      </c>
      <c r="F207" s="2" t="inlineStr">
        <is>
          <t>EmotionalNeeds</t>
        </is>
      </c>
      <c r="G207" s="2" t="inlineStr">
        <is>
          <t>IntimacyThreshold</t>
        </is>
      </c>
      <c r="H207" s="2" t="inlineStr">
        <is>
          <t>What part of your personality do you secretly think makes you harder to love?</t>
        </is>
      </c>
      <c r="I207" s="2" t="inlineStr">
        <is>
          <t>A</t>
        </is>
      </c>
      <c r="J207" s="2" t="inlineStr">
        <is>
          <t>A</t>
        </is>
      </c>
      <c r="K207" s="2" t="inlineStr">
        <is>
          <t>I don't let people in all the way. Even when I care, I keep a part of me tucked away.</t>
        </is>
      </c>
      <c r="L207" s="2" t="n">
        <v>7</v>
      </c>
      <c r="M207" s="2" t="n">
        <v>8</v>
      </c>
      <c r="N207" s="2" t="n">
        <v>4</v>
      </c>
      <c r="O207" s="2" t="n">
        <v>4</v>
      </c>
      <c r="P207" s="2" t="n">
        <v>0</v>
      </c>
      <c r="Q207" s="2" t="inlineStr">
        <is>
          <t>Icebox</t>
        </is>
      </c>
      <c r="R207" s="2" t="n">
        <v>1</v>
      </c>
      <c r="S207" s="2" t="n"/>
      <c r="T207" s="2" t="n"/>
      <c r="U207" s="2" t="n">
        <v>0</v>
      </c>
      <c r="V207" s="2" t="inlineStr">
        <is>
          <t>masc:1.8;fem:-1.6</t>
        </is>
      </c>
      <c r="W207" s="2" t="n">
        <v>1.8</v>
      </c>
      <c r="X207" s="2" t="n">
        <v>-1.6</v>
      </c>
      <c r="Y207" s="2" t="inlineStr">
        <is>
          <t>COMM_Avoidant</t>
        </is>
      </c>
      <c r="Z207" s="2" t="inlineStr">
        <is>
          <t>REG_Suppressor</t>
        </is>
      </c>
      <c r="AA207" s="2" t="inlineStr">
        <is>
          <t>LANG_Time</t>
        </is>
      </c>
      <c r="AB207" s="2" t="n"/>
      <c r="AC207" s="2" t="n"/>
      <c r="AD207" s="2" t="n"/>
      <c r="AE207" s="2" t="n">
        <v>0</v>
      </c>
      <c r="AF207" s="2" t="inlineStr">
        <is>
          <t>controlled vulnerability</t>
        </is>
      </c>
      <c r="AG207" s="2" t="inlineStr">
        <is>
          <t>emotional protector</t>
        </is>
      </c>
      <c r="AH207" s="2" t="n">
        <v>0</v>
      </c>
      <c r="AI207" s="2" t="inlineStr">
        <is>
          <t>no</t>
        </is>
      </c>
      <c r="AJ207" s="2" t="inlineStr">
        <is>
          <t>no</t>
        </is>
      </c>
      <c r="AK207" s="2" t="inlineStr">
        <is>
          <t>no</t>
        </is>
      </c>
      <c r="AL207" s="2" t="inlineStr">
        <is>
          <t>no</t>
        </is>
      </c>
      <c r="AM207" s="2" t="n"/>
      <c r="AN207" s="2" t="n"/>
      <c r="AO207" s="2" t="n"/>
      <c r="AP207" s="2" t="inlineStr">
        <is>
          <t>v3_2026-03-19</t>
        </is>
      </c>
    </row>
    <row r="208" ht="94.5" customHeight="1" s="10">
      <c r="A208" s="2" t="inlineStr">
        <is>
          <t>Q42_B</t>
        </is>
      </c>
      <c r="B208" s="2" t="n">
        <v>42</v>
      </c>
      <c r="C208" s="2" t="n">
        <v>42</v>
      </c>
      <c r="D208" s="2" t="inlineStr">
        <is>
          <t>Core</t>
        </is>
      </c>
      <c r="E208" s="2" t="n">
        <v>1.3</v>
      </c>
      <c r="F208" s="2" t="inlineStr">
        <is>
          <t>EmotionalNeeds</t>
        </is>
      </c>
      <c r="G208" s="2" t="inlineStr">
        <is>
          <t>IntimacyThreshold</t>
        </is>
      </c>
      <c r="H208" s="2" t="n"/>
      <c r="I208" s="2" t="inlineStr">
        <is>
          <t>B</t>
        </is>
      </c>
      <c r="J208" s="2" t="inlineStr">
        <is>
          <t>B</t>
        </is>
      </c>
      <c r="K208" s="2" t="inlineStr">
        <is>
          <t>I overthink everything. Even when things are good, my mind finds the cracks.</t>
        </is>
      </c>
      <c r="L208" s="2" t="n">
        <v>6</v>
      </c>
      <c r="M208" s="2" t="n">
        <v>7</v>
      </c>
      <c r="N208" s="2" t="n">
        <v>4</v>
      </c>
      <c r="O208" s="2" t="n">
        <v>6</v>
      </c>
      <c r="P208" s="2" t="n">
        <v>4</v>
      </c>
      <c r="Q208" s="2" t="inlineStr">
        <is>
          <t>Analyzer</t>
        </is>
      </c>
      <c r="R208" s="2" t="n">
        <v>2</v>
      </c>
      <c r="S208" s="2" t="n"/>
      <c r="T208" s="2" t="n"/>
      <c r="U208" s="2" t="n">
        <v>0</v>
      </c>
      <c r="V208" s="2" t="inlineStr">
        <is>
          <t>masc:1.4;fem:0.1</t>
        </is>
      </c>
      <c r="W208" s="2" t="n">
        <v>1.4</v>
      </c>
      <c r="X208" s="2" t="n">
        <v>0.1</v>
      </c>
      <c r="Y208" s="2" t="inlineStr">
        <is>
          <t>COMM_Logical</t>
        </is>
      </c>
      <c r="Z208" s="2" t="inlineStr">
        <is>
          <t>REG_SelfSoother</t>
        </is>
      </c>
      <c r="AA208" s="2" t="inlineStr">
        <is>
          <t>LANG_Service</t>
        </is>
      </c>
      <c r="AB208" s="2" t="inlineStr">
        <is>
          <t>Vulnerability_Loop</t>
        </is>
      </c>
      <c r="AC208" s="2" t="inlineStr">
        <is>
          <t>Vulnerability_Loop</t>
        </is>
      </c>
      <c r="AD208" s="2" t="n"/>
      <c r="AE208" s="2" t="n">
        <v>5</v>
      </c>
      <c r="AF208" s="2" t="inlineStr">
        <is>
          <t>hyper-awareness loop</t>
        </is>
      </c>
      <c r="AG208" s="2" t="inlineStr">
        <is>
          <t>doubt scanner</t>
        </is>
      </c>
      <c r="AH208" s="2" t="n">
        <v>0</v>
      </c>
      <c r="AI208" s="2" t="inlineStr">
        <is>
          <t>yes</t>
        </is>
      </c>
      <c r="AJ208" s="2" t="inlineStr">
        <is>
          <t>no</t>
        </is>
      </c>
      <c r="AK208" s="2" t="inlineStr">
        <is>
          <t>no</t>
        </is>
      </c>
      <c r="AL208" s="2" t="inlineStr">
        <is>
          <t>no</t>
        </is>
      </c>
      <c r="AM208" s="2" t="n"/>
      <c r="AN208" s="2" t="n"/>
      <c r="AO208" s="2" t="n"/>
      <c r="AP208" s="2" t="inlineStr">
        <is>
          <t>v3_2026-03-19</t>
        </is>
      </c>
    </row>
    <row r="209" ht="94.5" customHeight="1" s="10">
      <c r="A209" s="2" t="inlineStr">
        <is>
          <t>Q42_C</t>
        </is>
      </c>
      <c r="B209" s="2" t="n">
        <v>42</v>
      </c>
      <c r="C209" s="2" t="n">
        <v>42</v>
      </c>
      <c r="D209" s="2" t="inlineStr">
        <is>
          <t>Core</t>
        </is>
      </c>
      <c r="E209" s="2" t="n">
        <v>1.3</v>
      </c>
      <c r="F209" s="2" t="inlineStr">
        <is>
          <t>EmotionalNeeds</t>
        </is>
      </c>
      <c r="G209" s="2" t="inlineStr">
        <is>
          <t>IntimacyThreshold</t>
        </is>
      </c>
      <c r="H209" s="2" t="n"/>
      <c r="I209" s="2" t="inlineStr">
        <is>
          <t>C</t>
        </is>
      </c>
      <c r="J209" s="2" t="inlineStr">
        <is>
          <t>C</t>
        </is>
      </c>
      <c r="K209" s="2" t="inlineStr">
        <is>
          <t>I give too much. I show up too hard, too fast, and it never feels like it's enough.</t>
        </is>
      </c>
      <c r="L209" s="2" t="n">
        <v>6</v>
      </c>
      <c r="M209" s="2" t="n">
        <v>7</v>
      </c>
      <c r="N209" s="2" t="n">
        <v>4</v>
      </c>
      <c r="O209" s="2" t="n">
        <v>6</v>
      </c>
      <c r="P209" s="2" t="n">
        <v>4</v>
      </c>
      <c r="Q209" s="2" t="inlineStr">
        <is>
          <t>Fixer</t>
        </is>
      </c>
      <c r="R209" s="2" t="n">
        <v>5</v>
      </c>
      <c r="S209" s="2" t="n"/>
      <c r="T209" s="2" t="n"/>
      <c r="U209" s="2" t="n">
        <v>0</v>
      </c>
      <c r="V209" s="2" t="inlineStr">
        <is>
          <t>masc:-0.4;fem:2.0</t>
        </is>
      </c>
      <c r="W209" s="2" t="n">
        <v>-0.4</v>
      </c>
      <c r="X209" s="2" t="n">
        <v>2</v>
      </c>
      <c r="Y209" s="2" t="inlineStr">
        <is>
          <t>COMM_Emotional</t>
        </is>
      </c>
      <c r="Z209" s="2" t="inlineStr">
        <is>
          <t>REG_CoRegulator</t>
        </is>
      </c>
      <c r="AA209" s="2" t="inlineStr">
        <is>
          <t>LANG_Service</t>
        </is>
      </c>
      <c r="AB209" s="2" t="inlineStr">
        <is>
          <t>Vulnerability_Loop</t>
        </is>
      </c>
      <c r="AC209" s="2" t="inlineStr">
        <is>
          <t>Vulnerability_Loop</t>
        </is>
      </c>
      <c r="AD209" s="2" t="n"/>
      <c r="AE209" s="2" t="n">
        <v>5</v>
      </c>
      <c r="AF209" s="2" t="inlineStr">
        <is>
          <t>emotional overexertion</t>
        </is>
      </c>
      <c r="AG209" s="2" t="inlineStr">
        <is>
          <t>approval laborer</t>
        </is>
      </c>
      <c r="AH209" s="2" t="n">
        <v>0</v>
      </c>
      <c r="AI209" s="2" t="inlineStr">
        <is>
          <t>yes</t>
        </is>
      </c>
      <c r="AJ209" s="2" t="inlineStr">
        <is>
          <t>no</t>
        </is>
      </c>
      <c r="AK209" s="2" t="inlineStr">
        <is>
          <t>no</t>
        </is>
      </c>
      <c r="AL209" s="2" t="inlineStr">
        <is>
          <t>no</t>
        </is>
      </c>
      <c r="AM209" s="2" t="n"/>
      <c r="AN209" s="2" t="n"/>
      <c r="AO209" s="2" t="n"/>
      <c r="AP209" s="2" t="inlineStr">
        <is>
          <t>v3_2026-03-19</t>
        </is>
      </c>
    </row>
    <row r="210" ht="148.5" customHeight="1" s="10">
      <c r="A210" s="2" t="inlineStr">
        <is>
          <t>Q42_D</t>
        </is>
      </c>
      <c r="B210" s="2" t="n">
        <v>42</v>
      </c>
      <c r="C210" s="2" t="n">
        <v>42</v>
      </c>
      <c r="D210" s="2" t="inlineStr">
        <is>
          <t>Core</t>
        </is>
      </c>
      <c r="E210" s="2" t="n">
        <v>1.3</v>
      </c>
      <c r="F210" s="2" t="inlineStr">
        <is>
          <t>EmotionalNeeds</t>
        </is>
      </c>
      <c r="G210" s="2" t="inlineStr">
        <is>
          <t>IntimacyThreshold</t>
        </is>
      </c>
      <c r="H210" s="2" t="n"/>
      <c r="I210" s="2" t="inlineStr">
        <is>
          <t>D</t>
        </is>
      </c>
      <c r="J210" s="2" t="inlineStr">
        <is>
          <t>D</t>
        </is>
      </c>
      <c r="K210" s="2" t="inlineStr">
        <is>
          <t>I second-guess my worth constantly. I know I come off cool, but underneath, I'm never really sure why anyone stays.</t>
        </is>
      </c>
      <c r="L210" s="2" t="n">
        <v>5</v>
      </c>
      <c r="M210" s="2" t="n">
        <v>6</v>
      </c>
      <c r="N210" s="2" t="n">
        <v>2</v>
      </c>
      <c r="O210" s="2" t="n">
        <v>4</v>
      </c>
      <c r="P210" s="2" t="n">
        <v>2</v>
      </c>
      <c r="Q210" s="2" t="inlineStr">
        <is>
          <t>Phantom Seeker</t>
        </is>
      </c>
      <c r="R210" s="2" t="n">
        <v>10</v>
      </c>
      <c r="S210" s="2" t="n"/>
      <c r="T210" s="2" t="n"/>
      <c r="U210" s="2" t="n">
        <v>0</v>
      </c>
      <c r="V210" s="2" t="inlineStr">
        <is>
          <t>masc:-0.2;fem:1.5</t>
        </is>
      </c>
      <c r="W210" s="2" t="n">
        <v>-0.2</v>
      </c>
      <c r="X210" s="2" t="n">
        <v>1.5</v>
      </c>
      <c r="Y210" s="2" t="inlineStr">
        <is>
          <t>COMM_Emotional</t>
        </is>
      </c>
      <c r="Z210" s="2" t="inlineStr">
        <is>
          <t>REG_SelfSoother</t>
        </is>
      </c>
      <c r="AA210" s="2" t="inlineStr">
        <is>
          <t>LANG_Touch</t>
        </is>
      </c>
      <c r="AB210" s="2" t="inlineStr">
        <is>
          <t>Vulnerability_Loop</t>
        </is>
      </c>
      <c r="AC210" s="2" t="inlineStr">
        <is>
          <t>Vulnerability_Loop</t>
        </is>
      </c>
      <c r="AD210" s="2" t="n"/>
      <c r="AE210" s="2" t="n">
        <v>5</v>
      </c>
      <c r="AF210" s="2" t="inlineStr">
        <is>
          <t>insecure core</t>
        </is>
      </c>
      <c r="AG210" s="2" t="inlineStr">
        <is>
          <t>internal doubter</t>
        </is>
      </c>
      <c r="AH210" s="2" t="n">
        <v>0.2</v>
      </c>
      <c r="AI210" s="2" t="inlineStr">
        <is>
          <t>yes</t>
        </is>
      </c>
      <c r="AJ210" s="2" t="inlineStr">
        <is>
          <t>no</t>
        </is>
      </c>
      <c r="AK210" s="2" t="inlineStr">
        <is>
          <t>no</t>
        </is>
      </c>
      <c r="AL210" s="2" t="inlineStr">
        <is>
          <t>no</t>
        </is>
      </c>
      <c r="AM210" s="2" t="n"/>
      <c r="AN210" s="2" t="n"/>
      <c r="AO210" s="2" t="n"/>
      <c r="AP210" s="2" t="inlineStr">
        <is>
          <t>v3_2026-03-19</t>
        </is>
      </c>
    </row>
    <row r="211" ht="108" customHeight="1" s="10">
      <c r="A211" s="2" t="inlineStr">
        <is>
          <t>Q42_E</t>
        </is>
      </c>
      <c r="B211" s="2" t="n">
        <v>42</v>
      </c>
      <c r="C211" s="2" t="n">
        <v>42</v>
      </c>
      <c r="D211" s="2" t="inlineStr">
        <is>
          <t>Core</t>
        </is>
      </c>
      <c r="E211" s="2" t="n">
        <v>1.3</v>
      </c>
      <c r="F211" s="2" t="inlineStr">
        <is>
          <t>EmotionalNeeds</t>
        </is>
      </c>
      <c r="G211" s="2" t="inlineStr">
        <is>
          <t>IntimacyThreshold</t>
        </is>
      </c>
      <c r="H211" s="2" t="n"/>
      <c r="I211" s="2" t="inlineStr">
        <is>
          <t>E</t>
        </is>
      </c>
      <c r="J211" s="2" t="inlineStr">
        <is>
          <t>E</t>
        </is>
      </c>
      <c r="K211" s="2" t="inlineStr">
        <is>
          <t>I perform who I think they want, until I don't even know what the real version of me looks like</t>
        </is>
      </c>
      <c r="L211" s="2" t="n">
        <v>5</v>
      </c>
      <c r="M211" s="2" t="n">
        <v>6</v>
      </c>
      <c r="N211" s="2" t="n">
        <v>2</v>
      </c>
      <c r="O211" s="2" t="n">
        <v>2</v>
      </c>
      <c r="P211" s="2" t="n">
        <v>0</v>
      </c>
      <c r="Q211" s="2" t="inlineStr">
        <is>
          <t>Performer</t>
        </is>
      </c>
      <c r="R211" s="2" t="n">
        <v>7</v>
      </c>
      <c r="S211" s="2" t="n"/>
      <c r="T211" s="2" t="n"/>
      <c r="U211" s="2" t="n">
        <v>0</v>
      </c>
      <c r="V211" s="2" t="inlineStr">
        <is>
          <t>masc:0.3;fem:0.5</t>
        </is>
      </c>
      <c r="W211" s="2" t="n">
        <v>0.3</v>
      </c>
      <c r="X211" s="2" t="n">
        <v>0.5</v>
      </c>
      <c r="Y211" s="2" t="inlineStr">
        <is>
          <t>COMM_Indirect</t>
        </is>
      </c>
      <c r="Z211" s="2" t="inlineStr">
        <is>
          <t>REG_Distractor</t>
        </is>
      </c>
      <c r="AA211" s="2" t="inlineStr">
        <is>
          <t>LANG_Gifts</t>
        </is>
      </c>
      <c r="AB211" s="2" t="inlineStr">
        <is>
          <t>Vulnerability_Loop</t>
        </is>
      </c>
      <c r="AC211" s="2" t="inlineStr">
        <is>
          <t>Vulnerability_Loop</t>
        </is>
      </c>
      <c r="AD211" s="2" t="n"/>
      <c r="AE211" s="2" t="n">
        <v>5</v>
      </c>
      <c r="AF211" s="2" t="inlineStr">
        <is>
          <t>identity mirror complex</t>
        </is>
      </c>
      <c r="AG211" s="2" t="inlineStr">
        <is>
          <t>emotional mimic</t>
        </is>
      </c>
      <c r="AH211" s="2" t="n">
        <v>0</v>
      </c>
      <c r="AI211" s="2" t="inlineStr">
        <is>
          <t>yes</t>
        </is>
      </c>
      <c r="AJ211" s="2" t="inlineStr">
        <is>
          <t>no</t>
        </is>
      </c>
      <c r="AK211" s="2" t="inlineStr">
        <is>
          <t>no</t>
        </is>
      </c>
      <c r="AL211" s="2" t="inlineStr">
        <is>
          <t>no</t>
        </is>
      </c>
      <c r="AM211" s="2" t="n"/>
      <c r="AN211" s="2" t="n"/>
      <c r="AO211" s="2" t="n"/>
      <c r="AP211" s="2" t="inlineStr">
        <is>
          <t>v3_2026-03-19</t>
        </is>
      </c>
    </row>
    <row r="212" ht="108" customHeight="1" s="10">
      <c r="A212" s="2" t="inlineStr">
        <is>
          <t>Q43_A</t>
        </is>
      </c>
      <c r="B212" s="2" t="n">
        <v>43</v>
      </c>
      <c r="C212" s="2" t="n">
        <v>43</v>
      </c>
      <c r="D212" s="2" t="inlineStr">
        <is>
          <t>Core</t>
        </is>
      </c>
      <c r="E212" s="2" t="n">
        <v>1.3</v>
      </c>
      <c r="F212" s="2" t="inlineStr">
        <is>
          <t>EmotionalNeeds</t>
        </is>
      </c>
      <c r="G212" s="2" t="inlineStr">
        <is>
          <t>IntimacyThreshold</t>
        </is>
      </c>
      <c r="H212" s="2" t="inlineStr">
        <is>
          <t>When things are actually going well with someone... what's the quiet fear you don't usually admit?</t>
        </is>
      </c>
      <c r="I212" s="2" t="inlineStr">
        <is>
          <t>A</t>
        </is>
      </c>
      <c r="J212" s="2" t="inlineStr">
        <is>
          <t>A</t>
        </is>
      </c>
      <c r="K212" s="2" t="inlineStr">
        <is>
          <t>They'll lose interest once they see the parts I keep hidden.</t>
        </is>
      </c>
      <c r="L212" s="2" t="n">
        <v>6</v>
      </c>
      <c r="M212" s="2" t="n">
        <v>7</v>
      </c>
      <c r="N212" s="2" t="n">
        <v>4</v>
      </c>
      <c r="O212" s="2" t="n">
        <v>4</v>
      </c>
      <c r="P212" s="2" t="n">
        <v>2</v>
      </c>
      <c r="Q212" s="2" t="inlineStr">
        <is>
          <t>Performer</t>
        </is>
      </c>
      <c r="R212" s="2" t="n">
        <v>7</v>
      </c>
      <c r="S212" s="2" t="n"/>
      <c r="T212" s="2" t="n"/>
      <c r="U212" s="2" t="n">
        <v>0</v>
      </c>
      <c r="V212" s="2" t="inlineStr">
        <is>
          <t>masc:0.3;fem:0.5</t>
        </is>
      </c>
      <c r="W212" s="2" t="n">
        <v>0.3</v>
      </c>
      <c r="X212" s="2" t="n">
        <v>0.5</v>
      </c>
      <c r="Y212" s="2" t="inlineStr">
        <is>
          <t>COMM_Indirect</t>
        </is>
      </c>
      <c r="Z212" s="2" t="inlineStr">
        <is>
          <t>REG_Distractor</t>
        </is>
      </c>
      <c r="AA212" s="2" t="inlineStr">
        <is>
          <t>LANG_Gifts</t>
        </is>
      </c>
      <c r="AB212" s="2" t="inlineStr">
        <is>
          <t>Vulnerability_Loop</t>
        </is>
      </c>
      <c r="AC212" s="2" t="inlineStr">
        <is>
          <t>Vulnerability_Loop</t>
        </is>
      </c>
      <c r="AD212" s="2" t="n"/>
      <c r="AE212" s="2" t="n">
        <v>5</v>
      </c>
      <c r="AF212" s="2" t="inlineStr">
        <is>
          <t>impostor connection fear</t>
        </is>
      </c>
      <c r="AG212" s="2" t="inlineStr">
        <is>
          <t>self-concealer</t>
        </is>
      </c>
      <c r="AH212" s="2" t="n">
        <v>0</v>
      </c>
      <c r="AI212" s="2" t="inlineStr">
        <is>
          <t>yes</t>
        </is>
      </c>
      <c r="AJ212" s="2" t="inlineStr">
        <is>
          <t>no</t>
        </is>
      </c>
      <c r="AK212" s="2" t="inlineStr">
        <is>
          <t>no</t>
        </is>
      </c>
      <c r="AL212" s="2" t="inlineStr">
        <is>
          <t>no</t>
        </is>
      </c>
      <c r="AM212" s="2" t="n"/>
      <c r="AN212" s="2" t="n"/>
      <c r="AO212" s="2" t="n"/>
      <c r="AP212" s="2" t="inlineStr">
        <is>
          <t>v3_2026-03-19</t>
        </is>
      </c>
    </row>
    <row r="213" ht="68.25" customHeight="1" s="10">
      <c r="A213" s="2" t="inlineStr">
        <is>
          <t>Q43_B</t>
        </is>
      </c>
      <c r="B213" s="2" t="n">
        <v>43</v>
      </c>
      <c r="C213" s="2" t="n">
        <v>43</v>
      </c>
      <c r="D213" s="2" t="inlineStr">
        <is>
          <t>Core</t>
        </is>
      </c>
      <c r="E213" s="2" t="n">
        <v>1.3</v>
      </c>
      <c r="F213" s="2" t="inlineStr">
        <is>
          <t>EmotionalNeeds</t>
        </is>
      </c>
      <c r="G213" s="2" t="inlineStr">
        <is>
          <t>IntimacyThreshold</t>
        </is>
      </c>
      <c r="H213" s="2" t="n"/>
      <c r="I213" s="2" t="inlineStr">
        <is>
          <t>B</t>
        </is>
      </c>
      <c r="J213" s="2" t="inlineStr">
        <is>
          <t>B</t>
        </is>
      </c>
      <c r="K213" s="2" t="inlineStr">
        <is>
          <t>I'll mess it up by needing too much or being too sensitive.</t>
        </is>
      </c>
      <c r="L213" s="2" t="n">
        <v>5</v>
      </c>
      <c r="M213" s="2" t="n">
        <v>6</v>
      </c>
      <c r="N213" s="2" t="n">
        <v>2</v>
      </c>
      <c r="O213" s="2" t="n">
        <v>2</v>
      </c>
      <c r="P213" s="2" t="n">
        <v>2</v>
      </c>
      <c r="Q213" s="2" t="inlineStr">
        <is>
          <t>Phantom Seeker</t>
        </is>
      </c>
      <c r="R213" s="2" t="n">
        <v>10</v>
      </c>
      <c r="S213" s="2" t="n"/>
      <c r="T213" s="2" t="n"/>
      <c r="U213" s="2" t="n">
        <v>0</v>
      </c>
      <c r="V213" s="2" t="inlineStr">
        <is>
          <t>masc:-0.2;fem:1.5</t>
        </is>
      </c>
      <c r="W213" s="2" t="n">
        <v>-0.2</v>
      </c>
      <c r="X213" s="2" t="n">
        <v>1.5</v>
      </c>
      <c r="Y213" s="2" t="inlineStr">
        <is>
          <t>COMM_Emotional</t>
        </is>
      </c>
      <c r="Z213" s="2" t="inlineStr">
        <is>
          <t>REG_SelfSoother</t>
        </is>
      </c>
      <c r="AA213" s="2" t="inlineStr">
        <is>
          <t>LANG_Touch</t>
        </is>
      </c>
      <c r="AB213" s="2" t="inlineStr">
        <is>
          <t>Vulnerability_Loop</t>
        </is>
      </c>
      <c r="AC213" s="2" t="inlineStr">
        <is>
          <t>Vulnerability_Loop</t>
        </is>
      </c>
      <c r="AD213" s="2" t="n"/>
      <c r="AE213" s="2" t="n">
        <v>5</v>
      </c>
      <c r="AF213" s="2" t="inlineStr">
        <is>
          <t>shame-based worth doubt</t>
        </is>
      </c>
      <c r="AG213" s="2" t="inlineStr">
        <is>
          <t>emotional risk avoider</t>
        </is>
      </c>
      <c r="AH213" s="2" t="n">
        <v>0.6</v>
      </c>
      <c r="AI213" s="2" t="inlineStr">
        <is>
          <t>yes</t>
        </is>
      </c>
      <c r="AJ213" s="2" t="inlineStr">
        <is>
          <t>no</t>
        </is>
      </c>
      <c r="AK213" s="2" t="inlineStr">
        <is>
          <t>no</t>
        </is>
      </c>
      <c r="AL213" s="2" t="inlineStr">
        <is>
          <t>no</t>
        </is>
      </c>
      <c r="AM213" s="2" t="n"/>
      <c r="AN213" s="2" t="n"/>
      <c r="AO213" s="2" t="n"/>
      <c r="AP213" s="2" t="inlineStr">
        <is>
          <t>v3_2026-03-19</t>
        </is>
      </c>
    </row>
    <row r="214" ht="81" customHeight="1" s="10">
      <c r="A214" s="2" t="inlineStr">
        <is>
          <t>Q43_C</t>
        </is>
      </c>
      <c r="B214" s="2" t="n">
        <v>43</v>
      </c>
      <c r="C214" s="2" t="n">
        <v>43</v>
      </c>
      <c r="D214" s="2" t="inlineStr">
        <is>
          <t>Core</t>
        </is>
      </c>
      <c r="E214" s="2" t="n">
        <v>1.3</v>
      </c>
      <c r="F214" s="2" t="inlineStr">
        <is>
          <t>EmotionalNeeds</t>
        </is>
      </c>
      <c r="G214" s="2" t="inlineStr">
        <is>
          <t>IntimacyThreshold</t>
        </is>
      </c>
      <c r="H214" s="2" t="n"/>
      <c r="I214" s="2" t="inlineStr">
        <is>
          <t>C</t>
        </is>
      </c>
      <c r="J214" s="2" t="inlineStr">
        <is>
          <t>C</t>
        </is>
      </c>
      <c r="K214" s="2" t="inlineStr">
        <is>
          <t>They'll depend on me too much, and I'll feel trapped again.</t>
        </is>
      </c>
      <c r="L214" s="2" t="n">
        <v>6</v>
      </c>
      <c r="M214" s="2" t="n">
        <v>7</v>
      </c>
      <c r="N214" s="2" t="n">
        <v>2</v>
      </c>
      <c r="O214" s="2" t="n">
        <v>2</v>
      </c>
      <c r="P214" s="2" t="n">
        <v>0</v>
      </c>
      <c r="Q214" s="2" t="inlineStr">
        <is>
          <t>Icebox</t>
        </is>
      </c>
      <c r="R214" s="2" t="n">
        <v>1</v>
      </c>
      <c r="S214" s="2" t="n"/>
      <c r="T214" s="2" t="n"/>
      <c r="U214" s="2" t="n">
        <v>0</v>
      </c>
      <c r="V214" s="2" t="inlineStr">
        <is>
          <t>masc:1.8;fem:-1.6</t>
        </is>
      </c>
      <c r="W214" s="2" t="n">
        <v>1.8</v>
      </c>
      <c r="X214" s="2" t="n">
        <v>-1.6</v>
      </c>
      <c r="Y214" s="2" t="inlineStr">
        <is>
          <t>COMM_Avoidant</t>
        </is>
      </c>
      <c r="Z214" s="2" t="inlineStr">
        <is>
          <t>REG_Suppressor</t>
        </is>
      </c>
      <c r="AA214" s="2" t="inlineStr">
        <is>
          <t>LANG_Time</t>
        </is>
      </c>
      <c r="AB214" s="2" t="inlineStr">
        <is>
          <t>Vulnerability_Loop</t>
        </is>
      </c>
      <c r="AC214" s="2" t="inlineStr">
        <is>
          <t>Vulnerability_Loop</t>
        </is>
      </c>
      <c r="AD214" s="2" t="n"/>
      <c r="AE214" s="2" t="n">
        <v>5</v>
      </c>
      <c r="AF214" s="2" t="inlineStr">
        <is>
          <t>fear of emotional containment</t>
        </is>
      </c>
      <c r="AG214" s="2" t="inlineStr">
        <is>
          <t>closeness resistor</t>
        </is>
      </c>
      <c r="AH214" s="2" t="n">
        <v>0</v>
      </c>
      <c r="AI214" s="2" t="inlineStr">
        <is>
          <t>yes</t>
        </is>
      </c>
      <c r="AJ214" s="2" t="inlineStr">
        <is>
          <t>no</t>
        </is>
      </c>
      <c r="AK214" s="2" t="inlineStr">
        <is>
          <t>no</t>
        </is>
      </c>
      <c r="AL214" s="2" t="inlineStr">
        <is>
          <t>no</t>
        </is>
      </c>
      <c r="AM214" s="2" t="n"/>
      <c r="AN214" s="2" t="n"/>
      <c r="AO214" s="2" t="n"/>
      <c r="AP214" s="2" t="inlineStr">
        <is>
          <t>v3_2026-03-19</t>
        </is>
      </c>
    </row>
    <row r="215" ht="108" customHeight="1" s="10">
      <c r="A215" s="2" t="inlineStr">
        <is>
          <t>Q43_D</t>
        </is>
      </c>
      <c r="B215" s="2" t="n">
        <v>43</v>
      </c>
      <c r="C215" s="2" t="n">
        <v>43</v>
      </c>
      <c r="D215" s="2" t="inlineStr">
        <is>
          <t>Core</t>
        </is>
      </c>
      <c r="E215" s="2" t="n">
        <v>1.3</v>
      </c>
      <c r="F215" s="2" t="inlineStr">
        <is>
          <t>EmotionalNeeds</t>
        </is>
      </c>
      <c r="G215" s="2" t="inlineStr">
        <is>
          <t>IntimacyThreshold</t>
        </is>
      </c>
      <c r="H215" s="2" t="n"/>
      <c r="I215" s="2" t="inlineStr">
        <is>
          <t>D</t>
        </is>
      </c>
      <c r="J215" s="2" t="inlineStr">
        <is>
          <t>D</t>
        </is>
      </c>
      <c r="K215" s="2" t="inlineStr">
        <is>
          <t>It's not real. I assume it'll shift once they get comfortable. I just don't trust the early glow.</t>
        </is>
      </c>
      <c r="L215" s="2" t="n">
        <v>8</v>
      </c>
      <c r="M215" s="2" t="n">
        <v>9</v>
      </c>
      <c r="N215" s="2" t="n">
        <v>8</v>
      </c>
      <c r="O215" s="2" t="n">
        <v>8</v>
      </c>
      <c r="P215" s="2" t="n">
        <v>8</v>
      </c>
      <c r="Q215" s="2" t="inlineStr">
        <is>
          <t>Analyzer</t>
        </is>
      </c>
      <c r="R215" s="2" t="n">
        <v>2</v>
      </c>
      <c r="S215" s="2" t="n"/>
      <c r="T215" s="2" t="n"/>
      <c r="U215" s="2" t="n">
        <v>0</v>
      </c>
      <c r="V215" s="2" t="inlineStr">
        <is>
          <t>masc:1.4;fem:0.1</t>
        </is>
      </c>
      <c r="W215" s="2" t="n">
        <v>1.4</v>
      </c>
      <c r="X215" s="2" t="n">
        <v>0.1</v>
      </c>
      <c r="Y215" s="2" t="inlineStr">
        <is>
          <t>COMM_Logical</t>
        </is>
      </c>
      <c r="Z215" s="2" t="inlineStr">
        <is>
          <t>REG_SelfSoother</t>
        </is>
      </c>
      <c r="AA215" s="2" t="inlineStr">
        <is>
          <t>LANG_Service</t>
        </is>
      </c>
      <c r="AB215" s="2" t="n"/>
      <c r="AC215" s="2" t="n"/>
      <c r="AD215" s="2" t="n"/>
      <c r="AE215" s="2" t="n">
        <v>0</v>
      </c>
      <c r="AF215" s="2" t="inlineStr">
        <is>
          <t>anticipated disappointment</t>
        </is>
      </c>
      <c r="AG215" s="2" t="inlineStr">
        <is>
          <t>skepticism filter</t>
        </is>
      </c>
      <c r="AH215" s="2" t="n">
        <v>0</v>
      </c>
      <c r="AI215" s="2" t="inlineStr">
        <is>
          <t>no</t>
        </is>
      </c>
      <c r="AJ215" s="2" t="inlineStr">
        <is>
          <t>no</t>
        </is>
      </c>
      <c r="AK215" s="2" t="inlineStr">
        <is>
          <t>no</t>
        </is>
      </c>
      <c r="AL215" s="2" t="inlineStr">
        <is>
          <t>no</t>
        </is>
      </c>
      <c r="AM215" s="2" t="n"/>
      <c r="AN215" s="2" t="n"/>
      <c r="AO215" s="2" t="n"/>
      <c r="AP215" s="2" t="inlineStr">
        <is>
          <t>v3_2026-03-19</t>
        </is>
      </c>
    </row>
    <row r="216" ht="121.5" customHeight="1" s="10">
      <c r="A216" s="2" t="inlineStr">
        <is>
          <t>Q43_E</t>
        </is>
      </c>
      <c r="B216" s="2" t="n">
        <v>43</v>
      </c>
      <c r="C216" s="2" t="n">
        <v>43</v>
      </c>
      <c r="D216" s="2" t="inlineStr">
        <is>
          <t>Core</t>
        </is>
      </c>
      <c r="E216" s="2" t="n">
        <v>1.3</v>
      </c>
      <c r="F216" s="2" t="inlineStr">
        <is>
          <t>EmotionalNeeds</t>
        </is>
      </c>
      <c r="G216" s="2" t="inlineStr">
        <is>
          <t>IntimacyThreshold</t>
        </is>
      </c>
      <c r="H216" s="2" t="n"/>
      <c r="I216" s="2" t="inlineStr">
        <is>
          <t>E</t>
        </is>
      </c>
      <c r="J216" s="2" t="inlineStr">
        <is>
          <t>E</t>
        </is>
      </c>
      <c r="K216" s="2" t="inlineStr">
        <is>
          <t>They'll ask me to slow down, and I won't know how. I fall hard and then wonder why they didn't catch me.</t>
        </is>
      </c>
      <c r="L216" s="2" t="n">
        <v>7</v>
      </c>
      <c r="M216" s="2" t="n">
        <v>8</v>
      </c>
      <c r="N216" s="2" t="n">
        <v>6</v>
      </c>
      <c r="O216" s="2" t="n">
        <v>8</v>
      </c>
      <c r="P216" s="2" t="n">
        <v>6</v>
      </c>
      <c r="Q216" s="2" t="inlineStr">
        <is>
          <t>Fixer</t>
        </is>
      </c>
      <c r="R216" s="2" t="n">
        <v>5</v>
      </c>
      <c r="S216" s="2" t="n"/>
      <c r="T216" s="2" t="n"/>
      <c r="U216" s="2" t="n">
        <v>0</v>
      </c>
      <c r="V216" s="2" t="inlineStr">
        <is>
          <t>masc:-0.4;fem:2.0</t>
        </is>
      </c>
      <c r="W216" s="2" t="n">
        <v>-0.4</v>
      </c>
      <c r="X216" s="2" t="n">
        <v>2</v>
      </c>
      <c r="Y216" s="2" t="inlineStr">
        <is>
          <t>COMM_Emotional</t>
        </is>
      </c>
      <c r="Z216" s="2" t="inlineStr">
        <is>
          <t>REG_CoRegulator</t>
        </is>
      </c>
      <c r="AA216" s="2" t="inlineStr">
        <is>
          <t>LANG_Service</t>
        </is>
      </c>
      <c r="AB216" s="2" t="n"/>
      <c r="AC216" s="2" t="n"/>
      <c r="AD216" s="2" t="n"/>
      <c r="AE216" s="2" t="n">
        <v>0</v>
      </c>
      <c r="AF216" s="2" t="inlineStr">
        <is>
          <t>speed of love fear</t>
        </is>
      </c>
      <c r="AG216" s="2" t="inlineStr">
        <is>
          <t>fast feeler</t>
        </is>
      </c>
      <c r="AH216" s="2" t="n">
        <v>0</v>
      </c>
      <c r="AI216" s="2" t="inlineStr">
        <is>
          <t>no</t>
        </is>
      </c>
      <c r="AJ216" s="2" t="inlineStr">
        <is>
          <t>no</t>
        </is>
      </c>
      <c r="AK216" s="2" t="inlineStr">
        <is>
          <t>no</t>
        </is>
      </c>
      <c r="AL216" s="2" t="inlineStr">
        <is>
          <t>no</t>
        </is>
      </c>
      <c r="AM216" s="2" t="n"/>
      <c r="AN216" s="2" t="n"/>
      <c r="AO216" s="2" t="n"/>
      <c r="AP216" s="2" t="inlineStr">
        <is>
          <t>v3_2026-03-19</t>
        </is>
      </c>
    </row>
    <row r="217" ht="135" customHeight="1" s="10">
      <c r="A217" s="2" t="inlineStr">
        <is>
          <t>Q44_A</t>
        </is>
      </c>
      <c r="B217" s="2" t="n">
        <v>44</v>
      </c>
      <c r="C217" s="2" t="n">
        <v>44</v>
      </c>
      <c r="D217" s="2" t="inlineStr">
        <is>
          <t>Core</t>
        </is>
      </c>
      <c r="E217" s="2" t="n">
        <v>1.3</v>
      </c>
      <c r="F217" s="2" t="inlineStr">
        <is>
          <t>EmotionalNeeds</t>
        </is>
      </c>
      <c r="G217" s="2" t="inlineStr">
        <is>
          <t>IntimacyThreshold</t>
        </is>
      </c>
      <c r="H217" s="2" t="inlineStr">
        <is>
          <t>You care about someone. You're hurt by something they did. You could say something... but what usually stops you?</t>
        </is>
      </c>
      <c r="I217" s="2" t="inlineStr">
        <is>
          <t>A</t>
        </is>
      </c>
      <c r="J217" s="2" t="inlineStr">
        <is>
          <t>A</t>
        </is>
      </c>
      <c r="K217" s="2" t="inlineStr">
        <is>
          <t>I don't want to seem dramatic. I've learned silence protects me better than honesty does.</t>
        </is>
      </c>
      <c r="L217" s="2" t="n">
        <v>6</v>
      </c>
      <c r="M217" s="2" t="n">
        <v>7</v>
      </c>
      <c r="N217" s="2" t="n">
        <v>2</v>
      </c>
      <c r="O217" s="2" t="n">
        <v>2</v>
      </c>
      <c r="P217" s="2" t="n">
        <v>0</v>
      </c>
      <c r="Q217" s="2" t="inlineStr">
        <is>
          <t>Icebox</t>
        </is>
      </c>
      <c r="R217" s="2" t="n">
        <v>1</v>
      </c>
      <c r="S217" s="2" t="n"/>
      <c r="T217" s="2" t="n"/>
      <c r="U217" s="2" t="n">
        <v>0</v>
      </c>
      <c r="V217" s="2" t="inlineStr">
        <is>
          <t>masc:1.8;fem:-1.6</t>
        </is>
      </c>
      <c r="W217" s="2" t="n">
        <v>1.8</v>
      </c>
      <c r="X217" s="2" t="n">
        <v>-1.6</v>
      </c>
      <c r="Y217" s="2" t="inlineStr">
        <is>
          <t>COMM_Avoidant</t>
        </is>
      </c>
      <c r="Z217" s="2" t="inlineStr">
        <is>
          <t>REG_Suppressor</t>
        </is>
      </c>
      <c r="AA217" s="2" t="inlineStr">
        <is>
          <t>LANG_Time</t>
        </is>
      </c>
      <c r="AB217" s="2" t="inlineStr">
        <is>
          <t>Vulnerability_Loop</t>
        </is>
      </c>
      <c r="AC217" s="2" t="inlineStr">
        <is>
          <t>Vulnerability_Loop</t>
        </is>
      </c>
      <c r="AD217" s="2" t="n"/>
      <c r="AE217" s="2" t="n">
        <v>5</v>
      </c>
      <c r="AF217" s="2" t="inlineStr">
        <is>
          <t>self-protection over expression</t>
        </is>
      </c>
      <c r="AG217" s="2" t="n"/>
      <c r="AH217" s="2" t="n">
        <v>0</v>
      </c>
      <c r="AI217" s="2" t="inlineStr">
        <is>
          <t>yes</t>
        </is>
      </c>
      <c r="AJ217" s="2" t="inlineStr">
        <is>
          <t>no</t>
        </is>
      </c>
      <c r="AK217" s="2" t="inlineStr">
        <is>
          <t>no</t>
        </is>
      </c>
      <c r="AL217" s="2" t="inlineStr">
        <is>
          <t>no</t>
        </is>
      </c>
      <c r="AM217" s="2" t="n"/>
      <c r="AN217" s="2" t="n"/>
      <c r="AO217" s="2" t="n"/>
      <c r="AP217" s="2" t="inlineStr">
        <is>
          <t>v3_2026-03-19</t>
        </is>
      </c>
    </row>
    <row r="218" ht="68.25" customHeight="1" s="10">
      <c r="A218" s="2" t="inlineStr">
        <is>
          <t>Q44_B</t>
        </is>
      </c>
      <c r="B218" s="2" t="n">
        <v>44</v>
      </c>
      <c r="C218" s="2" t="n">
        <v>44</v>
      </c>
      <c r="D218" s="2" t="inlineStr">
        <is>
          <t>Core</t>
        </is>
      </c>
      <c r="E218" s="2" t="n">
        <v>1.3</v>
      </c>
      <c r="F218" s="2" t="inlineStr">
        <is>
          <t>EmotionalNeeds</t>
        </is>
      </c>
      <c r="G218" s="2" t="inlineStr">
        <is>
          <t>IntimacyThreshold</t>
        </is>
      </c>
      <c r="H218" s="2" t="n"/>
      <c r="I218" s="2" t="inlineStr">
        <is>
          <t>B</t>
        </is>
      </c>
      <c r="J218" s="2" t="inlineStr">
        <is>
          <t>B</t>
        </is>
      </c>
      <c r="K218" s="2" t="inlineStr">
        <is>
          <t>I'm scared they'll think I'm too much, or worse, they'll leave.</t>
        </is>
      </c>
      <c r="L218" s="2" t="n">
        <v>5</v>
      </c>
      <c r="M218" s="2" t="n">
        <v>6</v>
      </c>
      <c r="N218" s="2" t="n">
        <v>2</v>
      </c>
      <c r="O218" s="2" t="n">
        <v>4</v>
      </c>
      <c r="P218" s="2" t="n">
        <v>2</v>
      </c>
      <c r="Q218" s="2" t="inlineStr">
        <is>
          <t>Phantom Seeker</t>
        </is>
      </c>
      <c r="R218" s="2" t="n">
        <v>10</v>
      </c>
      <c r="S218" s="2" t="n"/>
      <c r="T218" s="2" t="n"/>
      <c r="U218" s="2" t="n">
        <v>0</v>
      </c>
      <c r="V218" s="2" t="inlineStr">
        <is>
          <t>masc:-0.2;fem:1.5</t>
        </is>
      </c>
      <c r="W218" s="2" t="n">
        <v>-0.2</v>
      </c>
      <c r="X218" s="2" t="n">
        <v>1.5</v>
      </c>
      <c r="Y218" s="2" t="inlineStr">
        <is>
          <t>COMM_Emotional</t>
        </is>
      </c>
      <c r="Z218" s="2" t="inlineStr">
        <is>
          <t>REG_SelfSoother</t>
        </is>
      </c>
      <c r="AA218" s="2" t="inlineStr">
        <is>
          <t>LANG_Touch</t>
        </is>
      </c>
      <c r="AB218" s="2" t="inlineStr">
        <is>
          <t>Vulnerability_Loop</t>
        </is>
      </c>
      <c r="AC218" s="2" t="inlineStr">
        <is>
          <t>Vulnerability_Loop</t>
        </is>
      </c>
      <c r="AD218" s="2" t="n"/>
      <c r="AE218" s="2" t="n">
        <v>5</v>
      </c>
      <c r="AF218" s="2" t="inlineStr">
        <is>
          <t>fear of abandonment</t>
        </is>
      </c>
      <c r="AG218" s="2" t="inlineStr">
        <is>
          <t>hesitant truther</t>
        </is>
      </c>
      <c r="AH218" s="2" t="n">
        <v>0</v>
      </c>
      <c r="AI218" s="2" t="inlineStr">
        <is>
          <t>yes</t>
        </is>
      </c>
      <c r="AJ218" s="2" t="inlineStr">
        <is>
          <t>no</t>
        </is>
      </c>
      <c r="AK218" s="2" t="inlineStr">
        <is>
          <t>no</t>
        </is>
      </c>
      <c r="AL218" s="2" t="inlineStr">
        <is>
          <t>no</t>
        </is>
      </c>
      <c r="AM218" s="2" t="n"/>
      <c r="AN218" s="2" t="n"/>
      <c r="AO218" s="2" t="n"/>
      <c r="AP218" s="2" t="inlineStr">
        <is>
          <t>v3_2026-03-19</t>
        </is>
      </c>
    </row>
    <row r="219" ht="94.5" customHeight="1" s="10">
      <c r="A219" s="2" t="inlineStr">
        <is>
          <t>Q44_C</t>
        </is>
      </c>
      <c r="B219" s="2" t="n">
        <v>44</v>
      </c>
      <c r="C219" s="2" t="n">
        <v>44</v>
      </c>
      <c r="D219" s="2" t="inlineStr">
        <is>
          <t>Core</t>
        </is>
      </c>
      <c r="E219" s="2" t="n">
        <v>1.3</v>
      </c>
      <c r="F219" s="2" t="inlineStr">
        <is>
          <t>EmotionalNeeds</t>
        </is>
      </c>
      <c r="G219" s="2" t="inlineStr">
        <is>
          <t>IntimacyThreshold</t>
        </is>
      </c>
      <c r="H219" s="2" t="n"/>
      <c r="I219" s="2" t="inlineStr">
        <is>
          <t>C</t>
        </is>
      </c>
      <c r="J219" s="2" t="inlineStr">
        <is>
          <t>C</t>
        </is>
      </c>
      <c r="K219" s="2" t="inlineStr">
        <is>
          <t>I can't always tell if I'm overreacting or just reacting late... so I keep it in.</t>
        </is>
      </c>
      <c r="L219" s="2" t="n">
        <v>6</v>
      </c>
      <c r="M219" s="2" t="n">
        <v>7</v>
      </c>
      <c r="N219" s="2" t="n">
        <v>4</v>
      </c>
      <c r="O219" s="2" t="n">
        <v>6</v>
      </c>
      <c r="P219" s="2" t="n">
        <v>4</v>
      </c>
      <c r="Q219" s="2" t="inlineStr">
        <is>
          <t>Analyzer</t>
        </is>
      </c>
      <c r="R219" s="2" t="n">
        <v>2</v>
      </c>
      <c r="S219" s="2" t="n"/>
      <c r="T219" s="2" t="n"/>
      <c r="U219" s="2" t="n">
        <v>0</v>
      </c>
      <c r="V219" s="2" t="inlineStr">
        <is>
          <t>masc:1.4;fem:0.1</t>
        </is>
      </c>
      <c r="W219" s="2" t="n">
        <v>1.4</v>
      </c>
      <c r="X219" s="2" t="n">
        <v>0.1</v>
      </c>
      <c r="Y219" s="2" t="inlineStr">
        <is>
          <t>COMM_Logical</t>
        </is>
      </c>
      <c r="Z219" s="2" t="inlineStr">
        <is>
          <t>REG_SelfSoother</t>
        </is>
      </c>
      <c r="AA219" s="2" t="inlineStr">
        <is>
          <t>LANG_Service</t>
        </is>
      </c>
      <c r="AB219" s="2" t="inlineStr">
        <is>
          <t>Vulnerability_Loop</t>
        </is>
      </c>
      <c r="AC219" s="2" t="inlineStr">
        <is>
          <t>Vulnerability_Loop</t>
        </is>
      </c>
      <c r="AD219" s="2" t="n"/>
      <c r="AE219" s="2" t="n">
        <v>5</v>
      </c>
      <c r="AF219" s="2" t="inlineStr">
        <is>
          <t>emotional validity confusion</t>
        </is>
      </c>
      <c r="AG219" s="2" t="inlineStr">
        <is>
          <t>suppressed responder</t>
        </is>
      </c>
      <c r="AH219" s="2" t="n">
        <v>0</v>
      </c>
      <c r="AI219" s="2" t="inlineStr">
        <is>
          <t>yes</t>
        </is>
      </c>
      <c r="AJ219" s="2" t="inlineStr">
        <is>
          <t>no</t>
        </is>
      </c>
      <c r="AK219" s="2" t="inlineStr">
        <is>
          <t>no</t>
        </is>
      </c>
      <c r="AL219" s="2" t="inlineStr">
        <is>
          <t>no</t>
        </is>
      </c>
      <c r="AM219" s="2" t="n"/>
      <c r="AN219" s="2" t="n"/>
      <c r="AO219" s="2" t="n"/>
      <c r="AP219" s="2" t="inlineStr">
        <is>
          <t>v3_2026-03-19</t>
        </is>
      </c>
    </row>
    <row r="220" ht="135" customHeight="1" s="10">
      <c r="A220" s="2" t="inlineStr">
        <is>
          <t>Q44_D</t>
        </is>
      </c>
      <c r="B220" s="2" t="n">
        <v>44</v>
      </c>
      <c r="C220" s="2" t="n">
        <v>44</v>
      </c>
      <c r="D220" s="2" t="inlineStr">
        <is>
          <t>Core</t>
        </is>
      </c>
      <c r="E220" s="2" t="n">
        <v>1.3</v>
      </c>
      <c r="F220" s="2" t="inlineStr">
        <is>
          <t>EmotionalNeeds</t>
        </is>
      </c>
      <c r="G220" s="2" t="inlineStr">
        <is>
          <t>IntimacyThreshold</t>
        </is>
      </c>
      <c r="H220" s="2" t="n"/>
      <c r="I220" s="2" t="inlineStr">
        <is>
          <t>D</t>
        </is>
      </c>
      <c r="J220" s="2" t="inlineStr">
        <is>
          <t>D</t>
        </is>
      </c>
      <c r="K220" s="2" t="inlineStr">
        <is>
          <t>I wait for the right moment to bring it up, but that moment never comes. So I smile through it and let it fester.</t>
        </is>
      </c>
      <c r="L220" s="2" t="n">
        <v>5</v>
      </c>
      <c r="M220" s="2" t="n">
        <v>6</v>
      </c>
      <c r="N220" s="2" t="n">
        <v>2</v>
      </c>
      <c r="O220" s="2" t="n">
        <v>2</v>
      </c>
      <c r="P220" s="2" t="n">
        <v>0</v>
      </c>
      <c r="Q220" s="2" t="inlineStr">
        <is>
          <t>Performer</t>
        </is>
      </c>
      <c r="R220" s="2" t="n">
        <v>7</v>
      </c>
      <c r="S220" s="2" t="n"/>
      <c r="T220" s="2" t="n"/>
      <c r="U220" s="2" t="n">
        <v>0</v>
      </c>
      <c r="V220" s="2" t="inlineStr">
        <is>
          <t>masc:0.3;fem:0.5</t>
        </is>
      </c>
      <c r="W220" s="2" t="n">
        <v>0.3</v>
      </c>
      <c r="X220" s="2" t="n">
        <v>0.5</v>
      </c>
      <c r="Y220" s="2" t="inlineStr">
        <is>
          <t>COMM_Indirect</t>
        </is>
      </c>
      <c r="Z220" s="2" t="inlineStr">
        <is>
          <t>REG_Distractor</t>
        </is>
      </c>
      <c r="AA220" s="2" t="inlineStr">
        <is>
          <t>LANG_Gifts</t>
        </is>
      </c>
      <c r="AB220" s="2" t="inlineStr">
        <is>
          <t>Vulnerability_Loop</t>
        </is>
      </c>
      <c r="AC220" s="2" t="inlineStr">
        <is>
          <t>Vulnerability_Loop</t>
        </is>
      </c>
      <c r="AD220" s="2" t="n"/>
      <c r="AE220" s="2" t="n">
        <v>5</v>
      </c>
      <c r="AF220" s="2" t="inlineStr">
        <is>
          <t>delayed conflict avoidance</t>
        </is>
      </c>
      <c r="AG220" s="2" t="inlineStr">
        <is>
          <t>festering avoider</t>
        </is>
      </c>
      <c r="AH220" s="2" t="n">
        <v>1.2</v>
      </c>
      <c r="AI220" s="2" t="inlineStr">
        <is>
          <t>yes</t>
        </is>
      </c>
      <c r="AJ220" s="2" t="inlineStr">
        <is>
          <t>no</t>
        </is>
      </c>
      <c r="AK220" s="2" t="inlineStr">
        <is>
          <t>no</t>
        </is>
      </c>
      <c r="AL220" s="2" t="inlineStr">
        <is>
          <t>no</t>
        </is>
      </c>
      <c r="AM220" s="2" t="n"/>
      <c r="AN220" s="2" t="n"/>
      <c r="AO220" s="2" t="n"/>
      <c r="AP220" s="2" t="inlineStr">
        <is>
          <t>v3_2026-03-19</t>
        </is>
      </c>
    </row>
    <row r="221" ht="121.5" customHeight="1" s="10">
      <c r="A221" s="2" t="inlineStr">
        <is>
          <t>Q44_E</t>
        </is>
      </c>
      <c r="B221" s="2" t="n">
        <v>44</v>
      </c>
      <c r="C221" s="2" t="n">
        <v>44</v>
      </c>
      <c r="D221" s="2" t="inlineStr">
        <is>
          <t>Core</t>
        </is>
      </c>
      <c r="E221" s="2" t="n">
        <v>1.3</v>
      </c>
      <c r="F221" s="2" t="inlineStr">
        <is>
          <t>EmotionalNeeds</t>
        </is>
      </c>
      <c r="G221" s="2" t="inlineStr">
        <is>
          <t>IntimacyThreshold</t>
        </is>
      </c>
      <c r="H221" s="2" t="n"/>
      <c r="I221" s="2" t="inlineStr">
        <is>
          <t>E</t>
        </is>
      </c>
      <c r="J221" s="2" t="inlineStr">
        <is>
          <t>E</t>
        </is>
      </c>
      <c r="K221" s="2" t="inlineStr">
        <is>
          <t>I try to fix it without saying anything. If I love you, I'd rather work around the pain than risk more of it.</t>
        </is>
      </c>
      <c r="L221" s="2" t="n">
        <v>8</v>
      </c>
      <c r="M221" s="2" t="n">
        <v>9</v>
      </c>
      <c r="N221" s="2" t="n">
        <v>8</v>
      </c>
      <c r="O221" s="2" t="n">
        <v>10</v>
      </c>
      <c r="P221" s="2" t="n">
        <v>8</v>
      </c>
      <c r="Q221" s="2" t="inlineStr">
        <is>
          <t>Fixer</t>
        </is>
      </c>
      <c r="R221" s="2" t="n">
        <v>5</v>
      </c>
      <c r="S221" s="2" t="n"/>
      <c r="T221" s="2" t="n"/>
      <c r="U221" s="2" t="n">
        <v>0</v>
      </c>
      <c r="V221" s="2" t="inlineStr">
        <is>
          <t>masc:-0.4;fem:2.0</t>
        </is>
      </c>
      <c r="W221" s="2" t="n">
        <v>-0.4</v>
      </c>
      <c r="X221" s="2" t="n">
        <v>2</v>
      </c>
      <c r="Y221" s="2" t="inlineStr">
        <is>
          <t>COMM_Emotional</t>
        </is>
      </c>
      <c r="Z221" s="2" t="inlineStr">
        <is>
          <t>REG_CoRegulator</t>
        </is>
      </c>
      <c r="AA221" s="2" t="inlineStr">
        <is>
          <t>LANG_Service</t>
        </is>
      </c>
      <c r="AB221" s="2" t="n"/>
      <c r="AC221" s="2" t="n"/>
      <c r="AD221" s="2" t="n"/>
      <c r="AE221" s="2" t="n">
        <v>0</v>
      </c>
      <c r="AF221" s="2" t="inlineStr">
        <is>
          <t>love through labor mechanism</t>
        </is>
      </c>
      <c r="AG221" s="2" t="inlineStr">
        <is>
          <t>invisible repairer</t>
        </is>
      </c>
      <c r="AH221" s="2" t="n">
        <v>0</v>
      </c>
      <c r="AI221" s="2" t="inlineStr">
        <is>
          <t>no</t>
        </is>
      </c>
      <c r="AJ221" s="2" t="inlineStr">
        <is>
          <t>no</t>
        </is>
      </c>
      <c r="AK221" s="2" t="inlineStr">
        <is>
          <t>no</t>
        </is>
      </c>
      <c r="AL221" s="2" t="inlineStr">
        <is>
          <t>no</t>
        </is>
      </c>
      <c r="AM221" s="2" t="n"/>
      <c r="AN221" s="2" t="n"/>
      <c r="AO221" s="2" t="n"/>
      <c r="AP221" s="2" t="inlineStr">
        <is>
          <t>v3_2026-03-19</t>
        </is>
      </c>
    </row>
    <row r="222" ht="121.5" customHeight="1" s="10">
      <c r="A222" s="2" t="inlineStr">
        <is>
          <t>Q45_A</t>
        </is>
      </c>
      <c r="B222" s="2" t="n">
        <v>45</v>
      </c>
      <c r="C222" s="2" t="n">
        <v>45</v>
      </c>
      <c r="D222" s="2" t="inlineStr">
        <is>
          <t>Core</t>
        </is>
      </c>
      <c r="E222" s="2" t="n">
        <v>1.35</v>
      </c>
      <c r="F222" s="2" t="inlineStr">
        <is>
          <t>EmotionalNeeds</t>
        </is>
      </c>
      <c r="G222" s="2" t="inlineStr">
        <is>
          <t>IntimacyThreshold</t>
        </is>
      </c>
      <c r="H222" s="2" t="inlineStr">
        <is>
          <t>The vibe is off. You're quieter. Distant. But you haven't said anything yet. What would actually make you feel safe again?</t>
        </is>
      </c>
      <c r="I222" s="2" t="inlineStr">
        <is>
          <t>A</t>
        </is>
      </c>
      <c r="J222" s="2" t="inlineStr">
        <is>
          <t>A</t>
        </is>
      </c>
      <c r="K222" s="2" t="inlineStr">
        <is>
          <t>If they noticed without me having to say anything , just read me and pulled me back in.</t>
        </is>
      </c>
      <c r="L222" s="2" t="n">
        <v>5</v>
      </c>
      <c r="M222" s="2" t="n">
        <v>6</v>
      </c>
      <c r="N222" s="2" t="n">
        <v>2</v>
      </c>
      <c r="O222" s="2" t="n">
        <v>2</v>
      </c>
      <c r="P222" s="2" t="n">
        <v>2</v>
      </c>
      <c r="Q222" s="2" t="inlineStr">
        <is>
          <t>Phantom Seeker</t>
        </is>
      </c>
      <c r="R222" s="2" t="n">
        <v>10</v>
      </c>
      <c r="S222" s="2" t="n"/>
      <c r="T222" s="2" t="n"/>
      <c r="U222" s="2" t="n">
        <v>0</v>
      </c>
      <c r="V222" s="2" t="inlineStr">
        <is>
          <t>masc:-0.2;fem:1.5</t>
        </is>
      </c>
      <c r="W222" s="2" t="n">
        <v>-0.2</v>
      </c>
      <c r="X222" s="2" t="n">
        <v>1.5</v>
      </c>
      <c r="Y222" s="2" t="inlineStr">
        <is>
          <t>COMM_Emotional</t>
        </is>
      </c>
      <c r="Z222" s="2" t="inlineStr">
        <is>
          <t>REG_SelfSoother</t>
        </is>
      </c>
      <c r="AA222" s="2" t="inlineStr">
        <is>
          <t>LANG_Touch</t>
        </is>
      </c>
      <c r="AB222" s="2" t="inlineStr">
        <is>
          <t>Vulnerability_Loop</t>
        </is>
      </c>
      <c r="AC222" s="2" t="inlineStr">
        <is>
          <t>Vulnerability_Loop</t>
        </is>
      </c>
      <c r="AD222" s="2" t="n"/>
      <c r="AE222" s="2" t="n">
        <v>5</v>
      </c>
      <c r="AF222" s="2" t="inlineStr">
        <is>
          <t>unspoken rescue desire</t>
        </is>
      </c>
      <c r="AG222" s="2" t="inlineStr">
        <is>
          <t>silent hope holder</t>
        </is>
      </c>
      <c r="AH222" s="2" t="n">
        <v>0.6</v>
      </c>
      <c r="AI222" s="2" t="inlineStr">
        <is>
          <t>yes</t>
        </is>
      </c>
      <c r="AJ222" s="2" t="inlineStr">
        <is>
          <t>no</t>
        </is>
      </c>
      <c r="AK222" s="2" t="inlineStr">
        <is>
          <t>no</t>
        </is>
      </c>
      <c r="AL222" s="2" t="inlineStr">
        <is>
          <t>no</t>
        </is>
      </c>
      <c r="AM222" s="2" t="n"/>
      <c r="AN222" s="2" t="n"/>
      <c r="AO222" s="2" t="n"/>
      <c r="AP222" s="2" t="inlineStr">
        <is>
          <t>v3_2026-03-19</t>
        </is>
      </c>
    </row>
    <row r="223" ht="108" customHeight="1" s="10">
      <c r="A223" s="2" t="inlineStr">
        <is>
          <t>Q45_B</t>
        </is>
      </c>
      <c r="B223" s="2" t="n">
        <v>45</v>
      </c>
      <c r="C223" s="2" t="n">
        <v>45</v>
      </c>
      <c r="D223" s="2" t="inlineStr">
        <is>
          <t>Core</t>
        </is>
      </c>
      <c r="E223" s="2" t="n">
        <v>1.35</v>
      </c>
      <c r="F223" s="2" t="inlineStr">
        <is>
          <t>EmotionalNeeds</t>
        </is>
      </c>
      <c r="G223" s="2" t="inlineStr">
        <is>
          <t>IntimacyThreshold</t>
        </is>
      </c>
      <c r="H223" s="2" t="n"/>
      <c r="I223" s="2" t="inlineStr">
        <is>
          <t>B</t>
        </is>
      </c>
      <c r="J223" s="2" t="inlineStr">
        <is>
          <t>B</t>
        </is>
      </c>
      <c r="K223" s="2" t="inlineStr">
        <is>
          <t>If they gave me space without making me feel guilty , just stayed steady in the background.</t>
        </is>
      </c>
      <c r="L223" s="2" t="n">
        <v>8</v>
      </c>
      <c r="M223" s="2" t="n">
        <v>9</v>
      </c>
      <c r="N223" s="2" t="n">
        <v>4</v>
      </c>
      <c r="O223" s="2" t="n">
        <v>6</v>
      </c>
      <c r="P223" s="2" t="n">
        <v>2</v>
      </c>
      <c r="Q223" s="2" t="inlineStr">
        <is>
          <t>Icebox</t>
        </is>
      </c>
      <c r="R223" s="2" t="n">
        <v>1</v>
      </c>
      <c r="S223" s="2" t="n"/>
      <c r="T223" s="2" t="n"/>
      <c r="U223" s="2" t="n">
        <v>0</v>
      </c>
      <c r="V223" s="2" t="inlineStr">
        <is>
          <t>masc:1.8;fem:-1.6</t>
        </is>
      </c>
      <c r="W223" s="2" t="n">
        <v>1.8</v>
      </c>
      <c r="X223" s="2" t="n">
        <v>-1.6</v>
      </c>
      <c r="Y223" s="2" t="inlineStr">
        <is>
          <t>COMM_Avoidant</t>
        </is>
      </c>
      <c r="Z223" s="2" t="inlineStr">
        <is>
          <t>REG_Suppressor</t>
        </is>
      </c>
      <c r="AA223" s="2" t="inlineStr">
        <is>
          <t>LANG_Time</t>
        </is>
      </c>
      <c r="AB223" s="2" t="n"/>
      <c r="AC223" s="2" t="n"/>
      <c r="AD223" s="2" t="n"/>
      <c r="AE223" s="2" t="n">
        <v>0</v>
      </c>
      <c r="AF223" s="2" t="inlineStr">
        <is>
          <t>stability without intrusion</t>
        </is>
      </c>
      <c r="AG223" s="2" t="inlineStr">
        <is>
          <t>distance-aware supporter</t>
        </is>
      </c>
      <c r="AH223" s="2" t="n">
        <v>0.6</v>
      </c>
      <c r="AI223" s="2" t="inlineStr">
        <is>
          <t>no</t>
        </is>
      </c>
      <c r="AJ223" s="2" t="inlineStr">
        <is>
          <t>no</t>
        </is>
      </c>
      <c r="AK223" s="2" t="inlineStr">
        <is>
          <t>no</t>
        </is>
      </c>
      <c r="AL223" s="2" t="inlineStr">
        <is>
          <t>no</t>
        </is>
      </c>
      <c r="AM223" s="2" t="n"/>
      <c r="AN223" s="2" t="n"/>
      <c r="AO223" s="2" t="n"/>
      <c r="AP223" s="2" t="inlineStr">
        <is>
          <t>v3_2026-03-19</t>
        </is>
      </c>
    </row>
    <row r="224" ht="108" customHeight="1" s="10">
      <c r="A224" s="2" t="inlineStr">
        <is>
          <t>Q45_C</t>
        </is>
      </c>
      <c r="B224" s="2" t="n">
        <v>45</v>
      </c>
      <c r="C224" s="2" t="n">
        <v>45</v>
      </c>
      <c r="D224" s="2" t="inlineStr">
        <is>
          <t>Core</t>
        </is>
      </c>
      <c r="E224" s="2" t="n">
        <v>1.35</v>
      </c>
      <c r="F224" s="2" t="inlineStr">
        <is>
          <t>EmotionalNeeds</t>
        </is>
      </c>
      <c r="G224" s="2" t="inlineStr">
        <is>
          <t>IntimacyThreshold</t>
        </is>
      </c>
      <c r="H224" s="2" t="n"/>
      <c r="I224" s="2" t="inlineStr">
        <is>
          <t>C</t>
        </is>
      </c>
      <c r="J224" s="2" t="inlineStr">
        <is>
          <t>C</t>
        </is>
      </c>
      <c r="K224" s="2" t="inlineStr">
        <is>
          <t>If they directly asked, "You good?" but gently , just enough to open the door.</t>
        </is>
      </c>
      <c r="L224" s="2" t="n">
        <v>9</v>
      </c>
      <c r="M224" s="2" t="n">
        <v>9</v>
      </c>
      <c r="N224" s="2" t="n">
        <v>10</v>
      </c>
      <c r="O224" s="2" t="n">
        <v>8</v>
      </c>
      <c r="P224" s="2" t="n">
        <v>8</v>
      </c>
      <c r="Q224" s="2" t="inlineStr">
        <is>
          <t>Analyzer</t>
        </is>
      </c>
      <c r="R224" s="2" t="n">
        <v>2</v>
      </c>
      <c r="S224" s="2" t="n"/>
      <c r="T224" s="2" t="n"/>
      <c r="U224" s="2" t="n">
        <v>0</v>
      </c>
      <c r="V224" s="2" t="inlineStr">
        <is>
          <t>masc:1.4;fem:0.1</t>
        </is>
      </c>
      <c r="W224" s="2" t="n">
        <v>1.4</v>
      </c>
      <c r="X224" s="2" t="n">
        <v>0.1</v>
      </c>
      <c r="Y224" s="2" t="inlineStr">
        <is>
          <t>COMM_Logical</t>
        </is>
      </c>
      <c r="Z224" s="2" t="inlineStr">
        <is>
          <t>REG_SelfSoother</t>
        </is>
      </c>
      <c r="AA224" s="2" t="inlineStr">
        <is>
          <t>LANG_Service</t>
        </is>
      </c>
      <c r="AB224" s="2" t="n"/>
      <c r="AC224" s="2" t="n"/>
      <c r="AD224" s="2" t="n"/>
      <c r="AE224" s="2" t="n">
        <v>0</v>
      </c>
      <c r="AF224" s="2" t="inlineStr">
        <is>
          <t>soft prompt, no pressure</t>
        </is>
      </c>
      <c r="AG224" s="2" t="inlineStr">
        <is>
          <t>curious empath</t>
        </is>
      </c>
      <c r="AH224" s="2" t="n">
        <v>0</v>
      </c>
      <c r="AI224" s="2" t="inlineStr">
        <is>
          <t>no</t>
        </is>
      </c>
      <c r="AJ224" s="2" t="inlineStr">
        <is>
          <t>no</t>
        </is>
      </c>
      <c r="AK224" s="2" t="inlineStr">
        <is>
          <t>no</t>
        </is>
      </c>
      <c r="AL224" s="2" t="inlineStr">
        <is>
          <t>no</t>
        </is>
      </c>
      <c r="AM224" s="2" t="n"/>
      <c r="AN224" s="2" t="n"/>
      <c r="AO224" s="2" t="n"/>
      <c r="AP224" s="2" t="inlineStr">
        <is>
          <t>v3_2026-03-19</t>
        </is>
      </c>
    </row>
    <row r="225" ht="108" customHeight="1" s="10">
      <c r="A225" s="2" t="inlineStr">
        <is>
          <t>Q45_D</t>
        </is>
      </c>
      <c r="B225" s="2" t="n">
        <v>45</v>
      </c>
      <c r="C225" s="2" t="n">
        <v>45</v>
      </c>
      <c r="D225" s="2" t="inlineStr">
        <is>
          <t>Core</t>
        </is>
      </c>
      <c r="E225" s="2" t="n">
        <v>1.35</v>
      </c>
      <c r="F225" s="2" t="inlineStr">
        <is>
          <t>EmotionalNeeds</t>
        </is>
      </c>
      <c r="G225" s="2" t="inlineStr">
        <is>
          <t>IntimacyThreshold</t>
        </is>
      </c>
      <c r="H225" s="2" t="n"/>
      <c r="I225" s="2" t="inlineStr">
        <is>
          <t>D</t>
        </is>
      </c>
      <c r="J225" s="2" t="inlineStr">
        <is>
          <t>D</t>
        </is>
      </c>
      <c r="K225" s="2" t="inlineStr">
        <is>
          <t>If they reminded me what we are , through words, effort, or energy. Something consistent.</t>
        </is>
      </c>
      <c r="L225" s="2" t="n">
        <v>9</v>
      </c>
      <c r="M225" s="2" t="n">
        <v>9</v>
      </c>
      <c r="N225" s="2" t="n">
        <v>10</v>
      </c>
      <c r="O225" s="2" t="n">
        <v>10</v>
      </c>
      <c r="P225" s="2" t="n">
        <v>10</v>
      </c>
      <c r="Q225" s="2" t="inlineStr">
        <is>
          <t>Fixer</t>
        </is>
      </c>
      <c r="R225" s="2" t="n">
        <v>5</v>
      </c>
      <c r="S225" s="2" t="n"/>
      <c r="T225" s="2" t="n"/>
      <c r="U225" s="2" t="n">
        <v>0</v>
      </c>
      <c r="V225" s="2" t="inlineStr">
        <is>
          <t>masc:-0.4;fem:2.0</t>
        </is>
      </c>
      <c r="W225" s="2" t="n">
        <v>-0.4</v>
      </c>
      <c r="X225" s="2" t="n">
        <v>2</v>
      </c>
      <c r="Y225" s="2" t="inlineStr">
        <is>
          <t>COMM_Emotional</t>
        </is>
      </c>
      <c r="Z225" s="2" t="inlineStr">
        <is>
          <t>REG_CoRegulator</t>
        </is>
      </c>
      <c r="AA225" s="2" t="inlineStr">
        <is>
          <t>LANG_Service</t>
        </is>
      </c>
      <c r="AB225" s="2" t="n"/>
      <c r="AC225" s="2" t="n"/>
      <c r="AD225" s="2" t="n"/>
      <c r="AE225" s="2" t="n">
        <v>0</v>
      </c>
      <c r="AF225" s="2" t="inlineStr">
        <is>
          <t>reassurance via reinforcement</t>
        </is>
      </c>
      <c r="AG225" s="2" t="inlineStr">
        <is>
          <t>consistent affirmer</t>
        </is>
      </c>
      <c r="AH225" s="2" t="n">
        <v>0</v>
      </c>
      <c r="AI225" s="2" t="inlineStr">
        <is>
          <t>no</t>
        </is>
      </c>
      <c r="AJ225" s="2" t="inlineStr">
        <is>
          <t>no</t>
        </is>
      </c>
      <c r="AK225" s="2" t="inlineStr">
        <is>
          <t>no</t>
        </is>
      </c>
      <c r="AL225" s="2" t="inlineStr">
        <is>
          <t>no</t>
        </is>
      </c>
      <c r="AM225" s="2" t="n"/>
      <c r="AN225" s="2" t="n"/>
      <c r="AO225" s="2" t="n"/>
      <c r="AP225" s="2" t="inlineStr">
        <is>
          <t>v3_2026-03-19</t>
        </is>
      </c>
    </row>
    <row r="226" ht="121.5" customHeight="1" s="10">
      <c r="A226" s="2" t="inlineStr">
        <is>
          <t>Q45_E</t>
        </is>
      </c>
      <c r="B226" s="2" t="n">
        <v>45</v>
      </c>
      <c r="C226" s="2" t="n">
        <v>45</v>
      </c>
      <c r="D226" s="2" t="inlineStr">
        <is>
          <t>Core</t>
        </is>
      </c>
      <c r="E226" s="2" t="n">
        <v>1.35</v>
      </c>
      <c r="F226" s="2" t="inlineStr">
        <is>
          <t>EmotionalNeeds</t>
        </is>
      </c>
      <c r="G226" s="2" t="inlineStr">
        <is>
          <t>IntimacyThreshold</t>
        </is>
      </c>
      <c r="H226" s="2" t="n"/>
      <c r="I226" s="2" t="inlineStr">
        <is>
          <t>E</t>
        </is>
      </c>
      <c r="J226" s="2" t="inlineStr">
        <is>
          <t>E</t>
        </is>
      </c>
      <c r="K226" s="2" t="inlineStr">
        <is>
          <t>If they didn't try to solve it , just sat with me in it. Showed me they don't need me to be okay to stay.</t>
        </is>
      </c>
      <c r="L226" s="2" t="n">
        <v>10</v>
      </c>
      <c r="M226" s="2" t="n">
        <v>10</v>
      </c>
      <c r="N226" s="2" t="n">
        <v>10</v>
      </c>
      <c r="O226" s="2" t="n">
        <v>10</v>
      </c>
      <c r="P226" s="2" t="n">
        <v>10</v>
      </c>
      <c r="Q226" s="2" t="inlineStr">
        <is>
          <t>Regulated Grown-Up</t>
        </is>
      </c>
      <c r="R226" s="2" t="n">
        <v>9</v>
      </c>
      <c r="S226" s="2" t="n"/>
      <c r="T226" s="2" t="n"/>
      <c r="U226" s="2" t="n">
        <v>0</v>
      </c>
      <c r="V226" s="2" t="inlineStr">
        <is>
          <t>masc:1.1;fem:0.9</t>
        </is>
      </c>
      <c r="W226" s="2" t="n">
        <v>1.1</v>
      </c>
      <c r="X226" s="2" t="n">
        <v>0.9</v>
      </c>
      <c r="Y226" s="2" t="inlineStr">
        <is>
          <t>COMM_Direct</t>
        </is>
      </c>
      <c r="Z226" s="2" t="inlineStr">
        <is>
          <t>REG_CoRegulator</t>
        </is>
      </c>
      <c r="AA226" s="2" t="inlineStr">
        <is>
          <t>LANG_Words</t>
        </is>
      </c>
      <c r="AB226" s="2" t="n"/>
      <c r="AC226" s="2" t="n"/>
      <c r="AD226" s="2" t="n"/>
      <c r="AE226" s="2" t="n">
        <v>0</v>
      </c>
      <c r="AF226" s="2" t="inlineStr">
        <is>
          <t>emotional co-anchor</t>
        </is>
      </c>
      <c r="AG226" s="2" t="inlineStr">
        <is>
          <t>steady attuner</t>
        </is>
      </c>
      <c r="AH226" s="2" t="n">
        <v>0</v>
      </c>
      <c r="AI226" s="2" t="inlineStr">
        <is>
          <t>no</t>
        </is>
      </c>
      <c r="AJ226" s="2" t="inlineStr">
        <is>
          <t>no</t>
        </is>
      </c>
      <c r="AK226" s="2" t="inlineStr">
        <is>
          <t>no</t>
        </is>
      </c>
      <c r="AL226" s="2" t="inlineStr">
        <is>
          <t>no</t>
        </is>
      </c>
      <c r="AM226" s="2" t="n"/>
      <c r="AN226" s="2" t="n"/>
      <c r="AO226" s="2" t="n"/>
      <c r="AP226" s="2" t="inlineStr">
        <is>
          <t>v3_2026-03-19</t>
        </is>
      </c>
    </row>
    <row r="227" ht="135" customHeight="1" s="10">
      <c r="A227" s="2" t="inlineStr">
        <is>
          <t>Q46_A</t>
        </is>
      </c>
      <c r="B227" s="2" t="n">
        <v>46</v>
      </c>
      <c r="C227" s="2" t="n">
        <v>46</v>
      </c>
      <c r="D227" s="2" t="inlineStr">
        <is>
          <t>Core</t>
        </is>
      </c>
      <c r="E227" s="2" t="n">
        <v>1.35</v>
      </c>
      <c r="F227" s="2" t="inlineStr">
        <is>
          <t>EmotionalNeeds</t>
        </is>
      </c>
      <c r="G227" s="2" t="inlineStr">
        <is>
          <t>IntimacyThreshold</t>
        </is>
      </c>
      <c r="H227" s="2" t="inlineStr">
        <is>
          <t>You've just ended something heavy , a breakup, a fallout, a disappointment. What's your first move to reset?</t>
        </is>
      </c>
      <c r="I227" s="2" t="inlineStr">
        <is>
          <t>A</t>
        </is>
      </c>
      <c r="J227" s="2" t="inlineStr">
        <is>
          <t>A</t>
        </is>
      </c>
      <c r="K227" s="2" t="inlineStr">
        <is>
          <t>I isolate. Silence helps me sort what's mine vs. what was theirs.</t>
        </is>
      </c>
      <c r="L227" s="2" t="n">
        <v>8</v>
      </c>
      <c r="M227" s="2" t="n">
        <v>8</v>
      </c>
      <c r="N227" s="2" t="n">
        <v>4</v>
      </c>
      <c r="O227" s="2" t="n">
        <v>4</v>
      </c>
      <c r="P227" s="2" t="n">
        <v>2</v>
      </c>
      <c r="Q227" s="2" t="inlineStr">
        <is>
          <t>Icebox</t>
        </is>
      </c>
      <c r="R227" s="2" t="n">
        <v>1</v>
      </c>
      <c r="S227" s="2" t="n"/>
      <c r="T227" s="2" t="n"/>
      <c r="U227" s="2" t="n">
        <v>0</v>
      </c>
      <c r="V227" s="2" t="inlineStr">
        <is>
          <t>masc:1.8;fem:-1.6</t>
        </is>
      </c>
      <c r="W227" s="2" t="n">
        <v>1.8</v>
      </c>
      <c r="X227" s="2" t="n">
        <v>-1.6</v>
      </c>
      <c r="Y227" s="2" t="inlineStr">
        <is>
          <t>COMM_Avoidant</t>
        </is>
      </c>
      <c r="Z227" s="2" t="inlineStr">
        <is>
          <t>REG_Suppressor</t>
        </is>
      </c>
      <c r="AA227" s="2" t="inlineStr">
        <is>
          <t>LANG_Time</t>
        </is>
      </c>
      <c r="AB227" s="2" t="n"/>
      <c r="AC227" s="2" t="n"/>
      <c r="AD227" s="2" t="n"/>
      <c r="AE227" s="2" t="n">
        <v>0</v>
      </c>
      <c r="AF227" s="2" t="inlineStr">
        <is>
          <t>solitary cleanse</t>
        </is>
      </c>
      <c r="AG227" s="2" t="inlineStr">
        <is>
          <t>self-resetter</t>
        </is>
      </c>
      <c r="AH227" s="2" t="n">
        <v>0</v>
      </c>
      <c r="AI227" s="2" t="inlineStr">
        <is>
          <t>no</t>
        </is>
      </c>
      <c r="AJ227" s="2" t="inlineStr">
        <is>
          <t>no</t>
        </is>
      </c>
      <c r="AK227" s="2" t="inlineStr">
        <is>
          <t>no</t>
        </is>
      </c>
      <c r="AL227" s="2" t="inlineStr">
        <is>
          <t>no</t>
        </is>
      </c>
      <c r="AM227" s="2" t="n"/>
      <c r="AN227" s="2" t="n"/>
      <c r="AO227" s="2" t="n"/>
      <c r="AP227" s="2" t="inlineStr">
        <is>
          <t>v3_2026-03-19</t>
        </is>
      </c>
    </row>
    <row r="228" ht="94.5" customHeight="1" s="10">
      <c r="A228" s="2" t="inlineStr">
        <is>
          <t>Q46_B</t>
        </is>
      </c>
      <c r="B228" s="2" t="n">
        <v>46</v>
      </c>
      <c r="C228" s="2" t="n">
        <v>46</v>
      </c>
      <c r="D228" s="2" t="inlineStr">
        <is>
          <t>Core</t>
        </is>
      </c>
      <c r="E228" s="2" t="n">
        <v>1.35</v>
      </c>
      <c r="F228" s="2" t="inlineStr">
        <is>
          <t>EmotionalNeeds</t>
        </is>
      </c>
      <c r="G228" s="2" t="inlineStr">
        <is>
          <t>IntimacyThreshold</t>
        </is>
      </c>
      <c r="H228" s="2" t="n"/>
      <c r="I228" s="2" t="inlineStr">
        <is>
          <t>B</t>
        </is>
      </c>
      <c r="J228" s="2" t="inlineStr">
        <is>
          <t>B</t>
        </is>
      </c>
      <c r="K228" s="2" t="inlineStr">
        <is>
          <t>I spiral a bit, replaying everything, wondering what I could've done differently.</t>
        </is>
      </c>
      <c r="L228" s="2" t="n">
        <v>4</v>
      </c>
      <c r="M228" s="2" t="n">
        <v>5</v>
      </c>
      <c r="N228" s="2" t="n">
        <v>2</v>
      </c>
      <c r="O228" s="2" t="n">
        <v>2</v>
      </c>
      <c r="P228" s="2" t="n">
        <v>0</v>
      </c>
      <c r="Q228" s="2" t="inlineStr">
        <is>
          <t>Phantom Seeker</t>
        </is>
      </c>
      <c r="R228" s="2" t="n">
        <v>10</v>
      </c>
      <c r="S228" s="2" t="n"/>
      <c r="T228" s="2" t="n"/>
      <c r="U228" s="2" t="n">
        <v>0</v>
      </c>
      <c r="V228" s="2" t="inlineStr">
        <is>
          <t>masc:-0.2;fem:1.5</t>
        </is>
      </c>
      <c r="W228" s="2" t="n">
        <v>-0.2</v>
      </c>
      <c r="X228" s="2" t="n">
        <v>1.5</v>
      </c>
      <c r="Y228" s="2" t="inlineStr">
        <is>
          <t>COMM_Emotional</t>
        </is>
      </c>
      <c r="Z228" s="2" t="inlineStr">
        <is>
          <t>REG_SelfSoother</t>
        </is>
      </c>
      <c r="AA228" s="2" t="inlineStr">
        <is>
          <t>LANG_Touch</t>
        </is>
      </c>
      <c r="AB228" s="2" t="inlineStr">
        <is>
          <t>Vulnerability_Loop</t>
        </is>
      </c>
      <c r="AC228" s="2" t="inlineStr">
        <is>
          <t>Vulnerability_Loop</t>
        </is>
      </c>
      <c r="AD228" s="2" t="n"/>
      <c r="AE228" s="2" t="n">
        <v>5</v>
      </c>
      <c r="AF228" s="2" t="inlineStr">
        <is>
          <t>regret loop recovery</t>
        </is>
      </c>
      <c r="AG228" s="2" t="inlineStr">
        <is>
          <t>self-blamer</t>
        </is>
      </c>
      <c r="AH228" s="2" t="n">
        <v>0</v>
      </c>
      <c r="AI228" s="2" t="inlineStr">
        <is>
          <t>yes</t>
        </is>
      </c>
      <c r="AJ228" s="2" t="inlineStr">
        <is>
          <t>no</t>
        </is>
      </c>
      <c r="AK228" s="2" t="inlineStr">
        <is>
          <t>no</t>
        </is>
      </c>
      <c r="AL228" s="2" t="inlineStr">
        <is>
          <t>no</t>
        </is>
      </c>
      <c r="AM228" s="2" t="n"/>
      <c r="AN228" s="2" t="n"/>
      <c r="AO228" s="2" t="n"/>
      <c r="AP228" s="2" t="inlineStr">
        <is>
          <t>v3_2026-03-19</t>
        </is>
      </c>
    </row>
    <row r="229" ht="94.5" customHeight="1" s="10">
      <c r="A229" s="2" t="inlineStr">
        <is>
          <t>Q46_C</t>
        </is>
      </c>
      <c r="B229" s="2" t="n">
        <v>46</v>
      </c>
      <c r="C229" s="2" t="n">
        <v>46</v>
      </c>
      <c r="D229" s="2" t="inlineStr">
        <is>
          <t>Core</t>
        </is>
      </c>
      <c r="E229" s="2" t="n">
        <v>1.35</v>
      </c>
      <c r="F229" s="2" t="inlineStr">
        <is>
          <t>EmotionalNeeds</t>
        </is>
      </c>
      <c r="G229" s="2" t="inlineStr">
        <is>
          <t>IntimacyThreshold</t>
        </is>
      </c>
      <c r="H229" s="2" t="n"/>
      <c r="I229" s="2" t="inlineStr">
        <is>
          <t>C</t>
        </is>
      </c>
      <c r="J229" s="2" t="inlineStr">
        <is>
          <t>C</t>
        </is>
      </c>
      <c r="K229" s="2" t="inlineStr">
        <is>
          <t>I try to understand the pattern. If I can decode it, maybe I won't repeat it.</t>
        </is>
      </c>
      <c r="L229" s="2" t="n">
        <v>9</v>
      </c>
      <c r="M229" s="2" t="n">
        <v>9</v>
      </c>
      <c r="N229" s="2" t="n">
        <v>10</v>
      </c>
      <c r="O229" s="2" t="n">
        <v>8</v>
      </c>
      <c r="P229" s="2" t="n">
        <v>8</v>
      </c>
      <c r="Q229" s="2" t="inlineStr">
        <is>
          <t>Analyzer</t>
        </is>
      </c>
      <c r="R229" s="2" t="n">
        <v>2</v>
      </c>
      <c r="S229" s="2" t="n"/>
      <c r="T229" s="2" t="n"/>
      <c r="U229" s="2" t="n">
        <v>0</v>
      </c>
      <c r="V229" s="2" t="inlineStr">
        <is>
          <t>masc:1.4;fem:0.1</t>
        </is>
      </c>
      <c r="W229" s="2" t="n">
        <v>1.4</v>
      </c>
      <c r="X229" s="2" t="n">
        <v>0.1</v>
      </c>
      <c r="Y229" s="2" t="inlineStr">
        <is>
          <t>COMM_Logical</t>
        </is>
      </c>
      <c r="Z229" s="2" t="inlineStr">
        <is>
          <t>REG_SelfSoother</t>
        </is>
      </c>
      <c r="AA229" s="2" t="inlineStr">
        <is>
          <t>LANG_Service</t>
        </is>
      </c>
      <c r="AB229" s="2" t="n"/>
      <c r="AC229" s="2" t="n"/>
      <c r="AD229" s="2" t="n"/>
      <c r="AE229" s="2" t="n">
        <v>0</v>
      </c>
      <c r="AF229" s="2" t="inlineStr">
        <is>
          <t>postmortem patterning</t>
        </is>
      </c>
      <c r="AG229" s="2" t="inlineStr">
        <is>
          <t>clarity seeker</t>
        </is>
      </c>
      <c r="AH229" s="2" t="n">
        <v>0</v>
      </c>
      <c r="AI229" s="2" t="inlineStr">
        <is>
          <t>no</t>
        </is>
      </c>
      <c r="AJ229" s="2" t="inlineStr">
        <is>
          <t>no</t>
        </is>
      </c>
      <c r="AK229" s="2" t="inlineStr">
        <is>
          <t>no</t>
        </is>
      </c>
      <c r="AL229" s="2" t="inlineStr">
        <is>
          <t>no</t>
        </is>
      </c>
      <c r="AM229" s="2" t="n"/>
      <c r="AN229" s="2" t="n"/>
      <c r="AO229" s="2" t="n"/>
      <c r="AP229" s="2" t="inlineStr">
        <is>
          <t>v3_2026-03-19</t>
        </is>
      </c>
    </row>
    <row r="230" ht="81" customHeight="1" s="10">
      <c r="A230" s="2" t="inlineStr">
        <is>
          <t>Q46_D</t>
        </is>
      </c>
      <c r="B230" s="2" t="n">
        <v>46</v>
      </c>
      <c r="C230" s="2" t="n">
        <v>46</v>
      </c>
      <c r="D230" s="2" t="inlineStr">
        <is>
          <t>Core</t>
        </is>
      </c>
      <c r="E230" s="2" t="n">
        <v>1.35</v>
      </c>
      <c r="F230" s="2" t="inlineStr">
        <is>
          <t>EmotionalNeeds</t>
        </is>
      </c>
      <c r="G230" s="2" t="inlineStr">
        <is>
          <t>IntimacyThreshold</t>
        </is>
      </c>
      <c r="H230" s="2" t="n"/>
      <c r="I230" s="2" t="inlineStr">
        <is>
          <t>D</t>
        </is>
      </c>
      <c r="J230" s="2" t="inlineStr">
        <is>
          <t>D</t>
        </is>
      </c>
      <c r="K230" s="2" t="inlineStr">
        <is>
          <t>I stay in motion. Work, plans, people. Anything but stillness.</t>
        </is>
      </c>
      <c r="L230" s="2" t="n">
        <v>5</v>
      </c>
      <c r="M230" s="2" t="n">
        <v>6</v>
      </c>
      <c r="N230" s="2" t="n">
        <v>2</v>
      </c>
      <c r="O230" s="2" t="n">
        <v>2</v>
      </c>
      <c r="P230" s="2" t="n">
        <v>0</v>
      </c>
      <c r="Q230" s="2" t="inlineStr">
        <is>
          <t>Performer</t>
        </is>
      </c>
      <c r="R230" s="2" t="n">
        <v>7</v>
      </c>
      <c r="S230" s="2" t="n"/>
      <c r="T230" s="2" t="n"/>
      <c r="U230" s="2" t="n">
        <v>0</v>
      </c>
      <c r="V230" s="2" t="inlineStr">
        <is>
          <t>masc:0.3;fem:0.5</t>
        </is>
      </c>
      <c r="W230" s="2" t="n">
        <v>0.3</v>
      </c>
      <c r="X230" s="2" t="n">
        <v>0.5</v>
      </c>
      <c r="Y230" s="2" t="inlineStr">
        <is>
          <t>COMM_Indirect</t>
        </is>
      </c>
      <c r="Z230" s="2" t="inlineStr">
        <is>
          <t>REG_Distractor</t>
        </is>
      </c>
      <c r="AA230" s="2" t="inlineStr">
        <is>
          <t>LANG_Gifts</t>
        </is>
      </c>
      <c r="AB230" s="2" t="inlineStr">
        <is>
          <t>Vulnerability_Loop</t>
        </is>
      </c>
      <c r="AC230" s="2" t="inlineStr">
        <is>
          <t>Vulnerability_Loop</t>
        </is>
      </c>
      <c r="AD230" s="2" t="n"/>
      <c r="AE230" s="2" t="n">
        <v>5</v>
      </c>
      <c r="AF230" s="2" t="inlineStr">
        <is>
          <t>distraction sprint</t>
        </is>
      </c>
      <c r="AG230" s="2" t="inlineStr">
        <is>
          <t>motion masker</t>
        </is>
      </c>
      <c r="AH230" s="2" t="n">
        <v>0.6</v>
      </c>
      <c r="AI230" s="2" t="inlineStr">
        <is>
          <t>yes</t>
        </is>
      </c>
      <c r="AJ230" s="2" t="inlineStr">
        <is>
          <t>no</t>
        </is>
      </c>
      <c r="AK230" s="2" t="inlineStr">
        <is>
          <t>no</t>
        </is>
      </c>
      <c r="AL230" s="2" t="inlineStr">
        <is>
          <t>no</t>
        </is>
      </c>
      <c r="AM230" s="2" t="n"/>
      <c r="AN230" s="2" t="n"/>
      <c r="AO230" s="2" t="n"/>
      <c r="AP230" s="2" t="inlineStr">
        <is>
          <t>v3_2026-03-19</t>
        </is>
      </c>
    </row>
    <row r="231" ht="68.25" customHeight="1" s="10">
      <c r="A231" s="2" t="inlineStr">
        <is>
          <t>Q46_E</t>
        </is>
      </c>
      <c r="B231" s="2" t="n">
        <v>46</v>
      </c>
      <c r="C231" s="2" t="n">
        <v>46</v>
      </c>
      <c r="D231" s="2" t="inlineStr">
        <is>
          <t>Core</t>
        </is>
      </c>
      <c r="E231" s="2" t="n">
        <v>1.35</v>
      </c>
      <c r="F231" s="2" t="inlineStr">
        <is>
          <t>EmotionalNeeds</t>
        </is>
      </c>
      <c r="G231" s="2" t="inlineStr">
        <is>
          <t>IntimacyThreshold</t>
        </is>
      </c>
      <c r="H231" s="2" t="n"/>
      <c r="I231" s="2" t="inlineStr">
        <is>
          <t>E</t>
        </is>
      </c>
      <c r="J231" s="2" t="inlineStr">
        <is>
          <t>E</t>
        </is>
      </c>
      <c r="K231" s="2" t="inlineStr">
        <is>
          <t>I sit with it. Write, reflect, pray. I don't rush the grief, I honor it.</t>
        </is>
      </c>
      <c r="L231" s="2" t="n">
        <v>10</v>
      </c>
      <c r="M231" s="2" t="n">
        <v>10</v>
      </c>
      <c r="N231" s="2" t="n">
        <v>10</v>
      </c>
      <c r="O231" s="2" t="n">
        <v>10</v>
      </c>
      <c r="P231" s="2" t="n">
        <v>10</v>
      </c>
      <c r="Q231" s="2" t="inlineStr">
        <is>
          <t>Regulated Grown-Up</t>
        </is>
      </c>
      <c r="R231" s="2" t="n">
        <v>9</v>
      </c>
      <c r="S231" s="2" t="n"/>
      <c r="T231" s="2" t="n"/>
      <c r="U231" s="2" t="n">
        <v>0</v>
      </c>
      <c r="V231" s="2" t="inlineStr">
        <is>
          <t>masc:1.1;fem:0.9</t>
        </is>
      </c>
      <c r="W231" s="2" t="n">
        <v>1.1</v>
      </c>
      <c r="X231" s="2" t="n">
        <v>0.9</v>
      </c>
      <c r="Y231" s="2" t="inlineStr">
        <is>
          <t>COMM_Direct</t>
        </is>
      </c>
      <c r="Z231" s="2" t="inlineStr">
        <is>
          <t>REG_CoRegulator</t>
        </is>
      </c>
      <c r="AA231" s="2" t="inlineStr">
        <is>
          <t>LANG_Words</t>
        </is>
      </c>
      <c r="AB231" s="2" t="n"/>
      <c r="AC231" s="2" t="n"/>
      <c r="AD231" s="2" t="n"/>
      <c r="AE231" s="2" t="n">
        <v>0</v>
      </c>
      <c r="AF231" s="2" t="inlineStr">
        <is>
          <t>intentional processing</t>
        </is>
      </c>
      <c r="AG231" s="2" t="inlineStr">
        <is>
          <t>mindful processor</t>
        </is>
      </c>
      <c r="AH231" s="2" t="n">
        <v>0</v>
      </c>
      <c r="AI231" s="2" t="inlineStr">
        <is>
          <t>no</t>
        </is>
      </c>
      <c r="AJ231" s="2" t="inlineStr">
        <is>
          <t>no</t>
        </is>
      </c>
      <c r="AK231" s="2" t="inlineStr">
        <is>
          <t>no</t>
        </is>
      </c>
      <c r="AL231" s="2" t="inlineStr">
        <is>
          <t>no</t>
        </is>
      </c>
      <c r="AM231" s="2" t="n"/>
      <c r="AN231" s="2" t="n"/>
      <c r="AO231" s="2" t="n"/>
      <c r="AP231" s="2" t="inlineStr">
        <is>
          <t>v3_2026-03-19</t>
        </is>
      </c>
    </row>
    <row r="232" ht="121.5" customHeight="1" s="10">
      <c r="A232" s="2" t="inlineStr">
        <is>
          <t>Q47_A</t>
        </is>
      </c>
      <c r="B232" s="2" t="n">
        <v>47</v>
      </c>
      <c r="C232" s="2" t="n">
        <v>47</v>
      </c>
      <c r="D232" s="2" t="inlineStr">
        <is>
          <t>Core</t>
        </is>
      </c>
      <c r="E232" s="2" t="n">
        <v>1.35</v>
      </c>
      <c r="F232" s="2" t="inlineStr">
        <is>
          <t>EmotionalNeeds</t>
        </is>
      </c>
      <c r="G232" s="2" t="inlineStr">
        <is>
          <t>IntimacyThreshold</t>
        </is>
      </c>
      <c r="H232" s="2" t="inlineStr">
        <is>
          <t>When someone shows up for you without you asking, emotionally, practically, consistently, how do you usually feel?</t>
        </is>
      </c>
      <c r="I232" s="2" t="inlineStr">
        <is>
          <t>A</t>
        </is>
      </c>
      <c r="J232" s="2" t="inlineStr">
        <is>
          <t>A</t>
        </is>
      </c>
      <c r="K232" s="2" t="inlineStr">
        <is>
          <t>Guilty. I'm not used to people giving without a reason.</t>
        </is>
      </c>
      <c r="L232" s="2" t="n">
        <v>5</v>
      </c>
      <c r="M232" s="2" t="n">
        <v>6</v>
      </c>
      <c r="N232" s="2" t="n">
        <v>4</v>
      </c>
      <c r="O232" s="2" t="n">
        <v>4</v>
      </c>
      <c r="P232" s="2" t="n">
        <v>4</v>
      </c>
      <c r="Q232" s="2" t="inlineStr">
        <is>
          <t>Fixer</t>
        </is>
      </c>
      <c r="R232" s="2" t="n">
        <v>5</v>
      </c>
      <c r="S232" s="2" t="n"/>
      <c r="T232" s="2" t="n"/>
      <c r="U232" s="2" t="n">
        <v>0</v>
      </c>
      <c r="V232" s="2" t="inlineStr">
        <is>
          <t>masc:-0.4;fem:2.0</t>
        </is>
      </c>
      <c r="W232" s="2" t="n">
        <v>-0.4</v>
      </c>
      <c r="X232" s="2" t="n">
        <v>2</v>
      </c>
      <c r="Y232" s="2" t="inlineStr">
        <is>
          <t>COMM_Emotional</t>
        </is>
      </c>
      <c r="Z232" s="2" t="inlineStr">
        <is>
          <t>REG_CoRegulator</t>
        </is>
      </c>
      <c r="AA232" s="2" t="inlineStr">
        <is>
          <t>LANG_Service</t>
        </is>
      </c>
      <c r="AB232" s="2" t="inlineStr">
        <is>
          <t>Vulnerability_Loop</t>
        </is>
      </c>
      <c r="AC232" s="2" t="inlineStr">
        <is>
          <t>Vulnerability_Loop</t>
        </is>
      </c>
      <c r="AD232" s="2" t="n"/>
      <c r="AE232" s="2" t="n">
        <v>5</v>
      </c>
      <c r="AF232" s="2" t="inlineStr">
        <is>
          <t>reciprocity anxiety</t>
        </is>
      </c>
      <c r="AG232" s="2" t="inlineStr">
        <is>
          <t>uneasy receiver</t>
        </is>
      </c>
      <c r="AH232" s="2" t="n">
        <v>0.6</v>
      </c>
      <c r="AI232" s="2" t="inlineStr">
        <is>
          <t>yes</t>
        </is>
      </c>
      <c r="AJ232" s="2" t="inlineStr">
        <is>
          <t>no</t>
        </is>
      </c>
      <c r="AK232" s="2" t="inlineStr">
        <is>
          <t>no</t>
        </is>
      </c>
      <c r="AL232" s="2" t="inlineStr">
        <is>
          <t>no</t>
        </is>
      </c>
      <c r="AM232" s="2" t="n"/>
      <c r="AN232" s="2" t="n"/>
      <c r="AO232" s="2" t="n"/>
      <c r="AP232" s="2" t="inlineStr">
        <is>
          <t>v3_2026-03-19</t>
        </is>
      </c>
    </row>
    <row r="233" ht="54.75" customHeight="1" s="10">
      <c r="A233" s="2" t="inlineStr">
        <is>
          <t>Q47_B</t>
        </is>
      </c>
      <c r="B233" s="2" t="n">
        <v>47</v>
      </c>
      <c r="C233" s="2" t="n">
        <v>47</v>
      </c>
      <c r="D233" s="2" t="inlineStr">
        <is>
          <t>Core</t>
        </is>
      </c>
      <c r="E233" s="2" t="n">
        <v>1.35</v>
      </c>
      <c r="F233" s="2" t="inlineStr">
        <is>
          <t>EmotionalNeeds</t>
        </is>
      </c>
      <c r="G233" s="2" t="inlineStr">
        <is>
          <t>IntimacyThreshold</t>
        </is>
      </c>
      <c r="H233" s="2" t="n"/>
      <c r="I233" s="2" t="inlineStr">
        <is>
          <t>B</t>
        </is>
      </c>
      <c r="J233" s="2" t="inlineStr">
        <is>
          <t>B</t>
        </is>
      </c>
      <c r="K233" s="2" t="inlineStr">
        <is>
          <t>Exposed. I wonder what they'll expect in return.</t>
        </is>
      </c>
      <c r="L233" s="2" t="n">
        <v>6</v>
      </c>
      <c r="M233" s="2" t="n">
        <v>7</v>
      </c>
      <c r="N233" s="2" t="n">
        <v>2</v>
      </c>
      <c r="O233" s="2" t="n">
        <v>2</v>
      </c>
      <c r="P233" s="2" t="n">
        <v>0</v>
      </c>
      <c r="Q233" s="2" t="inlineStr">
        <is>
          <t>Icebox</t>
        </is>
      </c>
      <c r="R233" s="2" t="n">
        <v>1</v>
      </c>
      <c r="S233" s="2" t="n"/>
      <c r="T233" s="2" t="n"/>
      <c r="U233" s="2" t="n">
        <v>0</v>
      </c>
      <c r="V233" s="2" t="inlineStr">
        <is>
          <t>masc:1.8;fem:-1.6</t>
        </is>
      </c>
      <c r="W233" s="2" t="n">
        <v>1.8</v>
      </c>
      <c r="X233" s="2" t="n">
        <v>-1.6</v>
      </c>
      <c r="Y233" s="2" t="inlineStr">
        <is>
          <t>COMM_Avoidant</t>
        </is>
      </c>
      <c r="Z233" s="2" t="inlineStr">
        <is>
          <t>REG_Suppressor</t>
        </is>
      </c>
      <c r="AA233" s="2" t="inlineStr">
        <is>
          <t>LANG_Time</t>
        </is>
      </c>
      <c r="AB233" s="2" t="inlineStr">
        <is>
          <t>Vulnerability_Loop</t>
        </is>
      </c>
      <c r="AC233" s="2" t="inlineStr">
        <is>
          <t>Vulnerability_Loop</t>
        </is>
      </c>
      <c r="AD233" s="2" t="n"/>
      <c r="AE233" s="2" t="n">
        <v>5</v>
      </c>
      <c r="AF233" s="2" t="inlineStr">
        <is>
          <t>transaction suspicion</t>
        </is>
      </c>
      <c r="AG233" s="2" t="inlineStr">
        <is>
          <t>guarded accepter</t>
        </is>
      </c>
      <c r="AH233" s="2" t="n">
        <v>0</v>
      </c>
      <c r="AI233" s="2" t="inlineStr">
        <is>
          <t>yes</t>
        </is>
      </c>
      <c r="AJ233" s="2" t="inlineStr">
        <is>
          <t>no</t>
        </is>
      </c>
      <c r="AK233" s="2" t="inlineStr">
        <is>
          <t>no</t>
        </is>
      </c>
      <c r="AL233" s="2" t="inlineStr">
        <is>
          <t>no</t>
        </is>
      </c>
      <c r="AM233" s="2" t="n"/>
      <c r="AN233" s="2" t="n"/>
      <c r="AO233" s="2" t="n"/>
      <c r="AP233" s="2" t="inlineStr">
        <is>
          <t>v3_2026-03-19</t>
        </is>
      </c>
    </row>
    <row r="234" ht="54.75" customHeight="1" s="10">
      <c r="A234" s="2" t="inlineStr">
        <is>
          <t>Q47_C</t>
        </is>
      </c>
      <c r="B234" s="2" t="n">
        <v>47</v>
      </c>
      <c r="C234" s="2" t="n">
        <v>47</v>
      </c>
      <c r="D234" s="2" t="inlineStr">
        <is>
          <t>Core</t>
        </is>
      </c>
      <c r="E234" s="2" t="n">
        <v>1.35</v>
      </c>
      <c r="F234" s="2" t="inlineStr">
        <is>
          <t>EmotionalNeeds</t>
        </is>
      </c>
      <c r="G234" s="2" t="inlineStr">
        <is>
          <t>IntimacyThreshold</t>
        </is>
      </c>
      <c r="H234" s="2" t="n"/>
      <c r="I234" s="2" t="inlineStr">
        <is>
          <t>C</t>
        </is>
      </c>
      <c r="J234" s="2" t="inlineStr">
        <is>
          <t>C</t>
        </is>
      </c>
      <c r="K234" s="2" t="inlineStr">
        <is>
          <t>Relieved. It's rare. I try not to get too used to it.</t>
        </is>
      </c>
      <c r="L234" s="2" t="n">
        <v>7</v>
      </c>
      <c r="M234" s="2" t="n">
        <v>8</v>
      </c>
      <c r="N234" s="2" t="n">
        <v>6</v>
      </c>
      <c r="O234" s="2" t="n">
        <v>8</v>
      </c>
      <c r="P234" s="2" t="n">
        <v>6</v>
      </c>
      <c r="Q234" s="2" t="inlineStr">
        <is>
          <t>Survivor</t>
        </is>
      </c>
      <c r="R234" s="2" t="n">
        <v>8</v>
      </c>
      <c r="S234" s="2" t="n"/>
      <c r="T234" s="2" t="n"/>
      <c r="U234" s="2" t="n">
        <v>0</v>
      </c>
      <c r="V234" s="2" t="inlineStr">
        <is>
          <t>masc:0.3;fem:1.3</t>
        </is>
      </c>
      <c r="W234" s="2" t="n">
        <v>0.3</v>
      </c>
      <c r="X234" s="2" t="n">
        <v>1.3</v>
      </c>
      <c r="Y234" s="2" t="inlineStr">
        <is>
          <t>COMM_Emotional</t>
        </is>
      </c>
      <c r="Z234" s="2" t="inlineStr">
        <is>
          <t>REG_SelfSoother</t>
        </is>
      </c>
      <c r="AA234" s="2" t="inlineStr">
        <is>
          <t>LANG_Service</t>
        </is>
      </c>
      <c r="AB234" s="2" t="n"/>
      <c r="AC234" s="2" t="n"/>
      <c r="AD234" s="2" t="n"/>
      <c r="AE234" s="2" t="n">
        <v>0</v>
      </c>
      <c r="AF234" s="2" t="inlineStr">
        <is>
          <t>conditional ease</t>
        </is>
      </c>
      <c r="AG234" s="2" t="inlineStr">
        <is>
          <t>cautious truster</t>
        </is>
      </c>
      <c r="AH234" s="2" t="n">
        <v>0</v>
      </c>
      <c r="AI234" s="2" t="inlineStr">
        <is>
          <t>no</t>
        </is>
      </c>
      <c r="AJ234" s="2" t="inlineStr">
        <is>
          <t>no</t>
        </is>
      </c>
      <c r="AK234" s="2" t="inlineStr">
        <is>
          <t>no</t>
        </is>
      </c>
      <c r="AL234" s="2" t="inlineStr">
        <is>
          <t>no</t>
        </is>
      </c>
      <c r="AM234" s="2" t="n"/>
      <c r="AN234" s="2" t="n"/>
      <c r="AO234" s="2" t="n"/>
      <c r="AP234" s="2" t="inlineStr">
        <is>
          <t>v3_2026-03-19</t>
        </is>
      </c>
    </row>
    <row r="235" ht="81" customHeight="1" s="10">
      <c r="A235" s="2" t="inlineStr">
        <is>
          <t>Q47_D</t>
        </is>
      </c>
      <c r="B235" s="2" t="n">
        <v>47</v>
      </c>
      <c r="C235" s="2" t="n">
        <v>47</v>
      </c>
      <c r="D235" s="2" t="inlineStr">
        <is>
          <t>Core</t>
        </is>
      </c>
      <c r="E235" s="2" t="n">
        <v>1.35</v>
      </c>
      <c r="F235" s="2" t="inlineStr">
        <is>
          <t>EmotionalNeeds</t>
        </is>
      </c>
      <c r="G235" s="2" t="inlineStr">
        <is>
          <t>IntimacyThreshold</t>
        </is>
      </c>
      <c r="H235" s="2" t="n"/>
      <c r="I235" s="2" t="inlineStr">
        <is>
          <t>D</t>
        </is>
      </c>
      <c r="J235" s="2" t="inlineStr">
        <is>
          <t>D</t>
        </is>
      </c>
      <c r="K235" s="2" t="inlineStr">
        <is>
          <t>Skeptical. I question whether it's genuine or just temporary.</t>
        </is>
      </c>
      <c r="L235" s="2" t="n">
        <v>6</v>
      </c>
      <c r="M235" s="2" t="n">
        <v>7</v>
      </c>
      <c r="N235" s="2" t="n">
        <v>4</v>
      </c>
      <c r="O235" s="2" t="n">
        <v>6</v>
      </c>
      <c r="P235" s="2" t="n">
        <v>4</v>
      </c>
      <c r="Q235" s="2" t="inlineStr">
        <is>
          <t>Analyzer</t>
        </is>
      </c>
      <c r="R235" s="2" t="n">
        <v>2</v>
      </c>
      <c r="S235" s="2" t="n"/>
      <c r="T235" s="2" t="n"/>
      <c r="U235" s="2" t="n">
        <v>0</v>
      </c>
      <c r="V235" s="2" t="inlineStr">
        <is>
          <t>masc:1.4;fem:0.1</t>
        </is>
      </c>
      <c r="W235" s="2" t="n">
        <v>1.4</v>
      </c>
      <c r="X235" s="2" t="n">
        <v>0.1</v>
      </c>
      <c r="Y235" s="2" t="inlineStr">
        <is>
          <t>COMM_Logical</t>
        </is>
      </c>
      <c r="Z235" s="2" t="inlineStr">
        <is>
          <t>REG_SelfSoother</t>
        </is>
      </c>
      <c r="AA235" s="2" t="inlineStr">
        <is>
          <t>LANG_Service</t>
        </is>
      </c>
      <c r="AB235" s="2" t="inlineStr">
        <is>
          <t>Vulnerability_Loop</t>
        </is>
      </c>
      <c r="AC235" s="2" t="inlineStr">
        <is>
          <t>Vulnerability_Loop</t>
        </is>
      </c>
      <c r="AD235" s="2" t="n"/>
      <c r="AE235" s="2" t="n">
        <v>5</v>
      </c>
      <c r="AF235" s="2" t="inlineStr">
        <is>
          <t>authenticity test mode</t>
        </is>
      </c>
      <c r="AG235" s="2" t="inlineStr">
        <is>
          <t>motive checker</t>
        </is>
      </c>
      <c r="AH235" s="2" t="n">
        <v>0.6</v>
      </c>
      <c r="AI235" s="2" t="inlineStr">
        <is>
          <t>yes</t>
        </is>
      </c>
      <c r="AJ235" s="2" t="inlineStr">
        <is>
          <t>no</t>
        </is>
      </c>
      <c r="AK235" s="2" t="inlineStr">
        <is>
          <t>no</t>
        </is>
      </c>
      <c r="AL235" s="2" t="inlineStr">
        <is>
          <t>no</t>
        </is>
      </c>
      <c r="AM235" s="2" t="n"/>
      <c r="AN235" s="2" t="n"/>
      <c r="AO235" s="2" t="n"/>
      <c r="AP235" s="2" t="inlineStr">
        <is>
          <t>v3_2026-03-19</t>
        </is>
      </c>
    </row>
    <row r="236" ht="108" customHeight="1" s="10">
      <c r="A236" s="2" t="inlineStr">
        <is>
          <t>Q47_E</t>
        </is>
      </c>
      <c r="B236" s="2" t="n">
        <v>47</v>
      </c>
      <c r="C236" s="2" t="n">
        <v>47</v>
      </c>
      <c r="D236" s="2" t="inlineStr">
        <is>
          <t>Core</t>
        </is>
      </c>
      <c r="E236" s="2" t="n">
        <v>1.35</v>
      </c>
      <c r="F236" s="2" t="inlineStr">
        <is>
          <t>EmotionalNeeds</t>
        </is>
      </c>
      <c r="G236" s="2" t="inlineStr">
        <is>
          <t>IntimacyThreshold</t>
        </is>
      </c>
      <c r="H236" s="2" t="n"/>
      <c r="I236" s="2" t="inlineStr">
        <is>
          <t>E</t>
        </is>
      </c>
      <c r="J236" s="2" t="inlineStr">
        <is>
          <t>E</t>
        </is>
      </c>
      <c r="K236" s="2" t="inlineStr">
        <is>
          <t>Grateful. It feels earned somehow, like the healing version of what I always needed.</t>
        </is>
      </c>
      <c r="L236" s="2" t="n">
        <v>9</v>
      </c>
      <c r="M236" s="2" t="n">
        <v>9</v>
      </c>
      <c r="N236" s="2" t="n">
        <v>8</v>
      </c>
      <c r="O236" s="2" t="n">
        <v>8</v>
      </c>
      <c r="P236" s="2" t="n">
        <v>6</v>
      </c>
      <c r="Q236" s="2" t="inlineStr">
        <is>
          <t>Romantic Idealist</t>
        </is>
      </c>
      <c r="R236" s="2" t="n">
        <v>6</v>
      </c>
      <c r="S236" s="2" t="n"/>
      <c r="T236" s="2" t="n"/>
      <c r="U236" s="2" t="n">
        <v>0</v>
      </c>
      <c r="V236" s="2" t="inlineStr">
        <is>
          <t>masc:-0.4;fem:1.5</t>
        </is>
      </c>
      <c r="W236" s="2" t="n">
        <v>-0.4</v>
      </c>
      <c r="X236" s="2" t="n">
        <v>1.5</v>
      </c>
      <c r="Y236" s="2" t="inlineStr">
        <is>
          <t>COMM_Emotional</t>
        </is>
      </c>
      <c r="Z236" s="2" t="inlineStr">
        <is>
          <t>REG_Distractor</t>
        </is>
      </c>
      <c r="AA236" s="2" t="inlineStr">
        <is>
          <t>LANG_Gifts</t>
        </is>
      </c>
      <c r="AB236" s="2" t="n"/>
      <c r="AC236" s="2" t="n"/>
      <c r="AD236" s="2" t="n"/>
      <c r="AE236" s="2" t="n">
        <v>0</v>
      </c>
      <c r="AF236" s="2" t="inlineStr">
        <is>
          <t>fulfilled longing</t>
        </is>
      </c>
      <c r="AG236" s="2" t="inlineStr">
        <is>
          <t>open-hearted receiver</t>
        </is>
      </c>
      <c r="AH236" s="2" t="n">
        <v>0</v>
      </c>
      <c r="AI236" s="2" t="inlineStr">
        <is>
          <t>no</t>
        </is>
      </c>
      <c r="AJ236" s="2" t="inlineStr">
        <is>
          <t>no</t>
        </is>
      </c>
      <c r="AK236" s="2" t="inlineStr">
        <is>
          <t>no</t>
        </is>
      </c>
      <c r="AL236" s="2" t="inlineStr">
        <is>
          <t>no</t>
        </is>
      </c>
      <c r="AM236" s="2" t="n"/>
      <c r="AN236" s="2" t="n"/>
      <c r="AO236" s="2" t="n"/>
      <c r="AP236" s="2" t="inlineStr">
        <is>
          <t>v3_2026-03-19</t>
        </is>
      </c>
    </row>
    <row r="237" ht="121.5" customHeight="1" s="10">
      <c r="A237" s="2" t="inlineStr">
        <is>
          <t>Q48_A</t>
        </is>
      </c>
      <c r="B237" s="2" t="n">
        <v>48</v>
      </c>
      <c r="C237" s="2" t="n">
        <v>48</v>
      </c>
      <c r="D237" s="2" t="inlineStr">
        <is>
          <t>Core</t>
        </is>
      </c>
      <c r="E237" s="2" t="n">
        <v>1.35</v>
      </c>
      <c r="F237" s="2" t="inlineStr">
        <is>
          <t>EmotionalNeeds</t>
        </is>
      </c>
      <c r="G237" s="2" t="inlineStr">
        <is>
          <t>IntimacyThreshold</t>
        </is>
      </c>
      <c r="H237" s="2" t="inlineStr">
        <is>
          <t>Things are going well. Emotionally steady, mutual effort, real connection. What's the moment you usually flinch?</t>
        </is>
      </c>
      <c r="I237" s="2" t="inlineStr">
        <is>
          <t>A</t>
        </is>
      </c>
      <c r="J237" s="2" t="inlineStr">
        <is>
          <t>A</t>
        </is>
      </c>
      <c r="K237" s="2" t="inlineStr">
        <is>
          <t>When they start asking deeper questions. I don't like being studied.</t>
        </is>
      </c>
      <c r="L237" s="2" t="n">
        <v>6</v>
      </c>
      <c r="M237" s="2" t="n">
        <v>7</v>
      </c>
      <c r="N237" s="2" t="n">
        <v>2</v>
      </c>
      <c r="O237" s="2" t="n">
        <v>2</v>
      </c>
      <c r="P237" s="2" t="n">
        <v>0</v>
      </c>
      <c r="Q237" s="2" t="inlineStr">
        <is>
          <t>Icebox</t>
        </is>
      </c>
      <c r="R237" s="2" t="n">
        <v>1</v>
      </c>
      <c r="S237" s="2" t="n"/>
      <c r="T237" s="2" t="n"/>
      <c r="U237" s="2" t="n">
        <v>0</v>
      </c>
      <c r="V237" s="2" t="inlineStr">
        <is>
          <t>masc:1.8;fem:-1.6</t>
        </is>
      </c>
      <c r="W237" s="2" t="n">
        <v>1.8</v>
      </c>
      <c r="X237" s="2" t="n">
        <v>-1.6</v>
      </c>
      <c r="Y237" s="2" t="inlineStr">
        <is>
          <t>COMM_Avoidant</t>
        </is>
      </c>
      <c r="Z237" s="2" t="inlineStr">
        <is>
          <t>REG_Suppressor</t>
        </is>
      </c>
      <c r="AA237" s="2" t="inlineStr">
        <is>
          <t>LANG_Time</t>
        </is>
      </c>
      <c r="AB237" s="2" t="inlineStr">
        <is>
          <t>Vulnerability_Loop</t>
        </is>
      </c>
      <c r="AC237" s="2" t="inlineStr">
        <is>
          <t>Vulnerability_Loop</t>
        </is>
      </c>
      <c r="AD237" s="2" t="n"/>
      <c r="AE237" s="2" t="n">
        <v>5</v>
      </c>
      <c r="AF237" s="2" t="inlineStr">
        <is>
          <t>intimacy evasion reflex</t>
        </is>
      </c>
      <c r="AG237" s="2" t="inlineStr">
        <is>
          <t>guarded sharer</t>
        </is>
      </c>
      <c r="AH237" s="2" t="n">
        <v>0</v>
      </c>
      <c r="AI237" s="2" t="inlineStr">
        <is>
          <t>yes</t>
        </is>
      </c>
      <c r="AJ237" s="2" t="inlineStr">
        <is>
          <t>no</t>
        </is>
      </c>
      <c r="AK237" s="2" t="inlineStr">
        <is>
          <t>no</t>
        </is>
      </c>
      <c r="AL237" s="2" t="inlineStr">
        <is>
          <t>no</t>
        </is>
      </c>
      <c r="AM237" s="2" t="n"/>
      <c r="AN237" s="2" t="n"/>
      <c r="AO237" s="2" t="n"/>
      <c r="AP237" s="2" t="inlineStr">
        <is>
          <t>v3_2026-03-19</t>
        </is>
      </c>
    </row>
    <row r="238" ht="68.25" customHeight="1" s="10">
      <c r="A238" s="2" t="inlineStr">
        <is>
          <t>Q48_B</t>
        </is>
      </c>
      <c r="B238" s="2" t="n">
        <v>48</v>
      </c>
      <c r="C238" s="2" t="n">
        <v>48</v>
      </c>
      <c r="D238" s="2" t="inlineStr">
        <is>
          <t>Core</t>
        </is>
      </c>
      <c r="E238" s="2" t="n">
        <v>1.35</v>
      </c>
      <c r="F238" s="2" t="inlineStr">
        <is>
          <t>EmotionalNeeds</t>
        </is>
      </c>
      <c r="G238" s="2" t="inlineStr">
        <is>
          <t>IntimacyThreshold</t>
        </is>
      </c>
      <c r="H238" s="2" t="n"/>
      <c r="I238" s="2" t="inlineStr">
        <is>
          <t>B</t>
        </is>
      </c>
      <c r="J238" s="2" t="inlineStr">
        <is>
          <t>B</t>
        </is>
      </c>
      <c r="K238" s="2" t="inlineStr">
        <is>
          <t>When I can't tell how they're really feeling. I hate guessing.</t>
        </is>
      </c>
      <c r="L238" s="2" t="n">
        <v>5</v>
      </c>
      <c r="M238" s="2" t="n">
        <v>6</v>
      </c>
      <c r="N238" s="2" t="n">
        <v>2</v>
      </c>
      <c r="O238" s="2" t="n">
        <v>4</v>
      </c>
      <c r="P238" s="2" t="n">
        <v>2</v>
      </c>
      <c r="Q238" s="2" t="inlineStr">
        <is>
          <t>Phantom Seeker</t>
        </is>
      </c>
      <c r="R238" s="2" t="n">
        <v>10</v>
      </c>
      <c r="S238" s="2" t="n"/>
      <c r="T238" s="2" t="n"/>
      <c r="U238" s="2" t="n">
        <v>0</v>
      </c>
      <c r="V238" s="2" t="inlineStr">
        <is>
          <t>masc:-0.2;fem:1.5</t>
        </is>
      </c>
      <c r="W238" s="2" t="n">
        <v>-0.2</v>
      </c>
      <c r="X238" s="2" t="n">
        <v>1.5</v>
      </c>
      <c r="Y238" s="2" t="inlineStr">
        <is>
          <t>COMM_Emotional</t>
        </is>
      </c>
      <c r="Z238" s="2" t="inlineStr">
        <is>
          <t>REG_SelfSoother</t>
        </is>
      </c>
      <c r="AA238" s="2" t="inlineStr">
        <is>
          <t>LANG_Touch</t>
        </is>
      </c>
      <c r="AB238" s="2" t="inlineStr">
        <is>
          <t>Vulnerability_Loop</t>
        </is>
      </c>
      <c r="AC238" s="2" t="inlineStr">
        <is>
          <t>Vulnerability_Loop</t>
        </is>
      </c>
      <c r="AD238" s="2" t="n"/>
      <c r="AE238" s="2" t="n">
        <v>5</v>
      </c>
      <c r="AF238" s="2" t="inlineStr">
        <is>
          <t>emotional uncertainty freeze</t>
        </is>
      </c>
      <c r="AG238" s="2" t="inlineStr">
        <is>
          <t>clarity craver</t>
        </is>
      </c>
      <c r="AH238" s="2" t="n">
        <v>0.2</v>
      </c>
      <c r="AI238" s="2" t="inlineStr">
        <is>
          <t>yes</t>
        </is>
      </c>
      <c r="AJ238" s="2" t="inlineStr">
        <is>
          <t>no</t>
        </is>
      </c>
      <c r="AK238" s="2" t="inlineStr">
        <is>
          <t>no</t>
        </is>
      </c>
      <c r="AL238" s="2" t="inlineStr">
        <is>
          <t>no</t>
        </is>
      </c>
      <c r="AM238" s="2" t="n"/>
      <c r="AN238" s="2" t="n"/>
      <c r="AO238" s="2" t="n"/>
      <c r="AP238" s="2" t="inlineStr">
        <is>
          <t>v3_2026-03-19</t>
        </is>
      </c>
    </row>
    <row r="239" ht="81" customHeight="1" s="10">
      <c r="A239" s="2" t="inlineStr">
        <is>
          <t>Q48_C</t>
        </is>
      </c>
      <c r="B239" s="2" t="n">
        <v>48</v>
      </c>
      <c r="C239" s="2" t="n">
        <v>48</v>
      </c>
      <c r="D239" s="2" t="inlineStr">
        <is>
          <t>Core</t>
        </is>
      </c>
      <c r="E239" s="2" t="n">
        <v>1.35</v>
      </c>
      <c r="F239" s="2" t="inlineStr">
        <is>
          <t>EmotionalNeeds</t>
        </is>
      </c>
      <c r="G239" s="2" t="inlineStr">
        <is>
          <t>IntimacyThreshold</t>
        </is>
      </c>
      <c r="H239" s="2" t="n"/>
      <c r="I239" s="2" t="inlineStr">
        <is>
          <t>C</t>
        </is>
      </c>
      <c r="J239" s="2" t="inlineStr">
        <is>
          <t>C</t>
        </is>
      </c>
      <c r="K239" s="2" t="inlineStr">
        <is>
          <t>When they stop doing the little things-I start wondering if I misread it all.</t>
        </is>
      </c>
      <c r="L239" s="2" t="n">
        <v>7</v>
      </c>
      <c r="M239" s="2" t="n">
        <v>8</v>
      </c>
      <c r="N239" s="2" t="n">
        <v>6</v>
      </c>
      <c r="O239" s="2" t="n">
        <v>8</v>
      </c>
      <c r="P239" s="2" t="n">
        <v>6</v>
      </c>
      <c r="Q239" s="2" t="inlineStr">
        <is>
          <t>Analyzer</t>
        </is>
      </c>
      <c r="R239" s="2" t="n">
        <v>2</v>
      </c>
      <c r="S239" s="2" t="n"/>
      <c r="T239" s="2" t="n"/>
      <c r="U239" s="2" t="n">
        <v>0</v>
      </c>
      <c r="V239" s="2" t="inlineStr">
        <is>
          <t>masc:1.4;fem:0.1</t>
        </is>
      </c>
      <c r="W239" s="2" t="n">
        <v>1.4</v>
      </c>
      <c r="X239" s="2" t="n">
        <v>0.1</v>
      </c>
      <c r="Y239" s="2" t="inlineStr">
        <is>
          <t>COMM_Logical</t>
        </is>
      </c>
      <c r="Z239" s="2" t="inlineStr">
        <is>
          <t>REG_SelfSoother</t>
        </is>
      </c>
      <c r="AA239" s="2" t="inlineStr">
        <is>
          <t>LANG_Service</t>
        </is>
      </c>
      <c r="AB239" s="2" t="n"/>
      <c r="AC239" s="2" t="n"/>
      <c r="AD239" s="2" t="n"/>
      <c r="AE239" s="2" t="n">
        <v>0</v>
      </c>
      <c r="AF239" s="2" t="inlineStr">
        <is>
          <t>micro-shift alarm system</t>
        </is>
      </c>
      <c r="AG239" s="2" t="inlineStr">
        <is>
          <t>detail watcher</t>
        </is>
      </c>
      <c r="AH239" s="2" t="n">
        <v>0</v>
      </c>
      <c r="AI239" s="2" t="inlineStr">
        <is>
          <t>no</t>
        </is>
      </c>
      <c r="AJ239" s="2" t="inlineStr">
        <is>
          <t>no</t>
        </is>
      </c>
      <c r="AK239" s="2" t="inlineStr">
        <is>
          <t>no</t>
        </is>
      </c>
      <c r="AL239" s="2" t="inlineStr">
        <is>
          <t>no</t>
        </is>
      </c>
      <c r="AM239" s="2" t="n"/>
      <c r="AN239" s="2" t="n"/>
      <c r="AO239" s="2" t="n"/>
      <c r="AP239" s="2" t="inlineStr">
        <is>
          <t>v3_2026-03-19</t>
        </is>
      </c>
    </row>
    <row r="240" ht="81" customHeight="1" s="10">
      <c r="A240" s="2" t="inlineStr">
        <is>
          <t>Q48_D</t>
        </is>
      </c>
      <c r="B240" s="2" t="n">
        <v>48</v>
      </c>
      <c r="C240" s="2" t="n">
        <v>48</v>
      </c>
      <c r="D240" s="2" t="inlineStr">
        <is>
          <t>Core</t>
        </is>
      </c>
      <c r="E240" s="2" t="n">
        <v>1.35</v>
      </c>
      <c r="F240" s="2" t="inlineStr">
        <is>
          <t>EmotionalNeeds</t>
        </is>
      </c>
      <c r="G240" s="2" t="inlineStr">
        <is>
          <t>IntimacyThreshold</t>
        </is>
      </c>
      <c r="H240" s="2" t="n"/>
      <c r="I240" s="2" t="inlineStr">
        <is>
          <t>D</t>
        </is>
      </c>
      <c r="J240" s="2" t="inlineStr">
        <is>
          <t>D</t>
        </is>
      </c>
      <c r="K240" s="2" t="inlineStr">
        <is>
          <t>When they show up too much. I get overwhelmed and start backing up.</t>
        </is>
      </c>
      <c r="L240" s="2" t="n">
        <v>5</v>
      </c>
      <c r="M240" s="2" t="n">
        <v>6</v>
      </c>
      <c r="N240" s="2" t="n">
        <v>4</v>
      </c>
      <c r="O240" s="2" t="n">
        <v>4</v>
      </c>
      <c r="P240" s="2" t="n">
        <v>4</v>
      </c>
      <c r="Q240" s="2" t="inlineStr">
        <is>
          <t>Survivor</t>
        </is>
      </c>
      <c r="R240" s="2" t="n">
        <v>8</v>
      </c>
      <c r="S240" s="2" t="n"/>
      <c r="T240" s="2" t="n"/>
      <c r="U240" s="2" t="n">
        <v>0</v>
      </c>
      <c r="V240" s="2" t="inlineStr">
        <is>
          <t>masc:0.3;fem:1.3</t>
        </is>
      </c>
      <c r="W240" s="2" t="n">
        <v>0.3</v>
      </c>
      <c r="X240" s="2" t="n">
        <v>1.3</v>
      </c>
      <c r="Y240" s="2" t="inlineStr">
        <is>
          <t>COMM_Emotional</t>
        </is>
      </c>
      <c r="Z240" s="2" t="inlineStr">
        <is>
          <t>REG_SelfSoother</t>
        </is>
      </c>
      <c r="AA240" s="2" t="inlineStr">
        <is>
          <t>LANG_Service</t>
        </is>
      </c>
      <c r="AB240" s="2" t="inlineStr">
        <is>
          <t>Vulnerability_Loop</t>
        </is>
      </c>
      <c r="AC240" s="2" t="inlineStr">
        <is>
          <t>Vulnerability_Loop</t>
        </is>
      </c>
      <c r="AD240" s="2" t="n"/>
      <c r="AE240" s="2" t="n">
        <v>5</v>
      </c>
      <c r="AF240" s="2" t="inlineStr">
        <is>
          <t>safety overload reflex</t>
        </is>
      </c>
      <c r="AG240" s="2" t="inlineStr">
        <is>
          <t>slow stepper</t>
        </is>
      </c>
      <c r="AH240" s="2" t="n">
        <v>0</v>
      </c>
      <c r="AI240" s="2" t="inlineStr">
        <is>
          <t>yes</t>
        </is>
      </c>
      <c r="AJ240" s="2" t="inlineStr">
        <is>
          <t>no</t>
        </is>
      </c>
      <c r="AK240" s="2" t="inlineStr">
        <is>
          <t>no</t>
        </is>
      </c>
      <c r="AL240" s="2" t="inlineStr">
        <is>
          <t>no</t>
        </is>
      </c>
      <c r="AM240" s="2" t="n"/>
      <c r="AN240" s="2" t="n"/>
      <c r="AO240" s="2" t="n"/>
      <c r="AP240" s="2" t="inlineStr">
        <is>
          <t>v3_2026-03-19</t>
        </is>
      </c>
    </row>
    <row r="241" ht="81" customHeight="1" s="10">
      <c r="A241" s="2" t="inlineStr">
        <is>
          <t>Q48_E</t>
        </is>
      </c>
      <c r="B241" s="2" t="n">
        <v>48</v>
      </c>
      <c r="C241" s="2" t="n">
        <v>48</v>
      </c>
      <c r="D241" s="2" t="inlineStr">
        <is>
          <t>Core</t>
        </is>
      </c>
      <c r="E241" s="2" t="n">
        <v>1.35</v>
      </c>
      <c r="F241" s="2" t="inlineStr">
        <is>
          <t>EmotionalNeeds</t>
        </is>
      </c>
      <c r="G241" s="2" t="inlineStr">
        <is>
          <t>IntimacyThreshold</t>
        </is>
      </c>
      <c r="H241" s="2" t="n"/>
      <c r="I241" s="2" t="inlineStr">
        <is>
          <t>E</t>
        </is>
      </c>
      <c r="J241" s="2" t="inlineStr">
        <is>
          <t>E</t>
        </is>
      </c>
      <c r="K241" s="2" t="inlineStr">
        <is>
          <t>When I finally exhale-and realize I don't fully trust that peace yet.</t>
        </is>
      </c>
      <c r="L241" s="2" t="n">
        <v>8</v>
      </c>
      <c r="M241" s="2" t="n">
        <v>9</v>
      </c>
      <c r="N241" s="2" t="n">
        <v>6</v>
      </c>
      <c r="O241" s="2" t="n">
        <v>8</v>
      </c>
      <c r="P241" s="2" t="n">
        <v>6</v>
      </c>
      <c r="Q241" s="2" t="inlineStr">
        <is>
          <t>Romantic Idealist</t>
        </is>
      </c>
      <c r="R241" s="2" t="n">
        <v>6</v>
      </c>
      <c r="S241" s="2" t="n"/>
      <c r="T241" s="2" t="n"/>
      <c r="U241" s="2" t="n">
        <v>0</v>
      </c>
      <c r="V241" s="2" t="inlineStr">
        <is>
          <t>masc:-0.4;fem:1.5</t>
        </is>
      </c>
      <c r="W241" s="2" t="n">
        <v>-0.4</v>
      </c>
      <c r="X241" s="2" t="n">
        <v>1.5</v>
      </c>
      <c r="Y241" s="2" t="inlineStr">
        <is>
          <t>COMM_Emotional</t>
        </is>
      </c>
      <c r="Z241" s="2" t="inlineStr">
        <is>
          <t>REG_Distractor</t>
        </is>
      </c>
      <c r="AA241" s="2" t="inlineStr">
        <is>
          <t>LANG_Gifts</t>
        </is>
      </c>
      <c r="AB241" s="2" t="n"/>
      <c r="AC241" s="2" t="n"/>
      <c r="AD241" s="2" t="n"/>
      <c r="AE241" s="2" t="n">
        <v>0</v>
      </c>
      <c r="AF241" s="2" t="inlineStr">
        <is>
          <t>joy with a flinch</t>
        </is>
      </c>
      <c r="AG241" s="2" t="inlineStr">
        <is>
          <t>wary dreamer</t>
        </is>
      </c>
      <c r="AH241" s="2" t="n">
        <v>0</v>
      </c>
      <c r="AI241" s="2" t="inlineStr">
        <is>
          <t>no</t>
        </is>
      </c>
      <c r="AJ241" s="2" t="inlineStr">
        <is>
          <t>no</t>
        </is>
      </c>
      <c r="AK241" s="2" t="inlineStr">
        <is>
          <t>no</t>
        </is>
      </c>
      <c r="AL241" s="2" t="inlineStr">
        <is>
          <t>no</t>
        </is>
      </c>
      <c r="AM241" s="2" t="n"/>
      <c r="AN241" s="2" t="n"/>
      <c r="AO241" s="2" t="n"/>
      <c r="AP241" s="2" t="inlineStr">
        <is>
          <t>v3_2026-03-19</t>
        </is>
      </c>
    </row>
    <row r="242" ht="94.5" customHeight="1" s="10">
      <c r="A242" s="2" t="inlineStr">
        <is>
          <t>Q49_A</t>
        </is>
      </c>
      <c r="B242" s="2" t="n">
        <v>49</v>
      </c>
      <c r="C242" s="2" t="n">
        <v>49</v>
      </c>
      <c r="D242" s="2" t="inlineStr">
        <is>
          <t>Core</t>
        </is>
      </c>
      <c r="E242" s="2" t="n">
        <v>1.4</v>
      </c>
      <c r="F242" s="2" t="inlineStr">
        <is>
          <t>EmotionalNeeds</t>
        </is>
      </c>
      <c r="G242" s="2" t="inlineStr">
        <is>
          <t>IntimacyThreshold</t>
        </is>
      </c>
      <c r="H242" s="2" t="inlineStr">
        <is>
          <t>When love starts to feel familiar... what part of your past does it usually remind you of?</t>
        </is>
      </c>
      <c r="I242" s="2" t="inlineStr">
        <is>
          <t>A</t>
        </is>
      </c>
      <c r="J242" s="2" t="inlineStr">
        <is>
          <t>A</t>
        </is>
      </c>
      <c r="K242" s="2" t="inlineStr">
        <is>
          <t>That feeling of being needed for what I could give, not for who I was.</t>
        </is>
      </c>
      <c r="L242" s="2" t="n">
        <v>5</v>
      </c>
      <c r="M242" s="2" t="n">
        <v>6</v>
      </c>
      <c r="N242" s="2" t="n">
        <v>4</v>
      </c>
      <c r="O242" s="2" t="n">
        <v>4</v>
      </c>
      <c r="P242" s="2" t="n">
        <v>4</v>
      </c>
      <c r="Q242" s="2" t="inlineStr">
        <is>
          <t>Fixer</t>
        </is>
      </c>
      <c r="R242" s="2" t="n">
        <v>5</v>
      </c>
      <c r="S242" s="2" t="n"/>
      <c r="T242" s="2" t="n"/>
      <c r="U242" s="2" t="n">
        <v>0</v>
      </c>
      <c r="V242" s="2" t="inlineStr">
        <is>
          <t>masc:-0.4;fem:2.0</t>
        </is>
      </c>
      <c r="W242" s="2" t="n">
        <v>-0.4</v>
      </c>
      <c r="X242" s="2" t="n">
        <v>2</v>
      </c>
      <c r="Y242" s="2" t="inlineStr">
        <is>
          <t>COMM_Emotional</t>
        </is>
      </c>
      <c r="Z242" s="2" t="inlineStr">
        <is>
          <t>REG_CoRegulator</t>
        </is>
      </c>
      <c r="AA242" s="2" t="inlineStr">
        <is>
          <t>LANG_Service</t>
        </is>
      </c>
      <c r="AB242" s="2" t="inlineStr">
        <is>
          <t>Vulnerability_Loop</t>
        </is>
      </c>
      <c r="AC242" s="2" t="inlineStr">
        <is>
          <t>Vulnerability_Loop</t>
        </is>
      </c>
      <c r="AD242" s="2" t="n"/>
      <c r="AE242" s="2" t="n">
        <v>5</v>
      </c>
      <c r="AF242" s="2" t="inlineStr">
        <is>
          <t>transactional love imprint</t>
        </is>
      </c>
      <c r="AG242" s="2" t="inlineStr">
        <is>
          <t>role-based connector</t>
        </is>
      </c>
      <c r="AH242" s="2" t="n">
        <v>0</v>
      </c>
      <c r="AI242" s="2" t="inlineStr">
        <is>
          <t>yes</t>
        </is>
      </c>
      <c r="AJ242" s="2" t="inlineStr">
        <is>
          <t>no</t>
        </is>
      </c>
      <c r="AK242" s="2" t="inlineStr">
        <is>
          <t>no</t>
        </is>
      </c>
      <c r="AL242" s="2" t="inlineStr">
        <is>
          <t>no</t>
        </is>
      </c>
      <c r="AM242" s="2" t="n"/>
      <c r="AN242" s="2" t="n"/>
      <c r="AO242" s="2" t="n"/>
      <c r="AP242" s="2" t="inlineStr">
        <is>
          <t>v3_2026-03-19</t>
        </is>
      </c>
    </row>
    <row r="243" ht="81" customHeight="1" s="10">
      <c r="A243" s="2" t="inlineStr">
        <is>
          <t>Q49_B</t>
        </is>
      </c>
      <c r="B243" s="2" t="n">
        <v>49</v>
      </c>
      <c r="C243" s="2" t="n">
        <v>49</v>
      </c>
      <c r="D243" s="2" t="inlineStr">
        <is>
          <t>Core</t>
        </is>
      </c>
      <c r="E243" s="2" t="n">
        <v>1.4</v>
      </c>
      <c r="F243" s="2" t="inlineStr">
        <is>
          <t>EmotionalNeeds</t>
        </is>
      </c>
      <c r="G243" s="2" t="inlineStr">
        <is>
          <t>IntimacyThreshold</t>
        </is>
      </c>
      <c r="H243" s="2" t="n"/>
      <c r="I243" s="2" t="inlineStr">
        <is>
          <t>B</t>
        </is>
      </c>
      <c r="J243" s="2" t="inlineStr">
        <is>
          <t>B</t>
        </is>
      </c>
      <c r="K243" s="2" t="inlineStr">
        <is>
          <t>The fear that if I say how I really feel, they'll leave-or worse, stay but pull away.</t>
        </is>
      </c>
      <c r="L243" s="2" t="n">
        <v>4</v>
      </c>
      <c r="M243" s="2" t="n">
        <v>5</v>
      </c>
      <c r="N243" s="2" t="n">
        <v>2</v>
      </c>
      <c r="O243" s="2" t="n">
        <v>2</v>
      </c>
      <c r="P243" s="2" t="n">
        <v>0</v>
      </c>
      <c r="Q243" s="2" t="inlineStr">
        <is>
          <t>Phantom Seeker</t>
        </is>
      </c>
      <c r="R243" s="2" t="n">
        <v>10</v>
      </c>
      <c r="S243" s="2" t="n"/>
      <c r="T243" s="2" t="n"/>
      <c r="U243" s="2" t="n">
        <v>0</v>
      </c>
      <c r="V243" s="2" t="inlineStr">
        <is>
          <t>masc:-0.2;fem:1.5</t>
        </is>
      </c>
      <c r="W243" s="2" t="n">
        <v>-0.2</v>
      </c>
      <c r="X243" s="2" t="n">
        <v>1.5</v>
      </c>
      <c r="Y243" s="2" t="inlineStr">
        <is>
          <t>COMM_Emotional</t>
        </is>
      </c>
      <c r="Z243" s="2" t="inlineStr">
        <is>
          <t>REG_SelfSoother</t>
        </is>
      </c>
      <c r="AA243" s="2" t="inlineStr">
        <is>
          <t>LANG_Touch</t>
        </is>
      </c>
      <c r="AB243" s="2" t="inlineStr">
        <is>
          <t>Vulnerability_Loop</t>
        </is>
      </c>
      <c r="AC243" s="2" t="inlineStr">
        <is>
          <t>Vulnerability_Loop</t>
        </is>
      </c>
      <c r="AD243" s="2" t="n"/>
      <c r="AE243" s="2" t="n">
        <v>5</v>
      </c>
      <c r="AF243" s="2" t="inlineStr">
        <is>
          <t>emotional abandonment echo</t>
        </is>
      </c>
      <c r="AG243" s="2" t="inlineStr">
        <is>
          <t>closeness doubter</t>
        </is>
      </c>
      <c r="AH243" s="2" t="n">
        <v>0</v>
      </c>
      <c r="AI243" s="2" t="inlineStr">
        <is>
          <t>yes</t>
        </is>
      </c>
      <c r="AJ243" s="2" t="inlineStr">
        <is>
          <t>no</t>
        </is>
      </c>
      <c r="AK243" s="2" t="inlineStr">
        <is>
          <t>no</t>
        </is>
      </c>
      <c r="AL243" s="2" t="inlineStr">
        <is>
          <t>no</t>
        </is>
      </c>
      <c r="AM243" s="2" t="n"/>
      <c r="AN243" s="2" t="n"/>
      <c r="AO243" s="2" t="n"/>
      <c r="AP243" s="2" t="inlineStr">
        <is>
          <t>v3_2026-03-19</t>
        </is>
      </c>
    </row>
    <row r="244" ht="81" customHeight="1" s="10">
      <c r="A244" s="2" t="inlineStr">
        <is>
          <t>Q49_C</t>
        </is>
      </c>
      <c r="B244" s="2" t="n">
        <v>49</v>
      </c>
      <c r="C244" s="2" t="n">
        <v>49</v>
      </c>
      <c r="D244" s="2" t="inlineStr">
        <is>
          <t>Core</t>
        </is>
      </c>
      <c r="E244" s="2" t="n">
        <v>1.4</v>
      </c>
      <c r="F244" s="2" t="inlineStr">
        <is>
          <t>EmotionalNeeds</t>
        </is>
      </c>
      <c r="G244" s="2" t="inlineStr">
        <is>
          <t>IntimacyThreshold</t>
        </is>
      </c>
      <c r="H244" s="2" t="n"/>
      <c r="I244" s="2" t="inlineStr">
        <is>
          <t>C</t>
        </is>
      </c>
      <c r="J244" s="2" t="inlineStr">
        <is>
          <t>C</t>
        </is>
      </c>
      <c r="K244" s="2" t="inlineStr">
        <is>
          <t>Those moments where I felt like the adult in the room, even as a kid.</t>
        </is>
      </c>
      <c r="L244" s="2" t="n">
        <v>7</v>
      </c>
      <c r="M244" s="2" t="n">
        <v>8</v>
      </c>
      <c r="N244" s="2" t="n">
        <v>6</v>
      </c>
      <c r="O244" s="2" t="n">
        <v>8</v>
      </c>
      <c r="P244" s="2" t="n">
        <v>6</v>
      </c>
      <c r="Q244" s="2" t="inlineStr">
        <is>
          <t>Analyzer</t>
        </is>
      </c>
      <c r="R244" s="2" t="n">
        <v>2</v>
      </c>
      <c r="S244" s="2" t="n"/>
      <c r="T244" s="2" t="n"/>
      <c r="U244" s="2" t="n">
        <v>0</v>
      </c>
      <c r="V244" s="2" t="inlineStr">
        <is>
          <t>masc:1.4;fem:0.1</t>
        </is>
      </c>
      <c r="W244" s="2" t="n">
        <v>1.4</v>
      </c>
      <c r="X244" s="2" t="n">
        <v>0.1</v>
      </c>
      <c r="Y244" s="2" t="inlineStr">
        <is>
          <t>COMM_Logical</t>
        </is>
      </c>
      <c r="Z244" s="2" t="inlineStr">
        <is>
          <t>REG_SelfSoother</t>
        </is>
      </c>
      <c r="AA244" s="2" t="inlineStr">
        <is>
          <t>LANG_Service</t>
        </is>
      </c>
      <c r="AB244" s="2" t="n"/>
      <c r="AC244" s="2" t="n"/>
      <c r="AD244" s="2" t="n"/>
      <c r="AE244" s="2" t="n">
        <v>0</v>
      </c>
      <c r="AF244" s="2" t="inlineStr">
        <is>
          <t>early emotional burden</t>
        </is>
      </c>
      <c r="AG244" s="2" t="inlineStr">
        <is>
          <t>responsibility carrier</t>
        </is>
      </c>
      <c r="AH244" s="2" t="n">
        <v>0</v>
      </c>
      <c r="AI244" s="2" t="inlineStr">
        <is>
          <t>no</t>
        </is>
      </c>
      <c r="AJ244" s="2" t="inlineStr">
        <is>
          <t>no</t>
        </is>
      </c>
      <c r="AK244" s="2" t="inlineStr">
        <is>
          <t>no</t>
        </is>
      </c>
      <c r="AL244" s="2" t="inlineStr">
        <is>
          <t>no</t>
        </is>
      </c>
      <c r="AM244" s="2" t="n"/>
      <c r="AN244" s="2" t="n"/>
      <c r="AO244" s="2" t="n"/>
      <c r="AP244" s="2" t="inlineStr">
        <is>
          <t>v3_2026-03-19</t>
        </is>
      </c>
    </row>
    <row r="245" ht="81" customHeight="1" s="10">
      <c r="A245" s="2" t="inlineStr">
        <is>
          <t>Q49_D</t>
        </is>
      </c>
      <c r="B245" s="2" t="n">
        <v>49</v>
      </c>
      <c r="C245" s="2" t="n">
        <v>49</v>
      </c>
      <c r="D245" s="2" t="inlineStr">
        <is>
          <t>Core</t>
        </is>
      </c>
      <c r="E245" s="2" t="n">
        <v>1.4</v>
      </c>
      <c r="F245" s="2" t="inlineStr">
        <is>
          <t>EmotionalNeeds</t>
        </is>
      </c>
      <c r="G245" s="2" t="inlineStr">
        <is>
          <t>IntimacyThreshold</t>
        </is>
      </c>
      <c r="H245" s="2" t="n"/>
      <c r="I245" s="2" t="inlineStr">
        <is>
          <t>D</t>
        </is>
      </c>
      <c r="J245" s="2" t="inlineStr">
        <is>
          <t>D</t>
        </is>
      </c>
      <c r="K245" s="2" t="inlineStr">
        <is>
          <t>The peace of being invisible. No demands, no chaos, just quiet.</t>
        </is>
      </c>
      <c r="L245" s="2" t="n">
        <v>8</v>
      </c>
      <c r="M245" s="2" t="n">
        <v>9</v>
      </c>
      <c r="N245" s="2" t="n">
        <v>4</v>
      </c>
      <c r="O245" s="2" t="n">
        <v>6</v>
      </c>
      <c r="P245" s="2" t="n">
        <v>2</v>
      </c>
      <c r="Q245" s="2" t="inlineStr">
        <is>
          <t>Icebox</t>
        </is>
      </c>
      <c r="R245" s="2" t="n">
        <v>1</v>
      </c>
      <c r="S245" s="2" t="n"/>
      <c r="T245" s="2" t="n"/>
      <c r="U245" s="2" t="n">
        <v>0</v>
      </c>
      <c r="V245" s="2" t="inlineStr">
        <is>
          <t>masc:1.8;fem:-1.6</t>
        </is>
      </c>
      <c r="W245" s="2" t="n">
        <v>1.8</v>
      </c>
      <c r="X245" s="2" t="n">
        <v>-1.6</v>
      </c>
      <c r="Y245" s="2" t="inlineStr">
        <is>
          <t>COMM_Avoidant</t>
        </is>
      </c>
      <c r="Z245" s="2" t="inlineStr">
        <is>
          <t>REG_Suppressor</t>
        </is>
      </c>
      <c r="AA245" s="2" t="inlineStr">
        <is>
          <t>LANG_Time</t>
        </is>
      </c>
      <c r="AB245" s="2" t="n"/>
      <c r="AC245" s="2" t="n"/>
      <c r="AD245" s="2" t="n"/>
      <c r="AE245" s="2" t="n">
        <v>0</v>
      </c>
      <c r="AF245" s="2" t="inlineStr">
        <is>
          <t>safety through distance</t>
        </is>
      </c>
      <c r="AG245" s="2" t="inlineStr">
        <is>
          <t>presence minimizer</t>
        </is>
      </c>
      <c r="AH245" s="2" t="n">
        <v>0</v>
      </c>
      <c r="AI245" s="2" t="inlineStr">
        <is>
          <t>no</t>
        </is>
      </c>
      <c r="AJ245" s="2" t="inlineStr">
        <is>
          <t>no</t>
        </is>
      </c>
      <c r="AK245" s="2" t="inlineStr">
        <is>
          <t>no</t>
        </is>
      </c>
      <c r="AL245" s="2" t="inlineStr">
        <is>
          <t>no</t>
        </is>
      </c>
      <c r="AM245" s="2" t="n"/>
      <c r="AN245" s="2" t="n"/>
      <c r="AO245" s="2" t="n"/>
      <c r="AP245" s="2" t="inlineStr">
        <is>
          <t>v3_2026-03-19</t>
        </is>
      </c>
    </row>
    <row r="246" ht="108" customHeight="1" s="10">
      <c r="A246" s="2" t="inlineStr">
        <is>
          <t>Q49_E</t>
        </is>
      </c>
      <c r="B246" s="2" t="n">
        <v>49</v>
      </c>
      <c r="C246" s="2" t="n">
        <v>49</v>
      </c>
      <c r="D246" s="2" t="inlineStr">
        <is>
          <t>Core</t>
        </is>
      </c>
      <c r="E246" s="2" t="n">
        <v>1.4</v>
      </c>
      <c r="F246" s="2" t="inlineStr">
        <is>
          <t>EmotionalNeeds</t>
        </is>
      </c>
      <c r="G246" s="2" t="inlineStr">
        <is>
          <t>IntimacyThreshold</t>
        </is>
      </c>
      <c r="H246" s="2" t="n"/>
      <c r="I246" s="2" t="inlineStr">
        <is>
          <t>E</t>
        </is>
      </c>
      <c r="J246" s="2" t="inlineStr">
        <is>
          <t>E</t>
        </is>
      </c>
      <c r="K246" s="2" t="inlineStr">
        <is>
          <t>The hope that this time, someone might actually stay long enough to prove me wrong.</t>
        </is>
      </c>
      <c r="L246" s="2" t="n">
        <v>9</v>
      </c>
      <c r="M246" s="2" t="n">
        <v>9</v>
      </c>
      <c r="N246" s="2" t="n">
        <v>8</v>
      </c>
      <c r="O246" s="2" t="n">
        <v>8</v>
      </c>
      <c r="P246" s="2" t="n">
        <v>6</v>
      </c>
      <c r="Q246" s="2" t="inlineStr">
        <is>
          <t>Romantic Idealist</t>
        </is>
      </c>
      <c r="R246" s="2" t="n">
        <v>6</v>
      </c>
      <c r="S246" s="2" t="n"/>
      <c r="T246" s="2" t="n"/>
      <c r="U246" s="2" t="n">
        <v>0</v>
      </c>
      <c r="V246" s="2" t="inlineStr">
        <is>
          <t>masc:-0.4;fem:1.5</t>
        </is>
      </c>
      <c r="W246" s="2" t="n">
        <v>-0.4</v>
      </c>
      <c r="X246" s="2" t="n">
        <v>1.5</v>
      </c>
      <c r="Y246" s="2" t="inlineStr">
        <is>
          <t>COMM_Emotional</t>
        </is>
      </c>
      <c r="Z246" s="2" t="inlineStr">
        <is>
          <t>REG_Distractor</t>
        </is>
      </c>
      <c r="AA246" s="2" t="inlineStr">
        <is>
          <t>LANG_Gifts</t>
        </is>
      </c>
      <c r="AB246" s="2" t="n"/>
      <c r="AC246" s="2" t="n"/>
      <c r="AD246" s="2" t="n"/>
      <c r="AE246" s="2" t="n">
        <v>0</v>
      </c>
      <c r="AF246" s="2" t="inlineStr">
        <is>
          <t>redemption fantasy loop</t>
        </is>
      </c>
      <c r="AG246" s="2" t="inlineStr">
        <is>
          <t>hopeful believer</t>
        </is>
      </c>
      <c r="AH246" s="2" t="n">
        <v>0</v>
      </c>
      <c r="AI246" s="2" t="inlineStr">
        <is>
          <t>no</t>
        </is>
      </c>
      <c r="AJ246" s="2" t="inlineStr">
        <is>
          <t>no</t>
        </is>
      </c>
      <c r="AK246" s="2" t="inlineStr">
        <is>
          <t>no</t>
        </is>
      </c>
      <c r="AL246" s="2" t="inlineStr">
        <is>
          <t>no</t>
        </is>
      </c>
      <c r="AM246" s="2" t="n"/>
      <c r="AN246" s="2" t="n"/>
      <c r="AO246" s="2" t="n"/>
      <c r="AP246" s="2" t="inlineStr">
        <is>
          <t>v3_2026-03-19</t>
        </is>
      </c>
    </row>
    <row r="247" ht="108" customHeight="1" s="10">
      <c r="A247" s="2" t="inlineStr">
        <is>
          <t>Q50_A</t>
        </is>
      </c>
      <c r="B247" s="2" t="n">
        <v>50</v>
      </c>
      <c r="C247" s="2" t="n">
        <v>50</v>
      </c>
      <c r="D247" s="2" t="inlineStr">
        <is>
          <t>Core</t>
        </is>
      </c>
      <c r="E247" s="2" t="n">
        <v>1.4</v>
      </c>
      <c r="F247" s="2" t="inlineStr">
        <is>
          <t>EmotionalNeeds</t>
        </is>
      </c>
      <c r="G247" s="2" t="inlineStr">
        <is>
          <t>IntimacyThreshold</t>
        </is>
      </c>
      <c r="H247" s="2" t="inlineStr">
        <is>
          <t>Someone loves you deeply. Sees your flaws. Stays anyway. What scares you most about letting that kind of love in?</t>
        </is>
      </c>
      <c r="I247" s="2" t="inlineStr">
        <is>
          <t>A</t>
        </is>
      </c>
      <c r="J247" s="2" t="inlineStr">
        <is>
          <t>A</t>
        </is>
      </c>
      <c r="K247" s="2" t="inlineStr">
        <is>
          <t>That I'll get used to it... and then lose it. I don't survive things twice.</t>
        </is>
      </c>
      <c r="L247" s="2" t="n">
        <v>6</v>
      </c>
      <c r="M247" s="2" t="n">
        <v>7</v>
      </c>
      <c r="N247" s="2" t="n">
        <v>4</v>
      </c>
      <c r="O247" s="2" t="n">
        <v>6</v>
      </c>
      <c r="P247" s="2" t="n">
        <v>4</v>
      </c>
      <c r="Q247" s="2" t="inlineStr">
        <is>
          <t>Survivor</t>
        </is>
      </c>
      <c r="R247" s="2" t="n">
        <v>1</v>
      </c>
      <c r="S247" s="2" t="n"/>
      <c r="T247" s="2" t="n"/>
      <c r="U247" s="2" t="n">
        <v>0</v>
      </c>
      <c r="V247" s="2" t="inlineStr">
        <is>
          <t>masc:0.3;fem:1.3</t>
        </is>
      </c>
      <c r="W247" s="2" t="n">
        <v>0.3</v>
      </c>
      <c r="X247" s="2" t="n">
        <v>1.3</v>
      </c>
      <c r="Y247" s="2" t="inlineStr">
        <is>
          <t>COMM_Emotional</t>
        </is>
      </c>
      <c r="Z247" s="2" t="inlineStr">
        <is>
          <t>REG_SelfSoother</t>
        </is>
      </c>
      <c r="AA247" s="2" t="inlineStr">
        <is>
          <t>LANG_Service</t>
        </is>
      </c>
      <c r="AB247" s="2" t="inlineStr">
        <is>
          <t>Vulnerability_Loop</t>
        </is>
      </c>
      <c r="AC247" s="2" t="inlineStr">
        <is>
          <t>Vulnerability_Loop</t>
        </is>
      </c>
      <c r="AD247" s="2" t="n"/>
      <c r="AE247" s="2" t="n">
        <v>5</v>
      </c>
      <c r="AF247" s="2" t="inlineStr">
        <is>
          <t>abandonment after safety</t>
        </is>
      </c>
      <c r="AG247" s="2" t="inlineStr">
        <is>
          <t>loss avoider</t>
        </is>
      </c>
      <c r="AH247" s="2" t="n">
        <v>0.2</v>
      </c>
      <c r="AI247" s="2" t="inlineStr">
        <is>
          <t>yes</t>
        </is>
      </c>
      <c r="AJ247" s="2" t="inlineStr">
        <is>
          <t>no</t>
        </is>
      </c>
      <c r="AK247" s="2" t="inlineStr">
        <is>
          <t>no</t>
        </is>
      </c>
      <c r="AL247" s="2" t="inlineStr">
        <is>
          <t>no</t>
        </is>
      </c>
      <c r="AM247" s="2" t="n"/>
      <c r="AN247" s="2" t="n"/>
      <c r="AO247" s="2" t="n"/>
      <c r="AP247" s="2" t="inlineStr">
        <is>
          <t>v3_2026-03-19</t>
        </is>
      </c>
    </row>
    <row r="248" ht="121.5" customHeight="1" s="10">
      <c r="A248" s="2" t="inlineStr">
        <is>
          <t>Q50_B</t>
        </is>
      </c>
      <c r="B248" s="2" t="n">
        <v>50</v>
      </c>
      <c r="C248" s="2" t="n">
        <v>50</v>
      </c>
      <c r="D248" s="2" t="inlineStr">
        <is>
          <t>Core</t>
        </is>
      </c>
      <c r="E248" s="2" t="n">
        <v>1.4</v>
      </c>
      <c r="F248" s="2" t="inlineStr">
        <is>
          <t>EmotionalNeeds</t>
        </is>
      </c>
      <c r="G248" s="2" t="inlineStr">
        <is>
          <t>IntimacyThreshold</t>
        </is>
      </c>
      <c r="H248" s="2" t="n"/>
      <c r="I248" s="2" t="inlineStr">
        <is>
          <t>B</t>
        </is>
      </c>
      <c r="J248" s="2" t="inlineStr">
        <is>
          <t>B</t>
        </is>
      </c>
      <c r="K248" s="2" t="inlineStr">
        <is>
          <t>That they'll see the real me and change their mind. I always feel like I'm on borrowed time.</t>
        </is>
      </c>
      <c r="L248" s="2" t="n">
        <v>4</v>
      </c>
      <c r="M248" s="2" t="n">
        <v>5</v>
      </c>
      <c r="N248" s="2" t="n">
        <v>2</v>
      </c>
      <c r="O248" s="2" t="n">
        <v>2</v>
      </c>
      <c r="P248" s="2" t="n">
        <v>0</v>
      </c>
      <c r="Q248" s="2" t="inlineStr">
        <is>
          <t>Phantom Seeker</t>
        </is>
      </c>
      <c r="R248" s="2" t="n">
        <v>10</v>
      </c>
      <c r="S248" s="2" t="n"/>
      <c r="T248" s="2" t="n"/>
      <c r="U248" s="2" t="n">
        <v>0</v>
      </c>
      <c r="V248" s="2" t="inlineStr">
        <is>
          <t>masc:-0.2;fem:1.5</t>
        </is>
      </c>
      <c r="W248" s="2" t="n">
        <v>-0.2</v>
      </c>
      <c r="X248" s="2" t="n">
        <v>1.5</v>
      </c>
      <c r="Y248" s="2" t="inlineStr">
        <is>
          <t>COMM_Emotional</t>
        </is>
      </c>
      <c r="Z248" s="2" t="inlineStr">
        <is>
          <t>REG_SelfSoother</t>
        </is>
      </c>
      <c r="AA248" s="2" t="inlineStr">
        <is>
          <t>LANG_Touch</t>
        </is>
      </c>
      <c r="AB248" s="2" t="inlineStr">
        <is>
          <t>Vulnerability_Loop</t>
        </is>
      </c>
      <c r="AC248" s="2" t="inlineStr">
        <is>
          <t>Vulnerability_Loop</t>
        </is>
      </c>
      <c r="AD248" s="2" t="n"/>
      <c r="AE248" s="2" t="n">
        <v>5</v>
      </c>
      <c r="AF248" s="2" t="inlineStr">
        <is>
          <t>imposter in intimacy</t>
        </is>
      </c>
      <c r="AG248" s="2" t="inlineStr">
        <is>
          <t>worth doubter</t>
        </is>
      </c>
      <c r="AH248" s="2" t="n">
        <v>0</v>
      </c>
      <c r="AI248" s="2" t="inlineStr">
        <is>
          <t>yes</t>
        </is>
      </c>
      <c r="AJ248" s="2" t="inlineStr">
        <is>
          <t>no</t>
        </is>
      </c>
      <c r="AK248" s="2" t="inlineStr">
        <is>
          <t>no</t>
        </is>
      </c>
      <c r="AL248" s="2" t="inlineStr">
        <is>
          <t>no</t>
        </is>
      </c>
      <c r="AM248" s="2" t="n"/>
      <c r="AN248" s="2" t="n"/>
      <c r="AO248" s="2" t="n"/>
      <c r="AP248" s="2" t="inlineStr">
        <is>
          <t>v3_2026-03-19</t>
        </is>
      </c>
    </row>
    <row r="249" ht="121.5" customHeight="1" s="10">
      <c r="A249" s="2" t="inlineStr">
        <is>
          <t>Q50_C</t>
        </is>
      </c>
      <c r="B249" s="2" t="n">
        <v>50</v>
      </c>
      <c r="C249" s="2" t="n">
        <v>50</v>
      </c>
      <c r="D249" s="2" t="inlineStr">
        <is>
          <t>Core</t>
        </is>
      </c>
      <c r="E249" s="2" t="n">
        <v>1.4</v>
      </c>
      <c r="F249" s="2" t="inlineStr">
        <is>
          <t>EmotionalNeeds</t>
        </is>
      </c>
      <c r="G249" s="2" t="inlineStr">
        <is>
          <t>IntimacyThreshold</t>
        </is>
      </c>
      <c r="H249" s="2" t="n"/>
      <c r="I249" s="2" t="inlineStr">
        <is>
          <t>C</t>
        </is>
      </c>
      <c r="J249" s="2" t="inlineStr">
        <is>
          <t>C</t>
        </is>
      </c>
      <c r="K249" s="2" t="inlineStr">
        <is>
          <t>That I'll owe them softness forever. I don't know how to stay open without feeling exposed.</t>
        </is>
      </c>
      <c r="L249" s="2" t="n">
        <v>7</v>
      </c>
      <c r="M249" s="2" t="n">
        <v>8</v>
      </c>
      <c r="N249" s="2" t="n">
        <v>4</v>
      </c>
      <c r="O249" s="2" t="n">
        <v>4</v>
      </c>
      <c r="P249" s="2" t="n">
        <v>0</v>
      </c>
      <c r="Q249" s="2" t="inlineStr">
        <is>
          <t>Icebox</t>
        </is>
      </c>
      <c r="R249" s="2" t="n">
        <v>1</v>
      </c>
      <c r="S249" s="2" t="n"/>
      <c r="T249" s="2" t="n"/>
      <c r="U249" s="2" t="n">
        <v>0</v>
      </c>
      <c r="V249" s="2" t="inlineStr">
        <is>
          <t>masc:1.8;fem:-1.6</t>
        </is>
      </c>
      <c r="W249" s="2" t="n">
        <v>1.8</v>
      </c>
      <c r="X249" s="2" t="n">
        <v>-1.6</v>
      </c>
      <c r="Y249" s="2" t="inlineStr">
        <is>
          <t>COMM_Avoidant</t>
        </is>
      </c>
      <c r="Z249" s="2" t="inlineStr">
        <is>
          <t>REG_Suppressor</t>
        </is>
      </c>
      <c r="AA249" s="2" t="inlineStr">
        <is>
          <t>LANG_Time</t>
        </is>
      </c>
      <c r="AB249" s="2" t="n"/>
      <c r="AC249" s="2" t="n"/>
      <c r="AD249" s="2" t="n"/>
      <c r="AE249" s="2" t="n">
        <v>0</v>
      </c>
      <c r="AF249" s="2" t="inlineStr">
        <is>
          <t>vulnerability debt</t>
        </is>
      </c>
      <c r="AG249" s="2" t="inlineStr">
        <is>
          <t>emotional limiter</t>
        </is>
      </c>
      <c r="AH249" s="2" t="n">
        <v>0</v>
      </c>
      <c r="AI249" s="2" t="inlineStr">
        <is>
          <t>no</t>
        </is>
      </c>
      <c r="AJ249" s="2" t="inlineStr">
        <is>
          <t>no</t>
        </is>
      </c>
      <c r="AK249" s="2" t="inlineStr">
        <is>
          <t>no</t>
        </is>
      </c>
      <c r="AL249" s="2" t="inlineStr">
        <is>
          <t>no</t>
        </is>
      </c>
      <c r="AM249" s="2" t="n"/>
      <c r="AN249" s="2" t="n"/>
      <c r="AO249" s="2" t="n"/>
      <c r="AP249" s="2" t="inlineStr">
        <is>
          <t>v3_2026-03-19</t>
        </is>
      </c>
    </row>
    <row r="250" ht="94.5" customHeight="1" s="10">
      <c r="A250" s="2" t="inlineStr">
        <is>
          <t>Q50_D</t>
        </is>
      </c>
      <c r="B250" s="2" t="n">
        <v>50</v>
      </c>
      <c r="C250" s="2" t="n">
        <v>50</v>
      </c>
      <c r="D250" s="2" t="inlineStr">
        <is>
          <t>Core</t>
        </is>
      </c>
      <c r="E250" s="2" t="n">
        <v>1.4</v>
      </c>
      <c r="F250" s="2" t="inlineStr">
        <is>
          <t>EmotionalNeeds</t>
        </is>
      </c>
      <c r="G250" s="2" t="inlineStr">
        <is>
          <t>IntimacyThreshold</t>
        </is>
      </c>
      <c r="H250" s="2" t="n"/>
      <c r="I250" s="2" t="inlineStr">
        <is>
          <t>D</t>
        </is>
      </c>
      <c r="J250" s="2" t="inlineStr">
        <is>
          <t>D</t>
        </is>
      </c>
      <c r="K250" s="2" t="inlineStr">
        <is>
          <t>That I'll mess it up. I take on so much, but I don't always know how to receive.</t>
        </is>
      </c>
      <c r="L250" s="2" t="n">
        <v>8</v>
      </c>
      <c r="M250" s="2" t="n">
        <v>9</v>
      </c>
      <c r="N250" s="2" t="n">
        <v>8</v>
      </c>
      <c r="O250" s="2" t="n">
        <v>10</v>
      </c>
      <c r="P250" s="2" t="n">
        <v>8</v>
      </c>
      <c r="Q250" s="2" t="inlineStr">
        <is>
          <t>Fixer</t>
        </is>
      </c>
      <c r="R250" s="2" t="n">
        <v>5</v>
      </c>
      <c r="S250" s="2" t="n"/>
      <c r="T250" s="2" t="n"/>
      <c r="U250" s="2" t="n">
        <v>0</v>
      </c>
      <c r="V250" s="2" t="inlineStr">
        <is>
          <t>masc:-0.4;fem:2.0</t>
        </is>
      </c>
      <c r="W250" s="2" t="n">
        <v>-0.4</v>
      </c>
      <c r="X250" s="2" t="n">
        <v>2</v>
      </c>
      <c r="Y250" s="2" t="inlineStr">
        <is>
          <t>COMM_Emotional</t>
        </is>
      </c>
      <c r="Z250" s="2" t="inlineStr">
        <is>
          <t>REG_CoRegulator</t>
        </is>
      </c>
      <c r="AA250" s="2" t="inlineStr">
        <is>
          <t>LANG_Service</t>
        </is>
      </c>
      <c r="AB250" s="2" t="n"/>
      <c r="AC250" s="2" t="n"/>
      <c r="AD250" s="2" t="n"/>
      <c r="AE250" s="2" t="n">
        <v>0</v>
      </c>
      <c r="AF250" s="2" t="inlineStr">
        <is>
          <t>love with no exit plan</t>
        </is>
      </c>
      <c r="AG250" s="2" t="inlineStr">
        <is>
          <t>overfunctioning partner</t>
        </is>
      </c>
      <c r="AH250" s="2" t="n">
        <v>0</v>
      </c>
      <c r="AI250" s="2" t="inlineStr">
        <is>
          <t>no</t>
        </is>
      </c>
      <c r="AJ250" s="2" t="inlineStr">
        <is>
          <t>no</t>
        </is>
      </c>
      <c r="AK250" s="2" t="inlineStr">
        <is>
          <t>no</t>
        </is>
      </c>
      <c r="AL250" s="2" t="inlineStr">
        <is>
          <t>no</t>
        </is>
      </c>
      <c r="AM250" s="2" t="n"/>
      <c r="AN250" s="2" t="n"/>
      <c r="AO250" s="2" t="n"/>
      <c r="AP250" s="2" t="inlineStr">
        <is>
          <t>v3_2026-03-19</t>
        </is>
      </c>
    </row>
    <row r="251" ht="68.25" customHeight="1" s="10">
      <c r="A251" s="2" t="inlineStr">
        <is>
          <t>Q50_E</t>
        </is>
      </c>
      <c r="B251" s="2" t="n">
        <v>50</v>
      </c>
      <c r="C251" s="2" t="n">
        <v>50</v>
      </c>
      <c r="D251" s="2" t="inlineStr">
        <is>
          <t>Core</t>
        </is>
      </c>
      <c r="E251" s="2" t="n">
        <v>1.4</v>
      </c>
      <c r="F251" s="2" t="inlineStr">
        <is>
          <t>EmotionalNeeds</t>
        </is>
      </c>
      <c r="G251" s="2" t="inlineStr">
        <is>
          <t>IntimacyThreshold</t>
        </is>
      </c>
      <c r="H251" s="2" t="n"/>
      <c r="I251" s="2" t="inlineStr">
        <is>
          <t>E</t>
        </is>
      </c>
      <c r="J251" s="2" t="inlineStr">
        <is>
          <t>E</t>
        </is>
      </c>
      <c r="K251" s="2" t="inlineStr">
        <is>
          <t>That it won't last. Even good things leave. Even love like that.</t>
        </is>
      </c>
      <c r="L251" s="2" t="n">
        <v>9</v>
      </c>
      <c r="M251" s="2" t="n">
        <v>9</v>
      </c>
      <c r="N251" s="2" t="n">
        <v>8</v>
      </c>
      <c r="O251" s="2" t="n">
        <v>8</v>
      </c>
      <c r="P251" s="2" t="n">
        <v>6</v>
      </c>
      <c r="Q251" s="2" t="inlineStr">
        <is>
          <t>Romantic Idealist</t>
        </is>
      </c>
      <c r="R251" s="2" t="n">
        <v>6</v>
      </c>
      <c r="S251" s="2" t="n"/>
      <c r="T251" s="2" t="n"/>
      <c r="U251" s="2" t="n">
        <v>0</v>
      </c>
      <c r="V251" s="2" t="inlineStr">
        <is>
          <t>masc:-0.4;fem:1.5</t>
        </is>
      </c>
      <c r="W251" s="2" t="n">
        <v>-0.4</v>
      </c>
      <c r="X251" s="2" t="n">
        <v>1.5</v>
      </c>
      <c r="Y251" s="2" t="inlineStr">
        <is>
          <t>COMM_Emotional</t>
        </is>
      </c>
      <c r="Z251" s="2" t="inlineStr">
        <is>
          <t>REG_Distractor</t>
        </is>
      </c>
      <c r="AA251" s="2" t="inlineStr">
        <is>
          <t>LANG_Gifts</t>
        </is>
      </c>
      <c r="AB251" s="2" t="n"/>
      <c r="AC251" s="2" t="n"/>
      <c r="AD251" s="2" t="n"/>
      <c r="AE251" s="2" t="n">
        <v>0</v>
      </c>
      <c r="AF251" s="2" t="inlineStr">
        <is>
          <t>hope tainted by history</t>
        </is>
      </c>
      <c r="AG251" s="2" t="inlineStr">
        <is>
          <t>cautious romantic</t>
        </is>
      </c>
      <c r="AH251" s="2" t="n">
        <v>0</v>
      </c>
      <c r="AI251" s="2" t="inlineStr">
        <is>
          <t>no</t>
        </is>
      </c>
      <c r="AJ251" s="2" t="inlineStr">
        <is>
          <t>no</t>
        </is>
      </c>
      <c r="AK251" s="2" t="inlineStr">
        <is>
          <t>no</t>
        </is>
      </c>
      <c r="AL251" s="2" t="inlineStr">
        <is>
          <t>no</t>
        </is>
      </c>
      <c r="AM251" s="2" t="n"/>
      <c r="AN251" s="2" t="n"/>
      <c r="AO251" s="2" t="n"/>
      <c r="AP251" s="2" t="inlineStr">
        <is>
          <t>v3_2026-03-19</t>
        </is>
      </c>
    </row>
    <row r="252" ht="68.25" customHeight="1" s="10">
      <c r="A252" s="2" t="inlineStr">
        <is>
          <t>Q51_A</t>
        </is>
      </c>
      <c r="B252" s="2" t="n">
        <v>51</v>
      </c>
      <c r="C252" s="2" t="n">
        <v>100</v>
      </c>
      <c r="D252" s="2" t="inlineStr">
        <is>
          <t>Shadow</t>
        </is>
      </c>
      <c r="E252" s="2" t="n">
        <v>1.3</v>
      </c>
      <c r="F252" s="2" t="inlineStr">
        <is>
          <t>ShadowPattern</t>
        </is>
      </c>
      <c r="G252" s="2" t="inlineStr">
        <is>
          <t>IntegrityRisk</t>
        </is>
      </c>
      <c r="H252" s="2" t="inlineStr">
        <is>
          <t>You realize they like you more than you like them. What do you do?</t>
        </is>
      </c>
      <c r="I252" s="2" t="inlineStr">
        <is>
          <t>A</t>
        </is>
      </c>
      <c r="J252" s="2" t="inlineStr">
        <is>
          <t>A</t>
        </is>
      </c>
      <c r="K252" s="2" t="inlineStr">
        <is>
          <t>I turn it into a game-see how far they'll go.</t>
        </is>
      </c>
      <c r="L252" s="2" t="n">
        <v>4</v>
      </c>
      <c r="M252" s="2" t="n"/>
      <c r="N252" s="2" t="n">
        <v>4</v>
      </c>
      <c r="O252" s="2" t="n">
        <v>4</v>
      </c>
      <c r="P252" s="2" t="n">
        <v>4</v>
      </c>
      <c r="Q252" s="2" t="n"/>
      <c r="R252" s="2" t="n"/>
      <c r="S252" s="2" t="inlineStr">
        <is>
          <t>Manipulator</t>
        </is>
      </c>
      <c r="T252" s="2" t="n">
        <v>1</v>
      </c>
      <c r="U252" s="2" t="n">
        <v>6</v>
      </c>
      <c r="V252" s="2" t="inlineStr">
        <is>
          <t>masc:0.0;fem:0.0</t>
        </is>
      </c>
      <c r="W252" s="2" t="n">
        <v>0</v>
      </c>
      <c r="X252" s="2" t="n">
        <v>0</v>
      </c>
      <c r="Y252" s="2" t="n"/>
      <c r="Z252" s="2" t="n"/>
      <c r="AA252" s="2" t="n"/>
      <c r="AB252" s="2" t="n"/>
      <c r="AC252" s="2" t="n"/>
      <c r="AD252" s="2" t="n"/>
      <c r="AE252" s="2" t="n">
        <v>0</v>
      </c>
      <c r="AF252" s="2" t="n"/>
      <c r="AG252" s="2" t="n"/>
      <c r="AH252" s="2" t="n">
        <v>0.6</v>
      </c>
      <c r="AI252" s="2" t="inlineStr">
        <is>
          <t>no</t>
        </is>
      </c>
      <c r="AJ252" s="2" t="inlineStr">
        <is>
          <t>yes</t>
        </is>
      </c>
      <c r="AK252" s="2" t="inlineStr">
        <is>
          <t>no</t>
        </is>
      </c>
      <c r="AL252" s="2" t="inlineStr">
        <is>
          <t>no</t>
        </is>
      </c>
      <c r="AM252" s="2" t="n"/>
      <c r="AN252" s="2" t="n"/>
      <c r="AO252" s="2" t="n"/>
      <c r="AP252" s="2" t="inlineStr">
        <is>
          <t>v3_2026-03-19</t>
        </is>
      </c>
    </row>
    <row r="253" ht="54.75" customHeight="1" s="10">
      <c r="A253" s="2" t="inlineStr">
        <is>
          <t>Q51_B</t>
        </is>
      </c>
      <c r="B253" s="2" t="n">
        <v>51</v>
      </c>
      <c r="C253" s="2" t="n">
        <v>100</v>
      </c>
      <c r="D253" s="2" t="inlineStr">
        <is>
          <t>Shadow</t>
        </is>
      </c>
      <c r="E253" s="2" t="n">
        <v>1.3</v>
      </c>
      <c r="F253" s="2" t="inlineStr">
        <is>
          <t>ShadowPattern</t>
        </is>
      </c>
      <c r="G253" s="2" t="inlineStr">
        <is>
          <t>IntegrityRisk</t>
        </is>
      </c>
      <c r="H253" s="2" t="n"/>
      <c r="I253" s="2" t="inlineStr">
        <is>
          <t>B</t>
        </is>
      </c>
      <c r="J253" s="2" t="inlineStr">
        <is>
          <t>B</t>
        </is>
      </c>
      <c r="K253" s="2" t="inlineStr">
        <is>
          <t>I get colder. They'll back off eventually.</t>
        </is>
      </c>
      <c r="L253" s="2" t="n">
        <v>3</v>
      </c>
      <c r="M253" s="2" t="n"/>
      <c r="N253" s="2" t="n">
        <v>6</v>
      </c>
      <c r="O253" s="2" t="n">
        <v>6</v>
      </c>
      <c r="P253" s="2" t="n">
        <v>6</v>
      </c>
      <c r="Q253" s="2" t="n"/>
      <c r="R253" s="2" t="n"/>
      <c r="S253" s="2" t="inlineStr">
        <is>
          <t>Stonewaller</t>
        </is>
      </c>
      <c r="T253" s="2" t="n">
        <v>2</v>
      </c>
      <c r="U253" s="2" t="n">
        <v>4</v>
      </c>
      <c r="V253" s="2" t="inlineStr">
        <is>
          <t>masc:0.0;fem:0.0</t>
        </is>
      </c>
      <c r="W253" s="2" t="n">
        <v>0</v>
      </c>
      <c r="X253" s="2" t="n">
        <v>0</v>
      </c>
      <c r="Y253" s="2" t="n"/>
      <c r="Z253" s="2" t="n"/>
      <c r="AA253" s="2" t="n"/>
      <c r="AB253" s="2" t="n"/>
      <c r="AC253" s="2" t="n"/>
      <c r="AD253" s="2" t="n"/>
      <c r="AE253" s="2" t="n">
        <v>0</v>
      </c>
      <c r="AF253" s="2" t="n"/>
      <c r="AG253" s="2" t="n"/>
      <c r="AH253" s="2" t="n">
        <v>1.2</v>
      </c>
      <c r="AI253" s="2" t="inlineStr">
        <is>
          <t>no</t>
        </is>
      </c>
      <c r="AJ253" s="2" t="inlineStr">
        <is>
          <t>yes</t>
        </is>
      </c>
      <c r="AK253" s="2" t="inlineStr">
        <is>
          <t>no</t>
        </is>
      </c>
      <c r="AL253" s="2" t="inlineStr">
        <is>
          <t>no</t>
        </is>
      </c>
      <c r="AM253" s="2" t="n"/>
      <c r="AN253" s="2" t="n"/>
      <c r="AO253" s="2" t="n"/>
      <c r="AP253" s="2" t="inlineStr">
        <is>
          <t>v3_2026-03-19</t>
        </is>
      </c>
    </row>
    <row r="254" ht="54.75" customHeight="1" s="10">
      <c r="A254" s="2" t="inlineStr">
        <is>
          <t>Q51_C</t>
        </is>
      </c>
      <c r="B254" s="2" t="n">
        <v>51</v>
      </c>
      <c r="C254" s="2" t="n">
        <v>100</v>
      </c>
      <c r="D254" s="2" t="inlineStr">
        <is>
          <t>Shadow</t>
        </is>
      </c>
      <c r="E254" s="2" t="n">
        <v>1.3</v>
      </c>
      <c r="F254" s="2" t="inlineStr">
        <is>
          <t>ShadowPattern</t>
        </is>
      </c>
      <c r="G254" s="2" t="inlineStr">
        <is>
          <t>IntegrityRisk</t>
        </is>
      </c>
      <c r="H254" s="2" t="n"/>
      <c r="I254" s="2" t="inlineStr">
        <is>
          <t>C</t>
        </is>
      </c>
      <c r="J254" s="2" t="inlineStr">
        <is>
          <t>C</t>
        </is>
      </c>
      <c r="K254" s="2" t="inlineStr">
        <is>
          <t>I say the right things... even if I don't mean them.</t>
        </is>
      </c>
      <c r="L254" s="2" t="n">
        <v>5</v>
      </c>
      <c r="M254" s="2" t="n"/>
      <c r="N254" s="2" t="n">
        <v>4</v>
      </c>
      <c r="O254" s="2" t="n">
        <v>4</v>
      </c>
      <c r="P254" s="2" t="n">
        <v>4</v>
      </c>
      <c r="Q254" s="2" t="n"/>
      <c r="R254" s="2" t="n"/>
      <c r="S254" s="2" t="inlineStr">
        <is>
          <t>Love Bomber</t>
        </is>
      </c>
      <c r="T254" s="2" t="n">
        <v>3</v>
      </c>
      <c r="U254" s="2" t="n">
        <v>6</v>
      </c>
      <c r="V254" s="2" t="inlineStr">
        <is>
          <t>masc:0.0;fem:0.0</t>
        </is>
      </c>
      <c r="W254" s="2" t="n">
        <v>0</v>
      </c>
      <c r="X254" s="2" t="n">
        <v>0</v>
      </c>
      <c r="Y254" s="2" t="n"/>
      <c r="Z254" s="2" t="n"/>
      <c r="AA254" s="2" t="n"/>
      <c r="AB254" s="2" t="n"/>
      <c r="AC254" s="2" t="n"/>
      <c r="AD254" s="2" t="n"/>
      <c r="AE254" s="2" t="n">
        <v>0</v>
      </c>
      <c r="AF254" s="2" t="n"/>
      <c r="AG254" s="2" t="n"/>
      <c r="AH254" s="2" t="n">
        <v>0</v>
      </c>
      <c r="AI254" s="2" t="inlineStr">
        <is>
          <t>no</t>
        </is>
      </c>
      <c r="AJ254" s="2" t="inlineStr">
        <is>
          <t>no</t>
        </is>
      </c>
      <c r="AK254" s="2" t="inlineStr">
        <is>
          <t>no</t>
        </is>
      </c>
      <c r="AL254" s="2" t="inlineStr">
        <is>
          <t>no</t>
        </is>
      </c>
      <c r="AM254" s="2" t="n"/>
      <c r="AN254" s="2" t="n"/>
      <c r="AO254" s="2" t="n"/>
      <c r="AP254" s="2" t="inlineStr">
        <is>
          <t>v3_2026-03-19</t>
        </is>
      </c>
    </row>
    <row r="255" ht="54.75" customHeight="1" s="10">
      <c r="A255" s="2" t="inlineStr">
        <is>
          <t>Q51_D</t>
        </is>
      </c>
      <c r="B255" s="2" t="n">
        <v>51</v>
      </c>
      <c r="C255" s="2" t="n">
        <v>100</v>
      </c>
      <c r="D255" s="2" t="inlineStr">
        <is>
          <t>Shadow</t>
        </is>
      </c>
      <c r="E255" s="2" t="n">
        <v>1.3</v>
      </c>
      <c r="F255" s="2" t="inlineStr">
        <is>
          <t>ShadowPattern</t>
        </is>
      </c>
      <c r="G255" s="2" t="inlineStr">
        <is>
          <t>IntegrityRisk</t>
        </is>
      </c>
      <c r="H255" s="2" t="n"/>
      <c r="I255" s="2" t="inlineStr">
        <is>
          <t>D</t>
        </is>
      </c>
      <c r="J255" s="2" t="inlineStr">
        <is>
          <t>D</t>
        </is>
      </c>
      <c r="K255" s="2" t="inlineStr">
        <is>
          <t>I shape-shift a little to match their energy.</t>
        </is>
      </c>
      <c r="L255" s="2" t="n">
        <v>6</v>
      </c>
      <c r="M255" s="2" t="n"/>
      <c r="N255" s="2" t="n">
        <v>4</v>
      </c>
      <c r="O255" s="2" t="n">
        <v>4</v>
      </c>
      <c r="P255" s="2" t="n">
        <v>4</v>
      </c>
      <c r="Q255" s="2" t="n"/>
      <c r="R255" s="2" t="n"/>
      <c r="S255" s="2" t="inlineStr">
        <is>
          <t>Chameleon</t>
        </is>
      </c>
      <c r="T255" s="2" t="n">
        <v>4</v>
      </c>
      <c r="U255" s="2" t="n">
        <v>6</v>
      </c>
      <c r="V255" s="2" t="inlineStr">
        <is>
          <t>masc:0.0;fem:0.0</t>
        </is>
      </c>
      <c r="W255" s="2" t="n">
        <v>0</v>
      </c>
      <c r="X255" s="2" t="n">
        <v>0</v>
      </c>
      <c r="Y255" s="2" t="n"/>
      <c r="Z255" s="2" t="n"/>
      <c r="AA255" s="2" t="n"/>
      <c r="AB255" s="2" t="n"/>
      <c r="AC255" s="2" t="n"/>
      <c r="AD255" s="2" t="n"/>
      <c r="AE255" s="2" t="n">
        <v>0</v>
      </c>
      <c r="AF255" s="2" t="n"/>
      <c r="AG255" s="2" t="n"/>
      <c r="AH255" s="2" t="n">
        <v>0.6</v>
      </c>
      <c r="AI255" s="2" t="n"/>
      <c r="AJ255" s="2" t="inlineStr">
        <is>
          <t>no</t>
        </is>
      </c>
      <c r="AK255" s="2" t="inlineStr">
        <is>
          <t>no</t>
        </is>
      </c>
      <c r="AL255" s="2" t="inlineStr">
        <is>
          <t>no</t>
        </is>
      </c>
      <c r="AM255" s="2" t="n"/>
      <c r="AN255" s="2" t="n"/>
      <c r="AO255" s="2" t="n"/>
      <c r="AP255" s="2" t="inlineStr">
        <is>
          <t>v3_2026-03-19</t>
        </is>
      </c>
    </row>
    <row r="256" ht="68.25" customHeight="1" s="10">
      <c r="A256" s="2" t="inlineStr">
        <is>
          <t>Q51_E</t>
        </is>
      </c>
      <c r="B256" s="2" t="n">
        <v>51</v>
      </c>
      <c r="C256" s="2" t="n">
        <v>100</v>
      </c>
      <c r="D256" s="2" t="inlineStr">
        <is>
          <t>Shadow</t>
        </is>
      </c>
      <c r="E256" s="2" t="n">
        <v>1.3</v>
      </c>
      <c r="F256" s="2" t="inlineStr">
        <is>
          <t>ShadowPattern</t>
        </is>
      </c>
      <c r="G256" s="2" t="inlineStr">
        <is>
          <t>IntegrityRisk</t>
        </is>
      </c>
      <c r="H256" s="2" t="n"/>
      <c r="I256" s="2" t="inlineStr">
        <is>
          <t>E</t>
        </is>
      </c>
      <c r="J256" s="2" t="inlineStr">
        <is>
          <t>E</t>
        </is>
      </c>
      <c r="K256" s="2" t="inlineStr">
        <is>
          <t>I start pulling back affection to make it feel "fair."</t>
        </is>
      </c>
      <c r="L256" s="2" t="n">
        <v>7</v>
      </c>
      <c r="M256" s="2" t="n"/>
      <c r="N256" s="2" t="n">
        <v>2</v>
      </c>
      <c r="O256" s="2" t="n">
        <v>2</v>
      </c>
      <c r="P256" s="2" t="n">
        <v>2</v>
      </c>
      <c r="Q256" s="2" t="n"/>
      <c r="R256" s="2" t="n"/>
      <c r="S256" s="2" t="inlineStr">
        <is>
          <t>Scorekeeper</t>
        </is>
      </c>
      <c r="T256" s="2" t="n">
        <v>5</v>
      </c>
      <c r="U256" s="2" t="n">
        <v>8</v>
      </c>
      <c r="V256" s="2" t="inlineStr">
        <is>
          <t>masc:0.0;fem:0.0</t>
        </is>
      </c>
      <c r="W256" s="2" t="n">
        <v>0</v>
      </c>
      <c r="X256" s="2" t="n">
        <v>0</v>
      </c>
      <c r="Y256" s="2" t="n"/>
      <c r="Z256" s="2" t="n"/>
      <c r="AA256" s="2" t="n"/>
      <c r="AB256" s="2" t="n"/>
      <c r="AC256" s="2" t="n"/>
      <c r="AD256" s="2" t="n"/>
      <c r="AE256" s="2" t="n">
        <v>0</v>
      </c>
      <c r="AF256" s="2" t="n"/>
      <c r="AG256" s="2" t="n"/>
      <c r="AH256" s="2" t="n">
        <v>0</v>
      </c>
      <c r="AI256" s="2" t="n"/>
      <c r="AJ256" s="2" t="inlineStr">
        <is>
          <t>no</t>
        </is>
      </c>
      <c r="AK256" s="2" t="inlineStr">
        <is>
          <t>no</t>
        </is>
      </c>
      <c r="AL256" s="2" t="inlineStr">
        <is>
          <t>no</t>
        </is>
      </c>
      <c r="AM256" s="2" t="n"/>
      <c r="AN256" s="2" t="n"/>
      <c r="AO256" s="2" t="n"/>
      <c r="AP256" s="2" t="inlineStr">
        <is>
          <t>v3_2026-03-19</t>
        </is>
      </c>
    </row>
    <row r="257" ht="54.75" customHeight="1" s="10">
      <c r="A257" s="2" t="inlineStr">
        <is>
          <t>Q51_F</t>
        </is>
      </c>
      <c r="B257" s="2" t="n">
        <v>51</v>
      </c>
      <c r="C257" s="2" t="n">
        <v>100</v>
      </c>
      <c r="D257" s="2" t="inlineStr">
        <is>
          <t>Shadow</t>
        </is>
      </c>
      <c r="E257" s="2" t="n">
        <v>1.3</v>
      </c>
      <c r="F257" s="2" t="inlineStr">
        <is>
          <t>ShadowPattern</t>
        </is>
      </c>
      <c r="G257" s="2" t="inlineStr">
        <is>
          <t>IntegrityRisk</t>
        </is>
      </c>
      <c r="H257" s="2" t="n"/>
      <c r="I257" s="2" t="inlineStr">
        <is>
          <t>F</t>
        </is>
      </c>
      <c r="J257" s="2" t="inlineStr">
        <is>
          <t>F</t>
        </is>
      </c>
      <c r="K257" s="2" t="inlineStr">
        <is>
          <t>I blame myself for not liking them more</t>
        </is>
      </c>
      <c r="L257" s="2" t="n">
        <v>8</v>
      </c>
      <c r="M257" s="2" t="n"/>
      <c r="N257" s="2" t="n">
        <v>2</v>
      </c>
      <c r="O257" s="2" t="n">
        <v>2</v>
      </c>
      <c r="P257" s="2" t="n">
        <v>2</v>
      </c>
      <c r="Q257" s="2" t="n"/>
      <c r="R257" s="2" t="n"/>
      <c r="S257" s="2" t="inlineStr">
        <is>
          <t>Self-Saboteur</t>
        </is>
      </c>
      <c r="T257" s="2" t="n">
        <v>6</v>
      </c>
      <c r="U257" s="2" t="n">
        <v>8</v>
      </c>
      <c r="V257" s="2" t="inlineStr">
        <is>
          <t>masc:0.0;fem:0.0</t>
        </is>
      </c>
      <c r="W257" s="2" t="n">
        <v>0</v>
      </c>
      <c r="X257" s="2" t="n">
        <v>0</v>
      </c>
      <c r="Y257" s="2" t="n"/>
      <c r="Z257" s="2" t="n"/>
      <c r="AA257" s="2" t="n"/>
      <c r="AB257" s="2" t="n"/>
      <c r="AC257" s="2" t="n"/>
      <c r="AD257" s="2" t="n"/>
      <c r="AE257" s="2" t="n">
        <v>0</v>
      </c>
      <c r="AF257" s="2" t="n"/>
      <c r="AG257" s="2" t="n"/>
      <c r="AH257" s="2" t="n">
        <v>0.6</v>
      </c>
      <c r="AI257" s="2" t="n"/>
      <c r="AJ257" s="2" t="inlineStr">
        <is>
          <t>no</t>
        </is>
      </c>
      <c r="AK257" s="2" t="inlineStr">
        <is>
          <t>no</t>
        </is>
      </c>
      <c r="AL257" s="2" t="inlineStr">
        <is>
          <t>no</t>
        </is>
      </c>
      <c r="AM257" s="2" t="n"/>
      <c r="AN257" s="2" t="n"/>
      <c r="AO257" s="2" t="n"/>
      <c r="AP257" s="2" t="inlineStr">
        <is>
          <t>v3_2026-03-19</t>
        </is>
      </c>
    </row>
    <row r="258" ht="68.25" customHeight="1" s="10">
      <c r="A258" s="2" t="inlineStr">
        <is>
          <t>Q52_A</t>
        </is>
      </c>
      <c r="B258" s="2" t="n">
        <v>52</v>
      </c>
      <c r="C258" s="2" t="n">
        <v>101</v>
      </c>
      <c r="D258" s="2" t="inlineStr">
        <is>
          <t>Shadow</t>
        </is>
      </c>
      <c r="E258" s="2" t="n">
        <v>1.3</v>
      </c>
      <c r="F258" s="2" t="inlineStr">
        <is>
          <t>ShadowPattern</t>
        </is>
      </c>
      <c r="G258" s="2" t="inlineStr">
        <is>
          <t>IntegrityRisk</t>
        </is>
      </c>
      <c r="H258" s="2" t="inlineStr">
        <is>
          <t>You get caught in a lie, but only a small one. What's your instinct?</t>
        </is>
      </c>
      <c r="I258" s="2" t="inlineStr">
        <is>
          <t>A</t>
        </is>
      </c>
      <c r="J258" s="2" t="inlineStr">
        <is>
          <t>A</t>
        </is>
      </c>
      <c r="K258" s="2" t="inlineStr">
        <is>
          <t>I flip it on them: Why were they snooping anyway?</t>
        </is>
      </c>
      <c r="L258" s="2" t="n">
        <v>4</v>
      </c>
      <c r="M258" s="2" t="n"/>
      <c r="N258" s="2" t="n">
        <v>4</v>
      </c>
      <c r="O258" s="2" t="n">
        <v>4</v>
      </c>
      <c r="P258" s="2" t="n">
        <v>4</v>
      </c>
      <c r="Q258" s="2" t="n"/>
      <c r="R258" s="2" t="n"/>
      <c r="S258" s="2" t="inlineStr">
        <is>
          <t>Manipulator</t>
        </is>
      </c>
      <c r="T258" s="2" t="n">
        <v>1</v>
      </c>
      <c r="U258" s="2" t="n">
        <v>6</v>
      </c>
      <c r="V258" s="2" t="inlineStr">
        <is>
          <t>masc:0.0;fem:0.0</t>
        </is>
      </c>
      <c r="W258" s="2" t="n">
        <v>0</v>
      </c>
      <c r="X258" s="2" t="n">
        <v>0</v>
      </c>
      <c r="Y258" s="2" t="n"/>
      <c r="Z258" s="2" t="n"/>
      <c r="AA258" s="2" t="n"/>
      <c r="AB258" s="2" t="n"/>
      <c r="AC258" s="2" t="n"/>
      <c r="AD258" s="2" t="n"/>
      <c r="AE258" s="2" t="n">
        <v>0</v>
      </c>
      <c r="AF258" s="2" t="n"/>
      <c r="AG258" s="2" t="n"/>
      <c r="AH258" s="2" t="n">
        <v>0</v>
      </c>
      <c r="AI258" s="2" t="n"/>
      <c r="AJ258" s="2" t="inlineStr">
        <is>
          <t>yes</t>
        </is>
      </c>
      <c r="AK258" s="2" t="inlineStr">
        <is>
          <t>no</t>
        </is>
      </c>
      <c r="AL258" s="2" t="inlineStr">
        <is>
          <t>no</t>
        </is>
      </c>
      <c r="AM258" s="2" t="n"/>
      <c r="AN258" s="2" t="n"/>
      <c r="AO258" s="2" t="n"/>
      <c r="AP258" s="2" t="inlineStr">
        <is>
          <t>v3_2026-03-19</t>
        </is>
      </c>
    </row>
    <row r="259" ht="41.25" customHeight="1" s="10">
      <c r="A259" s="2" t="inlineStr">
        <is>
          <t>Q52_B</t>
        </is>
      </c>
      <c r="B259" s="2" t="n">
        <v>52</v>
      </c>
      <c r="C259" s="2" t="n">
        <v>101</v>
      </c>
      <c r="D259" s="2" t="inlineStr">
        <is>
          <t>Shadow</t>
        </is>
      </c>
      <c r="E259" s="2" t="n">
        <v>1.3</v>
      </c>
      <c r="F259" s="2" t="inlineStr">
        <is>
          <t>ShadowPattern</t>
        </is>
      </c>
      <c r="G259" s="2" t="inlineStr">
        <is>
          <t>IntegrityRisk</t>
        </is>
      </c>
      <c r="H259" s="2" t="n"/>
      <c r="I259" s="2" t="inlineStr">
        <is>
          <t>B</t>
        </is>
      </c>
      <c r="J259" s="2" t="inlineStr">
        <is>
          <t>B</t>
        </is>
      </c>
      <c r="K259" s="2" t="inlineStr">
        <is>
          <t>I freeze and change the subject.</t>
        </is>
      </c>
      <c r="L259" s="2" t="n">
        <v>3</v>
      </c>
      <c r="M259" s="2" t="n"/>
      <c r="N259" s="2" t="n">
        <v>6</v>
      </c>
      <c r="O259" s="2" t="n">
        <v>6</v>
      </c>
      <c r="P259" s="2" t="n">
        <v>6</v>
      </c>
      <c r="Q259" s="2" t="n"/>
      <c r="R259" s="2" t="n"/>
      <c r="S259" s="2" t="inlineStr">
        <is>
          <t>Stonewaller</t>
        </is>
      </c>
      <c r="T259" s="2" t="n">
        <v>2</v>
      </c>
      <c r="U259" s="2" t="n">
        <v>4</v>
      </c>
      <c r="V259" s="2" t="inlineStr">
        <is>
          <t>masc:0.0;fem:0.0</t>
        </is>
      </c>
      <c r="W259" s="2" t="n">
        <v>0</v>
      </c>
      <c r="X259" s="2" t="n">
        <v>0</v>
      </c>
      <c r="Y259" s="2" t="n"/>
      <c r="Z259" s="2" t="n"/>
      <c r="AA259" s="2" t="n"/>
      <c r="AB259" s="2" t="n"/>
      <c r="AC259" s="2" t="n"/>
      <c r="AD259" s="2" t="n"/>
      <c r="AE259" s="2" t="n">
        <v>0</v>
      </c>
      <c r="AF259" s="2" t="n"/>
      <c r="AG259" s="2" t="n"/>
      <c r="AH259" s="2" t="n">
        <v>0</v>
      </c>
      <c r="AI259" s="2" t="n"/>
      <c r="AJ259" s="2" t="inlineStr">
        <is>
          <t>yes</t>
        </is>
      </c>
      <c r="AK259" s="2" t="inlineStr">
        <is>
          <t>no</t>
        </is>
      </c>
      <c r="AL259" s="2" t="inlineStr">
        <is>
          <t>no</t>
        </is>
      </c>
      <c r="AM259" s="2" t="n"/>
      <c r="AN259" s="2" t="n"/>
      <c r="AO259" s="2" t="n"/>
      <c r="AP259" s="2" t="inlineStr">
        <is>
          <t>v3_2026-03-19</t>
        </is>
      </c>
    </row>
    <row r="260" ht="54.75" customHeight="1" s="10">
      <c r="A260" s="2" t="inlineStr">
        <is>
          <t>Q52_C</t>
        </is>
      </c>
      <c r="B260" s="2" t="n">
        <v>52</v>
      </c>
      <c r="C260" s="2" t="n">
        <v>101</v>
      </c>
      <c r="D260" s="2" t="inlineStr">
        <is>
          <t>Shadow</t>
        </is>
      </c>
      <c r="E260" s="2" t="n">
        <v>1.3</v>
      </c>
      <c r="F260" s="2" t="inlineStr">
        <is>
          <t>ShadowPattern</t>
        </is>
      </c>
      <c r="G260" s="2" t="inlineStr">
        <is>
          <t>IntegrityRisk</t>
        </is>
      </c>
      <c r="H260" s="2" t="n"/>
      <c r="I260" s="2" t="inlineStr">
        <is>
          <t>C</t>
        </is>
      </c>
      <c r="J260" s="2" t="inlineStr">
        <is>
          <t>C</t>
        </is>
      </c>
      <c r="K260" s="2" t="inlineStr">
        <is>
          <t>I charm my way out of it. It's no big deal.</t>
        </is>
      </c>
      <c r="L260" s="2" t="n">
        <v>5</v>
      </c>
      <c r="M260" s="2" t="n"/>
      <c r="N260" s="2" t="n">
        <v>4</v>
      </c>
      <c r="O260" s="2" t="n">
        <v>4</v>
      </c>
      <c r="P260" s="2" t="n">
        <v>4</v>
      </c>
      <c r="Q260" s="2" t="n"/>
      <c r="R260" s="2" t="n"/>
      <c r="S260" s="2" t="inlineStr">
        <is>
          <t>Love Bomber</t>
        </is>
      </c>
      <c r="T260" s="2" t="n">
        <v>3</v>
      </c>
      <c r="U260" s="2" t="n">
        <v>6</v>
      </c>
      <c r="V260" s="2" t="inlineStr">
        <is>
          <t>masc:0.0;fem:0.0</t>
        </is>
      </c>
      <c r="W260" s="2" t="n">
        <v>0</v>
      </c>
      <c r="X260" s="2" t="n">
        <v>0</v>
      </c>
      <c r="Y260" s="2" t="n"/>
      <c r="Z260" s="2" t="n"/>
      <c r="AA260" s="2" t="n"/>
      <c r="AB260" s="2" t="n"/>
      <c r="AC260" s="2" t="n"/>
      <c r="AD260" s="2" t="n"/>
      <c r="AE260" s="2" t="n">
        <v>0</v>
      </c>
      <c r="AF260" s="2" t="n"/>
      <c r="AG260" s="2" t="n"/>
      <c r="AH260" s="2" t="n">
        <v>0.6</v>
      </c>
      <c r="AI260" s="2" t="n"/>
      <c r="AJ260" s="2" t="inlineStr">
        <is>
          <t>no</t>
        </is>
      </c>
      <c r="AK260" s="2" t="inlineStr">
        <is>
          <t>no</t>
        </is>
      </c>
      <c r="AL260" s="2" t="inlineStr">
        <is>
          <t>no</t>
        </is>
      </c>
      <c r="AM260" s="2" t="n"/>
      <c r="AN260" s="2" t="n"/>
      <c r="AO260" s="2" t="n"/>
      <c r="AP260" s="2" t="inlineStr">
        <is>
          <t>v3_2026-03-19</t>
        </is>
      </c>
    </row>
    <row r="261" ht="68.25" customHeight="1" s="10">
      <c r="A261" s="2" t="inlineStr">
        <is>
          <t>Q52_D</t>
        </is>
      </c>
      <c r="B261" s="2" t="n">
        <v>52</v>
      </c>
      <c r="C261" s="2" t="n">
        <v>101</v>
      </c>
      <c r="D261" s="2" t="inlineStr">
        <is>
          <t>Shadow</t>
        </is>
      </c>
      <c r="E261" s="2" t="n">
        <v>1.3</v>
      </c>
      <c r="F261" s="2" t="inlineStr">
        <is>
          <t>ShadowPattern</t>
        </is>
      </c>
      <c r="G261" s="2" t="inlineStr">
        <is>
          <t>IntegrityRisk</t>
        </is>
      </c>
      <c r="H261" s="2" t="n"/>
      <c r="I261" s="2" t="inlineStr">
        <is>
          <t>D</t>
        </is>
      </c>
      <c r="J261" s="2" t="inlineStr">
        <is>
          <t>D</t>
        </is>
      </c>
      <c r="K261" s="2" t="inlineStr">
        <is>
          <t>I act like I forgot. I'm not even sure which version I told.</t>
        </is>
      </c>
      <c r="L261" s="2" t="n">
        <v>6</v>
      </c>
      <c r="M261" s="2" t="n"/>
      <c r="N261" s="2" t="n">
        <v>4</v>
      </c>
      <c r="O261" s="2" t="n">
        <v>4</v>
      </c>
      <c r="P261" s="2" t="n">
        <v>4</v>
      </c>
      <c r="Q261" s="2" t="n"/>
      <c r="R261" s="2" t="n"/>
      <c r="S261" s="2" t="inlineStr">
        <is>
          <t>Chameleon</t>
        </is>
      </c>
      <c r="T261" s="2" t="n">
        <v>4</v>
      </c>
      <c r="U261" s="2" t="n">
        <v>6</v>
      </c>
      <c r="V261" s="2" t="inlineStr">
        <is>
          <t>masc:0.0;fem:0.0</t>
        </is>
      </c>
      <c r="W261" s="2" t="n">
        <v>0</v>
      </c>
      <c r="X261" s="2" t="n">
        <v>0</v>
      </c>
      <c r="Y261" s="2" t="n"/>
      <c r="Z261" s="2" t="n"/>
      <c r="AA261" s="2" t="n"/>
      <c r="AB261" s="2" t="n"/>
      <c r="AC261" s="2" t="n"/>
      <c r="AD261" s="2" t="n"/>
      <c r="AE261" s="2" t="n">
        <v>0</v>
      </c>
      <c r="AF261" s="2" t="n"/>
      <c r="AG261" s="2" t="n"/>
      <c r="AH261" s="2" t="n">
        <v>0</v>
      </c>
      <c r="AI261" s="2" t="n"/>
      <c r="AJ261" s="2" t="inlineStr">
        <is>
          <t>no</t>
        </is>
      </c>
      <c r="AK261" s="2" t="inlineStr">
        <is>
          <t>no</t>
        </is>
      </c>
      <c r="AL261" s="2" t="inlineStr">
        <is>
          <t>no</t>
        </is>
      </c>
      <c r="AM261" s="2" t="n"/>
      <c r="AN261" s="2" t="n"/>
      <c r="AO261" s="2" t="n"/>
      <c r="AP261" s="2" t="inlineStr">
        <is>
          <t>v3_2026-03-19</t>
        </is>
      </c>
    </row>
    <row r="262" ht="68.25" customHeight="1" s="10">
      <c r="A262" s="2" t="inlineStr">
        <is>
          <t>Q52_E</t>
        </is>
      </c>
      <c r="B262" s="2" t="n">
        <v>52</v>
      </c>
      <c r="C262" s="2" t="n">
        <v>101</v>
      </c>
      <c r="D262" s="2" t="inlineStr">
        <is>
          <t>Shadow</t>
        </is>
      </c>
      <c r="E262" s="2" t="n">
        <v>1.3</v>
      </c>
      <c r="F262" s="2" t="inlineStr">
        <is>
          <t>ShadowPattern</t>
        </is>
      </c>
      <c r="G262" s="2" t="inlineStr">
        <is>
          <t>IntegrityRisk</t>
        </is>
      </c>
      <c r="H262" s="2" t="n"/>
      <c r="I262" s="2" t="inlineStr">
        <is>
          <t>E</t>
        </is>
      </c>
      <c r="J262" s="2" t="inlineStr">
        <is>
          <t>E</t>
        </is>
      </c>
      <c r="K262" s="2" t="inlineStr">
        <is>
          <t>I downplay it and bring up something they did wrong.</t>
        </is>
      </c>
      <c r="L262" s="2" t="n">
        <v>7</v>
      </c>
      <c r="M262" s="2" t="n"/>
      <c r="N262" s="2" t="n">
        <v>2</v>
      </c>
      <c r="O262" s="2" t="n">
        <v>2</v>
      </c>
      <c r="P262" s="2" t="n">
        <v>2</v>
      </c>
      <c r="Q262" s="2" t="n"/>
      <c r="R262" s="2" t="n"/>
      <c r="S262" s="2" t="inlineStr">
        <is>
          <t>Scorekeeper</t>
        </is>
      </c>
      <c r="T262" s="2" t="n">
        <v>5</v>
      </c>
      <c r="U262" s="2" t="n">
        <v>8</v>
      </c>
      <c r="V262" s="2" t="inlineStr">
        <is>
          <t>masc:0.0;fem:0.0</t>
        </is>
      </c>
      <c r="W262" s="2" t="n">
        <v>0</v>
      </c>
      <c r="X262" s="2" t="n">
        <v>0</v>
      </c>
      <c r="Y262" s="2" t="n"/>
      <c r="Z262" s="2" t="n"/>
      <c r="AA262" s="2" t="n"/>
      <c r="AB262" s="2" t="n"/>
      <c r="AC262" s="2" t="n"/>
      <c r="AD262" s="2" t="n"/>
      <c r="AE262" s="2" t="n">
        <v>0</v>
      </c>
      <c r="AF262" s="2" t="n"/>
      <c r="AG262" s="2" t="n"/>
      <c r="AH262" s="2" t="n">
        <v>0</v>
      </c>
      <c r="AI262" s="2" t="n"/>
      <c r="AJ262" s="2" t="inlineStr">
        <is>
          <t>no</t>
        </is>
      </c>
      <c r="AK262" s="2" t="inlineStr">
        <is>
          <t>no</t>
        </is>
      </c>
      <c r="AL262" s="2" t="inlineStr">
        <is>
          <t>no</t>
        </is>
      </c>
      <c r="AM262" s="2" t="n"/>
      <c r="AN262" s="2" t="n"/>
      <c r="AO262" s="2" t="n"/>
      <c r="AP262" s="2" t="inlineStr">
        <is>
          <t>v3_2026-03-19</t>
        </is>
      </c>
    </row>
    <row r="263" ht="41.25" customHeight="1" s="10">
      <c r="A263" s="2" t="inlineStr">
        <is>
          <t>Q52_F</t>
        </is>
      </c>
      <c r="B263" s="2" t="n">
        <v>52</v>
      </c>
      <c r="C263" s="2" t="n">
        <v>101</v>
      </c>
      <c r="D263" s="2" t="inlineStr">
        <is>
          <t>Shadow</t>
        </is>
      </c>
      <c r="E263" s="2" t="n">
        <v>1.3</v>
      </c>
      <c r="F263" s="2" t="inlineStr">
        <is>
          <t>ShadowPattern</t>
        </is>
      </c>
      <c r="G263" s="2" t="inlineStr">
        <is>
          <t>IntegrityRisk</t>
        </is>
      </c>
      <c r="H263" s="2" t="n"/>
      <c r="I263" s="2" t="inlineStr">
        <is>
          <t>F</t>
        </is>
      </c>
      <c r="J263" s="2" t="inlineStr">
        <is>
          <t>F</t>
        </is>
      </c>
      <c r="K263" s="2" t="inlineStr">
        <is>
          <t>I admit it and punish myself later.</t>
        </is>
      </c>
      <c r="L263" s="2" t="n">
        <v>8</v>
      </c>
      <c r="M263" s="2" t="n"/>
      <c r="N263" s="2" t="n">
        <v>2</v>
      </c>
      <c r="O263" s="2" t="n">
        <v>2</v>
      </c>
      <c r="P263" s="2" t="n">
        <v>2</v>
      </c>
      <c r="Q263" s="2" t="n"/>
      <c r="R263" s="2" t="n"/>
      <c r="S263" s="2" t="inlineStr">
        <is>
          <t>Self-Saboteur</t>
        </is>
      </c>
      <c r="T263" s="2" t="n">
        <v>6</v>
      </c>
      <c r="U263" s="2" t="n">
        <v>8</v>
      </c>
      <c r="V263" s="2" t="inlineStr">
        <is>
          <t>masc:0.0;fem:0.0</t>
        </is>
      </c>
      <c r="W263" s="2" t="n">
        <v>0</v>
      </c>
      <c r="X263" s="2" t="n">
        <v>0</v>
      </c>
      <c r="Y263" s="2" t="n"/>
      <c r="Z263" s="2" t="n"/>
      <c r="AA263" s="2" t="n"/>
      <c r="AB263" s="2" t="n"/>
      <c r="AC263" s="2" t="n"/>
      <c r="AD263" s="2" t="n"/>
      <c r="AE263" s="2" t="n">
        <v>0</v>
      </c>
      <c r="AF263" s="2" t="n"/>
      <c r="AG263" s="2" t="n"/>
      <c r="AH263" s="2" t="n">
        <v>0.6</v>
      </c>
      <c r="AI263" s="2" t="n"/>
      <c r="AJ263" s="2" t="inlineStr">
        <is>
          <t>no</t>
        </is>
      </c>
      <c r="AK263" s="2" t="inlineStr">
        <is>
          <t>no</t>
        </is>
      </c>
      <c r="AL263" s="2" t="inlineStr">
        <is>
          <t>no</t>
        </is>
      </c>
      <c r="AM263" s="2" t="n"/>
      <c r="AN263" s="2" t="n"/>
      <c r="AO263" s="2" t="n"/>
      <c r="AP263" s="2" t="inlineStr">
        <is>
          <t>v3_2026-03-19</t>
        </is>
      </c>
    </row>
    <row r="264" ht="94.5" customHeight="1" s="10">
      <c r="A264" s="2" t="inlineStr">
        <is>
          <t>Q53_A</t>
        </is>
      </c>
      <c r="B264" s="2" t="n">
        <v>53</v>
      </c>
      <c r="C264" s="2" t="n">
        <v>102</v>
      </c>
      <c r="D264" s="2" t="inlineStr">
        <is>
          <t>Shadow</t>
        </is>
      </c>
      <c r="E264" s="2" t="n">
        <v>1.3</v>
      </c>
      <c r="F264" s="2" t="inlineStr">
        <is>
          <t>ShadowPattern</t>
        </is>
      </c>
      <c r="G264" s="2" t="inlineStr">
        <is>
          <t>IntegrityRisk</t>
        </is>
      </c>
      <c r="H264" s="2" t="inlineStr">
        <is>
          <t>They disappoint you emotionally. No apology, no awareness. What happens next?</t>
        </is>
      </c>
      <c r="I264" s="2" t="inlineStr">
        <is>
          <t>A</t>
        </is>
      </c>
      <c r="J264" s="2" t="inlineStr">
        <is>
          <t>A</t>
        </is>
      </c>
      <c r="K264" s="2" t="inlineStr">
        <is>
          <t>I bring it up in a way that makes them feel guilty.</t>
        </is>
      </c>
      <c r="L264" s="2" t="n">
        <v>4</v>
      </c>
      <c r="M264" s="2" t="n"/>
      <c r="N264" s="2" t="n">
        <v>4</v>
      </c>
      <c r="O264" s="2" t="n">
        <v>4</v>
      </c>
      <c r="P264" s="2" t="n">
        <v>4</v>
      </c>
      <c r="Q264" s="2" t="n"/>
      <c r="R264" s="2" t="n"/>
      <c r="S264" s="2" t="inlineStr">
        <is>
          <t>Manipulator</t>
        </is>
      </c>
      <c r="T264" s="2" t="n">
        <v>1</v>
      </c>
      <c r="U264" s="2" t="n">
        <v>6</v>
      </c>
      <c r="V264" s="2" t="inlineStr">
        <is>
          <t>masc:0.0;fem:0.0</t>
        </is>
      </c>
      <c r="W264" s="2" t="n">
        <v>0</v>
      </c>
      <c r="X264" s="2" t="n">
        <v>0</v>
      </c>
      <c r="Y264" s="2" t="n"/>
      <c r="Z264" s="2" t="n"/>
      <c r="AA264" s="2" t="n"/>
      <c r="AB264" s="2" t="n"/>
      <c r="AC264" s="2" t="n"/>
      <c r="AD264" s="2" t="n"/>
      <c r="AE264" s="2" t="n">
        <v>0</v>
      </c>
      <c r="AF264" s="2" t="n"/>
      <c r="AG264" s="2" t="n"/>
      <c r="AH264" s="2" t="n">
        <v>0.6</v>
      </c>
      <c r="AI264" s="2" t="n"/>
      <c r="AJ264" s="2" t="inlineStr">
        <is>
          <t>yes</t>
        </is>
      </c>
      <c r="AK264" s="2" t="inlineStr">
        <is>
          <t>no</t>
        </is>
      </c>
      <c r="AL264" s="2" t="inlineStr">
        <is>
          <t>no</t>
        </is>
      </c>
      <c r="AM264" s="2" t="n"/>
      <c r="AN264" s="2" t="n"/>
      <c r="AO264" s="2" t="n"/>
      <c r="AP264" s="2" t="inlineStr">
        <is>
          <t>v3_2026-03-19</t>
        </is>
      </c>
    </row>
    <row r="265" ht="68.25" customHeight="1" s="10">
      <c r="A265" s="2" t="inlineStr">
        <is>
          <t>Q53_B</t>
        </is>
      </c>
      <c r="B265" s="2" t="n">
        <v>53</v>
      </c>
      <c r="C265" s="2" t="n">
        <v>102</v>
      </c>
      <c r="D265" s="2" t="inlineStr">
        <is>
          <t>Shadow</t>
        </is>
      </c>
      <c r="E265" s="2" t="n">
        <v>1.3</v>
      </c>
      <c r="F265" s="2" t="inlineStr">
        <is>
          <t>ShadowPattern</t>
        </is>
      </c>
      <c r="G265" s="2" t="inlineStr">
        <is>
          <t>IntegrityRisk</t>
        </is>
      </c>
      <c r="H265" s="2" t="n"/>
      <c r="I265" s="2" t="inlineStr">
        <is>
          <t>B</t>
        </is>
      </c>
      <c r="J265" s="2" t="inlineStr">
        <is>
          <t>B</t>
        </is>
      </c>
      <c r="K265" s="2" t="inlineStr">
        <is>
          <t>I go distant and make them guess what's wrong.</t>
        </is>
      </c>
      <c r="L265" s="2" t="n">
        <v>3</v>
      </c>
      <c r="M265" s="2" t="n"/>
      <c r="N265" s="2" t="n">
        <v>6</v>
      </c>
      <c r="O265" s="2" t="n">
        <v>6</v>
      </c>
      <c r="P265" s="2" t="n">
        <v>6</v>
      </c>
      <c r="Q265" s="2" t="n"/>
      <c r="R265" s="2" t="n"/>
      <c r="S265" s="2" t="inlineStr">
        <is>
          <t>Stonewaller</t>
        </is>
      </c>
      <c r="T265" s="2" t="n">
        <v>2</v>
      </c>
      <c r="U265" s="2" t="n">
        <v>4</v>
      </c>
      <c r="V265" s="2" t="inlineStr">
        <is>
          <t>masc:0.0;fem:0.0</t>
        </is>
      </c>
      <c r="W265" s="2" t="n">
        <v>0</v>
      </c>
      <c r="X265" s="2" t="n">
        <v>0</v>
      </c>
      <c r="Y265" s="2" t="n"/>
      <c r="Z265" s="2" t="n"/>
      <c r="AA265" s="2" t="n"/>
      <c r="AB265" s="2" t="n"/>
      <c r="AC265" s="2" t="n"/>
      <c r="AD265" s="2" t="n"/>
      <c r="AE265" s="2" t="n">
        <v>0</v>
      </c>
      <c r="AF265" s="2" t="n"/>
      <c r="AG265" s="2" t="n"/>
      <c r="AH265" s="2" t="n">
        <v>0.6</v>
      </c>
      <c r="AI265" s="2" t="n"/>
      <c r="AJ265" s="2" t="inlineStr">
        <is>
          <t>yes</t>
        </is>
      </c>
      <c r="AK265" s="2" t="inlineStr">
        <is>
          <t>no</t>
        </is>
      </c>
      <c r="AL265" s="2" t="inlineStr">
        <is>
          <t>no</t>
        </is>
      </c>
      <c r="AM265" s="2" t="n"/>
      <c r="AN265" s="2" t="n"/>
      <c r="AO265" s="2" t="n"/>
      <c r="AP265" s="2" t="inlineStr">
        <is>
          <t>v3_2026-03-19</t>
        </is>
      </c>
    </row>
    <row r="266" ht="68.25" customHeight="1" s="10">
      <c r="A266" s="2" t="inlineStr">
        <is>
          <t>Q53_C</t>
        </is>
      </c>
      <c r="B266" s="2" t="n">
        <v>53</v>
      </c>
      <c r="C266" s="2" t="n">
        <v>102</v>
      </c>
      <c r="D266" s="2" t="inlineStr">
        <is>
          <t>Shadow</t>
        </is>
      </c>
      <c r="E266" s="2" t="n">
        <v>1.3</v>
      </c>
      <c r="F266" s="2" t="inlineStr">
        <is>
          <t>ShadowPattern</t>
        </is>
      </c>
      <c r="G266" s="2" t="inlineStr">
        <is>
          <t>IntegrityRisk</t>
        </is>
      </c>
      <c r="H266" s="2" t="n"/>
      <c r="I266" s="2" t="inlineStr">
        <is>
          <t>C</t>
        </is>
      </c>
      <c r="J266" s="2" t="inlineStr">
        <is>
          <t>C</t>
        </is>
      </c>
      <c r="K266" s="2" t="inlineStr">
        <is>
          <t>I act like I'm over it, but hold it as ammo for later</t>
        </is>
      </c>
      <c r="L266" s="2" t="n">
        <v>5</v>
      </c>
      <c r="M266" s="2" t="n"/>
      <c r="N266" s="2" t="n">
        <v>4</v>
      </c>
      <c r="O266" s="2" t="n">
        <v>4</v>
      </c>
      <c r="P266" s="2" t="n">
        <v>4</v>
      </c>
      <c r="Q266" s="2" t="n"/>
      <c r="R266" s="2" t="n"/>
      <c r="S266" s="2" t="inlineStr">
        <is>
          <t>Love Bomber</t>
        </is>
      </c>
      <c r="T266" s="2" t="n">
        <v>3</v>
      </c>
      <c r="U266" s="2" t="n">
        <v>6</v>
      </c>
      <c r="V266" s="2" t="inlineStr">
        <is>
          <t>masc:0.0;fem:0.0</t>
        </is>
      </c>
      <c r="W266" s="2" t="n">
        <v>0</v>
      </c>
      <c r="X266" s="2" t="n">
        <v>0</v>
      </c>
      <c r="Y266" s="2" t="n"/>
      <c r="Z266" s="2" t="n"/>
      <c r="AA266" s="2" t="n"/>
      <c r="AB266" s="2" t="n"/>
      <c r="AC266" s="2" t="n"/>
      <c r="AD266" s="2" t="n"/>
      <c r="AE266" s="2" t="n">
        <v>0</v>
      </c>
      <c r="AF266" s="2" t="n"/>
      <c r="AG266" s="2" t="n"/>
      <c r="AH266" s="2" t="n">
        <v>0.6</v>
      </c>
      <c r="AI266" s="2" t="n"/>
      <c r="AJ266" s="2" t="inlineStr">
        <is>
          <t>no</t>
        </is>
      </c>
      <c r="AK266" s="2" t="inlineStr">
        <is>
          <t>no</t>
        </is>
      </c>
      <c r="AL266" s="2" t="inlineStr">
        <is>
          <t>no</t>
        </is>
      </c>
      <c r="AM266" s="2" t="n"/>
      <c r="AN266" s="2" t="n"/>
      <c r="AO266" s="2" t="n"/>
      <c r="AP266" s="2" t="inlineStr">
        <is>
          <t>v3_2026-03-19</t>
        </is>
      </c>
    </row>
    <row r="267" ht="68.25" customHeight="1" s="10">
      <c r="A267" s="2" t="inlineStr">
        <is>
          <t>Q53_D</t>
        </is>
      </c>
      <c r="B267" s="2" t="n">
        <v>53</v>
      </c>
      <c r="C267" s="2" t="n">
        <v>102</v>
      </c>
      <c r="D267" s="2" t="inlineStr">
        <is>
          <t>Shadow</t>
        </is>
      </c>
      <c r="E267" s="2" t="n">
        <v>1.3</v>
      </c>
      <c r="F267" s="2" t="inlineStr">
        <is>
          <t>ShadowPattern</t>
        </is>
      </c>
      <c r="G267" s="2" t="inlineStr">
        <is>
          <t>IntegrityRisk</t>
        </is>
      </c>
      <c r="H267" s="2" t="n"/>
      <c r="I267" s="2" t="inlineStr">
        <is>
          <t>D</t>
        </is>
      </c>
      <c r="J267" s="2" t="inlineStr">
        <is>
          <t>D</t>
        </is>
      </c>
      <c r="K267" s="2" t="inlineStr">
        <is>
          <t>I mirror whatever version of me they liked last time.</t>
        </is>
      </c>
      <c r="L267" s="2" t="n">
        <v>6</v>
      </c>
      <c r="M267" s="2" t="n"/>
      <c r="N267" s="2" t="n">
        <v>4</v>
      </c>
      <c r="O267" s="2" t="n">
        <v>4</v>
      </c>
      <c r="P267" s="2" t="n">
        <v>4</v>
      </c>
      <c r="Q267" s="2" t="n"/>
      <c r="R267" s="2" t="n"/>
      <c r="S267" s="2" t="inlineStr">
        <is>
          <t>Chameleon</t>
        </is>
      </c>
      <c r="T267" s="2" t="n">
        <v>4</v>
      </c>
      <c r="U267" s="2" t="n">
        <v>6</v>
      </c>
      <c r="V267" s="2" t="inlineStr">
        <is>
          <t>masc:0.0;fem:0.0</t>
        </is>
      </c>
      <c r="W267" s="2" t="n">
        <v>0</v>
      </c>
      <c r="X267" s="2" t="n">
        <v>0</v>
      </c>
      <c r="Y267" s="2" t="n"/>
      <c r="Z267" s="2" t="n"/>
      <c r="AA267" s="2" t="n"/>
      <c r="AB267" s="2" t="n"/>
      <c r="AC267" s="2" t="n"/>
      <c r="AD267" s="2" t="n"/>
      <c r="AE267" s="2" t="n">
        <v>0</v>
      </c>
      <c r="AF267" s="2" t="n"/>
      <c r="AG267" s="2" t="n"/>
      <c r="AH267" s="2" t="n">
        <v>0</v>
      </c>
      <c r="AI267" s="2" t="n"/>
      <c r="AJ267" s="2" t="inlineStr">
        <is>
          <t>no</t>
        </is>
      </c>
      <c r="AK267" s="2" t="inlineStr">
        <is>
          <t>no</t>
        </is>
      </c>
      <c r="AL267" s="2" t="inlineStr">
        <is>
          <t>no</t>
        </is>
      </c>
      <c r="AM267" s="2" t="n"/>
      <c r="AN267" s="2" t="n"/>
      <c r="AO267" s="2" t="n"/>
      <c r="AP267" s="2" t="inlineStr">
        <is>
          <t>v3_2026-03-19</t>
        </is>
      </c>
    </row>
    <row r="268" ht="81" customHeight="1" s="10">
      <c r="A268" s="2" t="inlineStr">
        <is>
          <t>Q53_E</t>
        </is>
      </c>
      <c r="B268" s="2" t="n">
        <v>53</v>
      </c>
      <c r="C268" s="2" t="n">
        <v>102</v>
      </c>
      <c r="D268" s="2" t="inlineStr">
        <is>
          <t>Shadow</t>
        </is>
      </c>
      <c r="E268" s="2" t="n">
        <v>1.3</v>
      </c>
      <c r="F268" s="2" t="inlineStr">
        <is>
          <t>ShadowPattern</t>
        </is>
      </c>
      <c r="G268" s="2" t="inlineStr">
        <is>
          <t>IntegrityRisk</t>
        </is>
      </c>
      <c r="H268" s="2" t="n"/>
      <c r="I268" s="2" t="inlineStr">
        <is>
          <t>E</t>
        </is>
      </c>
      <c r="J268" s="2" t="inlineStr">
        <is>
          <t>E</t>
        </is>
      </c>
      <c r="K268" s="2" t="inlineStr">
        <is>
          <t>I start tracking every moment they come up short.</t>
        </is>
      </c>
      <c r="L268" s="2" t="n">
        <v>7</v>
      </c>
      <c r="M268" s="2" t="n"/>
      <c r="N268" s="2" t="n">
        <v>2</v>
      </c>
      <c r="O268" s="2" t="n">
        <v>2</v>
      </c>
      <c r="P268" s="2" t="n">
        <v>2</v>
      </c>
      <c r="Q268" s="2" t="n"/>
      <c r="R268" s="2" t="n"/>
      <c r="S268" s="2" t="inlineStr">
        <is>
          <t>Scorekeeper</t>
        </is>
      </c>
      <c r="T268" s="2" t="n">
        <v>5</v>
      </c>
      <c r="U268" s="2" t="n">
        <v>8</v>
      </c>
      <c r="V268" s="2" t="inlineStr">
        <is>
          <t>masc:0.0;fem:0.0</t>
        </is>
      </c>
      <c r="W268" s="2" t="n">
        <v>0</v>
      </c>
      <c r="X268" s="2" t="n">
        <v>0</v>
      </c>
      <c r="Y268" s="2" t="n"/>
      <c r="Z268" s="2" t="n"/>
      <c r="AA268" s="2" t="n"/>
      <c r="AB268" s="2" t="n"/>
      <c r="AC268" s="2" t="n"/>
      <c r="AD268" s="2" t="n"/>
      <c r="AE268" s="2" t="n">
        <v>0</v>
      </c>
      <c r="AF268" s="2" t="n"/>
      <c r="AG268" s="2" t="n"/>
      <c r="AH268" s="2" t="n">
        <v>0</v>
      </c>
      <c r="AI268" s="2" t="n"/>
      <c r="AJ268" s="2" t="inlineStr">
        <is>
          <t>no</t>
        </is>
      </c>
      <c r="AK268" s="2" t="inlineStr">
        <is>
          <t>no</t>
        </is>
      </c>
      <c r="AL268" s="2" t="inlineStr">
        <is>
          <t>no</t>
        </is>
      </c>
      <c r="AM268" s="2" t="n"/>
      <c r="AN268" s="2" t="n"/>
      <c r="AO268" s="2" t="n"/>
      <c r="AP268" s="2" t="inlineStr">
        <is>
          <t>v3_2026-03-19</t>
        </is>
      </c>
    </row>
    <row r="269" ht="81" customHeight="1" s="10">
      <c r="A269" s="2" t="inlineStr">
        <is>
          <t>Q53_F</t>
        </is>
      </c>
      <c r="B269" s="2" t="n">
        <v>53</v>
      </c>
      <c r="C269" s="2" t="n">
        <v>102</v>
      </c>
      <c r="D269" s="2" t="inlineStr">
        <is>
          <t>Shadow</t>
        </is>
      </c>
      <c r="E269" s="2" t="n">
        <v>1.3</v>
      </c>
      <c r="F269" s="2" t="inlineStr">
        <is>
          <t>ShadowPattern</t>
        </is>
      </c>
      <c r="G269" s="2" t="inlineStr">
        <is>
          <t>IntegrityRisk</t>
        </is>
      </c>
      <c r="H269" s="2" t="n"/>
      <c r="I269" s="2" t="inlineStr">
        <is>
          <t>F</t>
        </is>
      </c>
      <c r="J269" s="2" t="inlineStr">
        <is>
          <t>F</t>
        </is>
      </c>
      <c r="K269" s="2" t="inlineStr">
        <is>
          <t>I decide it's probably my fault and try harder to earn their care.</t>
        </is>
      </c>
      <c r="L269" s="2" t="n">
        <v>8</v>
      </c>
      <c r="M269" s="2" t="n"/>
      <c r="N269" s="2" t="n">
        <v>2</v>
      </c>
      <c r="O269" s="2" t="n">
        <v>2</v>
      </c>
      <c r="P269" s="2" t="n">
        <v>2</v>
      </c>
      <c r="Q269" s="2" t="n"/>
      <c r="R269" s="2" t="n"/>
      <c r="S269" s="2" t="inlineStr">
        <is>
          <t>Self-Saboteur</t>
        </is>
      </c>
      <c r="T269" s="2" t="n">
        <v>6</v>
      </c>
      <c r="U269" s="2" t="n">
        <v>8</v>
      </c>
      <c r="V269" s="2" t="inlineStr">
        <is>
          <t>masc:0.0;fem:0.0</t>
        </is>
      </c>
      <c r="W269" s="2" t="n">
        <v>0</v>
      </c>
      <c r="X269" s="2" t="n">
        <v>0</v>
      </c>
      <c r="Y269" s="2" t="n"/>
      <c r="Z269" s="2" t="n"/>
      <c r="AA269" s="2" t="n"/>
      <c r="AB269" s="2" t="n"/>
      <c r="AC269" s="2" t="n"/>
      <c r="AD269" s="2" t="n"/>
      <c r="AE269" s="2" t="n">
        <v>0</v>
      </c>
      <c r="AF269" s="2" t="n"/>
      <c r="AG269" s="2" t="n"/>
      <c r="AH269" s="2" t="n">
        <v>0</v>
      </c>
      <c r="AI269" s="2" t="n"/>
      <c r="AJ269" s="2" t="inlineStr">
        <is>
          <t>no</t>
        </is>
      </c>
      <c r="AK269" s="2" t="inlineStr">
        <is>
          <t>no</t>
        </is>
      </c>
      <c r="AL269" s="2" t="inlineStr">
        <is>
          <t>no</t>
        </is>
      </c>
      <c r="AM269" s="2" t="n"/>
      <c r="AN269" s="2" t="n"/>
      <c r="AO269" s="2" t="n"/>
      <c r="AP269" s="2" t="inlineStr">
        <is>
          <t>v3_2026-03-19</t>
        </is>
      </c>
    </row>
    <row r="270" ht="54.75" customHeight="1" s="10">
      <c r="A270" s="2" t="inlineStr">
        <is>
          <t>Q54_A</t>
        </is>
      </c>
      <c r="B270" s="2" t="n">
        <v>54</v>
      </c>
      <c r="C270" s="2" t="n">
        <v>103</v>
      </c>
      <c r="D270" s="2" t="inlineStr">
        <is>
          <t>Shadow</t>
        </is>
      </c>
      <c r="E270" s="2" t="n">
        <v>1.3</v>
      </c>
      <c r="F270" s="2" t="inlineStr">
        <is>
          <t>ShadowPattern</t>
        </is>
      </c>
      <c r="G270" s="2" t="inlineStr">
        <is>
          <t>IntegrityRisk</t>
        </is>
      </c>
      <c r="H270" s="2" t="inlineStr">
        <is>
          <t>They suddenly need space. How do you respond?</t>
        </is>
      </c>
      <c r="I270" s="2" t="inlineStr">
        <is>
          <t>A</t>
        </is>
      </c>
      <c r="J270" s="2" t="inlineStr">
        <is>
          <t>A</t>
        </is>
      </c>
      <c r="K270" s="2" t="inlineStr">
        <is>
          <t>I fake my own distance so they feel what I felt.</t>
        </is>
      </c>
      <c r="L270" s="2" t="n">
        <v>4</v>
      </c>
      <c r="M270" s="2" t="n"/>
      <c r="N270" s="2" t="n">
        <v>4</v>
      </c>
      <c r="O270" s="2" t="n">
        <v>4</v>
      </c>
      <c r="P270" s="2" t="n">
        <v>4</v>
      </c>
      <c r="Q270" s="2" t="n"/>
      <c r="R270" s="2" t="n"/>
      <c r="S270" s="2" t="inlineStr">
        <is>
          <t>Manipulator</t>
        </is>
      </c>
      <c r="T270" s="2" t="n">
        <v>1</v>
      </c>
      <c r="U270" s="2" t="n">
        <v>6</v>
      </c>
      <c r="V270" s="2" t="inlineStr">
        <is>
          <t>masc:0.0;fem:0.0</t>
        </is>
      </c>
      <c r="W270" s="2" t="n">
        <v>0</v>
      </c>
      <c r="X270" s="2" t="n">
        <v>0</v>
      </c>
      <c r="Y270" s="2" t="n"/>
      <c r="Z270" s="2" t="n"/>
      <c r="AA270" s="2" t="n"/>
      <c r="AB270" s="2" t="n"/>
      <c r="AC270" s="2" t="n"/>
      <c r="AD270" s="2" t="n"/>
      <c r="AE270" s="2" t="n">
        <v>0</v>
      </c>
      <c r="AF270" s="2" t="n"/>
      <c r="AG270" s="2" t="n"/>
      <c r="AH270" s="2" t="n">
        <v>0</v>
      </c>
      <c r="AI270" s="2" t="n"/>
      <c r="AJ270" s="2" t="inlineStr">
        <is>
          <t>yes</t>
        </is>
      </c>
      <c r="AK270" s="2" t="inlineStr">
        <is>
          <t>no</t>
        </is>
      </c>
      <c r="AL270" s="2" t="inlineStr">
        <is>
          <t>no</t>
        </is>
      </c>
      <c r="AM270" s="2" t="n"/>
      <c r="AN270" s="2" t="n"/>
      <c r="AO270" s="2" t="n"/>
      <c r="AP270" s="2" t="inlineStr">
        <is>
          <t>v3_2026-03-19</t>
        </is>
      </c>
    </row>
    <row r="271" ht="54.75" customHeight="1" s="10">
      <c r="A271" s="2" t="inlineStr">
        <is>
          <t>Q54_B</t>
        </is>
      </c>
      <c r="B271" s="2" t="n">
        <v>54</v>
      </c>
      <c r="C271" s="2" t="n">
        <v>103</v>
      </c>
      <c r="D271" s="2" t="inlineStr">
        <is>
          <t>Shadow</t>
        </is>
      </c>
      <c r="E271" s="2" t="n">
        <v>1.3</v>
      </c>
      <c r="F271" s="2" t="inlineStr">
        <is>
          <t>ShadowPattern</t>
        </is>
      </c>
      <c r="G271" s="2" t="inlineStr">
        <is>
          <t>IntegrityRisk</t>
        </is>
      </c>
      <c r="H271" s="2" t="n"/>
      <c r="I271" s="2" t="inlineStr">
        <is>
          <t>B</t>
        </is>
      </c>
      <c r="J271" s="2" t="inlineStr">
        <is>
          <t>B</t>
        </is>
      </c>
      <c r="K271" s="2" t="inlineStr">
        <is>
          <t>I just go quiet-if they want space, they got it</t>
        </is>
      </c>
      <c r="L271" s="2" t="n">
        <v>3</v>
      </c>
      <c r="M271" s="2" t="n"/>
      <c r="N271" s="2" t="n">
        <v>6</v>
      </c>
      <c r="O271" s="2" t="n">
        <v>6</v>
      </c>
      <c r="P271" s="2" t="n">
        <v>6</v>
      </c>
      <c r="Q271" s="2" t="n"/>
      <c r="R271" s="2" t="n"/>
      <c r="S271" s="2" t="inlineStr">
        <is>
          <t>Stonewaller</t>
        </is>
      </c>
      <c r="T271" s="2" t="n">
        <v>2</v>
      </c>
      <c r="U271" s="2" t="n">
        <v>4</v>
      </c>
      <c r="V271" s="2" t="inlineStr">
        <is>
          <t>masc:0.0;fem:0.0</t>
        </is>
      </c>
      <c r="W271" s="2" t="n">
        <v>0</v>
      </c>
      <c r="X271" s="2" t="n">
        <v>0</v>
      </c>
      <c r="Y271" s="2" t="n"/>
      <c r="Z271" s="2" t="n"/>
      <c r="AA271" s="2" t="n"/>
      <c r="AB271" s="2" t="n"/>
      <c r="AC271" s="2" t="n"/>
      <c r="AD271" s="2" t="n"/>
      <c r="AE271" s="2" t="n">
        <v>0</v>
      </c>
      <c r="AF271" s="2" t="n"/>
      <c r="AG271" s="2" t="n"/>
      <c r="AH271" s="2" t="n">
        <v>0</v>
      </c>
      <c r="AI271" s="2" t="n"/>
      <c r="AJ271" s="2" t="inlineStr">
        <is>
          <t>yes</t>
        </is>
      </c>
      <c r="AK271" s="2" t="inlineStr">
        <is>
          <t>no</t>
        </is>
      </c>
      <c r="AL271" s="2" t="inlineStr">
        <is>
          <t>no</t>
        </is>
      </c>
      <c r="AM271" s="2" t="n"/>
      <c r="AN271" s="2" t="n"/>
      <c r="AO271" s="2" t="n"/>
      <c r="AP271" s="2" t="inlineStr">
        <is>
          <t>v3_2026-03-19</t>
        </is>
      </c>
    </row>
    <row r="272" ht="81" customHeight="1" s="10">
      <c r="A272" s="2" t="inlineStr">
        <is>
          <t>Q54_C</t>
        </is>
      </c>
      <c r="B272" s="2" t="n">
        <v>54</v>
      </c>
      <c r="C272" s="2" t="n">
        <v>103</v>
      </c>
      <c r="D272" s="2" t="inlineStr">
        <is>
          <t>Shadow</t>
        </is>
      </c>
      <c r="E272" s="2" t="n">
        <v>1.3</v>
      </c>
      <c r="F272" s="2" t="inlineStr">
        <is>
          <t>ShadowPattern</t>
        </is>
      </c>
      <c r="G272" s="2" t="inlineStr">
        <is>
          <t>IntegrityRisk</t>
        </is>
      </c>
      <c r="H272" s="2" t="n"/>
      <c r="I272" s="2" t="inlineStr">
        <is>
          <t>C</t>
        </is>
      </c>
      <c r="J272" s="2" t="inlineStr">
        <is>
          <t>C</t>
        </is>
      </c>
      <c r="K272" s="2" t="inlineStr">
        <is>
          <t>I throw out a casual "lol okay" then go post something spicy.</t>
        </is>
      </c>
      <c r="L272" s="2" t="n">
        <v>5</v>
      </c>
      <c r="M272" s="2" t="n"/>
      <c r="N272" s="2" t="n">
        <v>4</v>
      </c>
      <c r="O272" s="2" t="n">
        <v>4</v>
      </c>
      <c r="P272" s="2" t="n">
        <v>4</v>
      </c>
      <c r="Q272" s="2" t="n"/>
      <c r="R272" s="2" t="n"/>
      <c r="S272" s="2" t="inlineStr">
        <is>
          <t>Love Bomber</t>
        </is>
      </c>
      <c r="T272" s="2" t="n">
        <v>3</v>
      </c>
      <c r="U272" s="2" t="n">
        <v>6</v>
      </c>
      <c r="V272" s="2" t="inlineStr">
        <is>
          <t>masc:0.0;fem:0.0</t>
        </is>
      </c>
      <c r="W272" s="2" t="n">
        <v>0</v>
      </c>
      <c r="X272" s="2" t="n">
        <v>0</v>
      </c>
      <c r="Y272" s="2" t="n"/>
      <c r="Z272" s="2" t="n"/>
      <c r="AA272" s="2" t="n"/>
      <c r="AB272" s="2" t="n"/>
      <c r="AC272" s="2" t="n"/>
      <c r="AD272" s="2" t="n"/>
      <c r="AE272" s="2" t="n">
        <v>0</v>
      </c>
      <c r="AF272" s="2" t="n"/>
      <c r="AG272" s="2" t="n"/>
      <c r="AH272" s="2" t="n">
        <v>0</v>
      </c>
      <c r="AI272" s="2" t="n"/>
      <c r="AJ272" s="2" t="inlineStr">
        <is>
          <t>no</t>
        </is>
      </c>
      <c r="AK272" s="2" t="inlineStr">
        <is>
          <t>no</t>
        </is>
      </c>
      <c r="AL272" s="2" t="inlineStr">
        <is>
          <t>no</t>
        </is>
      </c>
      <c r="AM272" s="2" t="n"/>
      <c r="AN272" s="2" t="n"/>
      <c r="AO272" s="2" t="n"/>
      <c r="AP272" s="2" t="inlineStr">
        <is>
          <t>v3_2026-03-19</t>
        </is>
      </c>
    </row>
    <row r="273" ht="81" customHeight="1" s="10">
      <c r="A273" s="2" t="inlineStr">
        <is>
          <t>Q54_D</t>
        </is>
      </c>
      <c r="B273" s="2" t="n">
        <v>54</v>
      </c>
      <c r="C273" s="2" t="n">
        <v>103</v>
      </c>
      <c r="D273" s="2" t="inlineStr">
        <is>
          <t>Shadow</t>
        </is>
      </c>
      <c r="E273" s="2" t="n">
        <v>1.3</v>
      </c>
      <c r="F273" s="2" t="inlineStr">
        <is>
          <t>ShadowPattern</t>
        </is>
      </c>
      <c r="G273" s="2" t="inlineStr">
        <is>
          <t>IntegrityRisk</t>
        </is>
      </c>
      <c r="H273" s="2" t="n"/>
      <c r="I273" s="2" t="inlineStr">
        <is>
          <t>D</t>
        </is>
      </c>
      <c r="J273" s="2" t="inlineStr">
        <is>
          <t>D</t>
        </is>
      </c>
      <c r="K273" s="2" t="inlineStr">
        <is>
          <t>I change my tone and energy to whatever feels safest now.</t>
        </is>
      </c>
      <c r="L273" s="2" t="n">
        <v>6</v>
      </c>
      <c r="M273" s="2" t="n"/>
      <c r="N273" s="2" t="n">
        <v>4</v>
      </c>
      <c r="O273" s="2" t="n">
        <v>4</v>
      </c>
      <c r="P273" s="2" t="n">
        <v>4</v>
      </c>
      <c r="Q273" s="2" t="n"/>
      <c r="R273" s="2" t="n"/>
      <c r="S273" s="2" t="inlineStr">
        <is>
          <t>Chameleon</t>
        </is>
      </c>
      <c r="T273" s="2" t="n">
        <v>4</v>
      </c>
      <c r="U273" s="2" t="n">
        <v>6</v>
      </c>
      <c r="V273" s="2" t="inlineStr">
        <is>
          <t>masc:0.0;fem:0.0</t>
        </is>
      </c>
      <c r="W273" s="2" t="n">
        <v>0</v>
      </c>
      <c r="X273" s="2" t="n">
        <v>0</v>
      </c>
      <c r="Y273" s="2" t="n"/>
      <c r="Z273" s="2" t="n"/>
      <c r="AA273" s="2" t="n"/>
      <c r="AB273" s="2" t="n"/>
      <c r="AC273" s="2" t="n"/>
      <c r="AD273" s="2" t="n"/>
      <c r="AE273" s="2" t="n">
        <v>0</v>
      </c>
      <c r="AF273" s="2" t="n"/>
      <c r="AG273" s="2" t="n"/>
      <c r="AH273" s="2" t="n">
        <v>0</v>
      </c>
      <c r="AI273" s="2" t="n"/>
      <c r="AJ273" s="2" t="inlineStr">
        <is>
          <t>no</t>
        </is>
      </c>
      <c r="AK273" s="2" t="inlineStr">
        <is>
          <t>no</t>
        </is>
      </c>
      <c r="AL273" s="2" t="inlineStr">
        <is>
          <t>no</t>
        </is>
      </c>
      <c r="AM273" s="2" t="n"/>
      <c r="AN273" s="2" t="n"/>
      <c r="AO273" s="2" t="n"/>
      <c r="AP273" s="2" t="inlineStr">
        <is>
          <t>v3_2026-03-19</t>
        </is>
      </c>
    </row>
    <row r="274" ht="68.25" customHeight="1" s="10">
      <c r="A274" s="2" t="inlineStr">
        <is>
          <t>Q54_E</t>
        </is>
      </c>
      <c r="B274" s="2" t="n">
        <v>54</v>
      </c>
      <c r="C274" s="2" t="n">
        <v>103</v>
      </c>
      <c r="D274" s="2" t="inlineStr">
        <is>
          <t>Shadow</t>
        </is>
      </c>
      <c r="E274" s="2" t="n">
        <v>1.3</v>
      </c>
      <c r="F274" s="2" t="inlineStr">
        <is>
          <t>ShadowPattern</t>
        </is>
      </c>
      <c r="G274" s="2" t="inlineStr">
        <is>
          <t>IntegrityRisk</t>
        </is>
      </c>
      <c r="H274" s="2" t="n"/>
      <c r="I274" s="2" t="inlineStr">
        <is>
          <t>E</t>
        </is>
      </c>
      <c r="J274" s="2" t="inlineStr">
        <is>
          <t>E</t>
        </is>
      </c>
      <c r="K274" s="2" t="inlineStr">
        <is>
          <t>I mentally log it and wait to match the behavior later.</t>
        </is>
      </c>
      <c r="L274" s="2" t="n">
        <v>7</v>
      </c>
      <c r="M274" s="2" t="n"/>
      <c r="N274" s="2" t="n">
        <v>2</v>
      </c>
      <c r="O274" s="2" t="n">
        <v>2</v>
      </c>
      <c r="P274" s="2" t="n">
        <v>2</v>
      </c>
      <c r="Q274" s="2" t="n"/>
      <c r="R274" s="2" t="n"/>
      <c r="S274" s="2" t="inlineStr">
        <is>
          <t>Scorekeeper</t>
        </is>
      </c>
      <c r="T274" s="2" t="n">
        <v>5</v>
      </c>
      <c r="U274" s="2" t="n">
        <v>8</v>
      </c>
      <c r="V274" s="2" t="inlineStr">
        <is>
          <t>masc:0.0;fem:0.0</t>
        </is>
      </c>
      <c r="W274" s="2" t="n">
        <v>0</v>
      </c>
      <c r="X274" s="2" t="n">
        <v>0</v>
      </c>
      <c r="Y274" s="2" t="n"/>
      <c r="Z274" s="2" t="n"/>
      <c r="AA274" s="2" t="n"/>
      <c r="AB274" s="2" t="n"/>
      <c r="AC274" s="2" t="n"/>
      <c r="AD274" s="2" t="n"/>
      <c r="AE274" s="2" t="n">
        <v>0</v>
      </c>
      <c r="AF274" s="2" t="n"/>
      <c r="AG274" s="2" t="n"/>
      <c r="AH274" s="2" t="n">
        <v>0</v>
      </c>
      <c r="AI274" s="2" t="n"/>
      <c r="AJ274" s="2" t="inlineStr">
        <is>
          <t>no</t>
        </is>
      </c>
      <c r="AK274" s="2" t="inlineStr">
        <is>
          <t>no</t>
        </is>
      </c>
      <c r="AL274" s="2" t="inlineStr">
        <is>
          <t>no</t>
        </is>
      </c>
      <c r="AM274" s="2" t="n"/>
      <c r="AN274" s="2" t="n"/>
      <c r="AO274" s="2" t="n"/>
      <c r="AP274" s="2" t="inlineStr">
        <is>
          <t>v3_2026-03-19</t>
        </is>
      </c>
    </row>
    <row r="275" ht="54.75" customHeight="1" s="10">
      <c r="A275" s="2" t="inlineStr">
        <is>
          <t>Q54_F</t>
        </is>
      </c>
      <c r="B275" s="2" t="n">
        <v>54</v>
      </c>
      <c r="C275" s="2" t="n">
        <v>103</v>
      </c>
      <c r="D275" s="2" t="inlineStr">
        <is>
          <t>Shadow</t>
        </is>
      </c>
      <c r="E275" s="2" t="n">
        <v>1.3</v>
      </c>
      <c r="F275" s="2" t="inlineStr">
        <is>
          <t>ShadowPattern</t>
        </is>
      </c>
      <c r="G275" s="2" t="inlineStr">
        <is>
          <t>IntegrityRisk</t>
        </is>
      </c>
      <c r="H275" s="2" t="n"/>
      <c r="I275" s="2" t="inlineStr">
        <is>
          <t>F</t>
        </is>
      </c>
      <c r="J275" s="2" t="inlineStr">
        <is>
          <t>F</t>
        </is>
      </c>
      <c r="K275" s="2" t="inlineStr">
        <is>
          <t>I panic a little and assume I pushed them away.</t>
        </is>
      </c>
      <c r="L275" s="2" t="n">
        <v>8</v>
      </c>
      <c r="M275" s="2" t="n"/>
      <c r="N275" s="2" t="n">
        <v>2</v>
      </c>
      <c r="O275" s="2" t="n">
        <v>2</v>
      </c>
      <c r="P275" s="2" t="n">
        <v>2</v>
      </c>
      <c r="Q275" s="2" t="n"/>
      <c r="R275" s="2" t="n"/>
      <c r="S275" s="2" t="inlineStr">
        <is>
          <t>Self-Saboteur</t>
        </is>
      </c>
      <c r="T275" s="2" t="n">
        <v>6</v>
      </c>
      <c r="U275" s="2" t="n">
        <v>8</v>
      </c>
      <c r="V275" s="2" t="inlineStr">
        <is>
          <t>masc:0.0;fem:0.0</t>
        </is>
      </c>
      <c r="W275" s="2" t="n">
        <v>0</v>
      </c>
      <c r="X275" s="2" t="n">
        <v>0</v>
      </c>
      <c r="Y275" s="2" t="n"/>
      <c r="Z275" s="2" t="n"/>
      <c r="AA275" s="2" t="n"/>
      <c r="AB275" s="2" t="n"/>
      <c r="AC275" s="2" t="n"/>
      <c r="AD275" s="2" t="n"/>
      <c r="AE275" s="2" t="n">
        <v>0</v>
      </c>
      <c r="AF275" s="2" t="n"/>
      <c r="AG275" s="2" t="n"/>
      <c r="AH275" s="2" t="n">
        <v>0</v>
      </c>
      <c r="AI275" s="2" t="n"/>
      <c r="AJ275" s="2" t="inlineStr">
        <is>
          <t>no</t>
        </is>
      </c>
      <c r="AK275" s="2" t="inlineStr">
        <is>
          <t>no</t>
        </is>
      </c>
      <c r="AL275" s="2" t="inlineStr">
        <is>
          <t>no</t>
        </is>
      </c>
      <c r="AM275" s="2" t="n"/>
      <c r="AN275" s="2" t="n"/>
      <c r="AO275" s="2" t="n"/>
      <c r="AP275" s="2" t="inlineStr">
        <is>
          <t>v3_2026-03-19</t>
        </is>
      </c>
    </row>
    <row r="276" ht="108" customHeight="1" s="10">
      <c r="A276" s="2" t="inlineStr">
        <is>
          <t>Q55_A</t>
        </is>
      </c>
      <c r="B276" s="2" t="n">
        <v>55</v>
      </c>
      <c r="C276" s="2" t="n">
        <v>104</v>
      </c>
      <c r="D276" s="2" t="inlineStr">
        <is>
          <t>Shadow</t>
        </is>
      </c>
      <c r="E276" s="2" t="n">
        <v>1.35</v>
      </c>
      <c r="F276" s="2" t="inlineStr">
        <is>
          <t>ShadowPattern</t>
        </is>
      </c>
      <c r="G276" s="2" t="inlineStr">
        <is>
          <t>IntegrityRisk</t>
        </is>
      </c>
      <c r="H276" s="2" t="inlineStr">
        <is>
          <t>You open up about something hard, but they respond awkwardly. What's your reflex?</t>
        </is>
      </c>
      <c r="I276" s="2" t="inlineStr">
        <is>
          <t>A</t>
        </is>
      </c>
      <c r="J276" s="2" t="inlineStr">
        <is>
          <t>A</t>
        </is>
      </c>
      <c r="K276" s="2" t="inlineStr">
        <is>
          <t>I redirect with sarcasm or ask a deeper question about them.</t>
        </is>
      </c>
      <c r="L276" s="2" t="n">
        <v>4</v>
      </c>
      <c r="M276" s="2" t="n"/>
      <c r="N276" s="2" t="n">
        <v>4</v>
      </c>
      <c r="O276" s="2" t="n">
        <v>4</v>
      </c>
      <c r="P276" s="2" t="n">
        <v>4</v>
      </c>
      <c r="Q276" s="2" t="n"/>
      <c r="R276" s="2" t="n"/>
      <c r="S276" s="2" t="inlineStr">
        <is>
          <t>Manipulator</t>
        </is>
      </c>
      <c r="T276" s="2" t="n">
        <v>1</v>
      </c>
      <c r="U276" s="2" t="n">
        <v>6</v>
      </c>
      <c r="V276" s="2" t="inlineStr">
        <is>
          <t>masc:0.0;fem:0.0</t>
        </is>
      </c>
      <c r="W276" s="2" t="n">
        <v>0</v>
      </c>
      <c r="X276" s="2" t="n">
        <v>0</v>
      </c>
      <c r="Y276" s="2" t="n"/>
      <c r="Z276" s="2" t="n"/>
      <c r="AA276" s="2" t="n"/>
      <c r="AB276" s="2" t="n"/>
      <c r="AC276" s="2" t="n"/>
      <c r="AD276" s="2" t="n"/>
      <c r="AE276" s="2" t="n">
        <v>0</v>
      </c>
      <c r="AF276" s="2" t="n"/>
      <c r="AG276" s="2" t="n"/>
      <c r="AH276" s="2" t="n">
        <v>0</v>
      </c>
      <c r="AI276" s="2" t="n"/>
      <c r="AJ276" s="2" t="inlineStr">
        <is>
          <t>yes</t>
        </is>
      </c>
      <c r="AK276" s="2" t="inlineStr">
        <is>
          <t>no</t>
        </is>
      </c>
      <c r="AL276" s="2" t="inlineStr">
        <is>
          <t>no</t>
        </is>
      </c>
      <c r="AM276" s="2" t="n"/>
      <c r="AN276" s="2" t="n"/>
      <c r="AO276" s="2" t="n"/>
      <c r="AP276" s="2" t="inlineStr">
        <is>
          <t>v3_2026-03-19</t>
        </is>
      </c>
    </row>
    <row r="277" ht="54.75" customHeight="1" s="10">
      <c r="A277" s="2" t="inlineStr">
        <is>
          <t>Q55_B</t>
        </is>
      </c>
      <c r="B277" s="2" t="n">
        <v>55</v>
      </c>
      <c r="C277" s="2" t="n">
        <v>104</v>
      </c>
      <c r="D277" s="2" t="inlineStr">
        <is>
          <t>Shadow</t>
        </is>
      </c>
      <c r="E277" s="2" t="n">
        <v>1.35</v>
      </c>
      <c r="F277" s="2" t="inlineStr">
        <is>
          <t>ShadowPattern</t>
        </is>
      </c>
      <c r="G277" s="2" t="inlineStr">
        <is>
          <t>IntegrityRisk</t>
        </is>
      </c>
      <c r="H277" s="2" t="n"/>
      <c r="I277" s="2" t="inlineStr">
        <is>
          <t>B</t>
        </is>
      </c>
      <c r="J277" s="2" t="inlineStr">
        <is>
          <t>B</t>
        </is>
      </c>
      <c r="K277" s="2" t="inlineStr">
        <is>
          <t>I shut down. You'll never hear that side again.</t>
        </is>
      </c>
      <c r="L277" s="2" t="n">
        <v>3</v>
      </c>
      <c r="M277" s="2" t="n"/>
      <c r="N277" s="2" t="n">
        <v>6</v>
      </c>
      <c r="O277" s="2" t="n">
        <v>6</v>
      </c>
      <c r="P277" s="2" t="n">
        <v>6</v>
      </c>
      <c r="Q277" s="2" t="n"/>
      <c r="R277" s="2" t="n"/>
      <c r="S277" s="2" t="inlineStr">
        <is>
          <t>Stonewaller</t>
        </is>
      </c>
      <c r="T277" s="2" t="n">
        <v>2</v>
      </c>
      <c r="U277" s="2" t="n">
        <v>4</v>
      </c>
      <c r="V277" s="2" t="inlineStr">
        <is>
          <t>masc:0.0;fem:0.0</t>
        </is>
      </c>
      <c r="W277" s="2" t="n">
        <v>0</v>
      </c>
      <c r="X277" s="2" t="n">
        <v>0</v>
      </c>
      <c r="Y277" s="2" t="n"/>
      <c r="Z277" s="2" t="n"/>
      <c r="AA277" s="2" t="n"/>
      <c r="AB277" s="2" t="n"/>
      <c r="AC277" s="2" t="n"/>
      <c r="AD277" s="2" t="n"/>
      <c r="AE277" s="2" t="n">
        <v>0</v>
      </c>
      <c r="AF277" s="2" t="n"/>
      <c r="AG277" s="2" t="n"/>
      <c r="AH277" s="2" t="n">
        <v>0</v>
      </c>
      <c r="AI277" s="2" t="n"/>
      <c r="AJ277" s="2" t="inlineStr">
        <is>
          <t>yes</t>
        </is>
      </c>
      <c r="AK277" s="2" t="inlineStr">
        <is>
          <t>no</t>
        </is>
      </c>
      <c r="AL277" s="2" t="inlineStr">
        <is>
          <t>no</t>
        </is>
      </c>
      <c r="AM277" s="2" t="n"/>
      <c r="AN277" s="2" t="n"/>
      <c r="AO277" s="2" t="n"/>
      <c r="AP277" s="2" t="inlineStr">
        <is>
          <t>v3_2026-03-19</t>
        </is>
      </c>
    </row>
    <row r="278" ht="68.25" customHeight="1" s="10">
      <c r="A278" s="2" t="inlineStr">
        <is>
          <t>Q55_C</t>
        </is>
      </c>
      <c r="B278" s="2" t="n">
        <v>55</v>
      </c>
      <c r="C278" s="2" t="n">
        <v>104</v>
      </c>
      <c r="D278" s="2" t="inlineStr">
        <is>
          <t>Shadow</t>
        </is>
      </c>
      <c r="E278" s="2" t="n">
        <v>1.35</v>
      </c>
      <c r="F278" s="2" t="inlineStr">
        <is>
          <t>ShadowPattern</t>
        </is>
      </c>
      <c r="G278" s="2" t="inlineStr">
        <is>
          <t>IntegrityRisk</t>
        </is>
      </c>
      <c r="H278" s="2" t="n"/>
      <c r="I278" s="2" t="inlineStr">
        <is>
          <t>C</t>
        </is>
      </c>
      <c r="J278" s="2" t="inlineStr">
        <is>
          <t>C</t>
        </is>
      </c>
      <c r="K278" s="2" t="inlineStr">
        <is>
          <t>I act like I was just joking. Can't let them see too much.</t>
        </is>
      </c>
      <c r="L278" s="2" t="n">
        <v>5</v>
      </c>
      <c r="M278" s="2" t="n"/>
      <c r="N278" s="2" t="n">
        <v>4</v>
      </c>
      <c r="O278" s="2" t="n">
        <v>4</v>
      </c>
      <c r="P278" s="2" t="n">
        <v>4</v>
      </c>
      <c r="Q278" s="2" t="n"/>
      <c r="R278" s="2" t="n"/>
      <c r="S278" s="2" t="inlineStr">
        <is>
          <t>Love Bomber</t>
        </is>
      </c>
      <c r="T278" s="2" t="n">
        <v>3</v>
      </c>
      <c r="U278" s="2" t="n">
        <v>6</v>
      </c>
      <c r="V278" s="2" t="inlineStr">
        <is>
          <t>masc:0.0;fem:0.0</t>
        </is>
      </c>
      <c r="W278" s="2" t="n">
        <v>0</v>
      </c>
      <c r="X278" s="2" t="n">
        <v>0</v>
      </c>
      <c r="Y278" s="2" t="n"/>
      <c r="Z278" s="2" t="n"/>
      <c r="AA278" s="2" t="n"/>
      <c r="AB278" s="2" t="n"/>
      <c r="AC278" s="2" t="n"/>
      <c r="AD278" s="2" t="n"/>
      <c r="AE278" s="2" t="n">
        <v>0</v>
      </c>
      <c r="AF278" s="2" t="n"/>
      <c r="AG278" s="2" t="n"/>
      <c r="AH278" s="2" t="n">
        <v>0</v>
      </c>
      <c r="AI278" s="2" t="n"/>
      <c r="AJ278" s="2" t="inlineStr">
        <is>
          <t>no</t>
        </is>
      </c>
      <c r="AK278" s="2" t="inlineStr">
        <is>
          <t>no</t>
        </is>
      </c>
      <c r="AL278" s="2" t="inlineStr">
        <is>
          <t>no</t>
        </is>
      </c>
      <c r="AM278" s="2" t="n"/>
      <c r="AN278" s="2" t="n"/>
      <c r="AO278" s="2" t="n"/>
      <c r="AP278" s="2" t="inlineStr">
        <is>
          <t>v3_2026-03-19</t>
        </is>
      </c>
    </row>
    <row r="279" ht="68.25" customHeight="1" s="10">
      <c r="A279" s="2" t="inlineStr">
        <is>
          <t>Q55_D</t>
        </is>
      </c>
      <c r="B279" s="2" t="n">
        <v>55</v>
      </c>
      <c r="C279" s="2" t="n">
        <v>104</v>
      </c>
      <c r="D279" s="2" t="inlineStr">
        <is>
          <t>Shadow</t>
        </is>
      </c>
      <c r="E279" s="2" t="n">
        <v>1.35</v>
      </c>
      <c r="F279" s="2" t="inlineStr">
        <is>
          <t>ShadowPattern</t>
        </is>
      </c>
      <c r="G279" s="2" t="inlineStr">
        <is>
          <t>IntegrityRisk</t>
        </is>
      </c>
      <c r="H279" s="2" t="n"/>
      <c r="I279" s="2" t="inlineStr">
        <is>
          <t>D</t>
        </is>
      </c>
      <c r="J279" s="2" t="inlineStr">
        <is>
          <t>D</t>
        </is>
      </c>
      <c r="K279" s="2" t="inlineStr">
        <is>
          <t>I nod like it didn't matter. Then replay the whole convo later.</t>
        </is>
      </c>
      <c r="L279" s="2" t="n">
        <v>6</v>
      </c>
      <c r="M279" s="2" t="n"/>
      <c r="N279" s="2" t="n">
        <v>4</v>
      </c>
      <c r="O279" s="2" t="n">
        <v>4</v>
      </c>
      <c r="P279" s="2" t="n">
        <v>4</v>
      </c>
      <c r="Q279" s="2" t="n"/>
      <c r="R279" s="2" t="n"/>
      <c r="S279" s="2" t="inlineStr">
        <is>
          <t>Chameleon</t>
        </is>
      </c>
      <c r="T279" s="2" t="n">
        <v>4</v>
      </c>
      <c r="U279" s="2" t="n">
        <v>6</v>
      </c>
      <c r="V279" s="2" t="inlineStr">
        <is>
          <t>masc:0.0;fem:0.0</t>
        </is>
      </c>
      <c r="W279" s="2" t="n">
        <v>0</v>
      </c>
      <c r="X279" s="2" t="n">
        <v>0</v>
      </c>
      <c r="Y279" s="2" t="n"/>
      <c r="Z279" s="2" t="n"/>
      <c r="AA279" s="2" t="n"/>
      <c r="AB279" s="2" t="n"/>
      <c r="AC279" s="2" t="n"/>
      <c r="AD279" s="2" t="n"/>
      <c r="AE279" s="2" t="n">
        <v>0</v>
      </c>
      <c r="AF279" s="2" t="n"/>
      <c r="AG279" s="2" t="n"/>
      <c r="AH279" s="2" t="n">
        <v>0</v>
      </c>
      <c r="AI279" s="2" t="n"/>
      <c r="AJ279" s="2" t="inlineStr">
        <is>
          <t>no</t>
        </is>
      </c>
      <c r="AK279" s="2" t="inlineStr">
        <is>
          <t>no</t>
        </is>
      </c>
      <c r="AL279" s="2" t="inlineStr">
        <is>
          <t>no</t>
        </is>
      </c>
      <c r="AM279" s="2" t="n"/>
      <c r="AN279" s="2" t="n"/>
      <c r="AO279" s="2" t="n"/>
      <c r="AP279" s="2" t="inlineStr">
        <is>
          <t>v3_2026-03-19</t>
        </is>
      </c>
    </row>
    <row r="280" ht="54.75" customHeight="1" s="10">
      <c r="A280" s="2" t="inlineStr">
        <is>
          <t>Q55_E</t>
        </is>
      </c>
      <c r="B280" s="2" t="n">
        <v>55</v>
      </c>
      <c r="C280" s="2" t="n">
        <v>104</v>
      </c>
      <c r="D280" s="2" t="inlineStr">
        <is>
          <t>Shadow</t>
        </is>
      </c>
      <c r="E280" s="2" t="n">
        <v>1.35</v>
      </c>
      <c r="F280" s="2" t="inlineStr">
        <is>
          <t>ShadowPattern</t>
        </is>
      </c>
      <c r="G280" s="2" t="inlineStr">
        <is>
          <t>IntegrityRisk</t>
        </is>
      </c>
      <c r="H280" s="2" t="n"/>
      <c r="I280" s="2" t="inlineStr">
        <is>
          <t>E</t>
        </is>
      </c>
      <c r="J280" s="2" t="inlineStr">
        <is>
          <t>E</t>
        </is>
      </c>
      <c r="K280" s="2" t="inlineStr">
        <is>
          <t>I tell myself not to open up again until they earn it.</t>
        </is>
      </c>
      <c r="L280" s="2" t="n">
        <v>7</v>
      </c>
      <c r="M280" s="2" t="n"/>
      <c r="N280" s="2" t="n">
        <v>2</v>
      </c>
      <c r="O280" s="2" t="n">
        <v>2</v>
      </c>
      <c r="P280" s="2" t="n">
        <v>2</v>
      </c>
      <c r="Q280" s="2" t="n"/>
      <c r="R280" s="2" t="n"/>
      <c r="S280" s="2" t="inlineStr">
        <is>
          <t>Scorekeeper</t>
        </is>
      </c>
      <c r="T280" s="2" t="n">
        <v>5</v>
      </c>
      <c r="U280" s="2" t="n">
        <v>8</v>
      </c>
      <c r="V280" s="2" t="inlineStr">
        <is>
          <t>masc:0.0;fem:0.0</t>
        </is>
      </c>
      <c r="W280" s="2" t="n">
        <v>0</v>
      </c>
      <c r="X280" s="2" t="n">
        <v>0</v>
      </c>
      <c r="Y280" s="2" t="n"/>
      <c r="Z280" s="2" t="n"/>
      <c r="AA280" s="2" t="n"/>
      <c r="AB280" s="2" t="n"/>
      <c r="AC280" s="2" t="n"/>
      <c r="AD280" s="2" t="n"/>
      <c r="AE280" s="2" t="n">
        <v>0</v>
      </c>
      <c r="AF280" s="2" t="n"/>
      <c r="AG280" s="2" t="n"/>
      <c r="AH280" s="2" t="n">
        <v>0</v>
      </c>
      <c r="AI280" s="2" t="n"/>
      <c r="AJ280" s="2" t="inlineStr">
        <is>
          <t>no</t>
        </is>
      </c>
      <c r="AK280" s="2" t="inlineStr">
        <is>
          <t>no</t>
        </is>
      </c>
      <c r="AL280" s="2" t="inlineStr">
        <is>
          <t>no</t>
        </is>
      </c>
      <c r="AM280" s="2" t="n"/>
      <c r="AN280" s="2" t="n"/>
      <c r="AO280" s="2" t="n"/>
      <c r="AP280" s="2" t="inlineStr">
        <is>
          <t>v3_2026-03-19</t>
        </is>
      </c>
    </row>
    <row r="281" ht="68.25" customHeight="1" s="10">
      <c r="A281" s="2" t="inlineStr">
        <is>
          <t>Q55_F</t>
        </is>
      </c>
      <c r="B281" s="2" t="n">
        <v>55</v>
      </c>
      <c r="C281" s="2" t="n">
        <v>104</v>
      </c>
      <c r="D281" s="2" t="inlineStr">
        <is>
          <t>Shadow</t>
        </is>
      </c>
      <c r="E281" s="2" t="n">
        <v>1.35</v>
      </c>
      <c r="F281" s="2" t="inlineStr">
        <is>
          <t>ShadowPattern</t>
        </is>
      </c>
      <c r="G281" s="2" t="inlineStr">
        <is>
          <t>IntegrityRisk</t>
        </is>
      </c>
      <c r="H281" s="2" t="n"/>
      <c r="I281" s="2" t="inlineStr">
        <is>
          <t>F</t>
        </is>
      </c>
      <c r="J281" s="2" t="inlineStr">
        <is>
          <t>F</t>
        </is>
      </c>
      <c r="K281" s="2" t="inlineStr">
        <is>
          <t>I feel embarrassed for trying and want to disappear.</t>
        </is>
      </c>
      <c r="L281" s="2" t="n">
        <v>8</v>
      </c>
      <c r="M281" s="2" t="n"/>
      <c r="N281" s="2" t="n">
        <v>2</v>
      </c>
      <c r="O281" s="2" t="n">
        <v>2</v>
      </c>
      <c r="P281" s="2" t="n">
        <v>2</v>
      </c>
      <c r="Q281" s="2" t="n"/>
      <c r="R281" s="2" t="n"/>
      <c r="S281" s="2" t="inlineStr">
        <is>
          <t>Self-Saboteur</t>
        </is>
      </c>
      <c r="T281" s="2" t="n">
        <v>6</v>
      </c>
      <c r="U281" s="2" t="n">
        <v>8</v>
      </c>
      <c r="V281" s="2" t="inlineStr">
        <is>
          <t>masc:0.0;fem:0.0</t>
        </is>
      </c>
      <c r="W281" s="2" t="n">
        <v>0</v>
      </c>
      <c r="X281" s="2" t="n">
        <v>0</v>
      </c>
      <c r="Y281" s="2" t="n"/>
      <c r="Z281" s="2" t="n"/>
      <c r="AA281" s="2" t="n"/>
      <c r="AB281" s="2" t="n"/>
      <c r="AC281" s="2" t="n"/>
      <c r="AD281" s="2" t="n"/>
      <c r="AE281" s="2" t="n">
        <v>0</v>
      </c>
      <c r="AF281" s="2" t="n"/>
      <c r="AG281" s="2" t="n"/>
      <c r="AH281" s="2" t="n">
        <v>0</v>
      </c>
      <c r="AI281" s="2" t="n"/>
      <c r="AJ281" s="2" t="inlineStr">
        <is>
          <t>no</t>
        </is>
      </c>
      <c r="AK281" s="2" t="inlineStr">
        <is>
          <t>no</t>
        </is>
      </c>
      <c r="AL281" s="2" t="inlineStr">
        <is>
          <t>no</t>
        </is>
      </c>
      <c r="AM281" s="2" t="n"/>
      <c r="AN281" s="2" t="n"/>
      <c r="AO281" s="2" t="n"/>
      <c r="AP281" s="2" t="inlineStr">
        <is>
          <t>v3_2026-03-19</t>
        </is>
      </c>
    </row>
    <row r="282" ht="68.25" customHeight="1" s="10">
      <c r="A282" s="2" t="inlineStr">
        <is>
          <t>Q56_A</t>
        </is>
      </c>
      <c r="B282" s="2" t="n">
        <v>56</v>
      </c>
      <c r="C282" s="2" t="n">
        <v>105</v>
      </c>
      <c r="D282" s="2" t="inlineStr">
        <is>
          <t>Shadow</t>
        </is>
      </c>
      <c r="E282" s="2" t="n">
        <v>1.35</v>
      </c>
      <c r="F282" s="2" t="inlineStr">
        <is>
          <t>ShadowPattern</t>
        </is>
      </c>
      <c r="G282" s="2" t="inlineStr">
        <is>
          <t>IntegrityRisk</t>
        </is>
      </c>
      <c r="H282" s="2" t="inlineStr">
        <is>
          <t>They forget something important to you. What happens next?</t>
        </is>
      </c>
      <c r="I282" s="2" t="inlineStr">
        <is>
          <t>A</t>
        </is>
      </c>
      <c r="J282" s="2" t="inlineStr">
        <is>
          <t>A</t>
        </is>
      </c>
      <c r="K282" s="2" t="inlineStr">
        <is>
          <t>I bring it up in a way that sounds playful but stings a little.</t>
        </is>
      </c>
      <c r="L282" s="2" t="n">
        <v>4</v>
      </c>
      <c r="M282" s="2" t="n"/>
      <c r="N282" s="2" t="n">
        <v>4</v>
      </c>
      <c r="O282" s="2" t="n">
        <v>4</v>
      </c>
      <c r="P282" s="2" t="n">
        <v>4</v>
      </c>
      <c r="Q282" s="2" t="n"/>
      <c r="R282" s="2" t="n"/>
      <c r="S282" s="2" t="inlineStr">
        <is>
          <t>Manipulator</t>
        </is>
      </c>
      <c r="T282" s="2" t="n">
        <v>1</v>
      </c>
      <c r="U282" s="2" t="n">
        <v>6</v>
      </c>
      <c r="V282" s="2" t="inlineStr">
        <is>
          <t>masc:0.0;fem:0.0</t>
        </is>
      </c>
      <c r="W282" s="2" t="n">
        <v>0</v>
      </c>
      <c r="X282" s="2" t="n">
        <v>0</v>
      </c>
      <c r="Y282" s="2" t="n"/>
      <c r="Z282" s="2" t="n"/>
      <c r="AA282" s="2" t="n"/>
      <c r="AB282" s="2" t="n"/>
      <c r="AC282" s="2" t="n"/>
      <c r="AD282" s="2" t="n"/>
      <c r="AE282" s="2" t="n">
        <v>0</v>
      </c>
      <c r="AF282" s="2" t="n"/>
      <c r="AG282" s="2" t="n"/>
      <c r="AH282" s="2" t="n">
        <v>0</v>
      </c>
      <c r="AI282" s="2" t="n"/>
      <c r="AJ282" s="2" t="inlineStr">
        <is>
          <t>yes</t>
        </is>
      </c>
      <c r="AK282" s="2" t="inlineStr">
        <is>
          <t>no</t>
        </is>
      </c>
      <c r="AL282" s="2" t="inlineStr">
        <is>
          <t>no</t>
        </is>
      </c>
      <c r="AM282" s="2" t="n"/>
      <c r="AN282" s="2" t="n"/>
      <c r="AO282" s="2" t="n"/>
      <c r="AP282" s="2" t="inlineStr">
        <is>
          <t>v3_2026-03-19</t>
        </is>
      </c>
    </row>
    <row r="283" ht="68.25" customHeight="1" s="10">
      <c r="A283" s="2" t="inlineStr">
        <is>
          <t>Q56_B</t>
        </is>
      </c>
      <c r="B283" s="2" t="n">
        <v>56</v>
      </c>
      <c r="C283" s="2" t="n">
        <v>105</v>
      </c>
      <c r="D283" s="2" t="inlineStr">
        <is>
          <t>Shadow</t>
        </is>
      </c>
      <c r="E283" s="2" t="n">
        <v>1.35</v>
      </c>
      <c r="F283" s="2" t="inlineStr">
        <is>
          <t>ShadowPattern</t>
        </is>
      </c>
      <c r="G283" s="2" t="inlineStr">
        <is>
          <t>IntegrityRisk</t>
        </is>
      </c>
      <c r="H283" s="2" t="n"/>
      <c r="I283" s="2" t="inlineStr">
        <is>
          <t>B</t>
        </is>
      </c>
      <c r="J283" s="2" t="inlineStr">
        <is>
          <t>B</t>
        </is>
      </c>
      <c r="K283" s="2" t="inlineStr">
        <is>
          <t>I say it's fine, but I withdraw hard after that.</t>
        </is>
      </c>
      <c r="L283" s="2" t="n">
        <v>3</v>
      </c>
      <c r="M283" s="2" t="n"/>
      <c r="N283" s="2" t="n">
        <v>6</v>
      </c>
      <c r="O283" s="2" t="n">
        <v>6</v>
      </c>
      <c r="P283" s="2" t="n">
        <v>6</v>
      </c>
      <c r="Q283" s="2" t="n"/>
      <c r="R283" s="2" t="n"/>
      <c r="S283" s="2" t="inlineStr">
        <is>
          <t>Stonewaller</t>
        </is>
      </c>
      <c r="T283" s="2" t="n">
        <v>2</v>
      </c>
      <c r="U283" s="2" t="n">
        <v>4</v>
      </c>
      <c r="V283" s="2" t="inlineStr">
        <is>
          <t>masc:0.0;fem:0.0</t>
        </is>
      </c>
      <c r="W283" s="2" t="n">
        <v>0</v>
      </c>
      <c r="X283" s="2" t="n">
        <v>0</v>
      </c>
      <c r="Y283" s="2" t="n"/>
      <c r="Z283" s="2" t="n"/>
      <c r="AA283" s="2" t="n"/>
      <c r="AB283" s="2" t="n"/>
      <c r="AC283" s="2" t="n"/>
      <c r="AD283" s="2" t="n"/>
      <c r="AE283" s="2" t="n">
        <v>0</v>
      </c>
      <c r="AF283" s="2" t="n"/>
      <c r="AG283" s="2" t="n"/>
      <c r="AH283" s="2" t="n">
        <v>0.6</v>
      </c>
      <c r="AI283" s="2" t="n"/>
      <c r="AJ283" s="2" t="inlineStr">
        <is>
          <t>yes</t>
        </is>
      </c>
      <c r="AK283" s="2" t="inlineStr">
        <is>
          <t>no</t>
        </is>
      </c>
      <c r="AL283" s="2" t="inlineStr">
        <is>
          <t>no</t>
        </is>
      </c>
      <c r="AM283" s="2" t="n"/>
      <c r="AN283" s="2" t="n"/>
      <c r="AO283" s="2" t="n"/>
      <c r="AP283" s="2" t="inlineStr">
        <is>
          <t>v3_2026-03-19</t>
        </is>
      </c>
    </row>
    <row r="284" ht="81" customHeight="1" s="10">
      <c r="A284" s="2" t="inlineStr">
        <is>
          <t>Q56_C</t>
        </is>
      </c>
      <c r="B284" s="2" t="n">
        <v>56</v>
      </c>
      <c r="C284" s="2" t="n">
        <v>105</v>
      </c>
      <c r="D284" s="2" t="inlineStr">
        <is>
          <t>Shadow</t>
        </is>
      </c>
      <c r="E284" s="2" t="n">
        <v>1.35</v>
      </c>
      <c r="F284" s="2" t="inlineStr">
        <is>
          <t>ShadowPattern</t>
        </is>
      </c>
      <c r="G284" s="2" t="inlineStr">
        <is>
          <t>IntegrityRisk</t>
        </is>
      </c>
      <c r="H284" s="2" t="n"/>
      <c r="I284" s="2" t="inlineStr">
        <is>
          <t>C</t>
        </is>
      </c>
      <c r="J284" s="2" t="inlineStr">
        <is>
          <t>C</t>
        </is>
      </c>
      <c r="K284" s="2" t="inlineStr">
        <is>
          <t>I act like I forgot something of theirs too, balance it out.</t>
        </is>
      </c>
      <c r="L284" s="2" t="n">
        <v>5</v>
      </c>
      <c r="M284" s="2" t="n"/>
      <c r="N284" s="2" t="n">
        <v>4</v>
      </c>
      <c r="O284" s="2" t="n">
        <v>4</v>
      </c>
      <c r="P284" s="2" t="n">
        <v>4</v>
      </c>
      <c r="Q284" s="2" t="n"/>
      <c r="R284" s="2" t="n"/>
      <c r="S284" s="2" t="inlineStr">
        <is>
          <t>Love Bomber</t>
        </is>
      </c>
      <c r="T284" s="2" t="n">
        <v>3</v>
      </c>
      <c r="U284" s="2" t="n">
        <v>6</v>
      </c>
      <c r="V284" s="2" t="inlineStr">
        <is>
          <t>masc:0.0;fem:0.0</t>
        </is>
      </c>
      <c r="W284" s="2" t="n">
        <v>0</v>
      </c>
      <c r="X284" s="2" t="n">
        <v>0</v>
      </c>
      <c r="Y284" s="2" t="n"/>
      <c r="Z284" s="2" t="n"/>
      <c r="AA284" s="2" t="n"/>
      <c r="AB284" s="2" t="n"/>
      <c r="AC284" s="2" t="n"/>
      <c r="AD284" s="2" t="n"/>
      <c r="AE284" s="2" t="n">
        <v>0</v>
      </c>
      <c r="AF284" s="2" t="n"/>
      <c r="AG284" s="2" t="n"/>
      <c r="AH284" s="2" t="n">
        <v>0</v>
      </c>
      <c r="AI284" s="2" t="n"/>
      <c r="AJ284" s="2" t="inlineStr">
        <is>
          <t>no</t>
        </is>
      </c>
      <c r="AK284" s="2" t="inlineStr">
        <is>
          <t>no</t>
        </is>
      </c>
      <c r="AL284" s="2" t="inlineStr">
        <is>
          <t>no</t>
        </is>
      </c>
      <c r="AM284" s="2" t="n"/>
      <c r="AN284" s="2" t="n"/>
      <c r="AO284" s="2" t="n"/>
      <c r="AP284" s="2" t="inlineStr">
        <is>
          <t>v3_2026-03-19</t>
        </is>
      </c>
    </row>
    <row r="285" ht="54.75" customHeight="1" s="10">
      <c r="A285" s="2" t="inlineStr">
        <is>
          <t>Q56_D</t>
        </is>
      </c>
      <c r="B285" s="2" t="n">
        <v>56</v>
      </c>
      <c r="C285" s="2" t="n">
        <v>105</v>
      </c>
      <c r="D285" s="2" t="inlineStr">
        <is>
          <t>Shadow</t>
        </is>
      </c>
      <c r="E285" s="2" t="n">
        <v>1.35</v>
      </c>
      <c r="F285" s="2" t="inlineStr">
        <is>
          <t>ShadowPattern</t>
        </is>
      </c>
      <c r="G285" s="2" t="inlineStr">
        <is>
          <t>IntegrityRisk</t>
        </is>
      </c>
      <c r="H285" s="2" t="n"/>
      <c r="I285" s="2" t="inlineStr">
        <is>
          <t>D</t>
        </is>
      </c>
      <c r="J285" s="2" t="inlineStr">
        <is>
          <t>D</t>
        </is>
      </c>
      <c r="K285" s="2" t="inlineStr">
        <is>
          <t>I adjust my vibe, act like it didn't matter.</t>
        </is>
      </c>
      <c r="L285" s="2" t="n">
        <v>6</v>
      </c>
      <c r="M285" s="2" t="n"/>
      <c r="N285" s="2" t="n">
        <v>4</v>
      </c>
      <c r="O285" s="2" t="n">
        <v>4</v>
      </c>
      <c r="P285" s="2" t="n">
        <v>4</v>
      </c>
      <c r="Q285" s="2" t="n"/>
      <c r="R285" s="2" t="n"/>
      <c r="S285" s="2" t="inlineStr">
        <is>
          <t>Chameleon</t>
        </is>
      </c>
      <c r="T285" s="2" t="n">
        <v>4</v>
      </c>
      <c r="U285" s="2" t="n">
        <v>6</v>
      </c>
      <c r="V285" s="2" t="inlineStr">
        <is>
          <t>masc:0.0;fem:0.0</t>
        </is>
      </c>
      <c r="W285" s="2" t="n">
        <v>0</v>
      </c>
      <c r="X285" s="2" t="n">
        <v>0</v>
      </c>
      <c r="Y285" s="2" t="n"/>
      <c r="Z285" s="2" t="n"/>
      <c r="AA285" s="2" t="n"/>
      <c r="AB285" s="2" t="n"/>
      <c r="AC285" s="2" t="n"/>
      <c r="AD285" s="2" t="n"/>
      <c r="AE285" s="2" t="n">
        <v>0</v>
      </c>
      <c r="AF285" s="2" t="n"/>
      <c r="AG285" s="2" t="n"/>
      <c r="AH285" s="2" t="n">
        <v>0</v>
      </c>
      <c r="AI285" s="2" t="n"/>
      <c r="AJ285" s="2" t="inlineStr">
        <is>
          <t>no</t>
        </is>
      </c>
      <c r="AK285" s="2" t="inlineStr">
        <is>
          <t>no</t>
        </is>
      </c>
      <c r="AL285" s="2" t="inlineStr">
        <is>
          <t>no</t>
        </is>
      </c>
      <c r="AM285" s="2" t="n"/>
      <c r="AN285" s="2" t="n"/>
      <c r="AO285" s="2" t="n"/>
      <c r="AP285" s="2" t="inlineStr">
        <is>
          <t>v3_2026-03-19</t>
        </is>
      </c>
    </row>
    <row r="286" ht="68.25" customHeight="1" s="10">
      <c r="A286" s="2" t="inlineStr">
        <is>
          <t>Q56_E</t>
        </is>
      </c>
      <c r="B286" s="2" t="n">
        <v>56</v>
      </c>
      <c r="C286" s="2" t="n">
        <v>105</v>
      </c>
      <c r="D286" s="2" t="inlineStr">
        <is>
          <t>Shadow</t>
        </is>
      </c>
      <c r="E286" s="2" t="n">
        <v>1.35</v>
      </c>
      <c r="F286" s="2" t="inlineStr">
        <is>
          <t>ShadowPattern</t>
        </is>
      </c>
      <c r="G286" s="2" t="inlineStr">
        <is>
          <t>IntegrityRisk</t>
        </is>
      </c>
      <c r="H286" s="2" t="n"/>
      <c r="I286" s="2" t="inlineStr">
        <is>
          <t>E</t>
        </is>
      </c>
      <c r="J286" s="2" t="inlineStr">
        <is>
          <t>E</t>
        </is>
      </c>
      <c r="K286" s="2" t="inlineStr">
        <is>
          <t>I bring it up later when they mess up again, pattern proof.</t>
        </is>
      </c>
      <c r="L286" s="2" t="n">
        <v>7</v>
      </c>
      <c r="M286" s="2" t="n"/>
      <c r="N286" s="2" t="n">
        <v>2</v>
      </c>
      <c r="O286" s="2" t="n">
        <v>2</v>
      </c>
      <c r="P286" s="2" t="n">
        <v>2</v>
      </c>
      <c r="Q286" s="2" t="n"/>
      <c r="R286" s="2" t="n"/>
      <c r="S286" s="2" t="inlineStr">
        <is>
          <t>Scorekeeper</t>
        </is>
      </c>
      <c r="T286" s="2" t="n">
        <v>5</v>
      </c>
      <c r="U286" s="2" t="n">
        <v>8</v>
      </c>
      <c r="V286" s="2" t="inlineStr">
        <is>
          <t>masc:0.0;fem:0.0</t>
        </is>
      </c>
      <c r="W286" s="2" t="n">
        <v>0</v>
      </c>
      <c r="X286" s="2" t="n">
        <v>0</v>
      </c>
      <c r="Y286" s="2" t="n"/>
      <c r="Z286" s="2" t="n"/>
      <c r="AA286" s="2" t="n"/>
      <c r="AB286" s="2" t="n"/>
      <c r="AC286" s="2" t="n"/>
      <c r="AD286" s="2" t="n"/>
      <c r="AE286" s="2" t="n">
        <v>0</v>
      </c>
      <c r="AF286" s="2" t="n"/>
      <c r="AG286" s="2" t="n"/>
      <c r="AH286" s="2" t="n">
        <v>0</v>
      </c>
      <c r="AI286" s="2" t="n"/>
      <c r="AJ286" s="2" t="inlineStr">
        <is>
          <t>no</t>
        </is>
      </c>
      <c r="AK286" s="2" t="inlineStr">
        <is>
          <t>no</t>
        </is>
      </c>
      <c r="AL286" s="2" t="inlineStr">
        <is>
          <t>no</t>
        </is>
      </c>
      <c r="AM286" s="2" t="n"/>
      <c r="AN286" s="2" t="n"/>
      <c r="AO286" s="2" t="n"/>
      <c r="AP286" s="2" t="inlineStr">
        <is>
          <t>v3_2026-03-19</t>
        </is>
      </c>
    </row>
    <row r="287" ht="68.25" customHeight="1" s="10">
      <c r="A287" s="2" t="inlineStr">
        <is>
          <t>Q56_F</t>
        </is>
      </c>
      <c r="B287" s="2" t="n">
        <v>56</v>
      </c>
      <c r="C287" s="2" t="n">
        <v>105</v>
      </c>
      <c r="D287" s="2" t="inlineStr">
        <is>
          <t>Shadow</t>
        </is>
      </c>
      <c r="E287" s="2" t="n">
        <v>1.35</v>
      </c>
      <c r="F287" s="2" t="inlineStr">
        <is>
          <t>ShadowPattern</t>
        </is>
      </c>
      <c r="G287" s="2" t="inlineStr">
        <is>
          <t>IntegrityRisk</t>
        </is>
      </c>
      <c r="H287" s="2" t="n"/>
      <c r="I287" s="2" t="inlineStr">
        <is>
          <t>F</t>
        </is>
      </c>
      <c r="J287" s="2" t="inlineStr">
        <is>
          <t>F</t>
        </is>
      </c>
      <c r="K287" s="2" t="inlineStr">
        <is>
          <t>I wonder if I just wasn't worth remembering.</t>
        </is>
      </c>
      <c r="L287" s="2" t="n">
        <v>8</v>
      </c>
      <c r="M287" s="2" t="n"/>
      <c r="N287" s="2" t="n">
        <v>2</v>
      </c>
      <c r="O287" s="2" t="n">
        <v>2</v>
      </c>
      <c r="P287" s="2" t="n">
        <v>2</v>
      </c>
      <c r="Q287" s="2" t="n"/>
      <c r="R287" s="2" t="n"/>
      <c r="S287" s="2" t="inlineStr">
        <is>
          <t>Self-Saboteur</t>
        </is>
      </c>
      <c r="T287" s="2" t="n">
        <v>6</v>
      </c>
      <c r="U287" s="2" t="n">
        <v>8</v>
      </c>
      <c r="V287" s="2" t="inlineStr">
        <is>
          <t>masc:0.0;fem:0.0</t>
        </is>
      </c>
      <c r="W287" s="2" t="n">
        <v>0</v>
      </c>
      <c r="X287" s="2" t="n">
        <v>0</v>
      </c>
      <c r="Y287" s="2" t="n"/>
      <c r="Z287" s="2" t="n"/>
      <c r="AA287" s="2" t="n"/>
      <c r="AB287" s="2" t="n"/>
      <c r="AC287" s="2" t="n"/>
      <c r="AD287" s="2" t="n"/>
      <c r="AE287" s="2" t="n">
        <v>0</v>
      </c>
      <c r="AF287" s="2" t="n"/>
      <c r="AG287" s="2" t="n"/>
      <c r="AH287" s="2" t="n">
        <v>0</v>
      </c>
      <c r="AI287" s="2" t="n"/>
      <c r="AJ287" s="2" t="inlineStr">
        <is>
          <t>no</t>
        </is>
      </c>
      <c r="AK287" s="2" t="inlineStr">
        <is>
          <t>no</t>
        </is>
      </c>
      <c r="AL287" s="2" t="inlineStr">
        <is>
          <t>no</t>
        </is>
      </c>
      <c r="AM287" s="2" t="n"/>
      <c r="AN287" s="2" t="n"/>
      <c r="AO287" s="2" t="n"/>
      <c r="AP287" s="2" t="inlineStr">
        <is>
          <t>v3_2026-03-19</t>
        </is>
      </c>
    </row>
    <row r="288" ht="108" customHeight="1" s="10">
      <c r="A288" s="2" t="inlineStr">
        <is>
          <t>Q57_A</t>
        </is>
      </c>
      <c r="B288" s="2" t="n">
        <v>57</v>
      </c>
      <c r="C288" s="2" t="n">
        <v>106</v>
      </c>
      <c r="D288" s="2" t="inlineStr">
        <is>
          <t>Shadow</t>
        </is>
      </c>
      <c r="E288" s="2" t="n">
        <v>1.35</v>
      </c>
      <c r="F288" s="2" t="inlineStr">
        <is>
          <t>ShadowPattern</t>
        </is>
      </c>
      <c r="G288" s="2" t="inlineStr">
        <is>
          <t>IntegrityRisk</t>
        </is>
      </c>
      <c r="H288" s="2" t="inlineStr">
        <is>
          <t>You sense someone pulling away, but they haven't said anything. What's your response?</t>
        </is>
      </c>
      <c r="I288" s="2" t="inlineStr">
        <is>
          <t>A</t>
        </is>
      </c>
      <c r="J288" s="2" t="inlineStr">
        <is>
          <t>A</t>
        </is>
      </c>
      <c r="K288" s="2" t="inlineStr">
        <is>
          <t>Drop a dramatic statement or confession to pull them back in emotionally.</t>
        </is>
      </c>
      <c r="L288" s="2" t="n">
        <v>4</v>
      </c>
      <c r="M288" s="2" t="n"/>
      <c r="N288" s="2" t="n">
        <v>4</v>
      </c>
      <c r="O288" s="2" t="n">
        <v>4</v>
      </c>
      <c r="P288" s="2" t="n">
        <v>4</v>
      </c>
      <c r="Q288" s="2" t="n"/>
      <c r="R288" s="2" t="n"/>
      <c r="S288" s="2" t="inlineStr">
        <is>
          <t>Manipulator</t>
        </is>
      </c>
      <c r="T288" s="2" t="n">
        <v>1</v>
      </c>
      <c r="U288" s="2" t="n">
        <v>6</v>
      </c>
      <c r="V288" s="2" t="inlineStr">
        <is>
          <t>masc:0.0;fem:0.0</t>
        </is>
      </c>
      <c r="W288" s="2" t="n">
        <v>0</v>
      </c>
      <c r="X288" s="2" t="n">
        <v>0</v>
      </c>
      <c r="Y288" s="2" t="n"/>
      <c r="Z288" s="2" t="n"/>
      <c r="AA288" s="2" t="n"/>
      <c r="AB288" s="2" t="n"/>
      <c r="AC288" s="2" t="n"/>
      <c r="AD288" s="2" t="n"/>
      <c r="AE288" s="2" t="n">
        <v>0</v>
      </c>
      <c r="AF288" s="2" t="n"/>
      <c r="AG288" s="2" t="n"/>
      <c r="AH288" s="2" t="n">
        <v>0</v>
      </c>
      <c r="AI288" s="2" t="n"/>
      <c r="AJ288" s="2" t="inlineStr">
        <is>
          <t>yes</t>
        </is>
      </c>
      <c r="AK288" s="2" t="inlineStr">
        <is>
          <t>no</t>
        </is>
      </c>
      <c r="AL288" s="2" t="inlineStr">
        <is>
          <t>no</t>
        </is>
      </c>
      <c r="AM288" s="2" t="n"/>
      <c r="AN288" s="2" t="n"/>
      <c r="AO288" s="2" t="n"/>
      <c r="AP288" s="2" t="inlineStr">
        <is>
          <t>v3_2026-03-19</t>
        </is>
      </c>
    </row>
    <row r="289" ht="81" customHeight="1" s="10">
      <c r="A289" s="2" t="inlineStr">
        <is>
          <t>Q57_B</t>
        </is>
      </c>
      <c r="B289" s="2" t="n">
        <v>57</v>
      </c>
      <c r="C289" s="2" t="n">
        <v>106</v>
      </c>
      <c r="D289" s="2" t="inlineStr">
        <is>
          <t>Shadow</t>
        </is>
      </c>
      <c r="E289" s="2" t="n">
        <v>1.35</v>
      </c>
      <c r="F289" s="2" t="inlineStr">
        <is>
          <t>ShadowPattern</t>
        </is>
      </c>
      <c r="G289" s="2" t="inlineStr">
        <is>
          <t>IntegrityRisk</t>
        </is>
      </c>
      <c r="H289" s="2" t="n"/>
      <c r="I289" s="2" t="inlineStr">
        <is>
          <t>B</t>
        </is>
      </c>
      <c r="J289" s="2" t="inlineStr">
        <is>
          <t>B</t>
        </is>
      </c>
      <c r="K289" s="2" t="inlineStr">
        <is>
          <t>Say nothing, but make myself harder to reach. They'll notice eventually.</t>
        </is>
      </c>
      <c r="L289" s="2" t="n">
        <v>3</v>
      </c>
      <c r="M289" s="2" t="n"/>
      <c r="N289" s="2" t="n">
        <v>6</v>
      </c>
      <c r="O289" s="2" t="n">
        <v>6</v>
      </c>
      <c r="P289" s="2" t="n">
        <v>6</v>
      </c>
      <c r="Q289" s="2" t="n"/>
      <c r="R289" s="2" t="n"/>
      <c r="S289" s="2" t="inlineStr">
        <is>
          <t>Stonewaller</t>
        </is>
      </c>
      <c r="T289" s="2" t="n">
        <v>2</v>
      </c>
      <c r="U289" s="2" t="n">
        <v>4</v>
      </c>
      <c r="V289" s="2" t="inlineStr">
        <is>
          <t>masc:0.0;fem:0.0</t>
        </is>
      </c>
      <c r="W289" s="2" t="n">
        <v>0</v>
      </c>
      <c r="X289" s="2" t="n">
        <v>0</v>
      </c>
      <c r="Y289" s="2" t="n"/>
      <c r="Z289" s="2" t="n"/>
      <c r="AA289" s="2" t="n"/>
      <c r="AB289" s="2" t="n"/>
      <c r="AC289" s="2" t="n"/>
      <c r="AD289" s="2" t="n"/>
      <c r="AE289" s="2" t="n">
        <v>0</v>
      </c>
      <c r="AF289" s="2" t="n"/>
      <c r="AG289" s="2" t="n"/>
      <c r="AH289" s="2" t="n">
        <v>0</v>
      </c>
      <c r="AI289" s="2" t="n"/>
      <c r="AJ289" s="2" t="inlineStr">
        <is>
          <t>yes</t>
        </is>
      </c>
      <c r="AK289" s="2" t="inlineStr">
        <is>
          <t>no</t>
        </is>
      </c>
      <c r="AL289" s="2" t="inlineStr">
        <is>
          <t>no</t>
        </is>
      </c>
      <c r="AM289" s="2" t="n"/>
      <c r="AN289" s="2" t="n"/>
      <c r="AO289" s="2" t="n"/>
      <c r="AP289" s="2" t="inlineStr">
        <is>
          <t>v3_2026-03-19</t>
        </is>
      </c>
    </row>
    <row r="290" ht="94.5" customHeight="1" s="10">
      <c r="A290" s="2" t="inlineStr">
        <is>
          <t>Q57_C</t>
        </is>
      </c>
      <c r="B290" s="2" t="n">
        <v>57</v>
      </c>
      <c r="C290" s="2" t="n">
        <v>106</v>
      </c>
      <c r="D290" s="2" t="inlineStr">
        <is>
          <t>Shadow</t>
        </is>
      </c>
      <c r="E290" s="2" t="n">
        <v>1.35</v>
      </c>
      <c r="F290" s="2" t="inlineStr">
        <is>
          <t>ShadowPattern</t>
        </is>
      </c>
      <c r="G290" s="2" t="inlineStr">
        <is>
          <t>IntegrityRisk</t>
        </is>
      </c>
      <c r="H290" s="2" t="n"/>
      <c r="I290" s="2" t="inlineStr">
        <is>
          <t>C</t>
        </is>
      </c>
      <c r="J290" s="2" t="inlineStr">
        <is>
          <t>C</t>
        </is>
      </c>
      <c r="K290" s="2" t="inlineStr">
        <is>
          <t>Text more, call more-prove I'm still here. I get louder when I feel abandoned.</t>
        </is>
      </c>
      <c r="L290" s="2" t="n">
        <v>5</v>
      </c>
      <c r="M290" s="2" t="n"/>
      <c r="N290" s="2" t="n">
        <v>4</v>
      </c>
      <c r="O290" s="2" t="n">
        <v>4</v>
      </c>
      <c r="P290" s="2" t="n">
        <v>4</v>
      </c>
      <c r="Q290" s="2" t="n"/>
      <c r="R290" s="2" t="n"/>
      <c r="S290" s="2" t="inlineStr">
        <is>
          <t>Love Bomber</t>
        </is>
      </c>
      <c r="T290" s="2" t="n">
        <v>3</v>
      </c>
      <c r="U290" s="2" t="n">
        <v>6</v>
      </c>
      <c r="V290" s="2" t="inlineStr">
        <is>
          <t>masc:0.0;fem:0.0</t>
        </is>
      </c>
      <c r="W290" s="2" t="n">
        <v>0</v>
      </c>
      <c r="X290" s="2" t="n">
        <v>0</v>
      </c>
      <c r="Y290" s="2" t="n"/>
      <c r="Z290" s="2" t="n"/>
      <c r="AA290" s="2" t="n"/>
      <c r="AB290" s="2" t="n"/>
      <c r="AC290" s="2" t="n"/>
      <c r="AD290" s="2" t="n"/>
      <c r="AE290" s="2" t="n">
        <v>0</v>
      </c>
      <c r="AF290" s="2" t="n"/>
      <c r="AG290" s="2" t="n"/>
      <c r="AH290" s="2" t="n">
        <v>0</v>
      </c>
      <c r="AI290" s="2" t="n"/>
      <c r="AJ290" s="2" t="inlineStr">
        <is>
          <t>no</t>
        </is>
      </c>
      <c r="AK290" s="2" t="inlineStr">
        <is>
          <t>no</t>
        </is>
      </c>
      <c r="AL290" s="2" t="inlineStr">
        <is>
          <t>no</t>
        </is>
      </c>
      <c r="AM290" s="2" t="n"/>
      <c r="AN290" s="2" t="n"/>
      <c r="AO290" s="2" t="n"/>
      <c r="AP290" s="2" t="inlineStr">
        <is>
          <t>v3_2026-03-19</t>
        </is>
      </c>
    </row>
    <row r="291" ht="68.25" customHeight="1" s="10">
      <c r="A291" s="2" t="inlineStr">
        <is>
          <t>Q57_D</t>
        </is>
      </c>
      <c r="B291" s="2" t="n">
        <v>57</v>
      </c>
      <c r="C291" s="2" t="n">
        <v>106</v>
      </c>
      <c r="D291" s="2" t="inlineStr">
        <is>
          <t>Shadow</t>
        </is>
      </c>
      <c r="E291" s="2" t="n">
        <v>1.35</v>
      </c>
      <c r="F291" s="2" t="inlineStr">
        <is>
          <t>ShadowPattern</t>
        </is>
      </c>
      <c r="G291" s="2" t="inlineStr">
        <is>
          <t>IntegrityRisk</t>
        </is>
      </c>
      <c r="H291" s="2" t="n"/>
      <c r="I291" s="2" t="inlineStr">
        <is>
          <t>D</t>
        </is>
      </c>
      <c r="J291" s="2" t="inlineStr">
        <is>
          <t>D</t>
        </is>
      </c>
      <c r="K291" s="2" t="inlineStr">
        <is>
          <t>Mirror their vibe. If they're cold, I'm cooler. I adjust fast.</t>
        </is>
      </c>
      <c r="L291" s="2" t="n">
        <v>6</v>
      </c>
      <c r="M291" s="2" t="n"/>
      <c r="N291" s="2" t="n">
        <v>4</v>
      </c>
      <c r="O291" s="2" t="n">
        <v>4</v>
      </c>
      <c r="P291" s="2" t="n">
        <v>4</v>
      </c>
      <c r="Q291" s="2" t="n"/>
      <c r="R291" s="2" t="n"/>
      <c r="S291" s="2" t="inlineStr">
        <is>
          <t>Chameleon</t>
        </is>
      </c>
      <c r="T291" s="2" t="n">
        <v>4</v>
      </c>
      <c r="U291" s="2" t="n">
        <v>6</v>
      </c>
      <c r="V291" s="2" t="inlineStr">
        <is>
          <t>masc:0.0;fem:0.0</t>
        </is>
      </c>
      <c r="W291" s="2" t="n">
        <v>0</v>
      </c>
      <c r="X291" s="2" t="n">
        <v>0</v>
      </c>
      <c r="Y291" s="2" t="n"/>
      <c r="Z291" s="2" t="n"/>
      <c r="AA291" s="2" t="n"/>
      <c r="AB291" s="2" t="n"/>
      <c r="AC291" s="2" t="n"/>
      <c r="AD291" s="2" t="n"/>
      <c r="AE291" s="2" t="n">
        <v>0</v>
      </c>
      <c r="AF291" s="2" t="n"/>
      <c r="AG291" s="2" t="n"/>
      <c r="AH291" s="2" t="n">
        <v>0.6</v>
      </c>
      <c r="AI291" s="2" t="n"/>
      <c r="AJ291" s="2" t="inlineStr">
        <is>
          <t>no</t>
        </is>
      </c>
      <c r="AK291" s="2" t="inlineStr">
        <is>
          <t>no</t>
        </is>
      </c>
      <c r="AL291" s="2" t="inlineStr">
        <is>
          <t>no</t>
        </is>
      </c>
      <c r="AM291" s="2" t="n"/>
      <c r="AN291" s="2" t="n"/>
      <c r="AO291" s="2" t="n"/>
      <c r="AP291" s="2" t="inlineStr">
        <is>
          <t>v3_2026-03-19</t>
        </is>
      </c>
    </row>
    <row r="292" ht="94.5" customHeight="1" s="10">
      <c r="A292" s="2" t="inlineStr">
        <is>
          <t>Q57_E</t>
        </is>
      </c>
      <c r="B292" s="2" t="n">
        <v>57</v>
      </c>
      <c r="C292" s="2" t="n">
        <v>106</v>
      </c>
      <c r="D292" s="2" t="inlineStr">
        <is>
          <t>Shadow</t>
        </is>
      </c>
      <c r="E292" s="2" t="n">
        <v>1.35</v>
      </c>
      <c r="F292" s="2" t="inlineStr">
        <is>
          <t>ShadowPattern</t>
        </is>
      </c>
      <c r="G292" s="2" t="inlineStr">
        <is>
          <t>IntegrityRisk</t>
        </is>
      </c>
      <c r="H292" s="2" t="n"/>
      <c r="I292" s="2" t="inlineStr">
        <is>
          <t>E</t>
        </is>
      </c>
      <c r="J292" s="2" t="inlineStr">
        <is>
          <t>E</t>
        </is>
      </c>
      <c r="K292" s="2" t="inlineStr">
        <is>
          <t>Bring up everything I've done for them-then ask why they're acting different.</t>
        </is>
      </c>
      <c r="L292" s="2" t="n">
        <v>7</v>
      </c>
      <c r="M292" s="2" t="n"/>
      <c r="N292" s="2" t="n">
        <v>2</v>
      </c>
      <c r="O292" s="2" t="n">
        <v>2</v>
      </c>
      <c r="P292" s="2" t="n">
        <v>2</v>
      </c>
      <c r="Q292" s="2" t="n"/>
      <c r="R292" s="2" t="n"/>
      <c r="S292" s="2" t="inlineStr">
        <is>
          <t>Scorekeeper</t>
        </is>
      </c>
      <c r="T292" s="2" t="n">
        <v>5</v>
      </c>
      <c r="U292" s="2" t="n">
        <v>8</v>
      </c>
      <c r="V292" s="2" t="inlineStr">
        <is>
          <t>masc:0.0;fem:0.0</t>
        </is>
      </c>
      <c r="W292" s="2" t="n">
        <v>0</v>
      </c>
      <c r="X292" s="2" t="n">
        <v>0</v>
      </c>
      <c r="Y292" s="2" t="n"/>
      <c r="Z292" s="2" t="n"/>
      <c r="AA292" s="2" t="n"/>
      <c r="AB292" s="2" t="n"/>
      <c r="AC292" s="2" t="n"/>
      <c r="AD292" s="2" t="n"/>
      <c r="AE292" s="2" t="n">
        <v>0</v>
      </c>
      <c r="AF292" s="2" t="n"/>
      <c r="AG292" s="2" t="n"/>
      <c r="AH292" s="2" t="n">
        <v>0</v>
      </c>
      <c r="AI292" s="2" t="n"/>
      <c r="AJ292" s="2" t="inlineStr">
        <is>
          <t>no</t>
        </is>
      </c>
      <c r="AK292" s="2" t="inlineStr">
        <is>
          <t>no</t>
        </is>
      </c>
      <c r="AL292" s="2" t="inlineStr">
        <is>
          <t>no</t>
        </is>
      </c>
      <c r="AM292" s="2" t="n"/>
      <c r="AN292" s="2" t="n"/>
      <c r="AO292" s="2" t="n"/>
      <c r="AP292" s="2" t="inlineStr">
        <is>
          <t>v3_2026-03-19</t>
        </is>
      </c>
    </row>
    <row r="293" ht="81" customHeight="1" s="10">
      <c r="A293" s="2" t="inlineStr">
        <is>
          <t>Q57_F</t>
        </is>
      </c>
      <c r="B293" s="2" t="n">
        <v>57</v>
      </c>
      <c r="C293" s="2" t="n">
        <v>106</v>
      </c>
      <c r="D293" s="2" t="inlineStr">
        <is>
          <t>Shadow</t>
        </is>
      </c>
      <c r="E293" s="2" t="n">
        <v>1.35</v>
      </c>
      <c r="F293" s="2" t="inlineStr">
        <is>
          <t>ShadowPattern</t>
        </is>
      </c>
      <c r="G293" s="2" t="inlineStr">
        <is>
          <t>IntegrityRisk</t>
        </is>
      </c>
      <c r="H293" s="2" t="n"/>
      <c r="I293" s="2" t="inlineStr">
        <is>
          <t>F</t>
        </is>
      </c>
      <c r="J293" s="2" t="inlineStr">
        <is>
          <t>F</t>
        </is>
      </c>
      <c r="K293" s="2" t="inlineStr">
        <is>
          <t>Assume I did something wrong, and start pulling away before they do.</t>
        </is>
      </c>
      <c r="L293" s="2" t="n">
        <v>8</v>
      </c>
      <c r="M293" s="2" t="n"/>
      <c r="N293" s="2" t="n">
        <v>2</v>
      </c>
      <c r="O293" s="2" t="n">
        <v>2</v>
      </c>
      <c r="P293" s="2" t="n">
        <v>2</v>
      </c>
      <c r="Q293" s="2" t="n"/>
      <c r="R293" s="2" t="n"/>
      <c r="S293" s="2" t="inlineStr">
        <is>
          <t>Self-Saboteur</t>
        </is>
      </c>
      <c r="T293" s="2" t="n">
        <v>6</v>
      </c>
      <c r="U293" s="2" t="n">
        <v>8</v>
      </c>
      <c r="V293" s="2" t="inlineStr">
        <is>
          <t>masc:0.0;fem:0.0</t>
        </is>
      </c>
      <c r="W293" s="2" t="n">
        <v>0</v>
      </c>
      <c r="X293" s="2" t="n">
        <v>0</v>
      </c>
      <c r="Y293" s="2" t="n"/>
      <c r="Z293" s="2" t="n"/>
      <c r="AA293" s="2" t="n"/>
      <c r="AB293" s="2" t="n"/>
      <c r="AC293" s="2" t="n"/>
      <c r="AD293" s="2" t="n"/>
      <c r="AE293" s="2" t="n">
        <v>0</v>
      </c>
      <c r="AF293" s="2" t="n"/>
      <c r="AG293" s="2" t="n"/>
      <c r="AH293" s="2" t="n">
        <v>0</v>
      </c>
      <c r="AI293" s="2" t="n"/>
      <c r="AJ293" s="2" t="inlineStr">
        <is>
          <t>no</t>
        </is>
      </c>
      <c r="AK293" s="2" t="inlineStr">
        <is>
          <t>no</t>
        </is>
      </c>
      <c r="AL293" s="2" t="inlineStr">
        <is>
          <t>no</t>
        </is>
      </c>
      <c r="AM293" s="2" t="n"/>
      <c r="AN293" s="2" t="n"/>
      <c r="AO293" s="2" t="n"/>
      <c r="AP293" s="2" t="inlineStr">
        <is>
          <t>v3_2026-03-19</t>
        </is>
      </c>
    </row>
    <row r="294" ht="81" customHeight="1" s="10">
      <c r="A294" s="2" t="inlineStr">
        <is>
          <t>Q58_A</t>
        </is>
      </c>
      <c r="B294" s="2" t="n">
        <v>58</v>
      </c>
      <c r="C294" s="2" t="n">
        <v>107</v>
      </c>
      <c r="D294" s="2" t="inlineStr">
        <is>
          <t>Shadow</t>
        </is>
      </c>
      <c r="E294" s="2" t="n">
        <v>1.35</v>
      </c>
      <c r="F294" s="2" t="inlineStr">
        <is>
          <t>ShadowPattern</t>
        </is>
      </c>
      <c r="G294" s="2" t="inlineStr">
        <is>
          <t>IntegrityRisk</t>
        </is>
      </c>
      <c r="H294" s="2" t="inlineStr">
        <is>
          <t>You mess up-hurt someone or break a small trust. How do you usually handle it?</t>
        </is>
      </c>
      <c r="I294" s="2" t="inlineStr">
        <is>
          <t>A</t>
        </is>
      </c>
      <c r="J294" s="2" t="inlineStr">
        <is>
          <t>A</t>
        </is>
      </c>
      <c r="K294" s="2" t="inlineStr">
        <is>
          <t>Apologize in a way that makes them feel bad for making me feel bad.</t>
        </is>
      </c>
      <c r="L294" s="2" t="n">
        <v>4</v>
      </c>
      <c r="M294" s="2" t="n"/>
      <c r="N294" s="2" t="n">
        <v>4</v>
      </c>
      <c r="O294" s="2" t="n">
        <v>4</v>
      </c>
      <c r="P294" s="2" t="n">
        <v>4</v>
      </c>
      <c r="Q294" s="2" t="n"/>
      <c r="R294" s="2" t="n"/>
      <c r="S294" s="2" t="inlineStr">
        <is>
          <t>Manipulator</t>
        </is>
      </c>
      <c r="T294" s="2" t="n">
        <v>1</v>
      </c>
      <c r="U294" s="2" t="n">
        <v>6</v>
      </c>
      <c r="V294" s="2" t="inlineStr">
        <is>
          <t>masc:0.0;fem:0.0</t>
        </is>
      </c>
      <c r="W294" s="2" t="n">
        <v>0</v>
      </c>
      <c r="X294" s="2" t="n">
        <v>0</v>
      </c>
      <c r="Y294" s="2" t="n"/>
      <c r="Z294" s="2" t="n"/>
      <c r="AA294" s="2" t="n"/>
      <c r="AB294" s="2" t="n"/>
      <c r="AC294" s="2" t="n"/>
      <c r="AD294" s="2" t="n"/>
      <c r="AE294" s="2" t="n">
        <v>0</v>
      </c>
      <c r="AF294" s="2" t="n"/>
      <c r="AG294" s="2" t="n"/>
      <c r="AH294" s="2" t="n">
        <v>0</v>
      </c>
      <c r="AI294" s="2" t="n"/>
      <c r="AJ294" s="2" t="inlineStr">
        <is>
          <t>yes</t>
        </is>
      </c>
      <c r="AK294" s="2" t="inlineStr">
        <is>
          <t>no</t>
        </is>
      </c>
      <c r="AL294" s="2" t="inlineStr">
        <is>
          <t>no</t>
        </is>
      </c>
      <c r="AM294" s="2" t="n"/>
      <c r="AN294" s="2" t="n"/>
      <c r="AO294" s="2" t="n"/>
      <c r="AP294" s="2" t="inlineStr">
        <is>
          <t>v3_2026-03-19</t>
        </is>
      </c>
    </row>
    <row r="295" ht="54.75" customHeight="1" s="10">
      <c r="A295" s="2" t="inlineStr">
        <is>
          <t>Q58_B</t>
        </is>
      </c>
      <c r="B295" s="2" t="n">
        <v>58</v>
      </c>
      <c r="C295" s="2" t="n">
        <v>107</v>
      </c>
      <c r="D295" s="2" t="inlineStr">
        <is>
          <t>Shadow</t>
        </is>
      </c>
      <c r="E295" s="2" t="n">
        <v>1.35</v>
      </c>
      <c r="F295" s="2" t="inlineStr">
        <is>
          <t>ShadowPattern</t>
        </is>
      </c>
      <c r="G295" s="2" t="inlineStr">
        <is>
          <t>IntegrityRisk</t>
        </is>
      </c>
      <c r="H295" s="2" t="n"/>
      <c r="I295" s="2" t="inlineStr">
        <is>
          <t>B</t>
        </is>
      </c>
      <c r="J295" s="2" t="inlineStr">
        <is>
          <t>B</t>
        </is>
      </c>
      <c r="K295" s="2" t="inlineStr">
        <is>
          <t>Say nothing. If they bring it up, I'll deal with it then.</t>
        </is>
      </c>
      <c r="L295" s="2" t="n">
        <v>3</v>
      </c>
      <c r="M295" s="2" t="n"/>
      <c r="N295" s="2" t="n">
        <v>6</v>
      </c>
      <c r="O295" s="2" t="n">
        <v>6</v>
      </c>
      <c r="P295" s="2" t="n">
        <v>6</v>
      </c>
      <c r="Q295" s="2" t="n"/>
      <c r="R295" s="2" t="n"/>
      <c r="S295" s="2" t="inlineStr">
        <is>
          <t>Stonewaller</t>
        </is>
      </c>
      <c r="T295" s="2" t="n">
        <v>2</v>
      </c>
      <c r="U295" s="2" t="n">
        <v>4</v>
      </c>
      <c r="V295" s="2" t="inlineStr">
        <is>
          <t>masc:0.0;fem:0.0</t>
        </is>
      </c>
      <c r="W295" s="2" t="n">
        <v>0</v>
      </c>
      <c r="X295" s="2" t="n">
        <v>0</v>
      </c>
      <c r="Y295" s="2" t="n"/>
      <c r="Z295" s="2" t="n"/>
      <c r="AA295" s="2" t="n"/>
      <c r="AB295" s="2" t="n"/>
      <c r="AC295" s="2" t="n"/>
      <c r="AD295" s="2" t="n"/>
      <c r="AE295" s="2" t="n">
        <v>0</v>
      </c>
      <c r="AF295" s="2" t="n"/>
      <c r="AG295" s="2" t="n"/>
      <c r="AH295" s="2" t="n">
        <v>0</v>
      </c>
      <c r="AI295" s="2" t="n"/>
      <c r="AJ295" s="2" t="inlineStr">
        <is>
          <t>yes</t>
        </is>
      </c>
      <c r="AK295" s="2" t="inlineStr">
        <is>
          <t>no</t>
        </is>
      </c>
      <c r="AL295" s="2" t="inlineStr">
        <is>
          <t>no</t>
        </is>
      </c>
      <c r="AM295" s="2" t="n"/>
      <c r="AN295" s="2" t="n"/>
      <c r="AO295" s="2" t="n"/>
      <c r="AP295" s="2" t="inlineStr">
        <is>
          <t>v3_2026-03-19</t>
        </is>
      </c>
    </row>
    <row r="296" ht="94.5" customHeight="1" s="10">
      <c r="A296" s="2" t="inlineStr">
        <is>
          <t>Q58_C</t>
        </is>
      </c>
      <c r="B296" s="2" t="n">
        <v>58</v>
      </c>
      <c r="C296" s="2" t="n">
        <v>107</v>
      </c>
      <c r="D296" s="2" t="inlineStr">
        <is>
          <t>Shadow</t>
        </is>
      </c>
      <c r="E296" s="2" t="n">
        <v>1.35</v>
      </c>
      <c r="F296" s="2" t="inlineStr">
        <is>
          <t>ShadowPattern</t>
        </is>
      </c>
      <c r="G296" s="2" t="inlineStr">
        <is>
          <t>IntegrityRisk</t>
        </is>
      </c>
      <c r="H296" s="2" t="n"/>
      <c r="I296" s="2" t="inlineStr">
        <is>
          <t>C</t>
        </is>
      </c>
      <c r="J296" s="2" t="inlineStr">
        <is>
          <t>C</t>
        </is>
      </c>
      <c r="K296" s="2" t="inlineStr">
        <is>
          <t>Over-apologize, promise the world, and hope they feel how much I care.</t>
        </is>
      </c>
      <c r="L296" s="2" t="n">
        <v>5</v>
      </c>
      <c r="M296" s="2" t="n"/>
      <c r="N296" s="2" t="n">
        <v>4</v>
      </c>
      <c r="O296" s="2" t="n">
        <v>4</v>
      </c>
      <c r="P296" s="2" t="n">
        <v>4</v>
      </c>
      <c r="Q296" s="2" t="n"/>
      <c r="R296" s="2" t="n"/>
      <c r="S296" s="2" t="inlineStr">
        <is>
          <t>Love Bomber</t>
        </is>
      </c>
      <c r="T296" s="2" t="n">
        <v>3</v>
      </c>
      <c r="U296" s="2" t="n">
        <v>6</v>
      </c>
      <c r="V296" s="2" t="inlineStr">
        <is>
          <t>masc:0.0;fem:0.0</t>
        </is>
      </c>
      <c r="W296" s="2" t="n">
        <v>0</v>
      </c>
      <c r="X296" s="2" t="n">
        <v>0</v>
      </c>
      <c r="Y296" s="2" t="n"/>
      <c r="Z296" s="2" t="n"/>
      <c r="AA296" s="2" t="n"/>
      <c r="AB296" s="2" t="n"/>
      <c r="AC296" s="2" t="n"/>
      <c r="AD296" s="2" t="n"/>
      <c r="AE296" s="2" t="n">
        <v>0</v>
      </c>
      <c r="AF296" s="2" t="n"/>
      <c r="AG296" s="2" t="n"/>
      <c r="AH296" s="2" t="n">
        <v>0</v>
      </c>
      <c r="AI296" s="2" t="n"/>
      <c r="AJ296" s="2" t="inlineStr">
        <is>
          <t>no</t>
        </is>
      </c>
      <c r="AK296" s="2" t="inlineStr">
        <is>
          <t>no</t>
        </is>
      </c>
      <c r="AL296" s="2" t="inlineStr">
        <is>
          <t>no</t>
        </is>
      </c>
      <c r="AM296" s="2" t="n"/>
      <c r="AN296" s="2" t="n"/>
      <c r="AO296" s="2" t="n"/>
      <c r="AP296" s="2" t="inlineStr">
        <is>
          <t>v3_2026-03-19</t>
        </is>
      </c>
    </row>
    <row r="297" ht="94.5" customHeight="1" s="10">
      <c r="A297" s="2" t="inlineStr">
        <is>
          <t>Q58_D</t>
        </is>
      </c>
      <c r="B297" s="2" t="n">
        <v>58</v>
      </c>
      <c r="C297" s="2" t="n">
        <v>107</v>
      </c>
      <c r="D297" s="2" t="inlineStr">
        <is>
          <t>Shadow</t>
        </is>
      </c>
      <c r="E297" s="2" t="n">
        <v>1.35</v>
      </c>
      <c r="F297" s="2" t="inlineStr">
        <is>
          <t>ShadowPattern</t>
        </is>
      </c>
      <c r="G297" s="2" t="inlineStr">
        <is>
          <t>IntegrityRisk</t>
        </is>
      </c>
      <c r="H297" s="2" t="n"/>
      <c r="I297" s="2" t="inlineStr">
        <is>
          <t>D</t>
        </is>
      </c>
      <c r="J297" s="2" t="inlineStr">
        <is>
          <t>D</t>
        </is>
      </c>
      <c r="K297" s="2" t="inlineStr">
        <is>
          <t>Spin it into a joke or self-deprecating moment. Make it lighter than it feels.</t>
        </is>
      </c>
      <c r="L297" s="2" t="n">
        <v>6</v>
      </c>
      <c r="M297" s="2" t="n"/>
      <c r="N297" s="2" t="n">
        <v>4</v>
      </c>
      <c r="O297" s="2" t="n">
        <v>4</v>
      </c>
      <c r="P297" s="2" t="n">
        <v>4</v>
      </c>
      <c r="Q297" s="2" t="n"/>
      <c r="R297" s="2" t="n"/>
      <c r="S297" s="2" t="inlineStr">
        <is>
          <t>Chameleon</t>
        </is>
      </c>
      <c r="T297" s="2" t="n">
        <v>4</v>
      </c>
      <c r="U297" s="2" t="n">
        <v>6</v>
      </c>
      <c r="V297" s="2" t="inlineStr">
        <is>
          <t>masc:0.0;fem:0.0</t>
        </is>
      </c>
      <c r="W297" s="2" t="n">
        <v>0</v>
      </c>
      <c r="X297" s="2" t="n">
        <v>0</v>
      </c>
      <c r="Y297" s="2" t="n"/>
      <c r="Z297" s="2" t="n"/>
      <c r="AA297" s="2" t="n"/>
      <c r="AB297" s="2" t="n"/>
      <c r="AC297" s="2" t="n"/>
      <c r="AD297" s="2" t="n"/>
      <c r="AE297" s="2" t="n">
        <v>0</v>
      </c>
      <c r="AF297" s="2" t="n"/>
      <c r="AG297" s="2" t="n"/>
      <c r="AH297" s="2" t="n">
        <v>0</v>
      </c>
      <c r="AI297" s="2" t="n"/>
      <c r="AJ297" s="2" t="inlineStr">
        <is>
          <t>no</t>
        </is>
      </c>
      <c r="AK297" s="2" t="inlineStr">
        <is>
          <t>no</t>
        </is>
      </c>
      <c r="AL297" s="2" t="inlineStr">
        <is>
          <t>no</t>
        </is>
      </c>
      <c r="AM297" s="2" t="n"/>
      <c r="AN297" s="2" t="n"/>
      <c r="AO297" s="2" t="n"/>
      <c r="AP297" s="2" t="inlineStr">
        <is>
          <t>v3_2026-03-19</t>
        </is>
      </c>
    </row>
    <row r="298" ht="108" customHeight="1" s="10">
      <c r="A298" s="2" t="inlineStr">
        <is>
          <t>Q58_E</t>
        </is>
      </c>
      <c r="B298" s="2" t="n">
        <v>58</v>
      </c>
      <c r="C298" s="2" t="n">
        <v>107</v>
      </c>
      <c r="D298" s="2" t="inlineStr">
        <is>
          <t>Shadow</t>
        </is>
      </c>
      <c r="E298" s="2" t="n">
        <v>1.35</v>
      </c>
      <c r="F298" s="2" t="inlineStr">
        <is>
          <t>ShadowPattern</t>
        </is>
      </c>
      <c r="G298" s="2" t="inlineStr">
        <is>
          <t>IntegrityRisk</t>
        </is>
      </c>
      <c r="H298" s="2" t="n"/>
      <c r="I298" s="2" t="inlineStr">
        <is>
          <t>E</t>
        </is>
      </c>
      <c r="J298" s="2" t="inlineStr">
        <is>
          <t>E</t>
        </is>
      </c>
      <c r="K298" s="2" t="inlineStr">
        <is>
          <t>Remind them of how good I usually am. This one thing shouldn't weigh more than all I've given.</t>
        </is>
      </c>
      <c r="L298" s="2" t="n">
        <v>7</v>
      </c>
      <c r="M298" s="2" t="n"/>
      <c r="N298" s="2" t="n">
        <v>2</v>
      </c>
      <c r="O298" s="2" t="n">
        <v>2</v>
      </c>
      <c r="P298" s="2" t="n">
        <v>2</v>
      </c>
      <c r="Q298" s="2" t="n"/>
      <c r="R298" s="2" t="n"/>
      <c r="S298" s="2" t="inlineStr">
        <is>
          <t>Scorekeeper</t>
        </is>
      </c>
      <c r="T298" s="2" t="n">
        <v>5</v>
      </c>
      <c r="U298" s="2" t="n">
        <v>8</v>
      </c>
      <c r="V298" s="2" t="inlineStr">
        <is>
          <t>masc:0.0;fem:0.0</t>
        </is>
      </c>
      <c r="W298" s="2" t="n">
        <v>0</v>
      </c>
      <c r="X298" s="2" t="n">
        <v>0</v>
      </c>
      <c r="Y298" s="2" t="n"/>
      <c r="Z298" s="2" t="n"/>
      <c r="AA298" s="2" t="n"/>
      <c r="AB298" s="2" t="n"/>
      <c r="AC298" s="2" t="n"/>
      <c r="AD298" s="2" t="n"/>
      <c r="AE298" s="2" t="n">
        <v>0</v>
      </c>
      <c r="AF298" s="2" t="n"/>
      <c r="AG298" s="2" t="n"/>
      <c r="AH298" s="2" t="n">
        <v>0</v>
      </c>
      <c r="AI298" s="2" t="n"/>
      <c r="AJ298" s="2" t="inlineStr">
        <is>
          <t>no</t>
        </is>
      </c>
      <c r="AK298" s="2" t="inlineStr">
        <is>
          <t>no</t>
        </is>
      </c>
      <c r="AL298" s="2" t="inlineStr">
        <is>
          <t>no</t>
        </is>
      </c>
      <c r="AM298" s="2" t="n"/>
      <c r="AN298" s="2" t="n"/>
      <c r="AO298" s="2" t="n"/>
      <c r="AP298" s="2" t="inlineStr">
        <is>
          <t>v3_2026-03-19</t>
        </is>
      </c>
    </row>
    <row r="299" ht="108" customHeight="1" s="10">
      <c r="A299" s="2" t="inlineStr">
        <is>
          <t>Q58_F</t>
        </is>
      </c>
      <c r="B299" s="2" t="n">
        <v>58</v>
      </c>
      <c r="C299" s="2" t="n">
        <v>107</v>
      </c>
      <c r="D299" s="2" t="inlineStr">
        <is>
          <t>Shadow</t>
        </is>
      </c>
      <c r="E299" s="2" t="n">
        <v>1.35</v>
      </c>
      <c r="F299" s="2" t="inlineStr">
        <is>
          <t>ShadowPattern</t>
        </is>
      </c>
      <c r="G299" s="2" t="inlineStr">
        <is>
          <t>IntegrityRisk</t>
        </is>
      </c>
      <c r="H299" s="2" t="n"/>
      <c r="I299" s="2" t="inlineStr">
        <is>
          <t>F</t>
        </is>
      </c>
      <c r="J299" s="2" t="inlineStr">
        <is>
          <t>F</t>
        </is>
      </c>
      <c r="K299" s="2" t="inlineStr">
        <is>
          <t>Replay it in my head a hundred times, then decide they're better off without me.</t>
        </is>
      </c>
      <c r="L299" s="2" t="n">
        <v>8</v>
      </c>
      <c r="M299" s="2" t="n"/>
      <c r="N299" s="2" t="n">
        <v>2</v>
      </c>
      <c r="O299" s="2" t="n">
        <v>2</v>
      </c>
      <c r="P299" s="2" t="n">
        <v>2</v>
      </c>
      <c r="Q299" s="2" t="n"/>
      <c r="R299" s="2" t="n"/>
      <c r="S299" s="2" t="inlineStr">
        <is>
          <t>Self-Saboteur</t>
        </is>
      </c>
      <c r="T299" s="2" t="n">
        <v>6</v>
      </c>
      <c r="U299" s="2" t="n">
        <v>8</v>
      </c>
      <c r="V299" s="2" t="inlineStr">
        <is>
          <t>masc:0.0;fem:0.0</t>
        </is>
      </c>
      <c r="W299" s="2" t="n">
        <v>0</v>
      </c>
      <c r="X299" s="2" t="n">
        <v>0</v>
      </c>
      <c r="Y299" s="2" t="n"/>
      <c r="Z299" s="2" t="n"/>
      <c r="AA299" s="2" t="n"/>
      <c r="AB299" s="2" t="n"/>
      <c r="AC299" s="2" t="n"/>
      <c r="AD299" s="2" t="n"/>
      <c r="AE299" s="2" t="n">
        <v>0</v>
      </c>
      <c r="AF299" s="2" t="n"/>
      <c r="AG299" s="2" t="n"/>
      <c r="AH299" s="2" t="n">
        <v>0</v>
      </c>
      <c r="AI299" s="2" t="n"/>
      <c r="AJ299" s="2" t="inlineStr">
        <is>
          <t>no</t>
        </is>
      </c>
      <c r="AK299" s="2" t="inlineStr">
        <is>
          <t>no</t>
        </is>
      </c>
      <c r="AL299" s="2" t="inlineStr">
        <is>
          <t>no</t>
        </is>
      </c>
      <c r="AM299" s="2" t="n"/>
      <c r="AN299" s="2" t="n"/>
      <c r="AO299" s="2" t="n"/>
      <c r="AP299" s="2" t="inlineStr">
        <is>
          <t>v3_2026-03-19</t>
        </is>
      </c>
    </row>
    <row r="300" ht="94.5" customHeight="1" s="10">
      <c r="A300" s="2" t="inlineStr">
        <is>
          <t>Q59_A</t>
        </is>
      </c>
      <c r="B300" s="2" t="n">
        <v>59</v>
      </c>
      <c r="C300" s="2" t="n">
        <v>108</v>
      </c>
      <c r="D300" s="2" t="inlineStr">
        <is>
          <t>Shadow</t>
        </is>
      </c>
      <c r="E300" s="2" t="n">
        <v>1.4</v>
      </c>
      <c r="F300" s="2" t="inlineStr">
        <is>
          <t>ShadowPattern</t>
        </is>
      </c>
      <c r="G300" s="2" t="inlineStr">
        <is>
          <t>IntegrityRisk</t>
        </is>
      </c>
      <c r="H300" s="2" t="inlineStr">
        <is>
          <t>You're in a fight. It's heated, and you feel unseen. What comes out?</t>
        </is>
      </c>
      <c r="I300" s="2" t="inlineStr">
        <is>
          <t>A</t>
        </is>
      </c>
      <c r="J300" s="2" t="inlineStr">
        <is>
          <t>A</t>
        </is>
      </c>
      <c r="K300" s="2" t="inlineStr">
        <is>
          <t>Say something sharp that'll stick with them. They should feel what I feel.</t>
        </is>
      </c>
      <c r="L300" s="2" t="n">
        <v>4</v>
      </c>
      <c r="M300" s="2" t="n"/>
      <c r="N300" s="2" t="n">
        <v>4</v>
      </c>
      <c r="O300" s="2" t="n">
        <v>4</v>
      </c>
      <c r="P300" s="2" t="n">
        <v>4</v>
      </c>
      <c r="Q300" s="2" t="n"/>
      <c r="R300" s="2" t="n"/>
      <c r="S300" s="2" t="inlineStr">
        <is>
          <t>Manipulator</t>
        </is>
      </c>
      <c r="T300" s="2" t="n">
        <v>1</v>
      </c>
      <c r="U300" s="2" t="n">
        <v>6</v>
      </c>
      <c r="V300" s="2" t="inlineStr">
        <is>
          <t>masc:0.0;fem:0.0</t>
        </is>
      </c>
      <c r="W300" s="2" t="n">
        <v>0</v>
      </c>
      <c r="X300" s="2" t="n">
        <v>0</v>
      </c>
      <c r="Y300" s="2" t="n"/>
      <c r="Z300" s="2" t="n"/>
      <c r="AA300" s="2" t="n"/>
      <c r="AB300" s="2" t="n"/>
      <c r="AC300" s="2" t="n"/>
      <c r="AD300" s="2" t="n"/>
      <c r="AE300" s="2" t="n">
        <v>0</v>
      </c>
      <c r="AF300" s="2" t="n"/>
      <c r="AG300" s="2" t="n"/>
      <c r="AH300" s="2" t="n">
        <v>0</v>
      </c>
      <c r="AI300" s="2" t="n"/>
      <c r="AJ300" s="2" t="inlineStr">
        <is>
          <t>yes</t>
        </is>
      </c>
      <c r="AK300" s="2" t="inlineStr">
        <is>
          <t>no</t>
        </is>
      </c>
      <c r="AL300" s="2" t="inlineStr">
        <is>
          <t>no</t>
        </is>
      </c>
      <c r="AM300" s="2" t="n"/>
      <c r="AN300" s="2" t="n"/>
      <c r="AO300" s="2" t="n"/>
      <c r="AP300" s="2" t="inlineStr">
        <is>
          <t>v3_2026-03-19</t>
        </is>
      </c>
    </row>
    <row r="301" ht="68.25" customHeight="1" s="10">
      <c r="A301" s="2" t="inlineStr">
        <is>
          <t>Q59_B</t>
        </is>
      </c>
      <c r="B301" s="2" t="n">
        <v>59</v>
      </c>
      <c r="C301" s="2" t="n">
        <v>108</v>
      </c>
      <c r="D301" s="2" t="inlineStr">
        <is>
          <t>Shadow</t>
        </is>
      </c>
      <c r="E301" s="2" t="n">
        <v>1.4</v>
      </c>
      <c r="F301" s="2" t="inlineStr">
        <is>
          <t>ShadowPattern</t>
        </is>
      </c>
      <c r="G301" s="2" t="inlineStr">
        <is>
          <t>IntegrityRisk</t>
        </is>
      </c>
      <c r="H301" s="2" t="n"/>
      <c r="I301" s="2" t="inlineStr">
        <is>
          <t>B</t>
        </is>
      </c>
      <c r="J301" s="2" t="inlineStr">
        <is>
          <t>B</t>
        </is>
      </c>
      <c r="K301" s="2" t="inlineStr">
        <is>
          <t>Shut down completely. I won't give them more to twist.</t>
        </is>
      </c>
      <c r="L301" s="2" t="n">
        <v>3</v>
      </c>
      <c r="M301" s="2" t="n"/>
      <c r="N301" s="2" t="n">
        <v>6</v>
      </c>
      <c r="O301" s="2" t="n">
        <v>6</v>
      </c>
      <c r="P301" s="2" t="n">
        <v>6</v>
      </c>
      <c r="Q301" s="2" t="n"/>
      <c r="R301" s="2" t="n"/>
      <c r="S301" s="2" t="inlineStr">
        <is>
          <t>Stonewaller</t>
        </is>
      </c>
      <c r="T301" s="2" t="n">
        <v>2</v>
      </c>
      <c r="U301" s="2" t="n">
        <v>4</v>
      </c>
      <c r="V301" s="2" t="inlineStr">
        <is>
          <t>masc:0.0;fem:0.0</t>
        </is>
      </c>
      <c r="W301" s="2" t="n">
        <v>0</v>
      </c>
      <c r="X301" s="2" t="n">
        <v>0</v>
      </c>
      <c r="Y301" s="2" t="n"/>
      <c r="Z301" s="2" t="n"/>
      <c r="AA301" s="2" t="n"/>
      <c r="AB301" s="2" t="n"/>
      <c r="AC301" s="2" t="n"/>
      <c r="AD301" s="2" t="n"/>
      <c r="AE301" s="2" t="n">
        <v>0</v>
      </c>
      <c r="AF301" s="2" t="n"/>
      <c r="AG301" s="2" t="n"/>
      <c r="AH301" s="2" t="n">
        <v>0</v>
      </c>
      <c r="AI301" s="2" t="n"/>
      <c r="AJ301" s="2" t="inlineStr">
        <is>
          <t>yes</t>
        </is>
      </c>
      <c r="AK301" s="2" t="inlineStr">
        <is>
          <t>no</t>
        </is>
      </c>
      <c r="AL301" s="2" t="inlineStr">
        <is>
          <t>no</t>
        </is>
      </c>
      <c r="AM301" s="2" t="n"/>
      <c r="AN301" s="2" t="n"/>
      <c r="AO301" s="2" t="n"/>
      <c r="AP301" s="2" t="inlineStr">
        <is>
          <t>v3_2026-03-19</t>
        </is>
      </c>
    </row>
    <row r="302" ht="81" customHeight="1" s="10">
      <c r="A302" s="2" t="inlineStr">
        <is>
          <t>Q59_C</t>
        </is>
      </c>
      <c r="B302" s="2" t="n">
        <v>59</v>
      </c>
      <c r="C302" s="2" t="n">
        <v>108</v>
      </c>
      <c r="D302" s="2" t="inlineStr">
        <is>
          <t>Shadow</t>
        </is>
      </c>
      <c r="E302" s="2" t="n">
        <v>1.4</v>
      </c>
      <c r="F302" s="2" t="inlineStr">
        <is>
          <t>ShadowPattern</t>
        </is>
      </c>
      <c r="G302" s="2" t="inlineStr">
        <is>
          <t>IntegrityRisk</t>
        </is>
      </c>
      <c r="H302" s="2" t="n"/>
      <c r="I302" s="2" t="inlineStr">
        <is>
          <t>C</t>
        </is>
      </c>
      <c r="J302" s="2" t="inlineStr">
        <is>
          <t>C</t>
        </is>
      </c>
      <c r="K302" s="2" t="inlineStr">
        <is>
          <t>Beg, cry, confess everything, I just want them to see me.</t>
        </is>
      </c>
      <c r="L302" s="2" t="n">
        <v>5</v>
      </c>
      <c r="M302" s="2" t="n"/>
      <c r="N302" s="2" t="n">
        <v>4</v>
      </c>
      <c r="O302" s="2" t="n">
        <v>4</v>
      </c>
      <c r="P302" s="2" t="n">
        <v>4</v>
      </c>
      <c r="Q302" s="2" t="n"/>
      <c r="R302" s="2" t="n"/>
      <c r="S302" s="2" t="inlineStr">
        <is>
          <t>Love Bomber</t>
        </is>
      </c>
      <c r="T302" s="2" t="n">
        <v>3</v>
      </c>
      <c r="U302" s="2" t="n">
        <v>6</v>
      </c>
      <c r="V302" s="2" t="inlineStr">
        <is>
          <t>masc:0.0;fem:0.0</t>
        </is>
      </c>
      <c r="W302" s="2" t="n">
        <v>0</v>
      </c>
      <c r="X302" s="2" t="n">
        <v>0</v>
      </c>
      <c r="Y302" s="2" t="n"/>
      <c r="Z302" s="2" t="n"/>
      <c r="AA302" s="2" t="n"/>
      <c r="AB302" s="2" t="n"/>
      <c r="AC302" s="2" t="n"/>
      <c r="AD302" s="2" t="n"/>
      <c r="AE302" s="2" t="n">
        <v>0</v>
      </c>
      <c r="AF302" s="2" t="n"/>
      <c r="AG302" s="2" t="n"/>
      <c r="AH302" s="2" t="n">
        <v>0</v>
      </c>
      <c r="AI302" s="2" t="n"/>
      <c r="AJ302" s="2" t="inlineStr">
        <is>
          <t>no</t>
        </is>
      </c>
      <c r="AK302" s="2" t="inlineStr">
        <is>
          <t>no</t>
        </is>
      </c>
      <c r="AL302" s="2" t="inlineStr">
        <is>
          <t>no</t>
        </is>
      </c>
      <c r="AM302" s="2" t="n"/>
      <c r="AN302" s="2" t="n"/>
      <c r="AO302" s="2" t="n"/>
      <c r="AP302" s="2" t="inlineStr">
        <is>
          <t>v3_2026-03-19</t>
        </is>
      </c>
    </row>
    <row r="303" ht="94.5" customHeight="1" s="10">
      <c r="A303" s="2" t="inlineStr">
        <is>
          <t>Q59_D</t>
        </is>
      </c>
      <c r="B303" s="2" t="n">
        <v>59</v>
      </c>
      <c r="C303" s="2" t="n">
        <v>108</v>
      </c>
      <c r="D303" s="2" t="inlineStr">
        <is>
          <t>Shadow</t>
        </is>
      </c>
      <c r="E303" s="2" t="n">
        <v>1.4</v>
      </c>
      <c r="F303" s="2" t="inlineStr">
        <is>
          <t>ShadowPattern</t>
        </is>
      </c>
      <c r="G303" s="2" t="inlineStr">
        <is>
          <t>IntegrityRisk</t>
        </is>
      </c>
      <c r="H303" s="2" t="n"/>
      <c r="I303" s="2" t="inlineStr">
        <is>
          <t>D</t>
        </is>
      </c>
      <c r="J303" s="2" t="inlineStr">
        <is>
          <t>D</t>
        </is>
      </c>
      <c r="K303" s="2" t="inlineStr">
        <is>
          <t>Switch tones, change energy, find a way to make it stop, without fixing it.</t>
        </is>
      </c>
      <c r="L303" s="2" t="n">
        <v>6</v>
      </c>
      <c r="M303" s="2" t="n"/>
      <c r="N303" s="2" t="n">
        <v>4</v>
      </c>
      <c r="O303" s="2" t="n">
        <v>4</v>
      </c>
      <c r="P303" s="2" t="n">
        <v>4</v>
      </c>
      <c r="Q303" s="2" t="n"/>
      <c r="R303" s="2" t="n"/>
      <c r="S303" s="2" t="inlineStr">
        <is>
          <t>Chameleon</t>
        </is>
      </c>
      <c r="T303" s="2" t="n">
        <v>4</v>
      </c>
      <c r="U303" s="2" t="n">
        <v>6</v>
      </c>
      <c r="V303" s="2" t="inlineStr">
        <is>
          <t>masc:0.0;fem:0.0</t>
        </is>
      </c>
      <c r="W303" s="2" t="n">
        <v>0</v>
      </c>
      <c r="X303" s="2" t="n">
        <v>0</v>
      </c>
      <c r="Y303" s="2" t="n"/>
      <c r="Z303" s="2" t="n"/>
      <c r="AA303" s="2" t="n"/>
      <c r="AB303" s="2" t="n"/>
      <c r="AC303" s="2" t="n"/>
      <c r="AD303" s="2" t="n"/>
      <c r="AE303" s="2" t="n">
        <v>0</v>
      </c>
      <c r="AF303" s="2" t="n"/>
      <c r="AG303" s="2" t="n"/>
      <c r="AH303" s="2" t="n">
        <v>0</v>
      </c>
      <c r="AI303" s="2" t="n"/>
      <c r="AJ303" s="2" t="inlineStr">
        <is>
          <t>no</t>
        </is>
      </c>
      <c r="AK303" s="2" t="inlineStr">
        <is>
          <t>no</t>
        </is>
      </c>
      <c r="AL303" s="2" t="inlineStr">
        <is>
          <t>no</t>
        </is>
      </c>
      <c r="AM303" s="2" t="n"/>
      <c r="AN303" s="2" t="n"/>
      <c r="AO303" s="2" t="n"/>
      <c r="AP303" s="2" t="inlineStr">
        <is>
          <t>v3_2026-03-19</t>
        </is>
      </c>
    </row>
    <row r="304" ht="81" customHeight="1" s="10">
      <c r="A304" s="2" t="inlineStr">
        <is>
          <t>Q59_E</t>
        </is>
      </c>
      <c r="B304" s="2" t="n">
        <v>59</v>
      </c>
      <c r="C304" s="2" t="n">
        <v>108</v>
      </c>
      <c r="D304" s="2" t="inlineStr">
        <is>
          <t>Shadow</t>
        </is>
      </c>
      <c r="E304" s="2" t="n">
        <v>1.4</v>
      </c>
      <c r="F304" s="2" t="inlineStr">
        <is>
          <t>ShadowPattern</t>
        </is>
      </c>
      <c r="G304" s="2" t="inlineStr">
        <is>
          <t>IntegrityRisk</t>
        </is>
      </c>
      <c r="H304" s="2" t="n"/>
      <c r="I304" s="2" t="inlineStr">
        <is>
          <t>E</t>
        </is>
      </c>
      <c r="J304" s="2" t="inlineStr">
        <is>
          <t>E</t>
        </is>
      </c>
      <c r="K304" s="2" t="inlineStr">
        <is>
          <t>Bring up all the other times they've done this. It's never just about now.</t>
        </is>
      </c>
      <c r="L304" s="2" t="n">
        <v>7</v>
      </c>
      <c r="M304" s="2" t="n"/>
      <c r="N304" s="2" t="n">
        <v>2</v>
      </c>
      <c r="O304" s="2" t="n">
        <v>2</v>
      </c>
      <c r="P304" s="2" t="n">
        <v>2</v>
      </c>
      <c r="Q304" s="2" t="n"/>
      <c r="R304" s="2" t="n"/>
      <c r="S304" s="2" t="inlineStr">
        <is>
          <t>Scorekeeper</t>
        </is>
      </c>
      <c r="T304" s="2" t="n">
        <v>5</v>
      </c>
      <c r="U304" s="2" t="n">
        <v>8</v>
      </c>
      <c r="V304" s="2" t="inlineStr">
        <is>
          <t>masc:0.0;fem:0.0</t>
        </is>
      </c>
      <c r="W304" s="2" t="n">
        <v>0</v>
      </c>
      <c r="X304" s="2" t="n">
        <v>0</v>
      </c>
      <c r="Y304" s="2" t="n"/>
      <c r="Z304" s="2" t="n"/>
      <c r="AA304" s="2" t="n"/>
      <c r="AB304" s="2" t="n"/>
      <c r="AC304" s="2" t="n"/>
      <c r="AD304" s="2" t="n"/>
      <c r="AE304" s="2" t="n">
        <v>0</v>
      </c>
      <c r="AF304" s="2" t="n"/>
      <c r="AG304" s="2" t="n"/>
      <c r="AH304" s="2" t="n">
        <v>0</v>
      </c>
      <c r="AI304" s="2" t="n"/>
      <c r="AJ304" s="2" t="inlineStr">
        <is>
          <t>no</t>
        </is>
      </c>
      <c r="AK304" s="2" t="inlineStr">
        <is>
          <t>no</t>
        </is>
      </c>
      <c r="AL304" s="2" t="inlineStr">
        <is>
          <t>no</t>
        </is>
      </c>
      <c r="AM304" s="2" t="n"/>
      <c r="AN304" s="2" t="n"/>
      <c r="AO304" s="2" t="n"/>
      <c r="AP304" s="2" t="inlineStr">
        <is>
          <t>v3_2026-03-19</t>
        </is>
      </c>
    </row>
    <row r="305" ht="68.25" customHeight="1" s="10">
      <c r="A305" s="2" t="inlineStr">
        <is>
          <t>Q59_F</t>
        </is>
      </c>
      <c r="B305" s="2" t="n">
        <v>59</v>
      </c>
      <c r="C305" s="2" t="n">
        <v>108</v>
      </c>
      <c r="D305" s="2" t="inlineStr">
        <is>
          <t>Shadow</t>
        </is>
      </c>
      <c r="E305" s="2" t="n">
        <v>1.4</v>
      </c>
      <c r="F305" s="2" t="inlineStr">
        <is>
          <t>ShadowPattern</t>
        </is>
      </c>
      <c r="G305" s="2" t="inlineStr">
        <is>
          <t>IntegrityRisk</t>
        </is>
      </c>
      <c r="H305" s="2" t="n"/>
      <c r="I305" s="2" t="inlineStr">
        <is>
          <t>F</t>
        </is>
      </c>
      <c r="J305" s="2" t="inlineStr">
        <is>
          <t>F</t>
        </is>
      </c>
      <c r="K305" s="2" t="inlineStr">
        <is>
          <t>Tell myself I was wrong for speaking up in the first place.</t>
        </is>
      </c>
      <c r="L305" s="2" t="n">
        <v>8</v>
      </c>
      <c r="M305" s="2" t="n"/>
      <c r="N305" s="2" t="n">
        <v>2</v>
      </c>
      <c r="O305" s="2" t="n">
        <v>2</v>
      </c>
      <c r="P305" s="2" t="n">
        <v>2</v>
      </c>
      <c r="Q305" s="2" t="n"/>
      <c r="R305" s="2" t="n"/>
      <c r="S305" s="2" t="inlineStr">
        <is>
          <t>Self-Saboteur</t>
        </is>
      </c>
      <c r="T305" s="2" t="n">
        <v>6</v>
      </c>
      <c r="U305" s="2" t="n">
        <v>8</v>
      </c>
      <c r="V305" s="2" t="inlineStr">
        <is>
          <t>masc:0.0;fem:0.0</t>
        </is>
      </c>
      <c r="W305" s="2" t="n">
        <v>0</v>
      </c>
      <c r="X305" s="2" t="n">
        <v>0</v>
      </c>
      <c r="Y305" s="2" t="n"/>
      <c r="Z305" s="2" t="n"/>
      <c r="AA305" s="2" t="n"/>
      <c r="AB305" s="2" t="n"/>
      <c r="AC305" s="2" t="n"/>
      <c r="AD305" s="2" t="n"/>
      <c r="AE305" s="2" t="n">
        <v>0</v>
      </c>
      <c r="AF305" s="2" t="n"/>
      <c r="AG305" s="2" t="n"/>
      <c r="AH305" s="2" t="n">
        <v>0</v>
      </c>
      <c r="AI305" s="2" t="n"/>
      <c r="AJ305" s="2" t="inlineStr">
        <is>
          <t>no</t>
        </is>
      </c>
      <c r="AK305" s="2" t="inlineStr">
        <is>
          <t>no</t>
        </is>
      </c>
      <c r="AL305" s="2" t="inlineStr">
        <is>
          <t>no</t>
        </is>
      </c>
      <c r="AM305" s="2" t="n"/>
      <c r="AN305" s="2" t="n"/>
      <c r="AO305" s="2" t="n"/>
      <c r="AP305" s="2" t="inlineStr">
        <is>
          <t>v3_2026-03-19</t>
        </is>
      </c>
    </row>
    <row r="306" ht="108" customHeight="1" s="10">
      <c r="A306" s="2" t="inlineStr">
        <is>
          <t>Q60_A</t>
        </is>
      </c>
      <c r="B306" s="2" t="n">
        <v>60</v>
      </c>
      <c r="C306" s="2" t="n">
        <v>109</v>
      </c>
      <c r="D306" s="2" t="inlineStr">
        <is>
          <t>Shadow</t>
        </is>
      </c>
      <c r="E306" s="2" t="n">
        <v>1.4</v>
      </c>
      <c r="F306" s="2" t="inlineStr">
        <is>
          <t>ShadowPattern</t>
        </is>
      </c>
      <c r="G306" s="2" t="inlineStr">
        <is>
          <t>IntegrityRisk</t>
        </is>
      </c>
      <c r="H306" s="2" t="inlineStr">
        <is>
          <t>You feel something deeply but aren't sure if they'll understand. What do you do?</t>
        </is>
      </c>
      <c r="I306" s="2" t="inlineStr">
        <is>
          <t>A</t>
        </is>
      </c>
      <c r="J306" s="2" t="inlineStr">
        <is>
          <t>A</t>
        </is>
      </c>
      <c r="K306" s="2" t="inlineStr">
        <is>
          <t>Say it in a way that makes them feel guilty if they don't respond how I want.</t>
        </is>
      </c>
      <c r="L306" s="2" t="n">
        <v>4</v>
      </c>
      <c r="M306" s="2" t="n"/>
      <c r="N306" s="2" t="n">
        <v>4</v>
      </c>
      <c r="O306" s="2" t="n">
        <v>4</v>
      </c>
      <c r="P306" s="2" t="n">
        <v>4</v>
      </c>
      <c r="Q306" s="2" t="n"/>
      <c r="R306" s="2" t="n"/>
      <c r="S306" s="2" t="inlineStr">
        <is>
          <t>Manipulator</t>
        </is>
      </c>
      <c r="T306" s="2" t="n">
        <v>1</v>
      </c>
      <c r="U306" s="2" t="n">
        <v>6</v>
      </c>
      <c r="V306" s="2" t="inlineStr">
        <is>
          <t>masc:0.0;fem:0.0</t>
        </is>
      </c>
      <c r="W306" s="2" t="n">
        <v>0</v>
      </c>
      <c r="X306" s="2" t="n">
        <v>0</v>
      </c>
      <c r="Y306" s="2" t="n"/>
      <c r="Z306" s="2" t="n"/>
      <c r="AA306" s="2" t="n"/>
      <c r="AB306" s="2" t="n"/>
      <c r="AC306" s="2" t="n"/>
      <c r="AD306" s="2" t="n"/>
      <c r="AE306" s="2" t="n">
        <v>0</v>
      </c>
      <c r="AF306" s="2" t="n"/>
      <c r="AG306" s="2" t="n"/>
      <c r="AH306" s="2" t="n">
        <v>0.6</v>
      </c>
      <c r="AI306" s="2" t="n"/>
      <c r="AJ306" s="2" t="inlineStr">
        <is>
          <t>yes</t>
        </is>
      </c>
      <c r="AK306" s="2" t="inlineStr">
        <is>
          <t>no</t>
        </is>
      </c>
      <c r="AL306" s="2" t="inlineStr">
        <is>
          <t>no</t>
        </is>
      </c>
      <c r="AM306" s="2" t="n"/>
      <c r="AN306" s="2" t="n"/>
      <c r="AO306" s="2" t="n"/>
      <c r="AP306" s="2" t="inlineStr">
        <is>
          <t>v3_2026-03-19</t>
        </is>
      </c>
    </row>
    <row r="307" ht="81" customHeight="1" s="10">
      <c r="A307" s="2" t="inlineStr">
        <is>
          <t>Q60_B</t>
        </is>
      </c>
      <c r="B307" s="2" t="n">
        <v>60</v>
      </c>
      <c r="C307" s="2" t="n">
        <v>109</v>
      </c>
      <c r="D307" s="2" t="inlineStr">
        <is>
          <t>Shadow</t>
        </is>
      </c>
      <c r="E307" s="2" t="n">
        <v>1.4</v>
      </c>
      <c r="F307" s="2" t="inlineStr">
        <is>
          <t>ShadowPattern</t>
        </is>
      </c>
      <c r="G307" s="2" t="inlineStr">
        <is>
          <t>IntegrityRisk</t>
        </is>
      </c>
      <c r="H307" s="2" t="n"/>
      <c r="I307" s="2" t="inlineStr">
        <is>
          <t>B</t>
        </is>
      </c>
      <c r="J307" s="2" t="inlineStr">
        <is>
          <t>B</t>
        </is>
      </c>
      <c r="K307" s="2" t="inlineStr">
        <is>
          <t>Keep it in. If I say it and it's not received right, I'll never say it again</t>
        </is>
      </c>
      <c r="L307" s="2" t="n">
        <v>3</v>
      </c>
      <c r="M307" s="2" t="n"/>
      <c r="N307" s="2" t="n">
        <v>6</v>
      </c>
      <c r="O307" s="2" t="n">
        <v>6</v>
      </c>
      <c r="P307" s="2" t="n">
        <v>6</v>
      </c>
      <c r="Q307" s="2" t="n"/>
      <c r="R307" s="2" t="n"/>
      <c r="S307" s="2" t="inlineStr">
        <is>
          <t>Stonewaller</t>
        </is>
      </c>
      <c r="T307" s="2" t="n">
        <v>2</v>
      </c>
      <c r="U307" s="2" t="n">
        <v>4</v>
      </c>
      <c r="V307" s="2" t="inlineStr">
        <is>
          <t>masc:0.0;fem:0.0</t>
        </is>
      </c>
      <c r="W307" s="2" t="n">
        <v>0</v>
      </c>
      <c r="X307" s="2" t="n">
        <v>0</v>
      </c>
      <c r="Y307" s="2" t="n"/>
      <c r="Z307" s="2" t="n"/>
      <c r="AA307" s="2" t="n"/>
      <c r="AB307" s="2" t="n"/>
      <c r="AC307" s="2" t="n"/>
      <c r="AD307" s="2" t="n"/>
      <c r="AE307" s="2" t="n">
        <v>0</v>
      </c>
      <c r="AF307" s="2" t="n"/>
      <c r="AG307" s="2" t="n"/>
      <c r="AH307" s="2" t="n">
        <v>0</v>
      </c>
      <c r="AI307" s="2" t="n"/>
      <c r="AJ307" s="2" t="inlineStr">
        <is>
          <t>yes</t>
        </is>
      </c>
      <c r="AK307" s="2" t="inlineStr">
        <is>
          <t>no</t>
        </is>
      </c>
      <c r="AL307" s="2" t="inlineStr">
        <is>
          <t>no</t>
        </is>
      </c>
      <c r="AM307" s="2" t="n"/>
      <c r="AN307" s="2" t="n"/>
      <c r="AO307" s="2" t="n"/>
      <c r="AP307" s="2" t="inlineStr">
        <is>
          <t>v3_2026-03-19</t>
        </is>
      </c>
    </row>
    <row r="308" ht="94.5" customHeight="1" s="10">
      <c r="A308" s="2" t="inlineStr">
        <is>
          <t>Q60_C</t>
        </is>
      </c>
      <c r="B308" s="2" t="n">
        <v>60</v>
      </c>
      <c r="C308" s="2" t="n">
        <v>109</v>
      </c>
      <c r="D308" s="2" t="inlineStr">
        <is>
          <t>Shadow</t>
        </is>
      </c>
      <c r="E308" s="2" t="n">
        <v>1.4</v>
      </c>
      <c r="F308" s="2" t="inlineStr">
        <is>
          <t>ShadowPattern</t>
        </is>
      </c>
      <c r="G308" s="2" t="inlineStr">
        <is>
          <t>IntegrityRisk</t>
        </is>
      </c>
      <c r="H308" s="2" t="n"/>
      <c r="I308" s="2" t="inlineStr">
        <is>
          <t>C</t>
        </is>
      </c>
      <c r="J308" s="2" t="inlineStr">
        <is>
          <t>C</t>
        </is>
      </c>
      <c r="K308" s="2" t="inlineStr">
        <is>
          <t>Say it big and fast, love, dreams, everything. I want it all out there before I lose my nerve</t>
        </is>
      </c>
      <c r="L308" s="2" t="n">
        <v>5</v>
      </c>
      <c r="M308" s="2" t="n"/>
      <c r="N308" s="2" t="n">
        <v>4</v>
      </c>
      <c r="O308" s="2" t="n">
        <v>4</v>
      </c>
      <c r="P308" s="2" t="n">
        <v>4</v>
      </c>
      <c r="Q308" s="2" t="n"/>
      <c r="R308" s="2" t="n"/>
      <c r="S308" s="2" t="inlineStr">
        <is>
          <t>Love Bomber</t>
        </is>
      </c>
      <c r="T308" s="2" t="n">
        <v>3</v>
      </c>
      <c r="U308" s="2" t="n">
        <v>6</v>
      </c>
      <c r="V308" s="2" t="inlineStr">
        <is>
          <t>masc:0.0;fem:0.0</t>
        </is>
      </c>
      <c r="W308" s="2" t="n">
        <v>0</v>
      </c>
      <c r="X308" s="2" t="n">
        <v>0</v>
      </c>
      <c r="Y308" s="2" t="n"/>
      <c r="Z308" s="2" t="n"/>
      <c r="AA308" s="2" t="n"/>
      <c r="AB308" s="2" t="n"/>
      <c r="AC308" s="2" t="n"/>
      <c r="AD308" s="2" t="n"/>
      <c r="AE308" s="2" t="n">
        <v>0</v>
      </c>
      <c r="AF308" s="2" t="n"/>
      <c r="AG308" s="2" t="n"/>
      <c r="AH308" s="2" t="n">
        <v>0</v>
      </c>
      <c r="AI308" s="2" t="n"/>
      <c r="AJ308" s="2" t="inlineStr">
        <is>
          <t>no</t>
        </is>
      </c>
      <c r="AK308" s="2" t="inlineStr">
        <is>
          <t>no</t>
        </is>
      </c>
      <c r="AL308" s="2" t="inlineStr">
        <is>
          <t>no</t>
        </is>
      </c>
      <c r="AM308" s="2" t="n"/>
      <c r="AN308" s="2" t="n"/>
      <c r="AO308" s="2" t="n"/>
      <c r="AP308" s="2" t="inlineStr">
        <is>
          <t>v3_2026-03-19</t>
        </is>
      </c>
    </row>
    <row r="309" ht="94.5" customHeight="1" s="10">
      <c r="A309" s="2" t="inlineStr">
        <is>
          <t>Q60_D</t>
        </is>
      </c>
      <c r="B309" s="2" t="n">
        <v>60</v>
      </c>
      <c r="C309" s="2" t="n">
        <v>109</v>
      </c>
      <c r="D309" s="2" t="inlineStr">
        <is>
          <t>Shadow</t>
        </is>
      </c>
      <c r="E309" s="2" t="n">
        <v>1.4</v>
      </c>
      <c r="F309" s="2" t="inlineStr">
        <is>
          <t>ShadowPattern</t>
        </is>
      </c>
      <c r="G309" s="2" t="inlineStr">
        <is>
          <t>IntegrityRisk</t>
        </is>
      </c>
      <c r="H309" s="2" t="n"/>
      <c r="I309" s="2" t="inlineStr">
        <is>
          <t>D</t>
        </is>
      </c>
      <c r="J309" s="2" t="inlineStr">
        <is>
          <t>D</t>
        </is>
      </c>
      <c r="K309" s="2" t="inlineStr">
        <is>
          <t>Shift tone, play it off, hint at it. If they're paying attention, they'll get it.</t>
        </is>
      </c>
      <c r="L309" s="2" t="n">
        <v>6</v>
      </c>
      <c r="M309" s="2" t="n"/>
      <c r="N309" s="2" t="n">
        <v>4</v>
      </c>
      <c r="O309" s="2" t="n">
        <v>4</v>
      </c>
      <c r="P309" s="2" t="n">
        <v>4</v>
      </c>
      <c r="Q309" s="2" t="n"/>
      <c r="R309" s="2" t="n"/>
      <c r="S309" s="2" t="inlineStr">
        <is>
          <t>Chameleon</t>
        </is>
      </c>
      <c r="T309" s="2" t="n">
        <v>4</v>
      </c>
      <c r="U309" s="2" t="n">
        <v>6</v>
      </c>
      <c r="V309" s="2" t="inlineStr">
        <is>
          <t>masc:0.0;fem:0.0</t>
        </is>
      </c>
      <c r="W309" s="2" t="n">
        <v>0</v>
      </c>
      <c r="X309" s="2" t="n">
        <v>0</v>
      </c>
      <c r="Y309" s="2" t="n"/>
      <c r="Z309" s="2" t="n"/>
      <c r="AA309" s="2" t="n"/>
      <c r="AB309" s="2" t="n"/>
      <c r="AC309" s="2" t="n"/>
      <c r="AD309" s="2" t="n"/>
      <c r="AE309" s="2" t="n">
        <v>0</v>
      </c>
      <c r="AF309" s="2" t="n"/>
      <c r="AG309" s="2" t="n"/>
      <c r="AH309" s="2" t="n">
        <v>0</v>
      </c>
      <c r="AI309" s="2" t="n"/>
      <c r="AJ309" s="2" t="inlineStr">
        <is>
          <t>no</t>
        </is>
      </c>
      <c r="AK309" s="2" t="inlineStr">
        <is>
          <t>no</t>
        </is>
      </c>
      <c r="AL309" s="2" t="inlineStr">
        <is>
          <t>no</t>
        </is>
      </c>
      <c r="AM309" s="2" t="n"/>
      <c r="AN309" s="2" t="n"/>
      <c r="AO309" s="2" t="n"/>
      <c r="AP309" s="2" t="inlineStr">
        <is>
          <t>v3_2026-03-19</t>
        </is>
      </c>
    </row>
    <row r="310" ht="108" customHeight="1" s="10">
      <c r="A310" s="2" t="inlineStr">
        <is>
          <t>Q60_E</t>
        </is>
      </c>
      <c r="B310" s="2" t="n">
        <v>60</v>
      </c>
      <c r="C310" s="2" t="n">
        <v>109</v>
      </c>
      <c r="D310" s="2" t="inlineStr">
        <is>
          <t>Shadow</t>
        </is>
      </c>
      <c r="E310" s="2" t="n">
        <v>1.4</v>
      </c>
      <c r="F310" s="2" t="inlineStr">
        <is>
          <t>ShadowPattern</t>
        </is>
      </c>
      <c r="G310" s="2" t="inlineStr">
        <is>
          <t>IntegrityRisk</t>
        </is>
      </c>
      <c r="H310" s="2" t="n"/>
      <c r="I310" s="2" t="inlineStr">
        <is>
          <t>E</t>
        </is>
      </c>
      <c r="J310" s="2" t="inlineStr">
        <is>
          <t>E</t>
        </is>
      </c>
      <c r="K310" s="2" t="inlineStr">
        <is>
          <t>Test them. I'll bring up something emotional they did and watch how they handle it.</t>
        </is>
      </c>
      <c r="L310" s="2" t="n">
        <v>7</v>
      </c>
      <c r="M310" s="2" t="n"/>
      <c r="N310" s="2" t="n">
        <v>2</v>
      </c>
      <c r="O310" s="2" t="n">
        <v>2</v>
      </c>
      <c r="P310" s="2" t="n">
        <v>2</v>
      </c>
      <c r="Q310" s="2" t="n"/>
      <c r="R310" s="2" t="n"/>
      <c r="S310" s="2" t="inlineStr">
        <is>
          <t>Scorekeeper</t>
        </is>
      </c>
      <c r="T310" s="2" t="n">
        <v>5</v>
      </c>
      <c r="U310" s="2" t="n">
        <v>8</v>
      </c>
      <c r="V310" s="2" t="inlineStr">
        <is>
          <t>masc:0.0;fem:0.0</t>
        </is>
      </c>
      <c r="W310" s="2" t="n">
        <v>0</v>
      </c>
      <c r="X310" s="2" t="n">
        <v>0</v>
      </c>
      <c r="Y310" s="2" t="n"/>
      <c r="Z310" s="2" t="n"/>
      <c r="AA310" s="2" t="n"/>
      <c r="AB310" s="2" t="n"/>
      <c r="AC310" s="2" t="n"/>
      <c r="AD310" s="2" t="n"/>
      <c r="AE310" s="2" t="n">
        <v>0</v>
      </c>
      <c r="AF310" s="2" t="n"/>
      <c r="AG310" s="2" t="n"/>
      <c r="AH310" s="2" t="n">
        <v>0.6</v>
      </c>
      <c r="AI310" s="2" t="n"/>
      <c r="AJ310" s="2" t="inlineStr">
        <is>
          <t>no</t>
        </is>
      </c>
      <c r="AK310" s="2" t="inlineStr">
        <is>
          <t>no</t>
        </is>
      </c>
      <c r="AL310" s="2" t="inlineStr">
        <is>
          <t>no</t>
        </is>
      </c>
      <c r="AM310" s="2" t="n"/>
      <c r="AN310" s="2" t="n"/>
      <c r="AO310" s="2" t="n"/>
      <c r="AP310" s="2" t="inlineStr">
        <is>
          <t>v3_2026-03-19</t>
        </is>
      </c>
    </row>
    <row r="311" ht="94.5" customHeight="1" s="10">
      <c r="A311" s="2" t="inlineStr">
        <is>
          <t>Q60_F</t>
        </is>
      </c>
      <c r="B311" s="2" t="n">
        <v>60</v>
      </c>
      <c r="C311" s="2" t="n">
        <v>109</v>
      </c>
      <c r="D311" s="2" t="inlineStr">
        <is>
          <t>Shadow</t>
        </is>
      </c>
      <c r="E311" s="2" t="n">
        <v>1.4</v>
      </c>
      <c r="F311" s="2" t="inlineStr">
        <is>
          <t>ShadowPattern</t>
        </is>
      </c>
      <c r="G311" s="2" t="inlineStr">
        <is>
          <t>IntegrityRisk</t>
        </is>
      </c>
      <c r="H311" s="2" t="n"/>
      <c r="I311" s="2" t="inlineStr">
        <is>
          <t>F</t>
        </is>
      </c>
      <c r="J311" s="2" t="inlineStr">
        <is>
          <t>F</t>
        </is>
      </c>
      <c r="K311" s="2" t="inlineStr">
        <is>
          <t>Assume they won't get it... and quietly start distancing to protect myself.</t>
        </is>
      </c>
      <c r="L311" s="2" t="n">
        <v>8</v>
      </c>
      <c r="M311" s="2" t="n"/>
      <c r="N311" s="2" t="n">
        <v>2</v>
      </c>
      <c r="O311" s="2" t="n">
        <v>2</v>
      </c>
      <c r="P311" s="2" t="n">
        <v>2</v>
      </c>
      <c r="Q311" s="2" t="n"/>
      <c r="R311" s="2" t="n"/>
      <c r="S311" s="2" t="inlineStr">
        <is>
          <t>Self-Saboteur</t>
        </is>
      </c>
      <c r="T311" s="2" t="n">
        <v>6</v>
      </c>
      <c r="U311" s="2" t="n">
        <v>8</v>
      </c>
      <c r="V311" s="2" t="inlineStr">
        <is>
          <t>masc:0.0;fem:0.0</t>
        </is>
      </c>
      <c r="W311" s="2" t="n">
        <v>0</v>
      </c>
      <c r="X311" s="2" t="n">
        <v>0</v>
      </c>
      <c r="Y311" s="2" t="n"/>
      <c r="Z311" s="2" t="n"/>
      <c r="AA311" s="2" t="n"/>
      <c r="AB311" s="2" t="n"/>
      <c r="AC311" s="2" t="n"/>
      <c r="AD311" s="2" t="n"/>
      <c r="AE311" s="2" t="n">
        <v>0</v>
      </c>
      <c r="AF311" s="2" t="n"/>
      <c r="AG311" s="2" t="n"/>
      <c r="AH311" s="2" t="n">
        <v>0</v>
      </c>
      <c r="AI311" s="2" t="n"/>
      <c r="AJ311" s="2" t="inlineStr">
        <is>
          <t>no</t>
        </is>
      </c>
      <c r="AK311" s="2" t="inlineStr">
        <is>
          <t>no</t>
        </is>
      </c>
      <c r="AL311" s="2" t="inlineStr">
        <is>
          <t>no</t>
        </is>
      </c>
      <c r="AM311" s="2" t="n"/>
      <c r="AN311" s="2" t="n"/>
      <c r="AO311" s="2" t="n"/>
      <c r="AP311" s="2" t="inlineStr">
        <is>
          <t>v3_2026-03-19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style="10" min="1" max="2"/>
    <col width="15.73828125" customWidth="1" style="10" min="3" max="3"/>
  </cols>
  <sheetData>
    <row r="1" ht="27.75" customHeight="1" s="10">
      <c r="A1" s="1" t="inlineStr">
        <is>
          <t>q</t>
        </is>
      </c>
      <c r="B1" s="1" t="inlineStr">
        <is>
          <t>phase</t>
        </is>
      </c>
      <c r="C1" s="1" t="inlineStr">
        <is>
          <t>question_weight</t>
        </is>
      </c>
    </row>
    <row r="2">
      <c r="A2" s="2" t="n">
        <v>1</v>
      </c>
      <c r="B2" s="2" t="inlineStr">
        <is>
          <t>Core</t>
        </is>
      </c>
      <c r="C2" s="2" t="n">
        <v>1</v>
      </c>
    </row>
    <row r="3">
      <c r="A3" s="2" t="n">
        <v>2</v>
      </c>
      <c r="B3" s="2" t="inlineStr">
        <is>
          <t>Core</t>
        </is>
      </c>
      <c r="C3" s="2" t="n">
        <v>1</v>
      </c>
    </row>
    <row r="4">
      <c r="A4" s="2" t="n">
        <v>3</v>
      </c>
      <c r="B4" s="2" t="inlineStr">
        <is>
          <t>Core</t>
        </is>
      </c>
      <c r="C4" s="2" t="n">
        <v>1</v>
      </c>
    </row>
    <row r="5">
      <c r="A5" s="2" t="n">
        <v>4</v>
      </c>
      <c r="B5" s="2" t="inlineStr">
        <is>
          <t>Core</t>
        </is>
      </c>
      <c r="C5" s="2" t="n">
        <v>1</v>
      </c>
    </row>
    <row r="6">
      <c r="A6" s="2" t="n">
        <v>5</v>
      </c>
      <c r="B6" s="2" t="inlineStr">
        <is>
          <t>Core</t>
        </is>
      </c>
      <c r="C6" s="2" t="n">
        <v>1</v>
      </c>
    </row>
    <row r="7">
      <c r="A7" s="2" t="n">
        <v>6</v>
      </c>
      <c r="B7" s="2" t="inlineStr">
        <is>
          <t>Core</t>
        </is>
      </c>
      <c r="C7" s="2" t="n">
        <v>1</v>
      </c>
    </row>
    <row r="8">
      <c r="A8" s="2" t="n">
        <v>7</v>
      </c>
      <c r="B8" s="2" t="inlineStr">
        <is>
          <t>Core</t>
        </is>
      </c>
      <c r="C8" s="2" t="n">
        <v>1</v>
      </c>
    </row>
    <row r="9">
      <c r="A9" s="2" t="n">
        <v>8</v>
      </c>
      <c r="B9" s="2" t="inlineStr">
        <is>
          <t>Core</t>
        </is>
      </c>
      <c r="C9" s="2" t="n">
        <v>1</v>
      </c>
    </row>
    <row r="10">
      <c r="A10" s="2" t="n">
        <v>9</v>
      </c>
      <c r="B10" s="2" t="inlineStr">
        <is>
          <t>Core</t>
        </is>
      </c>
      <c r="C10" s="2" t="n">
        <v>1.05</v>
      </c>
    </row>
    <row r="11">
      <c r="A11" s="2" t="n">
        <v>10</v>
      </c>
      <c r="B11" s="2" t="inlineStr">
        <is>
          <t>Core</t>
        </is>
      </c>
      <c r="C11" s="2" t="n">
        <v>1.05</v>
      </c>
    </row>
    <row r="12">
      <c r="A12" s="2" t="n">
        <v>11</v>
      </c>
      <c r="B12" s="2" t="inlineStr">
        <is>
          <t>Core</t>
        </is>
      </c>
      <c r="C12" s="2" t="n">
        <v>1.05</v>
      </c>
    </row>
    <row r="13">
      <c r="A13" s="2" t="n">
        <v>12</v>
      </c>
      <c r="B13" s="2" t="inlineStr">
        <is>
          <t>Core</t>
        </is>
      </c>
      <c r="C13" s="2" t="n">
        <v>1.05</v>
      </c>
    </row>
    <row r="14">
      <c r="A14" s="2" t="n">
        <v>13</v>
      </c>
      <c r="B14" s="2" t="inlineStr">
        <is>
          <t>Core</t>
        </is>
      </c>
      <c r="C14" s="2" t="n">
        <v>1.05</v>
      </c>
    </row>
    <row r="15">
      <c r="A15" s="2" t="n">
        <v>14</v>
      </c>
      <c r="B15" s="2" t="inlineStr">
        <is>
          <t>Core</t>
        </is>
      </c>
      <c r="C15" s="2" t="n">
        <v>1.05</v>
      </c>
    </row>
    <row r="16">
      <c r="A16" s="2" t="n">
        <v>15</v>
      </c>
      <c r="B16" s="2" t="inlineStr">
        <is>
          <t>Core</t>
        </is>
      </c>
      <c r="C16" s="2" t="n">
        <v>1.05</v>
      </c>
    </row>
    <row r="17">
      <c r="A17" s="2" t="n">
        <v>16</v>
      </c>
      <c r="B17" s="2" t="inlineStr">
        <is>
          <t>Core</t>
        </is>
      </c>
      <c r="C17" s="2" t="n">
        <v>1.05</v>
      </c>
    </row>
    <row r="18">
      <c r="A18" s="2" t="n">
        <v>17</v>
      </c>
      <c r="B18" s="2" t="inlineStr">
        <is>
          <t>Core</t>
        </is>
      </c>
      <c r="C18" s="2" t="n">
        <v>1.1</v>
      </c>
    </row>
    <row r="19">
      <c r="A19" s="2" t="n">
        <v>18</v>
      </c>
      <c r="B19" s="2" t="inlineStr">
        <is>
          <t>Core</t>
        </is>
      </c>
      <c r="C19" s="2" t="n">
        <v>1.1</v>
      </c>
    </row>
    <row r="20">
      <c r="A20" s="2" t="n">
        <v>19</v>
      </c>
      <c r="B20" s="2" t="inlineStr">
        <is>
          <t>Core</t>
        </is>
      </c>
      <c r="C20" s="2" t="n">
        <v>1.1</v>
      </c>
    </row>
    <row r="21">
      <c r="A21" s="2" t="n">
        <v>20</v>
      </c>
      <c r="B21" s="2" t="inlineStr">
        <is>
          <t>Core</t>
        </is>
      </c>
      <c r="C21" s="2" t="n">
        <v>1.1</v>
      </c>
    </row>
    <row r="22">
      <c r="A22" s="2" t="n">
        <v>21</v>
      </c>
      <c r="B22" s="2" t="inlineStr">
        <is>
          <t>Core</t>
        </is>
      </c>
      <c r="C22" s="2" t="n">
        <v>1.1</v>
      </c>
    </row>
    <row r="23">
      <c r="A23" s="2" t="n">
        <v>22</v>
      </c>
      <c r="B23" s="2" t="inlineStr">
        <is>
          <t>Core</t>
        </is>
      </c>
      <c r="C23" s="2" t="n">
        <v>1.1</v>
      </c>
    </row>
    <row r="24">
      <c r="A24" s="2" t="n">
        <v>23</v>
      </c>
      <c r="B24" s="2" t="inlineStr">
        <is>
          <t>Core</t>
        </is>
      </c>
      <c r="C24" s="2" t="n">
        <v>1.1</v>
      </c>
    </row>
    <row r="25">
      <c r="A25" s="2" t="n">
        <v>24</v>
      </c>
      <c r="B25" s="2" t="inlineStr">
        <is>
          <t>Core</t>
        </is>
      </c>
      <c r="C25" s="2" t="n">
        <v>1.1</v>
      </c>
    </row>
    <row r="26">
      <c r="A26" s="2" t="n">
        <v>25</v>
      </c>
      <c r="B26" s="2" t="inlineStr">
        <is>
          <t>Core</t>
        </is>
      </c>
      <c r="C26" s="2" t="n">
        <v>1.1</v>
      </c>
    </row>
    <row r="27">
      <c r="A27" s="2" t="n">
        <v>26</v>
      </c>
      <c r="B27" s="2" t="inlineStr">
        <is>
          <t>Core</t>
        </is>
      </c>
      <c r="C27" s="2" t="n">
        <v>1.1</v>
      </c>
    </row>
    <row r="28">
      <c r="A28" s="2" t="n">
        <v>27</v>
      </c>
      <c r="B28" s="2" t="inlineStr">
        <is>
          <t>Core</t>
        </is>
      </c>
      <c r="C28" s="2" t="n">
        <v>1.15</v>
      </c>
    </row>
    <row r="29">
      <c r="A29" s="2" t="n">
        <v>28</v>
      </c>
      <c r="B29" s="2" t="inlineStr">
        <is>
          <t>Core</t>
        </is>
      </c>
      <c r="C29" s="2" t="n">
        <v>1.15</v>
      </c>
    </row>
    <row r="30">
      <c r="A30" s="2" t="n">
        <v>29</v>
      </c>
      <c r="B30" s="2" t="inlineStr">
        <is>
          <t>Core</t>
        </is>
      </c>
      <c r="C30" s="2" t="n">
        <v>1.15</v>
      </c>
    </row>
    <row r="31">
      <c r="A31" s="2" t="n">
        <v>30</v>
      </c>
      <c r="B31" s="2" t="inlineStr">
        <is>
          <t>Core</t>
        </is>
      </c>
      <c r="C31" s="2" t="n">
        <v>1.15</v>
      </c>
    </row>
    <row r="32">
      <c r="A32" s="2" t="n">
        <v>31</v>
      </c>
      <c r="B32" s="2" t="inlineStr">
        <is>
          <t>Core</t>
        </is>
      </c>
      <c r="C32" s="2" t="n">
        <v>1.15</v>
      </c>
    </row>
    <row r="33">
      <c r="A33" s="2" t="n">
        <v>32</v>
      </c>
      <c r="B33" s="2" t="inlineStr">
        <is>
          <t>Core</t>
        </is>
      </c>
      <c r="C33" s="2" t="n">
        <v>1.15</v>
      </c>
    </row>
    <row r="34">
      <c r="A34" s="2" t="n">
        <v>33</v>
      </c>
      <c r="B34" s="2" t="inlineStr">
        <is>
          <t>Core</t>
        </is>
      </c>
      <c r="C34" s="2" t="n">
        <v>1.15</v>
      </c>
    </row>
    <row r="35">
      <c r="A35" s="2" t="n">
        <v>34</v>
      </c>
      <c r="B35" s="2" t="inlineStr">
        <is>
          <t>Core</t>
        </is>
      </c>
      <c r="C35" s="2" t="n">
        <v>1.15</v>
      </c>
    </row>
    <row r="36">
      <c r="A36" s="2" t="n">
        <v>35</v>
      </c>
      <c r="B36" s="2" t="inlineStr">
        <is>
          <t>Core</t>
        </is>
      </c>
      <c r="C36" s="2" t="n">
        <v>1.15</v>
      </c>
    </row>
    <row r="37">
      <c r="A37" s="2" t="n">
        <v>36</v>
      </c>
      <c r="B37" s="2" t="inlineStr">
        <is>
          <t>Core</t>
        </is>
      </c>
      <c r="C37" s="2" t="n">
        <v>1.15</v>
      </c>
    </row>
    <row r="38">
      <c r="A38" s="2" t="n">
        <v>37</v>
      </c>
      <c r="B38" s="2" t="inlineStr">
        <is>
          <t>Core</t>
        </is>
      </c>
      <c r="C38" s="2" t="n">
        <v>1.2</v>
      </c>
    </row>
    <row r="39">
      <c r="A39" s="2" t="n">
        <v>38</v>
      </c>
      <c r="B39" s="2" t="inlineStr">
        <is>
          <t>Core</t>
        </is>
      </c>
      <c r="C39" s="2" t="n">
        <v>1.2</v>
      </c>
    </row>
    <row r="40">
      <c r="A40" s="2" t="n">
        <v>39</v>
      </c>
      <c r="B40" s="2" t="inlineStr">
        <is>
          <t>Core</t>
        </is>
      </c>
      <c r="C40" s="2" t="n">
        <v>1.2</v>
      </c>
    </row>
    <row r="41">
      <c r="A41" s="2" t="n">
        <v>40</v>
      </c>
      <c r="B41" s="2" t="inlineStr">
        <is>
          <t>Core</t>
        </is>
      </c>
      <c r="C41" s="2" t="n">
        <v>1.2</v>
      </c>
    </row>
    <row r="42">
      <c r="A42" s="2" t="n">
        <v>41</v>
      </c>
      <c r="B42" s="2" t="inlineStr">
        <is>
          <t>Core</t>
        </is>
      </c>
      <c r="C42" s="2" t="n">
        <v>1.3</v>
      </c>
    </row>
    <row r="43">
      <c r="A43" s="2" t="n">
        <v>42</v>
      </c>
      <c r="B43" s="2" t="inlineStr">
        <is>
          <t>Core</t>
        </is>
      </c>
      <c r="C43" s="2" t="n">
        <v>1.3</v>
      </c>
    </row>
    <row r="44">
      <c r="A44" s="2" t="n">
        <v>43</v>
      </c>
      <c r="B44" s="2" t="inlineStr">
        <is>
          <t>Core</t>
        </is>
      </c>
      <c r="C44" s="2" t="n">
        <v>1.3</v>
      </c>
    </row>
    <row r="45">
      <c r="A45" s="2" t="n">
        <v>44</v>
      </c>
      <c r="B45" s="2" t="inlineStr">
        <is>
          <t>Core</t>
        </is>
      </c>
      <c r="C45" s="2" t="n">
        <v>1.3</v>
      </c>
    </row>
    <row r="46">
      <c r="A46" s="2" t="n">
        <v>45</v>
      </c>
      <c r="B46" s="2" t="inlineStr">
        <is>
          <t>Core</t>
        </is>
      </c>
      <c r="C46" s="2" t="n">
        <v>1.35</v>
      </c>
    </row>
    <row r="47">
      <c r="A47" s="2" t="n">
        <v>46</v>
      </c>
      <c r="B47" s="2" t="inlineStr">
        <is>
          <t>Core</t>
        </is>
      </c>
      <c r="C47" s="2" t="n">
        <v>1.35</v>
      </c>
    </row>
    <row r="48">
      <c r="A48" s="2" t="n">
        <v>47</v>
      </c>
      <c r="B48" s="2" t="inlineStr">
        <is>
          <t>Core</t>
        </is>
      </c>
      <c r="C48" s="2" t="n">
        <v>1.35</v>
      </c>
    </row>
    <row r="49">
      <c r="A49" s="2" t="n">
        <v>48</v>
      </c>
      <c r="B49" s="2" t="inlineStr">
        <is>
          <t>Core</t>
        </is>
      </c>
      <c r="C49" s="2" t="n">
        <v>1.35</v>
      </c>
    </row>
    <row r="50">
      <c r="A50" s="2" t="n">
        <v>49</v>
      </c>
      <c r="B50" s="2" t="inlineStr">
        <is>
          <t>Core</t>
        </is>
      </c>
      <c r="C50" s="2" t="n">
        <v>1.4</v>
      </c>
    </row>
    <row r="51">
      <c r="A51" s="2" t="n">
        <v>50</v>
      </c>
      <c r="B51" s="2" t="inlineStr">
        <is>
          <t>Core</t>
        </is>
      </c>
      <c r="C51" s="2" t="n">
        <v>1.4</v>
      </c>
    </row>
    <row r="52">
      <c r="A52" s="2" t="n">
        <v>51</v>
      </c>
      <c r="B52" s="2" t="inlineStr">
        <is>
          <t>Shadow</t>
        </is>
      </c>
      <c r="C52" s="2" t="n">
        <v>1.25</v>
      </c>
    </row>
    <row r="53">
      <c r="A53" s="2" t="n">
        <v>52</v>
      </c>
      <c r="B53" s="2" t="inlineStr">
        <is>
          <t>Shadow</t>
        </is>
      </c>
      <c r="C53" s="2" t="n">
        <v>1.25</v>
      </c>
    </row>
    <row r="54">
      <c r="A54" s="2" t="n">
        <v>53</v>
      </c>
      <c r="B54" s="2" t="inlineStr">
        <is>
          <t>Shadow</t>
        </is>
      </c>
      <c r="C54" s="2" t="n">
        <v>1.25</v>
      </c>
    </row>
    <row r="55">
      <c r="A55" s="2" t="n">
        <v>54</v>
      </c>
      <c r="B55" s="2" t="inlineStr">
        <is>
          <t>Shadow</t>
        </is>
      </c>
      <c r="C55" s="2" t="n">
        <v>1.25</v>
      </c>
    </row>
    <row r="56">
      <c r="A56" s="2" t="n">
        <v>55</v>
      </c>
      <c r="B56" s="2" t="inlineStr">
        <is>
          <t>Shadow</t>
        </is>
      </c>
      <c r="C56" s="2" t="n">
        <v>1.3</v>
      </c>
    </row>
    <row r="57">
      <c r="A57" s="2" t="n">
        <v>56</v>
      </c>
      <c r="B57" s="2" t="inlineStr">
        <is>
          <t>Shadow</t>
        </is>
      </c>
      <c r="C57" s="2" t="n">
        <v>1.3</v>
      </c>
    </row>
    <row r="58">
      <c r="A58" s="2" t="n">
        <v>57</v>
      </c>
      <c r="B58" s="2" t="inlineStr">
        <is>
          <t>Shadow</t>
        </is>
      </c>
      <c r="C58" s="2" t="n">
        <v>1.3</v>
      </c>
    </row>
    <row r="59">
      <c r="A59" s="2" t="n">
        <v>58</v>
      </c>
      <c r="B59" s="2" t="inlineStr">
        <is>
          <t>Shadow</t>
        </is>
      </c>
      <c r="C59" s="2" t="n">
        <v>1.3</v>
      </c>
    </row>
    <row r="60">
      <c r="A60" s="2" t="n">
        <v>59</v>
      </c>
      <c r="B60" s="2" t="inlineStr">
        <is>
          <t>Shadow</t>
        </is>
      </c>
      <c r="C60" s="2" t="n">
        <v>1.35</v>
      </c>
    </row>
    <row r="61">
      <c r="A61" s="2" t="n">
        <v>60</v>
      </c>
      <c r="B61" s="2" t="inlineStr">
        <is>
          <t>Shadow</t>
        </is>
      </c>
      <c r="C61" s="2" t="n">
        <v>1.35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style="10" min="1" max="2"/>
  </cols>
  <sheetData>
    <row r="1">
      <c r="A1" s="1" t="inlineStr">
        <is>
          <t>pair_key</t>
        </is>
      </c>
      <c r="B1" s="1" t="inlineStr">
        <is>
          <t>score_2_9</t>
        </is>
      </c>
    </row>
    <row r="2" ht="27.75" customHeight="1" s="10">
      <c r="A2" s="2" t="inlineStr">
        <is>
          <t>ANALYZER|ANALYZER</t>
        </is>
      </c>
      <c r="B2" s="2" t="n">
        <v>7</v>
      </c>
    </row>
    <row r="3" ht="27.75" customHeight="1" s="10">
      <c r="A3" s="2" t="inlineStr">
        <is>
          <t>ANALYZER|FIXER</t>
        </is>
      </c>
      <c r="B3" s="2" t="n">
        <v>6</v>
      </c>
    </row>
    <row r="4" ht="27.75" customHeight="1" s="10">
      <c r="A4" s="2" t="inlineStr">
        <is>
          <t>ANALYZER|ICEBOX</t>
        </is>
      </c>
      <c r="B4" s="2" t="n">
        <v>5</v>
      </c>
    </row>
    <row r="5" ht="27.75" customHeight="1" s="10">
      <c r="A5" s="2" t="inlineStr">
        <is>
          <t>ANALYZER|PHANTOM</t>
        </is>
      </c>
      <c r="B5" s="2" t="n">
        <v>4</v>
      </c>
    </row>
    <row r="6" ht="27.75" customHeight="1" s="10">
      <c r="A6" s="2" t="inlineStr">
        <is>
          <t>ANALYZER|QUIETEXIT</t>
        </is>
      </c>
      <c r="B6" s="2" t="n">
        <v>6</v>
      </c>
    </row>
    <row r="7" ht="27.75" customHeight="1" s="10">
      <c r="A7" s="2" t="inlineStr">
        <is>
          <t>ANALYZER|REGULATED</t>
        </is>
      </c>
      <c r="B7" s="2" t="n">
        <v>8</v>
      </c>
    </row>
    <row r="8" ht="27.75" customHeight="1" s="10">
      <c r="A8" s="2" t="inlineStr">
        <is>
          <t>ANALYZER|ROMANTIC</t>
        </is>
      </c>
      <c r="B8" s="2" t="n">
        <v>5</v>
      </c>
    </row>
    <row r="9" ht="27.75" customHeight="1" s="10">
      <c r="A9" s="2" t="inlineStr">
        <is>
          <t>ANALYZER|PERFORMER</t>
        </is>
      </c>
      <c r="B9" s="2" t="n">
        <v>4</v>
      </c>
    </row>
    <row r="10" ht="27.75" customHeight="1" s="10">
      <c r="A10" s="2" t="inlineStr">
        <is>
          <t>ANALYZER|SURVIVOR</t>
        </is>
      </c>
      <c r="B10" s="2" t="n">
        <v>6</v>
      </c>
    </row>
    <row r="11" ht="27.75" customHeight="1" s="10">
      <c r="A11" s="2" t="inlineStr">
        <is>
          <t>ANALYZER|TRANSLATOR</t>
        </is>
      </c>
      <c r="B11" s="2" t="n">
        <v>7</v>
      </c>
    </row>
    <row r="12" ht="27.75" customHeight="1" s="10">
      <c r="A12" s="2" t="inlineStr">
        <is>
          <t>FIXER|ANALYZER</t>
        </is>
      </c>
      <c r="B12" s="2" t="n">
        <v>6</v>
      </c>
    </row>
    <row r="13">
      <c r="A13" s="2" t="inlineStr">
        <is>
          <t>FIXER|FIXER</t>
        </is>
      </c>
      <c r="B13" s="2" t="n">
        <v>7</v>
      </c>
    </row>
    <row r="14">
      <c r="A14" s="2" t="inlineStr">
        <is>
          <t>FIXER|ICEBOX</t>
        </is>
      </c>
      <c r="B14" s="2" t="n">
        <v>3</v>
      </c>
    </row>
    <row r="15" ht="27.75" customHeight="1" s="10">
      <c r="A15" s="2" t="inlineStr">
        <is>
          <t>FIXER|PHANTOM</t>
        </is>
      </c>
      <c r="B15" s="2" t="n">
        <v>5</v>
      </c>
    </row>
    <row r="16" ht="27.75" customHeight="1" s="10">
      <c r="A16" s="2" t="inlineStr">
        <is>
          <t>FIXER|QUIETEXIT</t>
        </is>
      </c>
      <c r="B16" s="2" t="n">
        <v>5</v>
      </c>
    </row>
    <row r="17" ht="27.75" customHeight="1" s="10">
      <c r="A17" s="2" t="inlineStr">
        <is>
          <t>FIXER|REGULATED</t>
        </is>
      </c>
      <c r="B17" s="2" t="n">
        <v>8</v>
      </c>
    </row>
    <row r="18" ht="27.75" customHeight="1" s="10">
      <c r="A18" s="2" t="inlineStr">
        <is>
          <t>FIXER|ROMANTIC</t>
        </is>
      </c>
      <c r="B18" s="2" t="n">
        <v>6</v>
      </c>
    </row>
    <row r="19" ht="27.75" customHeight="1" s="10">
      <c r="A19" s="2" t="inlineStr">
        <is>
          <t>FIXER|PERFORMER</t>
        </is>
      </c>
      <c r="B19" s="2" t="n">
        <v>5</v>
      </c>
    </row>
    <row r="20" ht="27.75" customHeight="1" s="10">
      <c r="A20" s="2" t="inlineStr">
        <is>
          <t>FIXER|SURVIVOR</t>
        </is>
      </c>
      <c r="B20" s="2" t="n">
        <v>6</v>
      </c>
    </row>
    <row r="21" ht="27.75" customHeight="1" s="10">
      <c r="A21" s="2" t="inlineStr">
        <is>
          <t>FIXER|TRANSLATOR</t>
        </is>
      </c>
      <c r="B21" s="2" t="n">
        <v>7</v>
      </c>
    </row>
    <row r="22" ht="27.75" customHeight="1" s="10">
      <c r="A22" s="2" t="inlineStr">
        <is>
          <t>ICEBOX|ANALYZER</t>
        </is>
      </c>
      <c r="B22" s="2" t="n">
        <v>5</v>
      </c>
    </row>
    <row r="23">
      <c r="A23" s="2" t="inlineStr">
        <is>
          <t>ICEBOX|FIXER</t>
        </is>
      </c>
      <c r="B23" s="2" t="n">
        <v>3</v>
      </c>
    </row>
    <row r="24" ht="27.75" customHeight="1" s="10">
      <c r="A24" s="2" t="inlineStr">
        <is>
          <t>ICEBOX|ICEBOX</t>
        </is>
      </c>
      <c r="B24" s="2" t="n">
        <v>7</v>
      </c>
    </row>
    <row r="25" ht="27.75" customHeight="1" s="10">
      <c r="A25" s="2" t="inlineStr">
        <is>
          <t>ICEBOX|PHANTOM</t>
        </is>
      </c>
      <c r="B25" s="2" t="n">
        <v>2</v>
      </c>
    </row>
    <row r="26" ht="27.75" customHeight="1" s="10">
      <c r="A26" s="2" t="inlineStr">
        <is>
          <t>ICEBOX|QUIETEXIT</t>
        </is>
      </c>
      <c r="B26" s="2" t="n">
        <v>4</v>
      </c>
    </row>
    <row r="27" ht="27.75" customHeight="1" s="10">
      <c r="A27" s="2" t="inlineStr">
        <is>
          <t>ICEBOX|REGULATED</t>
        </is>
      </c>
      <c r="B27" s="2" t="n">
        <v>8</v>
      </c>
    </row>
    <row r="28" ht="27.75" customHeight="1" s="10">
      <c r="A28" s="2" t="inlineStr">
        <is>
          <t>ICEBOX|ROMANTIC</t>
        </is>
      </c>
      <c r="B28" s="2" t="n">
        <v>4</v>
      </c>
    </row>
    <row r="29" ht="27.75" customHeight="1" s="10">
      <c r="A29" s="2" t="inlineStr">
        <is>
          <t>ICEBOX|PERFORMER</t>
        </is>
      </c>
      <c r="B29" s="2" t="n">
        <v>3</v>
      </c>
    </row>
    <row r="30" ht="27.75" customHeight="1" s="10">
      <c r="A30" s="2" t="inlineStr">
        <is>
          <t>ICEBOX|SURVIVOR</t>
        </is>
      </c>
      <c r="B30" s="2" t="n">
        <v>5</v>
      </c>
    </row>
    <row r="31" ht="27.75" customHeight="1" s="10">
      <c r="A31" s="2" t="inlineStr">
        <is>
          <t>ICEBOX|TRANSLATOR</t>
        </is>
      </c>
      <c r="B31" s="2" t="n">
        <v>6</v>
      </c>
    </row>
    <row r="32" ht="27.75" customHeight="1" s="10">
      <c r="A32" s="2" t="inlineStr">
        <is>
          <t>PHANTOM|ANALYZER</t>
        </is>
      </c>
      <c r="B32" s="2" t="n">
        <v>4</v>
      </c>
    </row>
    <row r="33" ht="27.75" customHeight="1" s="10">
      <c r="A33" s="2" t="inlineStr">
        <is>
          <t>PHANTOM|FIXER</t>
        </is>
      </c>
      <c r="B33" s="2" t="n">
        <v>5</v>
      </c>
    </row>
    <row r="34" ht="27.75" customHeight="1" s="10">
      <c r="A34" s="2" t="inlineStr">
        <is>
          <t>PHANTOM|ICEBOX</t>
        </is>
      </c>
      <c r="B34" s="2" t="n">
        <v>2</v>
      </c>
    </row>
    <row r="35" ht="27.75" customHeight="1" s="10">
      <c r="A35" s="2" t="inlineStr">
        <is>
          <t>PHANTOM|PHANTOM</t>
        </is>
      </c>
      <c r="B35" s="2" t="n">
        <v>7</v>
      </c>
    </row>
    <row r="36" ht="27.75" customHeight="1" s="10">
      <c r="A36" s="2" t="inlineStr">
        <is>
          <t>PHANTOM|QUIETEXIT</t>
        </is>
      </c>
      <c r="B36" s="2" t="n">
        <v>4</v>
      </c>
    </row>
    <row r="37" ht="27.75" customHeight="1" s="10">
      <c r="A37" s="2" t="inlineStr">
        <is>
          <t>PHANTOM|REGULATED</t>
        </is>
      </c>
      <c r="B37" s="2" t="n">
        <v>8</v>
      </c>
    </row>
    <row r="38" ht="27.75" customHeight="1" s="10">
      <c r="A38" s="2" t="inlineStr">
        <is>
          <t>PHANTOM|ROMANTIC</t>
        </is>
      </c>
      <c r="B38" s="2" t="n">
        <v>6</v>
      </c>
    </row>
    <row r="39" ht="27.75" customHeight="1" s="10">
      <c r="A39" s="2" t="inlineStr">
        <is>
          <t>PHANTOM|PERFORMER</t>
        </is>
      </c>
      <c r="B39" s="2" t="n">
        <v>5</v>
      </c>
    </row>
    <row r="40" ht="27.75" customHeight="1" s="10">
      <c r="A40" s="2" t="inlineStr">
        <is>
          <t>PHANTOM|SURVIVOR</t>
        </is>
      </c>
      <c r="B40" s="2" t="n">
        <v>5</v>
      </c>
    </row>
    <row r="41" ht="27.75" customHeight="1" s="10">
      <c r="A41" s="2" t="inlineStr">
        <is>
          <t>PHANTOM|TRANSLATOR</t>
        </is>
      </c>
      <c r="B41" s="2" t="n">
        <v>6</v>
      </c>
    </row>
    <row r="42" ht="27.75" customHeight="1" s="10">
      <c r="A42" s="2" t="inlineStr">
        <is>
          <t>QUIETEXIT|ANALYZER</t>
        </is>
      </c>
      <c r="B42" s="2" t="n">
        <v>6</v>
      </c>
    </row>
    <row r="43" ht="27.75" customHeight="1" s="10">
      <c r="A43" s="2" t="inlineStr">
        <is>
          <t>QUIETEXIT|FIXER</t>
        </is>
      </c>
      <c r="B43" s="2" t="n">
        <v>5</v>
      </c>
    </row>
    <row r="44" ht="27.75" customHeight="1" s="10">
      <c r="A44" s="2" t="inlineStr">
        <is>
          <t>QUIETEXIT|ICEBOX</t>
        </is>
      </c>
      <c r="B44" s="2" t="n">
        <v>4</v>
      </c>
    </row>
    <row r="45" ht="27.75" customHeight="1" s="10">
      <c r="A45" s="2" t="inlineStr">
        <is>
          <t>QUIETEXIT|PHANTOM</t>
        </is>
      </c>
      <c r="B45" s="2" t="n">
        <v>4</v>
      </c>
    </row>
    <row r="46" ht="27.75" customHeight="1" s="10">
      <c r="A46" s="2" t="inlineStr">
        <is>
          <t>QUIETEXIT|QUIETEXIT</t>
        </is>
      </c>
      <c r="B46" s="2" t="n">
        <v>7</v>
      </c>
    </row>
    <row r="47" ht="27.75" customHeight="1" s="10">
      <c r="A47" s="2" t="inlineStr">
        <is>
          <t>QUIETEXIT|REGULATED</t>
        </is>
      </c>
      <c r="B47" s="2" t="n">
        <v>7</v>
      </c>
    </row>
    <row r="48" ht="27.75" customHeight="1" s="10">
      <c r="A48" s="2" t="inlineStr">
        <is>
          <t>QUIETEXIT|ROMANTIC</t>
        </is>
      </c>
      <c r="B48" s="2" t="n">
        <v>5</v>
      </c>
    </row>
    <row r="49" ht="27.75" customHeight="1" s="10">
      <c r="A49" s="2" t="inlineStr">
        <is>
          <t>QUIETEXIT|PERFORMER</t>
        </is>
      </c>
      <c r="B49" s="2" t="n">
        <v>5</v>
      </c>
    </row>
    <row r="50" ht="27.75" customHeight="1" s="10">
      <c r="A50" s="2" t="inlineStr">
        <is>
          <t>QUIETEXIT|SURVIVOR</t>
        </is>
      </c>
      <c r="B50" s="2" t="n">
        <v>6</v>
      </c>
    </row>
    <row r="51" ht="27.75" customHeight="1" s="10">
      <c r="A51" s="2" t="inlineStr">
        <is>
          <t>QUIETEXIT|TRANSLATOR</t>
        </is>
      </c>
      <c r="B51" s="2" t="n">
        <v>7</v>
      </c>
    </row>
    <row r="52" ht="27.75" customHeight="1" s="10">
      <c r="A52" s="2" t="inlineStr">
        <is>
          <t>REGULATED|ANALYZER</t>
        </is>
      </c>
      <c r="B52" s="2" t="n">
        <v>8</v>
      </c>
    </row>
    <row r="53" ht="27.75" customHeight="1" s="10">
      <c r="A53" s="2" t="inlineStr">
        <is>
          <t>REGULATED|FIXER</t>
        </is>
      </c>
      <c r="B53" s="2" t="n">
        <v>8</v>
      </c>
    </row>
    <row r="54" ht="27.75" customHeight="1" s="10">
      <c r="A54" s="2" t="inlineStr">
        <is>
          <t>REGULATED|ICEBOX</t>
        </is>
      </c>
      <c r="B54" s="2" t="n">
        <v>8</v>
      </c>
    </row>
    <row r="55" ht="27.75" customHeight="1" s="10">
      <c r="A55" s="2" t="inlineStr">
        <is>
          <t>REGULATED|PHANTOM</t>
        </is>
      </c>
      <c r="B55" s="2" t="n">
        <v>8</v>
      </c>
    </row>
    <row r="56" ht="27.75" customHeight="1" s="10">
      <c r="A56" s="2" t="inlineStr">
        <is>
          <t>REGULATED|QUIETEXIT</t>
        </is>
      </c>
      <c r="B56" s="2" t="n">
        <v>7</v>
      </c>
    </row>
    <row r="57" ht="27.75" customHeight="1" s="10">
      <c r="A57" s="2" t="inlineStr">
        <is>
          <t>REGULATED|REGULATED</t>
        </is>
      </c>
      <c r="B57" s="2" t="n">
        <v>9</v>
      </c>
    </row>
    <row r="58" ht="27.75" customHeight="1" s="10">
      <c r="A58" s="2" t="inlineStr">
        <is>
          <t>REGULATED|ROMANTIC</t>
        </is>
      </c>
      <c r="B58" s="2" t="n">
        <v>8</v>
      </c>
    </row>
    <row r="59" ht="27.75" customHeight="1" s="10">
      <c r="A59" s="2" t="inlineStr">
        <is>
          <t>REGULATED|PERFORMER</t>
        </is>
      </c>
      <c r="B59" s="2" t="n">
        <v>7</v>
      </c>
    </row>
    <row r="60" ht="27.75" customHeight="1" s="10">
      <c r="A60" s="2" t="inlineStr">
        <is>
          <t>REGULATED|SURVIVOR</t>
        </is>
      </c>
      <c r="B60" s="2" t="n">
        <v>7</v>
      </c>
    </row>
    <row r="61" ht="27.75" customHeight="1" s="10">
      <c r="A61" s="2" t="inlineStr">
        <is>
          <t>REGULATED|TRANSLATOR</t>
        </is>
      </c>
      <c r="B61" s="2" t="n">
        <v>9</v>
      </c>
    </row>
    <row r="62" ht="27.75" customHeight="1" s="10">
      <c r="A62" s="2" t="inlineStr">
        <is>
          <t>ROMANTIC|ANALYZER</t>
        </is>
      </c>
      <c r="B62" s="2" t="n">
        <v>5</v>
      </c>
    </row>
    <row r="63" ht="27.75" customHeight="1" s="10">
      <c r="A63" s="2" t="inlineStr">
        <is>
          <t>ROMANTIC|FIXER</t>
        </is>
      </c>
      <c r="B63" s="2" t="n">
        <v>6</v>
      </c>
    </row>
    <row r="64" ht="27.75" customHeight="1" s="10">
      <c r="A64" s="2" t="inlineStr">
        <is>
          <t>ROMANTIC|ICEBOX</t>
        </is>
      </c>
      <c r="B64" s="2" t="n">
        <v>4</v>
      </c>
    </row>
    <row r="65" ht="27.75" customHeight="1" s="10">
      <c r="A65" s="2" t="inlineStr">
        <is>
          <t>ROMANTIC|PHANTOM</t>
        </is>
      </c>
      <c r="B65" s="2" t="n">
        <v>6</v>
      </c>
    </row>
    <row r="66" ht="27.75" customHeight="1" s="10">
      <c r="A66" s="2" t="inlineStr">
        <is>
          <t>ROMANTIC|QUIETEXIT</t>
        </is>
      </c>
      <c r="B66" s="2" t="n">
        <v>5</v>
      </c>
    </row>
    <row r="67" ht="27.75" customHeight="1" s="10">
      <c r="A67" s="2" t="inlineStr">
        <is>
          <t>ROMANTIC|REGULATED</t>
        </is>
      </c>
      <c r="B67" s="2" t="n">
        <v>8</v>
      </c>
    </row>
    <row r="68" ht="27.75" customHeight="1" s="10">
      <c r="A68" s="2" t="inlineStr">
        <is>
          <t>ROMANTIC|ROMANTIC</t>
        </is>
      </c>
      <c r="B68" s="2" t="n">
        <v>7</v>
      </c>
    </row>
    <row r="69" ht="27.75" customHeight="1" s="10">
      <c r="A69" s="2" t="inlineStr">
        <is>
          <t>ROMANTIC|PERFORMER</t>
        </is>
      </c>
      <c r="B69" s="2" t="n">
        <v>6</v>
      </c>
    </row>
    <row r="70" ht="27.75" customHeight="1" s="10">
      <c r="A70" s="2" t="inlineStr">
        <is>
          <t>ROMANTIC|SURVIVOR</t>
        </is>
      </c>
      <c r="B70" s="2" t="n">
        <v>6</v>
      </c>
    </row>
    <row r="71" ht="27.75" customHeight="1" s="10">
      <c r="A71" s="2" t="inlineStr">
        <is>
          <t>ROMANTIC|TRANSLATOR</t>
        </is>
      </c>
      <c r="B71" s="2" t="n">
        <v>7</v>
      </c>
    </row>
    <row r="72" ht="27.75" customHeight="1" s="10">
      <c r="A72" s="2" t="inlineStr">
        <is>
          <t>PERFORMER|ANALYZER</t>
        </is>
      </c>
      <c r="B72" s="2" t="n">
        <v>4</v>
      </c>
    </row>
    <row r="73" ht="27.75" customHeight="1" s="10">
      <c r="A73" s="2" t="inlineStr">
        <is>
          <t>PERFORMER|FIXER</t>
        </is>
      </c>
      <c r="B73" s="2" t="n">
        <v>5</v>
      </c>
    </row>
    <row r="74" ht="27.75" customHeight="1" s="10">
      <c r="A74" s="2" t="inlineStr">
        <is>
          <t>PERFORMER|ICEBOX</t>
        </is>
      </c>
      <c r="B74" s="2" t="n">
        <v>3</v>
      </c>
    </row>
    <row r="75" ht="27.75" customHeight="1" s="10">
      <c r="A75" s="2" t="inlineStr">
        <is>
          <t>PERFORMER|PHANTOM</t>
        </is>
      </c>
      <c r="B75" s="2" t="n">
        <v>5</v>
      </c>
    </row>
    <row r="76" ht="27.75" customHeight="1" s="10">
      <c r="A76" s="2" t="inlineStr">
        <is>
          <t>PERFORMER|QUIETEXIT</t>
        </is>
      </c>
      <c r="B76" s="2" t="n">
        <v>5</v>
      </c>
    </row>
    <row r="77" ht="27.75" customHeight="1" s="10">
      <c r="A77" s="2" t="inlineStr">
        <is>
          <t>PERFORMER|REGULATED</t>
        </is>
      </c>
      <c r="B77" s="2" t="n">
        <v>7</v>
      </c>
    </row>
    <row r="78" ht="27.75" customHeight="1" s="10">
      <c r="A78" s="2" t="inlineStr">
        <is>
          <t>PERFORMER|ROMANTIC</t>
        </is>
      </c>
      <c r="B78" s="2" t="n">
        <v>6</v>
      </c>
    </row>
    <row r="79" ht="27.75" customHeight="1" s="10">
      <c r="A79" s="2" t="inlineStr">
        <is>
          <t>PERFORMER|PERFORMER</t>
        </is>
      </c>
      <c r="B79" s="2" t="n">
        <v>7</v>
      </c>
    </row>
    <row r="80" ht="27.75" customHeight="1" s="10">
      <c r="A80" s="2" t="inlineStr">
        <is>
          <t>PERFORMER|SURVIVOR</t>
        </is>
      </c>
      <c r="B80" s="2" t="n">
        <v>5</v>
      </c>
    </row>
    <row r="81" ht="27.75" customHeight="1" s="10">
      <c r="A81" s="2" t="inlineStr">
        <is>
          <t>PERFORMER|TRANSLATOR</t>
        </is>
      </c>
      <c r="B81" s="2" t="n">
        <v>6</v>
      </c>
    </row>
    <row r="82" ht="27.75" customHeight="1" s="10">
      <c r="A82" s="2" t="inlineStr">
        <is>
          <t>SURVIVOR|ANALYZER</t>
        </is>
      </c>
      <c r="B82" s="2" t="n">
        <v>6</v>
      </c>
    </row>
    <row r="83" ht="27.75" customHeight="1" s="10">
      <c r="A83" s="2" t="inlineStr">
        <is>
          <t>SURVIVOR|FIXER</t>
        </is>
      </c>
      <c r="B83" s="2" t="n">
        <v>6</v>
      </c>
    </row>
    <row r="84" ht="27.75" customHeight="1" s="10">
      <c r="A84" s="2" t="inlineStr">
        <is>
          <t>SURVIVOR|ICEBOX</t>
        </is>
      </c>
      <c r="B84" s="2" t="n">
        <v>5</v>
      </c>
    </row>
    <row r="85" ht="27.75" customHeight="1" s="10">
      <c r="A85" s="2" t="inlineStr">
        <is>
          <t>SURVIVOR|PHANTOM</t>
        </is>
      </c>
      <c r="B85" s="2" t="n">
        <v>5</v>
      </c>
    </row>
    <row r="86" ht="27.75" customHeight="1" s="10">
      <c r="A86" s="2" t="inlineStr">
        <is>
          <t>SURVIVOR|QUIETEXIT</t>
        </is>
      </c>
      <c r="B86" s="2" t="n">
        <v>6</v>
      </c>
    </row>
    <row r="87" ht="27.75" customHeight="1" s="10">
      <c r="A87" s="2" t="inlineStr">
        <is>
          <t>SURVIVOR|REGULATED</t>
        </is>
      </c>
      <c r="B87" s="2" t="n">
        <v>7</v>
      </c>
    </row>
    <row r="88" ht="27.75" customHeight="1" s="10">
      <c r="A88" s="2" t="inlineStr">
        <is>
          <t>SURVIVOR|ROMANTIC</t>
        </is>
      </c>
      <c r="B88" s="2" t="n">
        <v>6</v>
      </c>
    </row>
    <row r="89" ht="27.75" customHeight="1" s="10">
      <c r="A89" s="2" t="inlineStr">
        <is>
          <t>SURVIVOR|PERFORMER</t>
        </is>
      </c>
      <c r="B89" s="2" t="n">
        <v>5</v>
      </c>
    </row>
    <row r="90" ht="27.75" customHeight="1" s="10">
      <c r="A90" s="2" t="inlineStr">
        <is>
          <t>SURVIVOR|SURVIVOR</t>
        </is>
      </c>
      <c r="B90" s="2" t="n">
        <v>7</v>
      </c>
    </row>
    <row r="91" ht="27.75" customHeight="1" s="10">
      <c r="A91" s="2" t="inlineStr">
        <is>
          <t>SURVIVOR|TRANSLATOR</t>
        </is>
      </c>
      <c r="B91" s="2" t="n">
        <v>6</v>
      </c>
    </row>
    <row r="92" ht="27.75" customHeight="1" s="10">
      <c r="A92" s="2" t="inlineStr">
        <is>
          <t>TRANSLATOR|ANALYZER</t>
        </is>
      </c>
      <c r="B92" s="2" t="n">
        <v>7</v>
      </c>
    </row>
    <row r="93" ht="27.75" customHeight="1" s="10">
      <c r="A93" s="2" t="inlineStr">
        <is>
          <t>TRANSLATOR|FIXER</t>
        </is>
      </c>
      <c r="B93" s="2" t="n">
        <v>7</v>
      </c>
    </row>
    <row r="94" ht="27.75" customHeight="1" s="10">
      <c r="A94" s="2" t="inlineStr">
        <is>
          <t>TRANSLATOR|ICEBOX</t>
        </is>
      </c>
      <c r="B94" s="2" t="n">
        <v>6</v>
      </c>
    </row>
    <row r="95" ht="27.75" customHeight="1" s="10">
      <c r="A95" s="2" t="inlineStr">
        <is>
          <t>TRANSLATOR|PHANTOM</t>
        </is>
      </c>
      <c r="B95" s="2" t="n">
        <v>6</v>
      </c>
    </row>
    <row r="96" ht="27.75" customHeight="1" s="10">
      <c r="A96" s="2" t="inlineStr">
        <is>
          <t>TRANSLATOR|QUIETEXIT</t>
        </is>
      </c>
      <c r="B96" s="2" t="n">
        <v>7</v>
      </c>
    </row>
    <row r="97" ht="27.75" customHeight="1" s="10">
      <c r="A97" s="2" t="inlineStr">
        <is>
          <t>TRANSLATOR|REGULATED</t>
        </is>
      </c>
      <c r="B97" s="2" t="n">
        <v>9</v>
      </c>
    </row>
    <row r="98" ht="27.75" customHeight="1" s="10">
      <c r="A98" s="2" t="inlineStr">
        <is>
          <t>TRANSLATOR|ROMANTIC</t>
        </is>
      </c>
      <c r="B98" s="2" t="n">
        <v>7</v>
      </c>
    </row>
    <row r="99" ht="27.75" customHeight="1" s="10">
      <c r="A99" s="2" t="inlineStr">
        <is>
          <t>TRANSLATOR|PERFORMER</t>
        </is>
      </c>
      <c r="B99" s="2" t="n">
        <v>6</v>
      </c>
    </row>
    <row r="100" ht="27.75" customHeight="1" s="10">
      <c r="A100" s="2" t="inlineStr">
        <is>
          <t>TRANSLATOR|SURVIVOR</t>
        </is>
      </c>
      <c r="B100" s="2" t="n">
        <v>6</v>
      </c>
    </row>
    <row r="101" ht="41.25" customHeight="1" s="10">
      <c r="A101" s="2" t="inlineStr">
        <is>
          <t>TRANSLATOR|TRANSLATOR</t>
        </is>
      </c>
      <c r="B101" s="2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style="10" min="1" max="2"/>
  </cols>
  <sheetData>
    <row r="1">
      <c r="A1" s="1" t="inlineStr">
        <is>
          <t>pair_key</t>
        </is>
      </c>
      <c r="B1" s="1" t="inlineStr">
        <is>
          <t>score_2_6</t>
        </is>
      </c>
    </row>
    <row r="2" ht="41.25" customHeight="1" s="10">
      <c r="A2" s="2" t="inlineStr">
        <is>
          <t>MANIPULATOR_MANIPULATOR</t>
        </is>
      </c>
      <c r="B2" s="2" t="n">
        <v>3</v>
      </c>
    </row>
    <row r="3" ht="41.25" customHeight="1" s="10">
      <c r="A3" s="2" t="inlineStr">
        <is>
          <t>MANIPULATOR_STONEWALLER</t>
        </is>
      </c>
      <c r="B3" s="2" t="n">
        <v>2</v>
      </c>
    </row>
    <row r="4" ht="41.25" customHeight="1" s="10">
      <c r="A4" s="2" t="inlineStr">
        <is>
          <t>LOVEBOMBER_MANIPULATOR</t>
        </is>
      </c>
      <c r="B4" s="2" t="n">
        <v>2</v>
      </c>
    </row>
    <row r="5" ht="41.25" customHeight="1" s="10">
      <c r="A5" s="2" t="inlineStr">
        <is>
          <t>CHAMELEON_MANIPULATOR</t>
        </is>
      </c>
      <c r="B5" s="2" t="n">
        <v>2</v>
      </c>
    </row>
    <row r="6" ht="41.25" customHeight="1" s="10">
      <c r="A6" s="2" t="inlineStr">
        <is>
          <t>MANIPULATOR_SCOREKEEPER</t>
        </is>
      </c>
      <c r="B6" s="2" t="n">
        <v>2</v>
      </c>
    </row>
    <row r="7" ht="41.25" customHeight="1" s="10">
      <c r="A7" s="2" t="inlineStr">
        <is>
          <t>MANIPULATOR_SELFSABOTEUR</t>
        </is>
      </c>
      <c r="B7" s="2" t="n">
        <v>3</v>
      </c>
    </row>
    <row r="8" ht="41.25" customHeight="1" s="10">
      <c r="A8" s="2" t="inlineStr">
        <is>
          <t>MANIPULATOR_STONEWALLER</t>
        </is>
      </c>
      <c r="B8" s="2" t="n">
        <v>2</v>
      </c>
    </row>
    <row r="9" ht="41.25" customHeight="1" s="10">
      <c r="A9" s="2" t="inlineStr">
        <is>
          <t>STONEWALLER_STONEWALLER</t>
        </is>
      </c>
      <c r="B9" s="2" t="n">
        <v>4</v>
      </c>
    </row>
    <row r="10" ht="41.25" customHeight="1" s="10">
      <c r="A10" s="2" t="inlineStr">
        <is>
          <t>LOVEBOMBER_STONEWALLER</t>
        </is>
      </c>
      <c r="B10" s="2" t="n">
        <v>2</v>
      </c>
    </row>
    <row r="11" ht="41.25" customHeight="1" s="10">
      <c r="A11" s="2" t="inlineStr">
        <is>
          <t>CHAMELEON_STONEWALLER</t>
        </is>
      </c>
      <c r="B11" s="2" t="n">
        <v>4</v>
      </c>
    </row>
    <row r="12" ht="41.25" customHeight="1" s="10">
      <c r="A12" s="2" t="inlineStr">
        <is>
          <t>SCOREKEEPER_STONEWALLER</t>
        </is>
      </c>
      <c r="B12" s="2" t="n">
        <v>3</v>
      </c>
    </row>
    <row r="13" ht="41.25" customHeight="1" s="10">
      <c r="A13" s="2" t="inlineStr">
        <is>
          <t>SELFSABOTEUR_STONEWALLER</t>
        </is>
      </c>
      <c r="B13" s="2" t="n">
        <v>3</v>
      </c>
    </row>
    <row r="14" ht="41.25" customHeight="1" s="10">
      <c r="A14" s="2" t="inlineStr">
        <is>
          <t>LOVEBOMBER_MANIPULATOR</t>
        </is>
      </c>
      <c r="B14" s="2" t="n">
        <v>2</v>
      </c>
    </row>
    <row r="15" ht="41.25" customHeight="1" s="10">
      <c r="A15" s="2" t="inlineStr">
        <is>
          <t>LOVEBOMBER_STONEWALLER</t>
        </is>
      </c>
      <c r="B15" s="2" t="n">
        <v>2</v>
      </c>
    </row>
    <row r="16" ht="41.25" customHeight="1" s="10">
      <c r="A16" s="2" t="inlineStr">
        <is>
          <t>LOVEBOMBER_LOVEBOMBER</t>
        </is>
      </c>
      <c r="B16" s="2" t="n">
        <v>4</v>
      </c>
    </row>
    <row r="17" ht="41.25" customHeight="1" s="10">
      <c r="A17" s="2" t="inlineStr">
        <is>
          <t>CHAMELEON_LOVEBOMBER</t>
        </is>
      </c>
      <c r="B17" s="2" t="n">
        <v>6</v>
      </c>
    </row>
    <row r="18" ht="41.25" customHeight="1" s="10">
      <c r="A18" s="2" t="inlineStr">
        <is>
          <t>LOVEBOMBER_SCOREKEEPER</t>
        </is>
      </c>
      <c r="B18" s="2" t="n">
        <v>3</v>
      </c>
    </row>
    <row r="19" ht="41.25" customHeight="1" s="10">
      <c r="A19" s="2" t="inlineStr">
        <is>
          <t>LOVEBOMBER_SELFSABOTEUR</t>
        </is>
      </c>
      <c r="B19" s="2" t="n">
        <v>4</v>
      </c>
    </row>
    <row r="20" ht="41.25" customHeight="1" s="10">
      <c r="A20" s="2" t="inlineStr">
        <is>
          <t>CHAMELEON_MANIPULATOR</t>
        </is>
      </c>
      <c r="B20" s="2" t="n">
        <v>2</v>
      </c>
    </row>
    <row r="21" ht="41.25" customHeight="1" s="10">
      <c r="A21" s="2" t="inlineStr">
        <is>
          <t>CHAMELEON_STONEWALLER</t>
        </is>
      </c>
      <c r="B21" s="2" t="n">
        <v>4</v>
      </c>
    </row>
    <row r="22" ht="41.25" customHeight="1" s="10">
      <c r="A22" s="2" t="inlineStr">
        <is>
          <t>CHAMELEON_LOVEBOMBER</t>
        </is>
      </c>
      <c r="B22" s="2" t="n">
        <v>6</v>
      </c>
    </row>
    <row r="23" ht="41.25" customHeight="1" s="10">
      <c r="A23" s="2" t="inlineStr">
        <is>
          <t>CHAMELEON_CHAMELEON</t>
        </is>
      </c>
      <c r="B23" s="2" t="n">
        <v>5</v>
      </c>
    </row>
    <row r="24" ht="41.25" customHeight="1" s="10">
      <c r="A24" s="2" t="inlineStr">
        <is>
          <t>CHAMELEON_SCOREKEEPER</t>
        </is>
      </c>
      <c r="B24" s="2" t="n">
        <v>4</v>
      </c>
    </row>
    <row r="25" ht="41.25" customHeight="1" s="10">
      <c r="A25" s="2" t="inlineStr">
        <is>
          <t>CHAMELEON_SELFSABOTEUR</t>
        </is>
      </c>
      <c r="B25" s="2" t="n">
        <v>5</v>
      </c>
    </row>
    <row r="26" ht="41.25" customHeight="1" s="10">
      <c r="A26" s="2" t="inlineStr">
        <is>
          <t>MANIPULATOR_SCOREKEEPER</t>
        </is>
      </c>
      <c r="B26" s="2" t="n">
        <v>2</v>
      </c>
    </row>
    <row r="27" ht="41.25" customHeight="1" s="10">
      <c r="A27" s="2" t="inlineStr">
        <is>
          <t>SCOREKEEPER_STONEWALLER</t>
        </is>
      </c>
      <c r="B27" s="2" t="n">
        <v>3</v>
      </c>
    </row>
    <row r="28" ht="41.25" customHeight="1" s="10">
      <c r="A28" s="2" t="inlineStr">
        <is>
          <t>LOVEBOMBER_SCOREKEEPER</t>
        </is>
      </c>
      <c r="B28" s="2" t="n">
        <v>3</v>
      </c>
    </row>
    <row r="29" ht="41.25" customHeight="1" s="10">
      <c r="A29" s="2" t="inlineStr">
        <is>
          <t>CHAMELEON_SCOREKEEPER</t>
        </is>
      </c>
      <c r="B29" s="2" t="n">
        <v>4</v>
      </c>
    </row>
    <row r="30" ht="41.25" customHeight="1" s="10">
      <c r="A30" s="2" t="inlineStr">
        <is>
          <t>SCOREKEEPER_SCOREKEEPER</t>
        </is>
      </c>
      <c r="B30" s="2" t="n">
        <v>4</v>
      </c>
    </row>
    <row r="31" ht="41.25" customHeight="1" s="10">
      <c r="A31" s="2" t="inlineStr">
        <is>
          <t>SCOREKEEPER_SELFSABOTEUR</t>
        </is>
      </c>
      <c r="B31" s="2" t="n">
        <v>3</v>
      </c>
    </row>
    <row r="32" ht="41.25" customHeight="1" s="10">
      <c r="A32" s="2" t="inlineStr">
        <is>
          <t>MANIPULATOR_SELFSABOTEUR</t>
        </is>
      </c>
      <c r="B32" s="2" t="n">
        <v>3</v>
      </c>
    </row>
    <row r="33" ht="41.25" customHeight="1" s="10">
      <c r="A33" s="2" t="inlineStr">
        <is>
          <t>SELFSABOTEUR_STONEWALLER</t>
        </is>
      </c>
      <c r="B33" s="2" t="n">
        <v>3</v>
      </c>
    </row>
    <row r="34" ht="41.25" customHeight="1" s="10">
      <c r="A34" s="2" t="inlineStr">
        <is>
          <t>LOVEBOMBER_SELFSABOTEUR</t>
        </is>
      </c>
      <c r="B34" s="2" t="n">
        <v>4</v>
      </c>
    </row>
    <row r="35" ht="41.25" customHeight="1" s="10">
      <c r="A35" s="2" t="inlineStr">
        <is>
          <t>CHAMELEON_SELFSABOTEUR</t>
        </is>
      </c>
      <c r="B35" s="2" t="n">
        <v>5</v>
      </c>
    </row>
    <row r="36" ht="41.25" customHeight="1" s="10">
      <c r="A36" s="2" t="inlineStr">
        <is>
          <t>SCOREKEEPER_SELFSABOTEUR</t>
        </is>
      </c>
      <c r="B36" s="2" t="n">
        <v>3</v>
      </c>
    </row>
    <row r="37" ht="41.25" customHeight="1" s="10">
      <c r="A37" s="2" t="inlineStr">
        <is>
          <t>SELFSABOTEUR_SELFSABOTEUR</t>
        </is>
      </c>
      <c r="B37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style="10" min="1" max="2"/>
  </cols>
  <sheetData>
    <row r="1" ht="27.75" customHeight="1" s="10">
      <c r="A1" s="1" t="inlineStr">
        <is>
          <t>pair_key</t>
        </is>
      </c>
      <c r="B1" s="1" t="inlineStr">
        <is>
          <t>score_1_10</t>
        </is>
      </c>
    </row>
    <row r="2">
      <c r="A2" s="2" t="inlineStr">
        <is>
          <t>AR_M+AR_F</t>
        </is>
      </c>
      <c r="B2" s="2" t="n">
        <v>6</v>
      </c>
    </row>
    <row r="3">
      <c r="A3" s="2" t="inlineStr">
        <is>
          <t>AR_M+LI_F</t>
        </is>
      </c>
      <c r="B3" s="2" t="n">
        <v>7</v>
      </c>
    </row>
    <row r="4">
      <c r="A4" s="2" t="inlineStr">
        <is>
          <t>AR_M+TA_F</t>
        </is>
      </c>
      <c r="B4" s="2" t="n">
        <v>7</v>
      </c>
    </row>
    <row r="5">
      <c r="A5" s="2" t="inlineStr">
        <is>
          <t>AR_M+VI_F</t>
        </is>
      </c>
      <c r="B5" s="2" t="n">
        <v>6</v>
      </c>
    </row>
    <row r="6">
      <c r="A6" s="2" t="inlineStr">
        <is>
          <t>AR_M+SC_F</t>
        </is>
      </c>
      <c r="B6" s="2" t="n">
        <v>5</v>
      </c>
    </row>
    <row r="7">
      <c r="A7" s="2" t="inlineStr">
        <is>
          <t>AR_M+CA_F</t>
        </is>
      </c>
      <c r="B7" s="2" t="n">
        <v>4</v>
      </c>
    </row>
    <row r="8">
      <c r="A8" s="2" t="inlineStr">
        <is>
          <t>AR_M+GE_F</t>
        </is>
      </c>
      <c r="B8" s="2" t="n">
        <v>5</v>
      </c>
    </row>
    <row r="9">
      <c r="A9" s="2" t="inlineStr">
        <is>
          <t>AR_M+LE_F</t>
        </is>
      </c>
      <c r="B9" s="2" t="n">
        <v>8</v>
      </c>
    </row>
    <row r="10">
      <c r="A10" s="2" t="inlineStr">
        <is>
          <t>AR_M+CP_F</t>
        </is>
      </c>
      <c r="B10" s="2" t="n">
        <v>4</v>
      </c>
    </row>
    <row r="11">
      <c r="A11" s="2" t="inlineStr">
        <is>
          <t>AR_M+SG_F</t>
        </is>
      </c>
      <c r="B11" s="2" t="n">
        <v>6</v>
      </c>
    </row>
    <row r="12">
      <c r="A12" s="2" t="inlineStr">
        <is>
          <t>TA_M+TA_F</t>
        </is>
      </c>
      <c r="B12" s="2" t="n">
        <v>6</v>
      </c>
    </row>
    <row r="13">
      <c r="A13" s="2" t="inlineStr">
        <is>
          <t>AR_M+AQ_F</t>
        </is>
      </c>
      <c r="B13" s="2" t="n">
        <v>6</v>
      </c>
    </row>
    <row r="14">
      <c r="A14" s="2" t="inlineStr">
        <is>
          <t>TA_M+SC_F</t>
        </is>
      </c>
      <c r="B14" s="2" t="n">
        <v>6</v>
      </c>
    </row>
    <row r="15">
      <c r="A15" s="2" t="inlineStr">
        <is>
          <t>TA_M+VI_F</t>
        </is>
      </c>
      <c r="B15" s="2" t="n">
        <v>8</v>
      </c>
    </row>
    <row r="16">
      <c r="A16" s="2" t="inlineStr">
        <is>
          <t>TA_M+AR_F</t>
        </is>
      </c>
      <c r="B16" s="2" t="n">
        <v>7</v>
      </c>
    </row>
    <row r="17">
      <c r="A17" s="2" t="inlineStr">
        <is>
          <t>TA_M+GE_F</t>
        </is>
      </c>
      <c r="B17" s="2" t="n">
        <v>5</v>
      </c>
    </row>
    <row r="18">
      <c r="A18" s="2" t="inlineStr">
        <is>
          <t>TA_M+LI_F</t>
        </is>
      </c>
      <c r="B18" s="2" t="n">
        <v>5</v>
      </c>
    </row>
    <row r="19">
      <c r="A19" s="2" t="inlineStr">
        <is>
          <t>TA_M+CA_F</t>
        </is>
      </c>
      <c r="B19" s="2" t="n">
        <v>7</v>
      </c>
    </row>
    <row r="20">
      <c r="A20" s="2" t="inlineStr">
        <is>
          <t>AR_M+PI_F</t>
        </is>
      </c>
      <c r="B20" s="2" t="n">
        <v>5</v>
      </c>
    </row>
    <row r="21">
      <c r="A21" s="2" t="inlineStr">
        <is>
          <t>TA_M+LE_F</t>
        </is>
      </c>
      <c r="B21" s="2" t="n">
        <v>4</v>
      </c>
    </row>
    <row r="22">
      <c r="A22" s="2" t="inlineStr">
        <is>
          <t>GE_M+AR_F</t>
        </is>
      </c>
      <c r="B22" s="2" t="n">
        <v>5</v>
      </c>
    </row>
    <row r="23">
      <c r="A23" s="2" t="inlineStr">
        <is>
          <t>GE_M+GE_F</t>
        </is>
      </c>
      <c r="B23" s="2" t="n">
        <v>6</v>
      </c>
    </row>
    <row r="24">
      <c r="A24" s="2" t="inlineStr">
        <is>
          <t>TA_M+SG_F</t>
        </is>
      </c>
      <c r="B24" s="2" t="n">
        <v>4</v>
      </c>
    </row>
    <row r="25">
      <c r="A25" s="2" t="inlineStr">
        <is>
          <t>TA_M+PI_F</t>
        </is>
      </c>
      <c r="B25" s="2" t="n">
        <v>6</v>
      </c>
    </row>
    <row r="26">
      <c r="A26" s="2" t="inlineStr">
        <is>
          <t>TA_M+CP_F</t>
        </is>
      </c>
      <c r="B26" s="2" t="n">
        <v>7</v>
      </c>
    </row>
    <row r="27">
      <c r="A27" s="2" t="inlineStr">
        <is>
          <t>GE_M+VI_F</t>
        </is>
      </c>
      <c r="B27" s="2" t="n">
        <v>4</v>
      </c>
    </row>
    <row r="28">
      <c r="A28" s="2" t="inlineStr">
        <is>
          <t>GE_M+LE_F</t>
        </is>
      </c>
      <c r="B28" s="2" t="n">
        <v>5</v>
      </c>
    </row>
    <row r="29">
      <c r="A29" s="2" t="inlineStr">
        <is>
          <t>GE_M+TA_F</t>
        </is>
      </c>
      <c r="B29" s="2" t="n">
        <v>6</v>
      </c>
    </row>
    <row r="30">
      <c r="A30" s="2" t="inlineStr">
        <is>
          <t>TA_M+AQ_F</t>
        </is>
      </c>
      <c r="B30" s="2" t="n">
        <v>5</v>
      </c>
    </row>
    <row r="31">
      <c r="A31" s="2" t="inlineStr">
        <is>
          <t>GE_M+AQ_F</t>
        </is>
      </c>
      <c r="B31" s="2" t="n">
        <v>6</v>
      </c>
    </row>
    <row r="32">
      <c r="A32" s="2" t="inlineStr">
        <is>
          <t>GE_M+CA_F</t>
        </is>
      </c>
      <c r="B32" s="2" t="n">
        <v>7</v>
      </c>
    </row>
    <row r="33">
      <c r="A33" s="2" t="inlineStr">
        <is>
          <t>GE_M+CP_F</t>
        </is>
      </c>
      <c r="B33" s="2" t="n">
        <v>5</v>
      </c>
    </row>
    <row r="34">
      <c r="A34" s="2" t="inlineStr">
        <is>
          <t>GE_M+PI_F</t>
        </is>
      </c>
      <c r="B34" s="2" t="n">
        <v>4</v>
      </c>
    </row>
    <row r="35">
      <c r="A35" s="2" t="inlineStr">
        <is>
          <t>CA_M+AR_F</t>
        </is>
      </c>
      <c r="B35" s="2" t="n">
        <v>6</v>
      </c>
    </row>
    <row r="36">
      <c r="A36" s="2" t="inlineStr">
        <is>
          <t>GE_M+LI_F</t>
        </is>
      </c>
      <c r="B36" s="2" t="n">
        <v>8</v>
      </c>
    </row>
    <row r="37">
      <c r="A37" s="2" t="inlineStr">
        <is>
          <t>CA_M+TA_F</t>
        </is>
      </c>
      <c r="B37" s="2" t="n">
        <v>5</v>
      </c>
    </row>
    <row r="38">
      <c r="A38" s="2" t="inlineStr">
        <is>
          <t>GE_M+SG_F</t>
        </is>
      </c>
      <c r="B38" s="2" t="n">
        <v>7</v>
      </c>
    </row>
    <row r="39">
      <c r="A39" s="2" t="inlineStr">
        <is>
          <t>CA_M+GE_F</t>
        </is>
      </c>
      <c r="B39" s="2" t="n">
        <v>7</v>
      </c>
    </row>
    <row r="40">
      <c r="A40" s="2" t="inlineStr">
        <is>
          <t>CA_M+CA_F</t>
        </is>
      </c>
      <c r="B40" s="2" t="n">
        <v>6</v>
      </c>
    </row>
    <row r="41">
      <c r="A41" s="2" t="inlineStr">
        <is>
          <t>GE_M+SC_F</t>
        </is>
      </c>
      <c r="B41" s="2" t="n">
        <v>6</v>
      </c>
    </row>
    <row r="42">
      <c r="A42" s="2" t="inlineStr">
        <is>
          <t>CA_M+CP_F</t>
        </is>
      </c>
      <c r="B42" s="2" t="n">
        <v>5</v>
      </c>
    </row>
    <row r="43">
      <c r="A43" s="2" t="inlineStr">
        <is>
          <t>CA_M+VI_F</t>
        </is>
      </c>
      <c r="B43" s="2" t="n">
        <v>6</v>
      </c>
    </row>
    <row r="44">
      <c r="A44" s="2" t="inlineStr">
        <is>
          <t>LE_M+TA_F</t>
        </is>
      </c>
      <c r="B44" s="2" t="n">
        <v>6</v>
      </c>
    </row>
    <row r="45">
      <c r="A45" s="2" t="inlineStr">
        <is>
          <t>CA_M+PI_F</t>
        </is>
      </c>
      <c r="B45" s="2" t="n">
        <v>6</v>
      </c>
    </row>
    <row r="46">
      <c r="A46" s="2" t="inlineStr">
        <is>
          <t>CA_M+SC_F</t>
        </is>
      </c>
      <c r="B46" s="2" t="n">
        <v>8</v>
      </c>
    </row>
    <row r="47">
      <c r="A47" s="2" t="inlineStr">
        <is>
          <t>CA_M+LI_F</t>
        </is>
      </c>
      <c r="B47" s="2" t="n">
        <v>5</v>
      </c>
    </row>
    <row r="48">
      <c r="A48" s="2" t="inlineStr">
        <is>
          <t>LE_M+AR_F</t>
        </is>
      </c>
      <c r="B48" s="2" t="n">
        <v>8</v>
      </c>
    </row>
    <row r="49">
      <c r="A49" s="2" t="inlineStr">
        <is>
          <t>CA_M+AQ_F</t>
        </is>
      </c>
      <c r="B49" s="2" t="n">
        <v>7</v>
      </c>
    </row>
    <row r="50">
      <c r="A50" s="2" t="inlineStr">
        <is>
          <t>CA_M+LE_F</t>
        </is>
      </c>
      <c r="B50" s="2" t="n">
        <v>4</v>
      </c>
    </row>
    <row r="51">
      <c r="A51" s="2" t="inlineStr">
        <is>
          <t>CA_M+SG_F</t>
        </is>
      </c>
      <c r="B51" s="2" t="n">
        <v>6</v>
      </c>
    </row>
    <row r="52">
      <c r="A52" s="2" t="inlineStr">
        <is>
          <t>LE_M+GE_F</t>
        </is>
      </c>
      <c r="B52" s="2" t="n">
        <v>5</v>
      </c>
    </row>
    <row r="53">
      <c r="A53" s="2" t="inlineStr">
        <is>
          <t>LE_M+CA_F</t>
        </is>
      </c>
      <c r="B53" s="2" t="n">
        <v>4</v>
      </c>
    </row>
    <row r="54">
      <c r="A54" s="2" t="inlineStr">
        <is>
          <t>LE_M+PI_F</t>
        </is>
      </c>
      <c r="B54" s="2" t="n">
        <v>7</v>
      </c>
    </row>
    <row r="55">
      <c r="A55" s="2" t="inlineStr">
        <is>
          <t>LE_M+LI_F</t>
        </is>
      </c>
      <c r="B55" s="2" t="n">
        <v>6</v>
      </c>
    </row>
    <row r="56">
      <c r="A56" s="2" t="inlineStr">
        <is>
          <t>LE_M+VI_F</t>
        </is>
      </c>
      <c r="B56" s="2" t="n">
        <v>5</v>
      </c>
    </row>
    <row r="57">
      <c r="A57" s="2" t="inlineStr">
        <is>
          <t>LE_M+LE_F</t>
        </is>
      </c>
      <c r="B57" s="2" t="n">
        <v>7</v>
      </c>
    </row>
    <row r="58">
      <c r="A58" s="2" t="inlineStr">
        <is>
          <t>LE_M+SC_F</t>
        </is>
      </c>
      <c r="B58" s="2" t="n">
        <v>5</v>
      </c>
    </row>
    <row r="59">
      <c r="A59" s="2" t="inlineStr">
        <is>
          <t>LE_M+AQ_F</t>
        </is>
      </c>
      <c r="B59" s="2" t="n">
        <v>4</v>
      </c>
    </row>
    <row r="60">
      <c r="A60" s="2" t="inlineStr">
        <is>
          <t>LE_M+SG_F</t>
        </is>
      </c>
      <c r="B60" s="2" t="n">
        <v>8</v>
      </c>
    </row>
    <row r="61">
      <c r="A61" s="2" t="inlineStr">
        <is>
          <t>LE_M+CP_F</t>
        </is>
      </c>
      <c r="B61" s="2" t="n">
        <v>6</v>
      </c>
    </row>
    <row r="62">
      <c r="A62" s="2" t="inlineStr">
        <is>
          <t>VI_M+TA_F</t>
        </is>
      </c>
      <c r="B62" s="2" t="n">
        <v>7</v>
      </c>
    </row>
    <row r="63">
      <c r="A63" s="2" t="inlineStr">
        <is>
          <t>VI_M+LE_F</t>
        </is>
      </c>
      <c r="B63" s="2" t="n">
        <v>4</v>
      </c>
    </row>
    <row r="64">
      <c r="A64" s="2" t="inlineStr">
        <is>
          <t>VI_M+AR_F</t>
        </is>
      </c>
      <c r="B64" s="2" t="n">
        <v>6</v>
      </c>
    </row>
    <row r="65">
      <c r="A65" s="2" t="inlineStr">
        <is>
          <t>VI_M+VI_F</t>
        </is>
      </c>
      <c r="B65" s="2" t="n">
        <v>7</v>
      </c>
    </row>
    <row r="66">
      <c r="A66" s="2" t="inlineStr">
        <is>
          <t>VI_M+GE_F</t>
        </is>
      </c>
      <c r="B66" s="2" t="n">
        <v>5</v>
      </c>
    </row>
    <row r="67">
      <c r="A67" s="2" t="inlineStr">
        <is>
          <t>VI_M+SG_F</t>
        </is>
      </c>
      <c r="B67" s="2" t="n">
        <v>4</v>
      </c>
    </row>
    <row r="68">
      <c r="A68" s="2" t="inlineStr">
        <is>
          <t>VI_M+SC_F</t>
        </is>
      </c>
      <c r="B68" s="2" t="n">
        <v>6</v>
      </c>
    </row>
    <row r="69">
      <c r="A69" s="2" t="inlineStr">
        <is>
          <t>VI_M+CP_F</t>
        </is>
      </c>
      <c r="B69" s="2" t="n">
        <v>8</v>
      </c>
    </row>
    <row r="70">
      <c r="A70" s="2" t="inlineStr">
        <is>
          <t>VI_M+CA_F</t>
        </is>
      </c>
      <c r="B70" s="2" t="n">
        <v>6</v>
      </c>
    </row>
    <row r="71">
      <c r="A71" s="2" t="inlineStr">
        <is>
          <t>VI_M+LI_F</t>
        </is>
      </c>
      <c r="B71" s="2" t="n">
        <v>5</v>
      </c>
    </row>
    <row r="72">
      <c r="A72" s="2" t="inlineStr">
        <is>
          <t>VI_M+AQ_F</t>
        </is>
      </c>
      <c r="B72" s="2" t="n">
        <v>5</v>
      </c>
    </row>
    <row r="73">
      <c r="A73" s="2" t="inlineStr">
        <is>
          <t>VI_M+PI_F</t>
        </is>
      </c>
      <c r="B73" s="2" t="n">
        <v>6</v>
      </c>
    </row>
    <row r="74">
      <c r="A74" s="2" t="inlineStr">
        <is>
          <t>LI_M+CA_F</t>
        </is>
      </c>
      <c r="B74" s="2" t="n">
        <v>4</v>
      </c>
    </row>
    <row r="75">
      <c r="A75" s="2" t="inlineStr">
        <is>
          <t>LI_M+LE_F</t>
        </is>
      </c>
      <c r="B75" s="2" t="n">
        <v>5</v>
      </c>
    </row>
    <row r="76">
      <c r="A76" s="2" t="inlineStr">
        <is>
          <t>LI_M+LI_F</t>
        </is>
      </c>
      <c r="B76" s="2" t="n">
        <v>6</v>
      </c>
    </row>
    <row r="77">
      <c r="A77" s="2" t="inlineStr">
        <is>
          <t>LI_M+GE_F</t>
        </is>
      </c>
      <c r="B77" s="2" t="n">
        <v>6</v>
      </c>
    </row>
    <row r="78">
      <c r="A78" s="2" t="inlineStr">
        <is>
          <t>LI_M+VI_F</t>
        </is>
      </c>
      <c r="B78" s="2" t="n">
        <v>6</v>
      </c>
    </row>
    <row r="79">
      <c r="A79" s="2" t="inlineStr">
        <is>
          <t>LI_M+AR_F</t>
        </is>
      </c>
      <c r="B79" s="2" t="n">
        <v>7</v>
      </c>
    </row>
    <row r="80">
      <c r="A80" s="2" t="inlineStr">
        <is>
          <t>LI_M+SC_F</t>
        </is>
      </c>
      <c r="B80" s="2" t="n">
        <v>4</v>
      </c>
    </row>
    <row r="81">
      <c r="A81" s="2" t="inlineStr">
        <is>
          <t>LI_M+TA_F</t>
        </is>
      </c>
      <c r="B81" s="2" t="n">
        <v>5</v>
      </c>
    </row>
    <row r="82">
      <c r="A82" s="2" t="inlineStr">
        <is>
          <t>LI_M+AQ_F</t>
        </is>
      </c>
      <c r="B82" s="2" t="n">
        <v>8</v>
      </c>
    </row>
    <row r="83">
      <c r="A83" s="2" t="inlineStr">
        <is>
          <t>LI_M+CP_F</t>
        </is>
      </c>
      <c r="B83" s="2" t="n">
        <v>5</v>
      </c>
    </row>
    <row r="84">
      <c r="A84" s="2" t="inlineStr">
        <is>
          <t>LI_M+PI_F</t>
        </is>
      </c>
      <c r="B84" s="2" t="n">
        <v>6</v>
      </c>
    </row>
    <row r="85">
      <c r="A85" s="2" t="inlineStr">
        <is>
          <t>SC_M+LE_F</t>
        </is>
      </c>
      <c r="B85" s="2" t="n">
        <v>6</v>
      </c>
    </row>
    <row r="86">
      <c r="A86" s="2" t="inlineStr">
        <is>
          <t>SC_M+TA_F</t>
        </is>
      </c>
      <c r="B86" s="2" t="n">
        <v>6</v>
      </c>
    </row>
    <row r="87">
      <c r="A87" s="2" t="inlineStr">
        <is>
          <t>SC_M+AR_F</t>
        </is>
      </c>
      <c r="B87" s="2" t="n">
        <v>5</v>
      </c>
    </row>
    <row r="88">
      <c r="A88" s="2" t="inlineStr">
        <is>
          <t>SC_M+VI_F</t>
        </is>
      </c>
      <c r="B88" s="2" t="n">
        <v>4</v>
      </c>
    </row>
    <row r="89">
      <c r="A89" s="2" t="inlineStr">
        <is>
          <t>SC_M+CA_F</t>
        </is>
      </c>
      <c r="B89" s="2" t="n">
        <v>5</v>
      </c>
    </row>
    <row r="90">
      <c r="A90" s="2" t="inlineStr">
        <is>
          <t>SC_M+GE_F</t>
        </is>
      </c>
      <c r="B90" s="2" t="n">
        <v>7</v>
      </c>
    </row>
    <row r="91">
      <c r="A91" s="2" t="inlineStr">
        <is>
          <t>LI_M+SG_F</t>
        </is>
      </c>
      <c r="B91" s="2" t="n">
        <v>7</v>
      </c>
    </row>
    <row r="92">
      <c r="A92" s="2" t="inlineStr">
        <is>
          <t>SC_M+SG_F</t>
        </is>
      </c>
      <c r="B92" s="2" t="n">
        <v>6</v>
      </c>
    </row>
    <row r="93">
      <c r="A93" s="2" t="inlineStr">
        <is>
          <t>SC_M+AQ_F</t>
        </is>
      </c>
      <c r="B93" s="2" t="n">
        <v>4</v>
      </c>
    </row>
    <row r="94">
      <c r="A94" s="2" t="inlineStr">
        <is>
          <t>SG_M+GE_F</t>
        </is>
      </c>
      <c r="B94" s="2" t="n">
        <v>5</v>
      </c>
    </row>
    <row r="95">
      <c r="A95" s="2" t="inlineStr">
        <is>
          <t>SC_M+LI_F</t>
        </is>
      </c>
      <c r="B95" s="2" t="n">
        <v>5</v>
      </c>
    </row>
    <row r="96">
      <c r="A96" s="2" t="inlineStr">
        <is>
          <t>SG_M+AR_F</t>
        </is>
      </c>
      <c r="B96" s="2" t="n">
        <v>6</v>
      </c>
    </row>
    <row r="97">
      <c r="A97" s="2" t="inlineStr">
        <is>
          <t>SC_M+CP_F</t>
        </is>
      </c>
      <c r="B97" s="2" t="n">
        <v>5</v>
      </c>
    </row>
    <row r="98">
      <c r="A98" s="2" t="inlineStr">
        <is>
          <t>SC_M+PI_F</t>
        </is>
      </c>
      <c r="B98" s="2" t="n">
        <v>8</v>
      </c>
    </row>
    <row r="99">
      <c r="A99" s="2" t="inlineStr">
        <is>
          <t>SC_M+SC_F</t>
        </is>
      </c>
      <c r="B99" s="2" t="n">
        <v>7</v>
      </c>
    </row>
    <row r="100">
      <c r="A100" s="2" t="inlineStr">
        <is>
          <t>SG_M+TA_F</t>
        </is>
      </c>
      <c r="B100" s="2" t="n">
        <v>4</v>
      </c>
    </row>
    <row r="101">
      <c r="A101" s="2" t="inlineStr">
        <is>
          <t>SG_M+CA_F</t>
        </is>
      </c>
      <c r="B101" s="2" t="n">
        <v>6</v>
      </c>
    </row>
    <row r="102">
      <c r="A102" s="2" t="inlineStr">
        <is>
          <t>SG_M+VI_F</t>
        </is>
      </c>
      <c r="B102" s="2" t="n">
        <v>5</v>
      </c>
    </row>
    <row r="103">
      <c r="A103" s="2" t="inlineStr">
        <is>
          <t>SG_M+CP_F</t>
        </is>
      </c>
      <c r="B103" s="2" t="n">
        <v>4</v>
      </c>
    </row>
    <row r="104">
      <c r="A104" s="2" t="inlineStr">
        <is>
          <t>SG_M+LE_F</t>
        </is>
      </c>
      <c r="B104" s="2" t="n">
        <v>8</v>
      </c>
    </row>
    <row r="105">
      <c r="A105" s="2" t="inlineStr">
        <is>
          <t>SG_M+LI_F</t>
        </is>
      </c>
      <c r="B105" s="2" t="n">
        <v>7</v>
      </c>
    </row>
    <row r="106">
      <c r="A106" s="2" t="inlineStr">
        <is>
          <t>CP_M+TA_F</t>
        </is>
      </c>
      <c r="B106" s="2" t="n">
        <v>7</v>
      </c>
    </row>
    <row r="107">
      <c r="A107" s="2" t="inlineStr">
        <is>
          <t>SG_M+PI_F</t>
        </is>
      </c>
      <c r="B107" s="2" t="n">
        <v>5</v>
      </c>
    </row>
    <row r="108">
      <c r="A108" s="2" t="inlineStr">
        <is>
          <t>SG_M+SG_F</t>
        </is>
      </c>
      <c r="B108" s="2" t="n">
        <v>6</v>
      </c>
    </row>
    <row r="109">
      <c r="A109" s="2" t="inlineStr">
        <is>
          <t>SG_M+AQ_F</t>
        </is>
      </c>
      <c r="B109" s="2" t="n">
        <v>6</v>
      </c>
    </row>
    <row r="110">
      <c r="A110" s="2" t="inlineStr">
        <is>
          <t>SG_M+SC_F</t>
        </is>
      </c>
      <c r="B110" s="2" t="n">
        <v>5</v>
      </c>
    </row>
    <row r="111">
      <c r="A111" s="2" t="inlineStr">
        <is>
          <t>CP_M+AR_F</t>
        </is>
      </c>
      <c r="B111" s="2" t="n">
        <v>4</v>
      </c>
    </row>
    <row r="112">
      <c r="A112" s="2" t="inlineStr">
        <is>
          <t>CP_M+AQ_F</t>
        </is>
      </c>
      <c r="B112" s="2" t="n">
        <v>5</v>
      </c>
    </row>
    <row r="113">
      <c r="A113" s="2" t="inlineStr">
        <is>
          <t>CP_M+LE_F</t>
        </is>
      </c>
      <c r="B113" s="2" t="n">
        <v>5</v>
      </c>
    </row>
    <row r="114">
      <c r="A114" s="2" t="inlineStr">
        <is>
          <t>CP_M+CP_F</t>
        </is>
      </c>
      <c r="B114" s="2" t="n">
        <v>7</v>
      </c>
    </row>
    <row r="115">
      <c r="A115" s="2" t="inlineStr">
        <is>
          <t>CP_M+PI_F</t>
        </is>
      </c>
      <c r="B115" s="2" t="n">
        <v>6</v>
      </c>
    </row>
    <row r="116">
      <c r="A116" s="2" t="inlineStr">
        <is>
          <t>CP_M+SG_F</t>
        </is>
      </c>
      <c r="B116" s="2" t="n">
        <v>4</v>
      </c>
    </row>
    <row r="117">
      <c r="A117" s="2" t="inlineStr">
        <is>
          <t>CP_M+LI_F</t>
        </is>
      </c>
      <c r="B117" s="2" t="n">
        <v>6</v>
      </c>
    </row>
    <row r="118">
      <c r="A118" s="2" t="inlineStr">
        <is>
          <t>CP_M+SC_F</t>
        </is>
      </c>
      <c r="B118" s="2" t="n">
        <v>5</v>
      </c>
    </row>
    <row r="119">
      <c r="A119" s="2" t="inlineStr">
        <is>
          <t>CP_M+GE_F</t>
        </is>
      </c>
      <c r="B119" s="2" t="n">
        <v>5</v>
      </c>
    </row>
    <row r="120">
      <c r="A120" s="2" t="inlineStr">
        <is>
          <t>CP_M+VI_F</t>
        </is>
      </c>
      <c r="B120" s="2" t="n">
        <v>8</v>
      </c>
    </row>
    <row r="121">
      <c r="A121" s="2" t="inlineStr">
        <is>
          <t>CP_M+CA_F</t>
        </is>
      </c>
      <c r="B121" s="2" t="n">
        <v>6</v>
      </c>
    </row>
    <row r="122">
      <c r="A122" s="2" t="inlineStr">
        <is>
          <t>AQ_M+VI_F</t>
        </is>
      </c>
      <c r="B122" s="2" t="n">
        <v>5</v>
      </c>
    </row>
    <row r="123">
      <c r="A123" s="2" t="inlineStr">
        <is>
          <t>AQ_M+CA_F</t>
        </is>
      </c>
      <c r="B123" s="2" t="n">
        <v>7</v>
      </c>
    </row>
    <row r="124">
      <c r="A124" s="2" t="inlineStr">
        <is>
          <t>AQ_M+GE_F</t>
        </is>
      </c>
      <c r="B124" s="2" t="n">
        <v>6</v>
      </c>
    </row>
    <row r="125">
      <c r="A125" s="2" t="inlineStr">
        <is>
          <t>AQ_M+SC_F</t>
        </is>
      </c>
      <c r="B125" s="2" t="n">
        <v>4</v>
      </c>
    </row>
    <row r="126">
      <c r="A126" s="2" t="inlineStr">
        <is>
          <t>AQ_M+AR_F</t>
        </is>
      </c>
      <c r="B126" s="2" t="n">
        <v>6</v>
      </c>
    </row>
    <row r="127">
      <c r="A127" s="2" t="inlineStr">
        <is>
          <t>AQ_M+SG_F</t>
        </is>
      </c>
      <c r="B127" s="2" t="n">
        <v>6</v>
      </c>
    </row>
    <row r="128">
      <c r="A128" s="2" t="inlineStr">
        <is>
          <t>AQ_M+LE_F</t>
        </is>
      </c>
      <c r="B128" s="2" t="n">
        <v>4</v>
      </c>
    </row>
    <row r="129">
      <c r="A129" s="2" t="inlineStr">
        <is>
          <t>AQ_M+CP_F</t>
        </is>
      </c>
      <c r="B129" s="2" t="n">
        <v>5</v>
      </c>
    </row>
    <row r="130">
      <c r="A130" s="2" t="inlineStr">
        <is>
          <t>AQ_M+TA_F</t>
        </is>
      </c>
      <c r="B130" s="2" t="n">
        <v>5</v>
      </c>
    </row>
    <row r="131">
      <c r="A131" s="2" t="inlineStr">
        <is>
          <t>AQ_M+LI_F</t>
        </is>
      </c>
      <c r="B131" s="2" t="n">
        <v>8</v>
      </c>
    </row>
    <row r="132">
      <c r="A132" s="2" t="inlineStr">
        <is>
          <t>PI_M+TA_F</t>
        </is>
      </c>
      <c r="B132" s="2" t="n">
        <v>6</v>
      </c>
    </row>
    <row r="133">
      <c r="A133" s="2" t="inlineStr">
        <is>
          <t>PI_M+AR_F</t>
        </is>
      </c>
      <c r="B133" s="2" t="n">
        <v>5</v>
      </c>
    </row>
    <row r="134">
      <c r="A134" s="2" t="inlineStr">
        <is>
          <t>PI_M+CA_F</t>
        </is>
      </c>
      <c r="B134" s="2" t="n">
        <v>6</v>
      </c>
    </row>
    <row r="135">
      <c r="A135" s="2" t="inlineStr">
        <is>
          <t>AQ_M+AQ_F</t>
        </is>
      </c>
      <c r="B135" s="2" t="n">
        <v>6</v>
      </c>
    </row>
    <row r="136">
      <c r="A136" s="2" t="inlineStr">
        <is>
          <t>AQ_M+PI_F</t>
        </is>
      </c>
      <c r="B136" s="2" t="n">
        <v>7</v>
      </c>
    </row>
    <row r="137">
      <c r="A137" s="2" t="inlineStr">
        <is>
          <t>PI_M+GE_F</t>
        </is>
      </c>
      <c r="B137" s="2" t="n">
        <v>4</v>
      </c>
    </row>
    <row r="138">
      <c r="A138" s="2" t="inlineStr">
        <is>
          <t>PI_M+LI_F</t>
        </is>
      </c>
      <c r="B138" s="2" t="n">
        <v>6</v>
      </c>
    </row>
    <row r="139">
      <c r="A139" s="2" t="inlineStr">
        <is>
          <t>PI_M+SC_F</t>
        </is>
      </c>
      <c r="B139" s="2" t="n">
        <v>8</v>
      </c>
    </row>
    <row r="140">
      <c r="A140" s="2" t="inlineStr">
        <is>
          <t>PI_M+LE_F</t>
        </is>
      </c>
      <c r="B140" s="2" t="n">
        <v>7</v>
      </c>
    </row>
    <row r="141">
      <c r="A141" s="2" t="inlineStr">
        <is>
          <t>PI_M+VI_F</t>
        </is>
      </c>
      <c r="B141" s="2" t="n">
        <v>5</v>
      </c>
    </row>
    <row r="142">
      <c r="A142" s="2" t="inlineStr">
        <is>
          <t>PI_M+AQ_F</t>
        </is>
      </c>
      <c r="B142" s="2" t="n">
        <v>7</v>
      </c>
    </row>
    <row r="143">
      <c r="A143" s="2" t="inlineStr">
        <is>
          <t>PI_M+CP_F</t>
        </is>
      </c>
      <c r="B143" s="2" t="n">
        <v>6</v>
      </c>
    </row>
    <row r="144">
      <c r="A144" s="2" t="inlineStr">
        <is>
          <t>VI_F+AR_M</t>
        </is>
      </c>
      <c r="B144" s="2" t="n">
        <v>6</v>
      </c>
    </row>
    <row r="145">
      <c r="A145" s="2" t="inlineStr">
        <is>
          <t>AR_F+AR_M</t>
        </is>
      </c>
      <c r="B145" s="2" t="n">
        <v>6</v>
      </c>
    </row>
    <row r="146">
      <c r="A146" s="2" t="inlineStr">
        <is>
          <t>LE_F+AR_M</t>
        </is>
      </c>
      <c r="B146" s="2" t="n">
        <v>8</v>
      </c>
    </row>
    <row r="147">
      <c r="A147" s="2" t="inlineStr">
        <is>
          <t>GE_F+AR_M</t>
        </is>
      </c>
      <c r="B147" s="2" t="n">
        <v>5</v>
      </c>
    </row>
    <row r="148">
      <c r="A148" s="2" t="inlineStr">
        <is>
          <t>TA_F+AR_M</t>
        </is>
      </c>
      <c r="B148" s="2" t="n">
        <v>7</v>
      </c>
    </row>
    <row r="149">
      <c r="A149" s="2" t="inlineStr">
        <is>
          <t>PI_M+PI_F</t>
        </is>
      </c>
      <c r="B149" s="2" t="n">
        <v>6</v>
      </c>
    </row>
    <row r="150">
      <c r="A150" s="2" t="inlineStr">
        <is>
          <t>LI_F+AR_M</t>
        </is>
      </c>
      <c r="B150" s="2" t="n">
        <v>7</v>
      </c>
    </row>
    <row r="151">
      <c r="A151" s="2" t="inlineStr">
        <is>
          <t>PI_M+SG_F</t>
        </is>
      </c>
      <c r="B151" s="2" t="n">
        <v>5</v>
      </c>
    </row>
    <row r="152">
      <c r="A152" s="2" t="inlineStr">
        <is>
          <t>SC_F+AR_M</t>
        </is>
      </c>
      <c r="B152" s="2" t="n">
        <v>5</v>
      </c>
    </row>
    <row r="153">
      <c r="A153" s="2" t="inlineStr">
        <is>
          <t>SG_F+AR_M</t>
        </is>
      </c>
      <c r="B153" s="2" t="n">
        <v>6</v>
      </c>
    </row>
    <row r="154">
      <c r="A154" s="2" t="inlineStr">
        <is>
          <t>CA_F+AR_M</t>
        </is>
      </c>
      <c r="B154" s="2" t="n">
        <v>6</v>
      </c>
    </row>
    <row r="155">
      <c r="A155" s="2" t="inlineStr">
        <is>
          <t>TA_F+TA_M</t>
        </is>
      </c>
      <c r="B155" s="2" t="n">
        <v>6</v>
      </c>
    </row>
    <row r="156">
      <c r="A156" s="2" t="inlineStr">
        <is>
          <t>CP_F+AR_M</t>
        </is>
      </c>
      <c r="B156" s="2" t="n">
        <v>4</v>
      </c>
    </row>
    <row r="157">
      <c r="A157" s="2" t="inlineStr">
        <is>
          <t>AR_F+TA_M</t>
        </is>
      </c>
      <c r="B157" s="2" t="n">
        <v>7</v>
      </c>
    </row>
    <row r="158">
      <c r="A158" s="2" t="inlineStr">
        <is>
          <t>LE_F+TA_M</t>
        </is>
      </c>
      <c r="B158" s="2" t="n">
        <v>6</v>
      </c>
    </row>
    <row r="159">
      <c r="A159" s="2" t="inlineStr">
        <is>
          <t>GE_F+TA_M</t>
        </is>
      </c>
      <c r="B159" s="2" t="n">
        <v>6</v>
      </c>
    </row>
    <row r="160">
      <c r="A160" s="2" t="inlineStr">
        <is>
          <t>CA_F+TA_M</t>
        </is>
      </c>
      <c r="B160" s="2" t="n">
        <v>5</v>
      </c>
    </row>
    <row r="161">
      <c r="A161" s="2" t="inlineStr">
        <is>
          <t>AQ_F+AR_M</t>
        </is>
      </c>
      <c r="B161" s="2" t="n">
        <v>6</v>
      </c>
    </row>
    <row r="162">
      <c r="A162" s="2" t="inlineStr">
        <is>
          <t>TA_F+GE_M</t>
        </is>
      </c>
      <c r="B162" s="2" t="n">
        <v>5</v>
      </c>
    </row>
    <row r="163">
      <c r="A163" s="2" t="inlineStr">
        <is>
          <t>LI_F+TA_M</t>
        </is>
      </c>
      <c r="B163" s="2" t="n">
        <v>5</v>
      </c>
    </row>
    <row r="164">
      <c r="A164" s="2" t="inlineStr">
        <is>
          <t>PI_F+AR_M</t>
        </is>
      </c>
      <c r="B164" s="2" t="n">
        <v>5</v>
      </c>
    </row>
    <row r="165">
      <c r="A165" s="2" t="inlineStr">
        <is>
          <t>VI_F+TA_M</t>
        </is>
      </c>
      <c r="B165" s="2" t="n">
        <v>7</v>
      </c>
    </row>
    <row r="166">
      <c r="A166" s="2" t="inlineStr">
        <is>
          <t>GE_F+GE_M</t>
        </is>
      </c>
      <c r="B166" s="2" t="n">
        <v>6</v>
      </c>
    </row>
    <row r="167">
      <c r="A167" s="2" t="inlineStr">
        <is>
          <t>SG_F+TA_M</t>
        </is>
      </c>
      <c r="B167" s="2" t="n">
        <v>4</v>
      </c>
    </row>
    <row r="168">
      <c r="A168" s="2" t="inlineStr">
        <is>
          <t>CA_F+GE_M</t>
        </is>
      </c>
      <c r="B168" s="2" t="n">
        <v>7</v>
      </c>
    </row>
    <row r="169">
      <c r="A169" s="2" t="inlineStr">
        <is>
          <t>SC_F+TA_M</t>
        </is>
      </c>
      <c r="B169" s="2" t="n">
        <v>6</v>
      </c>
    </row>
    <row r="170">
      <c r="A170" s="2" t="inlineStr">
        <is>
          <t>LE_F+GE_M</t>
        </is>
      </c>
      <c r="B170" s="2" t="n">
        <v>5</v>
      </c>
    </row>
    <row r="171">
      <c r="A171" s="2" t="inlineStr">
        <is>
          <t>CP_F+TA_M</t>
        </is>
      </c>
      <c r="B171" s="2" t="n">
        <v>7</v>
      </c>
    </row>
    <row r="172">
      <c r="A172" s="2" t="inlineStr">
        <is>
          <t>VI_F+GE_M</t>
        </is>
      </c>
      <c r="B172" s="2" t="n">
        <v>5</v>
      </c>
    </row>
    <row r="173">
      <c r="A173" s="2" t="inlineStr">
        <is>
          <t>SC_F+GE_M</t>
        </is>
      </c>
      <c r="B173" s="2" t="n">
        <v>7</v>
      </c>
    </row>
    <row r="174">
      <c r="A174" s="2" t="inlineStr">
        <is>
          <t>LI_F+GE_M</t>
        </is>
      </c>
      <c r="B174" s="2" t="n">
        <v>6</v>
      </c>
    </row>
    <row r="175">
      <c r="A175" s="2" t="inlineStr">
        <is>
          <t>CP_F+GE_M</t>
        </is>
      </c>
      <c r="B175" s="2" t="n">
        <v>5</v>
      </c>
    </row>
    <row r="176">
      <c r="A176" s="2" t="inlineStr">
        <is>
          <t>AQ_F+TA_M</t>
        </is>
      </c>
      <c r="B176" s="2" t="n">
        <v>5</v>
      </c>
    </row>
    <row r="177">
      <c r="A177" s="2" t="inlineStr">
        <is>
          <t>PI_F+TA_M</t>
        </is>
      </c>
      <c r="B177" s="2" t="n">
        <v>6</v>
      </c>
    </row>
    <row r="178">
      <c r="A178" s="2" t="inlineStr">
        <is>
          <t>AR_F+GE_M</t>
        </is>
      </c>
      <c r="B178" s="2" t="n">
        <v>5</v>
      </c>
    </row>
    <row r="179">
      <c r="A179" s="2" t="inlineStr">
        <is>
          <t>CA_F+CA_M</t>
        </is>
      </c>
      <c r="B179" s="2" t="n">
        <v>6</v>
      </c>
    </row>
    <row r="180">
      <c r="A180" s="2" t="inlineStr">
        <is>
          <t>SG_F+GE_M</t>
        </is>
      </c>
      <c r="B180" s="2" t="n">
        <v>5</v>
      </c>
    </row>
    <row r="181">
      <c r="A181" s="2" t="inlineStr">
        <is>
          <t>GE_F+CA_M</t>
        </is>
      </c>
      <c r="B181" s="2" t="n">
        <v>7</v>
      </c>
    </row>
    <row r="182">
      <c r="A182" s="2" t="inlineStr">
        <is>
          <t>CP_F+CA_M</t>
        </is>
      </c>
      <c r="B182" s="2" t="n">
        <v>6</v>
      </c>
    </row>
    <row r="183">
      <c r="A183" s="2" t="inlineStr">
        <is>
          <t>VI_F+CA_M</t>
        </is>
      </c>
      <c r="B183" s="2" t="n">
        <v>6</v>
      </c>
    </row>
    <row r="184">
      <c r="A184" s="2" t="inlineStr">
        <is>
          <t>AQ_F+GE_M</t>
        </is>
      </c>
      <c r="B184" s="2" t="n">
        <v>6</v>
      </c>
    </row>
    <row r="185">
      <c r="A185" s="2" t="inlineStr">
        <is>
          <t>TA_F+CA_M</t>
        </is>
      </c>
      <c r="B185" s="2" t="n">
        <v>7</v>
      </c>
    </row>
    <row r="186">
      <c r="A186" s="2" t="inlineStr">
        <is>
          <t>SG_F+CA_M</t>
        </is>
      </c>
      <c r="B186" s="2" t="n">
        <v>6</v>
      </c>
    </row>
    <row r="187">
      <c r="A187" s="2" t="inlineStr">
        <is>
          <t>AR_F+CA_M</t>
        </is>
      </c>
      <c r="B187" s="2" t="n">
        <v>4</v>
      </c>
    </row>
    <row r="188">
      <c r="A188" s="2" t="inlineStr">
        <is>
          <t>SC_F+CA_M</t>
        </is>
      </c>
      <c r="B188" s="2" t="n">
        <v>5</v>
      </c>
    </row>
    <row r="189">
      <c r="A189" s="2" t="inlineStr">
        <is>
          <t>PI_F+GE_M</t>
        </is>
      </c>
      <c r="B189" s="2" t="n">
        <v>4</v>
      </c>
    </row>
    <row r="190">
      <c r="A190" s="2" t="inlineStr">
        <is>
          <t>LE_F+CA_M</t>
        </is>
      </c>
      <c r="B190" s="2" t="n">
        <v>4</v>
      </c>
    </row>
    <row r="191">
      <c r="A191" s="2" t="inlineStr">
        <is>
          <t>AQ_F+CA_M</t>
        </is>
      </c>
      <c r="B191" s="2" t="n">
        <v>7</v>
      </c>
    </row>
    <row r="192">
      <c r="A192" s="2" t="inlineStr">
        <is>
          <t>PI_F+CA_M</t>
        </is>
      </c>
      <c r="B192" s="2" t="n">
        <v>6</v>
      </c>
    </row>
    <row r="193">
      <c r="A193" s="2" t="inlineStr">
        <is>
          <t>AQ_F+LE_M</t>
        </is>
      </c>
      <c r="B193" s="2" t="n">
        <v>4</v>
      </c>
    </row>
    <row r="194">
      <c r="A194" s="2" t="inlineStr">
        <is>
          <t>LI_F+CA_M</t>
        </is>
      </c>
      <c r="B194" s="2" t="n">
        <v>4</v>
      </c>
    </row>
    <row r="195">
      <c r="A195" s="2" t="inlineStr">
        <is>
          <t>AR_F+LE_M</t>
        </is>
      </c>
      <c r="B195" s="2" t="n">
        <v>8</v>
      </c>
    </row>
    <row r="196">
      <c r="A196" s="2" t="inlineStr">
        <is>
          <t>GE_F+LE_M</t>
        </is>
      </c>
      <c r="B196" s="2" t="n">
        <v>5</v>
      </c>
    </row>
    <row r="197">
      <c r="A197" s="2" t="inlineStr">
        <is>
          <t>TA_F+LE_M</t>
        </is>
      </c>
      <c r="B197" s="2" t="n">
        <v>4</v>
      </c>
    </row>
    <row r="198">
      <c r="A198" s="2" t="inlineStr">
        <is>
          <t>LI_F+LE_M</t>
        </is>
      </c>
      <c r="B198" s="2" t="n">
        <v>5</v>
      </c>
    </row>
    <row r="199">
      <c r="A199" s="2" t="inlineStr">
        <is>
          <t>CP_F+LE_M</t>
        </is>
      </c>
      <c r="B199" s="2" t="n">
        <v>5</v>
      </c>
    </row>
    <row r="200">
      <c r="A200" s="2" t="inlineStr">
        <is>
          <t>VI_F+LE_M</t>
        </is>
      </c>
      <c r="B200" s="2" t="n">
        <v>4</v>
      </c>
    </row>
    <row r="201">
      <c r="A201" s="2" t="inlineStr">
        <is>
          <t>LE_F+LE_M</t>
        </is>
      </c>
      <c r="B201" s="2" t="n">
        <v>7</v>
      </c>
    </row>
    <row r="202">
      <c r="A202" s="2" t="inlineStr">
        <is>
          <t>SC_F+LE_M</t>
        </is>
      </c>
      <c r="B202" s="2" t="n">
        <v>6</v>
      </c>
    </row>
    <row r="203">
      <c r="A203" s="2" t="inlineStr">
        <is>
          <t>PI_F+LE_M</t>
        </is>
      </c>
      <c r="B203" s="2" t="n">
        <v>7</v>
      </c>
    </row>
    <row r="204">
      <c r="A204" s="2" t="inlineStr">
        <is>
          <t>CA_F+VI_M</t>
        </is>
      </c>
      <c r="B204" s="2" t="n">
        <v>6</v>
      </c>
    </row>
    <row r="205">
      <c r="A205" s="2" t="inlineStr">
        <is>
          <t>SG_F+LE_M</t>
        </is>
      </c>
      <c r="B205" s="2" t="n">
        <v>8</v>
      </c>
    </row>
    <row r="206">
      <c r="A206" s="2" t="inlineStr">
        <is>
          <t>TA_F+VI_M</t>
        </is>
      </c>
      <c r="B206" s="2" t="n">
        <v>8</v>
      </c>
    </row>
    <row r="207">
      <c r="A207" s="2" t="inlineStr">
        <is>
          <t>CA_F+LE_M</t>
        </is>
      </c>
      <c r="B207" s="2" t="n">
        <v>4</v>
      </c>
    </row>
    <row r="208">
      <c r="A208" s="2" t="inlineStr">
        <is>
          <t>GE_F+VI_M</t>
        </is>
      </c>
      <c r="B208" s="2" t="n">
        <v>4</v>
      </c>
    </row>
    <row r="209">
      <c r="A209" s="2" t="inlineStr">
        <is>
          <t>AR_F+VI_M</t>
        </is>
      </c>
      <c r="B209" s="2" t="n">
        <v>6</v>
      </c>
    </row>
    <row r="210">
      <c r="A210" s="2" t="inlineStr">
        <is>
          <t>VI_F+VI_M</t>
        </is>
      </c>
      <c r="B210" s="2" t="n">
        <v>7</v>
      </c>
    </row>
    <row r="211">
      <c r="A211" s="2" t="inlineStr">
        <is>
          <t>LE_F+VI_M</t>
        </is>
      </c>
      <c r="B211" s="2" t="n">
        <v>5</v>
      </c>
    </row>
    <row r="212">
      <c r="A212" s="2" t="inlineStr">
        <is>
          <t>SC_F+VI_M</t>
        </is>
      </c>
      <c r="B212" s="2" t="n">
        <v>4</v>
      </c>
    </row>
    <row r="213">
      <c r="A213" s="2" t="inlineStr">
        <is>
          <t>SG_F+VI_M</t>
        </is>
      </c>
      <c r="B213" s="2" t="n">
        <v>5</v>
      </c>
    </row>
    <row r="214">
      <c r="A214" s="2" t="inlineStr">
        <is>
          <t>CP_F+VI_M</t>
        </is>
      </c>
      <c r="B214" s="2" t="n">
        <v>8</v>
      </c>
    </row>
    <row r="215">
      <c r="A215" s="2" t="inlineStr">
        <is>
          <t>LI_F+VI_M</t>
        </is>
      </c>
      <c r="B215" s="2" t="n">
        <v>6</v>
      </c>
    </row>
    <row r="216">
      <c r="A216" s="2" t="inlineStr">
        <is>
          <t>VI_F+LI_M</t>
        </is>
      </c>
      <c r="B216" s="2" t="n">
        <v>5</v>
      </c>
    </row>
    <row r="217">
      <c r="A217" s="2" t="inlineStr">
        <is>
          <t>AQ_F+VI_M</t>
        </is>
      </c>
      <c r="B217" s="2" t="n">
        <v>5</v>
      </c>
    </row>
    <row r="218">
      <c r="A218" s="2" t="inlineStr">
        <is>
          <t>PI_F+VI_M</t>
        </is>
      </c>
      <c r="B218" s="2" t="n">
        <v>5</v>
      </c>
    </row>
    <row r="219">
      <c r="A219" s="2" t="inlineStr">
        <is>
          <t>LI_F+LI_M</t>
        </is>
      </c>
      <c r="B219" s="2" t="n">
        <v>6</v>
      </c>
    </row>
    <row r="220">
      <c r="A220" s="2" t="inlineStr">
        <is>
          <t>AR_F+LI_M</t>
        </is>
      </c>
      <c r="B220" s="2" t="n">
        <v>7</v>
      </c>
    </row>
    <row r="221">
      <c r="A221" s="2" t="inlineStr">
        <is>
          <t>CA_F+LI_M</t>
        </is>
      </c>
      <c r="B221" s="2" t="n">
        <v>5</v>
      </c>
    </row>
    <row r="222">
      <c r="A222" s="2" t="inlineStr">
        <is>
          <t>CA_F+SC_M</t>
        </is>
      </c>
      <c r="B222" s="2" t="n">
        <v>8</v>
      </c>
    </row>
    <row r="223">
      <c r="A223" s="2" t="inlineStr">
        <is>
          <t>TA_F+LI_M</t>
        </is>
      </c>
      <c r="B223" s="2" t="n">
        <v>5</v>
      </c>
    </row>
    <row r="224">
      <c r="A224" s="2" t="inlineStr">
        <is>
          <t>CP_F+LI_M</t>
        </is>
      </c>
      <c r="B224" s="2" t="n">
        <v>6</v>
      </c>
    </row>
    <row r="225">
      <c r="A225" s="2" t="inlineStr">
        <is>
          <t>GE_F+LI_M</t>
        </is>
      </c>
      <c r="B225" s="2" t="n">
        <v>8</v>
      </c>
    </row>
    <row r="226">
      <c r="A226" s="2" t="inlineStr">
        <is>
          <t>SC_F+LI_M</t>
        </is>
      </c>
      <c r="B226" s="2" t="n">
        <v>5</v>
      </c>
    </row>
    <row r="227">
      <c r="A227" s="2" t="inlineStr">
        <is>
          <t>LE_F+LI_M</t>
        </is>
      </c>
      <c r="B227" s="2" t="n">
        <v>6</v>
      </c>
    </row>
    <row r="228">
      <c r="A228" s="2" t="inlineStr">
        <is>
          <t>PI_F+LI_M</t>
        </is>
      </c>
      <c r="B228" s="2" t="n">
        <v>6</v>
      </c>
    </row>
    <row r="229">
      <c r="A229" s="2" t="inlineStr">
        <is>
          <t>AQ_F+LI_M</t>
        </is>
      </c>
      <c r="B229" s="2" t="n">
        <v>8</v>
      </c>
    </row>
    <row r="230">
      <c r="A230" s="2" t="inlineStr">
        <is>
          <t>TA_F+SC_M</t>
        </is>
      </c>
      <c r="B230" s="2" t="n">
        <v>6</v>
      </c>
    </row>
    <row r="231">
      <c r="A231" s="2" t="inlineStr">
        <is>
          <t>LE_F+SC_M</t>
        </is>
      </c>
      <c r="B231" s="2" t="n">
        <v>5</v>
      </c>
    </row>
    <row r="232">
      <c r="A232" s="2" t="inlineStr">
        <is>
          <t>VI_F+SC_M</t>
        </is>
      </c>
      <c r="B232" s="2" t="n">
        <v>6</v>
      </c>
    </row>
    <row r="233">
      <c r="A233" s="2" t="inlineStr">
        <is>
          <t>GE_F+SC_M</t>
        </is>
      </c>
      <c r="B233" s="2" t="n">
        <v>6</v>
      </c>
    </row>
    <row r="234">
      <c r="A234" s="2" t="inlineStr">
        <is>
          <t>AR_F+SC_M</t>
        </is>
      </c>
      <c r="B234" s="2" t="n">
        <v>5</v>
      </c>
    </row>
    <row r="235">
      <c r="A235" s="2" t="inlineStr">
        <is>
          <t>PI_F+SC_M</t>
        </is>
      </c>
      <c r="B235" s="2" t="n">
        <v>8</v>
      </c>
    </row>
    <row r="236">
      <c r="A236" s="2" t="inlineStr">
        <is>
          <t>CP_F+SC_M</t>
        </is>
      </c>
      <c r="B236" s="2" t="n">
        <v>5</v>
      </c>
    </row>
    <row r="237">
      <c r="A237" s="2" t="inlineStr">
        <is>
          <t>SG_F+SC_M</t>
        </is>
      </c>
      <c r="B237" s="2" t="n">
        <v>5</v>
      </c>
    </row>
    <row r="238">
      <c r="A238" s="2" t="inlineStr">
        <is>
          <t>SG_F+LI_M</t>
        </is>
      </c>
      <c r="B238" s="2" t="n">
        <v>7</v>
      </c>
    </row>
    <row r="239">
      <c r="A239" s="2" t="inlineStr">
        <is>
          <t>SC_F+SC_M</t>
        </is>
      </c>
      <c r="B239" s="2" t="n">
        <v>7</v>
      </c>
    </row>
    <row r="240">
      <c r="A240" s="2" t="inlineStr">
        <is>
          <t>AR_F+SG_M</t>
        </is>
      </c>
      <c r="B240" s="2" t="n">
        <v>6</v>
      </c>
    </row>
    <row r="241">
      <c r="A241" s="2" t="inlineStr">
        <is>
          <t>AQ_F+SC_M</t>
        </is>
      </c>
      <c r="B241" s="2" t="n">
        <v>4</v>
      </c>
    </row>
    <row r="242">
      <c r="A242" s="2" t="inlineStr">
        <is>
          <t>TA_F+SG_M</t>
        </is>
      </c>
      <c r="B242" s="2" t="n">
        <v>4</v>
      </c>
    </row>
    <row r="243">
      <c r="A243" s="2" t="inlineStr">
        <is>
          <t>LI_F+SG_M</t>
        </is>
      </c>
      <c r="B243" s="2" t="n">
        <v>7</v>
      </c>
    </row>
    <row r="244">
      <c r="A244" s="2" t="inlineStr">
        <is>
          <t>CA_F+SG_M</t>
        </is>
      </c>
      <c r="B244" s="2" t="n">
        <v>6</v>
      </c>
    </row>
    <row r="245">
      <c r="A245" s="2" t="inlineStr">
        <is>
          <t>LI_F+SC_M</t>
        </is>
      </c>
      <c r="B245" s="2" t="n">
        <v>4</v>
      </c>
    </row>
    <row r="246">
      <c r="A246" s="2" t="inlineStr">
        <is>
          <t>PI_F+SG_M</t>
        </is>
      </c>
      <c r="B246" s="2" t="n">
        <v>5</v>
      </c>
    </row>
    <row r="247">
      <c r="A247" s="2" t="inlineStr">
        <is>
          <t>VI_F+SG_M</t>
        </is>
      </c>
      <c r="B247" s="2" t="n">
        <v>4</v>
      </c>
    </row>
    <row r="248">
      <c r="A248" s="2" t="inlineStr">
        <is>
          <t>LE_F+SG_M</t>
        </is>
      </c>
      <c r="B248" s="2" t="n">
        <v>8</v>
      </c>
    </row>
    <row r="249">
      <c r="A249" s="2" t="inlineStr">
        <is>
          <t>CP_F+SG_M</t>
        </is>
      </c>
      <c r="B249" s="2" t="n">
        <v>4</v>
      </c>
    </row>
    <row r="250">
      <c r="A250" s="2" t="inlineStr">
        <is>
          <t>AQ_F+SG_M</t>
        </is>
      </c>
      <c r="B250" s="2" t="n">
        <v>6</v>
      </c>
    </row>
    <row r="251">
      <c r="A251" s="2" t="inlineStr">
        <is>
          <t>SG_F+SG_M</t>
        </is>
      </c>
      <c r="B251" s="2" t="n">
        <v>6</v>
      </c>
    </row>
    <row r="252">
      <c r="A252" s="2" t="inlineStr">
        <is>
          <t>SC_F+SG_M</t>
        </is>
      </c>
      <c r="B252" s="2" t="n">
        <v>6</v>
      </c>
    </row>
    <row r="253">
      <c r="A253" s="2" t="inlineStr">
        <is>
          <t>GE_F+CP_M</t>
        </is>
      </c>
      <c r="B253" s="2" t="n">
        <v>5</v>
      </c>
    </row>
    <row r="254">
      <c r="A254" s="2" t="inlineStr">
        <is>
          <t>CA_F+CP_M</t>
        </is>
      </c>
      <c r="B254" s="2" t="n">
        <v>5</v>
      </c>
    </row>
    <row r="255">
      <c r="A255" s="2" t="inlineStr">
        <is>
          <t>LE_F+CP_M</t>
        </is>
      </c>
      <c r="B255" s="2" t="n">
        <v>6</v>
      </c>
    </row>
    <row r="256">
      <c r="A256" s="2" t="inlineStr">
        <is>
          <t>AR_F+CP_M</t>
        </is>
      </c>
      <c r="B256" s="2" t="n">
        <v>4</v>
      </c>
    </row>
    <row r="257">
      <c r="A257" s="2" t="inlineStr">
        <is>
          <t>TA_F+CP_M</t>
        </is>
      </c>
      <c r="B257" s="2" t="n">
        <v>7</v>
      </c>
    </row>
    <row r="258">
      <c r="A258" s="2" t="inlineStr">
        <is>
          <t>SC_F+CP_M</t>
        </is>
      </c>
      <c r="B258" s="2" t="n">
        <v>5</v>
      </c>
    </row>
    <row r="259">
      <c r="A259" s="2" t="inlineStr">
        <is>
          <t>VI_F+CP_M</t>
        </is>
      </c>
      <c r="B259" s="2" t="n">
        <v>8</v>
      </c>
    </row>
    <row r="260">
      <c r="A260" s="2" t="inlineStr">
        <is>
          <t>GE_F+SG_M</t>
        </is>
      </c>
      <c r="B260" s="2" t="n">
        <v>7</v>
      </c>
    </row>
    <row r="261">
      <c r="A261" s="2" t="inlineStr">
        <is>
          <t>LI_F+CP_M</t>
        </is>
      </c>
      <c r="B261" s="2" t="n">
        <v>5</v>
      </c>
    </row>
    <row r="262">
      <c r="A262" s="2" t="inlineStr">
        <is>
          <t>PI_F+CP_M</t>
        </is>
      </c>
      <c r="B262" s="2" t="n">
        <v>6</v>
      </c>
    </row>
    <row r="263">
      <c r="A263" s="2" t="inlineStr">
        <is>
          <t>AQ_F+CP_M</t>
        </is>
      </c>
      <c r="B263" s="2" t="n">
        <v>5</v>
      </c>
    </row>
    <row r="264">
      <c r="A264" s="2" t="inlineStr">
        <is>
          <t>SG_F+CP_M</t>
        </is>
      </c>
      <c r="B264" s="2" t="n">
        <v>4</v>
      </c>
    </row>
    <row r="265">
      <c r="A265" s="2" t="inlineStr">
        <is>
          <t>LE_F+AQ_M</t>
        </is>
      </c>
      <c r="B265" s="2" t="n">
        <v>4</v>
      </c>
    </row>
    <row r="266">
      <c r="A266" s="2" t="inlineStr">
        <is>
          <t>AR_F+AQ_M</t>
        </is>
      </c>
      <c r="B266" s="2" t="n">
        <v>6</v>
      </c>
    </row>
    <row r="267">
      <c r="A267" s="2" t="inlineStr">
        <is>
          <t>GE_F+AQ_M</t>
        </is>
      </c>
      <c r="B267" s="2" t="n">
        <v>6</v>
      </c>
    </row>
    <row r="268">
      <c r="A268" s="2" t="inlineStr">
        <is>
          <t>CP_F+CP_M</t>
        </is>
      </c>
      <c r="B268" s="2" t="n">
        <v>7</v>
      </c>
    </row>
    <row r="269">
      <c r="A269" s="2" t="inlineStr">
        <is>
          <t>LI_F+AQ_M</t>
        </is>
      </c>
      <c r="B269" s="2" t="n">
        <v>8</v>
      </c>
    </row>
    <row r="270">
      <c r="A270" s="2" t="inlineStr">
        <is>
          <t>TA_F+AQ_M</t>
        </is>
      </c>
      <c r="B270" s="2" t="n">
        <v>5</v>
      </c>
    </row>
    <row r="271">
      <c r="A271" s="2" t="inlineStr">
        <is>
          <t>VI_F+AQ_M</t>
        </is>
      </c>
      <c r="B271" s="2" t="n">
        <v>5</v>
      </c>
    </row>
    <row r="272">
      <c r="A272" s="2" t="inlineStr">
        <is>
          <t>GE_F+PI_M</t>
        </is>
      </c>
      <c r="B272" s="2" t="n">
        <v>4</v>
      </c>
    </row>
    <row r="273">
      <c r="A273" s="2" t="inlineStr">
        <is>
          <t>CP_F+AQ_M</t>
        </is>
      </c>
      <c r="B273" s="2" t="n">
        <v>5</v>
      </c>
    </row>
    <row r="274">
      <c r="A274" s="2" t="inlineStr">
        <is>
          <t>SC_F+AQ_M</t>
        </is>
      </c>
      <c r="B274" s="2" t="n">
        <v>4</v>
      </c>
    </row>
    <row r="275">
      <c r="A275" s="2" t="inlineStr">
        <is>
          <t>CA_F+AQ_M</t>
        </is>
      </c>
      <c r="B275" s="2" t="n">
        <v>7</v>
      </c>
    </row>
    <row r="276">
      <c r="A276" s="2" t="inlineStr">
        <is>
          <t>SG_F+AQ_M</t>
        </is>
      </c>
      <c r="B276" s="2" t="n">
        <v>6</v>
      </c>
    </row>
    <row r="277">
      <c r="A277" s="2" t="inlineStr">
        <is>
          <t>AR_F+PI_M</t>
        </is>
      </c>
      <c r="B277" s="2" t="n">
        <v>5</v>
      </c>
    </row>
    <row r="278">
      <c r="A278" s="2" t="inlineStr">
        <is>
          <t>AQ_F+AQ_M</t>
        </is>
      </c>
      <c r="B278" s="2" t="n">
        <v>6</v>
      </c>
    </row>
    <row r="279">
      <c r="A279" s="2" t="inlineStr">
        <is>
          <t>SC_F+PI_M</t>
        </is>
      </c>
      <c r="B279" s="2" t="n">
        <v>8</v>
      </c>
    </row>
    <row r="280">
      <c r="A280" s="2" t="inlineStr">
        <is>
          <t>TA_F+PI_M</t>
        </is>
      </c>
      <c r="B280" s="2" t="n">
        <v>6</v>
      </c>
    </row>
    <row r="281">
      <c r="A281" s="2" t="inlineStr">
        <is>
          <t>CA_F+PI_M</t>
        </is>
      </c>
      <c r="B281" s="2" t="n">
        <v>6</v>
      </c>
    </row>
    <row r="282">
      <c r="A282" s="2" t="inlineStr">
        <is>
          <t>PI_F+AQ_M</t>
        </is>
      </c>
      <c r="B282" s="2" t="n">
        <v>7</v>
      </c>
    </row>
    <row r="283">
      <c r="A283" s="2" t="inlineStr">
        <is>
          <t>AQ_F+PI_M</t>
        </is>
      </c>
      <c r="B283" s="2" t="n">
        <v>7</v>
      </c>
    </row>
    <row r="284">
      <c r="A284" s="2" t="inlineStr">
        <is>
          <t>AR_M+TA_M</t>
        </is>
      </c>
      <c r="B284" s="2" t="n">
        <v>7</v>
      </c>
    </row>
    <row r="285">
      <c r="A285" s="2" t="inlineStr">
        <is>
          <t>AR_M+LE_M</t>
        </is>
      </c>
      <c r="B285" s="2" t="n">
        <v>8</v>
      </c>
    </row>
    <row r="286">
      <c r="A286" s="2" t="inlineStr">
        <is>
          <t>VI_F+PI_M</t>
        </is>
      </c>
      <c r="B286" s="2" t="n">
        <v>6</v>
      </c>
    </row>
    <row r="287">
      <c r="A287" s="2" t="inlineStr">
        <is>
          <t>CP_F+PI_M</t>
        </is>
      </c>
      <c r="B287" s="2" t="n">
        <v>6</v>
      </c>
    </row>
    <row r="288">
      <c r="A288" s="2" t="inlineStr">
        <is>
          <t>LE_F+PI_M</t>
        </is>
      </c>
      <c r="B288" s="2" t="n">
        <v>7</v>
      </c>
    </row>
    <row r="289">
      <c r="A289" s="2" t="inlineStr">
        <is>
          <t>LI_F+PI_M</t>
        </is>
      </c>
      <c r="B289" s="2" t="n">
        <v>6</v>
      </c>
    </row>
    <row r="290">
      <c r="A290" s="2" t="inlineStr">
        <is>
          <t>PI_F+PI_M</t>
        </is>
      </c>
      <c r="B290" s="2" t="n">
        <v>6</v>
      </c>
    </row>
    <row r="291">
      <c r="A291" s="2" t="inlineStr">
        <is>
          <t>SG_F+PI_M</t>
        </is>
      </c>
      <c r="B291" s="2" t="n">
        <v>5</v>
      </c>
    </row>
    <row r="292">
      <c r="A292" s="2" t="inlineStr">
        <is>
          <t>AR_M+AR_M</t>
        </is>
      </c>
      <c r="B292" s="2" t="n">
        <v>6</v>
      </c>
    </row>
    <row r="293">
      <c r="A293" s="2" t="inlineStr">
        <is>
          <t>AR_M+CA_M</t>
        </is>
      </c>
      <c r="B293" s="2" t="n">
        <v>4</v>
      </c>
    </row>
    <row r="294">
      <c r="A294" s="2" t="inlineStr">
        <is>
          <t>AR_M+GE_M</t>
        </is>
      </c>
      <c r="B294" s="2" t="n">
        <v>5</v>
      </c>
    </row>
    <row r="295">
      <c r="A295" s="2" t="inlineStr">
        <is>
          <t>AR_M+SC_M</t>
        </is>
      </c>
      <c r="B295" s="2" t="n">
        <v>5</v>
      </c>
    </row>
    <row r="296">
      <c r="A296" s="2" t="inlineStr">
        <is>
          <t>TA_M+GE_M</t>
        </is>
      </c>
      <c r="B296" s="2" t="n">
        <v>5</v>
      </c>
    </row>
    <row r="297">
      <c r="A297" s="2" t="inlineStr">
        <is>
          <t>AR_M+LI_M</t>
        </is>
      </c>
      <c r="B297" s="2" t="n">
        <v>7</v>
      </c>
    </row>
    <row r="298">
      <c r="A298" s="2" t="inlineStr">
        <is>
          <t>AR_M+VI_M</t>
        </is>
      </c>
      <c r="B298" s="2" t="n">
        <v>6</v>
      </c>
    </row>
    <row r="299">
      <c r="A299" s="2" t="inlineStr">
        <is>
          <t>AR_M+CP_M</t>
        </is>
      </c>
      <c r="B299" s="2" t="n">
        <v>4</v>
      </c>
    </row>
    <row r="300">
      <c r="A300" s="2" t="inlineStr">
        <is>
          <t>TA_M+AR_M</t>
        </is>
      </c>
      <c r="B300" s="2" t="n">
        <v>7</v>
      </c>
    </row>
    <row r="301">
      <c r="A301" s="2" t="inlineStr">
        <is>
          <t>AR_M+SG_M</t>
        </is>
      </c>
      <c r="B301" s="2" t="n">
        <v>6</v>
      </c>
    </row>
    <row r="302">
      <c r="A302" s="2" t="inlineStr">
        <is>
          <t>TA_M+LE_M</t>
        </is>
      </c>
      <c r="B302" s="2" t="n">
        <v>4</v>
      </c>
    </row>
    <row r="303">
      <c r="A303" s="2" t="inlineStr">
        <is>
          <t>TA_M+TA_M</t>
        </is>
      </c>
      <c r="B303" s="2" t="n">
        <v>6</v>
      </c>
    </row>
    <row r="304">
      <c r="A304" s="2" t="inlineStr">
        <is>
          <t>AR_M+AQ_M</t>
        </is>
      </c>
      <c r="B304" s="2" t="n">
        <v>6</v>
      </c>
    </row>
    <row r="305">
      <c r="A305" s="2" t="inlineStr">
        <is>
          <t>AR_M+PI_M</t>
        </is>
      </c>
      <c r="B305" s="2" t="n">
        <v>5</v>
      </c>
    </row>
    <row r="306">
      <c r="A306" s="2" t="inlineStr">
        <is>
          <t>TA_M+VI_M</t>
        </is>
      </c>
      <c r="B306" s="2" t="n">
        <v>8</v>
      </c>
    </row>
    <row r="307">
      <c r="A307" s="2" t="inlineStr">
        <is>
          <t>TA_M+SC_M</t>
        </is>
      </c>
      <c r="B307" s="2" t="n">
        <v>6</v>
      </c>
    </row>
    <row r="308">
      <c r="A308" s="2" t="inlineStr">
        <is>
          <t>TA_M+CA_M</t>
        </is>
      </c>
      <c r="B308" s="2" t="n">
        <v>7</v>
      </c>
    </row>
    <row r="309">
      <c r="A309" s="2" t="inlineStr">
        <is>
          <t>GE_M+AR_M</t>
        </is>
      </c>
      <c r="B309" s="2" t="n">
        <v>5</v>
      </c>
    </row>
    <row r="310">
      <c r="A310" s="2" t="inlineStr">
        <is>
          <t>TA_M+AQ_M</t>
        </is>
      </c>
      <c r="B310" s="2" t="n">
        <v>5</v>
      </c>
    </row>
    <row r="311">
      <c r="A311" s="2" t="inlineStr">
        <is>
          <t>TA_M+LI_M</t>
        </is>
      </c>
      <c r="B311" s="2" t="n">
        <v>5</v>
      </c>
    </row>
    <row r="312">
      <c r="A312" s="2" t="inlineStr">
        <is>
          <t>GE_M+TA_M</t>
        </is>
      </c>
      <c r="B312" s="2" t="n">
        <v>6</v>
      </c>
    </row>
    <row r="313">
      <c r="A313" s="2" t="inlineStr">
        <is>
          <t>GE_M+LE_M</t>
        </is>
      </c>
      <c r="B313" s="2" t="n">
        <v>5</v>
      </c>
    </row>
    <row r="314">
      <c r="A314" s="2" t="inlineStr">
        <is>
          <t>TA_M+SG_M</t>
        </is>
      </c>
      <c r="B314" s="2" t="n">
        <v>4</v>
      </c>
    </row>
    <row r="315">
      <c r="A315" s="2" t="inlineStr">
        <is>
          <t>TA_M+CP_M</t>
        </is>
      </c>
      <c r="B315" s="2" t="n">
        <v>7</v>
      </c>
    </row>
    <row r="316">
      <c r="A316" s="2" t="inlineStr">
        <is>
          <t>GE_M+AQ_M</t>
        </is>
      </c>
      <c r="B316" s="2" t="n">
        <v>6</v>
      </c>
    </row>
    <row r="317">
      <c r="A317" s="2" t="inlineStr">
        <is>
          <t>TA_M+PI_M</t>
        </is>
      </c>
      <c r="B317" s="2" t="n">
        <v>6</v>
      </c>
    </row>
    <row r="318">
      <c r="A318" s="2" t="inlineStr">
        <is>
          <t>CA_M+TA_M</t>
        </is>
      </c>
      <c r="B318" s="2" t="n">
        <v>5</v>
      </c>
    </row>
    <row r="319">
      <c r="A319" s="2" t="inlineStr">
        <is>
          <t>GE_M+GE_M</t>
        </is>
      </c>
      <c r="B319" s="2" t="n">
        <v>6</v>
      </c>
    </row>
    <row r="320">
      <c r="A320" s="2" t="inlineStr">
        <is>
          <t>GE_M+VI_M</t>
        </is>
      </c>
      <c r="B320" s="2" t="n">
        <v>4</v>
      </c>
    </row>
    <row r="321">
      <c r="A321" s="2" t="inlineStr">
        <is>
          <t>GE_M+CA_M</t>
        </is>
      </c>
      <c r="B321" s="2" t="n">
        <v>7</v>
      </c>
    </row>
    <row r="322">
      <c r="A322" s="2" t="inlineStr">
        <is>
          <t>GE_M+LI_M</t>
        </is>
      </c>
      <c r="B322" s="2" t="n">
        <v>8</v>
      </c>
    </row>
    <row r="323">
      <c r="A323" s="2" t="inlineStr">
        <is>
          <t>GE_M+PI_M</t>
        </is>
      </c>
      <c r="B323" s="2" t="n">
        <v>4</v>
      </c>
    </row>
    <row r="324">
      <c r="A324" s="2" t="inlineStr">
        <is>
          <t>CA_M+GE_M</t>
        </is>
      </c>
      <c r="B324" s="2" t="n">
        <v>7</v>
      </c>
    </row>
    <row r="325">
      <c r="A325" s="2" t="inlineStr">
        <is>
          <t>GE_M+SC_M</t>
        </is>
      </c>
      <c r="B325" s="2" t="n">
        <v>6</v>
      </c>
    </row>
    <row r="326">
      <c r="A326" s="2" t="inlineStr">
        <is>
          <t>GE_M+SG_M</t>
        </is>
      </c>
      <c r="B326" s="2" t="n">
        <v>7</v>
      </c>
    </row>
    <row r="327">
      <c r="A327" s="2" t="inlineStr">
        <is>
          <t>GE_M+CP_M</t>
        </is>
      </c>
      <c r="B327" s="2" t="n">
        <v>5</v>
      </c>
    </row>
    <row r="328">
      <c r="A328" s="2" t="inlineStr">
        <is>
          <t>CA_M+SC_M</t>
        </is>
      </c>
      <c r="B328" s="2" t="n">
        <v>8</v>
      </c>
    </row>
    <row r="329">
      <c r="A329" s="2" t="inlineStr">
        <is>
          <t>CA_M+LI_M</t>
        </is>
      </c>
      <c r="B329" s="2" t="n">
        <v>5</v>
      </c>
    </row>
    <row r="330">
      <c r="A330" s="2" t="inlineStr">
        <is>
          <t>CA_M+AR_M</t>
        </is>
      </c>
      <c r="B330" s="2" t="n">
        <v>6</v>
      </c>
    </row>
    <row r="331">
      <c r="A331" s="2" t="inlineStr">
        <is>
          <t>CA_M+CA_M</t>
        </is>
      </c>
      <c r="B331" s="2" t="n">
        <v>6</v>
      </c>
    </row>
    <row r="332">
      <c r="A332" s="2" t="inlineStr">
        <is>
          <t>CA_M+PI_M</t>
        </is>
      </c>
      <c r="B332" s="2" t="n">
        <v>6</v>
      </c>
    </row>
    <row r="333">
      <c r="A333" s="2" t="inlineStr">
        <is>
          <t>CA_M+SG_M</t>
        </is>
      </c>
      <c r="B333" s="2" t="n">
        <v>6</v>
      </c>
    </row>
    <row r="334">
      <c r="A334" s="2" t="inlineStr">
        <is>
          <t>CA_M+VI_M</t>
        </is>
      </c>
      <c r="B334" s="2" t="n">
        <v>6</v>
      </c>
    </row>
    <row r="335">
      <c r="A335" s="2" t="inlineStr">
        <is>
          <t>CA_M+AQ_M</t>
        </is>
      </c>
      <c r="B335" s="2" t="n">
        <v>7</v>
      </c>
    </row>
    <row r="336">
      <c r="A336" s="2" t="inlineStr">
        <is>
          <t>CA_M+LE_M</t>
        </is>
      </c>
      <c r="B336" s="2" t="n">
        <v>4</v>
      </c>
    </row>
    <row r="337">
      <c r="A337" s="2" t="inlineStr">
        <is>
          <t>LE_M+AR_M</t>
        </is>
      </c>
      <c r="B337" s="2" t="n">
        <v>8</v>
      </c>
    </row>
    <row r="338">
      <c r="A338" s="2" t="inlineStr">
        <is>
          <t>LE_M+GE_M</t>
        </is>
      </c>
      <c r="B338" s="2" t="n">
        <v>5</v>
      </c>
    </row>
    <row r="339">
      <c r="A339" s="2" t="inlineStr">
        <is>
          <t>CA_M+CP_M</t>
        </is>
      </c>
      <c r="B339" s="2" t="n">
        <v>5</v>
      </c>
    </row>
    <row r="340">
      <c r="A340" s="2" t="inlineStr">
        <is>
          <t>LE_M+TA_M</t>
        </is>
      </c>
      <c r="B340" s="2" t="n">
        <v>6</v>
      </c>
    </row>
    <row r="341">
      <c r="A341" s="2" t="inlineStr">
        <is>
          <t>LE_M+VI_M</t>
        </is>
      </c>
      <c r="B341" s="2" t="n">
        <v>5</v>
      </c>
    </row>
    <row r="342">
      <c r="A342" s="2" t="inlineStr">
        <is>
          <t>LE_M+SC_M</t>
        </is>
      </c>
      <c r="B342" s="2" t="n">
        <v>5</v>
      </c>
    </row>
    <row r="343">
      <c r="A343" s="2" t="inlineStr">
        <is>
          <t>LE_M+SG_M</t>
        </is>
      </c>
      <c r="B343" s="2" t="n">
        <v>8</v>
      </c>
    </row>
    <row r="344">
      <c r="A344" s="2" t="inlineStr">
        <is>
          <t>LE_M+CA_M</t>
        </is>
      </c>
      <c r="B344" s="2" t="n">
        <v>4</v>
      </c>
    </row>
    <row r="345">
      <c r="A345" s="2" t="inlineStr">
        <is>
          <t>LE_M+LI_M</t>
        </is>
      </c>
      <c r="B345" s="2" t="n">
        <v>6</v>
      </c>
    </row>
    <row r="346">
      <c r="A346" s="2" t="inlineStr">
        <is>
          <t>LE_M+AQ_M</t>
        </is>
      </c>
      <c r="B346" s="2" t="n">
        <v>4</v>
      </c>
    </row>
    <row r="347">
      <c r="A347" s="2" t="inlineStr">
        <is>
          <t>LE_M+PI_M</t>
        </is>
      </c>
      <c r="B347" s="2" t="n">
        <v>7</v>
      </c>
    </row>
    <row r="348">
      <c r="A348" s="2" t="inlineStr">
        <is>
          <t>VI_M+GE_M</t>
        </is>
      </c>
      <c r="B348" s="2" t="n">
        <v>5</v>
      </c>
    </row>
    <row r="349">
      <c r="A349" s="2" t="inlineStr">
        <is>
          <t>VI_M+AR_M</t>
        </is>
      </c>
      <c r="B349" s="2" t="n">
        <v>6</v>
      </c>
    </row>
    <row r="350">
      <c r="A350" s="2" t="inlineStr">
        <is>
          <t>LE_M+CP_M</t>
        </is>
      </c>
      <c r="B350" s="2" t="n">
        <v>6</v>
      </c>
    </row>
    <row r="351">
      <c r="A351" s="2" t="inlineStr">
        <is>
          <t>LE_M+LE_M</t>
        </is>
      </c>
      <c r="B351" s="2" t="n">
        <v>7</v>
      </c>
    </row>
    <row r="352">
      <c r="A352" s="2" t="inlineStr">
        <is>
          <t>VI_M+SC_M</t>
        </is>
      </c>
      <c r="B352" s="2" t="n">
        <v>6</v>
      </c>
    </row>
    <row r="353">
      <c r="A353" s="2" t="inlineStr">
        <is>
          <t>VI_M+LI_M</t>
        </is>
      </c>
      <c r="B353" s="2" t="n">
        <v>5</v>
      </c>
    </row>
    <row r="354">
      <c r="A354" s="2" t="inlineStr">
        <is>
          <t>VI_M+LE_M</t>
        </is>
      </c>
      <c r="B354" s="2" t="n">
        <v>4</v>
      </c>
    </row>
    <row r="355">
      <c r="A355" s="2" t="inlineStr">
        <is>
          <t>VI_M+CP_M</t>
        </is>
      </c>
      <c r="B355" s="2" t="n">
        <v>8</v>
      </c>
    </row>
    <row r="356">
      <c r="A356" s="2" t="inlineStr">
        <is>
          <t>VI_M+VI_M</t>
        </is>
      </c>
      <c r="B356" s="2" t="n">
        <v>7</v>
      </c>
    </row>
    <row r="357">
      <c r="A357" s="2" t="inlineStr">
        <is>
          <t>VI_M+SG_M</t>
        </is>
      </c>
      <c r="B357" s="2" t="n">
        <v>4</v>
      </c>
    </row>
    <row r="358">
      <c r="A358" s="2" t="inlineStr">
        <is>
          <t>VI_M+TA_M</t>
        </is>
      </c>
      <c r="B358" s="2" t="n">
        <v>7</v>
      </c>
    </row>
    <row r="359">
      <c r="A359" s="2" t="inlineStr">
        <is>
          <t>VI_M+CA_M</t>
        </is>
      </c>
      <c r="B359" s="2" t="n">
        <v>6</v>
      </c>
    </row>
    <row r="360">
      <c r="A360" s="2" t="inlineStr">
        <is>
          <t>LI_M+TA_M</t>
        </is>
      </c>
      <c r="B360" s="2" t="n">
        <v>5</v>
      </c>
    </row>
    <row r="361">
      <c r="A361" s="2" t="inlineStr">
        <is>
          <t>VI_M+PI_M</t>
        </is>
      </c>
      <c r="B361" s="2" t="n">
        <v>6</v>
      </c>
    </row>
    <row r="362">
      <c r="A362" s="2" t="inlineStr">
        <is>
          <t>LI_M+AR_M</t>
        </is>
      </c>
      <c r="B362" s="2" t="n">
        <v>7</v>
      </c>
    </row>
    <row r="363">
      <c r="A363" s="2" t="inlineStr">
        <is>
          <t>VI_M+AQ_M</t>
        </is>
      </c>
      <c r="B363" s="2" t="n">
        <v>5</v>
      </c>
    </row>
    <row r="364">
      <c r="A364" s="2" t="inlineStr">
        <is>
          <t>LI_M+SC_M</t>
        </is>
      </c>
      <c r="B364" s="2" t="n">
        <v>4</v>
      </c>
    </row>
    <row r="365">
      <c r="A365" s="2" t="inlineStr">
        <is>
          <t>LI_M+CA_M</t>
        </is>
      </c>
      <c r="B365" s="2" t="n">
        <v>4</v>
      </c>
    </row>
    <row r="366">
      <c r="A366" s="2" t="inlineStr">
        <is>
          <t>LI_M+LE_M</t>
        </is>
      </c>
      <c r="B366" s="2" t="n">
        <v>5</v>
      </c>
    </row>
    <row r="367">
      <c r="A367" s="2" t="inlineStr">
        <is>
          <t>LI_M+GE_M</t>
        </is>
      </c>
      <c r="B367" s="2" t="n">
        <v>6</v>
      </c>
    </row>
    <row r="368">
      <c r="A368" s="2" t="inlineStr">
        <is>
          <t>LI_M+AQ_M</t>
        </is>
      </c>
      <c r="B368" s="2" t="n">
        <v>8</v>
      </c>
    </row>
    <row r="369">
      <c r="A369" s="2" t="inlineStr">
        <is>
          <t>LI_M+VI_M</t>
        </is>
      </c>
      <c r="B369" s="2" t="n">
        <v>6</v>
      </c>
    </row>
    <row r="370">
      <c r="A370" s="2" t="inlineStr">
        <is>
          <t>LI_M+PI_M</t>
        </is>
      </c>
      <c r="B370" s="2" t="n">
        <v>6</v>
      </c>
    </row>
    <row r="371">
      <c r="A371" s="2" t="inlineStr">
        <is>
          <t>LI_M+LI_M</t>
        </is>
      </c>
      <c r="B371" s="2" t="n">
        <v>6</v>
      </c>
    </row>
    <row r="372">
      <c r="A372" s="2" t="inlineStr">
        <is>
          <t>LI_M+CP_M</t>
        </is>
      </c>
      <c r="B372" s="2" t="n">
        <v>5</v>
      </c>
    </row>
    <row r="373">
      <c r="A373" s="2" t="inlineStr">
        <is>
          <t>SC_M+GE_M</t>
        </is>
      </c>
      <c r="B373" s="2" t="n">
        <v>7</v>
      </c>
    </row>
    <row r="374">
      <c r="A374" s="2" t="inlineStr">
        <is>
          <t>SC_M+TA_M</t>
        </is>
      </c>
      <c r="B374" s="2" t="n">
        <v>6</v>
      </c>
    </row>
    <row r="375">
      <c r="A375" s="2" t="inlineStr">
        <is>
          <t>LI_M+SG_M</t>
        </is>
      </c>
      <c r="B375" s="2" t="n">
        <v>7</v>
      </c>
    </row>
    <row r="376">
      <c r="A376" s="2" t="inlineStr">
        <is>
          <t>SC_M+LI_M</t>
        </is>
      </c>
      <c r="B376" s="2" t="n">
        <v>5</v>
      </c>
    </row>
    <row r="377">
      <c r="A377" s="2" t="inlineStr">
        <is>
          <t>SC_M+AR_M</t>
        </is>
      </c>
      <c r="B377" s="2" t="n">
        <v>5</v>
      </c>
    </row>
    <row r="378">
      <c r="A378" s="2" t="inlineStr">
        <is>
          <t>SC_M+VI_M</t>
        </is>
      </c>
      <c r="B378" s="2" t="n">
        <v>4</v>
      </c>
    </row>
    <row r="379">
      <c r="A379" s="2" t="inlineStr">
        <is>
          <t>SC_M+LE_M</t>
        </is>
      </c>
      <c r="B379" s="2" t="n">
        <v>6</v>
      </c>
    </row>
    <row r="380">
      <c r="A380" s="2" t="inlineStr">
        <is>
          <t>SC_M+PI_M</t>
        </is>
      </c>
      <c r="B380" s="2" t="n">
        <v>8</v>
      </c>
    </row>
    <row r="381">
      <c r="A381" s="2" t="inlineStr">
        <is>
          <t>SC_M+CA_M</t>
        </is>
      </c>
      <c r="B381" s="2" t="n">
        <v>5</v>
      </c>
    </row>
    <row r="382">
      <c r="A382" s="2" t="inlineStr">
        <is>
          <t>SG_M+GE_M</t>
        </is>
      </c>
      <c r="B382" s="2" t="n">
        <v>5</v>
      </c>
    </row>
    <row r="383">
      <c r="A383" s="2" t="inlineStr">
        <is>
          <t>SC_M+SC_M</t>
        </is>
      </c>
      <c r="B383" s="2" t="n">
        <v>7</v>
      </c>
    </row>
    <row r="384">
      <c r="A384" s="2" t="inlineStr">
        <is>
          <t>SC_M+SG_M</t>
        </is>
      </c>
      <c r="B384" s="2" t="n">
        <v>6</v>
      </c>
    </row>
    <row r="385">
      <c r="A385" s="2" t="inlineStr">
        <is>
          <t>SG_M+TA_M</t>
        </is>
      </c>
      <c r="B385" s="2" t="n">
        <v>4</v>
      </c>
    </row>
    <row r="386">
      <c r="A386" s="2" t="inlineStr">
        <is>
          <t>SG_M+LE_M</t>
        </is>
      </c>
      <c r="B386" s="2" t="n">
        <v>8</v>
      </c>
    </row>
    <row r="387">
      <c r="A387" s="2" t="inlineStr">
        <is>
          <t>CP_M+AR_M</t>
        </is>
      </c>
      <c r="B387" s="2" t="n">
        <v>4</v>
      </c>
    </row>
    <row r="388">
      <c r="A388" s="2" t="inlineStr">
        <is>
          <t>SG_M+CA_M</t>
        </is>
      </c>
      <c r="B388" s="2" t="n">
        <v>6</v>
      </c>
    </row>
    <row r="389">
      <c r="A389" s="2" t="inlineStr">
        <is>
          <t>SC_M+CP_M</t>
        </is>
      </c>
      <c r="B389" s="2" t="n">
        <v>5</v>
      </c>
    </row>
    <row r="390">
      <c r="A390" s="2" t="inlineStr">
        <is>
          <t>SC_M+AQ_M</t>
        </is>
      </c>
      <c r="B390" s="2" t="n">
        <v>4</v>
      </c>
    </row>
    <row r="391">
      <c r="A391" s="2" t="inlineStr">
        <is>
          <t>SG_M+AR_M</t>
        </is>
      </c>
      <c r="B391" s="2" t="n">
        <v>6</v>
      </c>
    </row>
    <row r="392">
      <c r="A392" s="2" t="inlineStr">
        <is>
          <t>SG_M+AQ_M</t>
        </is>
      </c>
      <c r="B392" s="2" t="n">
        <v>6</v>
      </c>
    </row>
    <row r="393">
      <c r="A393" s="2" t="inlineStr">
        <is>
          <t>SG_M+VI_M</t>
        </is>
      </c>
      <c r="B393" s="2" t="n">
        <v>5</v>
      </c>
    </row>
    <row r="394">
      <c r="A394" s="2" t="inlineStr">
        <is>
          <t>SG_M+SC_M</t>
        </is>
      </c>
      <c r="B394" s="2" t="n">
        <v>5</v>
      </c>
    </row>
    <row r="395">
      <c r="A395" s="2" t="inlineStr">
        <is>
          <t>SG_M+PI_M</t>
        </is>
      </c>
      <c r="B395" s="2" t="n">
        <v>5</v>
      </c>
    </row>
    <row r="396">
      <c r="A396" s="2" t="inlineStr">
        <is>
          <t>SG_M+LI_M</t>
        </is>
      </c>
      <c r="B396" s="2" t="n">
        <v>7</v>
      </c>
    </row>
    <row r="397">
      <c r="A397" s="2" t="inlineStr">
        <is>
          <t>SG_M+SG_M</t>
        </is>
      </c>
      <c r="B397" s="2" t="n">
        <v>6</v>
      </c>
    </row>
    <row r="398">
      <c r="A398" s="2" t="inlineStr">
        <is>
          <t>CP_M+TA_M</t>
        </is>
      </c>
      <c r="B398" s="2" t="n">
        <v>7</v>
      </c>
    </row>
    <row r="399">
      <c r="A399" s="2" t="inlineStr">
        <is>
          <t>SG_M+CP_M</t>
        </is>
      </c>
      <c r="B399" s="2" t="n">
        <v>4</v>
      </c>
    </row>
    <row r="400">
      <c r="A400" s="2" t="inlineStr">
        <is>
          <t>CP_M+GE_M</t>
        </is>
      </c>
      <c r="B400" s="2" t="n">
        <v>5</v>
      </c>
    </row>
    <row r="401">
      <c r="A401" s="2" t="inlineStr">
        <is>
          <t>CP_M+CA_M</t>
        </is>
      </c>
      <c r="B401" s="2" t="n">
        <v>6</v>
      </c>
    </row>
    <row r="402">
      <c r="A402" s="2" t="inlineStr">
        <is>
          <t>CP_M+VI_M</t>
        </is>
      </c>
      <c r="B402" s="2" t="n">
        <v>8</v>
      </c>
    </row>
    <row r="403">
      <c r="A403" s="2" t="inlineStr">
        <is>
          <t>CP_M+SC_M</t>
        </is>
      </c>
      <c r="B403" s="2" t="n">
        <v>5</v>
      </c>
    </row>
    <row r="404">
      <c r="A404" s="2" t="inlineStr">
        <is>
          <t>CP_M+LE_M</t>
        </is>
      </c>
      <c r="B404" s="2" t="n">
        <v>5</v>
      </c>
    </row>
    <row r="405">
      <c r="A405" s="2" t="inlineStr">
        <is>
          <t>CP_M+SG_M</t>
        </is>
      </c>
      <c r="B405" s="2" t="n">
        <v>4</v>
      </c>
    </row>
    <row r="406">
      <c r="A406" s="2" t="inlineStr">
        <is>
          <t>AQ_M+VI_M</t>
        </is>
      </c>
      <c r="B406" s="2" t="n">
        <v>5</v>
      </c>
    </row>
    <row r="407">
      <c r="A407" s="2" t="inlineStr">
        <is>
          <t>AQ_M+GE_M</t>
        </is>
      </c>
      <c r="B407" s="2" t="n">
        <v>6</v>
      </c>
    </row>
    <row r="408">
      <c r="A408" s="2" t="inlineStr">
        <is>
          <t>CP_M+LI_M</t>
        </is>
      </c>
      <c r="B408" s="2" t="n">
        <v>6</v>
      </c>
    </row>
    <row r="409">
      <c r="A409" s="2" t="inlineStr">
        <is>
          <t>CP_M+CP_M</t>
        </is>
      </c>
      <c r="B409" s="2" t="n">
        <v>7</v>
      </c>
    </row>
    <row r="410">
      <c r="A410" s="2" t="inlineStr">
        <is>
          <t>CP_M+PI_M</t>
        </is>
      </c>
      <c r="B410" s="2" t="n">
        <v>6</v>
      </c>
    </row>
    <row r="411">
      <c r="A411" s="2" t="inlineStr">
        <is>
          <t>CP_M+AQ_M</t>
        </is>
      </c>
      <c r="B411" s="2" t="n">
        <v>5</v>
      </c>
    </row>
    <row r="412">
      <c r="A412" s="2" t="inlineStr">
        <is>
          <t>AQ_M+TA_M</t>
        </is>
      </c>
      <c r="B412" s="2" t="n">
        <v>5</v>
      </c>
    </row>
    <row r="413">
      <c r="A413" s="2" t="inlineStr">
        <is>
          <t>AQ_M+AR_M</t>
        </is>
      </c>
      <c r="B413" s="2" t="n">
        <v>6</v>
      </c>
    </row>
    <row r="414">
      <c r="A414" s="2" t="inlineStr">
        <is>
          <t>AQ_M+LE_M</t>
        </is>
      </c>
      <c r="B414" s="2" t="n">
        <v>4</v>
      </c>
    </row>
    <row r="415">
      <c r="A415" s="2" t="inlineStr">
        <is>
          <t>AQ_M+AQ_M</t>
        </is>
      </c>
      <c r="B415" s="2" t="n">
        <v>6</v>
      </c>
    </row>
    <row r="416">
      <c r="A416" s="2" t="inlineStr">
        <is>
          <t>AQ_M+SC_M</t>
        </is>
      </c>
      <c r="B416" s="2" t="n">
        <v>4</v>
      </c>
    </row>
    <row r="417">
      <c r="A417" s="2" t="inlineStr">
        <is>
          <t>AQ_M+CP_M</t>
        </is>
      </c>
      <c r="B417" s="2" t="n">
        <v>5</v>
      </c>
    </row>
    <row r="418">
      <c r="A418" s="2" t="inlineStr">
        <is>
          <t>AQ_M+SG_M</t>
        </is>
      </c>
      <c r="B418" s="2" t="n">
        <v>6</v>
      </c>
    </row>
    <row r="419">
      <c r="A419" s="2" t="inlineStr">
        <is>
          <t>PI_M+VI_M</t>
        </is>
      </c>
      <c r="B419" s="2" t="n">
        <v>5</v>
      </c>
    </row>
    <row r="420">
      <c r="A420" s="2" t="inlineStr">
        <is>
          <t>AQ_M+LI_M</t>
        </is>
      </c>
      <c r="B420" s="2" t="n">
        <v>8</v>
      </c>
    </row>
    <row r="421">
      <c r="A421" s="2" t="inlineStr">
        <is>
          <t>AQ_M+CA_M</t>
        </is>
      </c>
      <c r="B421" s="2" t="n">
        <v>7</v>
      </c>
    </row>
    <row r="422">
      <c r="A422" s="2" t="inlineStr">
        <is>
          <t>PI_M+AQ_M</t>
        </is>
      </c>
      <c r="B422" s="2" t="n">
        <v>7</v>
      </c>
    </row>
    <row r="423">
      <c r="A423" s="2" t="inlineStr">
        <is>
          <t>PI_M+SC_M</t>
        </is>
      </c>
      <c r="B423" s="2" t="n">
        <v>8</v>
      </c>
    </row>
    <row r="424">
      <c r="A424" s="2" t="inlineStr">
        <is>
          <t>PI_M+AR_M</t>
        </is>
      </c>
      <c r="B424" s="2" t="n">
        <v>5</v>
      </c>
    </row>
    <row r="425">
      <c r="A425" s="2" t="inlineStr">
        <is>
          <t>PI_M+TA_M</t>
        </is>
      </c>
      <c r="B425" s="2" t="n">
        <v>6</v>
      </c>
    </row>
    <row r="426">
      <c r="A426" s="2" t="inlineStr">
        <is>
          <t>AQ_M+PI_M</t>
        </is>
      </c>
      <c r="B426" s="2" t="n">
        <v>7</v>
      </c>
    </row>
    <row r="427">
      <c r="A427" s="2" t="inlineStr">
        <is>
          <t>PI_M+GE_M</t>
        </is>
      </c>
      <c r="B427" s="2" t="n">
        <v>4</v>
      </c>
    </row>
    <row r="428">
      <c r="A428" s="2" t="inlineStr">
        <is>
          <t>PI_M+SG_M</t>
        </is>
      </c>
      <c r="B428" s="2" t="n">
        <v>5</v>
      </c>
    </row>
    <row r="429">
      <c r="A429" s="2" t="inlineStr">
        <is>
          <t>PI_M+CA_M</t>
        </is>
      </c>
      <c r="B429" s="2" t="n">
        <v>6</v>
      </c>
    </row>
    <row r="430">
      <c r="A430" s="2" t="inlineStr">
        <is>
          <t>PI_M+LI_M</t>
        </is>
      </c>
      <c r="B430" s="2" t="n">
        <v>6</v>
      </c>
    </row>
    <row r="431">
      <c r="A431" s="2" t="inlineStr">
        <is>
          <t>PI_M+LE_M</t>
        </is>
      </c>
      <c r="B431" s="2" t="n">
        <v>7</v>
      </c>
    </row>
    <row r="432">
      <c r="A432" s="2" t="inlineStr">
        <is>
          <t>AR_F+AR_F</t>
        </is>
      </c>
      <c r="B432" s="2" t="n">
        <v>6</v>
      </c>
    </row>
    <row r="433">
      <c r="A433" s="2" t="inlineStr">
        <is>
          <t>AR_F+VI_F</t>
        </is>
      </c>
      <c r="B433" s="2" t="n">
        <v>6</v>
      </c>
    </row>
    <row r="434">
      <c r="A434" s="2" t="inlineStr">
        <is>
          <t>PI_M+PI_M</t>
        </is>
      </c>
      <c r="B434" s="2" t="n">
        <v>6</v>
      </c>
    </row>
    <row r="435">
      <c r="A435" s="2" t="inlineStr">
        <is>
          <t>AR_F+SC_F</t>
        </is>
      </c>
      <c r="B435" s="2" t="n">
        <v>5</v>
      </c>
    </row>
    <row r="436">
      <c r="A436" s="2" t="inlineStr">
        <is>
          <t>AR_F+CP_F</t>
        </is>
      </c>
      <c r="B436" s="2" t="n">
        <v>4</v>
      </c>
    </row>
    <row r="437">
      <c r="A437" s="2" t="inlineStr">
        <is>
          <t>AR_F+TA_F</t>
        </is>
      </c>
      <c r="B437" s="2" t="n">
        <v>7</v>
      </c>
    </row>
    <row r="438">
      <c r="A438" s="2" t="inlineStr">
        <is>
          <t>AR_F+CA_F</t>
        </is>
      </c>
      <c r="B438" s="2" t="n">
        <v>4</v>
      </c>
    </row>
    <row r="439">
      <c r="A439" s="2" t="inlineStr">
        <is>
          <t>AR_F+GE_F</t>
        </is>
      </c>
      <c r="B439" s="2" t="n">
        <v>5</v>
      </c>
    </row>
    <row r="440">
      <c r="A440" s="2" t="inlineStr">
        <is>
          <t>AR_F+LE_F</t>
        </is>
      </c>
      <c r="B440" s="2" t="n">
        <v>8</v>
      </c>
    </row>
    <row r="441">
      <c r="A441" s="2" t="inlineStr">
        <is>
          <t>PI_M+CP_M</t>
        </is>
      </c>
      <c r="B441" s="2" t="n">
        <v>6</v>
      </c>
    </row>
    <row r="442">
      <c r="A442" s="2" t="inlineStr">
        <is>
          <t>TA_F+TA_F</t>
        </is>
      </c>
      <c r="B442" s="2" t="n">
        <v>6</v>
      </c>
    </row>
    <row r="443">
      <c r="A443" s="2" t="inlineStr">
        <is>
          <t>AR_F+AQ_F</t>
        </is>
      </c>
      <c r="B443" s="2" t="n">
        <v>6</v>
      </c>
    </row>
    <row r="444">
      <c r="A444" s="2" t="inlineStr">
        <is>
          <t>AR_F+PI_F</t>
        </is>
      </c>
      <c r="B444" s="2" t="n">
        <v>5</v>
      </c>
    </row>
    <row r="445">
      <c r="A445" s="2" t="inlineStr">
        <is>
          <t>AR_F+LI_F</t>
        </is>
      </c>
      <c r="B445" s="2" t="n">
        <v>7</v>
      </c>
    </row>
    <row r="446">
      <c r="A446" s="2" t="inlineStr">
        <is>
          <t>AR_F+SG_F</t>
        </is>
      </c>
      <c r="B446" s="2" t="n">
        <v>6</v>
      </c>
    </row>
    <row r="447">
      <c r="A447" s="2" t="inlineStr">
        <is>
          <t>TA_F+AR_F</t>
        </is>
      </c>
      <c r="B447" s="2" t="n">
        <v>7</v>
      </c>
    </row>
    <row r="448">
      <c r="A448" s="2" t="inlineStr">
        <is>
          <t>TA_F+LE_F</t>
        </is>
      </c>
      <c r="B448" s="2" t="n">
        <v>4</v>
      </c>
    </row>
    <row r="449">
      <c r="A449" s="2" t="inlineStr">
        <is>
          <t>TA_F+LI_F</t>
        </is>
      </c>
      <c r="B449" s="2" t="n">
        <v>5</v>
      </c>
    </row>
    <row r="450">
      <c r="A450" s="2" t="inlineStr">
        <is>
          <t>GE_F+TA_F</t>
        </is>
      </c>
      <c r="B450" s="2" t="n">
        <v>6</v>
      </c>
    </row>
    <row r="451">
      <c r="A451" s="2" t="inlineStr">
        <is>
          <t>TA_F+VI_F</t>
        </is>
      </c>
      <c r="B451" s="2" t="n">
        <v>8</v>
      </c>
    </row>
    <row r="452">
      <c r="A452" s="2" t="inlineStr">
        <is>
          <t>TA_F+SC_F</t>
        </is>
      </c>
      <c r="B452" s="2" t="n">
        <v>6</v>
      </c>
    </row>
    <row r="453">
      <c r="A453" s="2" t="inlineStr">
        <is>
          <t>TA_F+CA_F</t>
        </is>
      </c>
      <c r="B453" s="2" t="n">
        <v>7</v>
      </c>
    </row>
    <row r="454">
      <c r="A454" s="2" t="inlineStr">
        <is>
          <t>GE_F+VI_F</t>
        </is>
      </c>
      <c r="B454" s="2" t="n">
        <v>4</v>
      </c>
    </row>
    <row r="455">
      <c r="A455" s="2" t="inlineStr">
        <is>
          <t>TA_F+CP_F</t>
        </is>
      </c>
      <c r="B455" s="2" t="n">
        <v>7</v>
      </c>
    </row>
    <row r="456">
      <c r="A456" s="2" t="inlineStr">
        <is>
          <t>GE_F+CA_F</t>
        </is>
      </c>
      <c r="B456" s="2" t="n">
        <v>7</v>
      </c>
    </row>
    <row r="457">
      <c r="A457" s="2" t="inlineStr">
        <is>
          <t>TA_F+SG_F</t>
        </is>
      </c>
      <c r="B457" s="2" t="n">
        <v>4</v>
      </c>
    </row>
    <row r="458">
      <c r="A458" s="2" t="inlineStr">
        <is>
          <t>GE_F+GE_F</t>
        </is>
      </c>
      <c r="B458" s="2" t="n">
        <v>6</v>
      </c>
    </row>
    <row r="459">
      <c r="A459" s="2" t="inlineStr">
        <is>
          <t>TA_F+GE_F</t>
        </is>
      </c>
      <c r="B459" s="2" t="n">
        <v>5</v>
      </c>
    </row>
    <row r="460">
      <c r="A460" s="2" t="inlineStr">
        <is>
          <t>TA_F+AQ_F</t>
        </is>
      </c>
      <c r="B460" s="2" t="n">
        <v>5</v>
      </c>
    </row>
    <row r="461">
      <c r="A461" s="2" t="inlineStr">
        <is>
          <t>TA_F+PI_F</t>
        </is>
      </c>
      <c r="B461" s="2" t="n">
        <v>6</v>
      </c>
    </row>
    <row r="462">
      <c r="A462" s="2" t="inlineStr">
        <is>
          <t>GE_F+LE_F</t>
        </is>
      </c>
      <c r="B462" s="2" t="n">
        <v>5</v>
      </c>
    </row>
    <row r="463">
      <c r="A463" s="2" t="inlineStr">
        <is>
          <t>CA_F+GE_F</t>
        </is>
      </c>
      <c r="B463" s="2" t="n">
        <v>7</v>
      </c>
    </row>
    <row r="464">
      <c r="A464" s="2" t="inlineStr">
        <is>
          <t>GE_F+SG_F</t>
        </is>
      </c>
      <c r="B464" s="2" t="n">
        <v>7</v>
      </c>
    </row>
    <row r="465">
      <c r="A465" s="2" t="inlineStr">
        <is>
          <t>CA_F+AR_F</t>
        </is>
      </c>
      <c r="B465" s="2" t="n">
        <v>6</v>
      </c>
    </row>
    <row r="466">
      <c r="A466" s="2" t="inlineStr">
        <is>
          <t>GE_F+LI_F</t>
        </is>
      </c>
      <c r="B466" s="2" t="n">
        <v>8</v>
      </c>
    </row>
    <row r="467">
      <c r="A467" s="2" t="inlineStr">
        <is>
          <t>GE_F+AR_F</t>
        </is>
      </c>
      <c r="B467" s="2" t="n">
        <v>5</v>
      </c>
    </row>
    <row r="468">
      <c r="A468" s="2" t="inlineStr">
        <is>
          <t>GE_F+PI_F</t>
        </is>
      </c>
      <c r="B468" s="2" t="n">
        <v>4</v>
      </c>
    </row>
    <row r="469">
      <c r="A469" s="2" t="inlineStr">
        <is>
          <t>GE_F+CP_F</t>
        </is>
      </c>
      <c r="B469" s="2" t="n">
        <v>5</v>
      </c>
    </row>
    <row r="470">
      <c r="A470" s="2" t="inlineStr">
        <is>
          <t>CA_F+CA_F</t>
        </is>
      </c>
      <c r="B470" s="2" t="n">
        <v>6</v>
      </c>
    </row>
    <row r="471">
      <c r="A471" s="2" t="inlineStr">
        <is>
          <t>CA_F+TA_F</t>
        </is>
      </c>
      <c r="B471" s="2" t="n">
        <v>5</v>
      </c>
    </row>
    <row r="472">
      <c r="A472" s="2" t="inlineStr">
        <is>
          <t>CA_F+LI_F</t>
        </is>
      </c>
      <c r="B472" s="2" t="n">
        <v>5</v>
      </c>
    </row>
    <row r="473">
      <c r="A473" s="2" t="inlineStr">
        <is>
          <t>CA_F+PI_F</t>
        </is>
      </c>
      <c r="B473" s="2" t="n">
        <v>6</v>
      </c>
    </row>
    <row r="474">
      <c r="A474" s="2" t="inlineStr">
        <is>
          <t>CA_F+AQ_F</t>
        </is>
      </c>
      <c r="B474" s="2" t="n">
        <v>7</v>
      </c>
    </row>
    <row r="475">
      <c r="A475" s="2" t="inlineStr">
        <is>
          <t>CA_F+SG_F</t>
        </is>
      </c>
      <c r="B475" s="2" t="n">
        <v>6</v>
      </c>
    </row>
    <row r="476">
      <c r="A476" s="2" t="inlineStr">
        <is>
          <t>GE_F+SC_F</t>
        </is>
      </c>
      <c r="B476" s="2" t="n">
        <v>6</v>
      </c>
    </row>
    <row r="477">
      <c r="A477" s="2" t="inlineStr">
        <is>
          <t>CA_F+VI_F</t>
        </is>
      </c>
      <c r="B477" s="2" t="n">
        <v>6</v>
      </c>
    </row>
    <row r="478">
      <c r="A478" s="2" t="inlineStr">
        <is>
          <t>GE_F+AQ_F</t>
        </is>
      </c>
      <c r="B478" s="2" t="n">
        <v>6</v>
      </c>
    </row>
    <row r="479">
      <c r="A479" s="2" t="inlineStr">
        <is>
          <t>LE_F+AR_F</t>
        </is>
      </c>
      <c r="B479" s="2" t="n">
        <v>8</v>
      </c>
    </row>
    <row r="480">
      <c r="A480" s="2" t="inlineStr">
        <is>
          <t>CA_F+LE_F</t>
        </is>
      </c>
      <c r="B480" s="2" t="n">
        <v>4</v>
      </c>
    </row>
    <row r="481">
      <c r="A481" s="2" t="inlineStr">
        <is>
          <t>CA_F+CP_F</t>
        </is>
      </c>
      <c r="B481" s="2" t="n">
        <v>5</v>
      </c>
    </row>
    <row r="482">
      <c r="A482" s="2" t="inlineStr">
        <is>
          <t>CA_F+SC_F</t>
        </is>
      </c>
      <c r="B482" s="2" t="n">
        <v>8</v>
      </c>
    </row>
    <row r="483">
      <c r="A483" s="2" t="inlineStr">
        <is>
          <t>LE_F+VI_F</t>
        </is>
      </c>
      <c r="B483" s="2" t="n">
        <v>5</v>
      </c>
    </row>
    <row r="484">
      <c r="A484" s="2" t="inlineStr">
        <is>
          <t>LE_F+SC_F</t>
        </is>
      </c>
      <c r="B484" s="2" t="n">
        <v>5</v>
      </c>
    </row>
    <row r="485">
      <c r="A485" s="2" t="inlineStr">
        <is>
          <t>LE_F+TA_F</t>
        </is>
      </c>
      <c r="B485" s="2" t="n">
        <v>6</v>
      </c>
    </row>
    <row r="486">
      <c r="A486" s="2" t="inlineStr">
        <is>
          <t>LE_F+AQ_F</t>
        </is>
      </c>
      <c r="B486" s="2" t="n">
        <v>4</v>
      </c>
    </row>
    <row r="487">
      <c r="A487" s="2" t="inlineStr">
        <is>
          <t>LE_F+LE_F</t>
        </is>
      </c>
      <c r="B487" s="2" t="n">
        <v>7</v>
      </c>
    </row>
    <row r="488">
      <c r="A488" s="2" t="inlineStr">
        <is>
          <t>LE_F+PI_F</t>
        </is>
      </c>
      <c r="B488" s="2" t="n">
        <v>7</v>
      </c>
    </row>
    <row r="489">
      <c r="A489" s="2" t="inlineStr">
        <is>
          <t>LE_F+LI_F</t>
        </is>
      </c>
      <c r="B489" s="2" t="n">
        <v>6</v>
      </c>
    </row>
    <row r="490">
      <c r="A490" s="2" t="inlineStr">
        <is>
          <t>LE_F+GE_F</t>
        </is>
      </c>
      <c r="B490" s="2" t="n">
        <v>5</v>
      </c>
    </row>
    <row r="491">
      <c r="A491" s="2" t="inlineStr">
        <is>
          <t>LE_F+CP_F</t>
        </is>
      </c>
      <c r="B491" s="2" t="n">
        <v>6</v>
      </c>
    </row>
    <row r="492">
      <c r="A492" s="2" t="inlineStr">
        <is>
          <t>VI_F+SC_F</t>
        </is>
      </c>
      <c r="B492" s="2" t="n">
        <v>6</v>
      </c>
    </row>
    <row r="493">
      <c r="A493" s="2" t="inlineStr">
        <is>
          <t>LE_F+SG_F</t>
        </is>
      </c>
      <c r="B493" s="2" t="n">
        <v>8</v>
      </c>
    </row>
    <row r="494">
      <c r="A494" s="2" t="inlineStr">
        <is>
          <t>VI_F+LE_F</t>
        </is>
      </c>
      <c r="B494" s="2" t="n">
        <v>4</v>
      </c>
    </row>
    <row r="495">
      <c r="A495" s="2" t="inlineStr">
        <is>
          <t>VI_F+VI_F</t>
        </is>
      </c>
      <c r="B495" s="2" t="n">
        <v>7</v>
      </c>
    </row>
    <row r="496">
      <c r="A496" s="2" t="inlineStr">
        <is>
          <t>VI_F+CA_F</t>
        </is>
      </c>
      <c r="B496" s="2" t="n">
        <v>6</v>
      </c>
    </row>
    <row r="497">
      <c r="A497" s="2" t="inlineStr">
        <is>
          <t>LE_F+CA_F</t>
        </is>
      </c>
      <c r="B497" s="2" t="n">
        <v>4</v>
      </c>
    </row>
    <row r="498">
      <c r="A498" s="2" t="inlineStr">
        <is>
          <t>VI_F+AR_F</t>
        </is>
      </c>
      <c r="B498" s="2" t="n">
        <v>6</v>
      </c>
    </row>
    <row r="499">
      <c r="A499" s="2" t="inlineStr">
        <is>
          <t>VI_F+TA_F</t>
        </is>
      </c>
      <c r="B499" s="2" t="n">
        <v>7</v>
      </c>
    </row>
    <row r="500">
      <c r="A500" s="2" t="inlineStr">
        <is>
          <t>VI_F+GE_F</t>
        </is>
      </c>
      <c r="B500" s="2" t="n">
        <v>5</v>
      </c>
    </row>
    <row r="501">
      <c r="A501" s="2" t="inlineStr">
        <is>
          <t>VI_F+SG_F</t>
        </is>
      </c>
      <c r="B501" s="2" t="n">
        <v>4</v>
      </c>
    </row>
    <row r="502">
      <c r="A502" s="2" t="inlineStr">
        <is>
          <t>VI_F+CP_F</t>
        </is>
      </c>
      <c r="B502" s="2" t="n">
        <v>8</v>
      </c>
    </row>
    <row r="503">
      <c r="A503" s="2" t="inlineStr">
        <is>
          <t>LI_F+GE_F</t>
        </is>
      </c>
      <c r="B503" s="2" t="n">
        <v>6</v>
      </c>
    </row>
    <row r="504">
      <c r="A504" s="2" t="inlineStr">
        <is>
          <t>VI_F+LI_F</t>
        </is>
      </c>
      <c r="B504" s="2" t="n">
        <v>5</v>
      </c>
    </row>
    <row r="505">
      <c r="A505" s="2" t="inlineStr">
        <is>
          <t>LI_F+LI_F</t>
        </is>
      </c>
      <c r="B505" s="2" t="n">
        <v>6</v>
      </c>
    </row>
    <row r="506">
      <c r="A506" s="2" t="inlineStr">
        <is>
          <t>LI_F+TA_F</t>
        </is>
      </c>
      <c r="B506" s="2" t="n">
        <v>5</v>
      </c>
    </row>
    <row r="507">
      <c r="A507" s="2" t="inlineStr">
        <is>
          <t>LI_F+SC_F</t>
        </is>
      </c>
      <c r="B507" s="2" t="n">
        <v>4</v>
      </c>
    </row>
    <row r="508">
      <c r="A508" s="2" t="inlineStr">
        <is>
          <t>VI_F+AQ_F</t>
        </is>
      </c>
      <c r="B508" s="2" t="n">
        <v>5</v>
      </c>
    </row>
    <row r="509">
      <c r="A509" s="2" t="inlineStr">
        <is>
          <t>VI_F+PI_F</t>
        </is>
      </c>
      <c r="B509" s="2" t="n">
        <v>6</v>
      </c>
    </row>
    <row r="510">
      <c r="A510" s="2" t="inlineStr">
        <is>
          <t>LI_F+CA_F</t>
        </is>
      </c>
      <c r="B510" s="2" t="n">
        <v>4</v>
      </c>
    </row>
    <row r="511">
      <c r="A511" s="2" t="inlineStr">
        <is>
          <t>LI_F+LE_F</t>
        </is>
      </c>
      <c r="B511" s="2" t="n">
        <v>5</v>
      </c>
    </row>
    <row r="512">
      <c r="A512" s="2" t="inlineStr">
        <is>
          <t>SC_F+TA_F</t>
        </is>
      </c>
      <c r="B512" s="2" t="n">
        <v>6</v>
      </c>
    </row>
    <row r="513">
      <c r="A513" s="2" t="inlineStr">
        <is>
          <t>LI_F+VI_F</t>
        </is>
      </c>
      <c r="B513" s="2" t="n">
        <v>6</v>
      </c>
    </row>
    <row r="514">
      <c r="A514" s="2" t="inlineStr">
        <is>
          <t>LI_F+PI_F</t>
        </is>
      </c>
      <c r="B514" s="2" t="n">
        <v>6</v>
      </c>
    </row>
    <row r="515">
      <c r="A515" s="2" t="inlineStr">
        <is>
          <t>LI_F+AQ_F</t>
        </is>
      </c>
      <c r="B515" s="2" t="n">
        <v>8</v>
      </c>
    </row>
    <row r="516">
      <c r="A516" s="2" t="inlineStr">
        <is>
          <t>LI_F+CP_F</t>
        </is>
      </c>
      <c r="B516" s="2" t="n">
        <v>5</v>
      </c>
    </row>
    <row r="517">
      <c r="A517" s="2" t="inlineStr">
        <is>
          <t>LI_F+SG_F</t>
        </is>
      </c>
      <c r="B517" s="2" t="n">
        <v>7</v>
      </c>
    </row>
    <row r="518">
      <c r="A518" s="2" t="inlineStr">
        <is>
          <t>SC_F+AR_F</t>
        </is>
      </c>
      <c r="B518" s="2" t="n">
        <v>5</v>
      </c>
    </row>
    <row r="519">
      <c r="A519" s="2" t="inlineStr">
        <is>
          <t>LI_F+AR_F</t>
        </is>
      </c>
      <c r="B519" s="2" t="n">
        <v>7</v>
      </c>
    </row>
    <row r="520">
      <c r="A520" s="2" t="inlineStr">
        <is>
          <t>SC_F+GE_F</t>
        </is>
      </c>
      <c r="B520" s="2" t="n">
        <v>7</v>
      </c>
    </row>
    <row r="521">
      <c r="A521" s="2" t="inlineStr">
        <is>
          <t>SC_F+CA_F</t>
        </is>
      </c>
      <c r="B521" s="2" t="n">
        <v>5</v>
      </c>
    </row>
    <row r="522">
      <c r="A522" s="2" t="inlineStr">
        <is>
          <t>SC_F+VI_F</t>
        </is>
      </c>
      <c r="B522" s="2" t="n">
        <v>4</v>
      </c>
    </row>
    <row r="523">
      <c r="A523" s="2" t="inlineStr">
        <is>
          <t>SC_F+SG_F</t>
        </is>
      </c>
      <c r="B523" s="2" t="n">
        <v>6</v>
      </c>
    </row>
    <row r="524">
      <c r="A524" s="2" t="inlineStr">
        <is>
          <t>SC_F+CP_F</t>
        </is>
      </c>
      <c r="B524" s="2" t="n">
        <v>5</v>
      </c>
    </row>
    <row r="525">
      <c r="A525" s="2" t="inlineStr">
        <is>
          <t>SC_F+LE_F</t>
        </is>
      </c>
      <c r="B525" s="2" t="n">
        <v>6</v>
      </c>
    </row>
    <row r="526">
      <c r="A526" s="2" t="inlineStr">
        <is>
          <t>SC_F+SC_F</t>
        </is>
      </c>
      <c r="B526" s="2" t="n">
        <v>7</v>
      </c>
    </row>
    <row r="527">
      <c r="A527" s="2" t="inlineStr">
        <is>
          <t>SG_F+CA_F</t>
        </is>
      </c>
      <c r="B527" s="2" t="n">
        <v>6</v>
      </c>
    </row>
    <row r="528">
      <c r="A528" s="2" t="inlineStr">
        <is>
          <t>SC_F+LI_F</t>
        </is>
      </c>
      <c r="B528" s="2" t="n">
        <v>5</v>
      </c>
    </row>
    <row r="529">
      <c r="A529" s="2" t="inlineStr">
        <is>
          <t>SC_F+AQ_F</t>
        </is>
      </c>
      <c r="B529" s="2" t="n">
        <v>4</v>
      </c>
    </row>
    <row r="530">
      <c r="A530" s="2" t="inlineStr">
        <is>
          <t>SG_F+GE_F</t>
        </is>
      </c>
      <c r="B530" s="2" t="n">
        <v>5</v>
      </c>
    </row>
    <row r="531">
      <c r="A531" s="2" t="inlineStr">
        <is>
          <t>SG_F+TA_F</t>
        </is>
      </c>
      <c r="B531" s="2" t="n">
        <v>4</v>
      </c>
    </row>
    <row r="532">
      <c r="A532" s="2" t="inlineStr">
        <is>
          <t>SC_F+PI_F</t>
        </is>
      </c>
      <c r="B532" s="2" t="n">
        <v>8</v>
      </c>
    </row>
    <row r="533">
      <c r="A533" s="2" t="inlineStr">
        <is>
          <t>SG_F+AR_F</t>
        </is>
      </c>
      <c r="B533" s="2" t="n">
        <v>6</v>
      </c>
    </row>
    <row r="534">
      <c r="A534" s="2" t="inlineStr">
        <is>
          <t>SG_F+SC_F</t>
        </is>
      </c>
      <c r="B534" s="2" t="n">
        <v>5</v>
      </c>
    </row>
    <row r="535">
      <c r="A535" s="2" t="inlineStr">
        <is>
          <t>SG_F+SG_F</t>
        </is>
      </c>
      <c r="B535" s="2" t="n">
        <v>6</v>
      </c>
    </row>
    <row r="536">
      <c r="A536" s="2" t="inlineStr">
        <is>
          <t>SG_F+LI_F</t>
        </is>
      </c>
      <c r="B536" s="2" t="n">
        <v>7</v>
      </c>
    </row>
    <row r="537">
      <c r="A537" s="2" t="inlineStr">
        <is>
          <t>CP_F+TA_F</t>
        </is>
      </c>
      <c r="B537" s="2" t="n">
        <v>7</v>
      </c>
    </row>
    <row r="538">
      <c r="A538" s="2" t="inlineStr">
        <is>
          <t>SG_F+LE_F</t>
        </is>
      </c>
      <c r="B538" s="2" t="n">
        <v>8</v>
      </c>
    </row>
    <row r="539">
      <c r="A539" s="2" t="inlineStr">
        <is>
          <t>SG_F+AQ_F</t>
        </is>
      </c>
      <c r="B539" s="2" t="n">
        <v>6</v>
      </c>
    </row>
    <row r="540">
      <c r="A540" s="2" t="inlineStr">
        <is>
          <t>SG_F+CP_F</t>
        </is>
      </c>
      <c r="B540" s="2" t="n">
        <v>4</v>
      </c>
    </row>
    <row r="541">
      <c r="A541" s="2" t="inlineStr">
        <is>
          <t>CP_F+AR_F</t>
        </is>
      </c>
      <c r="B541" s="2" t="n">
        <v>4</v>
      </c>
    </row>
    <row r="542">
      <c r="A542" s="2" t="inlineStr">
        <is>
          <t>SG_F+VI_F</t>
        </is>
      </c>
      <c r="B542" s="2" t="n">
        <v>5</v>
      </c>
    </row>
    <row r="543">
      <c r="A543" s="2" t="inlineStr">
        <is>
          <t>CP_F+CA_F</t>
        </is>
      </c>
      <c r="B543" s="2" t="n">
        <v>6</v>
      </c>
    </row>
    <row r="544">
      <c r="A544" s="2" t="inlineStr">
        <is>
          <t>CP_F+LE_F</t>
        </is>
      </c>
      <c r="B544" s="2" t="n">
        <v>5</v>
      </c>
    </row>
    <row r="545">
      <c r="A545" s="2" t="inlineStr">
        <is>
          <t>CP_F+GE_F</t>
        </is>
      </c>
      <c r="B545" s="2" t="n">
        <v>5</v>
      </c>
    </row>
    <row r="546">
      <c r="A546" s="2" t="inlineStr">
        <is>
          <t>CP_F+SG_F</t>
        </is>
      </c>
      <c r="B546" s="2" t="n">
        <v>4</v>
      </c>
    </row>
    <row r="547">
      <c r="A547" s="2" t="inlineStr">
        <is>
          <t>CP_F+LI_F</t>
        </is>
      </c>
      <c r="B547" s="2" t="n">
        <v>6</v>
      </c>
    </row>
    <row r="548">
      <c r="A548" s="2" t="inlineStr">
        <is>
          <t>CP_F+SC_F</t>
        </is>
      </c>
      <c r="B548" s="2" t="n">
        <v>5</v>
      </c>
    </row>
    <row r="549">
      <c r="A549" s="2" t="inlineStr">
        <is>
          <t>CP_F+CP_F</t>
        </is>
      </c>
      <c r="B549" s="2" t="n">
        <v>7</v>
      </c>
    </row>
    <row r="550">
      <c r="A550" s="2" t="inlineStr">
        <is>
          <t>SG_F+PI_F</t>
        </is>
      </c>
      <c r="B550" s="2" t="n">
        <v>5</v>
      </c>
    </row>
    <row r="551">
      <c r="A551" s="2" t="inlineStr">
        <is>
          <t>CP_F+PI_F</t>
        </is>
      </c>
      <c r="B551" s="2" t="n">
        <v>6</v>
      </c>
    </row>
    <row r="552">
      <c r="A552" s="2" t="inlineStr">
        <is>
          <t>AQ_F+TA_F</t>
        </is>
      </c>
      <c r="B552" s="2" t="n">
        <v>5</v>
      </c>
    </row>
    <row r="553">
      <c r="A553" s="2" t="inlineStr">
        <is>
          <t>AQ_F+GE_F</t>
        </is>
      </c>
      <c r="B553" s="2" t="n">
        <v>6</v>
      </c>
    </row>
    <row r="554">
      <c r="A554" s="2" t="inlineStr">
        <is>
          <t>AQ_F+VI_F</t>
        </is>
      </c>
      <c r="B554" s="2" t="n">
        <v>5</v>
      </c>
    </row>
    <row r="555">
      <c r="A555" s="2" t="inlineStr">
        <is>
          <t>AQ_F+LE_F</t>
        </is>
      </c>
      <c r="B555" s="2" t="n">
        <v>4</v>
      </c>
    </row>
    <row r="556">
      <c r="A556" s="2" t="inlineStr">
        <is>
          <t>CP_F+AQ_F</t>
        </is>
      </c>
      <c r="B556" s="2" t="n">
        <v>5</v>
      </c>
    </row>
    <row r="557">
      <c r="A557" s="2" t="inlineStr">
        <is>
          <t>AQ_F+CA_F</t>
        </is>
      </c>
      <c r="B557" s="2" t="n">
        <v>7</v>
      </c>
    </row>
    <row r="558">
      <c r="A558" s="2" t="inlineStr">
        <is>
          <t>CP_F+VI_F</t>
        </is>
      </c>
      <c r="B558" s="2" t="n">
        <v>8</v>
      </c>
    </row>
    <row r="559">
      <c r="A559" s="2" t="inlineStr">
        <is>
          <t>AQ_F+SC_F</t>
        </is>
      </c>
      <c r="B559" s="2" t="n">
        <v>4</v>
      </c>
    </row>
    <row r="560">
      <c r="A560" s="2" t="inlineStr">
        <is>
          <t>AQ_F+LI_F</t>
        </is>
      </c>
      <c r="B560" s="2" t="n">
        <v>8</v>
      </c>
    </row>
    <row r="561">
      <c r="A561" s="2" t="inlineStr">
        <is>
          <t>AQ_F+AR_F</t>
        </is>
      </c>
      <c r="B561" s="2" t="n">
        <v>6</v>
      </c>
    </row>
    <row r="562">
      <c r="A562" s="2" t="inlineStr">
        <is>
          <t>AQ_F+AQ_F</t>
        </is>
      </c>
      <c r="B562" s="2" t="n">
        <v>6</v>
      </c>
    </row>
    <row r="563">
      <c r="A563" s="2" t="inlineStr">
        <is>
          <t>PI_F+AR_F</t>
        </is>
      </c>
      <c r="B563" s="2" t="n">
        <v>5</v>
      </c>
    </row>
    <row r="564">
      <c r="A564" s="2" t="inlineStr">
        <is>
          <t>PI_F+LI_F</t>
        </is>
      </c>
      <c r="B564" s="2" t="n">
        <v>6</v>
      </c>
    </row>
    <row r="565">
      <c r="A565" s="2" t="inlineStr">
        <is>
          <t>AQ_F+CP_F</t>
        </is>
      </c>
      <c r="B565" s="2" t="n">
        <v>5</v>
      </c>
    </row>
    <row r="566">
      <c r="A566" s="2" t="inlineStr">
        <is>
          <t>AQ_F+PI_F</t>
        </is>
      </c>
      <c r="B566" s="2" t="n">
        <v>7</v>
      </c>
    </row>
    <row r="567">
      <c r="A567" s="2" t="inlineStr">
        <is>
          <t>AQ_F+SG_F</t>
        </is>
      </c>
      <c r="B567" s="2" t="n">
        <v>6</v>
      </c>
    </row>
    <row r="568">
      <c r="A568" s="2" t="inlineStr">
        <is>
          <t>PI_F+LE_F</t>
        </is>
      </c>
      <c r="B568" s="2" t="n">
        <v>7</v>
      </c>
    </row>
    <row r="569">
      <c r="A569" s="2" t="inlineStr">
        <is>
          <t>PI_F+VI_F</t>
        </is>
      </c>
      <c r="B569" s="2" t="n">
        <v>5</v>
      </c>
    </row>
    <row r="570">
      <c r="A570" s="2" t="inlineStr">
        <is>
          <t>PI_F+TA_F</t>
        </is>
      </c>
      <c r="B570" s="2" t="n">
        <v>6</v>
      </c>
    </row>
    <row r="571">
      <c r="A571" s="2" t="inlineStr">
        <is>
          <t>PI_F+SC_F</t>
        </is>
      </c>
      <c r="B571" s="2" t="n">
        <v>8</v>
      </c>
    </row>
    <row r="572">
      <c r="A572" s="2" t="inlineStr">
        <is>
          <t>PI_F+SG_F</t>
        </is>
      </c>
      <c r="B572" s="2" t="n">
        <v>5</v>
      </c>
    </row>
    <row r="573">
      <c r="A573" s="2" t="inlineStr">
        <is>
          <t>PI_F+GE_F</t>
        </is>
      </c>
      <c r="B573" s="2" t="n">
        <v>4</v>
      </c>
    </row>
    <row r="574">
      <c r="A574" s="2" t="inlineStr">
        <is>
          <t>PI_F+AQ_F</t>
        </is>
      </c>
      <c r="B574" s="2" t="n">
        <v>7</v>
      </c>
    </row>
    <row r="575">
      <c r="A575" s="2" t="inlineStr">
        <is>
          <t>PI_F+PI_F</t>
        </is>
      </c>
      <c r="B575" s="2" t="n">
        <v>6</v>
      </c>
    </row>
    <row r="576">
      <c r="A576" s="2" t="inlineStr">
        <is>
          <t>PI_F+CP_F</t>
        </is>
      </c>
      <c r="B576" s="2" t="n">
        <v>6</v>
      </c>
    </row>
    <row r="577">
      <c r="A577" s="2" t="inlineStr">
        <is>
          <t>PI_F+CA_F</t>
        </is>
      </c>
      <c r="B577" s="2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style="10" min="1" max="2"/>
    <col width="13.5859375" customWidth="1" style="10" min="3" max="3"/>
  </cols>
  <sheetData>
    <row r="1" ht="27.75" customHeight="1" s="10">
      <c r="A1" s="1" t="inlineStr">
        <is>
          <t>pair_key</t>
        </is>
      </c>
      <c r="B1" s="1" t="inlineStr">
        <is>
          <t>score_1_10</t>
        </is>
      </c>
      <c r="C1" s="1" t="inlineStr">
        <is>
          <t>weight_points</t>
        </is>
      </c>
    </row>
    <row r="2">
      <c r="A2" s="2" t="inlineStr">
        <is>
          <t>1+2</t>
        </is>
      </c>
      <c r="B2" s="2" t="n">
        <v>6</v>
      </c>
      <c r="C2" s="2" t="n">
        <v>30</v>
      </c>
    </row>
    <row r="3">
      <c r="A3" s="2" t="inlineStr">
        <is>
          <t>1+1</t>
        </is>
      </c>
      <c r="B3" s="2" t="n">
        <v>7</v>
      </c>
      <c r="C3" s="2" t="n">
        <v>30</v>
      </c>
    </row>
    <row r="4">
      <c r="A4" s="2" t="inlineStr">
        <is>
          <t>1+5</t>
        </is>
      </c>
      <c r="B4" s="2" t="n">
        <v>9</v>
      </c>
      <c r="C4" s="2" t="n">
        <v>30</v>
      </c>
    </row>
    <row r="5">
      <c r="A5" s="2" t="inlineStr">
        <is>
          <t>1+3</t>
        </is>
      </c>
      <c r="B5" s="2" t="n">
        <v>6</v>
      </c>
      <c r="C5" s="2" t="n">
        <v>30</v>
      </c>
    </row>
    <row r="6">
      <c r="A6" s="2" t="inlineStr">
        <is>
          <t>1+8</t>
        </is>
      </c>
      <c r="B6" s="2" t="n">
        <v>6</v>
      </c>
      <c r="C6" s="2" t="n">
        <v>30</v>
      </c>
    </row>
    <row r="7">
      <c r="A7" s="2" t="inlineStr">
        <is>
          <t>1+11</t>
        </is>
      </c>
      <c r="B7" s="2" t="n">
        <v>6</v>
      </c>
      <c r="C7" s="2" t="n">
        <v>30</v>
      </c>
    </row>
    <row r="8">
      <c r="A8" s="2" t="inlineStr">
        <is>
          <t>1+6</t>
        </is>
      </c>
      <c r="B8" s="2" t="n">
        <v>6</v>
      </c>
      <c r="C8" s="2" t="n">
        <v>30</v>
      </c>
    </row>
    <row r="9">
      <c r="A9" s="2" t="inlineStr">
        <is>
          <t>1+7</t>
        </is>
      </c>
      <c r="B9" s="2" t="n">
        <v>8</v>
      </c>
      <c r="C9" s="2" t="n">
        <v>30</v>
      </c>
    </row>
    <row r="10">
      <c r="A10" s="2" t="inlineStr">
        <is>
          <t>1+4</t>
        </is>
      </c>
      <c r="B10" s="2" t="n">
        <v>6</v>
      </c>
      <c r="C10" s="2" t="n">
        <v>30</v>
      </c>
    </row>
    <row r="11">
      <c r="A11" s="2" t="inlineStr">
        <is>
          <t>1+9</t>
        </is>
      </c>
      <c r="B11" s="2" t="n">
        <v>8</v>
      </c>
      <c r="C11" s="2" t="n">
        <v>30</v>
      </c>
    </row>
    <row r="12">
      <c r="A12" s="2" t="inlineStr">
        <is>
          <t>2+3</t>
        </is>
      </c>
      <c r="B12" s="2" t="n">
        <v>6</v>
      </c>
      <c r="C12" s="2" t="n">
        <v>30</v>
      </c>
    </row>
    <row r="13">
      <c r="A13" s="2" t="inlineStr">
        <is>
          <t>2+2</t>
        </is>
      </c>
      <c r="B13" s="2" t="n">
        <v>7</v>
      </c>
      <c r="C13" s="2" t="n">
        <v>30</v>
      </c>
    </row>
    <row r="14">
      <c r="A14" s="2" t="inlineStr">
        <is>
          <t>2+7</t>
        </is>
      </c>
      <c r="B14" s="2" t="n">
        <v>8</v>
      </c>
      <c r="C14" s="2" t="n">
        <v>30</v>
      </c>
    </row>
    <row r="15">
      <c r="A15" s="2" t="inlineStr">
        <is>
          <t>2+6</t>
        </is>
      </c>
      <c r="B15" s="2" t="n">
        <v>10</v>
      </c>
      <c r="C15" s="2" t="n">
        <v>30</v>
      </c>
    </row>
    <row r="16">
      <c r="A16" s="2" t="inlineStr">
        <is>
          <t>2+8</t>
        </is>
      </c>
      <c r="B16" s="2" t="n">
        <v>6</v>
      </c>
      <c r="C16" s="2" t="n">
        <v>30</v>
      </c>
    </row>
    <row r="17">
      <c r="A17" s="2" t="inlineStr">
        <is>
          <t>2+5</t>
        </is>
      </c>
      <c r="B17" s="2" t="n">
        <v>6</v>
      </c>
      <c r="C17" s="2" t="n">
        <v>30</v>
      </c>
    </row>
    <row r="18">
      <c r="A18" s="2" t="inlineStr">
        <is>
          <t>1+22</t>
        </is>
      </c>
      <c r="B18" s="2" t="n">
        <v>6</v>
      </c>
      <c r="C18" s="2" t="n">
        <v>30</v>
      </c>
    </row>
    <row r="19">
      <c r="A19" s="2" t="inlineStr">
        <is>
          <t>2+4</t>
        </is>
      </c>
      <c r="B19" s="2" t="n">
        <v>6</v>
      </c>
      <c r="C19" s="2" t="n">
        <v>30</v>
      </c>
    </row>
    <row r="20">
      <c r="A20" s="2" t="inlineStr">
        <is>
          <t>2+11</t>
        </is>
      </c>
      <c r="B20" s="2" t="n">
        <v>9</v>
      </c>
      <c r="C20" s="2" t="n">
        <v>30</v>
      </c>
    </row>
    <row r="21">
      <c r="A21" s="2" t="inlineStr">
        <is>
          <t>2+9</t>
        </is>
      </c>
      <c r="B21" s="2" t="n">
        <v>8</v>
      </c>
      <c r="C21" s="2" t="n">
        <v>30</v>
      </c>
    </row>
    <row r="22">
      <c r="A22" s="2" t="inlineStr">
        <is>
          <t>3+11</t>
        </is>
      </c>
      <c r="B22" s="2" t="n">
        <v>6</v>
      </c>
      <c r="C22" s="2" t="n">
        <v>30</v>
      </c>
    </row>
    <row r="23">
      <c r="A23" s="2" t="inlineStr">
        <is>
          <t>3+22</t>
        </is>
      </c>
      <c r="B23" s="2" t="n">
        <v>6</v>
      </c>
      <c r="C23" s="2" t="n">
        <v>30</v>
      </c>
    </row>
    <row r="24">
      <c r="A24" s="2" t="inlineStr">
        <is>
          <t>3+9</t>
        </is>
      </c>
      <c r="B24" s="2" t="n">
        <v>8</v>
      </c>
      <c r="C24" s="2" t="n">
        <v>30</v>
      </c>
    </row>
    <row r="25">
      <c r="A25" s="2" t="inlineStr">
        <is>
          <t>3+3</t>
        </is>
      </c>
      <c r="B25" s="2" t="n">
        <v>7</v>
      </c>
      <c r="C25" s="2" t="n">
        <v>30</v>
      </c>
    </row>
    <row r="26">
      <c r="A26" s="2" t="inlineStr">
        <is>
          <t>3+8</t>
        </is>
      </c>
      <c r="B26" s="2" t="n">
        <v>6</v>
      </c>
      <c r="C26" s="2" t="n">
        <v>30</v>
      </c>
    </row>
    <row r="27">
      <c r="A27" s="2" t="inlineStr">
        <is>
          <t>3+7</t>
        </is>
      </c>
      <c r="B27" s="2" t="n">
        <v>8</v>
      </c>
      <c r="C27" s="2" t="n">
        <v>30</v>
      </c>
    </row>
    <row r="28">
      <c r="A28" s="2" t="inlineStr">
        <is>
          <t>3+5</t>
        </is>
      </c>
      <c r="B28" s="2" t="n">
        <v>6</v>
      </c>
      <c r="C28" s="2" t="n">
        <v>30</v>
      </c>
    </row>
    <row r="29">
      <c r="A29" s="2" t="inlineStr">
        <is>
          <t>2+22</t>
        </is>
      </c>
      <c r="B29" s="2" t="n">
        <v>6</v>
      </c>
      <c r="C29" s="2" t="n">
        <v>30</v>
      </c>
    </row>
    <row r="30">
      <c r="A30" s="2" t="inlineStr">
        <is>
          <t>3+4</t>
        </is>
      </c>
      <c r="B30" s="2" t="n">
        <v>6</v>
      </c>
      <c r="C30" s="2" t="n">
        <v>30</v>
      </c>
    </row>
    <row r="31">
      <c r="A31" s="2" t="inlineStr">
        <is>
          <t>3+6</t>
        </is>
      </c>
      <c r="B31" s="2" t="n">
        <v>9</v>
      </c>
      <c r="C31" s="2" t="n">
        <v>30</v>
      </c>
    </row>
    <row r="32">
      <c r="A32" s="2" t="inlineStr">
        <is>
          <t>4+6</t>
        </is>
      </c>
      <c r="B32" s="2" t="n">
        <v>6</v>
      </c>
      <c r="C32" s="2" t="n">
        <v>30</v>
      </c>
    </row>
    <row r="33">
      <c r="A33" s="2" t="inlineStr">
        <is>
          <t>4+7</t>
        </is>
      </c>
      <c r="B33" s="2" t="n">
        <v>6</v>
      </c>
      <c r="C33" s="2" t="n">
        <v>30</v>
      </c>
    </row>
    <row r="34">
      <c r="A34" s="2" t="inlineStr">
        <is>
          <t>4+5</t>
        </is>
      </c>
      <c r="B34" s="2" t="n">
        <v>3</v>
      </c>
      <c r="C34" s="2" t="n">
        <v>30</v>
      </c>
    </row>
    <row r="35">
      <c r="A35" s="2" t="inlineStr">
        <is>
          <t>4+4</t>
        </is>
      </c>
      <c r="B35" s="2" t="n">
        <v>7</v>
      </c>
      <c r="C35" s="2" t="n">
        <v>30</v>
      </c>
    </row>
    <row r="36">
      <c r="A36" s="2" t="inlineStr">
        <is>
          <t>4+8</t>
        </is>
      </c>
      <c r="B36" s="2" t="n">
        <v>9</v>
      </c>
      <c r="C36" s="2" t="n">
        <v>30</v>
      </c>
    </row>
    <row r="37">
      <c r="A37" s="2" t="inlineStr">
        <is>
          <t>4+9</t>
        </is>
      </c>
      <c r="B37" s="2" t="n">
        <v>6</v>
      </c>
      <c r="C37" s="2" t="n">
        <v>30</v>
      </c>
    </row>
    <row r="38">
      <c r="A38" s="2" t="inlineStr">
        <is>
          <t>5+5</t>
        </is>
      </c>
      <c r="B38" s="2" t="n">
        <v>7</v>
      </c>
      <c r="C38" s="2" t="n">
        <v>30</v>
      </c>
    </row>
    <row r="39">
      <c r="A39" s="2" t="inlineStr">
        <is>
          <t>5+6</t>
        </is>
      </c>
      <c r="B39" s="2" t="n">
        <v>6</v>
      </c>
      <c r="C39" s="2" t="n">
        <v>30</v>
      </c>
    </row>
    <row r="40">
      <c r="A40" s="2" t="inlineStr">
        <is>
          <t>4+11</t>
        </is>
      </c>
      <c r="B40" s="2" t="n">
        <v>6</v>
      </c>
      <c r="C40" s="2" t="n">
        <v>30</v>
      </c>
    </row>
    <row r="41">
      <c r="A41" s="2" t="inlineStr">
        <is>
          <t>4+22</t>
        </is>
      </c>
      <c r="B41" s="2" t="n">
        <v>9</v>
      </c>
      <c r="C41" s="2" t="n">
        <v>30</v>
      </c>
    </row>
    <row r="42">
      <c r="A42" s="2" t="inlineStr">
        <is>
          <t>5+8</t>
        </is>
      </c>
      <c r="B42" s="2" t="n">
        <v>3</v>
      </c>
      <c r="C42" s="2" t="n">
        <v>30</v>
      </c>
    </row>
    <row r="43">
      <c r="A43" s="2" t="inlineStr">
        <is>
          <t>5+22</t>
        </is>
      </c>
      <c r="B43" s="2" t="n">
        <v>6</v>
      </c>
      <c r="C43" s="2" t="n">
        <v>30</v>
      </c>
    </row>
    <row r="44">
      <c r="A44" s="2" t="inlineStr">
        <is>
          <t>6+9</t>
        </is>
      </c>
      <c r="B44" s="2" t="n">
        <v>6</v>
      </c>
      <c r="C44" s="2" t="n">
        <v>30</v>
      </c>
    </row>
    <row r="45">
      <c r="A45" s="2" t="inlineStr">
        <is>
          <t>6+7</t>
        </is>
      </c>
      <c r="B45" s="2" t="n">
        <v>6</v>
      </c>
      <c r="C45" s="2" t="n">
        <v>30</v>
      </c>
    </row>
    <row r="46">
      <c r="A46" s="2" t="inlineStr">
        <is>
          <t>6+6</t>
        </is>
      </c>
      <c r="B46" s="2" t="n">
        <v>7</v>
      </c>
      <c r="C46" s="2" t="n">
        <v>30</v>
      </c>
    </row>
    <row r="47">
      <c r="A47" s="2" t="inlineStr">
        <is>
          <t>5+7</t>
        </is>
      </c>
      <c r="B47" s="2" t="n">
        <v>3</v>
      </c>
      <c r="C47" s="2" t="n">
        <v>30</v>
      </c>
    </row>
    <row r="48">
      <c r="A48" s="2" t="inlineStr">
        <is>
          <t>6+8</t>
        </is>
      </c>
      <c r="B48" s="2" t="n">
        <v>6</v>
      </c>
      <c r="C48" s="2" t="n">
        <v>30</v>
      </c>
    </row>
    <row r="49">
      <c r="A49" s="2" t="inlineStr">
        <is>
          <t>5+11</t>
        </is>
      </c>
      <c r="B49" s="2" t="n">
        <v>6</v>
      </c>
      <c r="C49" s="2" t="n">
        <v>30</v>
      </c>
    </row>
    <row r="50">
      <c r="A50" s="2" t="inlineStr">
        <is>
          <t>5+9</t>
        </is>
      </c>
      <c r="B50" s="2" t="n">
        <v>8</v>
      </c>
      <c r="C50" s="2" t="n">
        <v>30</v>
      </c>
    </row>
    <row r="51">
      <c r="A51" s="2" t="inlineStr">
        <is>
          <t>6+11</t>
        </is>
      </c>
      <c r="B51" s="2" t="n">
        <v>6</v>
      </c>
      <c r="C51" s="2" t="n">
        <v>30</v>
      </c>
    </row>
    <row r="52">
      <c r="A52" s="2" t="inlineStr">
        <is>
          <t>8+8</t>
        </is>
      </c>
      <c r="B52" s="2" t="n">
        <v>7</v>
      </c>
      <c r="C52" s="2" t="n">
        <v>30</v>
      </c>
    </row>
    <row r="53">
      <c r="A53" s="2" t="inlineStr">
        <is>
          <t>7+22</t>
        </is>
      </c>
      <c r="B53" s="2" t="n">
        <v>6</v>
      </c>
      <c r="C53" s="2" t="n">
        <v>30</v>
      </c>
    </row>
    <row r="54">
      <c r="A54" s="2" t="inlineStr">
        <is>
          <t>7+7</t>
        </is>
      </c>
      <c r="B54" s="2" t="n">
        <v>7</v>
      </c>
      <c r="C54" s="2" t="n">
        <v>30</v>
      </c>
    </row>
    <row r="55">
      <c r="A55" s="2" t="inlineStr">
        <is>
          <t>7+9</t>
        </is>
      </c>
      <c r="B55" s="2" t="n">
        <v>9</v>
      </c>
      <c r="C55" s="2" t="n">
        <v>30</v>
      </c>
    </row>
    <row r="56">
      <c r="A56" s="2" t="inlineStr">
        <is>
          <t>6+22</t>
        </is>
      </c>
      <c r="B56" s="2" t="n">
        <v>6</v>
      </c>
      <c r="C56" s="2" t="n">
        <v>30</v>
      </c>
    </row>
    <row r="57">
      <c r="A57" s="2" t="inlineStr">
        <is>
          <t>7+11</t>
        </is>
      </c>
      <c r="B57" s="2" t="n">
        <v>10</v>
      </c>
      <c r="C57" s="2" t="n">
        <v>30</v>
      </c>
    </row>
    <row r="58">
      <c r="A58" s="2" t="inlineStr">
        <is>
          <t>7+8</t>
        </is>
      </c>
      <c r="B58" s="2" t="n">
        <v>6</v>
      </c>
      <c r="C58" s="2" t="n">
        <v>30</v>
      </c>
    </row>
    <row r="59">
      <c r="A59" s="2" t="inlineStr">
        <is>
          <t>8+11</t>
        </is>
      </c>
      <c r="B59" s="2" t="n">
        <v>6</v>
      </c>
      <c r="C59" s="2" t="n">
        <v>30</v>
      </c>
    </row>
    <row r="60">
      <c r="A60" s="2" t="inlineStr">
        <is>
          <t>8+9</t>
        </is>
      </c>
      <c r="B60" s="2" t="n">
        <v>6</v>
      </c>
      <c r="C60" s="2" t="n">
        <v>30</v>
      </c>
    </row>
    <row r="61">
      <c r="A61" s="2" t="inlineStr">
        <is>
          <t>8+22</t>
        </is>
      </c>
      <c r="B61" s="2" t="n">
        <v>9</v>
      </c>
      <c r="C61" s="2" t="n">
        <v>30</v>
      </c>
    </row>
    <row r="62">
      <c r="A62" s="2" t="inlineStr">
        <is>
          <t>9+9</t>
        </is>
      </c>
      <c r="B62" s="2" t="n">
        <v>7</v>
      </c>
      <c r="C62" s="2" t="n">
        <v>30</v>
      </c>
    </row>
    <row r="63">
      <c r="A63" s="2" t="inlineStr">
        <is>
          <t>22+22</t>
        </is>
      </c>
      <c r="B63" s="2" t="n">
        <v>7</v>
      </c>
      <c r="C63" s="2" t="n">
        <v>30</v>
      </c>
    </row>
    <row r="64">
      <c r="A64" s="2" t="inlineStr">
        <is>
          <t>9+11</t>
        </is>
      </c>
      <c r="B64" s="2" t="n">
        <v>6</v>
      </c>
      <c r="C64" s="2" t="n">
        <v>30</v>
      </c>
    </row>
    <row r="65">
      <c r="A65" s="2" t="inlineStr">
        <is>
          <t>11+11</t>
        </is>
      </c>
      <c r="B65" s="2" t="n">
        <v>7</v>
      </c>
      <c r="C65" s="2" t="n">
        <v>30</v>
      </c>
    </row>
    <row r="66">
      <c r="A66" s="2" t="inlineStr">
        <is>
          <t>11+22</t>
        </is>
      </c>
      <c r="B66" s="2" t="n">
        <v>3</v>
      </c>
      <c r="C66" s="2" t="n">
        <v>30</v>
      </c>
    </row>
    <row r="67">
      <c r="A67" s="2" t="inlineStr">
        <is>
          <t>9+22</t>
        </is>
      </c>
      <c r="B67" s="2" t="n">
        <v>10</v>
      </c>
      <c r="C67" s="2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style="10" min="1" max="2"/>
  </cols>
  <sheetData>
    <row r="1" ht="27.75" customHeight="1" s="10">
      <c r="A1" s="1" t="inlineStr">
        <is>
          <t>pair_key</t>
        </is>
      </c>
      <c r="B1" s="1" t="inlineStr">
        <is>
          <t>score_1_10</t>
        </is>
      </c>
    </row>
    <row r="2" ht="54.75" customHeight="1" s="10">
      <c r="A2" s="2" t="inlineStr">
        <is>
          <t>COMM_Avoidant+COMM_Direct</t>
        </is>
      </c>
      <c r="B2" s="2" t="n">
        <v>3</v>
      </c>
    </row>
    <row r="3" ht="54.75" customHeight="1" s="10">
      <c r="A3" s="2" t="inlineStr">
        <is>
          <t>COMM_Direct+COMM_Emotional</t>
        </is>
      </c>
      <c r="B3" s="2" t="n">
        <v>6</v>
      </c>
    </row>
    <row r="4" ht="54.75" customHeight="1" s="10">
      <c r="A4" s="2" t="inlineStr">
        <is>
          <t>COMM_Direct+COMM_Direct</t>
        </is>
      </c>
      <c r="B4" s="2" t="n">
        <v>8</v>
      </c>
    </row>
    <row r="5" ht="54.75" customHeight="1" s="10">
      <c r="A5" s="2" t="inlineStr">
        <is>
          <t>COMM_Avoidant+COMM_Emotional</t>
        </is>
      </c>
      <c r="B5" s="2" t="n">
        <v>5</v>
      </c>
    </row>
    <row r="6" ht="54.75" customHeight="1" s="10">
      <c r="A6" s="2" t="inlineStr">
        <is>
          <t>COMM_Avoidant+COMM_Avoidant</t>
        </is>
      </c>
      <c r="B6" s="2" t="n">
        <v>2</v>
      </c>
    </row>
    <row r="7" ht="54.75" customHeight="1" s="10">
      <c r="A7" s="2" t="inlineStr">
        <is>
          <t>COMM_Avoidant+COMM_Indirect</t>
        </is>
      </c>
      <c r="B7" s="2" t="n">
        <v>7</v>
      </c>
    </row>
    <row r="8" ht="54.75" customHeight="1" s="10">
      <c r="A8" s="2" t="inlineStr">
        <is>
          <t>COMM_Direct+COMM_Indirect</t>
        </is>
      </c>
      <c r="B8" s="2" t="n">
        <v>4</v>
      </c>
    </row>
    <row r="9" ht="54.75" customHeight="1" s="10">
      <c r="A9" s="2" t="inlineStr">
        <is>
          <t>COMM_Avoidant+COMM_Logical</t>
        </is>
      </c>
      <c r="B9" s="2" t="n">
        <v>6</v>
      </c>
    </row>
    <row r="10" ht="54.75" customHeight="1" s="10">
      <c r="A10" s="2" t="inlineStr">
        <is>
          <t>COMM_Direct+COMM_Logical</t>
        </is>
      </c>
      <c r="B10" s="2" t="n">
        <v>9</v>
      </c>
    </row>
    <row r="11" ht="54.75" customHeight="1" s="10">
      <c r="A11" s="2" t="inlineStr">
        <is>
          <t>COMM_Emotional+COMM_Emotional</t>
        </is>
      </c>
      <c r="B11" s="2" t="n">
        <v>7</v>
      </c>
    </row>
    <row r="12" ht="54.75" customHeight="1" s="10">
      <c r="A12" s="2" t="inlineStr">
        <is>
          <t>COMM_Emotional+COMM_Indirect</t>
        </is>
      </c>
      <c r="B12" s="2" t="n">
        <v>6</v>
      </c>
    </row>
    <row r="13" ht="54.75" customHeight="1" s="10">
      <c r="A13" s="2" t="inlineStr">
        <is>
          <t>COMM_Indirect+COMM_Logical</t>
        </is>
      </c>
      <c r="B13" s="2" t="n">
        <v>6</v>
      </c>
    </row>
    <row r="14" ht="54.75" customHeight="1" s="10">
      <c r="A14" s="2" t="inlineStr">
        <is>
          <t>COMM_Emotional+COMM_Logical</t>
        </is>
      </c>
      <c r="B14" s="2" t="n">
        <v>8</v>
      </c>
    </row>
    <row r="15" ht="54.75" customHeight="1" s="10">
      <c r="A15" s="2" t="inlineStr">
        <is>
          <t>COMM_Logical+COMM_Logical</t>
        </is>
      </c>
      <c r="B15" s="2" t="n">
        <v>9</v>
      </c>
    </row>
    <row r="16" ht="54.75" customHeight="1" s="10">
      <c r="A16" s="2" t="inlineStr">
        <is>
          <t>COMM_Indirect+COMM_Indirect</t>
        </is>
      </c>
      <c r="B16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style="10" min="1" max="2"/>
  </cols>
  <sheetData>
    <row r="1" ht="27.75" customHeight="1" s="10">
      <c r="A1" s="1" t="inlineStr">
        <is>
          <t>pair_key</t>
        </is>
      </c>
      <c r="B1" s="1" t="inlineStr">
        <is>
          <t>score_1_10</t>
        </is>
      </c>
    </row>
    <row r="2" ht="54.75" customHeight="1" s="10">
      <c r="A2" s="2" t="inlineStr">
        <is>
          <t>REG_CoRegulator+REG_SelfSoother</t>
        </is>
      </c>
      <c r="B2" s="2" t="n">
        <v>10</v>
      </c>
    </row>
    <row r="3" ht="54.75" customHeight="1" s="10">
      <c r="A3" s="2" t="inlineStr">
        <is>
          <t>REG_Distractor+REG_SelfSoother</t>
        </is>
      </c>
      <c r="B3" s="2" t="n">
        <v>7</v>
      </c>
    </row>
    <row r="4" ht="54.75" customHeight="1" s="10">
      <c r="A4" s="2" t="inlineStr">
        <is>
          <t>REG_SelfSoother+REG_SelfSoother</t>
        </is>
      </c>
      <c r="B4" s="2" t="n">
        <v>8</v>
      </c>
    </row>
    <row r="5" ht="54.75" customHeight="1" s="10">
      <c r="A5" s="2" t="inlineStr">
        <is>
          <t>REG_Suppressor+REG_Suppressor</t>
        </is>
      </c>
      <c r="B5" s="2" t="n">
        <v>3</v>
      </c>
    </row>
    <row r="6" ht="54.75" customHeight="1" s="10">
      <c r="A6" s="2" t="inlineStr">
        <is>
          <t>REG_CoRegulator+REG_Distractor</t>
        </is>
      </c>
      <c r="B6" s="2" t="n">
        <v>6</v>
      </c>
    </row>
    <row r="7" ht="54.75" customHeight="1" s="10">
      <c r="A7" s="2" t="inlineStr">
        <is>
          <t>REG_Distractor+REG_Suppressor</t>
        </is>
      </c>
      <c r="B7" s="2" t="n">
        <v>4</v>
      </c>
    </row>
    <row r="8" ht="54.75" customHeight="1" s="10">
      <c r="A8" s="2" t="inlineStr">
        <is>
          <t>REG_CoRegulator+REG_CoRegulator</t>
        </is>
      </c>
      <c r="B8" s="2" t="n">
        <v>9</v>
      </c>
    </row>
    <row r="9" ht="54.75" customHeight="1" s="10">
      <c r="A9" s="2" t="inlineStr">
        <is>
          <t>REG_Distractor+REG_Distractor</t>
        </is>
      </c>
      <c r="B9" s="2" t="n">
        <v>7</v>
      </c>
    </row>
    <row r="10" ht="54.75" customHeight="1" s="10">
      <c r="A10" s="2" t="inlineStr">
        <is>
          <t>REG_SelfSoother+REG_Suppressor</t>
        </is>
      </c>
      <c r="B10" s="2" t="n">
        <v>6</v>
      </c>
    </row>
    <row r="11" ht="54.75" customHeight="1" s="10">
      <c r="A11" s="2" t="inlineStr">
        <is>
          <t>REG_CoRegulator+REG_Suppressor</t>
        </is>
      </c>
      <c r="B11" s="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style="10" min="1" max="2"/>
  </cols>
  <sheetData>
    <row r="1" ht="27.75" customHeight="1" s="10">
      <c r="A1" s="1" t="inlineStr">
        <is>
          <t>pair_key</t>
        </is>
      </c>
      <c r="B1" s="1" t="inlineStr">
        <is>
          <t>score_1_10</t>
        </is>
      </c>
    </row>
    <row r="2" ht="41.25" customHeight="1" s="10">
      <c r="A2" s="2" t="inlineStr">
        <is>
          <t>LANG_Time+LANG_Touch</t>
        </is>
      </c>
      <c r="B2" s="2" t="n">
        <v>8</v>
      </c>
    </row>
    <row r="3" ht="41.25" customHeight="1" s="10">
      <c r="A3" s="2" t="inlineStr">
        <is>
          <t>LANG_Gifts+LANG_Words</t>
        </is>
      </c>
      <c r="B3" s="2" t="n">
        <v>6</v>
      </c>
    </row>
    <row r="4" ht="41.25" customHeight="1" s="10">
      <c r="A4" s="2" t="inlineStr">
        <is>
          <t>LANG_Time+LANG_Words</t>
        </is>
      </c>
      <c r="B4" s="2" t="n">
        <v>8</v>
      </c>
    </row>
    <row r="5" ht="41.25" customHeight="1" s="10">
      <c r="A5" s="2" t="inlineStr">
        <is>
          <t>LANG_Words+LANG_Words</t>
        </is>
      </c>
      <c r="B5" s="2" t="n">
        <v>9</v>
      </c>
    </row>
    <row r="6" ht="27.75" customHeight="1" s="10">
      <c r="A6" s="2" t="inlineStr">
        <is>
          <t>LANG_Gifts+LANG_Time</t>
        </is>
      </c>
      <c r="B6" s="2" t="n">
        <v>6</v>
      </c>
    </row>
    <row r="7" ht="27.75" customHeight="1" s="10">
      <c r="A7" s="2" t="inlineStr">
        <is>
          <t>LANG_Service+LANG_Time</t>
        </is>
      </c>
      <c r="B7" s="2" t="n">
        <v>9</v>
      </c>
    </row>
    <row r="8" ht="41.25" customHeight="1" s="10">
      <c r="A8" s="2" t="inlineStr">
        <is>
          <t>LANG_Touch+LANG_Words</t>
        </is>
      </c>
      <c r="B8" s="2" t="n">
        <v>7</v>
      </c>
    </row>
    <row r="9" ht="27.75" customHeight="1" s="10">
      <c r="A9" s="2" t="inlineStr">
        <is>
          <t>LANG_Gifts+LANG_Gifts</t>
        </is>
      </c>
      <c r="B9" s="2" t="n">
        <v>7</v>
      </c>
    </row>
    <row r="10" ht="27.75" customHeight="1" s="10">
      <c r="A10" s="2" t="inlineStr">
        <is>
          <t>LANG_Time+LANG_Time</t>
        </is>
      </c>
      <c r="B10" s="2" t="n">
        <v>10</v>
      </c>
    </row>
    <row r="11" ht="41.25" customHeight="1" s="10">
      <c r="A11" s="2" t="inlineStr">
        <is>
          <t>LANG_Service+LANG_Words</t>
        </is>
      </c>
      <c r="B11" s="2" t="n">
        <v>7</v>
      </c>
    </row>
    <row r="12" ht="41.25" customHeight="1" s="10">
      <c r="A12" s="2" t="inlineStr">
        <is>
          <t>LANG_Touch+LANG_Touch</t>
        </is>
      </c>
      <c r="B12" s="2" t="n">
        <v>9</v>
      </c>
    </row>
    <row r="13" ht="41.25" customHeight="1" s="10">
      <c r="A13" s="2" t="inlineStr">
        <is>
          <t>LANG_Gifts+LANG_Service</t>
        </is>
      </c>
      <c r="B13" s="2" t="n">
        <v>5</v>
      </c>
    </row>
    <row r="14" ht="41.25" customHeight="1" s="10">
      <c r="A14" s="2" t="inlineStr">
        <is>
          <t>LANG_Service+LANG_Touch</t>
        </is>
      </c>
      <c r="B14" s="2" t="n">
        <v>8</v>
      </c>
    </row>
    <row r="15" ht="41.25" customHeight="1" s="10">
      <c r="A15" s="2" t="inlineStr">
        <is>
          <t>LANG_Gifts+LANG_Touch</t>
        </is>
      </c>
      <c r="B15" s="2" t="n">
        <v>6</v>
      </c>
    </row>
    <row r="16" ht="41.25" customHeight="1" s="10">
      <c r="A16" s="2" t="inlineStr">
        <is>
          <t>LANG_Service+LANG_Service</t>
        </is>
      </c>
      <c r="B16" s="2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style="10" min="1" max="2"/>
    <col width="12.64453125" customWidth="1" style="10" min="3" max="3"/>
    <col width="11.97265625" customWidth="1" style="10" min="4" max="4"/>
    <col width="12.64453125" customWidth="1" style="10" min="5" max="5"/>
    <col width="11.97265625" customWidth="1" style="10" min="6" max="6"/>
    <col width="23.13671875" customWidth="1" style="10" min="7" max="7"/>
    <col width="17.890625" customWidth="1" style="10" min="8" max="8"/>
    <col width="11.97265625" customWidth="1" style="10" min="9" max="9"/>
  </cols>
  <sheetData>
    <row r="1" ht="27.75" customHeight="1" s="10">
      <c r="A1" s="1" t="inlineStr">
        <is>
          <t>rule_id</t>
        </is>
      </c>
      <c r="B1" s="1" t="inlineStr">
        <is>
          <t>source_type</t>
        </is>
      </c>
      <c r="C1" s="1" t="inlineStr">
        <is>
          <t>source_value</t>
        </is>
      </c>
      <c r="D1" s="1" t="inlineStr">
        <is>
          <t>target_type</t>
        </is>
      </c>
      <c r="E1" s="1" t="inlineStr">
        <is>
          <t>target_value</t>
        </is>
      </c>
      <c r="F1" s="1" t="inlineStr">
        <is>
          <t>pair_effect</t>
        </is>
      </c>
      <c r="G1" s="1" t="inlineStr">
        <is>
          <t>compatibility_modifier</t>
        </is>
      </c>
      <c r="H1" s="1" t="inlineStr">
        <is>
          <t>forecast_modifier</t>
        </is>
      </c>
      <c r="I1" s="1" t="inlineStr">
        <is>
          <t>source</t>
        </is>
      </c>
    </row>
    <row r="2" ht="54.75" customHeight="1" s="10">
      <c r="A2" s="2" t="inlineStr">
        <is>
          <t>R1</t>
        </is>
      </c>
      <c r="B2" s="2" t="inlineStr">
        <is>
          <t>archetype</t>
        </is>
      </c>
      <c r="C2" s="2" t="inlineStr">
        <is>
          <t>Analyzer</t>
        </is>
      </c>
      <c r="D2" s="2" t="inlineStr">
        <is>
          <t>shadow</t>
        </is>
      </c>
      <c r="E2" s="2" t="inlineStr">
        <is>
          <t>Stonewaller</t>
        </is>
      </c>
      <c r="F2" s="2" t="inlineStr">
        <is>
          <t>clarity pursuit meets withholding -&gt; escalation</t>
        </is>
      </c>
      <c r="G2" s="2" t="n">
        <v>-18</v>
      </c>
      <c r="H2" s="2" t="n">
        <v>-12</v>
      </c>
      <c r="I2" s="2" t="inlineStr">
        <is>
          <t>Blueprint example</t>
        </is>
      </c>
    </row>
    <row r="3" ht="81" customHeight="1" s="10">
      <c r="A3" s="2" t="inlineStr">
        <is>
          <t>R2</t>
        </is>
      </c>
      <c r="B3" s="2" t="inlineStr">
        <is>
          <t>archetype</t>
        </is>
      </c>
      <c r="C3" s="2" t="inlineStr">
        <is>
          <t>Fixer</t>
        </is>
      </c>
      <c r="D3" s="2" t="inlineStr">
        <is>
          <t>archetype</t>
        </is>
      </c>
      <c r="E3" s="2" t="inlineStr">
        <is>
          <t>Survivor</t>
        </is>
      </c>
      <c r="F3" s="2" t="inlineStr">
        <is>
          <t>caretaker-protection dynamic; healing but imbalance risk</t>
        </is>
      </c>
      <c r="G3" s="2" t="n">
        <v>10</v>
      </c>
      <c r="H3" s="2" t="n">
        <v>-4</v>
      </c>
      <c r="I3" s="2" t="inlineStr">
        <is>
          <t>Blueprint example</t>
        </is>
      </c>
    </row>
    <row r="4" ht="54.75" customHeight="1" s="10">
      <c r="A4" s="2" t="inlineStr">
        <is>
          <t>R3</t>
        </is>
      </c>
      <c r="B4" s="2" t="inlineStr">
        <is>
          <t>archetype</t>
        </is>
      </c>
      <c r="C4" s="2" t="inlineStr">
        <is>
          <t>Romantic Idealist</t>
        </is>
      </c>
      <c r="D4" s="2" t="inlineStr">
        <is>
          <t>archetype</t>
        </is>
      </c>
      <c r="E4" s="2" t="inlineStr">
        <is>
          <t>Performer</t>
        </is>
      </c>
      <c r="F4" s="2" t="inlineStr">
        <is>
          <t>spark + affirmation loop; fantasy amplification</t>
        </is>
      </c>
      <c r="G4" s="2" t="n">
        <v>12</v>
      </c>
      <c r="H4" s="2" t="n">
        <v>-10</v>
      </c>
      <c r="I4" s="2" t="inlineStr">
        <is>
          <t>Blueprint example</t>
        </is>
      </c>
    </row>
    <row r="5" ht="54.75" customHeight="1" s="10">
      <c r="A5" s="2" t="inlineStr">
        <is>
          <t>R4</t>
        </is>
      </c>
      <c r="B5" s="2" t="inlineStr">
        <is>
          <t>archetype</t>
        </is>
      </c>
      <c r="C5" s="2" t="inlineStr">
        <is>
          <t>Translator</t>
        </is>
      </c>
      <c r="D5" s="2" t="inlineStr">
        <is>
          <t>archetype</t>
        </is>
      </c>
      <c r="E5" s="2" t="inlineStr">
        <is>
          <t>Regulated Grown-Up</t>
        </is>
      </c>
      <c r="F5" s="2" t="inlineStr">
        <is>
          <t>strong repair capacity + emotional translation</t>
        </is>
      </c>
      <c r="G5" s="2" t="n">
        <v>18</v>
      </c>
      <c r="H5" s="2" t="n">
        <v>12</v>
      </c>
      <c r="I5" s="2" t="inlineStr">
        <is>
          <t>Blueprint example</t>
        </is>
      </c>
    </row>
    <row r="6" ht="27.75" customHeight="1" s="10">
      <c r="A6" s="2" t="inlineStr">
        <is>
          <t>R5</t>
        </is>
      </c>
      <c r="B6" s="2" t="n"/>
      <c r="C6" s="2" t="n"/>
      <c r="D6" s="2" t="n"/>
      <c r="E6" s="2" t="n"/>
      <c r="F6" s="2" t="inlineStr">
        <is>
          <t>(add rules here)</t>
        </is>
      </c>
      <c r="G6" s="2" t="n">
        <v>0</v>
      </c>
      <c r="H6" s="2" t="n">
        <v>0</v>
      </c>
      <c r="I6" s="2" t="inlineStr">
        <is>
          <t>Editable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style="10" min="1" max="2"/>
  </cols>
  <sheetData>
    <row r="1">
      <c r="A1" s="1" t="inlineStr">
        <is>
          <t>sun_sign</t>
        </is>
      </c>
      <c r="B1" s="1" t="inlineStr">
        <is>
          <t>abbr</t>
        </is>
      </c>
    </row>
    <row r="2">
      <c r="A2" s="2" t="inlineStr">
        <is>
          <t>aries</t>
        </is>
      </c>
      <c r="B2" s="2" t="inlineStr">
        <is>
          <t>AR</t>
        </is>
      </c>
    </row>
    <row r="3">
      <c r="A3" s="2" t="inlineStr">
        <is>
          <t>taurus</t>
        </is>
      </c>
      <c r="B3" s="2" t="inlineStr">
        <is>
          <t>TA</t>
        </is>
      </c>
    </row>
    <row r="4">
      <c r="A4" s="2" t="inlineStr">
        <is>
          <t>gemini</t>
        </is>
      </c>
      <c r="B4" s="2" t="inlineStr">
        <is>
          <t>GE</t>
        </is>
      </c>
    </row>
    <row r="5">
      <c r="A5" s="2" t="inlineStr">
        <is>
          <t>cancer</t>
        </is>
      </c>
      <c r="B5" s="2" t="inlineStr">
        <is>
          <t>CA</t>
        </is>
      </c>
    </row>
    <row r="6">
      <c r="A6" s="2" t="inlineStr">
        <is>
          <t>leo</t>
        </is>
      </c>
      <c r="B6" s="2" t="inlineStr">
        <is>
          <t>LE</t>
        </is>
      </c>
    </row>
    <row r="7">
      <c r="A7" s="2" t="inlineStr">
        <is>
          <t>virgo</t>
        </is>
      </c>
      <c r="B7" s="2" t="inlineStr">
        <is>
          <t>VI</t>
        </is>
      </c>
    </row>
    <row r="8">
      <c r="A8" s="2" t="inlineStr">
        <is>
          <t>libra</t>
        </is>
      </c>
      <c r="B8" s="2" t="inlineStr">
        <is>
          <t>LI</t>
        </is>
      </c>
    </row>
    <row r="9">
      <c r="A9" s="2" t="inlineStr">
        <is>
          <t>scorpio</t>
        </is>
      </c>
      <c r="B9" s="2" t="inlineStr">
        <is>
          <t>SC</t>
        </is>
      </c>
    </row>
    <row r="10">
      <c r="A10" s="2" t="inlineStr">
        <is>
          <t>sagittarius</t>
        </is>
      </c>
      <c r="B10" s="2" t="inlineStr">
        <is>
          <t>SG</t>
        </is>
      </c>
    </row>
    <row r="11">
      <c r="A11" s="2" t="inlineStr">
        <is>
          <t>capricorn</t>
        </is>
      </c>
      <c r="B11" s="2" t="inlineStr">
        <is>
          <t>CP</t>
        </is>
      </c>
    </row>
    <row r="12">
      <c r="A12" s="2" t="inlineStr">
        <is>
          <t>aquarius</t>
        </is>
      </c>
      <c r="B12" s="2" t="inlineStr">
        <is>
          <t>AQ</t>
        </is>
      </c>
    </row>
    <row r="13">
      <c r="A13" s="2" t="inlineStr">
        <is>
          <t>pisces</t>
        </is>
      </c>
      <c r="B13" s="2" t="inlineStr">
        <is>
          <t>PI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.98828125" customWidth="1" style="10" min="1" max="2"/>
    <col width="18.0234375" customWidth="1" style="10" min="3" max="3"/>
    <col width="16.0078125" customWidth="1" style="10" min="4" max="5"/>
    <col width="13.98828125" customWidth="1" style="10" min="6" max="20"/>
  </cols>
  <sheetData>
    <row r="1" ht="18.75" customHeight="1" s="10">
      <c r="A1" s="9" t="inlineStr">
        <is>
          <t>Test Harness (enter answer_id for each question)</t>
        </is>
      </c>
    </row>
    <row r="3">
      <c r="A3" s="3" t="inlineStr">
        <is>
          <t>User A</t>
        </is>
      </c>
      <c r="F3" s="3" t="inlineStr">
        <is>
          <t>User B</t>
        </is>
      </c>
    </row>
    <row r="4">
      <c r="A4" s="3" t="inlineStr">
        <is>
          <t>Gender (M/F)</t>
        </is>
      </c>
      <c r="B4" t="inlineStr">
        <is>
          <t>M</t>
        </is>
      </c>
      <c r="F4" s="3" t="inlineStr">
        <is>
          <t>Gender (M/F)</t>
        </is>
      </c>
      <c r="G4" t="inlineStr">
        <is>
          <t>F</t>
        </is>
      </c>
    </row>
    <row r="5">
      <c r="A5" s="3" t="inlineStr">
        <is>
          <t>Sun sign (lowercase)</t>
        </is>
      </c>
      <c r="B5" t="inlineStr">
        <is>
          <t>aries</t>
        </is>
      </c>
      <c r="F5" s="3" t="inlineStr">
        <is>
          <t>Sun sign (lowercase)</t>
        </is>
      </c>
      <c r="G5" t="inlineStr">
        <is>
          <t>libra</t>
        </is>
      </c>
    </row>
    <row r="6">
      <c r="A6" s="3" t="inlineStr">
        <is>
          <t>Life Path</t>
        </is>
      </c>
      <c r="B6" t="n">
        <v>1</v>
      </c>
      <c r="F6" s="3" t="inlineStr">
        <is>
          <t>Life Path</t>
        </is>
      </c>
      <c r="G6" t="n">
        <v>6</v>
      </c>
    </row>
    <row r="9">
      <c r="A9" s="4" t="inlineStr">
        <is>
          <t>q</t>
        </is>
      </c>
      <c r="B9" s="4" t="inlineStr">
        <is>
          <t>w_q</t>
        </is>
      </c>
      <c r="C9" s="4" t="inlineStr">
        <is>
          <t>dimension</t>
        </is>
      </c>
      <c r="D9" s="4" t="inlineStr">
        <is>
          <t>answer_id_A</t>
        </is>
      </c>
      <c r="E9" s="4" t="inlineStr">
        <is>
          <t>answer_id_B</t>
        </is>
      </c>
      <c r="F9" s="4" t="inlineStr">
        <is>
          <t>cA</t>
        </is>
      </c>
      <c r="G9" s="4" t="inlineStr">
        <is>
          <t>rA</t>
        </is>
      </c>
      <c r="H9" s="4" t="inlineStr">
        <is>
          <t>fA</t>
        </is>
      </c>
      <c r="I9" s="4" t="inlineStr">
        <is>
          <t>cpA</t>
        </is>
      </c>
      <c r="J9" s="4" t="inlineStr">
        <is>
          <t>cB</t>
        </is>
      </c>
      <c r="K9" s="4" t="inlineStr">
        <is>
          <t>rB</t>
        </is>
      </c>
      <c r="L9" s="4" t="inlineStr">
        <is>
          <t>fB</t>
        </is>
      </c>
      <c r="M9" s="4" t="inlineStr">
        <is>
          <t>cpB</t>
        </is>
      </c>
      <c r="N9" s="4" t="inlineStr">
        <is>
          <t>match</t>
        </is>
      </c>
      <c r="O9" s="4" t="inlineStr">
        <is>
          <t>quality</t>
        </is>
      </c>
      <c r="P9" s="4" t="inlineStr">
        <is>
          <t>pair_q</t>
        </is>
      </c>
      <c r="Q9" s="4" t="inlineStr">
        <is>
          <t>readinessContrA</t>
        </is>
      </c>
      <c r="R9" s="4" t="inlineStr">
        <is>
          <t>readinessContrB</t>
        </is>
      </c>
      <c r="S9" s="4" t="inlineStr">
        <is>
          <t>clusterA</t>
        </is>
      </c>
      <c r="T9" s="4" t="inlineStr">
        <is>
          <t>clusterB</t>
        </is>
      </c>
    </row>
    <row r="10">
      <c r="A10" t="n">
        <v>1</v>
      </c>
      <c r="B10">
        <f>VLOOKUP(A10,QuestionWeights_v4!$A$2:$C$61,3,FALSE)</f>
        <v/>
      </c>
      <c r="C10">
        <f>IFERROR(VLOOKUP(D10,AnswerBank_v5!$A$2:$AP$311,6,FALSE),"")</f>
        <v/>
      </c>
      <c r="F10">
        <f>IFERROR(VLOOKUP(D10,AnswerBank_v5!$A$2:$AP$311,15,FALSE)/10,"")</f>
        <v/>
      </c>
      <c r="G10">
        <f>IFERROR(VLOOKUP(D10,AnswerBank_v5!$A$2:$AP$311,14,FALSE)/10,"")</f>
        <v/>
      </c>
      <c r="H10">
        <f>IFERROR(VLOOKUP(D10,AnswerBank_v5!$A$2:$AP$311,16,FALSE)/10,"")</f>
        <v/>
      </c>
      <c r="I10">
        <f>IFERROR(VLOOKUP(D10,AnswerBank_v5!$A$2:$AP$311,31,FALSE),0)</f>
        <v/>
      </c>
      <c r="J10">
        <f>IFERROR(VLOOKUP(E10,AnswerBank_v5!$A$2:$AP$311,15,FALSE)/10,"")</f>
        <v/>
      </c>
      <c r="K10">
        <f>IFERROR(VLOOKUP(E10,AnswerBank_v5!$A$2:$AP$311,14,FALSE)/10,"")</f>
        <v/>
      </c>
      <c r="L10">
        <f>IFERROR(VLOOKUP(E10,AnswerBank_v5!$A$2:$AP$311,16,FALSE)/10,"")</f>
        <v/>
      </c>
      <c r="M10">
        <f>IFERROR(VLOOKUP(E10,AnswerBank_v5!$A$2:$AP$311,31,FALSE),0)</f>
        <v/>
      </c>
      <c r="N10">
        <f>IF(OR(F10="",J10=""),"",1-ABS(F10-J10))</f>
        <v/>
      </c>
      <c r="O10">
        <f>IF(OR(G10="",K10="",H10="",L10=""),"",0.6+0.2*((G10+K10)/2)+0.2*((H10+L10)/2))</f>
        <v/>
      </c>
      <c r="P10">
        <f>IF(OR(B10="",N10="",O10=""),"",B10*N10*O10)</f>
        <v/>
      </c>
      <c r="Q10">
        <f>IF(B10="", "", B10*(0.5*G10+0.2*H10+0.2*F10+0.1*(1-I10/25)))</f>
        <v/>
      </c>
      <c r="R10">
        <f>IF(B10="", "", B10*(0.5*K10+0.2*L10+0.2*J10+0.1*(1-M10/25)))</f>
        <v/>
      </c>
      <c r="S10">
        <f>IFERROR(VLOOKUP(D10,AnswerBank_v5!$A$2:$AP$311,29,FALSE),"")</f>
        <v/>
      </c>
      <c r="T10">
        <f>IFERROR(VLOOKUP(E10,AnswerBank_v5!$A$2:$AP$311,29,FALSE),"")</f>
        <v/>
      </c>
    </row>
    <row r="11">
      <c r="A11" t="n">
        <v>2</v>
      </c>
      <c r="B11">
        <f>VLOOKUP(A11,QuestionWeights_v4!$A$2:$C$61,3,FALSE)</f>
        <v/>
      </c>
      <c r="C11">
        <f>IFERROR(VLOOKUP(D11,AnswerBank_v5!$A$2:$AP$311,6,FALSE),"")</f>
        <v/>
      </c>
      <c r="F11">
        <f>IFERROR(VLOOKUP(D11,AnswerBank_v5!$A$2:$AP$311,15,FALSE)/10,"")</f>
        <v/>
      </c>
      <c r="G11">
        <f>IFERROR(VLOOKUP(D11,AnswerBank_v5!$A$2:$AP$311,14,FALSE)/10,"")</f>
        <v/>
      </c>
      <c r="H11">
        <f>IFERROR(VLOOKUP(D11,AnswerBank_v5!$A$2:$AP$311,16,FALSE)/10,"")</f>
        <v/>
      </c>
      <c r="I11">
        <f>IFERROR(VLOOKUP(D11,AnswerBank_v5!$A$2:$AP$311,31,FALSE),0)</f>
        <v/>
      </c>
      <c r="J11">
        <f>IFERROR(VLOOKUP(E11,AnswerBank_v5!$A$2:$AP$311,15,FALSE)/10,"")</f>
        <v/>
      </c>
      <c r="K11">
        <f>IFERROR(VLOOKUP(E11,AnswerBank_v5!$A$2:$AP$311,14,FALSE)/10,"")</f>
        <v/>
      </c>
      <c r="L11">
        <f>IFERROR(VLOOKUP(E11,AnswerBank_v5!$A$2:$AP$311,16,FALSE)/10,"")</f>
        <v/>
      </c>
      <c r="M11">
        <f>IFERROR(VLOOKUP(E11,AnswerBank_v5!$A$2:$AP$311,31,FALSE),0)</f>
        <v/>
      </c>
      <c r="N11">
        <f>IF(OR(F11="",J11=""),"",1-ABS(F11-J11))</f>
        <v/>
      </c>
      <c r="O11">
        <f>IF(OR(G11="",K11="",H11="",L11=""),"",0.6+0.2*((G11+K11)/2)+0.2*((H11+L11)/2))</f>
        <v/>
      </c>
      <c r="P11">
        <f>IF(OR(B11="",N11="",O11=""),"",B11*N11*O11)</f>
        <v/>
      </c>
      <c r="Q11">
        <f>IF(B11="", "", B11*(0.5*G11+0.2*H11+0.2*F11+0.1*(1-I11/25)))</f>
        <v/>
      </c>
      <c r="R11">
        <f>IF(B11="", "", B11*(0.5*K11+0.2*L11+0.2*J11+0.1*(1-M11/25)))</f>
        <v/>
      </c>
      <c r="S11">
        <f>IFERROR(VLOOKUP(D11,AnswerBank_v5!$A$2:$AP$311,29,FALSE),"")</f>
        <v/>
      </c>
      <c r="T11">
        <f>IFERROR(VLOOKUP(E11,AnswerBank_v5!$A$2:$AP$311,29,FALSE),"")</f>
        <v/>
      </c>
    </row>
    <row r="12">
      <c r="A12" t="n">
        <v>3</v>
      </c>
      <c r="B12">
        <f>VLOOKUP(A12,QuestionWeights_v4!$A$2:$C$61,3,FALSE)</f>
        <v/>
      </c>
      <c r="C12">
        <f>IFERROR(VLOOKUP(D12,AnswerBank_v5!$A$2:$AP$311,6,FALSE),"")</f>
        <v/>
      </c>
      <c r="F12">
        <f>IFERROR(VLOOKUP(D12,AnswerBank_v5!$A$2:$AP$311,15,FALSE)/10,"")</f>
        <v/>
      </c>
      <c r="G12">
        <f>IFERROR(VLOOKUP(D12,AnswerBank_v5!$A$2:$AP$311,14,FALSE)/10,"")</f>
        <v/>
      </c>
      <c r="H12">
        <f>IFERROR(VLOOKUP(D12,AnswerBank_v5!$A$2:$AP$311,16,FALSE)/10,"")</f>
        <v/>
      </c>
      <c r="I12">
        <f>IFERROR(VLOOKUP(D12,AnswerBank_v5!$A$2:$AP$311,31,FALSE),0)</f>
        <v/>
      </c>
      <c r="J12">
        <f>IFERROR(VLOOKUP(E12,AnswerBank_v5!$A$2:$AP$311,15,FALSE)/10,"")</f>
        <v/>
      </c>
      <c r="K12">
        <f>IFERROR(VLOOKUP(E12,AnswerBank_v5!$A$2:$AP$311,14,FALSE)/10,"")</f>
        <v/>
      </c>
      <c r="L12">
        <f>IFERROR(VLOOKUP(E12,AnswerBank_v5!$A$2:$AP$311,16,FALSE)/10,"")</f>
        <v/>
      </c>
      <c r="M12">
        <f>IFERROR(VLOOKUP(E12,AnswerBank_v5!$A$2:$AP$311,31,FALSE),0)</f>
        <v/>
      </c>
      <c r="N12">
        <f>IF(OR(F12="",J12=""),"",1-ABS(F12-J12))</f>
        <v/>
      </c>
      <c r="O12">
        <f>IF(OR(G12="",K12="",H12="",L12=""),"",0.6+0.2*((G12+K12)/2)+0.2*((H12+L12)/2))</f>
        <v/>
      </c>
      <c r="P12">
        <f>IF(OR(B12="",N12="",O12=""),"",B12*N12*O12)</f>
        <v/>
      </c>
      <c r="Q12">
        <f>IF(B12="", "", B12*(0.5*G12+0.2*H12+0.2*F12+0.1*(1-I12/25)))</f>
        <v/>
      </c>
      <c r="R12">
        <f>IF(B12="", "", B12*(0.5*K12+0.2*L12+0.2*J12+0.1*(1-M12/25)))</f>
        <v/>
      </c>
      <c r="S12">
        <f>IFERROR(VLOOKUP(D12,AnswerBank_v5!$A$2:$AP$311,29,FALSE),"")</f>
        <v/>
      </c>
      <c r="T12">
        <f>IFERROR(VLOOKUP(E12,AnswerBank_v5!$A$2:$AP$311,29,FALSE),"")</f>
        <v/>
      </c>
    </row>
    <row r="13">
      <c r="A13" t="n">
        <v>4</v>
      </c>
      <c r="B13">
        <f>VLOOKUP(A13,QuestionWeights_v4!$A$2:$C$61,3,FALSE)</f>
        <v/>
      </c>
      <c r="C13">
        <f>IFERROR(VLOOKUP(D13,AnswerBank_v5!$A$2:$AP$311,6,FALSE),"")</f>
        <v/>
      </c>
      <c r="F13">
        <f>IFERROR(VLOOKUP(D13,AnswerBank_v5!$A$2:$AP$311,15,FALSE)/10,"")</f>
        <v/>
      </c>
      <c r="G13">
        <f>IFERROR(VLOOKUP(D13,AnswerBank_v5!$A$2:$AP$311,14,FALSE)/10,"")</f>
        <v/>
      </c>
      <c r="H13">
        <f>IFERROR(VLOOKUP(D13,AnswerBank_v5!$A$2:$AP$311,16,FALSE)/10,"")</f>
        <v/>
      </c>
      <c r="I13">
        <f>IFERROR(VLOOKUP(D13,AnswerBank_v5!$A$2:$AP$311,31,FALSE),0)</f>
        <v/>
      </c>
      <c r="J13">
        <f>IFERROR(VLOOKUP(E13,AnswerBank_v5!$A$2:$AP$311,15,FALSE)/10,"")</f>
        <v/>
      </c>
      <c r="K13">
        <f>IFERROR(VLOOKUP(E13,AnswerBank_v5!$A$2:$AP$311,14,FALSE)/10,"")</f>
        <v/>
      </c>
      <c r="L13">
        <f>IFERROR(VLOOKUP(E13,AnswerBank_v5!$A$2:$AP$311,16,FALSE)/10,"")</f>
        <v/>
      </c>
      <c r="M13">
        <f>IFERROR(VLOOKUP(E13,AnswerBank_v5!$A$2:$AP$311,31,FALSE),0)</f>
        <v/>
      </c>
      <c r="N13">
        <f>IF(OR(F13="",J13=""),"",1-ABS(F13-J13))</f>
        <v/>
      </c>
      <c r="O13">
        <f>IF(OR(G13="",K13="",H13="",L13=""),"",0.6+0.2*((G13+K13)/2)+0.2*((H13+L13)/2))</f>
        <v/>
      </c>
      <c r="P13">
        <f>IF(OR(B13="",N13="",O13=""),"",B13*N13*O13)</f>
        <v/>
      </c>
      <c r="Q13">
        <f>IF(B13="", "", B13*(0.5*G13+0.2*H13+0.2*F13+0.1*(1-I13/25)))</f>
        <v/>
      </c>
      <c r="R13">
        <f>IF(B13="", "", B13*(0.5*K13+0.2*L13+0.2*J13+0.1*(1-M13/25)))</f>
        <v/>
      </c>
      <c r="S13">
        <f>IFERROR(VLOOKUP(D13,AnswerBank_v5!$A$2:$AP$311,29,FALSE),"")</f>
        <v/>
      </c>
      <c r="T13">
        <f>IFERROR(VLOOKUP(E13,AnswerBank_v5!$A$2:$AP$311,29,FALSE),"")</f>
        <v/>
      </c>
    </row>
    <row r="14">
      <c r="A14" t="n">
        <v>5</v>
      </c>
      <c r="B14">
        <f>VLOOKUP(A14,QuestionWeights_v4!$A$2:$C$61,3,FALSE)</f>
        <v/>
      </c>
      <c r="C14">
        <f>IFERROR(VLOOKUP(D14,AnswerBank_v5!$A$2:$AP$311,6,FALSE),"")</f>
        <v/>
      </c>
      <c r="F14">
        <f>IFERROR(VLOOKUP(D14,AnswerBank_v5!$A$2:$AP$311,15,FALSE)/10,"")</f>
        <v/>
      </c>
      <c r="G14">
        <f>IFERROR(VLOOKUP(D14,AnswerBank_v5!$A$2:$AP$311,14,FALSE)/10,"")</f>
        <v/>
      </c>
      <c r="H14">
        <f>IFERROR(VLOOKUP(D14,AnswerBank_v5!$A$2:$AP$311,16,FALSE)/10,"")</f>
        <v/>
      </c>
      <c r="I14">
        <f>IFERROR(VLOOKUP(D14,AnswerBank_v5!$A$2:$AP$311,31,FALSE),0)</f>
        <v/>
      </c>
      <c r="J14">
        <f>IFERROR(VLOOKUP(E14,AnswerBank_v5!$A$2:$AP$311,15,FALSE)/10,"")</f>
        <v/>
      </c>
      <c r="K14">
        <f>IFERROR(VLOOKUP(E14,AnswerBank_v5!$A$2:$AP$311,14,FALSE)/10,"")</f>
        <v/>
      </c>
      <c r="L14">
        <f>IFERROR(VLOOKUP(E14,AnswerBank_v5!$A$2:$AP$311,16,FALSE)/10,"")</f>
        <v/>
      </c>
      <c r="M14">
        <f>IFERROR(VLOOKUP(E14,AnswerBank_v5!$A$2:$AP$311,31,FALSE),0)</f>
        <v/>
      </c>
      <c r="N14">
        <f>IF(OR(F14="",J14=""),"",1-ABS(F14-J14))</f>
        <v/>
      </c>
      <c r="O14">
        <f>IF(OR(G14="",K14="",H14="",L14=""),"",0.6+0.2*((G14+K14)/2)+0.2*((H14+L14)/2))</f>
        <v/>
      </c>
      <c r="P14">
        <f>IF(OR(B14="",N14="",O14=""),"",B14*N14*O14)</f>
        <v/>
      </c>
      <c r="Q14">
        <f>IF(B14="", "", B14*(0.5*G14+0.2*H14+0.2*F14+0.1*(1-I14/25)))</f>
        <v/>
      </c>
      <c r="R14">
        <f>IF(B14="", "", B14*(0.5*K14+0.2*L14+0.2*J14+0.1*(1-M14/25)))</f>
        <v/>
      </c>
      <c r="S14">
        <f>IFERROR(VLOOKUP(D14,AnswerBank_v5!$A$2:$AP$311,29,FALSE),"")</f>
        <v/>
      </c>
      <c r="T14">
        <f>IFERROR(VLOOKUP(E14,AnswerBank_v5!$A$2:$AP$311,29,FALSE),"")</f>
        <v/>
      </c>
    </row>
    <row r="15">
      <c r="A15" t="n">
        <v>6</v>
      </c>
      <c r="B15">
        <f>VLOOKUP(A15,QuestionWeights_v4!$A$2:$C$61,3,FALSE)</f>
        <v/>
      </c>
      <c r="C15">
        <f>IFERROR(VLOOKUP(D15,AnswerBank_v5!$A$2:$AP$311,6,FALSE),"")</f>
        <v/>
      </c>
      <c r="F15">
        <f>IFERROR(VLOOKUP(D15,AnswerBank_v5!$A$2:$AP$311,15,FALSE)/10,"")</f>
        <v/>
      </c>
      <c r="G15">
        <f>IFERROR(VLOOKUP(D15,AnswerBank_v5!$A$2:$AP$311,14,FALSE)/10,"")</f>
        <v/>
      </c>
      <c r="H15">
        <f>IFERROR(VLOOKUP(D15,AnswerBank_v5!$A$2:$AP$311,16,FALSE)/10,"")</f>
        <v/>
      </c>
      <c r="I15">
        <f>IFERROR(VLOOKUP(D15,AnswerBank_v5!$A$2:$AP$311,31,FALSE),0)</f>
        <v/>
      </c>
      <c r="J15">
        <f>IFERROR(VLOOKUP(E15,AnswerBank_v5!$A$2:$AP$311,15,FALSE)/10,"")</f>
        <v/>
      </c>
      <c r="K15">
        <f>IFERROR(VLOOKUP(E15,AnswerBank_v5!$A$2:$AP$311,14,FALSE)/10,"")</f>
        <v/>
      </c>
      <c r="L15">
        <f>IFERROR(VLOOKUP(E15,AnswerBank_v5!$A$2:$AP$311,16,FALSE)/10,"")</f>
        <v/>
      </c>
      <c r="M15">
        <f>IFERROR(VLOOKUP(E15,AnswerBank_v5!$A$2:$AP$311,31,FALSE),0)</f>
        <v/>
      </c>
      <c r="N15">
        <f>IF(OR(F15="",J15=""),"",1-ABS(F15-J15))</f>
        <v/>
      </c>
      <c r="O15">
        <f>IF(OR(G15="",K15="",H15="",L15=""),"",0.6+0.2*((G15+K15)/2)+0.2*((H15+L15)/2))</f>
        <v/>
      </c>
      <c r="P15">
        <f>IF(OR(B15="",N15="",O15=""),"",B15*N15*O15)</f>
        <v/>
      </c>
      <c r="Q15">
        <f>IF(B15="", "", B15*(0.5*G15+0.2*H15+0.2*F15+0.1*(1-I15/25)))</f>
        <v/>
      </c>
      <c r="R15">
        <f>IF(B15="", "", B15*(0.5*K15+0.2*L15+0.2*J15+0.1*(1-M15/25)))</f>
        <v/>
      </c>
      <c r="S15">
        <f>IFERROR(VLOOKUP(D15,AnswerBank_v5!$A$2:$AP$311,29,FALSE),"")</f>
        <v/>
      </c>
      <c r="T15">
        <f>IFERROR(VLOOKUP(E15,AnswerBank_v5!$A$2:$AP$311,29,FALSE),"")</f>
        <v/>
      </c>
    </row>
    <row r="16">
      <c r="A16" t="n">
        <v>7</v>
      </c>
      <c r="B16">
        <f>VLOOKUP(A16,QuestionWeights_v4!$A$2:$C$61,3,FALSE)</f>
        <v/>
      </c>
      <c r="C16">
        <f>IFERROR(VLOOKUP(D16,AnswerBank_v5!$A$2:$AP$311,6,FALSE),"")</f>
        <v/>
      </c>
      <c r="F16">
        <f>IFERROR(VLOOKUP(D16,AnswerBank_v5!$A$2:$AP$311,15,FALSE)/10,"")</f>
        <v/>
      </c>
      <c r="G16">
        <f>IFERROR(VLOOKUP(D16,AnswerBank_v5!$A$2:$AP$311,14,FALSE)/10,"")</f>
        <v/>
      </c>
      <c r="H16">
        <f>IFERROR(VLOOKUP(D16,AnswerBank_v5!$A$2:$AP$311,16,FALSE)/10,"")</f>
        <v/>
      </c>
      <c r="I16">
        <f>IFERROR(VLOOKUP(D16,AnswerBank_v5!$A$2:$AP$311,31,FALSE),0)</f>
        <v/>
      </c>
      <c r="J16">
        <f>IFERROR(VLOOKUP(E16,AnswerBank_v5!$A$2:$AP$311,15,FALSE)/10,"")</f>
        <v/>
      </c>
      <c r="K16">
        <f>IFERROR(VLOOKUP(E16,AnswerBank_v5!$A$2:$AP$311,14,FALSE)/10,"")</f>
        <v/>
      </c>
      <c r="L16">
        <f>IFERROR(VLOOKUP(E16,AnswerBank_v5!$A$2:$AP$311,16,FALSE)/10,"")</f>
        <v/>
      </c>
      <c r="M16">
        <f>IFERROR(VLOOKUP(E16,AnswerBank_v5!$A$2:$AP$311,31,FALSE),0)</f>
        <v/>
      </c>
      <c r="N16">
        <f>IF(OR(F16="",J16=""),"",1-ABS(F16-J16))</f>
        <v/>
      </c>
      <c r="O16">
        <f>IF(OR(G16="",K16="",H16="",L16=""),"",0.6+0.2*((G16+K16)/2)+0.2*((H16+L16)/2))</f>
        <v/>
      </c>
      <c r="P16">
        <f>IF(OR(B16="",N16="",O16=""),"",B16*N16*O16)</f>
        <v/>
      </c>
      <c r="Q16">
        <f>IF(B16="", "", B16*(0.5*G16+0.2*H16+0.2*F16+0.1*(1-I16/25)))</f>
        <v/>
      </c>
      <c r="R16">
        <f>IF(B16="", "", B16*(0.5*K16+0.2*L16+0.2*J16+0.1*(1-M16/25)))</f>
        <v/>
      </c>
      <c r="S16">
        <f>IFERROR(VLOOKUP(D16,AnswerBank_v5!$A$2:$AP$311,29,FALSE),"")</f>
        <v/>
      </c>
      <c r="T16">
        <f>IFERROR(VLOOKUP(E16,AnswerBank_v5!$A$2:$AP$311,29,FALSE),"")</f>
        <v/>
      </c>
    </row>
    <row r="17">
      <c r="A17" t="n">
        <v>8</v>
      </c>
      <c r="B17">
        <f>VLOOKUP(A17,QuestionWeights_v4!$A$2:$C$61,3,FALSE)</f>
        <v/>
      </c>
      <c r="C17">
        <f>IFERROR(VLOOKUP(D17,AnswerBank_v5!$A$2:$AP$311,6,FALSE),"")</f>
        <v/>
      </c>
      <c r="F17">
        <f>IFERROR(VLOOKUP(D17,AnswerBank_v5!$A$2:$AP$311,15,FALSE)/10,"")</f>
        <v/>
      </c>
      <c r="G17">
        <f>IFERROR(VLOOKUP(D17,AnswerBank_v5!$A$2:$AP$311,14,FALSE)/10,"")</f>
        <v/>
      </c>
      <c r="H17">
        <f>IFERROR(VLOOKUP(D17,AnswerBank_v5!$A$2:$AP$311,16,FALSE)/10,"")</f>
        <v/>
      </c>
      <c r="I17">
        <f>IFERROR(VLOOKUP(D17,AnswerBank_v5!$A$2:$AP$311,31,FALSE),0)</f>
        <v/>
      </c>
      <c r="J17">
        <f>IFERROR(VLOOKUP(E17,AnswerBank_v5!$A$2:$AP$311,15,FALSE)/10,"")</f>
        <v/>
      </c>
      <c r="K17">
        <f>IFERROR(VLOOKUP(E17,AnswerBank_v5!$A$2:$AP$311,14,FALSE)/10,"")</f>
        <v/>
      </c>
      <c r="L17">
        <f>IFERROR(VLOOKUP(E17,AnswerBank_v5!$A$2:$AP$311,16,FALSE)/10,"")</f>
        <v/>
      </c>
      <c r="M17">
        <f>IFERROR(VLOOKUP(E17,AnswerBank_v5!$A$2:$AP$311,31,FALSE),0)</f>
        <v/>
      </c>
      <c r="N17">
        <f>IF(OR(F17="",J17=""),"",1-ABS(F17-J17))</f>
        <v/>
      </c>
      <c r="O17">
        <f>IF(OR(G17="",K17="",H17="",L17=""),"",0.6+0.2*((G17+K17)/2)+0.2*((H17+L17)/2))</f>
        <v/>
      </c>
      <c r="P17">
        <f>IF(OR(B17="",N17="",O17=""),"",B17*N17*O17)</f>
        <v/>
      </c>
      <c r="Q17">
        <f>IF(B17="", "", B17*(0.5*G17+0.2*H17+0.2*F17+0.1*(1-I17/25)))</f>
        <v/>
      </c>
      <c r="R17">
        <f>IF(B17="", "", B17*(0.5*K17+0.2*L17+0.2*J17+0.1*(1-M17/25)))</f>
        <v/>
      </c>
      <c r="S17">
        <f>IFERROR(VLOOKUP(D17,AnswerBank_v5!$A$2:$AP$311,29,FALSE),"")</f>
        <v/>
      </c>
      <c r="T17">
        <f>IFERROR(VLOOKUP(E17,AnswerBank_v5!$A$2:$AP$311,29,FALSE),"")</f>
        <v/>
      </c>
    </row>
    <row r="18">
      <c r="A18" t="n">
        <v>9</v>
      </c>
      <c r="B18">
        <f>VLOOKUP(A18,QuestionWeights_v4!$A$2:$C$61,3,FALSE)</f>
        <v/>
      </c>
      <c r="C18">
        <f>IFERROR(VLOOKUP(D18,AnswerBank_v5!$A$2:$AP$311,6,FALSE),"")</f>
        <v/>
      </c>
      <c r="F18">
        <f>IFERROR(VLOOKUP(D18,AnswerBank_v5!$A$2:$AP$311,15,FALSE)/10,"")</f>
        <v/>
      </c>
      <c r="G18">
        <f>IFERROR(VLOOKUP(D18,AnswerBank_v5!$A$2:$AP$311,14,FALSE)/10,"")</f>
        <v/>
      </c>
      <c r="H18">
        <f>IFERROR(VLOOKUP(D18,AnswerBank_v5!$A$2:$AP$311,16,FALSE)/10,"")</f>
        <v/>
      </c>
      <c r="I18">
        <f>IFERROR(VLOOKUP(D18,AnswerBank_v5!$A$2:$AP$311,31,FALSE),0)</f>
        <v/>
      </c>
      <c r="J18">
        <f>IFERROR(VLOOKUP(E18,AnswerBank_v5!$A$2:$AP$311,15,FALSE)/10,"")</f>
        <v/>
      </c>
      <c r="K18">
        <f>IFERROR(VLOOKUP(E18,AnswerBank_v5!$A$2:$AP$311,14,FALSE)/10,"")</f>
        <v/>
      </c>
      <c r="L18">
        <f>IFERROR(VLOOKUP(E18,AnswerBank_v5!$A$2:$AP$311,16,FALSE)/10,"")</f>
        <v/>
      </c>
      <c r="M18">
        <f>IFERROR(VLOOKUP(E18,AnswerBank_v5!$A$2:$AP$311,31,FALSE),0)</f>
        <v/>
      </c>
      <c r="N18">
        <f>IF(OR(F18="",J18=""),"",1-ABS(F18-J18))</f>
        <v/>
      </c>
      <c r="O18">
        <f>IF(OR(G18="",K18="",H18="",L18=""),"",0.6+0.2*((G18+K18)/2)+0.2*((H18+L18)/2))</f>
        <v/>
      </c>
      <c r="P18">
        <f>IF(OR(B18="",N18="",O18=""),"",B18*N18*O18)</f>
        <v/>
      </c>
      <c r="Q18">
        <f>IF(B18="", "", B18*(0.5*G18+0.2*H18+0.2*F18+0.1*(1-I18/25)))</f>
        <v/>
      </c>
      <c r="R18">
        <f>IF(B18="", "", B18*(0.5*K18+0.2*L18+0.2*J18+0.1*(1-M18/25)))</f>
        <v/>
      </c>
      <c r="S18">
        <f>IFERROR(VLOOKUP(D18,AnswerBank_v5!$A$2:$AP$311,29,FALSE),"")</f>
        <v/>
      </c>
      <c r="T18">
        <f>IFERROR(VLOOKUP(E18,AnswerBank_v5!$A$2:$AP$311,29,FALSE),"")</f>
        <v/>
      </c>
    </row>
    <row r="19">
      <c r="A19" t="n">
        <v>10</v>
      </c>
      <c r="B19">
        <f>VLOOKUP(A19,QuestionWeights_v4!$A$2:$C$61,3,FALSE)</f>
        <v/>
      </c>
      <c r="C19">
        <f>IFERROR(VLOOKUP(D19,AnswerBank_v5!$A$2:$AP$311,6,FALSE),"")</f>
        <v/>
      </c>
      <c r="F19">
        <f>IFERROR(VLOOKUP(D19,AnswerBank_v5!$A$2:$AP$311,15,FALSE)/10,"")</f>
        <v/>
      </c>
      <c r="G19">
        <f>IFERROR(VLOOKUP(D19,AnswerBank_v5!$A$2:$AP$311,14,FALSE)/10,"")</f>
        <v/>
      </c>
      <c r="H19">
        <f>IFERROR(VLOOKUP(D19,AnswerBank_v5!$A$2:$AP$311,16,FALSE)/10,"")</f>
        <v/>
      </c>
      <c r="I19">
        <f>IFERROR(VLOOKUP(D19,AnswerBank_v5!$A$2:$AP$311,31,FALSE),0)</f>
        <v/>
      </c>
      <c r="J19">
        <f>IFERROR(VLOOKUP(E19,AnswerBank_v5!$A$2:$AP$311,15,FALSE)/10,"")</f>
        <v/>
      </c>
      <c r="K19">
        <f>IFERROR(VLOOKUP(E19,AnswerBank_v5!$A$2:$AP$311,14,FALSE)/10,"")</f>
        <v/>
      </c>
      <c r="L19">
        <f>IFERROR(VLOOKUP(E19,AnswerBank_v5!$A$2:$AP$311,16,FALSE)/10,"")</f>
        <v/>
      </c>
      <c r="M19">
        <f>IFERROR(VLOOKUP(E19,AnswerBank_v5!$A$2:$AP$311,31,FALSE),0)</f>
        <v/>
      </c>
      <c r="N19">
        <f>IF(OR(F19="",J19=""),"",1-ABS(F19-J19))</f>
        <v/>
      </c>
      <c r="O19">
        <f>IF(OR(G19="",K19="",H19="",L19=""),"",0.6+0.2*((G19+K19)/2)+0.2*((H19+L19)/2))</f>
        <v/>
      </c>
      <c r="P19">
        <f>IF(OR(B19="",N19="",O19=""),"",B19*N19*O19)</f>
        <v/>
      </c>
      <c r="Q19">
        <f>IF(B19="", "", B19*(0.5*G19+0.2*H19+0.2*F19+0.1*(1-I19/25)))</f>
        <v/>
      </c>
      <c r="R19">
        <f>IF(B19="", "", B19*(0.5*K19+0.2*L19+0.2*J19+0.1*(1-M19/25)))</f>
        <v/>
      </c>
      <c r="S19">
        <f>IFERROR(VLOOKUP(D19,AnswerBank_v5!$A$2:$AP$311,29,FALSE),"")</f>
        <v/>
      </c>
      <c r="T19">
        <f>IFERROR(VLOOKUP(E19,AnswerBank_v5!$A$2:$AP$311,29,FALSE),"")</f>
        <v/>
      </c>
    </row>
    <row r="20">
      <c r="A20" t="n">
        <v>11</v>
      </c>
      <c r="B20">
        <f>VLOOKUP(A20,QuestionWeights_v4!$A$2:$C$61,3,FALSE)</f>
        <v/>
      </c>
      <c r="C20">
        <f>IFERROR(VLOOKUP(D20,AnswerBank_v5!$A$2:$AP$311,6,FALSE),"")</f>
        <v/>
      </c>
      <c r="F20">
        <f>IFERROR(VLOOKUP(D20,AnswerBank_v5!$A$2:$AP$311,15,FALSE)/10,"")</f>
        <v/>
      </c>
      <c r="G20">
        <f>IFERROR(VLOOKUP(D20,AnswerBank_v5!$A$2:$AP$311,14,FALSE)/10,"")</f>
        <v/>
      </c>
      <c r="H20">
        <f>IFERROR(VLOOKUP(D20,AnswerBank_v5!$A$2:$AP$311,16,FALSE)/10,"")</f>
        <v/>
      </c>
      <c r="I20">
        <f>IFERROR(VLOOKUP(D20,AnswerBank_v5!$A$2:$AP$311,31,FALSE),0)</f>
        <v/>
      </c>
      <c r="J20">
        <f>IFERROR(VLOOKUP(E20,AnswerBank_v5!$A$2:$AP$311,15,FALSE)/10,"")</f>
        <v/>
      </c>
      <c r="K20">
        <f>IFERROR(VLOOKUP(E20,AnswerBank_v5!$A$2:$AP$311,14,FALSE)/10,"")</f>
        <v/>
      </c>
      <c r="L20">
        <f>IFERROR(VLOOKUP(E20,AnswerBank_v5!$A$2:$AP$311,16,FALSE)/10,"")</f>
        <v/>
      </c>
      <c r="M20">
        <f>IFERROR(VLOOKUP(E20,AnswerBank_v5!$A$2:$AP$311,31,FALSE),0)</f>
        <v/>
      </c>
      <c r="N20">
        <f>IF(OR(F20="",J20=""),"",1-ABS(F20-J20))</f>
        <v/>
      </c>
      <c r="O20">
        <f>IF(OR(G20="",K20="",H20="",L20=""),"",0.6+0.2*((G20+K20)/2)+0.2*((H20+L20)/2))</f>
        <v/>
      </c>
      <c r="P20">
        <f>IF(OR(B20="",N20="",O20=""),"",B20*N20*O20)</f>
        <v/>
      </c>
      <c r="Q20">
        <f>IF(B20="", "", B20*(0.5*G20+0.2*H20+0.2*F20+0.1*(1-I20/25)))</f>
        <v/>
      </c>
      <c r="R20">
        <f>IF(B20="", "", B20*(0.5*K20+0.2*L20+0.2*J20+0.1*(1-M20/25)))</f>
        <v/>
      </c>
      <c r="S20">
        <f>IFERROR(VLOOKUP(D20,AnswerBank_v5!$A$2:$AP$311,29,FALSE),"")</f>
        <v/>
      </c>
      <c r="T20">
        <f>IFERROR(VLOOKUP(E20,AnswerBank_v5!$A$2:$AP$311,29,FALSE),"")</f>
        <v/>
      </c>
    </row>
    <row r="21">
      <c r="A21" t="n">
        <v>12</v>
      </c>
      <c r="B21">
        <f>VLOOKUP(A21,QuestionWeights_v4!$A$2:$C$61,3,FALSE)</f>
        <v/>
      </c>
      <c r="C21">
        <f>IFERROR(VLOOKUP(D21,AnswerBank_v5!$A$2:$AP$311,6,FALSE),"")</f>
        <v/>
      </c>
      <c r="F21">
        <f>IFERROR(VLOOKUP(D21,AnswerBank_v5!$A$2:$AP$311,15,FALSE)/10,"")</f>
        <v/>
      </c>
      <c r="G21">
        <f>IFERROR(VLOOKUP(D21,AnswerBank_v5!$A$2:$AP$311,14,FALSE)/10,"")</f>
        <v/>
      </c>
      <c r="H21">
        <f>IFERROR(VLOOKUP(D21,AnswerBank_v5!$A$2:$AP$311,16,FALSE)/10,"")</f>
        <v/>
      </c>
      <c r="I21">
        <f>IFERROR(VLOOKUP(D21,AnswerBank_v5!$A$2:$AP$311,31,FALSE),0)</f>
        <v/>
      </c>
      <c r="J21">
        <f>IFERROR(VLOOKUP(E21,AnswerBank_v5!$A$2:$AP$311,15,FALSE)/10,"")</f>
        <v/>
      </c>
      <c r="K21">
        <f>IFERROR(VLOOKUP(E21,AnswerBank_v5!$A$2:$AP$311,14,FALSE)/10,"")</f>
        <v/>
      </c>
      <c r="L21">
        <f>IFERROR(VLOOKUP(E21,AnswerBank_v5!$A$2:$AP$311,16,FALSE)/10,"")</f>
        <v/>
      </c>
      <c r="M21">
        <f>IFERROR(VLOOKUP(E21,AnswerBank_v5!$A$2:$AP$311,31,FALSE),0)</f>
        <v/>
      </c>
      <c r="N21">
        <f>IF(OR(F21="",J21=""),"",1-ABS(F21-J21))</f>
        <v/>
      </c>
      <c r="O21">
        <f>IF(OR(G21="",K21="",H21="",L21=""),"",0.6+0.2*((G21+K21)/2)+0.2*((H21+L21)/2))</f>
        <v/>
      </c>
      <c r="P21">
        <f>IF(OR(B21="",N21="",O21=""),"",B21*N21*O21)</f>
        <v/>
      </c>
      <c r="Q21">
        <f>IF(B21="", "", B21*(0.5*G21+0.2*H21+0.2*F21+0.1*(1-I21/25)))</f>
        <v/>
      </c>
      <c r="R21">
        <f>IF(B21="", "", B21*(0.5*K21+0.2*L21+0.2*J21+0.1*(1-M21/25)))</f>
        <v/>
      </c>
      <c r="S21">
        <f>IFERROR(VLOOKUP(D21,AnswerBank_v5!$A$2:$AP$311,29,FALSE),"")</f>
        <v/>
      </c>
      <c r="T21">
        <f>IFERROR(VLOOKUP(E21,AnswerBank_v5!$A$2:$AP$311,29,FALSE),"")</f>
        <v/>
      </c>
    </row>
    <row r="22">
      <c r="A22" t="n">
        <v>13</v>
      </c>
      <c r="B22">
        <f>VLOOKUP(A22,QuestionWeights_v4!$A$2:$C$61,3,FALSE)</f>
        <v/>
      </c>
      <c r="C22">
        <f>IFERROR(VLOOKUP(D22,AnswerBank_v5!$A$2:$AP$311,6,FALSE),"")</f>
        <v/>
      </c>
      <c r="F22">
        <f>IFERROR(VLOOKUP(D22,AnswerBank_v5!$A$2:$AP$311,15,FALSE)/10,"")</f>
        <v/>
      </c>
      <c r="G22">
        <f>IFERROR(VLOOKUP(D22,AnswerBank_v5!$A$2:$AP$311,14,FALSE)/10,"")</f>
        <v/>
      </c>
      <c r="H22">
        <f>IFERROR(VLOOKUP(D22,AnswerBank_v5!$A$2:$AP$311,16,FALSE)/10,"")</f>
        <v/>
      </c>
      <c r="I22">
        <f>IFERROR(VLOOKUP(D22,AnswerBank_v5!$A$2:$AP$311,31,FALSE),0)</f>
        <v/>
      </c>
      <c r="J22">
        <f>IFERROR(VLOOKUP(E22,AnswerBank_v5!$A$2:$AP$311,15,FALSE)/10,"")</f>
        <v/>
      </c>
      <c r="K22">
        <f>IFERROR(VLOOKUP(E22,AnswerBank_v5!$A$2:$AP$311,14,FALSE)/10,"")</f>
        <v/>
      </c>
      <c r="L22">
        <f>IFERROR(VLOOKUP(E22,AnswerBank_v5!$A$2:$AP$311,16,FALSE)/10,"")</f>
        <v/>
      </c>
      <c r="M22">
        <f>IFERROR(VLOOKUP(E22,AnswerBank_v5!$A$2:$AP$311,31,FALSE),0)</f>
        <v/>
      </c>
      <c r="N22">
        <f>IF(OR(F22="",J22=""),"",1-ABS(F22-J22))</f>
        <v/>
      </c>
      <c r="O22">
        <f>IF(OR(G22="",K22="",H22="",L22=""),"",0.6+0.2*((G22+K22)/2)+0.2*((H22+L22)/2))</f>
        <v/>
      </c>
      <c r="P22">
        <f>IF(OR(B22="",N22="",O22=""),"",B22*N22*O22)</f>
        <v/>
      </c>
      <c r="Q22">
        <f>IF(B22="", "", B22*(0.5*G22+0.2*H22+0.2*F22+0.1*(1-I22/25)))</f>
        <v/>
      </c>
      <c r="R22">
        <f>IF(B22="", "", B22*(0.5*K22+0.2*L22+0.2*J22+0.1*(1-M22/25)))</f>
        <v/>
      </c>
      <c r="S22">
        <f>IFERROR(VLOOKUP(D22,AnswerBank_v5!$A$2:$AP$311,29,FALSE),"")</f>
        <v/>
      </c>
      <c r="T22">
        <f>IFERROR(VLOOKUP(E22,AnswerBank_v5!$A$2:$AP$311,29,FALSE),"")</f>
        <v/>
      </c>
    </row>
    <row r="23">
      <c r="A23" t="n">
        <v>14</v>
      </c>
      <c r="B23">
        <f>VLOOKUP(A23,QuestionWeights_v4!$A$2:$C$61,3,FALSE)</f>
        <v/>
      </c>
      <c r="C23">
        <f>IFERROR(VLOOKUP(D23,AnswerBank_v5!$A$2:$AP$311,6,FALSE),"")</f>
        <v/>
      </c>
      <c r="F23">
        <f>IFERROR(VLOOKUP(D23,AnswerBank_v5!$A$2:$AP$311,15,FALSE)/10,"")</f>
        <v/>
      </c>
      <c r="G23">
        <f>IFERROR(VLOOKUP(D23,AnswerBank_v5!$A$2:$AP$311,14,FALSE)/10,"")</f>
        <v/>
      </c>
      <c r="H23">
        <f>IFERROR(VLOOKUP(D23,AnswerBank_v5!$A$2:$AP$311,16,FALSE)/10,"")</f>
        <v/>
      </c>
      <c r="I23">
        <f>IFERROR(VLOOKUP(D23,AnswerBank_v5!$A$2:$AP$311,31,FALSE),0)</f>
        <v/>
      </c>
      <c r="J23">
        <f>IFERROR(VLOOKUP(E23,AnswerBank_v5!$A$2:$AP$311,15,FALSE)/10,"")</f>
        <v/>
      </c>
      <c r="K23">
        <f>IFERROR(VLOOKUP(E23,AnswerBank_v5!$A$2:$AP$311,14,FALSE)/10,"")</f>
        <v/>
      </c>
      <c r="L23">
        <f>IFERROR(VLOOKUP(E23,AnswerBank_v5!$A$2:$AP$311,16,FALSE)/10,"")</f>
        <v/>
      </c>
      <c r="M23">
        <f>IFERROR(VLOOKUP(E23,AnswerBank_v5!$A$2:$AP$311,31,FALSE),0)</f>
        <v/>
      </c>
      <c r="N23">
        <f>IF(OR(F23="",J23=""),"",1-ABS(F23-J23))</f>
        <v/>
      </c>
      <c r="O23">
        <f>IF(OR(G23="",K23="",H23="",L23=""),"",0.6+0.2*((G23+K23)/2)+0.2*((H23+L23)/2))</f>
        <v/>
      </c>
      <c r="P23">
        <f>IF(OR(B23="",N23="",O23=""),"",B23*N23*O23)</f>
        <v/>
      </c>
      <c r="Q23">
        <f>IF(B23="", "", B23*(0.5*G23+0.2*H23+0.2*F23+0.1*(1-I23/25)))</f>
        <v/>
      </c>
      <c r="R23">
        <f>IF(B23="", "", B23*(0.5*K23+0.2*L23+0.2*J23+0.1*(1-M23/25)))</f>
        <v/>
      </c>
      <c r="S23">
        <f>IFERROR(VLOOKUP(D23,AnswerBank_v5!$A$2:$AP$311,29,FALSE),"")</f>
        <v/>
      </c>
      <c r="T23">
        <f>IFERROR(VLOOKUP(E23,AnswerBank_v5!$A$2:$AP$311,29,FALSE),"")</f>
        <v/>
      </c>
    </row>
    <row r="24">
      <c r="A24" t="n">
        <v>15</v>
      </c>
      <c r="B24">
        <f>VLOOKUP(A24,QuestionWeights_v4!$A$2:$C$61,3,FALSE)</f>
        <v/>
      </c>
      <c r="C24">
        <f>IFERROR(VLOOKUP(D24,AnswerBank_v5!$A$2:$AP$311,6,FALSE),"")</f>
        <v/>
      </c>
      <c r="F24">
        <f>IFERROR(VLOOKUP(D24,AnswerBank_v5!$A$2:$AP$311,15,FALSE)/10,"")</f>
        <v/>
      </c>
      <c r="G24">
        <f>IFERROR(VLOOKUP(D24,AnswerBank_v5!$A$2:$AP$311,14,FALSE)/10,"")</f>
        <v/>
      </c>
      <c r="H24">
        <f>IFERROR(VLOOKUP(D24,AnswerBank_v5!$A$2:$AP$311,16,FALSE)/10,"")</f>
        <v/>
      </c>
      <c r="I24">
        <f>IFERROR(VLOOKUP(D24,AnswerBank_v5!$A$2:$AP$311,31,FALSE),0)</f>
        <v/>
      </c>
      <c r="J24">
        <f>IFERROR(VLOOKUP(E24,AnswerBank_v5!$A$2:$AP$311,15,FALSE)/10,"")</f>
        <v/>
      </c>
      <c r="K24">
        <f>IFERROR(VLOOKUP(E24,AnswerBank_v5!$A$2:$AP$311,14,FALSE)/10,"")</f>
        <v/>
      </c>
      <c r="L24">
        <f>IFERROR(VLOOKUP(E24,AnswerBank_v5!$A$2:$AP$311,16,FALSE)/10,"")</f>
        <v/>
      </c>
      <c r="M24">
        <f>IFERROR(VLOOKUP(E24,AnswerBank_v5!$A$2:$AP$311,31,FALSE),0)</f>
        <v/>
      </c>
      <c r="N24">
        <f>IF(OR(F24="",J24=""),"",1-ABS(F24-J24))</f>
        <v/>
      </c>
      <c r="O24">
        <f>IF(OR(G24="",K24="",H24="",L24=""),"",0.6+0.2*((G24+K24)/2)+0.2*((H24+L24)/2))</f>
        <v/>
      </c>
      <c r="P24">
        <f>IF(OR(B24="",N24="",O24=""),"",B24*N24*O24)</f>
        <v/>
      </c>
      <c r="Q24">
        <f>IF(B24="", "", B24*(0.5*G24+0.2*H24+0.2*F24+0.1*(1-I24/25)))</f>
        <v/>
      </c>
      <c r="R24">
        <f>IF(B24="", "", B24*(0.5*K24+0.2*L24+0.2*J24+0.1*(1-M24/25)))</f>
        <v/>
      </c>
      <c r="S24">
        <f>IFERROR(VLOOKUP(D24,AnswerBank_v5!$A$2:$AP$311,29,FALSE),"")</f>
        <v/>
      </c>
      <c r="T24">
        <f>IFERROR(VLOOKUP(E24,AnswerBank_v5!$A$2:$AP$311,29,FALSE),"")</f>
        <v/>
      </c>
    </row>
    <row r="25">
      <c r="A25" t="n">
        <v>16</v>
      </c>
      <c r="B25">
        <f>VLOOKUP(A25,QuestionWeights_v4!$A$2:$C$61,3,FALSE)</f>
        <v/>
      </c>
      <c r="C25">
        <f>IFERROR(VLOOKUP(D25,AnswerBank_v5!$A$2:$AP$311,6,FALSE),"")</f>
        <v/>
      </c>
      <c r="F25">
        <f>IFERROR(VLOOKUP(D25,AnswerBank_v5!$A$2:$AP$311,15,FALSE)/10,"")</f>
        <v/>
      </c>
      <c r="G25">
        <f>IFERROR(VLOOKUP(D25,AnswerBank_v5!$A$2:$AP$311,14,FALSE)/10,"")</f>
        <v/>
      </c>
      <c r="H25">
        <f>IFERROR(VLOOKUP(D25,AnswerBank_v5!$A$2:$AP$311,16,FALSE)/10,"")</f>
        <v/>
      </c>
      <c r="I25">
        <f>IFERROR(VLOOKUP(D25,AnswerBank_v5!$A$2:$AP$311,31,FALSE),0)</f>
        <v/>
      </c>
      <c r="J25">
        <f>IFERROR(VLOOKUP(E25,AnswerBank_v5!$A$2:$AP$311,15,FALSE)/10,"")</f>
        <v/>
      </c>
      <c r="K25">
        <f>IFERROR(VLOOKUP(E25,AnswerBank_v5!$A$2:$AP$311,14,FALSE)/10,"")</f>
        <v/>
      </c>
      <c r="L25">
        <f>IFERROR(VLOOKUP(E25,AnswerBank_v5!$A$2:$AP$311,16,FALSE)/10,"")</f>
        <v/>
      </c>
      <c r="M25">
        <f>IFERROR(VLOOKUP(E25,AnswerBank_v5!$A$2:$AP$311,31,FALSE),0)</f>
        <v/>
      </c>
      <c r="N25">
        <f>IF(OR(F25="",J25=""),"",1-ABS(F25-J25))</f>
        <v/>
      </c>
      <c r="O25">
        <f>IF(OR(G25="",K25="",H25="",L25=""),"",0.6+0.2*((G25+K25)/2)+0.2*((H25+L25)/2))</f>
        <v/>
      </c>
      <c r="P25">
        <f>IF(OR(B25="",N25="",O25=""),"",B25*N25*O25)</f>
        <v/>
      </c>
      <c r="Q25">
        <f>IF(B25="", "", B25*(0.5*G25+0.2*H25+0.2*F25+0.1*(1-I25/25)))</f>
        <v/>
      </c>
      <c r="R25">
        <f>IF(B25="", "", B25*(0.5*K25+0.2*L25+0.2*J25+0.1*(1-M25/25)))</f>
        <v/>
      </c>
      <c r="S25">
        <f>IFERROR(VLOOKUP(D25,AnswerBank_v5!$A$2:$AP$311,29,FALSE),"")</f>
        <v/>
      </c>
      <c r="T25">
        <f>IFERROR(VLOOKUP(E25,AnswerBank_v5!$A$2:$AP$311,29,FALSE),"")</f>
        <v/>
      </c>
    </row>
    <row r="26">
      <c r="A26" t="n">
        <v>17</v>
      </c>
      <c r="B26">
        <f>VLOOKUP(A26,QuestionWeights_v4!$A$2:$C$61,3,FALSE)</f>
        <v/>
      </c>
      <c r="C26">
        <f>IFERROR(VLOOKUP(D26,AnswerBank_v5!$A$2:$AP$311,6,FALSE),"")</f>
        <v/>
      </c>
      <c r="F26">
        <f>IFERROR(VLOOKUP(D26,AnswerBank_v5!$A$2:$AP$311,15,FALSE)/10,"")</f>
        <v/>
      </c>
      <c r="G26">
        <f>IFERROR(VLOOKUP(D26,AnswerBank_v5!$A$2:$AP$311,14,FALSE)/10,"")</f>
        <v/>
      </c>
      <c r="H26">
        <f>IFERROR(VLOOKUP(D26,AnswerBank_v5!$A$2:$AP$311,16,FALSE)/10,"")</f>
        <v/>
      </c>
      <c r="I26">
        <f>IFERROR(VLOOKUP(D26,AnswerBank_v5!$A$2:$AP$311,31,FALSE),0)</f>
        <v/>
      </c>
      <c r="J26">
        <f>IFERROR(VLOOKUP(E26,AnswerBank_v5!$A$2:$AP$311,15,FALSE)/10,"")</f>
        <v/>
      </c>
      <c r="K26">
        <f>IFERROR(VLOOKUP(E26,AnswerBank_v5!$A$2:$AP$311,14,FALSE)/10,"")</f>
        <v/>
      </c>
      <c r="L26">
        <f>IFERROR(VLOOKUP(E26,AnswerBank_v5!$A$2:$AP$311,16,FALSE)/10,"")</f>
        <v/>
      </c>
      <c r="M26">
        <f>IFERROR(VLOOKUP(E26,AnswerBank_v5!$A$2:$AP$311,31,FALSE),0)</f>
        <v/>
      </c>
      <c r="N26">
        <f>IF(OR(F26="",J26=""),"",1-ABS(F26-J26))</f>
        <v/>
      </c>
      <c r="O26">
        <f>IF(OR(G26="",K26="",H26="",L26=""),"",0.6+0.2*((G26+K26)/2)+0.2*((H26+L26)/2))</f>
        <v/>
      </c>
      <c r="P26">
        <f>IF(OR(B26="",N26="",O26=""),"",B26*N26*O26)</f>
        <v/>
      </c>
      <c r="Q26">
        <f>IF(B26="", "", B26*(0.5*G26+0.2*H26+0.2*F26+0.1*(1-I26/25)))</f>
        <v/>
      </c>
      <c r="R26">
        <f>IF(B26="", "", B26*(0.5*K26+0.2*L26+0.2*J26+0.1*(1-M26/25)))</f>
        <v/>
      </c>
      <c r="S26">
        <f>IFERROR(VLOOKUP(D26,AnswerBank_v5!$A$2:$AP$311,29,FALSE),"")</f>
        <v/>
      </c>
      <c r="T26">
        <f>IFERROR(VLOOKUP(E26,AnswerBank_v5!$A$2:$AP$311,29,FALSE),"")</f>
        <v/>
      </c>
    </row>
    <row r="27">
      <c r="A27" t="n">
        <v>18</v>
      </c>
      <c r="B27">
        <f>VLOOKUP(A27,QuestionWeights_v4!$A$2:$C$61,3,FALSE)</f>
        <v/>
      </c>
      <c r="C27">
        <f>IFERROR(VLOOKUP(D27,AnswerBank_v5!$A$2:$AP$311,6,FALSE),"")</f>
        <v/>
      </c>
      <c r="F27">
        <f>IFERROR(VLOOKUP(D27,AnswerBank_v5!$A$2:$AP$311,15,FALSE)/10,"")</f>
        <v/>
      </c>
      <c r="G27">
        <f>IFERROR(VLOOKUP(D27,AnswerBank_v5!$A$2:$AP$311,14,FALSE)/10,"")</f>
        <v/>
      </c>
      <c r="H27">
        <f>IFERROR(VLOOKUP(D27,AnswerBank_v5!$A$2:$AP$311,16,FALSE)/10,"")</f>
        <v/>
      </c>
      <c r="I27">
        <f>IFERROR(VLOOKUP(D27,AnswerBank_v5!$A$2:$AP$311,31,FALSE),0)</f>
        <v/>
      </c>
      <c r="J27">
        <f>IFERROR(VLOOKUP(E27,AnswerBank_v5!$A$2:$AP$311,15,FALSE)/10,"")</f>
        <v/>
      </c>
      <c r="K27">
        <f>IFERROR(VLOOKUP(E27,AnswerBank_v5!$A$2:$AP$311,14,FALSE)/10,"")</f>
        <v/>
      </c>
      <c r="L27">
        <f>IFERROR(VLOOKUP(E27,AnswerBank_v5!$A$2:$AP$311,16,FALSE)/10,"")</f>
        <v/>
      </c>
      <c r="M27">
        <f>IFERROR(VLOOKUP(E27,AnswerBank_v5!$A$2:$AP$311,31,FALSE),0)</f>
        <v/>
      </c>
      <c r="N27">
        <f>IF(OR(F27="",J27=""),"",1-ABS(F27-J27))</f>
        <v/>
      </c>
      <c r="O27">
        <f>IF(OR(G27="",K27="",H27="",L27=""),"",0.6+0.2*((G27+K27)/2)+0.2*((H27+L27)/2))</f>
        <v/>
      </c>
      <c r="P27">
        <f>IF(OR(B27="",N27="",O27=""),"",B27*N27*O27)</f>
        <v/>
      </c>
      <c r="Q27">
        <f>IF(B27="", "", B27*(0.5*G27+0.2*H27+0.2*F27+0.1*(1-I27/25)))</f>
        <v/>
      </c>
      <c r="R27">
        <f>IF(B27="", "", B27*(0.5*K27+0.2*L27+0.2*J27+0.1*(1-M27/25)))</f>
        <v/>
      </c>
      <c r="S27">
        <f>IFERROR(VLOOKUP(D27,AnswerBank_v5!$A$2:$AP$311,29,FALSE),"")</f>
        <v/>
      </c>
      <c r="T27">
        <f>IFERROR(VLOOKUP(E27,AnswerBank_v5!$A$2:$AP$311,29,FALSE),"")</f>
        <v/>
      </c>
    </row>
    <row r="28">
      <c r="A28" t="n">
        <v>19</v>
      </c>
      <c r="B28">
        <f>VLOOKUP(A28,QuestionWeights_v4!$A$2:$C$61,3,FALSE)</f>
        <v/>
      </c>
      <c r="C28">
        <f>IFERROR(VLOOKUP(D28,AnswerBank_v5!$A$2:$AP$311,6,FALSE),"")</f>
        <v/>
      </c>
      <c r="F28">
        <f>IFERROR(VLOOKUP(D28,AnswerBank_v5!$A$2:$AP$311,15,FALSE)/10,"")</f>
        <v/>
      </c>
      <c r="G28">
        <f>IFERROR(VLOOKUP(D28,AnswerBank_v5!$A$2:$AP$311,14,FALSE)/10,"")</f>
        <v/>
      </c>
      <c r="H28">
        <f>IFERROR(VLOOKUP(D28,AnswerBank_v5!$A$2:$AP$311,16,FALSE)/10,"")</f>
        <v/>
      </c>
      <c r="I28">
        <f>IFERROR(VLOOKUP(D28,AnswerBank_v5!$A$2:$AP$311,31,FALSE),0)</f>
        <v/>
      </c>
      <c r="J28">
        <f>IFERROR(VLOOKUP(E28,AnswerBank_v5!$A$2:$AP$311,15,FALSE)/10,"")</f>
        <v/>
      </c>
      <c r="K28">
        <f>IFERROR(VLOOKUP(E28,AnswerBank_v5!$A$2:$AP$311,14,FALSE)/10,"")</f>
        <v/>
      </c>
      <c r="L28">
        <f>IFERROR(VLOOKUP(E28,AnswerBank_v5!$A$2:$AP$311,16,FALSE)/10,"")</f>
        <v/>
      </c>
      <c r="M28">
        <f>IFERROR(VLOOKUP(E28,AnswerBank_v5!$A$2:$AP$311,31,FALSE),0)</f>
        <v/>
      </c>
      <c r="N28">
        <f>IF(OR(F28="",J28=""),"",1-ABS(F28-J28))</f>
        <v/>
      </c>
      <c r="O28">
        <f>IF(OR(G28="",K28="",H28="",L28=""),"",0.6+0.2*((G28+K28)/2)+0.2*((H28+L28)/2))</f>
        <v/>
      </c>
      <c r="P28">
        <f>IF(OR(B28="",N28="",O28=""),"",B28*N28*O28)</f>
        <v/>
      </c>
      <c r="Q28">
        <f>IF(B28="", "", B28*(0.5*G28+0.2*H28+0.2*F28+0.1*(1-I28/25)))</f>
        <v/>
      </c>
      <c r="R28">
        <f>IF(B28="", "", B28*(0.5*K28+0.2*L28+0.2*J28+0.1*(1-M28/25)))</f>
        <v/>
      </c>
      <c r="S28">
        <f>IFERROR(VLOOKUP(D28,AnswerBank_v5!$A$2:$AP$311,29,FALSE),"")</f>
        <v/>
      </c>
      <c r="T28">
        <f>IFERROR(VLOOKUP(E28,AnswerBank_v5!$A$2:$AP$311,29,FALSE),"")</f>
        <v/>
      </c>
    </row>
    <row r="29">
      <c r="A29" t="n">
        <v>20</v>
      </c>
      <c r="B29">
        <f>VLOOKUP(A29,QuestionWeights_v4!$A$2:$C$61,3,FALSE)</f>
        <v/>
      </c>
      <c r="C29">
        <f>IFERROR(VLOOKUP(D29,AnswerBank_v5!$A$2:$AP$311,6,FALSE),"")</f>
        <v/>
      </c>
      <c r="F29">
        <f>IFERROR(VLOOKUP(D29,AnswerBank_v5!$A$2:$AP$311,15,FALSE)/10,"")</f>
        <v/>
      </c>
      <c r="G29">
        <f>IFERROR(VLOOKUP(D29,AnswerBank_v5!$A$2:$AP$311,14,FALSE)/10,"")</f>
        <v/>
      </c>
      <c r="H29">
        <f>IFERROR(VLOOKUP(D29,AnswerBank_v5!$A$2:$AP$311,16,FALSE)/10,"")</f>
        <v/>
      </c>
      <c r="I29">
        <f>IFERROR(VLOOKUP(D29,AnswerBank_v5!$A$2:$AP$311,31,FALSE),0)</f>
        <v/>
      </c>
      <c r="J29">
        <f>IFERROR(VLOOKUP(E29,AnswerBank_v5!$A$2:$AP$311,15,FALSE)/10,"")</f>
        <v/>
      </c>
      <c r="K29">
        <f>IFERROR(VLOOKUP(E29,AnswerBank_v5!$A$2:$AP$311,14,FALSE)/10,"")</f>
        <v/>
      </c>
      <c r="L29">
        <f>IFERROR(VLOOKUP(E29,AnswerBank_v5!$A$2:$AP$311,16,FALSE)/10,"")</f>
        <v/>
      </c>
      <c r="M29">
        <f>IFERROR(VLOOKUP(E29,AnswerBank_v5!$A$2:$AP$311,31,FALSE),0)</f>
        <v/>
      </c>
      <c r="N29">
        <f>IF(OR(F29="",J29=""),"",1-ABS(F29-J29))</f>
        <v/>
      </c>
      <c r="O29">
        <f>IF(OR(G29="",K29="",H29="",L29=""),"",0.6+0.2*((G29+K29)/2)+0.2*((H29+L29)/2))</f>
        <v/>
      </c>
      <c r="P29">
        <f>IF(OR(B29="",N29="",O29=""),"",B29*N29*O29)</f>
        <v/>
      </c>
      <c r="Q29">
        <f>IF(B29="", "", B29*(0.5*G29+0.2*H29+0.2*F29+0.1*(1-I29/25)))</f>
        <v/>
      </c>
      <c r="R29">
        <f>IF(B29="", "", B29*(0.5*K29+0.2*L29+0.2*J29+0.1*(1-M29/25)))</f>
        <v/>
      </c>
      <c r="S29">
        <f>IFERROR(VLOOKUP(D29,AnswerBank_v5!$A$2:$AP$311,29,FALSE),"")</f>
        <v/>
      </c>
      <c r="T29">
        <f>IFERROR(VLOOKUP(E29,AnswerBank_v5!$A$2:$AP$311,29,FALSE),"")</f>
        <v/>
      </c>
    </row>
    <row r="30">
      <c r="A30" t="n">
        <v>21</v>
      </c>
      <c r="B30">
        <f>VLOOKUP(A30,QuestionWeights_v4!$A$2:$C$61,3,FALSE)</f>
        <v/>
      </c>
      <c r="C30">
        <f>IFERROR(VLOOKUP(D30,AnswerBank_v5!$A$2:$AP$311,6,FALSE),"")</f>
        <v/>
      </c>
      <c r="F30">
        <f>IFERROR(VLOOKUP(D30,AnswerBank_v5!$A$2:$AP$311,15,FALSE)/10,"")</f>
        <v/>
      </c>
      <c r="G30">
        <f>IFERROR(VLOOKUP(D30,AnswerBank_v5!$A$2:$AP$311,14,FALSE)/10,"")</f>
        <v/>
      </c>
      <c r="H30">
        <f>IFERROR(VLOOKUP(D30,AnswerBank_v5!$A$2:$AP$311,16,FALSE)/10,"")</f>
        <v/>
      </c>
      <c r="I30">
        <f>IFERROR(VLOOKUP(D30,AnswerBank_v5!$A$2:$AP$311,31,FALSE),0)</f>
        <v/>
      </c>
      <c r="J30">
        <f>IFERROR(VLOOKUP(E30,AnswerBank_v5!$A$2:$AP$311,15,FALSE)/10,"")</f>
        <v/>
      </c>
      <c r="K30">
        <f>IFERROR(VLOOKUP(E30,AnswerBank_v5!$A$2:$AP$311,14,FALSE)/10,"")</f>
        <v/>
      </c>
      <c r="L30">
        <f>IFERROR(VLOOKUP(E30,AnswerBank_v5!$A$2:$AP$311,16,FALSE)/10,"")</f>
        <v/>
      </c>
      <c r="M30">
        <f>IFERROR(VLOOKUP(E30,AnswerBank_v5!$A$2:$AP$311,31,FALSE),0)</f>
        <v/>
      </c>
      <c r="N30">
        <f>IF(OR(F30="",J30=""),"",1-ABS(F30-J30))</f>
        <v/>
      </c>
      <c r="O30">
        <f>IF(OR(G30="",K30="",H30="",L30=""),"",0.6+0.2*((G30+K30)/2)+0.2*((H30+L30)/2))</f>
        <v/>
      </c>
      <c r="P30">
        <f>IF(OR(B30="",N30="",O30=""),"",B30*N30*O30)</f>
        <v/>
      </c>
      <c r="Q30">
        <f>IF(B30="", "", B30*(0.5*G30+0.2*H30+0.2*F30+0.1*(1-I30/25)))</f>
        <v/>
      </c>
      <c r="R30">
        <f>IF(B30="", "", B30*(0.5*K30+0.2*L30+0.2*J30+0.1*(1-M30/25)))</f>
        <v/>
      </c>
      <c r="S30">
        <f>IFERROR(VLOOKUP(D30,AnswerBank_v5!$A$2:$AP$311,29,FALSE),"")</f>
        <v/>
      </c>
      <c r="T30">
        <f>IFERROR(VLOOKUP(E30,AnswerBank_v5!$A$2:$AP$311,29,FALSE),"")</f>
        <v/>
      </c>
    </row>
    <row r="31">
      <c r="A31" t="n">
        <v>22</v>
      </c>
      <c r="B31">
        <f>VLOOKUP(A31,QuestionWeights_v4!$A$2:$C$61,3,FALSE)</f>
        <v/>
      </c>
      <c r="C31">
        <f>IFERROR(VLOOKUP(D31,AnswerBank_v5!$A$2:$AP$311,6,FALSE),"")</f>
        <v/>
      </c>
      <c r="F31">
        <f>IFERROR(VLOOKUP(D31,AnswerBank_v5!$A$2:$AP$311,15,FALSE)/10,"")</f>
        <v/>
      </c>
      <c r="G31">
        <f>IFERROR(VLOOKUP(D31,AnswerBank_v5!$A$2:$AP$311,14,FALSE)/10,"")</f>
        <v/>
      </c>
      <c r="H31">
        <f>IFERROR(VLOOKUP(D31,AnswerBank_v5!$A$2:$AP$311,16,FALSE)/10,"")</f>
        <v/>
      </c>
      <c r="I31">
        <f>IFERROR(VLOOKUP(D31,AnswerBank_v5!$A$2:$AP$311,31,FALSE),0)</f>
        <v/>
      </c>
      <c r="J31">
        <f>IFERROR(VLOOKUP(E31,AnswerBank_v5!$A$2:$AP$311,15,FALSE)/10,"")</f>
        <v/>
      </c>
      <c r="K31">
        <f>IFERROR(VLOOKUP(E31,AnswerBank_v5!$A$2:$AP$311,14,FALSE)/10,"")</f>
        <v/>
      </c>
      <c r="L31">
        <f>IFERROR(VLOOKUP(E31,AnswerBank_v5!$A$2:$AP$311,16,FALSE)/10,"")</f>
        <v/>
      </c>
      <c r="M31">
        <f>IFERROR(VLOOKUP(E31,AnswerBank_v5!$A$2:$AP$311,31,FALSE),0)</f>
        <v/>
      </c>
      <c r="N31">
        <f>IF(OR(F31="",J31=""),"",1-ABS(F31-J31))</f>
        <v/>
      </c>
      <c r="O31">
        <f>IF(OR(G31="",K31="",H31="",L31=""),"",0.6+0.2*((G31+K31)/2)+0.2*((H31+L31)/2))</f>
        <v/>
      </c>
      <c r="P31">
        <f>IF(OR(B31="",N31="",O31=""),"",B31*N31*O31)</f>
        <v/>
      </c>
      <c r="Q31">
        <f>IF(B31="", "", B31*(0.5*G31+0.2*H31+0.2*F31+0.1*(1-I31/25)))</f>
        <v/>
      </c>
      <c r="R31">
        <f>IF(B31="", "", B31*(0.5*K31+0.2*L31+0.2*J31+0.1*(1-M31/25)))</f>
        <v/>
      </c>
      <c r="S31">
        <f>IFERROR(VLOOKUP(D31,AnswerBank_v5!$A$2:$AP$311,29,FALSE),"")</f>
        <v/>
      </c>
      <c r="T31">
        <f>IFERROR(VLOOKUP(E31,AnswerBank_v5!$A$2:$AP$311,29,FALSE),"")</f>
        <v/>
      </c>
    </row>
    <row r="32">
      <c r="A32" t="n">
        <v>23</v>
      </c>
      <c r="B32">
        <f>VLOOKUP(A32,QuestionWeights_v4!$A$2:$C$61,3,FALSE)</f>
        <v/>
      </c>
      <c r="C32">
        <f>IFERROR(VLOOKUP(D32,AnswerBank_v5!$A$2:$AP$311,6,FALSE),"")</f>
        <v/>
      </c>
      <c r="F32">
        <f>IFERROR(VLOOKUP(D32,AnswerBank_v5!$A$2:$AP$311,15,FALSE)/10,"")</f>
        <v/>
      </c>
      <c r="G32">
        <f>IFERROR(VLOOKUP(D32,AnswerBank_v5!$A$2:$AP$311,14,FALSE)/10,"")</f>
        <v/>
      </c>
      <c r="H32">
        <f>IFERROR(VLOOKUP(D32,AnswerBank_v5!$A$2:$AP$311,16,FALSE)/10,"")</f>
        <v/>
      </c>
      <c r="I32">
        <f>IFERROR(VLOOKUP(D32,AnswerBank_v5!$A$2:$AP$311,31,FALSE),0)</f>
        <v/>
      </c>
      <c r="J32">
        <f>IFERROR(VLOOKUP(E32,AnswerBank_v5!$A$2:$AP$311,15,FALSE)/10,"")</f>
        <v/>
      </c>
      <c r="K32">
        <f>IFERROR(VLOOKUP(E32,AnswerBank_v5!$A$2:$AP$311,14,FALSE)/10,"")</f>
        <v/>
      </c>
      <c r="L32">
        <f>IFERROR(VLOOKUP(E32,AnswerBank_v5!$A$2:$AP$311,16,FALSE)/10,"")</f>
        <v/>
      </c>
      <c r="M32">
        <f>IFERROR(VLOOKUP(E32,AnswerBank_v5!$A$2:$AP$311,31,FALSE),0)</f>
        <v/>
      </c>
      <c r="N32">
        <f>IF(OR(F32="",J32=""),"",1-ABS(F32-J32))</f>
        <v/>
      </c>
      <c r="O32">
        <f>IF(OR(G32="",K32="",H32="",L32=""),"",0.6+0.2*((G32+K32)/2)+0.2*((H32+L32)/2))</f>
        <v/>
      </c>
      <c r="P32">
        <f>IF(OR(B32="",N32="",O32=""),"",B32*N32*O32)</f>
        <v/>
      </c>
      <c r="Q32">
        <f>IF(B32="", "", B32*(0.5*G32+0.2*H32+0.2*F32+0.1*(1-I32/25)))</f>
        <v/>
      </c>
      <c r="R32">
        <f>IF(B32="", "", B32*(0.5*K32+0.2*L32+0.2*J32+0.1*(1-M32/25)))</f>
        <v/>
      </c>
      <c r="S32">
        <f>IFERROR(VLOOKUP(D32,AnswerBank_v5!$A$2:$AP$311,29,FALSE),"")</f>
        <v/>
      </c>
      <c r="T32">
        <f>IFERROR(VLOOKUP(E32,AnswerBank_v5!$A$2:$AP$311,29,FALSE),"")</f>
        <v/>
      </c>
    </row>
    <row r="33">
      <c r="A33" t="n">
        <v>24</v>
      </c>
      <c r="B33">
        <f>VLOOKUP(A33,QuestionWeights_v4!$A$2:$C$61,3,FALSE)</f>
        <v/>
      </c>
      <c r="C33">
        <f>IFERROR(VLOOKUP(D33,AnswerBank_v5!$A$2:$AP$311,6,FALSE),"")</f>
        <v/>
      </c>
      <c r="F33">
        <f>IFERROR(VLOOKUP(D33,AnswerBank_v5!$A$2:$AP$311,15,FALSE)/10,"")</f>
        <v/>
      </c>
      <c r="G33">
        <f>IFERROR(VLOOKUP(D33,AnswerBank_v5!$A$2:$AP$311,14,FALSE)/10,"")</f>
        <v/>
      </c>
      <c r="H33">
        <f>IFERROR(VLOOKUP(D33,AnswerBank_v5!$A$2:$AP$311,16,FALSE)/10,"")</f>
        <v/>
      </c>
      <c r="I33">
        <f>IFERROR(VLOOKUP(D33,AnswerBank_v5!$A$2:$AP$311,31,FALSE),0)</f>
        <v/>
      </c>
      <c r="J33">
        <f>IFERROR(VLOOKUP(E33,AnswerBank_v5!$A$2:$AP$311,15,FALSE)/10,"")</f>
        <v/>
      </c>
      <c r="K33">
        <f>IFERROR(VLOOKUP(E33,AnswerBank_v5!$A$2:$AP$311,14,FALSE)/10,"")</f>
        <v/>
      </c>
      <c r="L33">
        <f>IFERROR(VLOOKUP(E33,AnswerBank_v5!$A$2:$AP$311,16,FALSE)/10,"")</f>
        <v/>
      </c>
      <c r="M33">
        <f>IFERROR(VLOOKUP(E33,AnswerBank_v5!$A$2:$AP$311,31,FALSE),0)</f>
        <v/>
      </c>
      <c r="N33">
        <f>IF(OR(F33="",J33=""),"",1-ABS(F33-J33))</f>
        <v/>
      </c>
      <c r="O33">
        <f>IF(OR(G33="",K33="",H33="",L33=""),"",0.6+0.2*((G33+K33)/2)+0.2*((H33+L33)/2))</f>
        <v/>
      </c>
      <c r="P33">
        <f>IF(OR(B33="",N33="",O33=""),"",B33*N33*O33)</f>
        <v/>
      </c>
      <c r="Q33">
        <f>IF(B33="", "", B33*(0.5*G33+0.2*H33+0.2*F33+0.1*(1-I33/25)))</f>
        <v/>
      </c>
      <c r="R33">
        <f>IF(B33="", "", B33*(0.5*K33+0.2*L33+0.2*J33+0.1*(1-M33/25)))</f>
        <v/>
      </c>
      <c r="S33">
        <f>IFERROR(VLOOKUP(D33,AnswerBank_v5!$A$2:$AP$311,29,FALSE),"")</f>
        <v/>
      </c>
      <c r="T33">
        <f>IFERROR(VLOOKUP(E33,AnswerBank_v5!$A$2:$AP$311,29,FALSE),"")</f>
        <v/>
      </c>
    </row>
    <row r="34">
      <c r="A34" t="n">
        <v>25</v>
      </c>
      <c r="B34">
        <f>VLOOKUP(A34,QuestionWeights_v4!$A$2:$C$61,3,FALSE)</f>
        <v/>
      </c>
      <c r="C34">
        <f>IFERROR(VLOOKUP(D34,AnswerBank_v5!$A$2:$AP$311,6,FALSE),"")</f>
        <v/>
      </c>
      <c r="F34">
        <f>IFERROR(VLOOKUP(D34,AnswerBank_v5!$A$2:$AP$311,15,FALSE)/10,"")</f>
        <v/>
      </c>
      <c r="G34">
        <f>IFERROR(VLOOKUP(D34,AnswerBank_v5!$A$2:$AP$311,14,FALSE)/10,"")</f>
        <v/>
      </c>
      <c r="H34">
        <f>IFERROR(VLOOKUP(D34,AnswerBank_v5!$A$2:$AP$311,16,FALSE)/10,"")</f>
        <v/>
      </c>
      <c r="I34">
        <f>IFERROR(VLOOKUP(D34,AnswerBank_v5!$A$2:$AP$311,31,FALSE),0)</f>
        <v/>
      </c>
      <c r="J34">
        <f>IFERROR(VLOOKUP(E34,AnswerBank_v5!$A$2:$AP$311,15,FALSE)/10,"")</f>
        <v/>
      </c>
      <c r="K34">
        <f>IFERROR(VLOOKUP(E34,AnswerBank_v5!$A$2:$AP$311,14,FALSE)/10,"")</f>
        <v/>
      </c>
      <c r="L34">
        <f>IFERROR(VLOOKUP(E34,AnswerBank_v5!$A$2:$AP$311,16,FALSE)/10,"")</f>
        <v/>
      </c>
      <c r="M34">
        <f>IFERROR(VLOOKUP(E34,AnswerBank_v5!$A$2:$AP$311,31,FALSE),0)</f>
        <v/>
      </c>
      <c r="N34">
        <f>IF(OR(F34="",J34=""),"",1-ABS(F34-J34))</f>
        <v/>
      </c>
      <c r="O34">
        <f>IF(OR(G34="",K34="",H34="",L34=""),"",0.6+0.2*((G34+K34)/2)+0.2*((H34+L34)/2))</f>
        <v/>
      </c>
      <c r="P34">
        <f>IF(OR(B34="",N34="",O34=""),"",B34*N34*O34)</f>
        <v/>
      </c>
      <c r="Q34">
        <f>IF(B34="", "", B34*(0.5*G34+0.2*H34+0.2*F34+0.1*(1-I34/25)))</f>
        <v/>
      </c>
      <c r="R34">
        <f>IF(B34="", "", B34*(0.5*K34+0.2*L34+0.2*J34+0.1*(1-M34/25)))</f>
        <v/>
      </c>
      <c r="S34">
        <f>IFERROR(VLOOKUP(D34,AnswerBank_v5!$A$2:$AP$311,29,FALSE),"")</f>
        <v/>
      </c>
      <c r="T34">
        <f>IFERROR(VLOOKUP(E34,AnswerBank_v5!$A$2:$AP$311,29,FALSE),"")</f>
        <v/>
      </c>
    </row>
    <row r="35">
      <c r="A35" t="n">
        <v>26</v>
      </c>
      <c r="B35">
        <f>VLOOKUP(A35,QuestionWeights_v4!$A$2:$C$61,3,FALSE)</f>
        <v/>
      </c>
      <c r="C35">
        <f>IFERROR(VLOOKUP(D35,AnswerBank_v5!$A$2:$AP$311,6,FALSE),"")</f>
        <v/>
      </c>
      <c r="F35">
        <f>IFERROR(VLOOKUP(D35,AnswerBank_v5!$A$2:$AP$311,15,FALSE)/10,"")</f>
        <v/>
      </c>
      <c r="G35">
        <f>IFERROR(VLOOKUP(D35,AnswerBank_v5!$A$2:$AP$311,14,FALSE)/10,"")</f>
        <v/>
      </c>
      <c r="H35">
        <f>IFERROR(VLOOKUP(D35,AnswerBank_v5!$A$2:$AP$311,16,FALSE)/10,"")</f>
        <v/>
      </c>
      <c r="I35">
        <f>IFERROR(VLOOKUP(D35,AnswerBank_v5!$A$2:$AP$311,31,FALSE),0)</f>
        <v/>
      </c>
      <c r="J35">
        <f>IFERROR(VLOOKUP(E35,AnswerBank_v5!$A$2:$AP$311,15,FALSE)/10,"")</f>
        <v/>
      </c>
      <c r="K35">
        <f>IFERROR(VLOOKUP(E35,AnswerBank_v5!$A$2:$AP$311,14,FALSE)/10,"")</f>
        <v/>
      </c>
      <c r="L35">
        <f>IFERROR(VLOOKUP(E35,AnswerBank_v5!$A$2:$AP$311,16,FALSE)/10,"")</f>
        <v/>
      </c>
      <c r="M35">
        <f>IFERROR(VLOOKUP(E35,AnswerBank_v5!$A$2:$AP$311,31,FALSE),0)</f>
        <v/>
      </c>
      <c r="N35">
        <f>IF(OR(F35="",J35=""),"",1-ABS(F35-J35))</f>
        <v/>
      </c>
      <c r="O35">
        <f>IF(OR(G35="",K35="",H35="",L35=""),"",0.6+0.2*((G35+K35)/2)+0.2*((H35+L35)/2))</f>
        <v/>
      </c>
      <c r="P35">
        <f>IF(OR(B35="",N35="",O35=""),"",B35*N35*O35)</f>
        <v/>
      </c>
      <c r="Q35">
        <f>IF(B35="", "", B35*(0.5*G35+0.2*H35+0.2*F35+0.1*(1-I35/25)))</f>
        <v/>
      </c>
      <c r="R35">
        <f>IF(B35="", "", B35*(0.5*K35+0.2*L35+0.2*J35+0.1*(1-M35/25)))</f>
        <v/>
      </c>
      <c r="S35">
        <f>IFERROR(VLOOKUP(D35,AnswerBank_v5!$A$2:$AP$311,29,FALSE),"")</f>
        <v/>
      </c>
      <c r="T35">
        <f>IFERROR(VLOOKUP(E35,AnswerBank_v5!$A$2:$AP$311,29,FALSE),"")</f>
        <v/>
      </c>
    </row>
    <row r="36">
      <c r="A36" t="n">
        <v>27</v>
      </c>
      <c r="B36">
        <f>VLOOKUP(A36,QuestionWeights_v4!$A$2:$C$61,3,FALSE)</f>
        <v/>
      </c>
      <c r="C36">
        <f>IFERROR(VLOOKUP(D36,AnswerBank_v5!$A$2:$AP$311,6,FALSE),"")</f>
        <v/>
      </c>
      <c r="F36">
        <f>IFERROR(VLOOKUP(D36,AnswerBank_v5!$A$2:$AP$311,15,FALSE)/10,"")</f>
        <v/>
      </c>
      <c r="G36">
        <f>IFERROR(VLOOKUP(D36,AnswerBank_v5!$A$2:$AP$311,14,FALSE)/10,"")</f>
        <v/>
      </c>
      <c r="H36">
        <f>IFERROR(VLOOKUP(D36,AnswerBank_v5!$A$2:$AP$311,16,FALSE)/10,"")</f>
        <v/>
      </c>
      <c r="I36">
        <f>IFERROR(VLOOKUP(D36,AnswerBank_v5!$A$2:$AP$311,31,FALSE),0)</f>
        <v/>
      </c>
      <c r="J36">
        <f>IFERROR(VLOOKUP(E36,AnswerBank_v5!$A$2:$AP$311,15,FALSE)/10,"")</f>
        <v/>
      </c>
      <c r="K36">
        <f>IFERROR(VLOOKUP(E36,AnswerBank_v5!$A$2:$AP$311,14,FALSE)/10,"")</f>
        <v/>
      </c>
      <c r="L36">
        <f>IFERROR(VLOOKUP(E36,AnswerBank_v5!$A$2:$AP$311,16,FALSE)/10,"")</f>
        <v/>
      </c>
      <c r="M36">
        <f>IFERROR(VLOOKUP(E36,AnswerBank_v5!$A$2:$AP$311,31,FALSE),0)</f>
        <v/>
      </c>
      <c r="N36">
        <f>IF(OR(F36="",J36=""),"",1-ABS(F36-J36))</f>
        <v/>
      </c>
      <c r="O36">
        <f>IF(OR(G36="",K36="",H36="",L36=""),"",0.6+0.2*((G36+K36)/2)+0.2*((H36+L36)/2))</f>
        <v/>
      </c>
      <c r="P36">
        <f>IF(OR(B36="",N36="",O36=""),"",B36*N36*O36)</f>
        <v/>
      </c>
      <c r="Q36">
        <f>IF(B36="", "", B36*(0.5*G36+0.2*H36+0.2*F36+0.1*(1-I36/25)))</f>
        <v/>
      </c>
      <c r="R36">
        <f>IF(B36="", "", B36*(0.5*K36+0.2*L36+0.2*J36+0.1*(1-M36/25)))</f>
        <v/>
      </c>
      <c r="S36">
        <f>IFERROR(VLOOKUP(D36,AnswerBank_v5!$A$2:$AP$311,29,FALSE),"")</f>
        <v/>
      </c>
      <c r="T36">
        <f>IFERROR(VLOOKUP(E36,AnswerBank_v5!$A$2:$AP$311,29,FALSE),"")</f>
        <v/>
      </c>
    </row>
    <row r="37">
      <c r="A37" t="n">
        <v>28</v>
      </c>
      <c r="B37">
        <f>VLOOKUP(A37,QuestionWeights_v4!$A$2:$C$61,3,FALSE)</f>
        <v/>
      </c>
      <c r="C37">
        <f>IFERROR(VLOOKUP(D37,AnswerBank_v5!$A$2:$AP$311,6,FALSE),"")</f>
        <v/>
      </c>
      <c r="F37">
        <f>IFERROR(VLOOKUP(D37,AnswerBank_v5!$A$2:$AP$311,15,FALSE)/10,"")</f>
        <v/>
      </c>
      <c r="G37">
        <f>IFERROR(VLOOKUP(D37,AnswerBank_v5!$A$2:$AP$311,14,FALSE)/10,"")</f>
        <v/>
      </c>
      <c r="H37">
        <f>IFERROR(VLOOKUP(D37,AnswerBank_v5!$A$2:$AP$311,16,FALSE)/10,"")</f>
        <v/>
      </c>
      <c r="I37">
        <f>IFERROR(VLOOKUP(D37,AnswerBank_v5!$A$2:$AP$311,31,FALSE),0)</f>
        <v/>
      </c>
      <c r="J37">
        <f>IFERROR(VLOOKUP(E37,AnswerBank_v5!$A$2:$AP$311,15,FALSE)/10,"")</f>
        <v/>
      </c>
      <c r="K37">
        <f>IFERROR(VLOOKUP(E37,AnswerBank_v5!$A$2:$AP$311,14,FALSE)/10,"")</f>
        <v/>
      </c>
      <c r="L37">
        <f>IFERROR(VLOOKUP(E37,AnswerBank_v5!$A$2:$AP$311,16,FALSE)/10,"")</f>
        <v/>
      </c>
      <c r="M37">
        <f>IFERROR(VLOOKUP(E37,AnswerBank_v5!$A$2:$AP$311,31,FALSE),0)</f>
        <v/>
      </c>
      <c r="N37">
        <f>IF(OR(F37="",J37=""),"",1-ABS(F37-J37))</f>
        <v/>
      </c>
      <c r="O37">
        <f>IF(OR(G37="",K37="",H37="",L37=""),"",0.6+0.2*((G37+K37)/2)+0.2*((H37+L37)/2))</f>
        <v/>
      </c>
      <c r="P37">
        <f>IF(OR(B37="",N37="",O37=""),"",B37*N37*O37)</f>
        <v/>
      </c>
      <c r="Q37">
        <f>IF(B37="", "", B37*(0.5*G37+0.2*H37+0.2*F37+0.1*(1-I37/25)))</f>
        <v/>
      </c>
      <c r="R37">
        <f>IF(B37="", "", B37*(0.5*K37+0.2*L37+0.2*J37+0.1*(1-M37/25)))</f>
        <v/>
      </c>
      <c r="S37">
        <f>IFERROR(VLOOKUP(D37,AnswerBank_v5!$A$2:$AP$311,29,FALSE),"")</f>
        <v/>
      </c>
      <c r="T37">
        <f>IFERROR(VLOOKUP(E37,AnswerBank_v5!$A$2:$AP$311,29,FALSE),"")</f>
        <v/>
      </c>
    </row>
    <row r="38">
      <c r="A38" t="n">
        <v>29</v>
      </c>
      <c r="B38">
        <f>VLOOKUP(A38,QuestionWeights_v4!$A$2:$C$61,3,FALSE)</f>
        <v/>
      </c>
      <c r="C38">
        <f>IFERROR(VLOOKUP(D38,AnswerBank_v5!$A$2:$AP$311,6,FALSE),"")</f>
        <v/>
      </c>
      <c r="F38">
        <f>IFERROR(VLOOKUP(D38,AnswerBank_v5!$A$2:$AP$311,15,FALSE)/10,"")</f>
        <v/>
      </c>
      <c r="G38">
        <f>IFERROR(VLOOKUP(D38,AnswerBank_v5!$A$2:$AP$311,14,FALSE)/10,"")</f>
        <v/>
      </c>
      <c r="H38">
        <f>IFERROR(VLOOKUP(D38,AnswerBank_v5!$A$2:$AP$311,16,FALSE)/10,"")</f>
        <v/>
      </c>
      <c r="I38">
        <f>IFERROR(VLOOKUP(D38,AnswerBank_v5!$A$2:$AP$311,31,FALSE),0)</f>
        <v/>
      </c>
      <c r="J38">
        <f>IFERROR(VLOOKUP(E38,AnswerBank_v5!$A$2:$AP$311,15,FALSE)/10,"")</f>
        <v/>
      </c>
      <c r="K38">
        <f>IFERROR(VLOOKUP(E38,AnswerBank_v5!$A$2:$AP$311,14,FALSE)/10,"")</f>
        <v/>
      </c>
      <c r="L38">
        <f>IFERROR(VLOOKUP(E38,AnswerBank_v5!$A$2:$AP$311,16,FALSE)/10,"")</f>
        <v/>
      </c>
      <c r="M38">
        <f>IFERROR(VLOOKUP(E38,AnswerBank_v5!$A$2:$AP$311,31,FALSE),0)</f>
        <v/>
      </c>
      <c r="N38">
        <f>IF(OR(F38="",J38=""),"",1-ABS(F38-J38))</f>
        <v/>
      </c>
      <c r="O38">
        <f>IF(OR(G38="",K38="",H38="",L38=""),"",0.6+0.2*((G38+K38)/2)+0.2*((H38+L38)/2))</f>
        <v/>
      </c>
      <c r="P38">
        <f>IF(OR(B38="",N38="",O38=""),"",B38*N38*O38)</f>
        <v/>
      </c>
      <c r="Q38">
        <f>IF(B38="", "", B38*(0.5*G38+0.2*H38+0.2*F38+0.1*(1-I38/25)))</f>
        <v/>
      </c>
      <c r="R38">
        <f>IF(B38="", "", B38*(0.5*K38+0.2*L38+0.2*J38+0.1*(1-M38/25)))</f>
        <v/>
      </c>
      <c r="S38">
        <f>IFERROR(VLOOKUP(D38,AnswerBank_v5!$A$2:$AP$311,29,FALSE),"")</f>
        <v/>
      </c>
      <c r="T38">
        <f>IFERROR(VLOOKUP(E38,AnswerBank_v5!$A$2:$AP$311,29,FALSE),"")</f>
        <v/>
      </c>
    </row>
    <row r="39">
      <c r="A39" t="n">
        <v>30</v>
      </c>
      <c r="B39">
        <f>VLOOKUP(A39,QuestionWeights_v4!$A$2:$C$61,3,FALSE)</f>
        <v/>
      </c>
      <c r="C39">
        <f>IFERROR(VLOOKUP(D39,AnswerBank_v5!$A$2:$AP$311,6,FALSE),"")</f>
        <v/>
      </c>
      <c r="F39">
        <f>IFERROR(VLOOKUP(D39,AnswerBank_v5!$A$2:$AP$311,15,FALSE)/10,"")</f>
        <v/>
      </c>
      <c r="G39">
        <f>IFERROR(VLOOKUP(D39,AnswerBank_v5!$A$2:$AP$311,14,FALSE)/10,"")</f>
        <v/>
      </c>
      <c r="H39">
        <f>IFERROR(VLOOKUP(D39,AnswerBank_v5!$A$2:$AP$311,16,FALSE)/10,"")</f>
        <v/>
      </c>
      <c r="I39">
        <f>IFERROR(VLOOKUP(D39,AnswerBank_v5!$A$2:$AP$311,31,FALSE),0)</f>
        <v/>
      </c>
      <c r="J39">
        <f>IFERROR(VLOOKUP(E39,AnswerBank_v5!$A$2:$AP$311,15,FALSE)/10,"")</f>
        <v/>
      </c>
      <c r="K39">
        <f>IFERROR(VLOOKUP(E39,AnswerBank_v5!$A$2:$AP$311,14,FALSE)/10,"")</f>
        <v/>
      </c>
      <c r="L39">
        <f>IFERROR(VLOOKUP(E39,AnswerBank_v5!$A$2:$AP$311,16,FALSE)/10,"")</f>
        <v/>
      </c>
      <c r="M39">
        <f>IFERROR(VLOOKUP(E39,AnswerBank_v5!$A$2:$AP$311,31,FALSE),0)</f>
        <v/>
      </c>
      <c r="N39">
        <f>IF(OR(F39="",J39=""),"",1-ABS(F39-J39))</f>
        <v/>
      </c>
      <c r="O39">
        <f>IF(OR(G39="",K39="",H39="",L39=""),"",0.6+0.2*((G39+K39)/2)+0.2*((H39+L39)/2))</f>
        <v/>
      </c>
      <c r="P39">
        <f>IF(OR(B39="",N39="",O39=""),"",B39*N39*O39)</f>
        <v/>
      </c>
      <c r="Q39">
        <f>IF(B39="", "", B39*(0.5*G39+0.2*H39+0.2*F39+0.1*(1-I39/25)))</f>
        <v/>
      </c>
      <c r="R39">
        <f>IF(B39="", "", B39*(0.5*K39+0.2*L39+0.2*J39+0.1*(1-M39/25)))</f>
        <v/>
      </c>
      <c r="S39">
        <f>IFERROR(VLOOKUP(D39,AnswerBank_v5!$A$2:$AP$311,29,FALSE),"")</f>
        <v/>
      </c>
      <c r="T39">
        <f>IFERROR(VLOOKUP(E39,AnswerBank_v5!$A$2:$AP$311,29,FALSE),"")</f>
        <v/>
      </c>
    </row>
    <row r="40">
      <c r="A40" t="n">
        <v>31</v>
      </c>
      <c r="B40">
        <f>VLOOKUP(A40,QuestionWeights_v4!$A$2:$C$61,3,FALSE)</f>
        <v/>
      </c>
      <c r="C40">
        <f>IFERROR(VLOOKUP(D40,AnswerBank_v5!$A$2:$AP$311,6,FALSE),"")</f>
        <v/>
      </c>
      <c r="F40">
        <f>IFERROR(VLOOKUP(D40,AnswerBank_v5!$A$2:$AP$311,15,FALSE)/10,"")</f>
        <v/>
      </c>
      <c r="G40">
        <f>IFERROR(VLOOKUP(D40,AnswerBank_v5!$A$2:$AP$311,14,FALSE)/10,"")</f>
        <v/>
      </c>
      <c r="H40">
        <f>IFERROR(VLOOKUP(D40,AnswerBank_v5!$A$2:$AP$311,16,FALSE)/10,"")</f>
        <v/>
      </c>
      <c r="I40">
        <f>IFERROR(VLOOKUP(D40,AnswerBank_v5!$A$2:$AP$311,31,FALSE),0)</f>
        <v/>
      </c>
      <c r="J40">
        <f>IFERROR(VLOOKUP(E40,AnswerBank_v5!$A$2:$AP$311,15,FALSE)/10,"")</f>
        <v/>
      </c>
      <c r="K40">
        <f>IFERROR(VLOOKUP(E40,AnswerBank_v5!$A$2:$AP$311,14,FALSE)/10,"")</f>
        <v/>
      </c>
      <c r="L40">
        <f>IFERROR(VLOOKUP(E40,AnswerBank_v5!$A$2:$AP$311,16,FALSE)/10,"")</f>
        <v/>
      </c>
      <c r="M40">
        <f>IFERROR(VLOOKUP(E40,AnswerBank_v5!$A$2:$AP$311,31,FALSE),0)</f>
        <v/>
      </c>
      <c r="N40">
        <f>IF(OR(F40="",J40=""),"",1-ABS(F40-J40))</f>
        <v/>
      </c>
      <c r="O40">
        <f>IF(OR(G40="",K40="",H40="",L40=""),"",0.6+0.2*((G40+K40)/2)+0.2*((H40+L40)/2))</f>
        <v/>
      </c>
      <c r="P40">
        <f>IF(OR(B40="",N40="",O40=""),"",B40*N40*O40)</f>
        <v/>
      </c>
      <c r="Q40">
        <f>IF(B40="", "", B40*(0.5*G40+0.2*H40+0.2*F40+0.1*(1-I40/25)))</f>
        <v/>
      </c>
      <c r="R40">
        <f>IF(B40="", "", B40*(0.5*K40+0.2*L40+0.2*J40+0.1*(1-M40/25)))</f>
        <v/>
      </c>
      <c r="S40">
        <f>IFERROR(VLOOKUP(D40,AnswerBank_v5!$A$2:$AP$311,29,FALSE),"")</f>
        <v/>
      </c>
      <c r="T40">
        <f>IFERROR(VLOOKUP(E40,AnswerBank_v5!$A$2:$AP$311,29,FALSE),"")</f>
        <v/>
      </c>
    </row>
    <row r="41">
      <c r="A41" t="n">
        <v>32</v>
      </c>
      <c r="B41">
        <f>VLOOKUP(A41,QuestionWeights_v4!$A$2:$C$61,3,FALSE)</f>
        <v/>
      </c>
      <c r="C41">
        <f>IFERROR(VLOOKUP(D41,AnswerBank_v5!$A$2:$AP$311,6,FALSE),"")</f>
        <v/>
      </c>
      <c r="F41">
        <f>IFERROR(VLOOKUP(D41,AnswerBank_v5!$A$2:$AP$311,15,FALSE)/10,"")</f>
        <v/>
      </c>
      <c r="G41">
        <f>IFERROR(VLOOKUP(D41,AnswerBank_v5!$A$2:$AP$311,14,FALSE)/10,"")</f>
        <v/>
      </c>
      <c r="H41">
        <f>IFERROR(VLOOKUP(D41,AnswerBank_v5!$A$2:$AP$311,16,FALSE)/10,"")</f>
        <v/>
      </c>
      <c r="I41">
        <f>IFERROR(VLOOKUP(D41,AnswerBank_v5!$A$2:$AP$311,31,FALSE),0)</f>
        <v/>
      </c>
      <c r="J41">
        <f>IFERROR(VLOOKUP(E41,AnswerBank_v5!$A$2:$AP$311,15,FALSE)/10,"")</f>
        <v/>
      </c>
      <c r="K41">
        <f>IFERROR(VLOOKUP(E41,AnswerBank_v5!$A$2:$AP$311,14,FALSE)/10,"")</f>
        <v/>
      </c>
      <c r="L41">
        <f>IFERROR(VLOOKUP(E41,AnswerBank_v5!$A$2:$AP$311,16,FALSE)/10,"")</f>
        <v/>
      </c>
      <c r="M41">
        <f>IFERROR(VLOOKUP(E41,AnswerBank_v5!$A$2:$AP$311,31,FALSE),0)</f>
        <v/>
      </c>
      <c r="N41">
        <f>IF(OR(F41="",J41=""),"",1-ABS(F41-J41))</f>
        <v/>
      </c>
      <c r="O41">
        <f>IF(OR(G41="",K41="",H41="",L41=""),"",0.6+0.2*((G41+K41)/2)+0.2*((H41+L41)/2))</f>
        <v/>
      </c>
      <c r="P41">
        <f>IF(OR(B41="",N41="",O41=""),"",B41*N41*O41)</f>
        <v/>
      </c>
      <c r="Q41">
        <f>IF(B41="", "", B41*(0.5*G41+0.2*H41+0.2*F41+0.1*(1-I41/25)))</f>
        <v/>
      </c>
      <c r="R41">
        <f>IF(B41="", "", B41*(0.5*K41+0.2*L41+0.2*J41+0.1*(1-M41/25)))</f>
        <v/>
      </c>
      <c r="S41">
        <f>IFERROR(VLOOKUP(D41,AnswerBank_v5!$A$2:$AP$311,29,FALSE),"")</f>
        <v/>
      </c>
      <c r="T41">
        <f>IFERROR(VLOOKUP(E41,AnswerBank_v5!$A$2:$AP$311,29,FALSE),"")</f>
        <v/>
      </c>
    </row>
    <row r="42">
      <c r="A42" t="n">
        <v>33</v>
      </c>
      <c r="B42">
        <f>VLOOKUP(A42,QuestionWeights_v4!$A$2:$C$61,3,FALSE)</f>
        <v/>
      </c>
      <c r="C42">
        <f>IFERROR(VLOOKUP(D42,AnswerBank_v5!$A$2:$AP$311,6,FALSE),"")</f>
        <v/>
      </c>
      <c r="F42">
        <f>IFERROR(VLOOKUP(D42,AnswerBank_v5!$A$2:$AP$311,15,FALSE)/10,"")</f>
        <v/>
      </c>
      <c r="G42">
        <f>IFERROR(VLOOKUP(D42,AnswerBank_v5!$A$2:$AP$311,14,FALSE)/10,"")</f>
        <v/>
      </c>
      <c r="H42">
        <f>IFERROR(VLOOKUP(D42,AnswerBank_v5!$A$2:$AP$311,16,FALSE)/10,"")</f>
        <v/>
      </c>
      <c r="I42">
        <f>IFERROR(VLOOKUP(D42,AnswerBank_v5!$A$2:$AP$311,31,FALSE),0)</f>
        <v/>
      </c>
      <c r="J42">
        <f>IFERROR(VLOOKUP(E42,AnswerBank_v5!$A$2:$AP$311,15,FALSE)/10,"")</f>
        <v/>
      </c>
      <c r="K42">
        <f>IFERROR(VLOOKUP(E42,AnswerBank_v5!$A$2:$AP$311,14,FALSE)/10,"")</f>
        <v/>
      </c>
      <c r="L42">
        <f>IFERROR(VLOOKUP(E42,AnswerBank_v5!$A$2:$AP$311,16,FALSE)/10,"")</f>
        <v/>
      </c>
      <c r="M42">
        <f>IFERROR(VLOOKUP(E42,AnswerBank_v5!$A$2:$AP$311,31,FALSE),0)</f>
        <v/>
      </c>
      <c r="N42">
        <f>IF(OR(F42="",J42=""),"",1-ABS(F42-J42))</f>
        <v/>
      </c>
      <c r="O42">
        <f>IF(OR(G42="",K42="",H42="",L42=""),"",0.6+0.2*((G42+K42)/2)+0.2*((H42+L42)/2))</f>
        <v/>
      </c>
      <c r="P42">
        <f>IF(OR(B42="",N42="",O42=""),"",B42*N42*O42)</f>
        <v/>
      </c>
      <c r="Q42">
        <f>IF(B42="", "", B42*(0.5*G42+0.2*H42+0.2*F42+0.1*(1-I42/25)))</f>
        <v/>
      </c>
      <c r="R42">
        <f>IF(B42="", "", B42*(0.5*K42+0.2*L42+0.2*J42+0.1*(1-M42/25)))</f>
        <v/>
      </c>
      <c r="S42">
        <f>IFERROR(VLOOKUP(D42,AnswerBank_v5!$A$2:$AP$311,29,FALSE),"")</f>
        <v/>
      </c>
      <c r="T42">
        <f>IFERROR(VLOOKUP(E42,AnswerBank_v5!$A$2:$AP$311,29,FALSE),"")</f>
        <v/>
      </c>
    </row>
    <row r="43">
      <c r="A43" t="n">
        <v>34</v>
      </c>
      <c r="B43">
        <f>VLOOKUP(A43,QuestionWeights_v4!$A$2:$C$61,3,FALSE)</f>
        <v/>
      </c>
      <c r="C43">
        <f>IFERROR(VLOOKUP(D43,AnswerBank_v5!$A$2:$AP$311,6,FALSE),"")</f>
        <v/>
      </c>
      <c r="F43">
        <f>IFERROR(VLOOKUP(D43,AnswerBank_v5!$A$2:$AP$311,15,FALSE)/10,"")</f>
        <v/>
      </c>
      <c r="G43">
        <f>IFERROR(VLOOKUP(D43,AnswerBank_v5!$A$2:$AP$311,14,FALSE)/10,"")</f>
        <v/>
      </c>
      <c r="H43">
        <f>IFERROR(VLOOKUP(D43,AnswerBank_v5!$A$2:$AP$311,16,FALSE)/10,"")</f>
        <v/>
      </c>
      <c r="I43">
        <f>IFERROR(VLOOKUP(D43,AnswerBank_v5!$A$2:$AP$311,31,FALSE),0)</f>
        <v/>
      </c>
      <c r="J43">
        <f>IFERROR(VLOOKUP(E43,AnswerBank_v5!$A$2:$AP$311,15,FALSE)/10,"")</f>
        <v/>
      </c>
      <c r="K43">
        <f>IFERROR(VLOOKUP(E43,AnswerBank_v5!$A$2:$AP$311,14,FALSE)/10,"")</f>
        <v/>
      </c>
      <c r="L43">
        <f>IFERROR(VLOOKUP(E43,AnswerBank_v5!$A$2:$AP$311,16,FALSE)/10,"")</f>
        <v/>
      </c>
      <c r="M43">
        <f>IFERROR(VLOOKUP(E43,AnswerBank_v5!$A$2:$AP$311,31,FALSE),0)</f>
        <v/>
      </c>
      <c r="N43">
        <f>IF(OR(F43="",J43=""),"",1-ABS(F43-J43))</f>
        <v/>
      </c>
      <c r="O43">
        <f>IF(OR(G43="",K43="",H43="",L43=""),"",0.6+0.2*((G43+K43)/2)+0.2*((H43+L43)/2))</f>
        <v/>
      </c>
      <c r="P43">
        <f>IF(OR(B43="",N43="",O43=""),"",B43*N43*O43)</f>
        <v/>
      </c>
      <c r="Q43">
        <f>IF(B43="", "", B43*(0.5*G43+0.2*H43+0.2*F43+0.1*(1-I43/25)))</f>
        <v/>
      </c>
      <c r="R43">
        <f>IF(B43="", "", B43*(0.5*K43+0.2*L43+0.2*J43+0.1*(1-M43/25)))</f>
        <v/>
      </c>
      <c r="S43">
        <f>IFERROR(VLOOKUP(D43,AnswerBank_v5!$A$2:$AP$311,29,FALSE),"")</f>
        <v/>
      </c>
      <c r="T43">
        <f>IFERROR(VLOOKUP(E43,AnswerBank_v5!$A$2:$AP$311,29,FALSE),"")</f>
        <v/>
      </c>
    </row>
    <row r="44">
      <c r="A44" t="n">
        <v>35</v>
      </c>
      <c r="B44">
        <f>VLOOKUP(A44,QuestionWeights_v4!$A$2:$C$61,3,FALSE)</f>
        <v/>
      </c>
      <c r="C44">
        <f>IFERROR(VLOOKUP(D44,AnswerBank_v5!$A$2:$AP$311,6,FALSE),"")</f>
        <v/>
      </c>
      <c r="F44">
        <f>IFERROR(VLOOKUP(D44,AnswerBank_v5!$A$2:$AP$311,15,FALSE)/10,"")</f>
        <v/>
      </c>
      <c r="G44">
        <f>IFERROR(VLOOKUP(D44,AnswerBank_v5!$A$2:$AP$311,14,FALSE)/10,"")</f>
        <v/>
      </c>
      <c r="H44">
        <f>IFERROR(VLOOKUP(D44,AnswerBank_v5!$A$2:$AP$311,16,FALSE)/10,"")</f>
        <v/>
      </c>
      <c r="I44">
        <f>IFERROR(VLOOKUP(D44,AnswerBank_v5!$A$2:$AP$311,31,FALSE),0)</f>
        <v/>
      </c>
      <c r="J44">
        <f>IFERROR(VLOOKUP(E44,AnswerBank_v5!$A$2:$AP$311,15,FALSE)/10,"")</f>
        <v/>
      </c>
      <c r="K44">
        <f>IFERROR(VLOOKUP(E44,AnswerBank_v5!$A$2:$AP$311,14,FALSE)/10,"")</f>
        <v/>
      </c>
      <c r="L44">
        <f>IFERROR(VLOOKUP(E44,AnswerBank_v5!$A$2:$AP$311,16,FALSE)/10,"")</f>
        <v/>
      </c>
      <c r="M44">
        <f>IFERROR(VLOOKUP(E44,AnswerBank_v5!$A$2:$AP$311,31,FALSE),0)</f>
        <v/>
      </c>
      <c r="N44">
        <f>IF(OR(F44="",J44=""),"",1-ABS(F44-J44))</f>
        <v/>
      </c>
      <c r="O44">
        <f>IF(OR(G44="",K44="",H44="",L44=""),"",0.6+0.2*((G44+K44)/2)+0.2*((H44+L44)/2))</f>
        <v/>
      </c>
      <c r="P44">
        <f>IF(OR(B44="",N44="",O44=""),"",B44*N44*O44)</f>
        <v/>
      </c>
      <c r="Q44">
        <f>IF(B44="", "", B44*(0.5*G44+0.2*H44+0.2*F44+0.1*(1-I44/25)))</f>
        <v/>
      </c>
      <c r="R44">
        <f>IF(B44="", "", B44*(0.5*K44+0.2*L44+0.2*J44+0.1*(1-M44/25)))</f>
        <v/>
      </c>
      <c r="S44">
        <f>IFERROR(VLOOKUP(D44,AnswerBank_v5!$A$2:$AP$311,29,FALSE),"")</f>
        <v/>
      </c>
      <c r="T44">
        <f>IFERROR(VLOOKUP(E44,AnswerBank_v5!$A$2:$AP$311,29,FALSE),"")</f>
        <v/>
      </c>
    </row>
    <row r="45">
      <c r="A45" t="n">
        <v>36</v>
      </c>
      <c r="B45">
        <f>VLOOKUP(A45,QuestionWeights_v4!$A$2:$C$61,3,FALSE)</f>
        <v/>
      </c>
      <c r="C45">
        <f>IFERROR(VLOOKUP(D45,AnswerBank_v5!$A$2:$AP$311,6,FALSE),"")</f>
        <v/>
      </c>
      <c r="F45">
        <f>IFERROR(VLOOKUP(D45,AnswerBank_v5!$A$2:$AP$311,15,FALSE)/10,"")</f>
        <v/>
      </c>
      <c r="G45">
        <f>IFERROR(VLOOKUP(D45,AnswerBank_v5!$A$2:$AP$311,14,FALSE)/10,"")</f>
        <v/>
      </c>
      <c r="H45">
        <f>IFERROR(VLOOKUP(D45,AnswerBank_v5!$A$2:$AP$311,16,FALSE)/10,"")</f>
        <v/>
      </c>
      <c r="I45">
        <f>IFERROR(VLOOKUP(D45,AnswerBank_v5!$A$2:$AP$311,31,FALSE),0)</f>
        <v/>
      </c>
      <c r="J45">
        <f>IFERROR(VLOOKUP(E45,AnswerBank_v5!$A$2:$AP$311,15,FALSE)/10,"")</f>
        <v/>
      </c>
      <c r="K45">
        <f>IFERROR(VLOOKUP(E45,AnswerBank_v5!$A$2:$AP$311,14,FALSE)/10,"")</f>
        <v/>
      </c>
      <c r="L45">
        <f>IFERROR(VLOOKUP(E45,AnswerBank_v5!$A$2:$AP$311,16,FALSE)/10,"")</f>
        <v/>
      </c>
      <c r="M45">
        <f>IFERROR(VLOOKUP(E45,AnswerBank_v5!$A$2:$AP$311,31,FALSE),0)</f>
        <v/>
      </c>
      <c r="N45">
        <f>IF(OR(F45="",J45=""),"",1-ABS(F45-J45))</f>
        <v/>
      </c>
      <c r="O45">
        <f>IF(OR(G45="",K45="",H45="",L45=""),"",0.6+0.2*((G45+K45)/2)+0.2*((H45+L45)/2))</f>
        <v/>
      </c>
      <c r="P45">
        <f>IF(OR(B45="",N45="",O45=""),"",B45*N45*O45)</f>
        <v/>
      </c>
      <c r="Q45">
        <f>IF(B45="", "", B45*(0.5*G45+0.2*H45+0.2*F45+0.1*(1-I45/25)))</f>
        <v/>
      </c>
      <c r="R45">
        <f>IF(B45="", "", B45*(0.5*K45+0.2*L45+0.2*J45+0.1*(1-M45/25)))</f>
        <v/>
      </c>
      <c r="S45">
        <f>IFERROR(VLOOKUP(D45,AnswerBank_v5!$A$2:$AP$311,29,FALSE),"")</f>
        <v/>
      </c>
      <c r="T45">
        <f>IFERROR(VLOOKUP(E45,AnswerBank_v5!$A$2:$AP$311,29,FALSE),"")</f>
        <v/>
      </c>
    </row>
    <row r="46">
      <c r="A46" t="n">
        <v>37</v>
      </c>
      <c r="B46">
        <f>VLOOKUP(A46,QuestionWeights_v4!$A$2:$C$61,3,FALSE)</f>
        <v/>
      </c>
      <c r="C46">
        <f>IFERROR(VLOOKUP(D46,AnswerBank_v5!$A$2:$AP$311,6,FALSE),"")</f>
        <v/>
      </c>
      <c r="F46">
        <f>IFERROR(VLOOKUP(D46,AnswerBank_v5!$A$2:$AP$311,15,FALSE)/10,"")</f>
        <v/>
      </c>
      <c r="G46">
        <f>IFERROR(VLOOKUP(D46,AnswerBank_v5!$A$2:$AP$311,14,FALSE)/10,"")</f>
        <v/>
      </c>
      <c r="H46">
        <f>IFERROR(VLOOKUP(D46,AnswerBank_v5!$A$2:$AP$311,16,FALSE)/10,"")</f>
        <v/>
      </c>
      <c r="I46">
        <f>IFERROR(VLOOKUP(D46,AnswerBank_v5!$A$2:$AP$311,31,FALSE),0)</f>
        <v/>
      </c>
      <c r="J46">
        <f>IFERROR(VLOOKUP(E46,AnswerBank_v5!$A$2:$AP$311,15,FALSE)/10,"")</f>
        <v/>
      </c>
      <c r="K46">
        <f>IFERROR(VLOOKUP(E46,AnswerBank_v5!$A$2:$AP$311,14,FALSE)/10,"")</f>
        <v/>
      </c>
      <c r="L46">
        <f>IFERROR(VLOOKUP(E46,AnswerBank_v5!$A$2:$AP$311,16,FALSE)/10,"")</f>
        <v/>
      </c>
      <c r="M46">
        <f>IFERROR(VLOOKUP(E46,AnswerBank_v5!$A$2:$AP$311,31,FALSE),0)</f>
        <v/>
      </c>
      <c r="N46">
        <f>IF(OR(F46="",J46=""),"",1-ABS(F46-J46))</f>
        <v/>
      </c>
      <c r="O46">
        <f>IF(OR(G46="",K46="",H46="",L46=""),"",0.6+0.2*((G46+K46)/2)+0.2*((H46+L46)/2))</f>
        <v/>
      </c>
      <c r="P46">
        <f>IF(OR(B46="",N46="",O46=""),"",B46*N46*O46)</f>
        <v/>
      </c>
      <c r="Q46">
        <f>IF(B46="", "", B46*(0.5*G46+0.2*H46+0.2*F46+0.1*(1-I46/25)))</f>
        <v/>
      </c>
      <c r="R46">
        <f>IF(B46="", "", B46*(0.5*K46+0.2*L46+0.2*J46+0.1*(1-M46/25)))</f>
        <v/>
      </c>
      <c r="S46">
        <f>IFERROR(VLOOKUP(D46,AnswerBank_v5!$A$2:$AP$311,29,FALSE),"")</f>
        <v/>
      </c>
      <c r="T46">
        <f>IFERROR(VLOOKUP(E46,AnswerBank_v5!$A$2:$AP$311,29,FALSE),"")</f>
        <v/>
      </c>
    </row>
    <row r="47">
      <c r="A47" t="n">
        <v>38</v>
      </c>
      <c r="B47">
        <f>VLOOKUP(A47,QuestionWeights_v4!$A$2:$C$61,3,FALSE)</f>
        <v/>
      </c>
      <c r="C47">
        <f>IFERROR(VLOOKUP(D47,AnswerBank_v5!$A$2:$AP$311,6,FALSE),"")</f>
        <v/>
      </c>
      <c r="F47">
        <f>IFERROR(VLOOKUP(D47,AnswerBank_v5!$A$2:$AP$311,15,FALSE)/10,"")</f>
        <v/>
      </c>
      <c r="G47">
        <f>IFERROR(VLOOKUP(D47,AnswerBank_v5!$A$2:$AP$311,14,FALSE)/10,"")</f>
        <v/>
      </c>
      <c r="H47">
        <f>IFERROR(VLOOKUP(D47,AnswerBank_v5!$A$2:$AP$311,16,FALSE)/10,"")</f>
        <v/>
      </c>
      <c r="I47">
        <f>IFERROR(VLOOKUP(D47,AnswerBank_v5!$A$2:$AP$311,31,FALSE),0)</f>
        <v/>
      </c>
      <c r="J47">
        <f>IFERROR(VLOOKUP(E47,AnswerBank_v5!$A$2:$AP$311,15,FALSE)/10,"")</f>
        <v/>
      </c>
      <c r="K47">
        <f>IFERROR(VLOOKUP(E47,AnswerBank_v5!$A$2:$AP$311,14,FALSE)/10,"")</f>
        <v/>
      </c>
      <c r="L47">
        <f>IFERROR(VLOOKUP(E47,AnswerBank_v5!$A$2:$AP$311,16,FALSE)/10,"")</f>
        <v/>
      </c>
      <c r="M47">
        <f>IFERROR(VLOOKUP(E47,AnswerBank_v5!$A$2:$AP$311,31,FALSE),0)</f>
        <v/>
      </c>
      <c r="N47">
        <f>IF(OR(F47="",J47=""),"",1-ABS(F47-J47))</f>
        <v/>
      </c>
      <c r="O47">
        <f>IF(OR(G47="",K47="",H47="",L47=""),"",0.6+0.2*((G47+K47)/2)+0.2*((H47+L47)/2))</f>
        <v/>
      </c>
      <c r="P47">
        <f>IF(OR(B47="",N47="",O47=""),"",B47*N47*O47)</f>
        <v/>
      </c>
      <c r="Q47">
        <f>IF(B47="", "", B47*(0.5*G47+0.2*H47+0.2*F47+0.1*(1-I47/25)))</f>
        <v/>
      </c>
      <c r="R47">
        <f>IF(B47="", "", B47*(0.5*K47+0.2*L47+0.2*J47+0.1*(1-M47/25)))</f>
        <v/>
      </c>
      <c r="S47">
        <f>IFERROR(VLOOKUP(D47,AnswerBank_v5!$A$2:$AP$311,29,FALSE),"")</f>
        <v/>
      </c>
      <c r="T47">
        <f>IFERROR(VLOOKUP(E47,AnswerBank_v5!$A$2:$AP$311,29,FALSE),"")</f>
        <v/>
      </c>
    </row>
    <row r="48">
      <c r="A48" t="n">
        <v>39</v>
      </c>
      <c r="B48">
        <f>VLOOKUP(A48,QuestionWeights_v4!$A$2:$C$61,3,FALSE)</f>
        <v/>
      </c>
      <c r="C48">
        <f>IFERROR(VLOOKUP(D48,AnswerBank_v5!$A$2:$AP$311,6,FALSE),"")</f>
        <v/>
      </c>
      <c r="F48">
        <f>IFERROR(VLOOKUP(D48,AnswerBank_v5!$A$2:$AP$311,15,FALSE)/10,"")</f>
        <v/>
      </c>
      <c r="G48">
        <f>IFERROR(VLOOKUP(D48,AnswerBank_v5!$A$2:$AP$311,14,FALSE)/10,"")</f>
        <v/>
      </c>
      <c r="H48">
        <f>IFERROR(VLOOKUP(D48,AnswerBank_v5!$A$2:$AP$311,16,FALSE)/10,"")</f>
        <v/>
      </c>
      <c r="I48">
        <f>IFERROR(VLOOKUP(D48,AnswerBank_v5!$A$2:$AP$311,31,FALSE),0)</f>
        <v/>
      </c>
      <c r="J48">
        <f>IFERROR(VLOOKUP(E48,AnswerBank_v5!$A$2:$AP$311,15,FALSE)/10,"")</f>
        <v/>
      </c>
      <c r="K48">
        <f>IFERROR(VLOOKUP(E48,AnswerBank_v5!$A$2:$AP$311,14,FALSE)/10,"")</f>
        <v/>
      </c>
      <c r="L48">
        <f>IFERROR(VLOOKUP(E48,AnswerBank_v5!$A$2:$AP$311,16,FALSE)/10,"")</f>
        <v/>
      </c>
      <c r="M48">
        <f>IFERROR(VLOOKUP(E48,AnswerBank_v5!$A$2:$AP$311,31,FALSE),0)</f>
        <v/>
      </c>
      <c r="N48">
        <f>IF(OR(F48="",J48=""),"",1-ABS(F48-J48))</f>
        <v/>
      </c>
      <c r="O48">
        <f>IF(OR(G48="",K48="",H48="",L48=""),"",0.6+0.2*((G48+K48)/2)+0.2*((H48+L48)/2))</f>
        <v/>
      </c>
      <c r="P48">
        <f>IF(OR(B48="",N48="",O48=""),"",B48*N48*O48)</f>
        <v/>
      </c>
      <c r="Q48">
        <f>IF(B48="", "", B48*(0.5*G48+0.2*H48+0.2*F48+0.1*(1-I48/25)))</f>
        <v/>
      </c>
      <c r="R48">
        <f>IF(B48="", "", B48*(0.5*K48+0.2*L48+0.2*J48+0.1*(1-M48/25)))</f>
        <v/>
      </c>
      <c r="S48">
        <f>IFERROR(VLOOKUP(D48,AnswerBank_v5!$A$2:$AP$311,29,FALSE),"")</f>
        <v/>
      </c>
      <c r="T48">
        <f>IFERROR(VLOOKUP(E48,AnswerBank_v5!$A$2:$AP$311,29,FALSE),"")</f>
        <v/>
      </c>
    </row>
    <row r="49">
      <c r="A49" t="n">
        <v>40</v>
      </c>
      <c r="B49">
        <f>VLOOKUP(A49,QuestionWeights_v4!$A$2:$C$61,3,FALSE)</f>
        <v/>
      </c>
      <c r="C49">
        <f>IFERROR(VLOOKUP(D49,AnswerBank_v5!$A$2:$AP$311,6,FALSE),"")</f>
        <v/>
      </c>
      <c r="F49">
        <f>IFERROR(VLOOKUP(D49,AnswerBank_v5!$A$2:$AP$311,15,FALSE)/10,"")</f>
        <v/>
      </c>
      <c r="G49">
        <f>IFERROR(VLOOKUP(D49,AnswerBank_v5!$A$2:$AP$311,14,FALSE)/10,"")</f>
        <v/>
      </c>
      <c r="H49">
        <f>IFERROR(VLOOKUP(D49,AnswerBank_v5!$A$2:$AP$311,16,FALSE)/10,"")</f>
        <v/>
      </c>
      <c r="I49">
        <f>IFERROR(VLOOKUP(D49,AnswerBank_v5!$A$2:$AP$311,31,FALSE),0)</f>
        <v/>
      </c>
      <c r="J49">
        <f>IFERROR(VLOOKUP(E49,AnswerBank_v5!$A$2:$AP$311,15,FALSE)/10,"")</f>
        <v/>
      </c>
      <c r="K49">
        <f>IFERROR(VLOOKUP(E49,AnswerBank_v5!$A$2:$AP$311,14,FALSE)/10,"")</f>
        <v/>
      </c>
      <c r="L49">
        <f>IFERROR(VLOOKUP(E49,AnswerBank_v5!$A$2:$AP$311,16,FALSE)/10,"")</f>
        <v/>
      </c>
      <c r="M49">
        <f>IFERROR(VLOOKUP(E49,AnswerBank_v5!$A$2:$AP$311,31,FALSE),0)</f>
        <v/>
      </c>
      <c r="N49">
        <f>IF(OR(F49="",J49=""),"",1-ABS(F49-J49))</f>
        <v/>
      </c>
      <c r="O49">
        <f>IF(OR(G49="",K49="",H49="",L49=""),"",0.6+0.2*((G49+K49)/2)+0.2*((H49+L49)/2))</f>
        <v/>
      </c>
      <c r="P49">
        <f>IF(OR(B49="",N49="",O49=""),"",B49*N49*O49)</f>
        <v/>
      </c>
      <c r="Q49">
        <f>IF(B49="", "", B49*(0.5*G49+0.2*H49+0.2*F49+0.1*(1-I49/25)))</f>
        <v/>
      </c>
      <c r="R49">
        <f>IF(B49="", "", B49*(0.5*K49+0.2*L49+0.2*J49+0.1*(1-M49/25)))</f>
        <v/>
      </c>
      <c r="S49">
        <f>IFERROR(VLOOKUP(D49,AnswerBank_v5!$A$2:$AP$311,29,FALSE),"")</f>
        <v/>
      </c>
      <c r="T49">
        <f>IFERROR(VLOOKUP(E49,AnswerBank_v5!$A$2:$AP$311,29,FALSE),"")</f>
        <v/>
      </c>
    </row>
    <row r="50">
      <c r="A50" t="n">
        <v>41</v>
      </c>
      <c r="B50">
        <f>VLOOKUP(A50,QuestionWeights_v4!$A$2:$C$61,3,FALSE)</f>
        <v/>
      </c>
      <c r="C50">
        <f>IFERROR(VLOOKUP(D50,AnswerBank_v5!$A$2:$AP$311,6,FALSE),"")</f>
        <v/>
      </c>
      <c r="F50">
        <f>IFERROR(VLOOKUP(D50,AnswerBank_v5!$A$2:$AP$311,15,FALSE)/10,"")</f>
        <v/>
      </c>
      <c r="G50">
        <f>IFERROR(VLOOKUP(D50,AnswerBank_v5!$A$2:$AP$311,14,FALSE)/10,"")</f>
        <v/>
      </c>
      <c r="H50">
        <f>IFERROR(VLOOKUP(D50,AnswerBank_v5!$A$2:$AP$311,16,FALSE)/10,"")</f>
        <v/>
      </c>
      <c r="I50">
        <f>IFERROR(VLOOKUP(D50,AnswerBank_v5!$A$2:$AP$311,31,FALSE),0)</f>
        <v/>
      </c>
      <c r="J50">
        <f>IFERROR(VLOOKUP(E50,AnswerBank_v5!$A$2:$AP$311,15,FALSE)/10,"")</f>
        <v/>
      </c>
      <c r="K50">
        <f>IFERROR(VLOOKUP(E50,AnswerBank_v5!$A$2:$AP$311,14,FALSE)/10,"")</f>
        <v/>
      </c>
      <c r="L50">
        <f>IFERROR(VLOOKUP(E50,AnswerBank_v5!$A$2:$AP$311,16,FALSE)/10,"")</f>
        <v/>
      </c>
      <c r="M50">
        <f>IFERROR(VLOOKUP(E50,AnswerBank_v5!$A$2:$AP$311,31,FALSE),0)</f>
        <v/>
      </c>
      <c r="N50">
        <f>IF(OR(F50="",J50=""),"",1-ABS(F50-J50))</f>
        <v/>
      </c>
      <c r="O50">
        <f>IF(OR(G50="",K50="",H50="",L50=""),"",0.6+0.2*((G50+K50)/2)+0.2*((H50+L50)/2))</f>
        <v/>
      </c>
      <c r="P50">
        <f>IF(OR(B50="",N50="",O50=""),"",B50*N50*O50)</f>
        <v/>
      </c>
      <c r="Q50">
        <f>IF(B50="", "", B50*(0.5*G50+0.2*H50+0.2*F50+0.1*(1-I50/25)))</f>
        <v/>
      </c>
      <c r="R50">
        <f>IF(B50="", "", B50*(0.5*K50+0.2*L50+0.2*J50+0.1*(1-M50/25)))</f>
        <v/>
      </c>
      <c r="S50">
        <f>IFERROR(VLOOKUP(D50,AnswerBank_v5!$A$2:$AP$311,29,FALSE),"")</f>
        <v/>
      </c>
      <c r="T50">
        <f>IFERROR(VLOOKUP(E50,AnswerBank_v5!$A$2:$AP$311,29,FALSE),"")</f>
        <v/>
      </c>
    </row>
    <row r="51">
      <c r="A51" t="n">
        <v>42</v>
      </c>
      <c r="B51">
        <f>VLOOKUP(A51,QuestionWeights_v4!$A$2:$C$61,3,FALSE)</f>
        <v/>
      </c>
      <c r="C51">
        <f>IFERROR(VLOOKUP(D51,AnswerBank_v5!$A$2:$AP$311,6,FALSE),"")</f>
        <v/>
      </c>
      <c r="F51">
        <f>IFERROR(VLOOKUP(D51,AnswerBank_v5!$A$2:$AP$311,15,FALSE)/10,"")</f>
        <v/>
      </c>
      <c r="G51">
        <f>IFERROR(VLOOKUP(D51,AnswerBank_v5!$A$2:$AP$311,14,FALSE)/10,"")</f>
        <v/>
      </c>
      <c r="H51">
        <f>IFERROR(VLOOKUP(D51,AnswerBank_v5!$A$2:$AP$311,16,FALSE)/10,"")</f>
        <v/>
      </c>
      <c r="I51">
        <f>IFERROR(VLOOKUP(D51,AnswerBank_v5!$A$2:$AP$311,31,FALSE),0)</f>
        <v/>
      </c>
      <c r="J51">
        <f>IFERROR(VLOOKUP(E51,AnswerBank_v5!$A$2:$AP$311,15,FALSE)/10,"")</f>
        <v/>
      </c>
      <c r="K51">
        <f>IFERROR(VLOOKUP(E51,AnswerBank_v5!$A$2:$AP$311,14,FALSE)/10,"")</f>
        <v/>
      </c>
      <c r="L51">
        <f>IFERROR(VLOOKUP(E51,AnswerBank_v5!$A$2:$AP$311,16,FALSE)/10,"")</f>
        <v/>
      </c>
      <c r="M51">
        <f>IFERROR(VLOOKUP(E51,AnswerBank_v5!$A$2:$AP$311,31,FALSE),0)</f>
        <v/>
      </c>
      <c r="N51">
        <f>IF(OR(F51="",J51=""),"",1-ABS(F51-J51))</f>
        <v/>
      </c>
      <c r="O51">
        <f>IF(OR(G51="",K51="",H51="",L51=""),"",0.6+0.2*((G51+K51)/2)+0.2*((H51+L51)/2))</f>
        <v/>
      </c>
      <c r="P51">
        <f>IF(OR(B51="",N51="",O51=""),"",B51*N51*O51)</f>
        <v/>
      </c>
      <c r="Q51">
        <f>IF(B51="", "", B51*(0.5*G51+0.2*H51+0.2*F51+0.1*(1-I51/25)))</f>
        <v/>
      </c>
      <c r="R51">
        <f>IF(B51="", "", B51*(0.5*K51+0.2*L51+0.2*J51+0.1*(1-M51/25)))</f>
        <v/>
      </c>
      <c r="S51">
        <f>IFERROR(VLOOKUP(D51,AnswerBank_v5!$A$2:$AP$311,29,FALSE),"")</f>
        <v/>
      </c>
      <c r="T51">
        <f>IFERROR(VLOOKUP(E51,AnswerBank_v5!$A$2:$AP$311,29,FALSE),"")</f>
        <v/>
      </c>
    </row>
    <row r="52">
      <c r="A52" t="n">
        <v>43</v>
      </c>
      <c r="B52">
        <f>VLOOKUP(A52,QuestionWeights_v4!$A$2:$C$61,3,FALSE)</f>
        <v/>
      </c>
      <c r="C52">
        <f>IFERROR(VLOOKUP(D52,AnswerBank_v5!$A$2:$AP$311,6,FALSE),"")</f>
        <v/>
      </c>
      <c r="F52">
        <f>IFERROR(VLOOKUP(D52,AnswerBank_v5!$A$2:$AP$311,15,FALSE)/10,"")</f>
        <v/>
      </c>
      <c r="G52">
        <f>IFERROR(VLOOKUP(D52,AnswerBank_v5!$A$2:$AP$311,14,FALSE)/10,"")</f>
        <v/>
      </c>
      <c r="H52">
        <f>IFERROR(VLOOKUP(D52,AnswerBank_v5!$A$2:$AP$311,16,FALSE)/10,"")</f>
        <v/>
      </c>
      <c r="I52">
        <f>IFERROR(VLOOKUP(D52,AnswerBank_v5!$A$2:$AP$311,31,FALSE),0)</f>
        <v/>
      </c>
      <c r="J52">
        <f>IFERROR(VLOOKUP(E52,AnswerBank_v5!$A$2:$AP$311,15,FALSE)/10,"")</f>
        <v/>
      </c>
      <c r="K52">
        <f>IFERROR(VLOOKUP(E52,AnswerBank_v5!$A$2:$AP$311,14,FALSE)/10,"")</f>
        <v/>
      </c>
      <c r="L52">
        <f>IFERROR(VLOOKUP(E52,AnswerBank_v5!$A$2:$AP$311,16,FALSE)/10,"")</f>
        <v/>
      </c>
      <c r="M52">
        <f>IFERROR(VLOOKUP(E52,AnswerBank_v5!$A$2:$AP$311,31,FALSE),0)</f>
        <v/>
      </c>
      <c r="N52">
        <f>IF(OR(F52="",J52=""),"",1-ABS(F52-J52))</f>
        <v/>
      </c>
      <c r="O52">
        <f>IF(OR(G52="",K52="",H52="",L52=""),"",0.6+0.2*((G52+K52)/2)+0.2*((H52+L52)/2))</f>
        <v/>
      </c>
      <c r="P52">
        <f>IF(OR(B52="",N52="",O52=""),"",B52*N52*O52)</f>
        <v/>
      </c>
      <c r="Q52">
        <f>IF(B52="", "", B52*(0.5*G52+0.2*H52+0.2*F52+0.1*(1-I52/25)))</f>
        <v/>
      </c>
      <c r="R52">
        <f>IF(B52="", "", B52*(0.5*K52+0.2*L52+0.2*J52+0.1*(1-M52/25)))</f>
        <v/>
      </c>
      <c r="S52">
        <f>IFERROR(VLOOKUP(D52,AnswerBank_v5!$A$2:$AP$311,29,FALSE),"")</f>
        <v/>
      </c>
      <c r="T52">
        <f>IFERROR(VLOOKUP(E52,AnswerBank_v5!$A$2:$AP$311,29,FALSE),"")</f>
        <v/>
      </c>
    </row>
    <row r="53">
      <c r="A53" t="n">
        <v>44</v>
      </c>
      <c r="B53">
        <f>VLOOKUP(A53,QuestionWeights_v4!$A$2:$C$61,3,FALSE)</f>
        <v/>
      </c>
      <c r="C53">
        <f>IFERROR(VLOOKUP(D53,AnswerBank_v5!$A$2:$AP$311,6,FALSE),"")</f>
        <v/>
      </c>
      <c r="F53">
        <f>IFERROR(VLOOKUP(D53,AnswerBank_v5!$A$2:$AP$311,15,FALSE)/10,"")</f>
        <v/>
      </c>
      <c r="G53">
        <f>IFERROR(VLOOKUP(D53,AnswerBank_v5!$A$2:$AP$311,14,FALSE)/10,"")</f>
        <v/>
      </c>
      <c r="H53">
        <f>IFERROR(VLOOKUP(D53,AnswerBank_v5!$A$2:$AP$311,16,FALSE)/10,"")</f>
        <v/>
      </c>
      <c r="I53">
        <f>IFERROR(VLOOKUP(D53,AnswerBank_v5!$A$2:$AP$311,31,FALSE),0)</f>
        <v/>
      </c>
      <c r="J53">
        <f>IFERROR(VLOOKUP(E53,AnswerBank_v5!$A$2:$AP$311,15,FALSE)/10,"")</f>
        <v/>
      </c>
      <c r="K53">
        <f>IFERROR(VLOOKUP(E53,AnswerBank_v5!$A$2:$AP$311,14,FALSE)/10,"")</f>
        <v/>
      </c>
      <c r="L53">
        <f>IFERROR(VLOOKUP(E53,AnswerBank_v5!$A$2:$AP$311,16,FALSE)/10,"")</f>
        <v/>
      </c>
      <c r="M53">
        <f>IFERROR(VLOOKUP(E53,AnswerBank_v5!$A$2:$AP$311,31,FALSE),0)</f>
        <v/>
      </c>
      <c r="N53">
        <f>IF(OR(F53="",J53=""),"",1-ABS(F53-J53))</f>
        <v/>
      </c>
      <c r="O53">
        <f>IF(OR(G53="",K53="",H53="",L53=""),"",0.6+0.2*((G53+K53)/2)+0.2*((H53+L53)/2))</f>
        <v/>
      </c>
      <c r="P53">
        <f>IF(OR(B53="",N53="",O53=""),"",B53*N53*O53)</f>
        <v/>
      </c>
      <c r="Q53">
        <f>IF(B53="", "", B53*(0.5*G53+0.2*H53+0.2*F53+0.1*(1-I53/25)))</f>
        <v/>
      </c>
      <c r="R53">
        <f>IF(B53="", "", B53*(0.5*K53+0.2*L53+0.2*J53+0.1*(1-M53/25)))</f>
        <v/>
      </c>
      <c r="S53">
        <f>IFERROR(VLOOKUP(D53,AnswerBank_v5!$A$2:$AP$311,29,FALSE),"")</f>
        <v/>
      </c>
      <c r="T53">
        <f>IFERROR(VLOOKUP(E53,AnswerBank_v5!$A$2:$AP$311,29,FALSE),"")</f>
        <v/>
      </c>
    </row>
    <row r="54">
      <c r="A54" t="n">
        <v>45</v>
      </c>
      <c r="B54">
        <f>VLOOKUP(A54,QuestionWeights_v4!$A$2:$C$61,3,FALSE)</f>
        <v/>
      </c>
      <c r="C54">
        <f>IFERROR(VLOOKUP(D54,AnswerBank_v5!$A$2:$AP$311,6,FALSE),"")</f>
        <v/>
      </c>
      <c r="F54">
        <f>IFERROR(VLOOKUP(D54,AnswerBank_v5!$A$2:$AP$311,15,FALSE)/10,"")</f>
        <v/>
      </c>
      <c r="G54">
        <f>IFERROR(VLOOKUP(D54,AnswerBank_v5!$A$2:$AP$311,14,FALSE)/10,"")</f>
        <v/>
      </c>
      <c r="H54">
        <f>IFERROR(VLOOKUP(D54,AnswerBank_v5!$A$2:$AP$311,16,FALSE)/10,"")</f>
        <v/>
      </c>
      <c r="I54">
        <f>IFERROR(VLOOKUP(D54,AnswerBank_v5!$A$2:$AP$311,31,FALSE),0)</f>
        <v/>
      </c>
      <c r="J54">
        <f>IFERROR(VLOOKUP(E54,AnswerBank_v5!$A$2:$AP$311,15,FALSE)/10,"")</f>
        <v/>
      </c>
      <c r="K54">
        <f>IFERROR(VLOOKUP(E54,AnswerBank_v5!$A$2:$AP$311,14,FALSE)/10,"")</f>
        <v/>
      </c>
      <c r="L54">
        <f>IFERROR(VLOOKUP(E54,AnswerBank_v5!$A$2:$AP$311,16,FALSE)/10,"")</f>
        <v/>
      </c>
      <c r="M54">
        <f>IFERROR(VLOOKUP(E54,AnswerBank_v5!$A$2:$AP$311,31,FALSE),0)</f>
        <v/>
      </c>
      <c r="N54">
        <f>IF(OR(F54="",J54=""),"",1-ABS(F54-J54))</f>
        <v/>
      </c>
      <c r="O54">
        <f>IF(OR(G54="",K54="",H54="",L54=""),"",0.6+0.2*((G54+K54)/2)+0.2*((H54+L54)/2))</f>
        <v/>
      </c>
      <c r="P54">
        <f>IF(OR(B54="",N54="",O54=""),"",B54*N54*O54)</f>
        <v/>
      </c>
      <c r="Q54">
        <f>IF(B54="", "", B54*(0.5*G54+0.2*H54+0.2*F54+0.1*(1-I54/25)))</f>
        <v/>
      </c>
      <c r="R54">
        <f>IF(B54="", "", B54*(0.5*K54+0.2*L54+0.2*J54+0.1*(1-M54/25)))</f>
        <v/>
      </c>
      <c r="S54">
        <f>IFERROR(VLOOKUP(D54,AnswerBank_v5!$A$2:$AP$311,29,FALSE),"")</f>
        <v/>
      </c>
      <c r="T54">
        <f>IFERROR(VLOOKUP(E54,AnswerBank_v5!$A$2:$AP$311,29,FALSE),"")</f>
        <v/>
      </c>
    </row>
    <row r="55">
      <c r="A55" t="n">
        <v>46</v>
      </c>
      <c r="B55">
        <f>VLOOKUP(A55,QuestionWeights_v4!$A$2:$C$61,3,FALSE)</f>
        <v/>
      </c>
      <c r="C55">
        <f>IFERROR(VLOOKUP(D55,AnswerBank_v5!$A$2:$AP$311,6,FALSE),"")</f>
        <v/>
      </c>
      <c r="F55">
        <f>IFERROR(VLOOKUP(D55,AnswerBank_v5!$A$2:$AP$311,15,FALSE)/10,"")</f>
        <v/>
      </c>
      <c r="G55">
        <f>IFERROR(VLOOKUP(D55,AnswerBank_v5!$A$2:$AP$311,14,FALSE)/10,"")</f>
        <v/>
      </c>
      <c r="H55">
        <f>IFERROR(VLOOKUP(D55,AnswerBank_v5!$A$2:$AP$311,16,FALSE)/10,"")</f>
        <v/>
      </c>
      <c r="I55">
        <f>IFERROR(VLOOKUP(D55,AnswerBank_v5!$A$2:$AP$311,31,FALSE),0)</f>
        <v/>
      </c>
      <c r="J55">
        <f>IFERROR(VLOOKUP(E55,AnswerBank_v5!$A$2:$AP$311,15,FALSE)/10,"")</f>
        <v/>
      </c>
      <c r="K55">
        <f>IFERROR(VLOOKUP(E55,AnswerBank_v5!$A$2:$AP$311,14,FALSE)/10,"")</f>
        <v/>
      </c>
      <c r="L55">
        <f>IFERROR(VLOOKUP(E55,AnswerBank_v5!$A$2:$AP$311,16,FALSE)/10,"")</f>
        <v/>
      </c>
      <c r="M55">
        <f>IFERROR(VLOOKUP(E55,AnswerBank_v5!$A$2:$AP$311,31,FALSE),0)</f>
        <v/>
      </c>
      <c r="N55">
        <f>IF(OR(F55="",J55=""),"",1-ABS(F55-J55))</f>
        <v/>
      </c>
      <c r="O55">
        <f>IF(OR(G55="",K55="",H55="",L55=""),"",0.6+0.2*((G55+K55)/2)+0.2*((H55+L55)/2))</f>
        <v/>
      </c>
      <c r="P55">
        <f>IF(OR(B55="",N55="",O55=""),"",B55*N55*O55)</f>
        <v/>
      </c>
      <c r="Q55">
        <f>IF(B55="", "", B55*(0.5*G55+0.2*H55+0.2*F55+0.1*(1-I55/25)))</f>
        <v/>
      </c>
      <c r="R55">
        <f>IF(B55="", "", B55*(0.5*K55+0.2*L55+0.2*J55+0.1*(1-M55/25)))</f>
        <v/>
      </c>
      <c r="S55">
        <f>IFERROR(VLOOKUP(D55,AnswerBank_v5!$A$2:$AP$311,29,FALSE),"")</f>
        <v/>
      </c>
      <c r="T55">
        <f>IFERROR(VLOOKUP(E55,AnswerBank_v5!$A$2:$AP$311,29,FALSE),"")</f>
        <v/>
      </c>
    </row>
    <row r="56">
      <c r="A56" t="n">
        <v>47</v>
      </c>
      <c r="B56">
        <f>VLOOKUP(A56,QuestionWeights_v4!$A$2:$C$61,3,FALSE)</f>
        <v/>
      </c>
      <c r="C56">
        <f>IFERROR(VLOOKUP(D56,AnswerBank_v5!$A$2:$AP$311,6,FALSE),"")</f>
        <v/>
      </c>
      <c r="F56">
        <f>IFERROR(VLOOKUP(D56,AnswerBank_v5!$A$2:$AP$311,15,FALSE)/10,"")</f>
        <v/>
      </c>
      <c r="G56">
        <f>IFERROR(VLOOKUP(D56,AnswerBank_v5!$A$2:$AP$311,14,FALSE)/10,"")</f>
        <v/>
      </c>
      <c r="H56">
        <f>IFERROR(VLOOKUP(D56,AnswerBank_v5!$A$2:$AP$311,16,FALSE)/10,"")</f>
        <v/>
      </c>
      <c r="I56">
        <f>IFERROR(VLOOKUP(D56,AnswerBank_v5!$A$2:$AP$311,31,FALSE),0)</f>
        <v/>
      </c>
      <c r="J56">
        <f>IFERROR(VLOOKUP(E56,AnswerBank_v5!$A$2:$AP$311,15,FALSE)/10,"")</f>
        <v/>
      </c>
      <c r="K56">
        <f>IFERROR(VLOOKUP(E56,AnswerBank_v5!$A$2:$AP$311,14,FALSE)/10,"")</f>
        <v/>
      </c>
      <c r="L56">
        <f>IFERROR(VLOOKUP(E56,AnswerBank_v5!$A$2:$AP$311,16,FALSE)/10,"")</f>
        <v/>
      </c>
      <c r="M56">
        <f>IFERROR(VLOOKUP(E56,AnswerBank_v5!$A$2:$AP$311,31,FALSE),0)</f>
        <v/>
      </c>
      <c r="N56">
        <f>IF(OR(F56="",J56=""),"",1-ABS(F56-J56))</f>
        <v/>
      </c>
      <c r="O56">
        <f>IF(OR(G56="",K56="",H56="",L56=""),"",0.6+0.2*((G56+K56)/2)+0.2*((H56+L56)/2))</f>
        <v/>
      </c>
      <c r="P56">
        <f>IF(OR(B56="",N56="",O56=""),"",B56*N56*O56)</f>
        <v/>
      </c>
      <c r="Q56">
        <f>IF(B56="", "", B56*(0.5*G56+0.2*H56+0.2*F56+0.1*(1-I56/25)))</f>
        <v/>
      </c>
      <c r="R56">
        <f>IF(B56="", "", B56*(0.5*K56+0.2*L56+0.2*J56+0.1*(1-M56/25)))</f>
        <v/>
      </c>
      <c r="S56">
        <f>IFERROR(VLOOKUP(D56,AnswerBank_v5!$A$2:$AP$311,29,FALSE),"")</f>
        <v/>
      </c>
      <c r="T56">
        <f>IFERROR(VLOOKUP(E56,AnswerBank_v5!$A$2:$AP$311,29,FALSE),"")</f>
        <v/>
      </c>
    </row>
    <row r="57">
      <c r="A57" t="n">
        <v>48</v>
      </c>
      <c r="B57">
        <f>VLOOKUP(A57,QuestionWeights_v4!$A$2:$C$61,3,FALSE)</f>
        <v/>
      </c>
      <c r="C57">
        <f>IFERROR(VLOOKUP(D57,AnswerBank_v5!$A$2:$AP$311,6,FALSE),"")</f>
        <v/>
      </c>
      <c r="F57">
        <f>IFERROR(VLOOKUP(D57,AnswerBank_v5!$A$2:$AP$311,15,FALSE)/10,"")</f>
        <v/>
      </c>
      <c r="G57">
        <f>IFERROR(VLOOKUP(D57,AnswerBank_v5!$A$2:$AP$311,14,FALSE)/10,"")</f>
        <v/>
      </c>
      <c r="H57">
        <f>IFERROR(VLOOKUP(D57,AnswerBank_v5!$A$2:$AP$311,16,FALSE)/10,"")</f>
        <v/>
      </c>
      <c r="I57">
        <f>IFERROR(VLOOKUP(D57,AnswerBank_v5!$A$2:$AP$311,31,FALSE),0)</f>
        <v/>
      </c>
      <c r="J57">
        <f>IFERROR(VLOOKUP(E57,AnswerBank_v5!$A$2:$AP$311,15,FALSE)/10,"")</f>
        <v/>
      </c>
      <c r="K57">
        <f>IFERROR(VLOOKUP(E57,AnswerBank_v5!$A$2:$AP$311,14,FALSE)/10,"")</f>
        <v/>
      </c>
      <c r="L57">
        <f>IFERROR(VLOOKUP(E57,AnswerBank_v5!$A$2:$AP$311,16,FALSE)/10,"")</f>
        <v/>
      </c>
      <c r="M57">
        <f>IFERROR(VLOOKUP(E57,AnswerBank_v5!$A$2:$AP$311,31,FALSE),0)</f>
        <v/>
      </c>
      <c r="N57">
        <f>IF(OR(F57="",J57=""),"",1-ABS(F57-J57))</f>
        <v/>
      </c>
      <c r="O57">
        <f>IF(OR(G57="",K57="",H57="",L57=""),"",0.6+0.2*((G57+K57)/2)+0.2*((H57+L57)/2))</f>
        <v/>
      </c>
      <c r="P57">
        <f>IF(OR(B57="",N57="",O57=""),"",B57*N57*O57)</f>
        <v/>
      </c>
      <c r="Q57">
        <f>IF(B57="", "", B57*(0.5*G57+0.2*H57+0.2*F57+0.1*(1-I57/25)))</f>
        <v/>
      </c>
      <c r="R57">
        <f>IF(B57="", "", B57*(0.5*K57+0.2*L57+0.2*J57+0.1*(1-M57/25)))</f>
        <v/>
      </c>
      <c r="S57">
        <f>IFERROR(VLOOKUP(D57,AnswerBank_v5!$A$2:$AP$311,29,FALSE),"")</f>
        <v/>
      </c>
      <c r="T57">
        <f>IFERROR(VLOOKUP(E57,AnswerBank_v5!$A$2:$AP$311,29,FALSE),"")</f>
        <v/>
      </c>
    </row>
    <row r="58">
      <c r="A58" t="n">
        <v>49</v>
      </c>
      <c r="B58">
        <f>VLOOKUP(A58,QuestionWeights_v4!$A$2:$C$61,3,FALSE)</f>
        <v/>
      </c>
      <c r="C58">
        <f>IFERROR(VLOOKUP(D58,AnswerBank_v5!$A$2:$AP$311,6,FALSE),"")</f>
        <v/>
      </c>
      <c r="F58">
        <f>IFERROR(VLOOKUP(D58,AnswerBank_v5!$A$2:$AP$311,15,FALSE)/10,"")</f>
        <v/>
      </c>
      <c r="G58">
        <f>IFERROR(VLOOKUP(D58,AnswerBank_v5!$A$2:$AP$311,14,FALSE)/10,"")</f>
        <v/>
      </c>
      <c r="H58">
        <f>IFERROR(VLOOKUP(D58,AnswerBank_v5!$A$2:$AP$311,16,FALSE)/10,"")</f>
        <v/>
      </c>
      <c r="I58">
        <f>IFERROR(VLOOKUP(D58,AnswerBank_v5!$A$2:$AP$311,31,FALSE),0)</f>
        <v/>
      </c>
      <c r="J58">
        <f>IFERROR(VLOOKUP(E58,AnswerBank_v5!$A$2:$AP$311,15,FALSE)/10,"")</f>
        <v/>
      </c>
      <c r="K58">
        <f>IFERROR(VLOOKUP(E58,AnswerBank_v5!$A$2:$AP$311,14,FALSE)/10,"")</f>
        <v/>
      </c>
      <c r="L58">
        <f>IFERROR(VLOOKUP(E58,AnswerBank_v5!$A$2:$AP$311,16,FALSE)/10,"")</f>
        <v/>
      </c>
      <c r="M58">
        <f>IFERROR(VLOOKUP(E58,AnswerBank_v5!$A$2:$AP$311,31,FALSE),0)</f>
        <v/>
      </c>
      <c r="N58">
        <f>IF(OR(F58="",J58=""),"",1-ABS(F58-J58))</f>
        <v/>
      </c>
      <c r="O58">
        <f>IF(OR(G58="",K58="",H58="",L58=""),"",0.6+0.2*((G58+K58)/2)+0.2*((H58+L58)/2))</f>
        <v/>
      </c>
      <c r="P58">
        <f>IF(OR(B58="",N58="",O58=""),"",B58*N58*O58)</f>
        <v/>
      </c>
      <c r="Q58">
        <f>IF(B58="", "", B58*(0.5*G58+0.2*H58+0.2*F58+0.1*(1-I58/25)))</f>
        <v/>
      </c>
      <c r="R58">
        <f>IF(B58="", "", B58*(0.5*K58+0.2*L58+0.2*J58+0.1*(1-M58/25)))</f>
        <v/>
      </c>
      <c r="S58">
        <f>IFERROR(VLOOKUP(D58,AnswerBank_v5!$A$2:$AP$311,29,FALSE),"")</f>
        <v/>
      </c>
      <c r="T58">
        <f>IFERROR(VLOOKUP(E58,AnswerBank_v5!$A$2:$AP$311,29,FALSE),"")</f>
        <v/>
      </c>
    </row>
    <row r="59">
      <c r="A59" t="n">
        <v>50</v>
      </c>
      <c r="B59">
        <f>VLOOKUP(A59,QuestionWeights_v4!$A$2:$C$61,3,FALSE)</f>
        <v/>
      </c>
      <c r="C59">
        <f>IFERROR(VLOOKUP(D59,AnswerBank_v5!$A$2:$AP$311,6,FALSE),"")</f>
        <v/>
      </c>
      <c r="F59">
        <f>IFERROR(VLOOKUP(D59,AnswerBank_v5!$A$2:$AP$311,15,FALSE)/10,"")</f>
        <v/>
      </c>
      <c r="G59">
        <f>IFERROR(VLOOKUP(D59,AnswerBank_v5!$A$2:$AP$311,14,FALSE)/10,"")</f>
        <v/>
      </c>
      <c r="H59">
        <f>IFERROR(VLOOKUP(D59,AnswerBank_v5!$A$2:$AP$311,16,FALSE)/10,"")</f>
        <v/>
      </c>
      <c r="I59">
        <f>IFERROR(VLOOKUP(D59,AnswerBank_v5!$A$2:$AP$311,31,FALSE),0)</f>
        <v/>
      </c>
      <c r="J59">
        <f>IFERROR(VLOOKUP(E59,AnswerBank_v5!$A$2:$AP$311,15,FALSE)/10,"")</f>
        <v/>
      </c>
      <c r="K59">
        <f>IFERROR(VLOOKUP(E59,AnswerBank_v5!$A$2:$AP$311,14,FALSE)/10,"")</f>
        <v/>
      </c>
      <c r="L59">
        <f>IFERROR(VLOOKUP(E59,AnswerBank_v5!$A$2:$AP$311,16,FALSE)/10,"")</f>
        <v/>
      </c>
      <c r="M59">
        <f>IFERROR(VLOOKUP(E59,AnswerBank_v5!$A$2:$AP$311,31,FALSE),0)</f>
        <v/>
      </c>
      <c r="N59">
        <f>IF(OR(F59="",J59=""),"",1-ABS(F59-J59))</f>
        <v/>
      </c>
      <c r="O59">
        <f>IF(OR(G59="",K59="",H59="",L59=""),"",0.6+0.2*((G59+K59)/2)+0.2*((H59+L59)/2))</f>
        <v/>
      </c>
      <c r="P59">
        <f>IF(OR(B59="",N59="",O59=""),"",B59*N59*O59)</f>
        <v/>
      </c>
      <c r="Q59">
        <f>IF(B59="", "", B59*(0.5*G59+0.2*H59+0.2*F59+0.1*(1-I59/25)))</f>
        <v/>
      </c>
      <c r="R59">
        <f>IF(B59="", "", B59*(0.5*K59+0.2*L59+0.2*J59+0.1*(1-M59/25)))</f>
        <v/>
      </c>
      <c r="S59">
        <f>IFERROR(VLOOKUP(D59,AnswerBank_v5!$A$2:$AP$311,29,FALSE),"")</f>
        <v/>
      </c>
      <c r="T59">
        <f>IFERROR(VLOOKUP(E59,AnswerBank_v5!$A$2:$AP$311,29,FALSE),"")</f>
        <v/>
      </c>
    </row>
    <row r="61">
      <c r="A61" s="3" t="inlineStr">
        <is>
          <t>Summary</t>
        </is>
      </c>
    </row>
    <row r="62">
      <c r="A62" t="inlineStr">
        <is>
          <t>TotalWeight</t>
        </is>
      </c>
      <c r="B62">
        <f>SUM(B10:B59)</f>
        <v/>
      </c>
    </row>
    <row r="63">
      <c r="A63" t="inlineStr">
        <is>
          <t>BehaviorCore (0..1)</t>
        </is>
      </c>
      <c r="B63">
        <f>0.22*B70+0.2*B71+0.2*B72+0.14*B73+0.12*B74+0.12*B75</f>
        <v/>
      </c>
    </row>
    <row r="64">
      <c r="A64" t="inlineStr">
        <is>
          <t>Readiness_A (0..100)</t>
        </is>
      </c>
      <c r="B64">
        <f>100*SUM(Q10:Q59)/SUM(B10:B59)</f>
        <v/>
      </c>
    </row>
    <row r="65">
      <c r="A65" t="inlineStr">
        <is>
          <t>Readiness_B (0..100)</t>
        </is>
      </c>
      <c r="B65">
        <f>100*SUM(R10:R59)/SUM(B10:B59)</f>
        <v/>
      </c>
    </row>
    <row r="66">
      <c r="A66" t="inlineStr">
        <is>
          <t>ClusterPenaltySum_A</t>
        </is>
      </c>
      <c r="B66">
        <f>SUM(I10:I59)</f>
        <v/>
      </c>
    </row>
    <row r="67">
      <c r="A67" t="inlineStr">
        <is>
          <t>ClusterPenaltySum_B</t>
        </is>
      </c>
      <c r="B67">
        <f>SUM(M10:M59)</f>
        <v/>
      </c>
    </row>
    <row r="69">
      <c r="A69" s="3" t="inlineStr">
        <is>
          <t>Dimension</t>
        </is>
      </c>
      <c r="B69" s="3" t="inlineStr">
        <is>
          <t>Score (0..1)</t>
        </is>
      </c>
    </row>
    <row r="70">
      <c r="A70" s="3" t="inlineStr">
        <is>
          <t>CommunicationHealth</t>
        </is>
      </c>
      <c r="B70">
        <f>IFERROR(SUMIF($C$10:$C$59,A70,$P$10:$P$59)/SUMIF($C$10:$C$59,A70,$B$10:$B$59),0)</f>
        <v/>
      </c>
    </row>
    <row r="71">
      <c r="A71" s="5" t="inlineStr">
        <is>
          <t>ConflictRepair</t>
        </is>
      </c>
      <c r="B71" s="5">
        <f>IFERROR(SUMIF($C$10:$C$59,A71,$P$10:$P$59)/SUMIF($C$10:$C$59,A71,$B$10:$B$59),0)</f>
        <v/>
      </c>
      <c r="C71" s="5" t="inlineStr">
        <is>
          <t>answer_id_B</t>
        </is>
      </c>
      <c r="D71" s="5" t="inlineStr">
        <is>
          <t>shadowRiskA</t>
        </is>
      </c>
      <c r="E71" s="5" t="inlineStr">
        <is>
          <t>integrityA</t>
        </is>
      </c>
      <c r="F71" s="5" t="inlineStr">
        <is>
          <t>shadowTypeA</t>
        </is>
      </c>
      <c r="G71" s="5" t="inlineStr">
        <is>
          <t>shadowRiskB</t>
        </is>
      </c>
      <c r="H71" s="5" t="inlineStr">
        <is>
          <t>integrityB</t>
        </is>
      </c>
      <c r="I71" s="5" t="inlineStr">
        <is>
          <t>shadowTypeB</t>
        </is>
      </c>
    </row>
    <row r="72">
      <c r="A72" t="inlineStr">
        <is>
          <t>EmotionalRegulation</t>
        </is>
      </c>
      <c r="B72">
        <f>IFERROR(SUMIF($C$10:$C$59,A72,$P$10:$P$59)/SUMIF($C$10:$C$59,A72,$B$10:$B$59),0)</f>
        <v/>
      </c>
      <c r="D72">
        <f>IFERROR(VLOOKUP(B72,AnswerBank_v5!$A$2:$AP$311,21,FALSE)/10,0)</f>
        <v/>
      </c>
      <c r="E72">
        <f>IFERROR(VLOOKUP(B72,AnswerBank_v5!$A$2:$AP$311,36,FALSE),"")</f>
        <v/>
      </c>
      <c r="F72">
        <f>IFERROR(VLOOKUP(B72,AnswerBank_v5!$A$2:$AP$311,19,FALSE),"")</f>
        <v/>
      </c>
      <c r="G72">
        <f>IFERROR(VLOOKUP(C72,AnswerBank_v5!$A$2:$AP$311,21,FALSE)/10,0)</f>
        <v/>
      </c>
      <c r="H72">
        <f>IFERROR(VLOOKUP(C72,AnswerBank_v5!$A$2:$AP$311,36,FALSE),"")</f>
        <v/>
      </c>
      <c r="I72">
        <f>IFERROR(VLOOKUP(C72,AnswerBank_v5!$A$2:$AP$311,19,FALSE),"")</f>
        <v/>
      </c>
    </row>
    <row r="73">
      <c r="A73" t="inlineStr">
        <is>
          <t>ValuesLifestyle</t>
        </is>
      </c>
      <c r="B73">
        <f>IFERROR(SUMIF($C$10:$C$59,A73,$P$10:$P$59)/SUMIF($C$10:$C$59,A73,$B$10:$B$59),0)</f>
        <v/>
      </c>
      <c r="D73">
        <f>IFERROR(VLOOKUP(B73,AnswerBank_v5!$A$2:$AP$311,21,FALSE)/10,0)</f>
        <v/>
      </c>
      <c r="E73">
        <f>IFERROR(VLOOKUP(B73,AnswerBank_v5!$A$2:$AP$311,36,FALSE),"")</f>
        <v/>
      </c>
      <c r="F73">
        <f>IFERROR(VLOOKUP(B73,AnswerBank_v5!$A$2:$AP$311,19,FALSE),"")</f>
        <v/>
      </c>
      <c r="G73">
        <f>IFERROR(VLOOKUP(C73,AnswerBank_v5!$A$2:$AP$311,21,FALSE)/10,0)</f>
        <v/>
      </c>
      <c r="H73">
        <f>IFERROR(VLOOKUP(C73,AnswerBank_v5!$A$2:$AP$311,36,FALSE),"")</f>
        <v/>
      </c>
      <c r="I73">
        <f>IFERROR(VLOOKUP(C73,AnswerBank_v5!$A$2:$AP$311,19,FALSE),"")</f>
        <v/>
      </c>
    </row>
    <row r="74">
      <c r="A74" t="inlineStr">
        <is>
          <t>CommitmentPace</t>
        </is>
      </c>
      <c r="B74">
        <f>IFERROR(SUMIF($C$10:$C$59,A74,$P$10:$P$59)/SUMIF($C$10:$C$59,A74,$B$10:$B$59),0)</f>
        <v/>
      </c>
      <c r="D74">
        <f>IFERROR(VLOOKUP(B74,AnswerBank_v5!$A$2:$AP$311,21,FALSE)/10,0)</f>
        <v/>
      </c>
      <c r="E74">
        <f>IFERROR(VLOOKUP(B74,AnswerBank_v5!$A$2:$AP$311,36,FALSE),"")</f>
        <v/>
      </c>
      <c r="F74">
        <f>IFERROR(VLOOKUP(B74,AnswerBank_v5!$A$2:$AP$311,19,FALSE),"")</f>
        <v/>
      </c>
      <c r="G74">
        <f>IFERROR(VLOOKUP(C74,AnswerBank_v5!$A$2:$AP$311,21,FALSE)/10,0)</f>
        <v/>
      </c>
      <c r="H74">
        <f>IFERROR(VLOOKUP(C74,AnswerBank_v5!$A$2:$AP$311,36,FALSE),"")</f>
        <v/>
      </c>
      <c r="I74">
        <f>IFERROR(VLOOKUP(C74,AnswerBank_v5!$A$2:$AP$311,19,FALSE),"")</f>
        <v/>
      </c>
    </row>
    <row r="75">
      <c r="A75" t="inlineStr">
        <is>
          <t>EmotionalNeeds</t>
        </is>
      </c>
      <c r="B75">
        <f>IFERROR(SUMIF($C$10:$C$59,A75,$P$10:$P$59)/SUMIF($C$10:$C$59,A75,$B$10:$B$59),0)</f>
        <v/>
      </c>
      <c r="D75">
        <f>IFERROR(VLOOKUP(B75,AnswerBank_v5!$A$2:$AP$311,21,FALSE)/10,0)</f>
        <v/>
      </c>
      <c r="E75">
        <f>IFERROR(VLOOKUP(B75,AnswerBank_v5!$A$2:$AP$311,36,FALSE),"")</f>
        <v/>
      </c>
      <c r="F75">
        <f>IFERROR(VLOOKUP(B75,AnswerBank_v5!$A$2:$AP$311,19,FALSE),"")</f>
        <v/>
      </c>
      <c r="G75">
        <f>IFERROR(VLOOKUP(C75,AnswerBank_v5!$A$2:$AP$311,21,FALSE)/10,0)</f>
        <v/>
      </c>
      <c r="H75">
        <f>IFERROR(VLOOKUP(C75,AnswerBank_v5!$A$2:$AP$311,36,FALSE),"")</f>
        <v/>
      </c>
      <c r="I75">
        <f>IFERROR(VLOOKUP(C75,AnswerBank_v5!$A$2:$AP$311,19,FALSE),"")</f>
        <v/>
      </c>
    </row>
    <row r="76">
      <c r="A76" t="n">
        <v>55</v>
      </c>
      <c r="D76">
        <f>IFERROR(VLOOKUP(B76,AnswerBank_v5!$A$2:$AP$311,21,FALSE)/10,0)</f>
        <v/>
      </c>
      <c r="E76">
        <f>IFERROR(VLOOKUP(B76,AnswerBank_v5!$A$2:$AP$311,36,FALSE),"")</f>
        <v/>
      </c>
      <c r="F76">
        <f>IFERROR(VLOOKUP(B76,AnswerBank_v5!$A$2:$AP$311,19,FALSE),"")</f>
        <v/>
      </c>
      <c r="G76">
        <f>IFERROR(VLOOKUP(C76,AnswerBank_v5!$A$2:$AP$311,21,FALSE)/10,0)</f>
        <v/>
      </c>
      <c r="H76">
        <f>IFERROR(VLOOKUP(C76,AnswerBank_v5!$A$2:$AP$311,36,FALSE),"")</f>
        <v/>
      </c>
      <c r="I76">
        <f>IFERROR(VLOOKUP(C76,AnswerBank_v5!$A$2:$AP$311,19,FALSE),"")</f>
        <v/>
      </c>
    </row>
    <row r="77">
      <c r="A77" t="n">
        <v>56</v>
      </c>
      <c r="D77">
        <f>IFERROR(VLOOKUP(B77,AnswerBank_v5!$A$2:$AP$311,21,FALSE)/10,0)</f>
        <v/>
      </c>
      <c r="E77">
        <f>IFERROR(VLOOKUP(B77,AnswerBank_v5!$A$2:$AP$311,36,FALSE),"")</f>
        <v/>
      </c>
      <c r="F77">
        <f>IFERROR(VLOOKUP(B77,AnswerBank_v5!$A$2:$AP$311,19,FALSE),"")</f>
        <v/>
      </c>
      <c r="G77">
        <f>IFERROR(VLOOKUP(C77,AnswerBank_v5!$A$2:$AP$311,21,FALSE)/10,0)</f>
        <v/>
      </c>
      <c r="H77">
        <f>IFERROR(VLOOKUP(C77,AnswerBank_v5!$A$2:$AP$311,36,FALSE),"")</f>
        <v/>
      </c>
      <c r="I77">
        <f>IFERROR(VLOOKUP(C77,AnswerBank_v5!$A$2:$AP$311,19,FALSE),"")</f>
        <v/>
      </c>
    </row>
    <row r="78">
      <c r="A78" t="n">
        <v>57</v>
      </c>
      <c r="D78">
        <f>IFERROR(VLOOKUP(B78,AnswerBank_v5!$A$2:$AP$311,21,FALSE)/10,0)</f>
        <v/>
      </c>
      <c r="E78">
        <f>IFERROR(VLOOKUP(B78,AnswerBank_v5!$A$2:$AP$311,36,FALSE),"")</f>
        <v/>
      </c>
      <c r="F78">
        <f>IFERROR(VLOOKUP(B78,AnswerBank_v5!$A$2:$AP$311,19,FALSE),"")</f>
        <v/>
      </c>
      <c r="G78">
        <f>IFERROR(VLOOKUP(C78,AnswerBank_v5!$A$2:$AP$311,21,FALSE)/10,0)</f>
        <v/>
      </c>
      <c r="H78">
        <f>IFERROR(VLOOKUP(C78,AnswerBank_v5!$A$2:$AP$311,36,FALSE),"")</f>
        <v/>
      </c>
      <c r="I78">
        <f>IFERROR(VLOOKUP(C78,AnswerBank_v5!$A$2:$AP$311,19,FALSE),"")</f>
        <v/>
      </c>
    </row>
    <row r="79">
      <c r="A79" t="n">
        <v>58</v>
      </c>
      <c r="D79">
        <f>IFERROR(VLOOKUP(B79,AnswerBank_v5!$A$2:$AP$311,21,FALSE)/10,0)</f>
        <v/>
      </c>
      <c r="E79">
        <f>IFERROR(VLOOKUP(B79,AnswerBank_v5!$A$2:$AP$311,36,FALSE),"")</f>
        <v/>
      </c>
      <c r="F79">
        <f>IFERROR(VLOOKUP(B79,AnswerBank_v5!$A$2:$AP$311,19,FALSE),"")</f>
        <v/>
      </c>
      <c r="G79">
        <f>IFERROR(VLOOKUP(C79,AnswerBank_v5!$A$2:$AP$311,21,FALSE)/10,0)</f>
        <v/>
      </c>
      <c r="H79">
        <f>IFERROR(VLOOKUP(C79,AnswerBank_v5!$A$2:$AP$311,36,FALSE),"")</f>
        <v/>
      </c>
      <c r="I79">
        <f>IFERROR(VLOOKUP(C79,AnswerBank_v5!$A$2:$AP$311,19,FALSE),"")</f>
        <v/>
      </c>
    </row>
    <row r="80">
      <c r="A80" t="n">
        <v>59</v>
      </c>
      <c r="D80">
        <f>IFERROR(VLOOKUP(B80,AnswerBank_v5!$A$2:$AP$311,21,FALSE)/10,0)</f>
        <v/>
      </c>
      <c r="E80">
        <f>IFERROR(VLOOKUP(B80,AnswerBank_v5!$A$2:$AP$311,36,FALSE),"")</f>
        <v/>
      </c>
      <c r="F80">
        <f>IFERROR(VLOOKUP(B80,AnswerBank_v5!$A$2:$AP$311,19,FALSE),"")</f>
        <v/>
      </c>
      <c r="G80">
        <f>IFERROR(VLOOKUP(C80,AnswerBank_v5!$A$2:$AP$311,21,FALSE)/10,0)</f>
        <v/>
      </c>
      <c r="H80">
        <f>IFERROR(VLOOKUP(C80,AnswerBank_v5!$A$2:$AP$311,36,FALSE),"")</f>
        <v/>
      </c>
      <c r="I80">
        <f>IFERROR(VLOOKUP(C80,AnswerBank_v5!$A$2:$AP$311,19,FALSE),"")</f>
        <v/>
      </c>
    </row>
    <row r="81">
      <c r="A81" t="n">
        <v>60</v>
      </c>
      <c r="D81">
        <f>IFERROR(VLOOKUP(B81,AnswerBank_v5!$A$2:$AP$311,21,FALSE)/10,0)</f>
        <v/>
      </c>
      <c r="E81">
        <f>IFERROR(VLOOKUP(B81,AnswerBank_v5!$A$2:$AP$311,36,FALSE),"")</f>
        <v/>
      </c>
      <c r="F81">
        <f>IFERROR(VLOOKUP(B81,AnswerBank_v5!$A$2:$AP$311,19,FALSE),"")</f>
        <v/>
      </c>
      <c r="G81">
        <f>IFERROR(VLOOKUP(C81,AnswerBank_v5!$A$2:$AP$311,21,FALSE)/10,0)</f>
        <v/>
      </c>
      <c r="H81">
        <f>IFERROR(VLOOKUP(C81,AnswerBank_v5!$A$2:$AP$311,36,FALSE),"")</f>
        <v/>
      </c>
      <c r="I81">
        <f>IFERROR(VLOOKUP(C81,AnswerBank_v5!$A$2:$AP$311,19,FALSE),"")</f>
        <v/>
      </c>
    </row>
    <row r="83">
      <c r="A83" t="inlineStr">
        <is>
          <t>ShadowIntensity_A</t>
        </is>
      </c>
      <c r="B83">
        <f>AVERAGE(D72:D81)</f>
        <v/>
      </c>
    </row>
    <row r="84">
      <c r="A84" t="inlineStr">
        <is>
          <t>ShadowIntensity_B</t>
        </is>
      </c>
      <c r="B84">
        <f>AVERAGE(G72:G81)</f>
        <v/>
      </c>
    </row>
    <row r="85">
      <c r="A85" t="inlineStr">
        <is>
          <t>IntegrityFlags_A</t>
        </is>
      </c>
      <c r="B85">
        <f>COUNTIF(E72:E81,"yes")</f>
        <v/>
      </c>
    </row>
    <row r="86">
      <c r="A86" t="inlineStr">
        <is>
          <t>IntegrityFlags_B</t>
        </is>
      </c>
      <c r="B86">
        <f>COUNTIF(H72:H81,"yes")</f>
        <v/>
      </c>
    </row>
    <row r="87">
      <c r="A87" t="inlineStr">
        <is>
          <t>PrimaryShadow_A</t>
        </is>
      </c>
      <c r="B87">
        <f>INDEX(F72:F81,MATCH(MAX(D72:D81),D72:D81,0))</f>
        <v/>
      </c>
    </row>
    <row r="88">
      <c r="A88" t="inlineStr">
        <is>
          <t>PrimaryShadow_B</t>
        </is>
      </c>
      <c r="B88">
        <f>INDEX(I72:I81,MATCH(MAX(G72:G81),G72:G81,0))</f>
        <v/>
      </c>
    </row>
  </sheetData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 ht="18.75" customHeight="1" s="10">
      <c r="A1" s="9" t="inlineStr">
        <is>
          <t>Final Scores v4 (deterministic prior, using all matrices)</t>
        </is>
      </c>
    </row>
    <row r="3">
      <c r="A3" t="inlineStr">
        <is>
          <t>Pull from TestHarness_v4</t>
        </is>
      </c>
      <c r="D3" t="inlineStr">
        <is>
          <t>Manual selections (use dropdowns in Excel)</t>
        </is>
      </c>
    </row>
    <row r="4">
      <c r="A4" s="3" t="inlineStr">
        <is>
          <t>BehaviorCore</t>
        </is>
      </c>
      <c r="B4">
        <f>TestHarness_v4!B63</f>
        <v/>
      </c>
      <c r="D4" s="3" t="inlineStr">
        <is>
          <t>PrimaryArchetype_A</t>
        </is>
      </c>
      <c r="E4" t="inlineStr">
        <is>
          <t>REGULATED</t>
        </is>
      </c>
    </row>
    <row r="5">
      <c r="A5" s="3" t="inlineStr">
        <is>
          <t>ClusterPenaltySum_A</t>
        </is>
      </c>
      <c r="B5">
        <f>TestHarness_v4!B66</f>
        <v/>
      </c>
      <c r="D5" s="3" t="inlineStr">
        <is>
          <t>SecondaryArchetype_A</t>
        </is>
      </c>
      <c r="E5" t="inlineStr">
        <is>
          <t>TRANSLATOR</t>
        </is>
      </c>
    </row>
    <row r="6">
      <c r="A6" s="3" t="inlineStr">
        <is>
          <t>ClusterPenaltySum_B</t>
        </is>
      </c>
      <c r="B6">
        <f>TestHarness_v4!B67</f>
        <v/>
      </c>
      <c r="D6" s="3" t="inlineStr">
        <is>
          <t>PrimaryArchetype_B</t>
        </is>
      </c>
      <c r="E6" t="inlineStr">
        <is>
          <t>REGULATED</t>
        </is>
      </c>
    </row>
    <row r="7">
      <c r="A7" s="3" t="inlineStr">
        <is>
          <t>ShadowIntensity_A</t>
        </is>
      </c>
      <c r="B7">
        <f>TestHarness_v4!B83</f>
        <v/>
      </c>
      <c r="D7" s="3" t="inlineStr">
        <is>
          <t>SecondaryArchetype_B</t>
        </is>
      </c>
      <c r="E7" t="inlineStr">
        <is>
          <t>ANALYZER</t>
        </is>
      </c>
    </row>
    <row r="8">
      <c r="A8" s="3" t="inlineStr">
        <is>
          <t>ShadowIntensity_B</t>
        </is>
      </c>
      <c r="B8">
        <f>TestHarness_v4!B84</f>
        <v/>
      </c>
      <c r="D8" s="3" t="n"/>
    </row>
    <row r="9">
      <c r="A9" s="3" t="inlineStr">
        <is>
          <t>IntegrityFlags_A</t>
        </is>
      </c>
      <c r="B9">
        <f>TestHarness_v4!B85</f>
        <v/>
      </c>
      <c r="D9" s="3" t="inlineStr">
        <is>
          <t>CommStyle_A</t>
        </is>
      </c>
      <c r="E9" t="inlineStr">
        <is>
          <t>COMM_Direct</t>
        </is>
      </c>
    </row>
    <row r="10">
      <c r="A10" s="3" t="inlineStr">
        <is>
          <t>IntegrityFlags_B</t>
        </is>
      </c>
      <c r="B10">
        <f>TestHarness_v4!B86</f>
        <v/>
      </c>
      <c r="D10" s="3" t="inlineStr">
        <is>
          <t>CommStyle_B</t>
        </is>
      </c>
      <c r="E10" t="inlineStr">
        <is>
          <t>COMM_Emotional</t>
        </is>
      </c>
    </row>
    <row r="11">
      <c r="A11" s="3" t="inlineStr">
        <is>
          <t>PrimaryShadow_A</t>
        </is>
      </c>
      <c r="B11">
        <f>TestHarness_v4!B87</f>
        <v/>
      </c>
      <c r="D11" s="3" t="inlineStr">
        <is>
          <t>RegStyle_A</t>
        </is>
      </c>
      <c r="E11" t="inlineStr">
        <is>
          <t>REG_CoRegulator</t>
        </is>
      </c>
    </row>
    <row r="12">
      <c r="A12" s="3" t="inlineStr">
        <is>
          <t>PrimaryShadow_B</t>
        </is>
      </c>
      <c r="B12">
        <f>TestHarness_v4!B88</f>
        <v/>
      </c>
      <c r="D12" s="3" t="inlineStr">
        <is>
          <t>RegStyle_B</t>
        </is>
      </c>
      <c r="E12" t="inlineStr">
        <is>
          <t>REG_SelfSoother</t>
        </is>
      </c>
    </row>
    <row r="13">
      <c r="D13" s="3" t="inlineStr">
        <is>
          <t>LoveLang_A</t>
        </is>
      </c>
      <c r="E13" t="inlineStr">
        <is>
          <t>LL_Words</t>
        </is>
      </c>
    </row>
    <row r="14">
      <c r="A14" s="3" t="inlineStr">
        <is>
          <t>CommHealth</t>
        </is>
      </c>
      <c r="B14">
        <f>TestHarness_v4!B70</f>
        <v/>
      </c>
      <c r="D14" s="3" t="inlineStr">
        <is>
          <t>LoveLang_B</t>
        </is>
      </c>
      <c r="E14" t="inlineStr">
        <is>
          <t>LL_Touch</t>
        </is>
      </c>
    </row>
    <row r="15">
      <c r="A15" s="3" t="inlineStr">
        <is>
          <t>ConflictRepair</t>
        </is>
      </c>
      <c r="B15">
        <f>TestHarness_v4!B71</f>
        <v/>
      </c>
    </row>
    <row r="16">
      <c r="A16" s="3" t="inlineStr">
        <is>
          <t>EmotionalReg</t>
        </is>
      </c>
      <c r="B16">
        <f>TestHarness_v4!B72</f>
        <v/>
      </c>
      <c r="D16" s="3" t="inlineStr">
        <is>
          <t>CommConflictNorm</t>
        </is>
      </c>
      <c r="E16">
        <f>IF(E9&lt;E10,E9&amp;"+" &amp;E10,E10&amp;"+" &amp;E9)</f>
        <v/>
      </c>
      <c r="F16">
        <f>IFERROR((VLOOKUP(E16,CommLookup_v4!$A$2:$B$16,2,FALSE)-2)/7,0.5)</f>
        <v/>
      </c>
    </row>
    <row r="17">
      <c r="A17" s="3" t="inlineStr">
        <is>
          <t>CommitmentPace</t>
        </is>
      </c>
      <c r="B17">
        <f>TestHarness_v4!B74</f>
        <v/>
      </c>
      <c r="D17" s="3" t="inlineStr">
        <is>
          <t>RegulationNorm</t>
        </is>
      </c>
      <c r="E17">
        <f>IF(E11&lt;E12,E11&amp;"+" &amp;E12,E12&amp;"+" &amp;E11)</f>
        <v/>
      </c>
      <c r="F17">
        <f>IFERROR((VLOOKUP(E17,RegLookup_v4!$A$2:$B$11,2,FALSE)-3)/7,0.5)</f>
        <v/>
      </c>
    </row>
    <row r="18">
      <c r="D18" s="3" t="inlineStr">
        <is>
          <t>LoveNorm</t>
        </is>
      </c>
      <c r="E18">
        <f>IF(E13&lt;E14,E13&amp;"+" &amp;E14,E14&amp;"+" &amp;E13)</f>
        <v/>
      </c>
      <c r="F18">
        <f>IFERROR((VLOOKUP(E18,LoveLookup_v4!$A$2:$B$16,2,FALSE)-5)/5,0.6)</f>
        <v/>
      </c>
    </row>
    <row r="19">
      <c r="D19" s="3" t="n"/>
    </row>
    <row r="20">
      <c r="D20" s="3" t="inlineStr">
        <is>
          <t>PP</t>
        </is>
      </c>
      <c r="E20">
        <f>IFERROR(VLOOKUP(E4&amp;"|"&amp;E6,ArchetypeLookup_v4!$A$2:$B$101,2,FALSE),7)</f>
        <v/>
      </c>
    </row>
    <row r="21">
      <c r="D21" s="3" t="inlineStr">
        <is>
          <t>PS</t>
        </is>
      </c>
      <c r="E21">
        <f>IFERROR(VLOOKUP(E4&amp;"|"&amp;E7,ArchetypeLookup_v4!$A$2:$B$101,2,FALSE),7)</f>
        <v/>
      </c>
    </row>
    <row r="22">
      <c r="D22" s="3" t="inlineStr">
        <is>
          <t>SP</t>
        </is>
      </c>
      <c r="E22">
        <f>IFERROR(VLOOKUP(E5&amp;"|"&amp;E6,ArchetypeLookup_v4!$A$2:$B$101,2,FALSE),7)</f>
        <v/>
      </c>
    </row>
    <row r="23">
      <c r="D23" s="3" t="inlineStr">
        <is>
          <t>SS</t>
        </is>
      </c>
      <c r="E23">
        <f>IFERROR(VLOOKUP(E5&amp;"|"&amp;E7,ArchetypeLookup_v4!$A$2:$B$101,2,FALSE),7)</f>
        <v/>
      </c>
    </row>
    <row r="24">
      <c r="D24" s="3" t="inlineStr">
        <is>
          <t>A (0..1)</t>
        </is>
      </c>
      <c r="E24">
        <f>((0.5*E20+0.2*E21+0.2*E22+0.1*E23)-2)/7</f>
        <v/>
      </c>
    </row>
    <row r="26">
      <c r="D26" s="3" t="inlineStr">
        <is>
          <t>ShadowKey</t>
        </is>
      </c>
      <c r="E26">
        <f>UPPER(SUBSTITUTE(SUBSTITUTE(B11," ",""),"-",""))</f>
        <v/>
      </c>
      <c r="F26">
        <f>UPPER(SUBSTITUTE(SUBSTITUTE(B12," ",""),"-",""))</f>
        <v/>
      </c>
      <c r="G26">
        <f>IF(E26&lt;F26,E26&amp;"_"&amp;F26,F26&amp;"_"&amp;E26)</f>
        <v/>
      </c>
    </row>
    <row r="27">
      <c r="D27" s="3" t="inlineStr">
        <is>
          <t>ShadowScore</t>
        </is>
      </c>
      <c r="E27">
        <f>IFERROR(VLOOKUP(G26,ShadowLookup_v4!$A$2:$B$37,2,FALSE),3)</f>
        <v/>
      </c>
    </row>
    <row r="28">
      <c r="D28" s="3" t="inlineStr">
        <is>
          <t>S_risk</t>
        </is>
      </c>
      <c r="E28">
        <f>MIN(1,MAX(0,((E27-2)/4)*(0.7+0.15*B7+0.15*B8)))</f>
        <v/>
      </c>
    </row>
    <row r="30">
      <c r="D30" s="3" t="inlineStr">
        <is>
          <t>AstroKey</t>
        </is>
      </c>
      <c r="E30">
        <f>VLOOKUP(TestHarness_v4!B5,AstroSignMap_v4!$A$2:$B$13,2,FALSE)&amp;"_"&amp;TestHarness_v4!B4&amp;"+" &amp; VLOOKUP(TestHarness_v4!G5,AstroSignMap_v4!$A$2:$B$13,2,FALSE)&amp;"_"&amp;TestHarness_v4!G4</f>
        <v/>
      </c>
    </row>
    <row r="31">
      <c r="D31" s="3" t="inlineStr">
        <is>
          <t>Astro</t>
        </is>
      </c>
      <c r="E31">
        <f>IFERROR((VLOOKUP(E30,AstrologyLookup_v4!$A$2:$B$577,2,FALSE)-4)/4,0.5)</f>
        <v/>
      </c>
    </row>
    <row r="32">
      <c r="D32" s="3" t="inlineStr">
        <is>
          <t>NumKey</t>
        </is>
      </c>
      <c r="E32">
        <f>IF(TestHarness_v4!B6&lt;TestHarness_v4!G6,TestHarness_v4!B6&amp;"+" &amp;TestHarness_v4!G6,TestHarness_v4!G6&amp;"+" &amp;TestHarness_v4!B6)</f>
        <v/>
      </c>
    </row>
    <row r="33">
      <c r="D33" s="3" t="inlineStr">
        <is>
          <t>Num</t>
        </is>
      </c>
      <c r="E33">
        <f>IFERROR((VLOOKUP(E32,NumerologyLookup_v4!$A$2:$B$67,2,FALSE)-3)/7,0.5)</f>
        <v/>
      </c>
    </row>
    <row r="35">
      <c r="D35" s="3" t="inlineStr">
        <is>
          <t>P (Polarity)</t>
        </is>
      </c>
      <c r="E35" t="n">
        <v>0.5</v>
      </c>
    </row>
    <row r="37">
      <c r="D37" s="3" t="inlineStr">
        <is>
          <t>B (Behavioral Alignment)</t>
        </is>
      </c>
      <c r="E37">
        <f>0.58*$B$4 + 0.18*$F$16 + 0.14*$F$17 + 0.1*$F$18</f>
        <v/>
      </c>
    </row>
    <row r="39">
      <c r="D39" s="3" t="inlineStr">
        <is>
          <t>ClusterPenaltyPair</t>
        </is>
      </c>
      <c r="E39">
        <f>MIN(35,0.35*(B5+B6))</f>
        <v/>
      </c>
    </row>
    <row r="40">
      <c r="D40" s="3" t="inlineStr">
        <is>
          <t>IntegrityPenalty</t>
        </is>
      </c>
      <c r="E40">
        <f>MIN(80,0.4*(2*B9+0.25*B5+4*B7)+0.4*(2*B10+0.25*B6+4*B8)+0.2*E39)</f>
        <v/>
      </c>
    </row>
    <row r="41">
      <c r="D41" s="3" t="inlineStr">
        <is>
          <t>InteractionCompatModifier</t>
        </is>
      </c>
      <c r="E41" t="n">
        <v>0</v>
      </c>
    </row>
    <row r="42">
      <c r="D42" s="3" t="inlineStr">
        <is>
          <t>InteractionForecastModifier</t>
        </is>
      </c>
      <c r="E42" t="n">
        <v>0</v>
      </c>
    </row>
    <row r="44">
      <c r="D44" s="3" t="inlineStr">
        <is>
          <t>CompatibilityScore (350-850)</t>
        </is>
      </c>
      <c r="E44">
        <f>MIN(850,MAX(350,350+500*(0.3*E37+0.22*E24+0.18*(1-E28)+0.12*E35+0.08*E31+0.05*E33)-E40-E39+E41))</f>
        <v/>
      </c>
    </row>
    <row r="45">
      <c r="D45" s="3" t="inlineStr">
        <is>
          <t>Forecast (0-100)</t>
        </is>
      </c>
      <c r="E45">
        <f>MIN(100,MAX(0, 100*(0.3*$F$17 + 0.25*$B$15 + 0.2*$B$14 + 0.15*$B$17 + 0.1*$E$46) - 20*$E$28 - 0.6*$E$39 + $E$42))</f>
        <v/>
      </c>
    </row>
    <row r="46">
      <c r="D46" s="3" t="inlineStr">
        <is>
          <t>PatternStability</t>
        </is>
      </c>
      <c r="E46">
        <f>0.45*$B$16+0.25*$B$15+0.15*$B$14+0.15*(1-$E$28)</f>
        <v/>
      </c>
    </row>
  </sheetData>
  <mergeCells count="1">
    <mergeCell ref="A1:J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97265625" customWidth="1" style="10" min="1" max="2"/>
    <col width="19.90625" customWidth="1" style="10" min="3" max="3"/>
    <col width="11.97265625" customWidth="1" style="10" min="4" max="4"/>
    <col width="18.83203125" customWidth="1" style="10" min="5" max="5"/>
    <col width="17.890625" customWidth="1" style="10" min="6" max="6"/>
    <col width="19.90625" customWidth="1" style="10" min="7" max="7"/>
    <col width="13.5859375" customWidth="1" style="10" min="8" max="8"/>
    <col width="16.8125" customWidth="1" style="10" min="9" max="9"/>
    <col width="13.5859375" customWidth="1" style="10" min="10" max="10"/>
    <col width="11.97265625" customWidth="1" style="10" min="11" max="11"/>
    <col width="12.64453125" customWidth="1" style="10" min="12" max="12"/>
    <col width="20.984375" customWidth="1" style="10" min="13" max="13"/>
    <col width="19.90625" customWidth="1" style="10" min="14" max="14"/>
    <col width="24.2109375" customWidth="1" style="10" min="15" max="15"/>
    <col width="18.83203125" customWidth="1" style="10" min="16" max="16"/>
    <col width="11.97265625" customWidth="1" style="10" min="17" max="17"/>
    <col width="12.64453125" customWidth="1" style="10" min="18" max="18"/>
    <col width="11.97265625" customWidth="1" style="10" min="19" max="19"/>
    <col width="14.66015625" customWidth="1" style="10" min="20" max="20"/>
    <col width="22.05859375" customWidth="1" style="10" min="21" max="21"/>
    <col width="12.64453125" customWidth="1" style="10" min="22" max="22"/>
    <col width="23.13671875" customWidth="1" style="10" min="23" max="23"/>
    <col width="22.05859375" customWidth="1" style="10" min="24" max="24"/>
    <col width="11.97265625" customWidth="1" style="10" min="25" max="25"/>
    <col width="16.8125" customWidth="1" style="10" min="26" max="26"/>
    <col width="13.5859375" customWidth="1" style="10" min="27" max="27"/>
    <col width="12.64453125" customWidth="1" style="10" min="28" max="28"/>
    <col width="11.97265625" customWidth="1" style="10" min="29" max="30"/>
    <col width="23.13671875" customWidth="1" style="10" min="31" max="31"/>
    <col width="11.97265625" customWidth="1" style="10" min="32" max="32"/>
    <col width="18.83203125" customWidth="1" style="10" min="33" max="33"/>
    <col width="12.64453125" customWidth="1" style="10" min="34" max="34"/>
    <col width="16.8125" customWidth="1" style="10" min="35" max="35"/>
    <col width="17.890625" customWidth="1" style="10" min="36" max="36"/>
    <col width="15.73828125" customWidth="1" style="10" min="37" max="37"/>
    <col width="18.83203125" customWidth="1" style="10" min="38" max="38"/>
    <col width="15.73828125" customWidth="1" style="10" min="39" max="39"/>
    <col width="14.66015625" customWidth="1" style="10" min="40" max="40"/>
    <col width="12.64453125" customWidth="1" style="10" min="41" max="41"/>
    <col width="16.8125" customWidth="1" style="10" min="42" max="42"/>
    <col width="18.0234375" customWidth="1" style="10" min="43" max="51"/>
  </cols>
  <sheetData>
    <row r="1" ht="27.75" customHeight="1" s="10">
      <c r="A1" s="1" t="inlineStr">
        <is>
          <t>answer_id</t>
        </is>
      </c>
      <c r="B1" s="1" t="inlineStr">
        <is>
          <t>canonical_q</t>
        </is>
      </c>
      <c r="C1" s="1" t="inlineStr">
        <is>
          <t>question_number_int</t>
        </is>
      </c>
      <c r="D1" s="1" t="inlineStr">
        <is>
          <t>phase</t>
        </is>
      </c>
      <c r="E1" s="1" t="inlineStr">
        <is>
          <t>question_weight_v3</t>
        </is>
      </c>
      <c r="F1" s="1" t="inlineStr">
        <is>
          <t>dimension_primary</t>
        </is>
      </c>
      <c r="G1" s="1" t="inlineStr">
        <is>
          <t>dimension_secondary</t>
        </is>
      </c>
      <c r="H1" s="1" t="inlineStr">
        <is>
          <t>question_text</t>
        </is>
      </c>
      <c r="I1" s="1" t="inlineStr">
        <is>
          <t>answer_option_id</t>
        </is>
      </c>
      <c r="J1" s="1" t="inlineStr">
        <is>
          <t>answer_letter</t>
        </is>
      </c>
      <c r="K1" s="1" t="inlineStr">
        <is>
          <t>answer_text</t>
        </is>
      </c>
      <c r="L1" s="1" t="inlineStr">
        <is>
          <t>score_weight</t>
        </is>
      </c>
      <c r="M1" s="1" t="inlineStr">
        <is>
          <t>compatibility_weight</t>
        </is>
      </c>
      <c r="N1" s="1" t="inlineStr">
        <is>
          <t>readiness_points_v3</t>
        </is>
      </c>
      <c r="O1" s="1" t="inlineStr">
        <is>
          <t>compatibility_stance_v3</t>
        </is>
      </c>
      <c r="P1" s="1" t="inlineStr">
        <is>
          <t>forecast_points_v3</t>
        </is>
      </c>
      <c r="Q1" s="1" t="inlineStr">
        <is>
          <t>archetype</t>
        </is>
      </c>
      <c r="R1" s="1" t="inlineStr">
        <is>
          <t>archetype_id</t>
        </is>
      </c>
      <c r="S1" s="1" t="inlineStr">
        <is>
          <t>shadow_type</t>
        </is>
      </c>
      <c r="T1" s="1" t="inlineStr">
        <is>
          <t>shadow_type_id</t>
        </is>
      </c>
      <c r="U1" s="1" t="inlineStr">
        <is>
          <t>shadow_risk_points_v3</t>
        </is>
      </c>
      <c r="V1" s="1" t="inlineStr">
        <is>
          <t>polarity_tag</t>
        </is>
      </c>
      <c r="W1" s="1" t="inlineStr">
        <is>
          <t>polarity_masc_delta_v3</t>
        </is>
      </c>
      <c r="X1" s="1" t="inlineStr">
        <is>
          <t>polarity_fem_delta_v3</t>
        </is>
      </c>
      <c r="Y1" s="1" t="inlineStr">
        <is>
          <t>comm_style</t>
        </is>
      </c>
      <c r="Z1" s="1" t="inlineStr">
        <is>
          <t>regulation_style</t>
        </is>
      </c>
      <c r="AA1" s="1" t="inlineStr">
        <is>
          <t>love_language</t>
        </is>
      </c>
      <c r="AB1" s="1" t="inlineStr">
        <is>
          <t>cluster_tags</t>
        </is>
      </c>
      <c r="AC1" s="1" t="inlineStr">
        <is>
          <t>cluster_1</t>
        </is>
      </c>
      <c r="AD1" s="1" t="inlineStr">
        <is>
          <t>cluster_2</t>
        </is>
      </c>
      <c r="AE1" s="1" t="inlineStr">
        <is>
          <t>cluster_penalty_points</t>
        </is>
      </c>
      <c r="AF1" s="1" t="inlineStr">
        <is>
          <t>pattern_tag</t>
        </is>
      </c>
      <c r="AG1" s="1" t="inlineStr">
        <is>
          <t>match_behavior_tag</t>
        </is>
      </c>
      <c r="AH1" s="1" t="inlineStr">
        <is>
          <t>pattern_risk</t>
        </is>
      </c>
      <c r="AI1" s="1" t="inlineStr">
        <is>
          <t>consistency_flag</t>
        </is>
      </c>
      <c r="AJ1" s="1" t="inlineStr">
        <is>
          <t>integrity_flag_v3</t>
        </is>
      </c>
      <c r="AK1" s="1" t="inlineStr">
        <is>
          <t>drift_relevance</t>
        </is>
      </c>
      <c r="AL1" s="1" t="inlineStr">
        <is>
          <t>forecast_relevance</t>
        </is>
      </c>
      <c r="AM1" s="1" t="inlineStr">
        <is>
          <t>energy_type_tag</t>
        </is>
      </c>
      <c r="AN1" s="1" t="inlineStr">
        <is>
          <t>emotion_family</t>
        </is>
      </c>
      <c r="AO1" s="1" t="inlineStr">
        <is>
          <t>emotion_cell</t>
        </is>
      </c>
      <c r="AP1" s="1" t="inlineStr">
        <is>
          <t>version_snapshot</t>
        </is>
      </c>
      <c r="AQ1" s="8" t="inlineStr">
        <is>
          <t>score_weight_norm</t>
        </is>
      </c>
      <c r="AR1" s="8" t="inlineStr">
        <is>
          <t>compat_weight_norm</t>
        </is>
      </c>
      <c r="AS1" s="8" t="inlineStr">
        <is>
          <t>readiness_norm</t>
        </is>
      </c>
      <c r="AT1" s="8" t="inlineStr">
        <is>
          <t>stance_norm</t>
        </is>
      </c>
      <c r="AU1" s="8" t="inlineStr">
        <is>
          <t>forecast_norm</t>
        </is>
      </c>
      <c r="AV1" s="8" t="inlineStr">
        <is>
          <t>pattern_risk_norm</t>
        </is>
      </c>
      <c r="AW1" s="8" t="inlineStr">
        <is>
          <t>cluster_penalty_norm</t>
        </is>
      </c>
      <c r="AX1" s="8" t="inlineStr">
        <is>
          <t>polarity_masc_norm</t>
        </is>
      </c>
      <c r="AY1" s="8" t="inlineStr">
        <is>
          <t>polarity_fem_norm</t>
        </is>
      </c>
    </row>
    <row r="2" ht="135" customHeight="1" s="10">
      <c r="A2" s="2" t="inlineStr">
        <is>
          <t>Q01_A</t>
        </is>
      </c>
      <c r="B2" s="2" t="n">
        <v>1</v>
      </c>
      <c r="C2" s="2" t="n">
        <v>1</v>
      </c>
      <c r="D2" s="2" t="inlineStr">
        <is>
          <t>Core</t>
        </is>
      </c>
      <c r="E2" s="2" t="n">
        <v>1</v>
      </c>
      <c r="F2" s="2" t="inlineStr">
        <is>
          <t>CommunicationHealth</t>
        </is>
      </c>
      <c r="G2" s="2" t="inlineStr">
        <is>
          <t>EmotionalNeeds</t>
        </is>
      </c>
      <c r="H2" s="2" t="inlineStr">
        <is>
          <t>When something feels off between you and someone you're dating, what usually happens next-internally or outwardly?</t>
        </is>
      </c>
      <c r="I2" s="2" t="inlineStr">
        <is>
          <t>A</t>
        </is>
      </c>
      <c r="J2" s="2" t="inlineStr">
        <is>
          <t>A</t>
        </is>
      </c>
      <c r="K2" s="2" t="inlineStr">
        <is>
          <t>It's probably nothing. I just shift into neutral and let it play out. If they bring it up, cool. If not, I'm not pushing it.</t>
        </is>
      </c>
      <c r="L2" s="2" t="n">
        <v>3</v>
      </c>
      <c r="M2" s="2" t="n">
        <v>4</v>
      </c>
      <c r="N2" s="2" t="n">
        <v>0</v>
      </c>
      <c r="O2" s="2" t="n">
        <v>0</v>
      </c>
      <c r="P2" s="2" t="n">
        <v>0</v>
      </c>
      <c r="Q2" s="2" t="inlineStr">
        <is>
          <t>Icebox</t>
        </is>
      </c>
      <c r="R2" s="2" t="n">
        <v>1</v>
      </c>
      <c r="S2" s="2" t="n"/>
      <c r="T2" s="2" t="n"/>
      <c r="U2" s="2" t="n">
        <v>0</v>
      </c>
      <c r="V2" s="2" t="inlineStr">
        <is>
          <t>masc:1.8;fem:-1.6</t>
        </is>
      </c>
      <c r="W2" s="2" t="n">
        <v>1.8</v>
      </c>
      <c r="X2" s="2" t="n">
        <v>-1.6</v>
      </c>
      <c r="Y2" s="2" t="inlineStr">
        <is>
          <t>COMM_Avoidant</t>
        </is>
      </c>
      <c r="Z2" s="2" t="inlineStr">
        <is>
          <t>REG_Suppressor</t>
        </is>
      </c>
      <c r="AA2" s="2" t="inlineStr">
        <is>
          <t>LANG_Time</t>
        </is>
      </c>
      <c r="AB2" s="2" t="inlineStr">
        <is>
          <t>Vulnerability_Loop , Pursuer_Distancer</t>
        </is>
      </c>
      <c r="AC2" s="2" t="inlineStr">
        <is>
          <t>Vulnerability_Loop</t>
        </is>
      </c>
      <c r="AD2" s="2" t="inlineStr">
        <is>
          <t>Pursuer_Distancer</t>
        </is>
      </c>
      <c r="AE2" s="2" t="n">
        <v>11</v>
      </c>
      <c r="AF2" s="2" t="inlineStr">
        <is>
          <t>emotional disengage</t>
        </is>
      </c>
      <c r="AG2" s="2" t="inlineStr">
        <is>
          <t>passive drifter</t>
        </is>
      </c>
      <c r="AH2" s="2" t="n">
        <v>0</v>
      </c>
      <c r="AI2" s="2" t="inlineStr">
        <is>
          <t>yes</t>
        </is>
      </c>
      <c r="AJ2" s="2" t="inlineStr">
        <is>
          <t>no</t>
        </is>
      </c>
      <c r="AK2" s="2" t="inlineStr">
        <is>
          <t>yes</t>
        </is>
      </c>
      <c r="AL2" s="2" t="inlineStr">
        <is>
          <t>yes</t>
        </is>
      </c>
      <c r="AM2" s="2" t="n"/>
      <c r="AN2" s="2" t="n"/>
      <c r="AO2" s="2" t="n"/>
      <c r="AP2" s="2" t="inlineStr">
        <is>
          <t>v3_2026-03-19</t>
        </is>
      </c>
      <c r="AQ2">
        <f>(L2-Schema_v5!$C2)/(Schema_v5!$C3-Schema_v5!$C2)</f>
        <v/>
      </c>
      <c r="AR2">
        <f>(M2-Schema_v5!$C4)/(Schema_v5!$C5-Schema_v5!$C4)</f>
        <v/>
      </c>
      <c r="AS2">
        <f>N2/Schema_v5!$C6</f>
        <v/>
      </c>
      <c r="AT2">
        <f>O2/Schema_v5!$C7</f>
        <v/>
      </c>
      <c r="AU2">
        <f>P2/Schema_v5!$C8</f>
        <v/>
      </c>
      <c r="AV2">
        <f>IF(Schema_v5!$C9=0,0,AH2/Schema_v5!$C9)</f>
        <v/>
      </c>
      <c r="AW2">
        <f>IF(Schema_v5!$C10=0,0,AE2/Schema_v5!$C10)</f>
        <v/>
      </c>
      <c r="AX2">
        <f>(W2-Schema_v5!$C11)/(Schema_v5!$C12-Schema_v5!$C11)</f>
        <v/>
      </c>
      <c r="AY2">
        <f>(X2-Schema_v5!$C13)/(Schema_v5!$C14-Schema_v5!$C13)</f>
        <v/>
      </c>
    </row>
    <row r="3" ht="148.5" customHeight="1" s="10">
      <c r="A3" s="2" t="inlineStr">
        <is>
          <t>Q01_B</t>
        </is>
      </c>
      <c r="B3" s="2" t="n">
        <v>1</v>
      </c>
      <c r="C3" s="2" t="n">
        <v>1</v>
      </c>
      <c r="D3" s="2" t="inlineStr">
        <is>
          <t>Core</t>
        </is>
      </c>
      <c r="E3" s="2" t="n">
        <v>1</v>
      </c>
      <c r="F3" s="2" t="inlineStr">
        <is>
          <t>CommunicationHealth</t>
        </is>
      </c>
      <c r="G3" s="2" t="inlineStr">
        <is>
          <t>EmotionalNeeds</t>
        </is>
      </c>
      <c r="H3" s="2" t="n"/>
      <c r="I3" s="2" t="inlineStr">
        <is>
          <t>B</t>
        </is>
      </c>
      <c r="J3" s="2" t="inlineStr">
        <is>
          <t>B</t>
        </is>
      </c>
      <c r="K3" s="2" t="inlineStr">
        <is>
          <t>I start rereading everything. The tone in a text. A pause that felt a little too long. I like turning it into a puzzle to solve.</t>
        </is>
      </c>
      <c r="L3" s="2" t="n">
        <v>6</v>
      </c>
      <c r="M3" s="2" t="n">
        <v>7</v>
      </c>
      <c r="N3" s="2" t="n">
        <v>4</v>
      </c>
      <c r="O3" s="2" t="n">
        <v>6</v>
      </c>
      <c r="P3" s="2" t="n">
        <v>4</v>
      </c>
      <c r="Q3" s="2" t="inlineStr">
        <is>
          <t>Analyzer</t>
        </is>
      </c>
      <c r="R3" s="2" t="n">
        <v>2</v>
      </c>
      <c r="S3" s="2" t="n"/>
      <c r="T3" s="2" t="n"/>
      <c r="U3" s="2" t="n">
        <v>0</v>
      </c>
      <c r="V3" s="2" t="inlineStr">
        <is>
          <t>masc:1.4;fem:0.1</t>
        </is>
      </c>
      <c r="W3" s="2" t="n">
        <v>1.4</v>
      </c>
      <c r="X3" s="2" t="n">
        <v>0.1</v>
      </c>
      <c r="Y3" s="2" t="inlineStr">
        <is>
          <t>COMM_Logical</t>
        </is>
      </c>
      <c r="Z3" s="2" t="inlineStr">
        <is>
          <t>REG_SelfSoother</t>
        </is>
      </c>
      <c r="AA3" s="2" t="inlineStr">
        <is>
          <t>LANG_Service</t>
        </is>
      </c>
      <c r="AB3" s="2" t="inlineStr">
        <is>
          <t>Trust_Tension</t>
        </is>
      </c>
      <c r="AC3" s="2" t="inlineStr">
        <is>
          <t>Trust_Tension</t>
        </is>
      </c>
      <c r="AD3" s="2" t="n"/>
      <c r="AE3" s="2" t="n">
        <v>6</v>
      </c>
      <c r="AF3" s="2" t="inlineStr">
        <is>
          <t>overanalysis</t>
        </is>
      </c>
      <c r="AG3" s="2" t="inlineStr">
        <is>
          <t>hyper-vigilant decoder</t>
        </is>
      </c>
      <c r="AH3" s="2" t="n">
        <v>0</v>
      </c>
      <c r="AI3" s="2" t="inlineStr">
        <is>
          <t>yes</t>
        </is>
      </c>
      <c r="AJ3" s="2" t="inlineStr">
        <is>
          <t>no</t>
        </is>
      </c>
      <c r="AK3" s="2" t="inlineStr">
        <is>
          <t>yes</t>
        </is>
      </c>
      <c r="AL3" s="2" t="inlineStr">
        <is>
          <t>yes</t>
        </is>
      </c>
      <c r="AM3" s="2" t="n"/>
      <c r="AN3" s="2" t="n"/>
      <c r="AO3" s="2" t="n"/>
      <c r="AP3" s="2" t="inlineStr">
        <is>
          <t>v3_2026-03-19</t>
        </is>
      </c>
      <c r="AQ3">
        <f>(L3-Schema_v5!$C2)/(Schema_v5!$C3-Schema_v5!$C2)</f>
        <v/>
      </c>
      <c r="AR3">
        <f>(M3-Schema_v5!$C4)/(Schema_v5!$C5-Schema_v5!$C4)</f>
        <v/>
      </c>
      <c r="AS3">
        <f>N3/Schema_v5!$C6</f>
        <v/>
      </c>
      <c r="AT3">
        <f>O3/Schema_v5!$C7</f>
        <v/>
      </c>
      <c r="AU3">
        <f>P3/Schema_v5!$C8</f>
        <v/>
      </c>
      <c r="AV3">
        <f>IF(Schema_v5!$C9=0,0,AH3/Schema_v5!$C9)</f>
        <v/>
      </c>
      <c r="AW3">
        <f>IF(Schema_v5!$C10=0,0,AE3/Schema_v5!$C10)</f>
        <v/>
      </c>
      <c r="AX3">
        <f>(W3-Schema_v5!$C11)/(Schema_v5!$C12-Schema_v5!$C11)</f>
        <v/>
      </c>
      <c r="AY3">
        <f>(X3-Schema_v5!$C13)/(Schema_v5!$C14-Schema_v5!$C13)</f>
        <v/>
      </c>
    </row>
    <row r="4" ht="148.5" customHeight="1" s="10">
      <c r="A4" s="2" t="inlineStr">
        <is>
          <t>Q01_C</t>
        </is>
      </c>
      <c r="B4" s="2" t="n">
        <v>1</v>
      </c>
      <c r="C4" s="2" t="n">
        <v>1</v>
      </c>
      <c r="D4" s="2" t="inlineStr">
        <is>
          <t>Core</t>
        </is>
      </c>
      <c r="E4" s="2" t="n">
        <v>1</v>
      </c>
      <c r="F4" s="2" t="inlineStr">
        <is>
          <t>CommunicationHealth</t>
        </is>
      </c>
      <c r="G4" s="2" t="inlineStr">
        <is>
          <t>EmotionalNeeds</t>
        </is>
      </c>
      <c r="H4" s="2" t="n"/>
      <c r="I4" s="2" t="inlineStr">
        <is>
          <t>C</t>
        </is>
      </c>
      <c r="J4" s="2" t="inlineStr">
        <is>
          <t>C</t>
        </is>
      </c>
      <c r="K4" s="2" t="inlineStr">
        <is>
          <t>I'll bring something up, but I usually wrap it in a joke or a side comment. I'd rather ease into it than make it feel too serious.</t>
        </is>
      </c>
      <c r="L4" s="2" t="n">
        <v>7</v>
      </c>
      <c r="M4" s="2" t="n">
        <v>8</v>
      </c>
      <c r="N4" s="2" t="n">
        <v>6</v>
      </c>
      <c r="O4" s="2" t="n">
        <v>8</v>
      </c>
      <c r="P4" s="2" t="n">
        <v>8</v>
      </c>
      <c r="Q4" s="2" t="inlineStr">
        <is>
          <t>Translator</t>
        </is>
      </c>
      <c r="R4" s="2" t="n">
        <v>3</v>
      </c>
      <c r="S4" s="2" t="n"/>
      <c r="T4" s="2" t="n"/>
      <c r="U4" s="2" t="n">
        <v>0</v>
      </c>
      <c r="V4" s="2" t="inlineStr">
        <is>
          <t>masc:-0.1;fem:1.6</t>
        </is>
      </c>
      <c r="W4" s="2" t="n">
        <v>-0.1</v>
      </c>
      <c r="X4" s="2" t="n">
        <v>1.6</v>
      </c>
      <c r="Y4" s="2" t="inlineStr">
        <is>
          <t>COMM_Indirect</t>
        </is>
      </c>
      <c r="Z4" s="2" t="inlineStr">
        <is>
          <t>REG_CoRegulator</t>
        </is>
      </c>
      <c r="AA4" s="2" t="inlineStr">
        <is>
          <t>LANG_Words</t>
        </is>
      </c>
      <c r="AB4" s="2" t="n"/>
      <c r="AC4" s="2" t="n"/>
      <c r="AD4" s="2" t="n"/>
      <c r="AE4" s="2" t="n">
        <v>0</v>
      </c>
      <c r="AF4" s="2" t="inlineStr">
        <is>
          <t>soft entry communication</t>
        </is>
      </c>
      <c r="AG4" s="2" t="inlineStr">
        <is>
          <t>light approach</t>
        </is>
      </c>
      <c r="AH4" s="2" t="n">
        <v>0</v>
      </c>
      <c r="AI4" s="2" t="inlineStr">
        <is>
          <t>no</t>
        </is>
      </c>
      <c r="AJ4" s="2" t="inlineStr">
        <is>
          <t>no</t>
        </is>
      </c>
      <c r="AK4" s="2" t="inlineStr">
        <is>
          <t>yes</t>
        </is>
      </c>
      <c r="AL4" s="2" t="inlineStr">
        <is>
          <t>yes</t>
        </is>
      </c>
      <c r="AM4" s="2" t="n"/>
      <c r="AN4" s="2" t="n"/>
      <c r="AO4" s="2" t="n"/>
      <c r="AP4" s="2" t="inlineStr">
        <is>
          <t>v3_2026-03-19</t>
        </is>
      </c>
      <c r="AQ4">
        <f>(L4-Schema_v5!$C2)/(Schema_v5!$C3-Schema_v5!$C2)</f>
        <v/>
      </c>
      <c r="AR4">
        <f>(M4-Schema_v5!$C4)/(Schema_v5!$C5-Schema_v5!$C4)</f>
        <v/>
      </c>
      <c r="AS4">
        <f>N4/Schema_v5!$C6</f>
        <v/>
      </c>
      <c r="AT4">
        <f>O4/Schema_v5!$C7</f>
        <v/>
      </c>
      <c r="AU4">
        <f>P4/Schema_v5!$C8</f>
        <v/>
      </c>
      <c r="AV4">
        <f>IF(Schema_v5!$C9=0,0,AH4/Schema_v5!$C9)</f>
        <v/>
      </c>
      <c r="AW4">
        <f>IF(Schema_v5!$C10=0,0,AE4/Schema_v5!$C10)</f>
        <v/>
      </c>
      <c r="AX4">
        <f>(W4-Schema_v5!$C11)/(Schema_v5!$C12-Schema_v5!$C11)</f>
        <v/>
      </c>
      <c r="AY4">
        <f>(X4-Schema_v5!$C13)/(Schema_v5!$C14-Schema_v5!$C13)</f>
        <v/>
      </c>
    </row>
    <row r="5" ht="162" customHeight="1" s="10">
      <c r="A5" s="2" t="inlineStr">
        <is>
          <t>Q01_D</t>
        </is>
      </c>
      <c r="B5" s="2" t="n">
        <v>1</v>
      </c>
      <c r="C5" s="2" t="n">
        <v>1</v>
      </c>
      <c r="D5" s="2" t="inlineStr">
        <is>
          <t>Core</t>
        </is>
      </c>
      <c r="E5" s="2" t="n">
        <v>1</v>
      </c>
      <c r="F5" s="2" t="inlineStr">
        <is>
          <t>CommunicationHealth</t>
        </is>
      </c>
      <c r="G5" s="2" t="inlineStr">
        <is>
          <t>EmotionalNeeds</t>
        </is>
      </c>
      <c r="H5" s="2" t="n"/>
      <c r="I5" s="2" t="inlineStr">
        <is>
          <t>D</t>
        </is>
      </c>
      <c r="J5" s="2" t="inlineStr">
        <is>
          <t>D</t>
        </is>
      </c>
      <c r="K5" s="2" t="inlineStr">
        <is>
          <t>I usually wait. Not to avoid it, just to feel it out first. I've learned not everything needs a reaction, but if it lingers, I'll say something.</t>
        </is>
      </c>
      <c r="L5" s="2" t="n">
        <v>8</v>
      </c>
      <c r="M5" s="2" t="n">
        <v>8</v>
      </c>
      <c r="N5" s="2" t="n">
        <v>8</v>
      </c>
      <c r="O5" s="2" t="n">
        <v>8</v>
      </c>
      <c r="P5" s="2" t="n">
        <v>6</v>
      </c>
      <c r="Q5" s="2" t="inlineStr">
        <is>
          <t>Survivor</t>
        </is>
      </c>
      <c r="R5" s="2" t="n">
        <v>8</v>
      </c>
      <c r="S5" s="2" t="n"/>
      <c r="T5" s="2" t="n"/>
      <c r="U5" s="2" t="n">
        <v>0</v>
      </c>
      <c r="V5" s="2" t="inlineStr">
        <is>
          <t>masc:0.3;fem:1.3</t>
        </is>
      </c>
      <c r="W5" s="2" t="n">
        <v>0.3</v>
      </c>
      <c r="X5" s="2" t="n">
        <v>1.3</v>
      </c>
      <c r="Y5" s="2" t="inlineStr">
        <is>
          <t>COMM_Emotional</t>
        </is>
      </c>
      <c r="Z5" s="2" t="inlineStr">
        <is>
          <t>REG_SelfSoother</t>
        </is>
      </c>
      <c r="AA5" s="2" t="inlineStr">
        <is>
          <t>LANG_Service</t>
        </is>
      </c>
      <c r="AB5" s="2" t="n"/>
      <c r="AC5" s="2" t="n"/>
      <c r="AD5" s="2" t="n"/>
      <c r="AE5" s="2" t="n">
        <v>0</v>
      </c>
      <c r="AF5" s="2" t="inlineStr">
        <is>
          <t>measured patience</t>
        </is>
      </c>
      <c r="AG5" s="2" t="inlineStr">
        <is>
          <t>cautious feeler</t>
        </is>
      </c>
      <c r="AH5" s="2" t="n">
        <v>0.6</v>
      </c>
      <c r="AI5" s="2" t="inlineStr">
        <is>
          <t>no</t>
        </is>
      </c>
      <c r="AJ5" s="2" t="inlineStr">
        <is>
          <t>no</t>
        </is>
      </c>
      <c r="AK5" s="2" t="inlineStr">
        <is>
          <t>yes</t>
        </is>
      </c>
      <c r="AL5" s="2" t="inlineStr">
        <is>
          <t>yes</t>
        </is>
      </c>
      <c r="AM5" s="2" t="n"/>
      <c r="AN5" s="2" t="n"/>
      <c r="AO5" s="2" t="n"/>
      <c r="AP5" s="2" t="inlineStr">
        <is>
          <t>v3_2026-03-19</t>
        </is>
      </c>
      <c r="AQ5">
        <f>(L5-Schema_v5!$C2)/(Schema_v5!$C3-Schema_v5!$C2)</f>
        <v/>
      </c>
      <c r="AR5">
        <f>(M5-Schema_v5!$C4)/(Schema_v5!$C5-Schema_v5!$C4)</f>
        <v/>
      </c>
      <c r="AS5">
        <f>N5/Schema_v5!$C6</f>
        <v/>
      </c>
      <c r="AT5">
        <f>O5/Schema_v5!$C7</f>
        <v/>
      </c>
      <c r="AU5">
        <f>P5/Schema_v5!$C8</f>
        <v/>
      </c>
      <c r="AV5">
        <f>IF(Schema_v5!$C9=0,0,AH5/Schema_v5!$C9)</f>
        <v/>
      </c>
      <c r="AW5">
        <f>IF(Schema_v5!$C10=0,0,AE5/Schema_v5!$C10)</f>
        <v/>
      </c>
      <c r="AX5">
        <f>(W5-Schema_v5!$C11)/(Schema_v5!$C12-Schema_v5!$C11)</f>
        <v/>
      </c>
      <c r="AY5">
        <f>(X5-Schema_v5!$C13)/(Schema_v5!$C14-Schema_v5!$C13)</f>
        <v/>
      </c>
    </row>
    <row r="6" ht="135" customHeight="1" s="10">
      <c r="A6" s="2" t="inlineStr">
        <is>
          <t>Q01_E</t>
        </is>
      </c>
      <c r="B6" s="2" t="n">
        <v>1</v>
      </c>
      <c r="C6" s="2" t="n">
        <v>1</v>
      </c>
      <c r="D6" s="2" t="inlineStr">
        <is>
          <t>Core</t>
        </is>
      </c>
      <c r="E6" s="2" t="n">
        <v>1</v>
      </c>
      <c r="F6" s="2" t="inlineStr">
        <is>
          <t>CommunicationHealth</t>
        </is>
      </c>
      <c r="G6" s="2" t="inlineStr">
        <is>
          <t>EmotionalNeeds</t>
        </is>
      </c>
      <c r="H6" s="2" t="n"/>
      <c r="I6" s="2" t="inlineStr">
        <is>
          <t>E</t>
        </is>
      </c>
      <c r="J6" s="2" t="inlineStr">
        <is>
          <t>E</t>
        </is>
      </c>
      <c r="K6" s="2" t="inlineStr">
        <is>
          <t>I don't do weird energy. I'm not unkind, but I also don't pretend. If something's off, I'm not sitting in it quietly.</t>
        </is>
      </c>
      <c r="L6" s="2" t="n">
        <v>9</v>
      </c>
      <c r="M6" s="2" t="n">
        <v>9</v>
      </c>
      <c r="N6" s="2" t="n">
        <v>10</v>
      </c>
      <c r="O6" s="2" t="n">
        <v>10</v>
      </c>
      <c r="P6" s="2" t="n">
        <v>10</v>
      </c>
      <c r="Q6" s="2" t="inlineStr">
        <is>
          <t>Regulated Grown-Up</t>
        </is>
      </c>
      <c r="R6" s="2" t="n">
        <v>9</v>
      </c>
      <c r="S6" s="2" t="n"/>
      <c r="T6" s="2" t="n"/>
      <c r="U6" s="2" t="n">
        <v>0</v>
      </c>
      <c r="V6" s="2" t="inlineStr">
        <is>
          <t>masc:1.1;fem:0.9</t>
        </is>
      </c>
      <c r="W6" s="2" t="n">
        <v>1.1</v>
      </c>
      <c r="X6" s="2" t="n">
        <v>0.9</v>
      </c>
      <c r="Y6" s="2" t="inlineStr">
        <is>
          <t>COMM_Direct</t>
        </is>
      </c>
      <c r="Z6" s="2" t="inlineStr">
        <is>
          <t>REG_CoRegulator</t>
        </is>
      </c>
      <c r="AA6" s="2" t="inlineStr">
        <is>
          <t>LANG_Words</t>
        </is>
      </c>
      <c r="AB6" s="2" t="n"/>
      <c r="AC6" s="2" t="n"/>
      <c r="AD6" s="2" t="n"/>
      <c r="AE6" s="2" t="n">
        <v>0</v>
      </c>
      <c r="AF6" s="2" t="inlineStr">
        <is>
          <t>direct boundary setting</t>
        </is>
      </c>
      <c r="AG6" s="2" t="inlineStr">
        <is>
          <t>clear communicator</t>
        </is>
      </c>
      <c r="AH6" s="2" t="n">
        <v>0</v>
      </c>
      <c r="AI6" s="2" t="inlineStr">
        <is>
          <t>no</t>
        </is>
      </c>
      <c r="AJ6" s="2" t="inlineStr">
        <is>
          <t>no</t>
        </is>
      </c>
      <c r="AK6" s="2" t="inlineStr">
        <is>
          <t>yes</t>
        </is>
      </c>
      <c r="AL6" s="2" t="inlineStr">
        <is>
          <t>yes</t>
        </is>
      </c>
      <c r="AM6" s="2" t="n"/>
      <c r="AN6" s="2" t="n"/>
      <c r="AO6" s="2" t="n"/>
      <c r="AP6" s="2" t="inlineStr">
        <is>
          <t>v3_2026-03-19</t>
        </is>
      </c>
      <c r="AQ6">
        <f>(L6-Schema_v5!$C2)/(Schema_v5!$C3-Schema_v5!$C2)</f>
        <v/>
      </c>
      <c r="AR6">
        <f>(M6-Schema_v5!$C4)/(Schema_v5!$C5-Schema_v5!$C4)</f>
        <v/>
      </c>
      <c r="AS6">
        <f>N6/Schema_v5!$C6</f>
        <v/>
      </c>
      <c r="AT6">
        <f>O6/Schema_v5!$C7</f>
        <v/>
      </c>
      <c r="AU6">
        <f>P6/Schema_v5!$C8</f>
        <v/>
      </c>
      <c r="AV6">
        <f>IF(Schema_v5!$C9=0,0,AH6/Schema_v5!$C9)</f>
        <v/>
      </c>
      <c r="AW6">
        <f>IF(Schema_v5!$C10=0,0,AE6/Schema_v5!$C10)</f>
        <v/>
      </c>
      <c r="AX6">
        <f>(W6-Schema_v5!$C11)/(Schema_v5!$C12-Schema_v5!$C11)</f>
        <v/>
      </c>
      <c r="AY6">
        <f>(X6-Schema_v5!$C13)/(Schema_v5!$C14-Schema_v5!$C13)</f>
        <v/>
      </c>
    </row>
    <row r="7" ht="148.5" customHeight="1" s="10">
      <c r="A7" s="2" t="inlineStr">
        <is>
          <t>Q02_A</t>
        </is>
      </c>
      <c r="B7" s="2" t="n">
        <v>2</v>
      </c>
      <c r="C7" s="2" t="n">
        <v>2</v>
      </c>
      <c r="D7" s="2" t="inlineStr">
        <is>
          <t>Core</t>
        </is>
      </c>
      <c r="E7" s="2" t="n">
        <v>1</v>
      </c>
      <c r="F7" s="2" t="inlineStr">
        <is>
          <t>CommunicationHealth</t>
        </is>
      </c>
      <c r="G7" s="2" t="inlineStr">
        <is>
          <t>EmotionalNeeds</t>
        </is>
      </c>
      <c r="H7" s="2" t="inlineStr">
        <is>
          <t>You bring up something that bothered you. They brush it off or make a joke. What's your honest reaction?</t>
        </is>
      </c>
      <c r="I7" s="2" t="inlineStr">
        <is>
          <t>A</t>
        </is>
      </c>
      <c r="J7" s="2" t="inlineStr">
        <is>
          <t>A</t>
        </is>
      </c>
      <c r="K7" s="2" t="inlineStr">
        <is>
          <t>Not surprised. I usually go quieter after that. I've seen this play out before, no point chasing clarity where it's not offered.</t>
        </is>
      </c>
      <c r="L7" s="2" t="n">
        <v>5</v>
      </c>
      <c r="M7" s="2" t="n">
        <v>6</v>
      </c>
      <c r="N7" s="2" t="n">
        <v>0</v>
      </c>
      <c r="O7" s="2" t="n">
        <v>0</v>
      </c>
      <c r="P7" s="2" t="n">
        <v>0</v>
      </c>
      <c r="Q7" s="2" t="inlineStr">
        <is>
          <t>Quiet Exit</t>
        </is>
      </c>
      <c r="R7" s="2" t="n">
        <v>4</v>
      </c>
      <c r="S7" s="2" t="n"/>
      <c r="T7" s="2" t="n"/>
      <c r="U7" s="2" t="n">
        <v>0</v>
      </c>
      <c r="V7" s="2" t="inlineStr">
        <is>
          <t>masc:1.4;fem:-1.3</t>
        </is>
      </c>
      <c r="W7" s="2" t="n">
        <v>1.4</v>
      </c>
      <c r="X7" s="2" t="n">
        <v>-1.3</v>
      </c>
      <c r="Y7" s="2" t="inlineStr">
        <is>
          <t>COMM_Avoidant</t>
        </is>
      </c>
      <c r="Z7" s="2" t="inlineStr">
        <is>
          <t>REG_Suppressor</t>
        </is>
      </c>
      <c r="AA7" s="2" t="inlineStr">
        <is>
          <t>LANG_Time</t>
        </is>
      </c>
      <c r="AB7" s="2" t="inlineStr">
        <is>
          <t>Vulnerability_Loop , Pursuer_Distancer</t>
        </is>
      </c>
      <c r="AC7" s="2" t="inlineStr">
        <is>
          <t>Vulnerability_Loop</t>
        </is>
      </c>
      <c r="AD7" s="2" t="inlineStr">
        <is>
          <t>Pursuer_Distancer</t>
        </is>
      </c>
      <c r="AE7" s="2" t="n">
        <v>11</v>
      </c>
      <c r="AF7" s="2" t="inlineStr">
        <is>
          <t>withdrawal after dismissal</t>
        </is>
      </c>
      <c r="AG7" s="2" t="inlineStr">
        <is>
          <t>silent step-back</t>
        </is>
      </c>
      <c r="AH7" s="2" t="n">
        <v>0.8</v>
      </c>
      <c r="AI7" s="2" t="inlineStr">
        <is>
          <t>yes</t>
        </is>
      </c>
      <c r="AJ7" s="2" t="inlineStr">
        <is>
          <t>no</t>
        </is>
      </c>
      <c r="AK7" s="2" t="inlineStr">
        <is>
          <t>yes</t>
        </is>
      </c>
      <c r="AL7" s="2" t="inlineStr">
        <is>
          <t>yes</t>
        </is>
      </c>
      <c r="AM7" s="2" t="n"/>
      <c r="AN7" s="2" t="n"/>
      <c r="AO7" s="2" t="n"/>
      <c r="AP7" s="2" t="inlineStr">
        <is>
          <t>v3_2026-03-19</t>
        </is>
      </c>
      <c r="AQ7">
        <f>(L7-Schema_v5!$C2)/(Schema_v5!$C3-Schema_v5!$C2)</f>
        <v/>
      </c>
      <c r="AR7">
        <f>(M7-Schema_v5!$C4)/(Schema_v5!$C5-Schema_v5!$C4)</f>
        <v/>
      </c>
      <c r="AS7">
        <f>N7/Schema_v5!$C6</f>
        <v/>
      </c>
      <c r="AT7">
        <f>O7/Schema_v5!$C7</f>
        <v/>
      </c>
      <c r="AU7">
        <f>P7/Schema_v5!$C8</f>
        <v/>
      </c>
      <c r="AV7">
        <f>IF(Schema_v5!$C9=0,0,AH7/Schema_v5!$C9)</f>
        <v/>
      </c>
      <c r="AW7">
        <f>IF(Schema_v5!$C10=0,0,AE7/Schema_v5!$C10)</f>
        <v/>
      </c>
      <c r="AX7">
        <f>(W7-Schema_v5!$C11)/(Schema_v5!$C12-Schema_v5!$C11)</f>
        <v/>
      </c>
      <c r="AY7">
        <f>(X7-Schema_v5!$C13)/(Schema_v5!$C14-Schema_v5!$C13)</f>
        <v/>
      </c>
    </row>
    <row r="8" ht="121.5" customHeight="1" s="10">
      <c r="A8" s="2" t="inlineStr">
        <is>
          <t>Q02_B</t>
        </is>
      </c>
      <c r="B8" s="2" t="n">
        <v>2</v>
      </c>
      <c r="C8" s="2" t="n">
        <v>2</v>
      </c>
      <c r="D8" s="2" t="inlineStr">
        <is>
          <t>Core</t>
        </is>
      </c>
      <c r="E8" s="2" t="n">
        <v>1</v>
      </c>
      <c r="F8" s="2" t="inlineStr">
        <is>
          <t>CommunicationHealth</t>
        </is>
      </c>
      <c r="G8" s="2" t="inlineStr">
        <is>
          <t>EmotionalNeeds</t>
        </is>
      </c>
      <c r="H8" s="2" t="n"/>
      <c r="I8" s="2" t="inlineStr">
        <is>
          <t>B</t>
        </is>
      </c>
      <c r="J8" s="2" t="inlineStr">
        <is>
          <t>B</t>
        </is>
      </c>
      <c r="K8" s="2" t="inlineStr">
        <is>
          <t>I'll play along, but it definitely changes how I see them. I keep score, even if they never know it.</t>
        </is>
      </c>
      <c r="L8" s="2" t="n">
        <v>4</v>
      </c>
      <c r="M8" s="2" t="n">
        <v>5</v>
      </c>
      <c r="N8" s="2" t="n">
        <v>0</v>
      </c>
      <c r="O8" s="2" t="n">
        <v>0</v>
      </c>
      <c r="P8" s="2" t="n">
        <v>0</v>
      </c>
      <c r="Q8" s="2" t="inlineStr">
        <is>
          <t>Performer</t>
        </is>
      </c>
      <c r="R8" s="2" t="n">
        <v>7</v>
      </c>
      <c r="S8" s="2" t="n"/>
      <c r="T8" s="2" t="n"/>
      <c r="U8" s="2" t="n">
        <v>0</v>
      </c>
      <c r="V8" s="2" t="inlineStr">
        <is>
          <t>masc:0.3;fem:0.5</t>
        </is>
      </c>
      <c r="W8" s="2" t="n">
        <v>0.3</v>
      </c>
      <c r="X8" s="2" t="n">
        <v>0.5</v>
      </c>
      <c r="Y8" s="2" t="inlineStr">
        <is>
          <t>COMM_Indirect</t>
        </is>
      </c>
      <c r="Z8" s="2" t="inlineStr">
        <is>
          <t>REG_Distractor</t>
        </is>
      </c>
      <c r="AA8" s="2" t="inlineStr">
        <is>
          <t>LANG_Gifts</t>
        </is>
      </c>
      <c r="AB8" s="2" t="inlineStr">
        <is>
          <t>Control_Avoidance , Scorekeeping_Echo</t>
        </is>
      </c>
      <c r="AC8" s="2" t="inlineStr">
        <is>
          <t>Control_Avoidance</t>
        </is>
      </c>
      <c r="AD8" s="2" t="inlineStr">
        <is>
          <t>Scorekeeping_Echo</t>
        </is>
      </c>
      <c r="AE8" s="2" t="n">
        <v>14</v>
      </c>
      <c r="AF8" s="2" t="inlineStr">
        <is>
          <t>private resentment</t>
        </is>
      </c>
      <c r="AG8" s="2" t="inlineStr">
        <is>
          <t>image-based keeper</t>
        </is>
      </c>
      <c r="AH8" s="2" t="n">
        <v>1.2</v>
      </c>
      <c r="AI8" s="2" t="inlineStr">
        <is>
          <t>yes</t>
        </is>
      </c>
      <c r="AJ8" s="2" t="inlineStr">
        <is>
          <t>no</t>
        </is>
      </c>
      <c r="AK8" s="2" t="inlineStr">
        <is>
          <t>yes</t>
        </is>
      </c>
      <c r="AL8" s="2" t="inlineStr">
        <is>
          <t>yes</t>
        </is>
      </c>
      <c r="AM8" s="2" t="n"/>
      <c r="AN8" s="2" t="n"/>
      <c r="AO8" s="2" t="n"/>
      <c r="AP8" s="2" t="inlineStr">
        <is>
          <t>v3_2026-03-19</t>
        </is>
      </c>
      <c r="AQ8">
        <f>(L8-Schema_v5!$C2)/(Schema_v5!$C3-Schema_v5!$C2)</f>
        <v/>
      </c>
      <c r="AR8">
        <f>(M8-Schema_v5!$C4)/(Schema_v5!$C5-Schema_v5!$C4)</f>
        <v/>
      </c>
      <c r="AS8">
        <f>N8/Schema_v5!$C6</f>
        <v/>
      </c>
      <c r="AT8">
        <f>O8/Schema_v5!$C7</f>
        <v/>
      </c>
      <c r="AU8">
        <f>P8/Schema_v5!$C8</f>
        <v/>
      </c>
      <c r="AV8">
        <f>IF(Schema_v5!$C9=0,0,AH8/Schema_v5!$C9)</f>
        <v/>
      </c>
      <c r="AW8">
        <f>IF(Schema_v5!$C10=0,0,AE8/Schema_v5!$C10)</f>
        <v/>
      </c>
      <c r="AX8">
        <f>(W8-Schema_v5!$C11)/(Schema_v5!$C12-Schema_v5!$C11)</f>
        <v/>
      </c>
      <c r="AY8">
        <f>(X8-Schema_v5!$C13)/(Schema_v5!$C14-Schema_v5!$C13)</f>
        <v/>
      </c>
    </row>
    <row r="9" ht="162" customHeight="1" s="10">
      <c r="A9" s="2" t="inlineStr">
        <is>
          <t>Q02_C</t>
        </is>
      </c>
      <c r="B9" s="2" t="n">
        <v>2</v>
      </c>
      <c r="C9" s="2" t="n">
        <v>2</v>
      </c>
      <c r="D9" s="2" t="inlineStr">
        <is>
          <t>Core</t>
        </is>
      </c>
      <c r="E9" s="2" t="n">
        <v>1</v>
      </c>
      <c r="F9" s="2" t="inlineStr">
        <is>
          <t>CommunicationHealth</t>
        </is>
      </c>
      <c r="G9" s="2" t="inlineStr">
        <is>
          <t>EmotionalNeeds</t>
        </is>
      </c>
      <c r="H9" s="2" t="n"/>
      <c r="I9" s="2" t="inlineStr">
        <is>
          <t>C</t>
        </is>
      </c>
      <c r="J9" s="2" t="inlineStr">
        <is>
          <t>C</t>
        </is>
      </c>
      <c r="K9" s="2" t="inlineStr">
        <is>
          <t>I bring it up again, but this time they can probably hear the shift in my tone. I'm not trying to argue, I just need them to actually hear me.</t>
        </is>
      </c>
      <c r="L9" s="2" t="n">
        <v>8</v>
      </c>
      <c r="M9" s="2" t="n">
        <v>8</v>
      </c>
      <c r="N9" s="2" t="n">
        <v>8</v>
      </c>
      <c r="O9" s="2" t="n">
        <v>8</v>
      </c>
      <c r="P9" s="2" t="n">
        <v>8</v>
      </c>
      <c r="Q9" s="2" t="inlineStr">
        <is>
          <t>Fixer</t>
        </is>
      </c>
      <c r="R9" s="2" t="n">
        <v>5</v>
      </c>
      <c r="S9" s="2" t="n"/>
      <c r="T9" s="2" t="n"/>
      <c r="U9" s="2" t="n">
        <v>0</v>
      </c>
      <c r="V9" s="2" t="inlineStr">
        <is>
          <t>masc:-0.4;fem:2.0</t>
        </is>
      </c>
      <c r="W9" s="2" t="n">
        <v>-0.4</v>
      </c>
      <c r="X9" s="2" t="n">
        <v>2</v>
      </c>
      <c r="Y9" s="2" t="inlineStr">
        <is>
          <t>COMM_Emotional</t>
        </is>
      </c>
      <c r="Z9" s="2" t="inlineStr">
        <is>
          <t>REG_CoRegulator</t>
        </is>
      </c>
      <c r="AA9" s="2" t="inlineStr">
        <is>
          <t>LANG_Service</t>
        </is>
      </c>
      <c r="AB9" s="2" t="n"/>
      <c r="AC9" s="2" t="n"/>
      <c r="AD9" s="2" t="n"/>
      <c r="AE9" s="2" t="n">
        <v>0</v>
      </c>
      <c r="AF9" s="2" t="inlineStr">
        <is>
          <t>persistence for resolution</t>
        </is>
      </c>
      <c r="AG9" s="2" t="inlineStr">
        <is>
          <t>consistent communicator</t>
        </is>
      </c>
      <c r="AH9" s="2" t="n">
        <v>0</v>
      </c>
      <c r="AI9" s="2" t="inlineStr">
        <is>
          <t>no</t>
        </is>
      </c>
      <c r="AJ9" s="2" t="inlineStr">
        <is>
          <t>no</t>
        </is>
      </c>
      <c r="AK9" s="2" t="inlineStr">
        <is>
          <t>yes</t>
        </is>
      </c>
      <c r="AL9" s="2" t="inlineStr">
        <is>
          <t>yes</t>
        </is>
      </c>
      <c r="AM9" s="2" t="n"/>
      <c r="AN9" s="2" t="n"/>
      <c r="AO9" s="2" t="n"/>
      <c r="AP9" s="2" t="inlineStr">
        <is>
          <t>v3_2026-03-19</t>
        </is>
      </c>
      <c r="AQ9">
        <f>(L9-Schema_v5!$C2)/(Schema_v5!$C3-Schema_v5!$C2)</f>
        <v/>
      </c>
      <c r="AR9">
        <f>(M9-Schema_v5!$C4)/(Schema_v5!$C5-Schema_v5!$C4)</f>
        <v/>
      </c>
      <c r="AS9">
        <f>N9/Schema_v5!$C6</f>
        <v/>
      </c>
      <c r="AT9">
        <f>O9/Schema_v5!$C7</f>
        <v/>
      </c>
      <c r="AU9">
        <f>P9/Schema_v5!$C8</f>
        <v/>
      </c>
      <c r="AV9">
        <f>IF(Schema_v5!$C9=0,0,AH9/Schema_v5!$C9)</f>
        <v/>
      </c>
      <c r="AW9">
        <f>IF(Schema_v5!$C10=0,0,AE9/Schema_v5!$C10)</f>
        <v/>
      </c>
      <c r="AX9">
        <f>(W9-Schema_v5!$C11)/(Schema_v5!$C12-Schema_v5!$C11)</f>
        <v/>
      </c>
      <c r="AY9">
        <f>(X9-Schema_v5!$C13)/(Schema_v5!$C14-Schema_v5!$C13)</f>
        <v/>
      </c>
    </row>
    <row r="10" ht="135" customHeight="1" s="10">
      <c r="A10" s="2" t="inlineStr">
        <is>
          <t>Q02_D</t>
        </is>
      </c>
      <c r="B10" s="2" t="n">
        <v>2</v>
      </c>
      <c r="C10" s="2" t="n">
        <v>2</v>
      </c>
      <c r="D10" s="2" t="inlineStr">
        <is>
          <t>Core</t>
        </is>
      </c>
      <c r="E10" s="2" t="n">
        <v>1</v>
      </c>
      <c r="F10" s="2" t="inlineStr">
        <is>
          <t>CommunicationHealth</t>
        </is>
      </c>
      <c r="G10" s="2" t="inlineStr">
        <is>
          <t>EmotionalNeeds</t>
        </is>
      </c>
      <c r="H10" s="2" t="n"/>
      <c r="I10" s="2" t="inlineStr">
        <is>
          <t>D</t>
        </is>
      </c>
      <c r="J10" s="2" t="inlineStr">
        <is>
          <t>D</t>
        </is>
      </c>
      <c r="K10" s="2" t="inlineStr">
        <is>
          <t>I laugh too, but it sticks with me. Hours later I'm still replaying what I said, wondering if I should've just kept quiet.</t>
        </is>
      </c>
      <c r="L10" s="2" t="n">
        <v>5</v>
      </c>
      <c r="M10" s="2" t="n">
        <v>6</v>
      </c>
      <c r="N10" s="2" t="n">
        <v>2</v>
      </c>
      <c r="O10" s="2" t="n">
        <v>4</v>
      </c>
      <c r="P10" s="2" t="n">
        <v>2</v>
      </c>
      <c r="Q10" s="2" t="inlineStr">
        <is>
          <t>Phantom Seeker</t>
        </is>
      </c>
      <c r="R10" s="2" t="n">
        <v>10</v>
      </c>
      <c r="S10" s="2" t="n"/>
      <c r="T10" s="2" t="n"/>
      <c r="U10" s="2" t="n">
        <v>0</v>
      </c>
      <c r="V10" s="2" t="inlineStr">
        <is>
          <t>masc:-0.2;fem:1.5</t>
        </is>
      </c>
      <c r="W10" s="2" t="n">
        <v>-0.2</v>
      </c>
      <c r="X10" s="2" t="n">
        <v>1.5</v>
      </c>
      <c r="Y10" s="2" t="inlineStr">
        <is>
          <t>COMM_Emotional</t>
        </is>
      </c>
      <c r="Z10" s="2" t="inlineStr">
        <is>
          <t>REG_SelfSoother</t>
        </is>
      </c>
      <c r="AA10" s="2" t="inlineStr">
        <is>
          <t>LANG_Touch</t>
        </is>
      </c>
      <c r="AB10" s="2" t="inlineStr">
        <is>
          <t>Conflict_Flip</t>
        </is>
      </c>
      <c r="AC10" s="2" t="inlineStr">
        <is>
          <t>Conflict_Flip</t>
        </is>
      </c>
      <c r="AD10" s="2" t="n"/>
      <c r="AE10" s="2" t="n">
        <v>4</v>
      </c>
      <c r="AF10" s="2" t="inlineStr">
        <is>
          <t>quiet rumination</t>
        </is>
      </c>
      <c r="AG10" s="2" t="inlineStr">
        <is>
          <t>soft stewer</t>
        </is>
      </c>
      <c r="AH10" s="2" t="n">
        <v>0</v>
      </c>
      <c r="AI10" s="2" t="inlineStr">
        <is>
          <t>yes</t>
        </is>
      </c>
      <c r="AJ10" s="2" t="inlineStr">
        <is>
          <t>no</t>
        </is>
      </c>
      <c r="AK10" s="2" t="inlineStr">
        <is>
          <t>yes</t>
        </is>
      </c>
      <c r="AL10" s="2" t="inlineStr">
        <is>
          <t>yes</t>
        </is>
      </c>
      <c r="AM10" s="2" t="n"/>
      <c r="AN10" s="2" t="n"/>
      <c r="AO10" s="2" t="n"/>
      <c r="AP10" s="2" t="inlineStr">
        <is>
          <t>v3_2026-03-19</t>
        </is>
      </c>
      <c r="AQ10">
        <f>(L10-Schema_v5!$C2)/(Schema_v5!$C3-Schema_v5!$C2)</f>
        <v/>
      </c>
      <c r="AR10">
        <f>(M10-Schema_v5!$C4)/(Schema_v5!$C5-Schema_v5!$C4)</f>
        <v/>
      </c>
      <c r="AS10">
        <f>N10/Schema_v5!$C6</f>
        <v/>
      </c>
      <c r="AT10">
        <f>O10/Schema_v5!$C7</f>
        <v/>
      </c>
      <c r="AU10">
        <f>P10/Schema_v5!$C8</f>
        <v/>
      </c>
      <c r="AV10">
        <f>IF(Schema_v5!$C9=0,0,AH10/Schema_v5!$C9)</f>
        <v/>
      </c>
      <c r="AW10">
        <f>IF(Schema_v5!$C10=0,0,AE10/Schema_v5!$C10)</f>
        <v/>
      </c>
      <c r="AX10">
        <f>(W10-Schema_v5!$C11)/(Schema_v5!$C12-Schema_v5!$C11)</f>
        <v/>
      </c>
      <c r="AY10">
        <f>(X10-Schema_v5!$C13)/(Schema_v5!$C14-Schema_v5!$C13)</f>
        <v/>
      </c>
    </row>
    <row r="11" ht="175.5" customHeight="1" s="10">
      <c r="A11" s="2" t="inlineStr">
        <is>
          <t>Q02_E</t>
        </is>
      </c>
      <c r="B11" s="2" t="n">
        <v>2</v>
      </c>
      <c r="C11" s="2" t="n">
        <v>2</v>
      </c>
      <c r="D11" s="2" t="inlineStr">
        <is>
          <t>Core</t>
        </is>
      </c>
      <c r="E11" s="2" t="n">
        <v>1</v>
      </c>
      <c r="F11" s="2" t="inlineStr">
        <is>
          <t>CommunicationHealth</t>
        </is>
      </c>
      <c r="G11" s="2" t="inlineStr">
        <is>
          <t>EmotionalNeeds</t>
        </is>
      </c>
      <c r="H11" s="2" t="n"/>
      <c r="I11" s="2" t="inlineStr">
        <is>
          <t>E</t>
        </is>
      </c>
      <c r="J11" s="2" t="inlineStr">
        <is>
          <t>E</t>
        </is>
      </c>
      <c r="K11" s="2" t="inlineStr">
        <is>
          <t>I clock that fast. If I opened up and they shrugged it off, I don't ask again. I don't mind being the bad guy if it means protecting my peace.</t>
        </is>
      </c>
      <c r="L11" s="2" t="n">
        <v>9</v>
      </c>
      <c r="M11" s="2" t="n">
        <v>9</v>
      </c>
      <c r="N11" s="2" t="n">
        <v>10</v>
      </c>
      <c r="O11" s="2" t="n">
        <v>10</v>
      </c>
      <c r="P11" s="2" t="n">
        <v>10</v>
      </c>
      <c r="Q11" s="2" t="inlineStr">
        <is>
          <t>Regulated Grown-Up</t>
        </is>
      </c>
      <c r="R11" s="2" t="n">
        <v>9</v>
      </c>
      <c r="S11" s="2" t="n"/>
      <c r="T11" s="2" t="n"/>
      <c r="U11" s="2" t="n">
        <v>0</v>
      </c>
      <c r="V11" s="2" t="inlineStr">
        <is>
          <t>masc:1.1;fem:0.9</t>
        </is>
      </c>
      <c r="W11" s="2" t="n">
        <v>1.1</v>
      </c>
      <c r="X11" s="2" t="n">
        <v>0.9</v>
      </c>
      <c r="Y11" s="2" t="inlineStr">
        <is>
          <t>COMM_Direct</t>
        </is>
      </c>
      <c r="Z11" s="2" t="inlineStr">
        <is>
          <t>REG_CoRegulator</t>
        </is>
      </c>
      <c r="AA11" s="2" t="inlineStr">
        <is>
          <t>LANG_Words</t>
        </is>
      </c>
      <c r="AB11" s="2" t="n"/>
      <c r="AC11" s="2" t="n"/>
      <c r="AD11" s="2" t="n"/>
      <c r="AE11" s="2" t="n">
        <v>0</v>
      </c>
      <c r="AF11" s="2" t="inlineStr">
        <is>
          <t>fast boundary recognition</t>
        </is>
      </c>
      <c r="AG11" s="2" t="inlineStr">
        <is>
          <t>peace protector</t>
        </is>
      </c>
      <c r="AH11" s="2" t="n">
        <v>0</v>
      </c>
      <c r="AI11" s="2" t="inlineStr">
        <is>
          <t>no</t>
        </is>
      </c>
      <c r="AJ11" s="2" t="inlineStr">
        <is>
          <t>no</t>
        </is>
      </c>
      <c r="AK11" s="2" t="inlineStr">
        <is>
          <t>yes</t>
        </is>
      </c>
      <c r="AL11" s="2" t="inlineStr">
        <is>
          <t>yes</t>
        </is>
      </c>
      <c r="AM11" s="2" t="n"/>
      <c r="AN11" s="2" t="n"/>
      <c r="AO11" s="2" t="n"/>
      <c r="AP11" s="2" t="inlineStr">
        <is>
          <t>v3_2026-03-19</t>
        </is>
      </c>
      <c r="AQ11">
        <f>(L11-Schema_v5!$C2)/(Schema_v5!$C3-Schema_v5!$C2)</f>
        <v/>
      </c>
      <c r="AR11">
        <f>(M11-Schema_v5!$C4)/(Schema_v5!$C5-Schema_v5!$C4)</f>
        <v/>
      </c>
      <c r="AS11">
        <f>N11/Schema_v5!$C6</f>
        <v/>
      </c>
      <c r="AT11">
        <f>O11/Schema_v5!$C7</f>
        <v/>
      </c>
      <c r="AU11">
        <f>P11/Schema_v5!$C8</f>
        <v/>
      </c>
      <c r="AV11">
        <f>IF(Schema_v5!$C9=0,0,AH11/Schema_v5!$C9)</f>
        <v/>
      </c>
      <c r="AW11">
        <f>IF(Schema_v5!$C10=0,0,AE11/Schema_v5!$C10)</f>
        <v/>
      </c>
      <c r="AX11">
        <f>(W11-Schema_v5!$C11)/(Schema_v5!$C12-Schema_v5!$C11)</f>
        <v/>
      </c>
      <c r="AY11">
        <f>(X11-Schema_v5!$C13)/(Schema_v5!$C14-Schema_v5!$C13)</f>
        <v/>
      </c>
    </row>
    <row r="12" ht="121.5" customHeight="1" s="10">
      <c r="A12" s="2" t="inlineStr">
        <is>
          <t>Q03_A</t>
        </is>
      </c>
      <c r="B12" s="2" t="n">
        <v>3</v>
      </c>
      <c r="C12" s="2" t="n">
        <v>3</v>
      </c>
      <c r="D12" s="2" t="inlineStr">
        <is>
          <t>Core</t>
        </is>
      </c>
      <c r="E12" s="2" t="n">
        <v>1</v>
      </c>
      <c r="F12" s="2" t="inlineStr">
        <is>
          <t>CommunicationHealth</t>
        </is>
      </c>
      <c r="G12" s="2" t="inlineStr">
        <is>
          <t>EmotionalNeeds</t>
        </is>
      </c>
      <c r="H12" s="2" t="inlineStr">
        <is>
          <t>You start catching feelings and realizing you actually like this person. How does your energy shift?</t>
        </is>
      </c>
      <c r="I12" s="2" t="inlineStr">
        <is>
          <t>A</t>
        </is>
      </c>
      <c r="J12" s="2" t="inlineStr">
        <is>
          <t>A</t>
        </is>
      </c>
      <c r="K12" s="2" t="inlineStr">
        <is>
          <t>I pull back a little. Not to play games, I just need space to check if I'm seeing it clearly before I lean in.</t>
        </is>
      </c>
      <c r="L12" s="2" t="n">
        <v>6</v>
      </c>
      <c r="M12" s="2" t="n">
        <v>7</v>
      </c>
      <c r="N12" s="2" t="n">
        <v>2</v>
      </c>
      <c r="O12" s="2" t="n">
        <v>2</v>
      </c>
      <c r="P12" s="2" t="n">
        <v>0</v>
      </c>
      <c r="Q12" s="2" t="inlineStr">
        <is>
          <t>Icebox</t>
        </is>
      </c>
      <c r="R12" s="2" t="n">
        <v>1</v>
      </c>
      <c r="S12" s="2" t="n"/>
      <c r="T12" s="2" t="n"/>
      <c r="U12" s="2" t="n">
        <v>0</v>
      </c>
      <c r="V12" s="2" t="inlineStr">
        <is>
          <t>masc:1.8;fem:-1.6</t>
        </is>
      </c>
      <c r="W12" s="2" t="n">
        <v>1.8</v>
      </c>
      <c r="X12" s="2" t="n">
        <v>-1.6</v>
      </c>
      <c r="Y12" s="2" t="inlineStr">
        <is>
          <t>COMM_Avoidant</t>
        </is>
      </c>
      <c r="Z12" s="2" t="inlineStr">
        <is>
          <t>REG_Suppressor</t>
        </is>
      </c>
      <c r="AA12" s="2" t="inlineStr">
        <is>
          <t>LANG_Time</t>
        </is>
      </c>
      <c r="AB12" s="2" t="n"/>
      <c r="AC12" s="2" t="n"/>
      <c r="AD12" s="2" t="n"/>
      <c r="AE12" s="2" t="n">
        <v>0</v>
      </c>
      <c r="AF12" s="2" t="inlineStr">
        <is>
          <t>cautious distance</t>
        </is>
      </c>
      <c r="AG12" s="2" t="inlineStr">
        <is>
          <t>safety checker</t>
        </is>
      </c>
      <c r="AH12" s="2" t="n">
        <v>0.5</v>
      </c>
      <c r="AI12" s="2" t="inlineStr">
        <is>
          <t>no</t>
        </is>
      </c>
      <c r="AJ12" s="2" t="inlineStr">
        <is>
          <t>no</t>
        </is>
      </c>
      <c r="AK12" s="2" t="inlineStr">
        <is>
          <t>yes</t>
        </is>
      </c>
      <c r="AL12" s="2" t="inlineStr">
        <is>
          <t>yes</t>
        </is>
      </c>
      <c r="AM12" s="2" t="n"/>
      <c r="AN12" s="2" t="n"/>
      <c r="AO12" s="2" t="n"/>
      <c r="AP12" s="2" t="inlineStr">
        <is>
          <t>v3_2026-03-19</t>
        </is>
      </c>
      <c r="AQ12">
        <f>(L12-Schema_v5!$C2)/(Schema_v5!$C3-Schema_v5!$C2)</f>
        <v/>
      </c>
      <c r="AR12">
        <f>(M12-Schema_v5!$C4)/(Schema_v5!$C5-Schema_v5!$C4)</f>
        <v/>
      </c>
      <c r="AS12">
        <f>N12/Schema_v5!$C6</f>
        <v/>
      </c>
      <c r="AT12">
        <f>O12/Schema_v5!$C7</f>
        <v/>
      </c>
      <c r="AU12">
        <f>P12/Schema_v5!$C8</f>
        <v/>
      </c>
      <c r="AV12">
        <f>IF(Schema_v5!$C9=0,0,AH12/Schema_v5!$C9)</f>
        <v/>
      </c>
      <c r="AW12">
        <f>IF(Schema_v5!$C10=0,0,AE12/Schema_v5!$C10)</f>
        <v/>
      </c>
      <c r="AX12">
        <f>(W12-Schema_v5!$C11)/(Schema_v5!$C12-Schema_v5!$C11)</f>
        <v/>
      </c>
      <c r="AY12">
        <f>(X12-Schema_v5!$C13)/(Schema_v5!$C14-Schema_v5!$C13)</f>
        <v/>
      </c>
    </row>
    <row r="13" ht="121.5" customHeight="1" s="10">
      <c r="A13" s="2" t="inlineStr">
        <is>
          <t>Q03_B</t>
        </is>
      </c>
      <c r="B13" s="2" t="n">
        <v>3</v>
      </c>
      <c r="C13" s="2" t="n">
        <v>3</v>
      </c>
      <c r="D13" s="2" t="inlineStr">
        <is>
          <t>Core</t>
        </is>
      </c>
      <c r="E13" s="2" t="n">
        <v>1</v>
      </c>
      <c r="F13" s="2" t="inlineStr">
        <is>
          <t>CommunicationHealth</t>
        </is>
      </c>
      <c r="G13" s="2" t="inlineStr">
        <is>
          <t>EmotionalNeeds</t>
        </is>
      </c>
      <c r="H13" s="2" t="n"/>
      <c r="I13" s="2" t="inlineStr">
        <is>
          <t>B</t>
        </is>
      </c>
      <c r="J13" s="2" t="inlineStr">
        <is>
          <t>B</t>
        </is>
      </c>
      <c r="K13" s="2" t="inlineStr">
        <is>
          <t>I start imagining what it could be. I try not to get ahead of myself, I just like feeling what it can be.</t>
        </is>
      </c>
      <c r="L13" s="2" t="n">
        <v>7</v>
      </c>
      <c r="M13" s="2" t="n">
        <v>8</v>
      </c>
      <c r="N13" s="2" t="n">
        <v>4</v>
      </c>
      <c r="O13" s="2" t="n">
        <v>6</v>
      </c>
      <c r="P13" s="2" t="n">
        <v>4</v>
      </c>
      <c r="Q13" s="2" t="inlineStr">
        <is>
          <t>Romantic Idealist</t>
        </is>
      </c>
      <c r="R13" s="2" t="n">
        <v>6</v>
      </c>
      <c r="S13" s="2" t="n"/>
      <c r="T13" s="2" t="n"/>
      <c r="U13" s="2" t="n">
        <v>0</v>
      </c>
      <c r="V13" s="2" t="inlineStr">
        <is>
          <t>masc:-0.4;fem:1.5</t>
        </is>
      </c>
      <c r="W13" s="2" t="n">
        <v>-0.4</v>
      </c>
      <c r="X13" s="2" t="n">
        <v>1.5</v>
      </c>
      <c r="Y13" s="2" t="inlineStr">
        <is>
          <t>COMM_Emotional</t>
        </is>
      </c>
      <c r="Z13" s="2" t="inlineStr">
        <is>
          <t>REG_Distractor</t>
        </is>
      </c>
      <c r="AA13" s="2" t="inlineStr">
        <is>
          <t>LANG_Gifts</t>
        </is>
      </c>
      <c r="AB13" s="2" t="inlineStr">
        <is>
          <t>Humor_Shield , Affection_Mismatch</t>
        </is>
      </c>
      <c r="AC13" s="2" t="inlineStr">
        <is>
          <t>Humor_Shield</t>
        </is>
      </c>
      <c r="AD13" s="2" t="inlineStr">
        <is>
          <t>Affection_Mismatch</t>
        </is>
      </c>
      <c r="AE13" s="2" t="n">
        <v>7</v>
      </c>
      <c r="AF13" s="2" t="inlineStr">
        <is>
          <t>guarded playfulness</t>
        </is>
      </c>
      <c r="AG13" s="2" t="inlineStr">
        <is>
          <t>safe tester</t>
        </is>
      </c>
      <c r="AH13" s="2" t="n">
        <v>0.2</v>
      </c>
      <c r="AI13" s="2" t="inlineStr">
        <is>
          <t>yes</t>
        </is>
      </c>
      <c r="AJ13" s="2" t="inlineStr">
        <is>
          <t>no</t>
        </is>
      </c>
      <c r="AK13" s="2" t="inlineStr">
        <is>
          <t>yes</t>
        </is>
      </c>
      <c r="AL13" s="2" t="inlineStr">
        <is>
          <t>yes</t>
        </is>
      </c>
      <c r="AM13" s="2" t="n"/>
      <c r="AN13" s="2" t="n"/>
      <c r="AO13" s="2" t="n"/>
      <c r="AP13" s="2" t="inlineStr">
        <is>
          <t>v3_2026-03-19</t>
        </is>
      </c>
      <c r="AQ13">
        <f>(L13-Schema_v5!$C2)/(Schema_v5!$C3-Schema_v5!$C2)</f>
        <v/>
      </c>
      <c r="AR13">
        <f>(M13-Schema_v5!$C4)/(Schema_v5!$C5-Schema_v5!$C4)</f>
        <v/>
      </c>
      <c r="AS13">
        <f>N13/Schema_v5!$C6</f>
        <v/>
      </c>
      <c r="AT13">
        <f>O13/Schema_v5!$C7</f>
        <v/>
      </c>
      <c r="AU13">
        <f>P13/Schema_v5!$C8</f>
        <v/>
      </c>
      <c r="AV13">
        <f>IF(Schema_v5!$C9=0,0,AH13/Schema_v5!$C9)</f>
        <v/>
      </c>
      <c r="AW13">
        <f>IF(Schema_v5!$C10=0,0,AE13/Schema_v5!$C10)</f>
        <v/>
      </c>
      <c r="AX13">
        <f>(W13-Schema_v5!$C11)/(Schema_v5!$C12-Schema_v5!$C11)</f>
        <v/>
      </c>
      <c r="AY13">
        <f>(X13-Schema_v5!$C13)/(Schema_v5!$C14-Schema_v5!$C13)</f>
        <v/>
      </c>
    </row>
    <row r="14" ht="148.5" customHeight="1" s="10">
      <c r="A14" s="2" t="inlineStr">
        <is>
          <t>Q03_C</t>
        </is>
      </c>
      <c r="B14" s="2" t="n">
        <v>3</v>
      </c>
      <c r="C14" s="2" t="n">
        <v>3</v>
      </c>
      <c r="D14" s="2" t="inlineStr">
        <is>
          <t>Core</t>
        </is>
      </c>
      <c r="E14" s="2" t="n">
        <v>1</v>
      </c>
      <c r="F14" s="2" t="inlineStr">
        <is>
          <t>CommunicationHealth</t>
        </is>
      </c>
      <c r="G14" s="2" t="inlineStr">
        <is>
          <t>EmotionalNeeds</t>
        </is>
      </c>
      <c r="H14" s="2" t="n"/>
      <c r="I14" s="2" t="inlineStr">
        <is>
          <t>C</t>
        </is>
      </c>
      <c r="J14" s="2" t="inlineStr">
        <is>
          <t>C</t>
        </is>
      </c>
      <c r="K14" s="2" t="inlineStr">
        <is>
          <t>I don't say much, but I start showing up more, checking in, remembering little things. That's usually how I start showing my interest.</t>
        </is>
      </c>
      <c r="L14" s="2" t="n">
        <v>8</v>
      </c>
      <c r="M14" s="2" t="n">
        <v>9</v>
      </c>
      <c r="N14" s="2" t="n">
        <v>8</v>
      </c>
      <c r="O14" s="2" t="n">
        <v>8</v>
      </c>
      <c r="P14" s="2" t="n">
        <v>8</v>
      </c>
      <c r="Q14" s="2" t="inlineStr">
        <is>
          <t>Analyzer</t>
        </is>
      </c>
      <c r="R14" s="2" t="n">
        <v>2</v>
      </c>
      <c r="S14" s="2" t="n"/>
      <c r="T14" s="2" t="n"/>
      <c r="U14" s="2" t="n">
        <v>0</v>
      </c>
      <c r="V14" s="2" t="inlineStr">
        <is>
          <t>masc:1.4;fem:0.1</t>
        </is>
      </c>
      <c r="W14" s="2" t="n">
        <v>1.4</v>
      </c>
      <c r="X14" s="2" t="n">
        <v>0.1</v>
      </c>
      <c r="Y14" s="2" t="inlineStr">
        <is>
          <t>COMM_Logical</t>
        </is>
      </c>
      <c r="Z14" s="2" t="inlineStr">
        <is>
          <t>REG_SelfSoother</t>
        </is>
      </c>
      <c r="AA14" s="2" t="inlineStr">
        <is>
          <t>LANG_Service</t>
        </is>
      </c>
      <c r="AB14" s="2" t="n"/>
      <c r="AC14" s="2" t="n"/>
      <c r="AD14" s="2" t="n"/>
      <c r="AE14" s="2" t="n">
        <v>0</v>
      </c>
      <c r="AF14" s="2" t="inlineStr">
        <is>
          <t>steady investment</t>
        </is>
      </c>
      <c r="AG14" s="2" t="inlineStr">
        <is>
          <t>quiet prover</t>
        </is>
      </c>
      <c r="AH14" s="2" t="n">
        <v>0</v>
      </c>
      <c r="AI14" s="2" t="inlineStr">
        <is>
          <t>no</t>
        </is>
      </c>
      <c r="AJ14" s="2" t="inlineStr">
        <is>
          <t>no</t>
        </is>
      </c>
      <c r="AK14" s="2" t="inlineStr">
        <is>
          <t>yes</t>
        </is>
      </c>
      <c r="AL14" s="2" t="inlineStr">
        <is>
          <t>yes</t>
        </is>
      </c>
      <c r="AM14" s="2" t="n"/>
      <c r="AN14" s="2" t="n"/>
      <c r="AO14" s="2" t="n"/>
      <c r="AP14" s="2" t="inlineStr">
        <is>
          <t>v3_2026-03-19</t>
        </is>
      </c>
      <c r="AQ14">
        <f>(L14-Schema_v5!$C2)/(Schema_v5!$C3-Schema_v5!$C2)</f>
        <v/>
      </c>
      <c r="AR14">
        <f>(M14-Schema_v5!$C4)/(Schema_v5!$C5-Schema_v5!$C4)</f>
        <v/>
      </c>
      <c r="AS14">
        <f>N14/Schema_v5!$C6</f>
        <v/>
      </c>
      <c r="AT14">
        <f>O14/Schema_v5!$C7</f>
        <v/>
      </c>
      <c r="AU14">
        <f>P14/Schema_v5!$C8</f>
        <v/>
      </c>
      <c r="AV14">
        <f>IF(Schema_v5!$C9=0,0,AH14/Schema_v5!$C9)</f>
        <v/>
      </c>
      <c r="AW14">
        <f>IF(Schema_v5!$C10=0,0,AE14/Schema_v5!$C10)</f>
        <v/>
      </c>
      <c r="AX14">
        <f>(W14-Schema_v5!$C11)/(Schema_v5!$C12-Schema_v5!$C11)</f>
        <v/>
      </c>
      <c r="AY14">
        <f>(X14-Schema_v5!$C13)/(Schema_v5!$C14-Schema_v5!$C13)</f>
        <v/>
      </c>
    </row>
    <row r="15" ht="121.5" customHeight="1" s="10">
      <c r="A15" s="2" t="inlineStr">
        <is>
          <t>Q03_D</t>
        </is>
      </c>
      <c r="B15" s="2" t="n">
        <v>3</v>
      </c>
      <c r="C15" s="2" t="n">
        <v>3</v>
      </c>
      <c r="D15" s="2" t="inlineStr">
        <is>
          <t>Core</t>
        </is>
      </c>
      <c r="E15" s="2" t="n">
        <v>1</v>
      </c>
      <c r="F15" s="2" t="inlineStr">
        <is>
          <t>CommunicationHealth</t>
        </is>
      </c>
      <c r="G15" s="2" t="inlineStr">
        <is>
          <t>EmotionalNeeds</t>
        </is>
      </c>
      <c r="H15" s="2" t="n"/>
      <c r="I15" s="2" t="inlineStr">
        <is>
          <t>D</t>
        </is>
      </c>
      <c r="J15" s="2" t="inlineStr">
        <is>
          <t>D</t>
        </is>
      </c>
      <c r="K15" s="2" t="inlineStr">
        <is>
          <t>I want them to like me back, but I need to know it's safe first. So I keep it light while I wait on their actions.</t>
        </is>
      </c>
      <c r="L15" s="2" t="n">
        <v>6</v>
      </c>
      <c r="M15" s="2" t="n">
        <v>6</v>
      </c>
      <c r="N15" s="2" t="n">
        <v>4</v>
      </c>
      <c r="O15" s="2" t="n">
        <v>2</v>
      </c>
      <c r="P15" s="2" t="n">
        <v>2</v>
      </c>
      <c r="Q15" s="2" t="inlineStr">
        <is>
          <t>Phantom Seeker</t>
        </is>
      </c>
      <c r="R15" s="2" t="n">
        <v>10</v>
      </c>
      <c r="S15" s="2" t="n"/>
      <c r="T15" s="2" t="n"/>
      <c r="U15" s="2" t="n">
        <v>0</v>
      </c>
      <c r="V15" s="2" t="inlineStr">
        <is>
          <t>masc:-0.2;fem:1.5</t>
        </is>
      </c>
      <c r="W15" s="2" t="n">
        <v>-0.2</v>
      </c>
      <c r="X15" s="2" t="n">
        <v>1.5</v>
      </c>
      <c r="Y15" s="2" t="inlineStr">
        <is>
          <t>COMM_Emotional</t>
        </is>
      </c>
      <c r="Z15" s="2" t="inlineStr">
        <is>
          <t>REG_SelfSoother</t>
        </is>
      </c>
      <c r="AA15" s="2" t="inlineStr">
        <is>
          <t>LANG_Touch</t>
        </is>
      </c>
      <c r="AB15" s="2" t="inlineStr">
        <is>
          <t>Humor_Shield , Affection_Mismatch</t>
        </is>
      </c>
      <c r="AC15" s="2" t="inlineStr">
        <is>
          <t>Humor_Shield</t>
        </is>
      </c>
      <c r="AD15" s="2" t="inlineStr">
        <is>
          <t>Affection_Mismatch</t>
        </is>
      </c>
      <c r="AE15" s="2" t="n">
        <v>7</v>
      </c>
      <c r="AF15" s="2" t="inlineStr">
        <is>
          <t>guarded playfulness</t>
        </is>
      </c>
      <c r="AG15" s="2" t="inlineStr">
        <is>
          <t>safe tester</t>
        </is>
      </c>
      <c r="AH15" s="2" t="n">
        <v>0</v>
      </c>
      <c r="AI15" s="2" t="inlineStr">
        <is>
          <t>yes</t>
        </is>
      </c>
      <c r="AJ15" s="2" t="inlineStr">
        <is>
          <t>no</t>
        </is>
      </c>
      <c r="AK15" s="2" t="inlineStr">
        <is>
          <t>yes</t>
        </is>
      </c>
      <c r="AL15" s="2" t="inlineStr">
        <is>
          <t>yes</t>
        </is>
      </c>
      <c r="AM15" s="2" t="n"/>
      <c r="AN15" s="2" t="n"/>
      <c r="AO15" s="2" t="n"/>
      <c r="AP15" s="2" t="inlineStr">
        <is>
          <t>v3_2026-03-19</t>
        </is>
      </c>
      <c r="AQ15">
        <f>(L15-Schema_v5!$C2)/(Schema_v5!$C3-Schema_v5!$C2)</f>
        <v/>
      </c>
      <c r="AR15">
        <f>(M15-Schema_v5!$C4)/(Schema_v5!$C5-Schema_v5!$C4)</f>
        <v/>
      </c>
      <c r="AS15">
        <f>N15/Schema_v5!$C6</f>
        <v/>
      </c>
      <c r="AT15">
        <f>O15/Schema_v5!$C7</f>
        <v/>
      </c>
      <c r="AU15">
        <f>P15/Schema_v5!$C8</f>
        <v/>
      </c>
      <c r="AV15">
        <f>IF(Schema_v5!$C9=0,0,AH15/Schema_v5!$C9)</f>
        <v/>
      </c>
      <c r="AW15">
        <f>IF(Schema_v5!$C10=0,0,AE15/Schema_v5!$C10)</f>
        <v/>
      </c>
      <c r="AX15">
        <f>(W15-Schema_v5!$C11)/(Schema_v5!$C12-Schema_v5!$C11)</f>
        <v/>
      </c>
      <c r="AY15">
        <f>(X15-Schema_v5!$C13)/(Schema_v5!$C14-Schema_v5!$C13)</f>
        <v/>
      </c>
    </row>
    <row r="16" ht="175.5" customHeight="1" s="10">
      <c r="A16" s="2" t="inlineStr">
        <is>
          <t>Q03_E</t>
        </is>
      </c>
      <c r="B16" s="2" t="n">
        <v>3</v>
      </c>
      <c r="C16" s="2" t="n">
        <v>3</v>
      </c>
      <c r="D16" s="2" t="inlineStr">
        <is>
          <t>Core</t>
        </is>
      </c>
      <c r="E16" s="2" t="n">
        <v>1</v>
      </c>
      <c r="F16" s="2" t="inlineStr">
        <is>
          <t>CommunicationHealth</t>
        </is>
      </c>
      <c r="G16" s="2" t="inlineStr">
        <is>
          <t>EmotionalNeeds</t>
        </is>
      </c>
      <c r="H16" s="2" t="n"/>
      <c r="I16" s="2" t="inlineStr">
        <is>
          <t>E</t>
        </is>
      </c>
      <c r="J16" s="2" t="inlineStr">
        <is>
          <t>E</t>
        </is>
      </c>
      <c r="K16" s="2" t="inlineStr">
        <is>
          <t>If I like someone, yeah, it shows. But I've learned not to lean too far until I know they're showing up too. I'm not trying to guess where I stand.</t>
        </is>
      </c>
      <c r="L16" s="2" t="n">
        <v>9</v>
      </c>
      <c r="M16" s="2" t="n">
        <v>9</v>
      </c>
      <c r="N16" s="2" t="n">
        <v>10</v>
      </c>
      <c r="O16" s="2" t="n">
        <v>10</v>
      </c>
      <c r="P16" s="2" t="n">
        <v>10</v>
      </c>
      <c r="Q16" s="2" t="inlineStr">
        <is>
          <t>Regulated Grown-Up</t>
        </is>
      </c>
      <c r="R16" s="2" t="n">
        <v>9</v>
      </c>
      <c r="S16" s="2" t="n"/>
      <c r="T16" s="2" t="n"/>
      <c r="U16" s="2" t="n">
        <v>0</v>
      </c>
      <c r="V16" s="2" t="inlineStr">
        <is>
          <t>masc:1.1;fem:0.9</t>
        </is>
      </c>
      <c r="W16" s="2" t="n">
        <v>1.1</v>
      </c>
      <c r="X16" s="2" t="n">
        <v>0.9</v>
      </c>
      <c r="Y16" s="2" t="inlineStr">
        <is>
          <t>COMM_Direct</t>
        </is>
      </c>
      <c r="Z16" s="2" t="inlineStr">
        <is>
          <t>REG_CoRegulator</t>
        </is>
      </c>
      <c r="AA16" s="2" t="inlineStr">
        <is>
          <t>LANG_Words</t>
        </is>
      </c>
      <c r="AB16" s="2" t="n"/>
      <c r="AC16" s="2" t="n"/>
      <c r="AD16" s="2" t="n"/>
      <c r="AE16" s="2" t="n">
        <v>0</v>
      </c>
      <c r="AF16" s="2" t="inlineStr">
        <is>
          <t>balanced openness</t>
        </is>
      </c>
      <c r="AG16" s="2" t="inlineStr">
        <is>
          <t>readiness matcher</t>
        </is>
      </c>
      <c r="AH16" s="2" t="n">
        <v>0.2</v>
      </c>
      <c r="AI16" s="2" t="inlineStr">
        <is>
          <t>no</t>
        </is>
      </c>
      <c r="AJ16" s="2" t="inlineStr">
        <is>
          <t>no</t>
        </is>
      </c>
      <c r="AK16" s="2" t="inlineStr">
        <is>
          <t>yes</t>
        </is>
      </c>
      <c r="AL16" s="2" t="inlineStr">
        <is>
          <t>yes</t>
        </is>
      </c>
      <c r="AM16" s="2" t="n"/>
      <c r="AN16" s="2" t="n"/>
      <c r="AO16" s="2" t="n"/>
      <c r="AP16" s="2" t="inlineStr">
        <is>
          <t>v3_2026-03-19</t>
        </is>
      </c>
      <c r="AQ16">
        <f>(L16-Schema_v5!$C2)/(Schema_v5!$C3-Schema_v5!$C2)</f>
        <v/>
      </c>
      <c r="AR16">
        <f>(M16-Schema_v5!$C4)/(Schema_v5!$C5-Schema_v5!$C4)</f>
        <v/>
      </c>
      <c r="AS16">
        <f>N16/Schema_v5!$C6</f>
        <v/>
      </c>
      <c r="AT16">
        <f>O16/Schema_v5!$C7</f>
        <v/>
      </c>
      <c r="AU16">
        <f>P16/Schema_v5!$C8</f>
        <v/>
      </c>
      <c r="AV16">
        <f>IF(Schema_v5!$C9=0,0,AH16/Schema_v5!$C9)</f>
        <v/>
      </c>
      <c r="AW16">
        <f>IF(Schema_v5!$C10=0,0,AE16/Schema_v5!$C10)</f>
        <v/>
      </c>
      <c r="AX16">
        <f>(W16-Schema_v5!$C11)/(Schema_v5!$C12-Schema_v5!$C11)</f>
        <v/>
      </c>
      <c r="AY16">
        <f>(X16-Schema_v5!$C13)/(Schema_v5!$C14-Schema_v5!$C13)</f>
        <v/>
      </c>
    </row>
    <row r="17" ht="135" customHeight="1" s="10">
      <c r="A17" s="2" t="inlineStr">
        <is>
          <t>Q04_A</t>
        </is>
      </c>
      <c r="B17" s="2" t="n">
        <v>4</v>
      </c>
      <c r="C17" s="2" t="n">
        <v>4</v>
      </c>
      <c r="D17" s="2" t="inlineStr">
        <is>
          <t>Core</t>
        </is>
      </c>
      <c r="E17" s="2" t="n">
        <v>1</v>
      </c>
      <c r="F17" s="2" t="inlineStr">
        <is>
          <t>CommunicationHealth</t>
        </is>
      </c>
      <c r="G17" s="2" t="inlineStr">
        <is>
          <t>EmotionalNeeds</t>
        </is>
      </c>
      <c r="H17" s="2" t="inlineStr">
        <is>
          <t>You're starting to notice some red flags. Nothing explosive, just little things that don't sit right. What do you do with that feeling?</t>
        </is>
      </c>
      <c r="I17" s="2" t="inlineStr">
        <is>
          <t>A</t>
        </is>
      </c>
      <c r="J17" s="2" t="inlineStr">
        <is>
          <t>A</t>
        </is>
      </c>
      <c r="K17" s="2" t="inlineStr">
        <is>
          <t>I keep watching. I've learned not to bring things up too early. People need time to reveal themselves.</t>
        </is>
      </c>
      <c r="L17" s="2" t="n">
        <v>7</v>
      </c>
      <c r="M17" s="2" t="n">
        <v>8</v>
      </c>
      <c r="N17" s="2" t="n">
        <v>6</v>
      </c>
      <c r="O17" s="2" t="n">
        <v>6</v>
      </c>
      <c r="P17" s="2" t="n">
        <v>6</v>
      </c>
      <c r="Q17" s="2" t="inlineStr">
        <is>
          <t>Analyzer</t>
        </is>
      </c>
      <c r="R17" s="2" t="n">
        <v>2</v>
      </c>
      <c r="S17" s="2" t="n"/>
      <c r="T17" s="2" t="n"/>
      <c r="U17" s="2" t="n">
        <v>0</v>
      </c>
      <c r="V17" s="2" t="inlineStr">
        <is>
          <t>masc:1.4;fem:0.1</t>
        </is>
      </c>
      <c r="W17" s="2" t="n">
        <v>1.4</v>
      </c>
      <c r="X17" s="2" t="n">
        <v>0.1</v>
      </c>
      <c r="Y17" s="2" t="inlineStr">
        <is>
          <t>COMM_Logical</t>
        </is>
      </c>
      <c r="Z17" s="2" t="inlineStr">
        <is>
          <t>REG_SelfSoother</t>
        </is>
      </c>
      <c r="AA17" s="2" t="inlineStr">
        <is>
          <t>LANG_Service</t>
        </is>
      </c>
      <c r="AB17" s="2" t="n"/>
      <c r="AC17" s="2" t="n"/>
      <c r="AD17" s="2" t="n"/>
      <c r="AE17" s="2" t="n">
        <v>0</v>
      </c>
      <c r="AF17" s="2" t="inlineStr">
        <is>
          <t>silent observation</t>
        </is>
      </c>
      <c r="AG17" s="2" t="inlineStr">
        <is>
          <t>patient tracker</t>
        </is>
      </c>
      <c r="AH17" s="2" t="n">
        <v>1.2</v>
      </c>
      <c r="AI17" s="2" t="inlineStr">
        <is>
          <t>no</t>
        </is>
      </c>
      <c r="AJ17" s="2" t="inlineStr">
        <is>
          <t>no</t>
        </is>
      </c>
      <c r="AK17" s="2" t="inlineStr">
        <is>
          <t>yes</t>
        </is>
      </c>
      <c r="AL17" s="2" t="inlineStr">
        <is>
          <t>yes</t>
        </is>
      </c>
      <c r="AM17" s="2" t="n"/>
      <c r="AN17" s="2" t="n"/>
      <c r="AO17" s="2" t="n"/>
      <c r="AP17" s="2" t="inlineStr">
        <is>
          <t>v3_2026-03-19</t>
        </is>
      </c>
      <c r="AQ17">
        <f>(L17-Schema_v5!$C2)/(Schema_v5!$C3-Schema_v5!$C2)</f>
        <v/>
      </c>
      <c r="AR17">
        <f>(M17-Schema_v5!$C4)/(Schema_v5!$C5-Schema_v5!$C4)</f>
        <v/>
      </c>
      <c r="AS17">
        <f>N17/Schema_v5!$C6</f>
        <v/>
      </c>
      <c r="AT17">
        <f>O17/Schema_v5!$C7</f>
        <v/>
      </c>
      <c r="AU17">
        <f>P17/Schema_v5!$C8</f>
        <v/>
      </c>
      <c r="AV17">
        <f>IF(Schema_v5!$C9=0,0,AH17/Schema_v5!$C9)</f>
        <v/>
      </c>
      <c r="AW17">
        <f>IF(Schema_v5!$C10=0,0,AE17/Schema_v5!$C10)</f>
        <v/>
      </c>
      <c r="AX17">
        <f>(W17-Schema_v5!$C11)/(Schema_v5!$C12-Schema_v5!$C11)</f>
        <v/>
      </c>
      <c r="AY17">
        <f>(X17-Schema_v5!$C13)/(Schema_v5!$C14-Schema_v5!$C13)</f>
        <v/>
      </c>
    </row>
    <row r="18" ht="121.5" customHeight="1" s="10">
      <c r="A18" s="2" t="inlineStr">
        <is>
          <t>Q04_B</t>
        </is>
      </c>
      <c r="B18" s="2" t="n">
        <v>4</v>
      </c>
      <c r="C18" s="2" t="n">
        <v>4</v>
      </c>
      <c r="D18" s="2" t="inlineStr">
        <is>
          <t>Core</t>
        </is>
      </c>
      <c r="E18" s="2" t="n">
        <v>1</v>
      </c>
      <c r="F18" s="2" t="inlineStr">
        <is>
          <t>CommunicationHealth</t>
        </is>
      </c>
      <c r="G18" s="2" t="inlineStr">
        <is>
          <t>EmotionalNeeds</t>
        </is>
      </c>
      <c r="H18" s="2" t="n"/>
      <c r="I18" s="2" t="inlineStr">
        <is>
          <t>B</t>
        </is>
      </c>
      <c r="J18" s="2" t="inlineStr">
        <is>
          <t>B</t>
        </is>
      </c>
      <c r="K18" s="2" t="inlineStr">
        <is>
          <t>I ignore it at first. I don't want to ruin a good thing by overthinking. Sometimes I just want it to stay good for a little while.</t>
        </is>
      </c>
      <c r="L18" s="2" t="n">
        <v>5</v>
      </c>
      <c r="M18" s="2" t="n">
        <v>6</v>
      </c>
      <c r="N18" s="2" t="n">
        <v>2</v>
      </c>
      <c r="O18" s="2" t="n">
        <v>2</v>
      </c>
      <c r="P18" s="2" t="n">
        <v>0</v>
      </c>
      <c r="Q18" s="2" t="inlineStr">
        <is>
          <t>Romantic Idealist</t>
        </is>
      </c>
      <c r="R18" s="2" t="n">
        <v>6</v>
      </c>
      <c r="S18" s="2" t="n"/>
      <c r="T18" s="2" t="n"/>
      <c r="U18" s="2" t="n">
        <v>0</v>
      </c>
      <c r="V18" s="2" t="inlineStr">
        <is>
          <t>masc:-0.4;fem:1.5</t>
        </is>
      </c>
      <c r="W18" s="2" t="n">
        <v>-0.4</v>
      </c>
      <c r="X18" s="2" t="n">
        <v>1.5</v>
      </c>
      <c r="Y18" s="2" t="inlineStr">
        <is>
          <t>COMM_Emotional</t>
        </is>
      </c>
      <c r="Z18" s="2" t="inlineStr">
        <is>
          <t>REG_Distractor</t>
        </is>
      </c>
      <c r="AA18" s="2" t="inlineStr">
        <is>
          <t>LANG_Gifts</t>
        </is>
      </c>
      <c r="AB18" s="2" t="inlineStr">
        <is>
          <t>Commitment_Ambiguity</t>
        </is>
      </c>
      <c r="AC18" s="2" t="inlineStr">
        <is>
          <t>Commitment_Ambiguity</t>
        </is>
      </c>
      <c r="AD18" s="2" t="n"/>
      <c r="AE18" s="2" t="n">
        <v>5</v>
      </c>
      <c r="AF18" s="2" t="inlineStr">
        <is>
          <t>optimism over caution</t>
        </is>
      </c>
      <c r="AG18" s="2" t="inlineStr">
        <is>
          <t>avoidant hope</t>
        </is>
      </c>
      <c r="AH18" s="2" t="n">
        <v>0.6</v>
      </c>
      <c r="AI18" s="2" t="inlineStr">
        <is>
          <t>yes</t>
        </is>
      </c>
      <c r="AJ18" s="2" t="inlineStr">
        <is>
          <t>no</t>
        </is>
      </c>
      <c r="AK18" s="2" t="inlineStr">
        <is>
          <t>yes</t>
        </is>
      </c>
      <c r="AL18" s="2" t="inlineStr">
        <is>
          <t>yes</t>
        </is>
      </c>
      <c r="AM18" s="2" t="n"/>
      <c r="AN18" s="2" t="n"/>
      <c r="AO18" s="2" t="n"/>
      <c r="AP18" s="2" t="inlineStr">
        <is>
          <t>v3_2026-03-19</t>
        </is>
      </c>
      <c r="AQ18">
        <f>(L18-Schema_v5!$C2)/(Schema_v5!$C3-Schema_v5!$C2)</f>
        <v/>
      </c>
      <c r="AR18">
        <f>(M18-Schema_v5!$C4)/(Schema_v5!$C5-Schema_v5!$C4)</f>
        <v/>
      </c>
      <c r="AS18">
        <f>N18/Schema_v5!$C6</f>
        <v/>
      </c>
      <c r="AT18">
        <f>O18/Schema_v5!$C7</f>
        <v/>
      </c>
      <c r="AU18">
        <f>P18/Schema_v5!$C8</f>
        <v/>
      </c>
      <c r="AV18">
        <f>IF(Schema_v5!$C9=0,0,AH18/Schema_v5!$C9)</f>
        <v/>
      </c>
      <c r="AW18">
        <f>IF(Schema_v5!$C10=0,0,AE18/Schema_v5!$C10)</f>
        <v/>
      </c>
      <c r="AX18">
        <f>(W18-Schema_v5!$C11)/(Schema_v5!$C12-Schema_v5!$C11)</f>
        <v/>
      </c>
      <c r="AY18">
        <f>(X18-Schema_v5!$C13)/(Schema_v5!$C14-Schema_v5!$C13)</f>
        <v/>
      </c>
    </row>
    <row r="19" ht="81" customHeight="1" s="10">
      <c r="A19" s="2" t="inlineStr">
        <is>
          <t>Q04_C</t>
        </is>
      </c>
      <c r="B19" s="2" t="n">
        <v>4</v>
      </c>
      <c r="C19" s="2" t="n">
        <v>4</v>
      </c>
      <c r="D19" s="2" t="inlineStr">
        <is>
          <t>Core</t>
        </is>
      </c>
      <c r="E19" s="2" t="n">
        <v>1</v>
      </c>
      <c r="F19" s="2" t="inlineStr">
        <is>
          <t>CommunicationHealth</t>
        </is>
      </c>
      <c r="G19" s="2" t="inlineStr">
        <is>
          <t>EmotionalNeeds</t>
        </is>
      </c>
      <c r="H19" s="2" t="n"/>
      <c r="I19" s="2" t="inlineStr">
        <is>
          <t>C</t>
        </is>
      </c>
      <c r="J19" s="2" t="inlineStr">
        <is>
          <t>C</t>
        </is>
      </c>
      <c r="K19" s="2" t="inlineStr">
        <is>
          <t>I call it out. I just say what I see. I'd rather know now than waste time.</t>
        </is>
      </c>
      <c r="L19" s="2" t="n">
        <v>10</v>
      </c>
      <c r="M19" s="2" t="n">
        <v>10</v>
      </c>
      <c r="N19" s="2" t="n">
        <v>10</v>
      </c>
      <c r="O19" s="2" t="n">
        <v>10</v>
      </c>
      <c r="P19" s="2" t="n">
        <v>10</v>
      </c>
      <c r="Q19" s="2" t="inlineStr">
        <is>
          <t>Regulated Grown-Up</t>
        </is>
      </c>
      <c r="R19" s="2" t="n">
        <v>9</v>
      </c>
      <c r="S19" s="2" t="n"/>
      <c r="T19" s="2" t="n"/>
      <c r="U19" s="2" t="n">
        <v>0</v>
      </c>
      <c r="V19" s="2" t="inlineStr">
        <is>
          <t>masc:1.1;fem:0.9</t>
        </is>
      </c>
      <c r="W19" s="2" t="n">
        <v>1.1</v>
      </c>
      <c r="X19" s="2" t="n">
        <v>0.9</v>
      </c>
      <c r="Y19" s="2" t="inlineStr">
        <is>
          <t>COMM_Direct</t>
        </is>
      </c>
      <c r="Z19" s="2" t="inlineStr">
        <is>
          <t>REG_CoRegulator</t>
        </is>
      </c>
      <c r="AA19" s="2" t="inlineStr">
        <is>
          <t>LANG_Words</t>
        </is>
      </c>
      <c r="AB19" s="2" t="n"/>
      <c r="AC19" s="2" t="n"/>
      <c r="AD19" s="2" t="n"/>
      <c r="AE19" s="2" t="n">
        <v>0</v>
      </c>
      <c r="AF19" s="2" t="inlineStr">
        <is>
          <t>early clarity</t>
        </is>
      </c>
      <c r="AG19" s="2" t="inlineStr">
        <is>
          <t>straight talker</t>
        </is>
      </c>
      <c r="AH19" s="2" t="n">
        <v>0</v>
      </c>
      <c r="AI19" s="2" t="inlineStr">
        <is>
          <t>no</t>
        </is>
      </c>
      <c r="AJ19" s="2" t="inlineStr">
        <is>
          <t>no</t>
        </is>
      </c>
      <c r="AK19" s="2" t="inlineStr">
        <is>
          <t>yes</t>
        </is>
      </c>
      <c r="AL19" s="2" t="inlineStr">
        <is>
          <t>yes</t>
        </is>
      </c>
      <c r="AM19" s="2" t="n"/>
      <c r="AN19" s="2" t="n"/>
      <c r="AO19" s="2" t="n"/>
      <c r="AP19" s="2" t="inlineStr">
        <is>
          <t>v3_2026-03-19</t>
        </is>
      </c>
      <c r="AQ19">
        <f>(L19-Schema_v5!$C2)/(Schema_v5!$C3-Schema_v5!$C2)</f>
        <v/>
      </c>
      <c r="AR19">
        <f>(M19-Schema_v5!$C4)/(Schema_v5!$C5-Schema_v5!$C4)</f>
        <v/>
      </c>
      <c r="AS19">
        <f>N19/Schema_v5!$C6</f>
        <v/>
      </c>
      <c r="AT19">
        <f>O19/Schema_v5!$C7</f>
        <v/>
      </c>
      <c r="AU19">
        <f>P19/Schema_v5!$C8</f>
        <v/>
      </c>
      <c r="AV19">
        <f>IF(Schema_v5!$C9=0,0,AH19/Schema_v5!$C9)</f>
        <v/>
      </c>
      <c r="AW19">
        <f>IF(Schema_v5!$C10=0,0,AE19/Schema_v5!$C10)</f>
        <v/>
      </c>
      <c r="AX19">
        <f>(W19-Schema_v5!$C11)/(Schema_v5!$C12-Schema_v5!$C11)</f>
        <v/>
      </c>
      <c r="AY19">
        <f>(X19-Schema_v5!$C13)/(Schema_v5!$C14-Schema_v5!$C13)</f>
        <v/>
      </c>
    </row>
    <row r="20" ht="121.5" customHeight="1" s="10">
      <c r="A20" s="2" t="inlineStr">
        <is>
          <t>Q04_D</t>
        </is>
      </c>
      <c r="B20" s="2" t="n">
        <v>4</v>
      </c>
      <c r="C20" s="2" t="n">
        <v>4</v>
      </c>
      <c r="D20" s="2" t="inlineStr">
        <is>
          <t>Core</t>
        </is>
      </c>
      <c r="E20" s="2" t="n">
        <v>1</v>
      </c>
      <c r="F20" s="2" t="inlineStr">
        <is>
          <t>CommunicationHealth</t>
        </is>
      </c>
      <c r="G20" s="2" t="inlineStr">
        <is>
          <t>EmotionalNeeds</t>
        </is>
      </c>
      <c r="H20" s="2" t="n"/>
      <c r="I20" s="2" t="inlineStr">
        <is>
          <t>D</t>
        </is>
      </c>
      <c r="J20" s="2" t="inlineStr">
        <is>
          <t>D</t>
        </is>
      </c>
      <c r="K20" s="2" t="inlineStr">
        <is>
          <t>I tell myself I'm just being too picky or expecting too much. So I wait. I just stop texting first and start holding back.</t>
        </is>
      </c>
      <c r="L20" s="2" t="n">
        <v>4</v>
      </c>
      <c r="M20" s="2" t="n">
        <v>5</v>
      </c>
      <c r="N20" s="2" t="n">
        <v>0</v>
      </c>
      <c r="O20" s="2" t="n">
        <v>2</v>
      </c>
      <c r="P20" s="2" t="n">
        <v>0</v>
      </c>
      <c r="Q20" s="2" t="inlineStr">
        <is>
          <t>Phantom Seeker</t>
        </is>
      </c>
      <c r="R20" s="2" t="n">
        <v>10</v>
      </c>
      <c r="S20" s="2" t="n"/>
      <c r="T20" s="2" t="n"/>
      <c r="U20" s="2" t="n">
        <v>0</v>
      </c>
      <c r="V20" s="2" t="inlineStr">
        <is>
          <t>masc:-0.2;fem:1.5</t>
        </is>
      </c>
      <c r="W20" s="2" t="n">
        <v>-0.2</v>
      </c>
      <c r="X20" s="2" t="n">
        <v>1.5</v>
      </c>
      <c r="Y20" s="2" t="inlineStr">
        <is>
          <t>COMM_Emotional</t>
        </is>
      </c>
      <c r="Z20" s="2" t="inlineStr">
        <is>
          <t>REG_SelfSoother</t>
        </is>
      </c>
      <c r="AA20" s="2" t="inlineStr">
        <is>
          <t>LANG_Touch</t>
        </is>
      </c>
      <c r="AB20" s="2" t="inlineStr">
        <is>
          <t>Commitment_Ambiguity</t>
        </is>
      </c>
      <c r="AC20" s="2" t="inlineStr">
        <is>
          <t>Commitment_Ambiguity</t>
        </is>
      </c>
      <c r="AD20" s="2" t="n"/>
      <c r="AE20" s="2" t="n">
        <v>5</v>
      </c>
      <c r="AF20" s="2" t="inlineStr">
        <is>
          <t>self-doubt delay</t>
        </is>
      </c>
      <c r="AG20" s="2" t="inlineStr">
        <is>
          <t>pullback protector</t>
        </is>
      </c>
      <c r="AH20" s="2" t="n">
        <v>0.6</v>
      </c>
      <c r="AI20" s="2" t="inlineStr">
        <is>
          <t>yes</t>
        </is>
      </c>
      <c r="AJ20" s="2" t="inlineStr">
        <is>
          <t>no</t>
        </is>
      </c>
      <c r="AK20" s="2" t="inlineStr">
        <is>
          <t>yes</t>
        </is>
      </c>
      <c r="AL20" s="2" t="inlineStr">
        <is>
          <t>yes</t>
        </is>
      </c>
      <c r="AM20" s="2" t="n"/>
      <c r="AN20" s="2" t="n"/>
      <c r="AO20" s="2" t="n"/>
      <c r="AP20" s="2" t="inlineStr">
        <is>
          <t>v3_2026-03-19</t>
        </is>
      </c>
      <c r="AQ20">
        <f>(L20-Schema_v5!$C2)/(Schema_v5!$C3-Schema_v5!$C2)</f>
        <v/>
      </c>
      <c r="AR20">
        <f>(M20-Schema_v5!$C4)/(Schema_v5!$C5-Schema_v5!$C4)</f>
        <v/>
      </c>
      <c r="AS20">
        <f>N20/Schema_v5!$C6</f>
        <v/>
      </c>
      <c r="AT20">
        <f>O20/Schema_v5!$C7</f>
        <v/>
      </c>
      <c r="AU20">
        <f>P20/Schema_v5!$C8</f>
        <v/>
      </c>
      <c r="AV20">
        <f>IF(Schema_v5!$C9=0,0,AH20/Schema_v5!$C9)</f>
        <v/>
      </c>
      <c r="AW20">
        <f>IF(Schema_v5!$C10=0,0,AE20/Schema_v5!$C10)</f>
        <v/>
      </c>
      <c r="AX20">
        <f>(W20-Schema_v5!$C11)/(Schema_v5!$C12-Schema_v5!$C11)</f>
        <v/>
      </c>
      <c r="AY20">
        <f>(X20-Schema_v5!$C13)/(Schema_v5!$C14-Schema_v5!$C13)</f>
        <v/>
      </c>
    </row>
    <row r="21" ht="162" customHeight="1" s="10">
      <c r="A21" s="2" t="inlineStr">
        <is>
          <t>Q04_E</t>
        </is>
      </c>
      <c r="B21" s="2" t="n">
        <v>4</v>
      </c>
      <c r="C21" s="2" t="n">
        <v>4</v>
      </c>
      <c r="D21" s="2" t="inlineStr">
        <is>
          <t>Core</t>
        </is>
      </c>
      <c r="E21" s="2" t="n">
        <v>1</v>
      </c>
      <c r="F21" s="2" t="inlineStr">
        <is>
          <t>CommunicationHealth</t>
        </is>
      </c>
      <c r="G21" s="2" t="inlineStr">
        <is>
          <t>EmotionalNeeds</t>
        </is>
      </c>
      <c r="H21" s="2" t="n"/>
      <c r="I21" s="2" t="inlineStr">
        <is>
          <t>E</t>
        </is>
      </c>
      <c r="J21" s="2" t="inlineStr">
        <is>
          <t>E</t>
        </is>
      </c>
      <c r="K21" s="2" t="inlineStr">
        <is>
          <t>I've learned not to announce when I'm done, I just leave when I'm sure. I downplay it out loud, but mentally I start planning my exit.</t>
        </is>
      </c>
      <c r="L21" s="2" t="n">
        <v>8</v>
      </c>
      <c r="M21" s="2" t="n">
        <v>8</v>
      </c>
      <c r="N21" s="2" t="n">
        <v>4</v>
      </c>
      <c r="O21" s="2" t="n">
        <v>4</v>
      </c>
      <c r="P21" s="2" t="n">
        <v>0</v>
      </c>
      <c r="Q21" s="2" t="inlineStr">
        <is>
          <t>Quiet Exit</t>
        </is>
      </c>
      <c r="R21" s="2" t="n">
        <v>4</v>
      </c>
      <c r="S21" s="2" t="n"/>
      <c r="T21" s="2" t="n"/>
      <c r="U21" s="2" t="n">
        <v>0</v>
      </c>
      <c r="V21" s="2" t="inlineStr">
        <is>
          <t>masc:1.4;fem:-1.3</t>
        </is>
      </c>
      <c r="W21" s="2" t="n">
        <v>1.4</v>
      </c>
      <c r="X21" s="2" t="n">
        <v>-1.3</v>
      </c>
      <c r="Y21" s="2" t="inlineStr">
        <is>
          <t>COMM_Avoidant</t>
        </is>
      </c>
      <c r="Z21" s="2" t="inlineStr">
        <is>
          <t>REG_Suppressor</t>
        </is>
      </c>
      <c r="AA21" s="2" t="inlineStr">
        <is>
          <t>LANG_Time</t>
        </is>
      </c>
      <c r="AB21" s="2" t="n"/>
      <c r="AC21" s="2" t="n"/>
      <c r="AD21" s="2" t="n"/>
      <c r="AE21" s="2" t="n">
        <v>0</v>
      </c>
      <c r="AF21" s="2" t="inlineStr">
        <is>
          <t>silent exit plan</t>
        </is>
      </c>
      <c r="AG21" s="2" t="inlineStr">
        <is>
          <t>strategic withdrawer</t>
        </is>
      </c>
      <c r="AH21" s="2" t="n">
        <v>1.2</v>
      </c>
      <c r="AI21" s="2" t="inlineStr">
        <is>
          <t>no</t>
        </is>
      </c>
      <c r="AJ21" s="2" t="inlineStr">
        <is>
          <t>no</t>
        </is>
      </c>
      <c r="AK21" s="2" t="inlineStr">
        <is>
          <t>yes</t>
        </is>
      </c>
      <c r="AL21" s="2" t="inlineStr">
        <is>
          <t>yes</t>
        </is>
      </c>
      <c r="AM21" s="2" t="n"/>
      <c r="AN21" s="2" t="n"/>
      <c r="AO21" s="2" t="n"/>
      <c r="AP21" s="2" t="inlineStr">
        <is>
          <t>v3_2026-03-19</t>
        </is>
      </c>
      <c r="AQ21">
        <f>(L21-Schema_v5!$C2)/(Schema_v5!$C3-Schema_v5!$C2)</f>
        <v/>
      </c>
      <c r="AR21">
        <f>(M21-Schema_v5!$C4)/(Schema_v5!$C5-Schema_v5!$C4)</f>
        <v/>
      </c>
      <c r="AS21">
        <f>N21/Schema_v5!$C6</f>
        <v/>
      </c>
      <c r="AT21">
        <f>O21/Schema_v5!$C7</f>
        <v/>
      </c>
      <c r="AU21">
        <f>P21/Schema_v5!$C8</f>
        <v/>
      </c>
      <c r="AV21">
        <f>IF(Schema_v5!$C9=0,0,AH21/Schema_v5!$C9)</f>
        <v/>
      </c>
      <c r="AW21">
        <f>IF(Schema_v5!$C10=0,0,AE21/Schema_v5!$C10)</f>
        <v/>
      </c>
      <c r="AX21">
        <f>(W21-Schema_v5!$C11)/(Schema_v5!$C12-Schema_v5!$C11)</f>
        <v/>
      </c>
      <c r="AY21">
        <f>(X21-Schema_v5!$C13)/(Schema_v5!$C14-Schema_v5!$C13)</f>
        <v/>
      </c>
    </row>
    <row r="22" ht="175.5" customHeight="1" s="10">
      <c r="A22" s="2" t="inlineStr">
        <is>
          <t>Q05_A</t>
        </is>
      </c>
      <c r="B22" s="2" t="n">
        <v>5</v>
      </c>
      <c r="C22" s="2" t="n">
        <v>5</v>
      </c>
      <c r="D22" s="2" t="inlineStr">
        <is>
          <t>Core</t>
        </is>
      </c>
      <c r="E22" s="2" t="n">
        <v>1</v>
      </c>
      <c r="F22" s="2" t="inlineStr">
        <is>
          <t>CommunicationHealth</t>
        </is>
      </c>
      <c r="G22" s="2" t="inlineStr">
        <is>
          <t>EmotionalNeeds</t>
        </is>
      </c>
      <c r="H22" s="2" t="inlineStr">
        <is>
          <t>You open up about something personal. They listen, but they don't really respond or say much. How do you take that?</t>
        </is>
      </c>
      <c r="I22" s="2" t="inlineStr">
        <is>
          <t>A</t>
        </is>
      </c>
      <c r="J22" s="2" t="inlineStr">
        <is>
          <t>A</t>
        </is>
      </c>
      <c r="K22" s="2" t="inlineStr">
        <is>
          <t>I don't expect much from people emotionally. I just log it as "noted" and move on. No point getting deep with someone who doesn't meet you there.</t>
        </is>
      </c>
      <c r="L22" s="2" t="n">
        <v>4</v>
      </c>
      <c r="M22" s="2" t="n">
        <v>5</v>
      </c>
      <c r="N22" s="2" t="n">
        <v>0</v>
      </c>
      <c r="O22" s="2" t="n">
        <v>0</v>
      </c>
      <c r="P22" s="2" t="n">
        <v>0</v>
      </c>
      <c r="Q22" s="2" t="inlineStr">
        <is>
          <t>Icebox</t>
        </is>
      </c>
      <c r="R22" s="2" t="n">
        <v>1</v>
      </c>
      <c r="S22" s="2" t="n"/>
      <c r="T22" s="2" t="n"/>
      <c r="U22" s="2" t="n">
        <v>0</v>
      </c>
      <c r="V22" s="2" t="inlineStr">
        <is>
          <t>masc:1.8;fem:-1.6</t>
        </is>
      </c>
      <c r="W22" s="2" t="n">
        <v>1.8</v>
      </c>
      <c r="X22" s="2" t="n">
        <v>-1.6</v>
      </c>
      <c r="Y22" s="2" t="inlineStr">
        <is>
          <t>COMM_Avoidant</t>
        </is>
      </c>
      <c r="Z22" s="2" t="inlineStr">
        <is>
          <t>REG_Suppressor</t>
        </is>
      </c>
      <c r="AA22" s="2" t="inlineStr">
        <is>
          <t>LANG_Time</t>
        </is>
      </c>
      <c r="AB22" s="2" t="inlineStr">
        <is>
          <t>Scorekeeping_Echo , Vulnerability_Loop</t>
        </is>
      </c>
      <c r="AC22" s="2" t="inlineStr">
        <is>
          <t>Scorekeeping_Echo</t>
        </is>
      </c>
      <c r="AD22" s="2" t="inlineStr">
        <is>
          <t>Vulnerability_Loop</t>
        </is>
      </c>
      <c r="AE22" s="2" t="n">
        <v>13</v>
      </c>
      <c r="AF22" s="2" t="inlineStr">
        <is>
          <t>low expectation logging</t>
        </is>
      </c>
      <c r="AG22" s="2" t="inlineStr">
        <is>
          <t>cool detacher</t>
        </is>
      </c>
      <c r="AH22" s="2" t="n">
        <v>0.6</v>
      </c>
      <c r="AI22" s="2" t="inlineStr">
        <is>
          <t>yes</t>
        </is>
      </c>
      <c r="AJ22" s="2" t="inlineStr">
        <is>
          <t>no</t>
        </is>
      </c>
      <c r="AK22" s="2" t="inlineStr">
        <is>
          <t>yes</t>
        </is>
      </c>
      <c r="AL22" s="2" t="inlineStr">
        <is>
          <t>yes</t>
        </is>
      </c>
      <c r="AM22" s="2" t="n"/>
      <c r="AN22" s="2" t="n"/>
      <c r="AO22" s="2" t="n"/>
      <c r="AP22" s="2" t="inlineStr">
        <is>
          <t>v3_2026-03-19</t>
        </is>
      </c>
      <c r="AQ22">
        <f>(L22-Schema_v5!$C2)/(Schema_v5!$C3-Schema_v5!$C2)</f>
        <v/>
      </c>
      <c r="AR22">
        <f>(M22-Schema_v5!$C4)/(Schema_v5!$C5-Schema_v5!$C4)</f>
        <v/>
      </c>
      <c r="AS22">
        <f>N22/Schema_v5!$C6</f>
        <v/>
      </c>
      <c r="AT22">
        <f>O22/Schema_v5!$C7</f>
        <v/>
      </c>
      <c r="AU22">
        <f>P22/Schema_v5!$C8</f>
        <v/>
      </c>
      <c r="AV22">
        <f>IF(Schema_v5!$C9=0,0,AH22/Schema_v5!$C9)</f>
        <v/>
      </c>
      <c r="AW22">
        <f>IF(Schema_v5!$C10=0,0,AE22/Schema_v5!$C10)</f>
        <v/>
      </c>
      <c r="AX22">
        <f>(W22-Schema_v5!$C11)/(Schema_v5!$C12-Schema_v5!$C11)</f>
        <v/>
      </c>
      <c r="AY22">
        <f>(X22-Schema_v5!$C13)/(Schema_v5!$C14-Schema_v5!$C13)</f>
        <v/>
      </c>
    </row>
    <row r="23" ht="135" customHeight="1" s="10">
      <c r="A23" s="2" t="inlineStr">
        <is>
          <t>Q05_B</t>
        </is>
      </c>
      <c r="B23" s="2" t="n">
        <v>5</v>
      </c>
      <c r="C23" s="2" t="n">
        <v>5</v>
      </c>
      <c r="D23" s="2" t="inlineStr">
        <is>
          <t>Core</t>
        </is>
      </c>
      <c r="E23" s="2" t="n">
        <v>1</v>
      </c>
      <c r="F23" s="2" t="inlineStr">
        <is>
          <t>CommunicationHealth</t>
        </is>
      </c>
      <c r="G23" s="2" t="inlineStr">
        <is>
          <t>EmotionalNeeds</t>
        </is>
      </c>
      <c r="H23" s="2" t="n"/>
      <c r="I23" s="2" t="inlineStr">
        <is>
          <t>B</t>
        </is>
      </c>
      <c r="J23" s="2" t="inlineStr">
        <is>
          <t>B</t>
        </is>
      </c>
      <c r="K23" s="2" t="inlineStr">
        <is>
          <t>I brush it off, but I don't forget it. Stuff like that reminds me who's safe and who just wants the easy version of me.</t>
        </is>
      </c>
      <c r="L23" s="2" t="n">
        <v>6</v>
      </c>
      <c r="M23" s="2" t="n">
        <v>7</v>
      </c>
      <c r="N23" s="2" t="n">
        <v>4</v>
      </c>
      <c r="O23" s="2" t="n">
        <v>6</v>
      </c>
      <c r="P23" s="2" t="n">
        <v>6</v>
      </c>
      <c r="Q23" s="2" t="inlineStr">
        <is>
          <t>Survivor</t>
        </is>
      </c>
      <c r="R23" s="2" t="n">
        <v>8</v>
      </c>
      <c r="S23" s="2" t="n"/>
      <c r="T23" s="2" t="n"/>
      <c r="U23" s="2" t="n">
        <v>0</v>
      </c>
      <c r="V23" s="2" t="inlineStr">
        <is>
          <t>masc:0.3;fem:1.3</t>
        </is>
      </c>
      <c r="W23" s="2" t="n">
        <v>0.3</v>
      </c>
      <c r="X23" s="2" t="n">
        <v>1.3</v>
      </c>
      <c r="Y23" s="2" t="inlineStr">
        <is>
          <t>COMM_Emotional</t>
        </is>
      </c>
      <c r="Z23" s="2" t="inlineStr">
        <is>
          <t>REG_SelfSoother</t>
        </is>
      </c>
      <c r="AA23" s="2" t="inlineStr">
        <is>
          <t>LANG_Service</t>
        </is>
      </c>
      <c r="AB23" s="2" t="n"/>
      <c r="AC23" s="2" t="n"/>
      <c r="AD23" s="2" t="n"/>
      <c r="AE23" s="2" t="n">
        <v>0</v>
      </c>
      <c r="AF23" s="2" t="inlineStr">
        <is>
          <t>guarded memory</t>
        </is>
      </c>
      <c r="AG23" s="2" t="inlineStr">
        <is>
          <t>loyalty filter</t>
        </is>
      </c>
      <c r="AH23" s="2" t="n">
        <v>0</v>
      </c>
      <c r="AI23" s="2" t="inlineStr">
        <is>
          <t>no</t>
        </is>
      </c>
      <c r="AJ23" s="2" t="inlineStr">
        <is>
          <t>no</t>
        </is>
      </c>
      <c r="AK23" s="2" t="inlineStr">
        <is>
          <t>yes</t>
        </is>
      </c>
      <c r="AL23" s="2" t="inlineStr">
        <is>
          <t>yes</t>
        </is>
      </c>
      <c r="AM23" s="2" t="n"/>
      <c r="AN23" s="2" t="n"/>
      <c r="AO23" s="2" t="n"/>
      <c r="AP23" s="2" t="inlineStr">
        <is>
          <t>v3_2026-03-19</t>
        </is>
      </c>
      <c r="AQ23">
        <f>(L23-Schema_v5!$C2)/(Schema_v5!$C3-Schema_v5!$C2)</f>
        <v/>
      </c>
      <c r="AR23">
        <f>(M23-Schema_v5!$C4)/(Schema_v5!$C5-Schema_v5!$C4)</f>
        <v/>
      </c>
      <c r="AS23">
        <f>N23/Schema_v5!$C6</f>
        <v/>
      </c>
      <c r="AT23">
        <f>O23/Schema_v5!$C7</f>
        <v/>
      </c>
      <c r="AU23">
        <f>P23/Schema_v5!$C8</f>
        <v/>
      </c>
      <c r="AV23">
        <f>IF(Schema_v5!$C9=0,0,AH23/Schema_v5!$C9)</f>
        <v/>
      </c>
      <c r="AW23">
        <f>IF(Schema_v5!$C10=0,0,AE23/Schema_v5!$C10)</f>
        <v/>
      </c>
      <c r="AX23">
        <f>(W23-Schema_v5!$C11)/(Schema_v5!$C12-Schema_v5!$C11)</f>
        <v/>
      </c>
      <c r="AY23">
        <f>(X23-Schema_v5!$C13)/(Schema_v5!$C14-Schema_v5!$C13)</f>
        <v/>
      </c>
    </row>
    <row r="24" ht="148.5" customHeight="1" s="10">
      <c r="A24" s="2" t="inlineStr">
        <is>
          <t>Q05_C</t>
        </is>
      </c>
      <c r="B24" s="2" t="n">
        <v>5</v>
      </c>
      <c r="C24" s="2" t="n">
        <v>5</v>
      </c>
      <c r="D24" s="2" t="inlineStr">
        <is>
          <t>Core</t>
        </is>
      </c>
      <c r="E24" s="2" t="n">
        <v>1</v>
      </c>
      <c r="F24" s="2" t="inlineStr">
        <is>
          <t>CommunicationHealth</t>
        </is>
      </c>
      <c r="G24" s="2" t="inlineStr">
        <is>
          <t>EmotionalNeeds</t>
        </is>
      </c>
      <c r="H24" s="2" t="n"/>
      <c r="I24" s="2" t="inlineStr">
        <is>
          <t>C</t>
        </is>
      </c>
      <c r="J24" s="2" t="inlineStr">
        <is>
          <t>C</t>
        </is>
      </c>
      <c r="K24" s="2" t="inlineStr">
        <is>
          <t>I try to explain again, maybe they didn't get it. And if they still don't? I stop showing that side to someone who doesn't see me.</t>
        </is>
      </c>
      <c r="L24" s="2" t="n">
        <v>8</v>
      </c>
      <c r="M24" s="2" t="n">
        <v>9</v>
      </c>
      <c r="N24" s="2" t="n">
        <v>8</v>
      </c>
      <c r="O24" s="2" t="n">
        <v>10</v>
      </c>
      <c r="P24" s="2" t="n">
        <v>8</v>
      </c>
      <c r="Q24" s="2" t="inlineStr">
        <is>
          <t>Fixer</t>
        </is>
      </c>
      <c r="R24" s="2" t="n">
        <v>5</v>
      </c>
      <c r="S24" s="2" t="n"/>
      <c r="T24" s="2" t="n"/>
      <c r="U24" s="2" t="n">
        <v>0</v>
      </c>
      <c r="V24" s="2" t="inlineStr">
        <is>
          <t>masc:-0.4;fem:2.0</t>
        </is>
      </c>
      <c r="W24" s="2" t="n">
        <v>-0.4</v>
      </c>
      <c r="X24" s="2" t="n">
        <v>2</v>
      </c>
      <c r="Y24" s="2" t="inlineStr">
        <is>
          <t>COMM_Emotional</t>
        </is>
      </c>
      <c r="Z24" s="2" t="inlineStr">
        <is>
          <t>REG_CoRegulator</t>
        </is>
      </c>
      <c r="AA24" s="2" t="inlineStr">
        <is>
          <t>LANG_Service</t>
        </is>
      </c>
      <c r="AB24" s="2" t="n"/>
      <c r="AC24" s="2" t="n"/>
      <c r="AD24" s="2" t="n"/>
      <c r="AE24" s="2" t="n">
        <v>0</v>
      </c>
      <c r="AF24" s="2" t="inlineStr">
        <is>
          <t>repair attempt</t>
        </is>
      </c>
      <c r="AG24" s="2" t="inlineStr">
        <is>
          <t>persistent helper</t>
        </is>
      </c>
      <c r="AH24" s="2" t="n">
        <v>0</v>
      </c>
      <c r="AI24" s="2" t="inlineStr">
        <is>
          <t>no</t>
        </is>
      </c>
      <c r="AJ24" s="2" t="inlineStr">
        <is>
          <t>no</t>
        </is>
      </c>
      <c r="AK24" s="2" t="inlineStr">
        <is>
          <t>yes</t>
        </is>
      </c>
      <c r="AL24" s="2" t="inlineStr">
        <is>
          <t>yes</t>
        </is>
      </c>
      <c r="AM24" s="2" t="n"/>
      <c r="AN24" s="2" t="n"/>
      <c r="AO24" s="2" t="n"/>
      <c r="AP24" s="2" t="inlineStr">
        <is>
          <t>v3_2026-03-19</t>
        </is>
      </c>
      <c r="AQ24">
        <f>(L24-Schema_v5!$C2)/(Schema_v5!$C3-Schema_v5!$C2)</f>
        <v/>
      </c>
      <c r="AR24">
        <f>(M24-Schema_v5!$C4)/(Schema_v5!$C5-Schema_v5!$C4)</f>
        <v/>
      </c>
      <c r="AS24">
        <f>N24/Schema_v5!$C6</f>
        <v/>
      </c>
      <c r="AT24">
        <f>O24/Schema_v5!$C7</f>
        <v/>
      </c>
      <c r="AU24">
        <f>P24/Schema_v5!$C8</f>
        <v/>
      </c>
      <c r="AV24">
        <f>IF(Schema_v5!$C9=0,0,AH24/Schema_v5!$C9)</f>
        <v/>
      </c>
      <c r="AW24">
        <f>IF(Schema_v5!$C10=0,0,AE24/Schema_v5!$C10)</f>
        <v/>
      </c>
      <c r="AX24">
        <f>(W24-Schema_v5!$C11)/(Schema_v5!$C12-Schema_v5!$C11)</f>
        <v/>
      </c>
      <c r="AY24">
        <f>(X24-Schema_v5!$C13)/(Schema_v5!$C14-Schema_v5!$C13)</f>
        <v/>
      </c>
    </row>
    <row r="25" ht="162" customHeight="1" s="10">
      <c r="A25" s="2" t="inlineStr">
        <is>
          <t>Q05_D</t>
        </is>
      </c>
      <c r="B25" s="2" t="n">
        <v>5</v>
      </c>
      <c r="C25" s="2" t="n">
        <v>5</v>
      </c>
      <c r="D25" s="2" t="inlineStr">
        <is>
          <t>Core</t>
        </is>
      </c>
      <c r="E25" s="2" t="n">
        <v>1</v>
      </c>
      <c r="F25" s="2" t="inlineStr">
        <is>
          <t>CommunicationHealth</t>
        </is>
      </c>
      <c r="G25" s="2" t="inlineStr">
        <is>
          <t>EmotionalNeeds</t>
        </is>
      </c>
      <c r="H25" s="2" t="n"/>
      <c r="I25" s="2" t="inlineStr">
        <is>
          <t>D</t>
        </is>
      </c>
      <c r="J25" s="2" t="inlineStr">
        <is>
          <t>D</t>
        </is>
      </c>
      <c r="K25" s="2" t="inlineStr">
        <is>
          <t>I keep it smooth, but I notice the shift. Makes me rethink what I share next time, it's easier to just stay surface when people don't respond.</t>
        </is>
      </c>
      <c r="L25" s="2" t="n">
        <v>5</v>
      </c>
      <c r="M25" s="2" t="n">
        <v>6</v>
      </c>
      <c r="N25" s="2" t="n">
        <v>0</v>
      </c>
      <c r="O25" s="2" t="n">
        <v>2</v>
      </c>
      <c r="P25" s="2" t="n">
        <v>0</v>
      </c>
      <c r="Q25" s="2" t="inlineStr">
        <is>
          <t>Performer</t>
        </is>
      </c>
      <c r="R25" s="2" t="n">
        <v>7</v>
      </c>
      <c r="S25" s="2" t="n"/>
      <c r="T25" s="2" t="n"/>
      <c r="U25" s="2" t="n">
        <v>0</v>
      </c>
      <c r="V25" s="2" t="inlineStr">
        <is>
          <t>masc:0.3;fem:0.5</t>
        </is>
      </c>
      <c r="W25" s="2" t="n">
        <v>0.3</v>
      </c>
      <c r="X25" s="2" t="n">
        <v>0.5</v>
      </c>
      <c r="Y25" s="2" t="inlineStr">
        <is>
          <t>COMM_Indirect</t>
        </is>
      </c>
      <c r="Z25" s="2" t="inlineStr">
        <is>
          <t>REG_Distractor</t>
        </is>
      </c>
      <c r="AA25" s="2" t="inlineStr">
        <is>
          <t>LANG_Gifts</t>
        </is>
      </c>
      <c r="AB25" s="2" t="inlineStr">
        <is>
          <t>Public_Private_Split , Conflict_Flip</t>
        </is>
      </c>
      <c r="AC25" s="2" t="inlineStr">
        <is>
          <t>Public_Private_Split</t>
        </is>
      </c>
      <c r="AD25" s="2" t="inlineStr">
        <is>
          <t>Conflict_Flip</t>
        </is>
      </c>
      <c r="AE25" s="2" t="n">
        <v>8</v>
      </c>
      <c r="AF25" s="2" t="inlineStr">
        <is>
          <t>image-based withdrawal</t>
        </is>
      </c>
      <c r="AG25" s="2" t="inlineStr">
        <is>
          <t>surface masker</t>
        </is>
      </c>
      <c r="AH25" s="2" t="n">
        <v>1.2</v>
      </c>
      <c r="AI25" s="2" t="inlineStr">
        <is>
          <t>yes</t>
        </is>
      </c>
      <c r="AJ25" s="2" t="inlineStr">
        <is>
          <t>no</t>
        </is>
      </c>
      <c r="AK25" s="2" t="inlineStr">
        <is>
          <t>yes</t>
        </is>
      </c>
      <c r="AL25" s="2" t="inlineStr">
        <is>
          <t>yes</t>
        </is>
      </c>
      <c r="AM25" s="2" t="n"/>
      <c r="AN25" s="2" t="n"/>
      <c r="AO25" s="2" t="n"/>
      <c r="AP25" s="2" t="inlineStr">
        <is>
          <t>v3_2026-03-19</t>
        </is>
      </c>
      <c r="AQ25">
        <f>(L25-Schema_v5!$C2)/(Schema_v5!$C3-Schema_v5!$C2)</f>
        <v/>
      </c>
      <c r="AR25">
        <f>(M25-Schema_v5!$C4)/(Schema_v5!$C5-Schema_v5!$C4)</f>
        <v/>
      </c>
      <c r="AS25">
        <f>N25/Schema_v5!$C6</f>
        <v/>
      </c>
      <c r="AT25">
        <f>O25/Schema_v5!$C7</f>
        <v/>
      </c>
      <c r="AU25">
        <f>P25/Schema_v5!$C8</f>
        <v/>
      </c>
      <c r="AV25">
        <f>IF(Schema_v5!$C9=0,0,AH25/Schema_v5!$C9)</f>
        <v/>
      </c>
      <c r="AW25">
        <f>IF(Schema_v5!$C10=0,0,AE25/Schema_v5!$C10)</f>
        <v/>
      </c>
      <c r="AX25">
        <f>(W25-Schema_v5!$C11)/(Schema_v5!$C12-Schema_v5!$C11)</f>
        <v/>
      </c>
      <c r="AY25">
        <f>(X25-Schema_v5!$C13)/(Schema_v5!$C14-Schema_v5!$C13)</f>
        <v/>
      </c>
    </row>
    <row r="26" ht="121.5" customHeight="1" s="10">
      <c r="A26" s="2" t="inlineStr">
        <is>
          <t>Q05_E</t>
        </is>
      </c>
      <c r="B26" s="2" t="n">
        <v>5</v>
      </c>
      <c r="C26" s="2" t="n">
        <v>5</v>
      </c>
      <c r="D26" s="2" t="inlineStr">
        <is>
          <t>Core</t>
        </is>
      </c>
      <c r="E26" s="2" t="n">
        <v>1</v>
      </c>
      <c r="F26" s="2" t="inlineStr">
        <is>
          <t>CommunicationHealth</t>
        </is>
      </c>
      <c r="G26" s="2" t="inlineStr">
        <is>
          <t>EmotionalNeeds</t>
        </is>
      </c>
      <c r="H26" s="2" t="n"/>
      <c r="I26" s="2" t="inlineStr">
        <is>
          <t>E</t>
        </is>
      </c>
      <c r="J26" s="2" t="inlineStr">
        <is>
          <t>E</t>
        </is>
      </c>
      <c r="K26" s="2" t="inlineStr">
        <is>
          <t>Silence says a lot. I take note. If they care, it'll show later, if not, I don't open that part of me again.</t>
        </is>
      </c>
      <c r="L26" s="2" t="n">
        <v>9</v>
      </c>
      <c r="M26" s="2" t="n">
        <v>9</v>
      </c>
      <c r="N26" s="2" t="n">
        <v>10</v>
      </c>
      <c r="O26" s="2" t="n">
        <v>10</v>
      </c>
      <c r="P26" s="2" t="n">
        <v>10</v>
      </c>
      <c r="Q26" s="2" t="inlineStr">
        <is>
          <t>Regulated Grown-Up</t>
        </is>
      </c>
      <c r="R26" s="2" t="n">
        <v>9</v>
      </c>
      <c r="S26" s="2" t="n"/>
      <c r="T26" s="2" t="n"/>
      <c r="U26" s="2" t="n">
        <v>0</v>
      </c>
      <c r="V26" s="2" t="inlineStr">
        <is>
          <t>masc:1.1;fem:0.9</t>
        </is>
      </c>
      <c r="W26" s="2" t="n">
        <v>1.1</v>
      </c>
      <c r="X26" s="2" t="n">
        <v>0.9</v>
      </c>
      <c r="Y26" s="2" t="inlineStr">
        <is>
          <t>COMM_Direct</t>
        </is>
      </c>
      <c r="Z26" s="2" t="inlineStr">
        <is>
          <t>REG_CoRegulator</t>
        </is>
      </c>
      <c r="AA26" s="2" t="inlineStr">
        <is>
          <t>LANG_Words</t>
        </is>
      </c>
      <c r="AB26" s="2" t="n"/>
      <c r="AC26" s="2" t="n"/>
      <c r="AD26" s="2" t="n"/>
      <c r="AE26" s="2" t="n">
        <v>0</v>
      </c>
      <c r="AF26" s="2" t="inlineStr">
        <is>
          <t>high awareness</t>
        </is>
      </c>
      <c r="AG26" s="2" t="inlineStr">
        <is>
          <t>calm sentinel</t>
        </is>
      </c>
      <c r="AH26" s="2" t="n">
        <v>0</v>
      </c>
      <c r="AI26" s="2" t="inlineStr">
        <is>
          <t>no</t>
        </is>
      </c>
      <c r="AJ26" s="2" t="inlineStr">
        <is>
          <t>no</t>
        </is>
      </c>
      <c r="AK26" s="2" t="inlineStr">
        <is>
          <t>yes</t>
        </is>
      </c>
      <c r="AL26" s="2" t="inlineStr">
        <is>
          <t>yes</t>
        </is>
      </c>
      <c r="AM26" s="2" t="n"/>
      <c r="AN26" s="2" t="n"/>
      <c r="AO26" s="2" t="n"/>
      <c r="AP26" s="2" t="inlineStr">
        <is>
          <t>v3_2026-03-19</t>
        </is>
      </c>
      <c r="AQ26">
        <f>(L26-Schema_v5!$C2)/(Schema_v5!$C3-Schema_v5!$C2)</f>
        <v/>
      </c>
      <c r="AR26">
        <f>(M26-Schema_v5!$C4)/(Schema_v5!$C5-Schema_v5!$C4)</f>
        <v/>
      </c>
      <c r="AS26">
        <f>N26/Schema_v5!$C6</f>
        <v/>
      </c>
      <c r="AT26">
        <f>O26/Schema_v5!$C7</f>
        <v/>
      </c>
      <c r="AU26">
        <f>P26/Schema_v5!$C8</f>
        <v/>
      </c>
      <c r="AV26">
        <f>IF(Schema_v5!$C9=0,0,AH26/Schema_v5!$C9)</f>
        <v/>
      </c>
      <c r="AW26">
        <f>IF(Schema_v5!$C10=0,0,AE26/Schema_v5!$C10)</f>
        <v/>
      </c>
      <c r="AX26">
        <f>(W26-Schema_v5!$C11)/(Schema_v5!$C12-Schema_v5!$C11)</f>
        <v/>
      </c>
      <c r="AY26">
        <f>(X26-Schema_v5!$C13)/(Schema_v5!$C14-Schema_v5!$C13)</f>
        <v/>
      </c>
    </row>
    <row r="27" ht="108" customHeight="1" s="10">
      <c r="A27" s="2" t="inlineStr">
        <is>
          <t>Q06_A</t>
        </is>
      </c>
      <c r="B27" s="2" t="n">
        <v>6</v>
      </c>
      <c r="C27" s="2" t="n">
        <v>6</v>
      </c>
      <c r="D27" s="2" t="inlineStr">
        <is>
          <t>Core</t>
        </is>
      </c>
      <c r="E27" s="2" t="n">
        <v>1</v>
      </c>
      <c r="F27" s="2" t="inlineStr">
        <is>
          <t>CommunicationHealth</t>
        </is>
      </c>
      <c r="G27" s="2" t="inlineStr">
        <is>
          <t>EmotionalNeeds</t>
        </is>
      </c>
      <c r="H27" s="2" t="inlineStr">
        <is>
          <t>Question 6: One day they're into you, then distant the next. How do you handle the mixed signals?</t>
        </is>
      </c>
      <c r="I27" s="2" t="inlineStr">
        <is>
          <t>A</t>
        </is>
      </c>
      <c r="J27" s="2" t="inlineStr">
        <is>
          <t>A</t>
        </is>
      </c>
      <c r="K27" s="2" t="inlineStr">
        <is>
          <t>If you're hot and cold, I'm room temperature and gone. I'm not here to decode moods.</t>
        </is>
      </c>
      <c r="L27" s="2" t="n">
        <v>9</v>
      </c>
      <c r="M27" s="2" t="n">
        <v>9</v>
      </c>
      <c r="N27" s="2" t="n">
        <v>10</v>
      </c>
      <c r="O27" s="2" t="n">
        <v>10</v>
      </c>
      <c r="P27" s="2" t="n">
        <v>10</v>
      </c>
      <c r="Q27" s="2" t="inlineStr">
        <is>
          <t>Regulated Grown-Up</t>
        </is>
      </c>
      <c r="R27" s="2" t="n">
        <v>9</v>
      </c>
      <c r="S27" s="2" t="n"/>
      <c r="T27" s="2" t="n"/>
      <c r="U27" s="2" t="n">
        <v>0</v>
      </c>
      <c r="V27" s="2" t="inlineStr">
        <is>
          <t>masc:1.1;fem:0.9</t>
        </is>
      </c>
      <c r="W27" s="2" t="n">
        <v>1.1</v>
      </c>
      <c r="X27" s="2" t="n">
        <v>0.9</v>
      </c>
      <c r="Y27" s="2" t="inlineStr">
        <is>
          <t>COMM_Direct</t>
        </is>
      </c>
      <c r="Z27" s="2" t="inlineStr">
        <is>
          <t>REG_CoRegulator</t>
        </is>
      </c>
      <c r="AA27" s="2" t="inlineStr">
        <is>
          <t>LANG_Words</t>
        </is>
      </c>
      <c r="AB27" s="2" t="n"/>
      <c r="AC27" s="2" t="n"/>
      <c r="AD27" s="2" t="n"/>
      <c r="AE27" s="2" t="n">
        <v>0</v>
      </c>
      <c r="AF27" s="2" t="inlineStr">
        <is>
          <t>blunt detachment</t>
        </is>
      </c>
      <c r="AG27" s="2" t="inlineStr">
        <is>
          <t>immediate cutoff</t>
        </is>
      </c>
      <c r="AH27" s="2" t="n">
        <v>1.2</v>
      </c>
      <c r="AI27" s="2" t="inlineStr">
        <is>
          <t>no</t>
        </is>
      </c>
      <c r="AJ27" s="2" t="inlineStr">
        <is>
          <t>no</t>
        </is>
      </c>
      <c r="AK27" s="2" t="inlineStr">
        <is>
          <t>yes</t>
        </is>
      </c>
      <c r="AL27" s="2" t="inlineStr">
        <is>
          <t>yes</t>
        </is>
      </c>
      <c r="AM27" s="2" t="n"/>
      <c r="AN27" s="2" t="n"/>
      <c r="AO27" s="2" t="n"/>
      <c r="AP27" s="2" t="inlineStr">
        <is>
          <t>v3_2026-03-19</t>
        </is>
      </c>
      <c r="AQ27">
        <f>(L27-Schema_v5!$C2)/(Schema_v5!$C3-Schema_v5!$C2)</f>
        <v/>
      </c>
      <c r="AR27">
        <f>(M27-Schema_v5!$C4)/(Schema_v5!$C5-Schema_v5!$C4)</f>
        <v/>
      </c>
      <c r="AS27">
        <f>N27/Schema_v5!$C6</f>
        <v/>
      </c>
      <c r="AT27">
        <f>O27/Schema_v5!$C7</f>
        <v/>
      </c>
      <c r="AU27">
        <f>P27/Schema_v5!$C8</f>
        <v/>
      </c>
      <c r="AV27">
        <f>IF(Schema_v5!$C9=0,0,AH27/Schema_v5!$C9)</f>
        <v/>
      </c>
      <c r="AW27">
        <f>IF(Schema_v5!$C10=0,0,AE27/Schema_v5!$C10)</f>
        <v/>
      </c>
      <c r="AX27">
        <f>(W27-Schema_v5!$C11)/(Schema_v5!$C12-Schema_v5!$C11)</f>
        <v/>
      </c>
      <c r="AY27">
        <f>(X27-Schema_v5!$C13)/(Schema_v5!$C14-Schema_v5!$C13)</f>
        <v/>
      </c>
    </row>
    <row r="28" ht="175.5" customHeight="1" s="10">
      <c r="A28" s="2" t="inlineStr">
        <is>
          <t>Q06_B</t>
        </is>
      </c>
      <c r="B28" s="2" t="n">
        <v>6</v>
      </c>
      <c r="C28" s="2" t="n">
        <v>6</v>
      </c>
      <c r="D28" s="2" t="inlineStr">
        <is>
          <t>Core</t>
        </is>
      </c>
      <c r="E28" s="2" t="n">
        <v>1</v>
      </c>
      <c r="F28" s="2" t="inlineStr">
        <is>
          <t>CommunicationHealth</t>
        </is>
      </c>
      <c r="G28" s="2" t="inlineStr">
        <is>
          <t>EmotionalNeeds</t>
        </is>
      </c>
      <c r="H28" s="2" t="n"/>
      <c r="I28" s="2" t="inlineStr">
        <is>
          <t>B</t>
        </is>
      </c>
      <c r="J28" s="2" t="inlineStr">
        <is>
          <t>B</t>
        </is>
      </c>
      <c r="K28" s="2" t="inlineStr">
        <is>
          <t>I recheck our last texts. Then I reread mine. Then I wonder if I should've said less, or more. I don't bring it up, but it definitely rewires how I respond.</t>
        </is>
      </c>
      <c r="L28" s="2" t="n">
        <v>5</v>
      </c>
      <c r="M28" s="2" t="n">
        <v>6</v>
      </c>
      <c r="N28" s="2" t="n">
        <v>4</v>
      </c>
      <c r="O28" s="2" t="n">
        <v>4</v>
      </c>
      <c r="P28" s="2" t="n">
        <v>2</v>
      </c>
      <c r="Q28" s="2" t="inlineStr">
        <is>
          <t>Analyzer</t>
        </is>
      </c>
      <c r="R28" s="2" t="n">
        <v>2</v>
      </c>
      <c r="S28" s="2" t="n"/>
      <c r="T28" s="2" t="n"/>
      <c r="U28" s="2" t="n">
        <v>0</v>
      </c>
      <c r="V28" s="2" t="inlineStr">
        <is>
          <t>masc:1.4;fem:0.1</t>
        </is>
      </c>
      <c r="W28" s="2" t="n">
        <v>1.4</v>
      </c>
      <c r="X28" s="2" t="n">
        <v>0.1</v>
      </c>
      <c r="Y28" s="2" t="inlineStr">
        <is>
          <t>COMM_Logical</t>
        </is>
      </c>
      <c r="Z28" s="2" t="inlineStr">
        <is>
          <t>REG_SelfSoother</t>
        </is>
      </c>
      <c r="AA28" s="2" t="inlineStr">
        <is>
          <t>LANG_Service</t>
        </is>
      </c>
      <c r="AB28" s="2" t="inlineStr">
        <is>
          <t>Trust_Tension</t>
        </is>
      </c>
      <c r="AC28" s="2" t="inlineStr">
        <is>
          <t>Trust_Tension</t>
        </is>
      </c>
      <c r="AD28" s="2" t="n"/>
      <c r="AE28" s="2" t="n">
        <v>6</v>
      </c>
      <c r="AF28" s="2" t="inlineStr">
        <is>
          <t>emotional spiral</t>
        </is>
      </c>
      <c r="AG28" s="2" t="inlineStr">
        <is>
          <t>overanalyzer</t>
        </is>
      </c>
      <c r="AH28" s="2" t="n">
        <v>0</v>
      </c>
      <c r="AI28" s="2" t="inlineStr">
        <is>
          <t>yes</t>
        </is>
      </c>
      <c r="AJ28" s="2" t="inlineStr">
        <is>
          <t>no</t>
        </is>
      </c>
      <c r="AK28" s="2" t="inlineStr">
        <is>
          <t>yes</t>
        </is>
      </c>
      <c r="AL28" s="2" t="inlineStr">
        <is>
          <t>yes</t>
        </is>
      </c>
      <c r="AM28" s="2" t="n"/>
      <c r="AN28" s="2" t="n"/>
      <c r="AO28" s="2" t="n"/>
      <c r="AP28" s="2" t="inlineStr">
        <is>
          <t>v3_2026-03-19</t>
        </is>
      </c>
      <c r="AQ28">
        <f>(L28-Schema_v5!$C2)/(Schema_v5!$C3-Schema_v5!$C2)</f>
        <v/>
      </c>
      <c r="AR28">
        <f>(M28-Schema_v5!$C4)/(Schema_v5!$C5-Schema_v5!$C4)</f>
        <v/>
      </c>
      <c r="AS28">
        <f>N28/Schema_v5!$C6</f>
        <v/>
      </c>
      <c r="AT28">
        <f>O28/Schema_v5!$C7</f>
        <v/>
      </c>
      <c r="AU28">
        <f>P28/Schema_v5!$C8</f>
        <v/>
      </c>
      <c r="AV28">
        <f>IF(Schema_v5!$C9=0,0,AH28/Schema_v5!$C9)</f>
        <v/>
      </c>
      <c r="AW28">
        <f>IF(Schema_v5!$C10=0,0,AE28/Schema_v5!$C10)</f>
        <v/>
      </c>
      <c r="AX28">
        <f>(W28-Schema_v5!$C11)/(Schema_v5!$C12-Schema_v5!$C11)</f>
        <v/>
      </c>
      <c r="AY28">
        <f>(X28-Schema_v5!$C13)/(Schema_v5!$C14-Schema_v5!$C13)</f>
        <v/>
      </c>
    </row>
    <row r="29" ht="121.5" customHeight="1" s="10">
      <c r="A29" s="2" t="inlineStr">
        <is>
          <t>Q06_C</t>
        </is>
      </c>
      <c r="B29" s="2" t="n">
        <v>6</v>
      </c>
      <c r="C29" s="2" t="n">
        <v>6</v>
      </c>
      <c r="D29" s="2" t="inlineStr">
        <is>
          <t>Core</t>
        </is>
      </c>
      <c r="E29" s="2" t="n">
        <v>1</v>
      </c>
      <c r="F29" s="2" t="inlineStr">
        <is>
          <t>CommunicationHealth</t>
        </is>
      </c>
      <c r="G29" s="2" t="inlineStr">
        <is>
          <t>EmotionalNeeds</t>
        </is>
      </c>
      <c r="H29" s="2" t="n"/>
      <c r="I29" s="2" t="inlineStr">
        <is>
          <t>C</t>
        </is>
      </c>
      <c r="J29" s="2" t="inlineStr">
        <is>
          <t>C</t>
        </is>
      </c>
      <c r="K29" s="2" t="inlineStr">
        <is>
          <t>I back off. They'll either notice or they won't. I'm not chasing people who don't know what they want.</t>
        </is>
      </c>
      <c r="L29" s="2" t="n">
        <v>4</v>
      </c>
      <c r="M29" s="2" t="n">
        <v>5</v>
      </c>
      <c r="N29" s="2" t="n">
        <v>0</v>
      </c>
      <c r="O29" s="2" t="n">
        <v>0</v>
      </c>
      <c r="P29" s="2" t="n">
        <v>0</v>
      </c>
      <c r="Q29" s="2" t="inlineStr">
        <is>
          <t>Icebox</t>
        </is>
      </c>
      <c r="R29" s="2" t="n">
        <v>1</v>
      </c>
      <c r="S29" s="2" t="n"/>
      <c r="T29" s="2" t="n"/>
      <c r="U29" s="2" t="n">
        <v>0</v>
      </c>
      <c r="V29" s="2" t="inlineStr">
        <is>
          <t>masc:1.8;fem:-1.6</t>
        </is>
      </c>
      <c r="W29" s="2" t="n">
        <v>1.8</v>
      </c>
      <c r="X29" s="2" t="n">
        <v>-1.6</v>
      </c>
      <c r="Y29" s="2" t="inlineStr">
        <is>
          <t>COMM_Avoidant</t>
        </is>
      </c>
      <c r="Z29" s="2" t="inlineStr">
        <is>
          <t>REG_Suppressor</t>
        </is>
      </c>
      <c r="AA29" s="2" t="inlineStr">
        <is>
          <t>LANG_Time</t>
        </is>
      </c>
      <c r="AB29" s="2" t="inlineStr">
        <is>
          <t>Vulnerability_Loop</t>
        </is>
      </c>
      <c r="AC29" s="2" t="inlineStr">
        <is>
          <t>Vulnerability_Loop</t>
        </is>
      </c>
      <c r="AD29" s="2" t="n"/>
      <c r="AE29" s="2" t="n">
        <v>5</v>
      </c>
      <c r="AF29" s="2" t="inlineStr">
        <is>
          <t>quiet burn</t>
        </is>
      </c>
      <c r="AG29" s="2" t="inlineStr">
        <is>
          <t>disengaged pullback</t>
        </is>
      </c>
      <c r="AH29" s="2" t="n">
        <v>0.6</v>
      </c>
      <c r="AI29" s="2" t="inlineStr">
        <is>
          <t>yes</t>
        </is>
      </c>
      <c r="AJ29" s="2" t="inlineStr">
        <is>
          <t>no</t>
        </is>
      </c>
      <c r="AK29" s="2" t="inlineStr">
        <is>
          <t>yes</t>
        </is>
      </c>
      <c r="AL29" s="2" t="inlineStr">
        <is>
          <t>yes</t>
        </is>
      </c>
      <c r="AM29" s="2" t="n"/>
      <c r="AN29" s="2" t="n"/>
      <c r="AO29" s="2" t="n"/>
      <c r="AP29" s="2" t="inlineStr">
        <is>
          <t>v3_2026-03-19</t>
        </is>
      </c>
      <c r="AQ29">
        <f>(L29-Schema_v5!$C2)/(Schema_v5!$C3-Schema_v5!$C2)</f>
        <v/>
      </c>
      <c r="AR29">
        <f>(M29-Schema_v5!$C4)/(Schema_v5!$C5-Schema_v5!$C4)</f>
        <v/>
      </c>
      <c r="AS29">
        <f>N29/Schema_v5!$C6</f>
        <v/>
      </c>
      <c r="AT29">
        <f>O29/Schema_v5!$C7</f>
        <v/>
      </c>
      <c r="AU29">
        <f>P29/Schema_v5!$C8</f>
        <v/>
      </c>
      <c r="AV29">
        <f>IF(Schema_v5!$C9=0,0,AH29/Schema_v5!$C9)</f>
        <v/>
      </c>
      <c r="AW29">
        <f>IF(Schema_v5!$C10=0,0,AE29/Schema_v5!$C10)</f>
        <v/>
      </c>
      <c r="AX29">
        <f>(W29-Schema_v5!$C11)/(Schema_v5!$C12-Schema_v5!$C11)</f>
        <v/>
      </c>
      <c r="AY29">
        <f>(X29-Schema_v5!$C13)/(Schema_v5!$C14-Schema_v5!$C13)</f>
        <v/>
      </c>
    </row>
    <row r="30" ht="148.5" customHeight="1" s="10">
      <c r="A30" s="2" t="inlineStr">
        <is>
          <t>Q06_D</t>
        </is>
      </c>
      <c r="B30" s="2" t="n">
        <v>6</v>
      </c>
      <c r="C30" s="2" t="n">
        <v>6</v>
      </c>
      <c r="D30" s="2" t="inlineStr">
        <is>
          <t>Core</t>
        </is>
      </c>
      <c r="E30" s="2" t="n">
        <v>1</v>
      </c>
      <c r="F30" s="2" t="inlineStr">
        <is>
          <t>CommunicationHealth</t>
        </is>
      </c>
      <c r="G30" s="2" t="inlineStr">
        <is>
          <t>EmotionalNeeds</t>
        </is>
      </c>
      <c r="H30" s="2" t="n"/>
      <c r="I30" s="2" t="inlineStr">
        <is>
          <t>D</t>
        </is>
      </c>
      <c r="J30" s="2" t="inlineStr">
        <is>
          <t>D</t>
        </is>
      </c>
      <c r="K30" s="2" t="inlineStr">
        <is>
          <t>I stop bringing things up. If they don't want me, I'm not going to beg to be understood. I've played that game before.</t>
        </is>
      </c>
      <c r="L30" s="2" t="n">
        <v>6</v>
      </c>
      <c r="M30" s="2" t="n">
        <v>7</v>
      </c>
      <c r="N30" s="2" t="n">
        <v>4</v>
      </c>
      <c r="O30" s="2" t="n">
        <v>4</v>
      </c>
      <c r="P30" s="2" t="n">
        <v>4</v>
      </c>
      <c r="Q30" s="2" t="inlineStr">
        <is>
          <t>Fixer</t>
        </is>
      </c>
      <c r="R30" s="2" t="n">
        <v>5</v>
      </c>
      <c r="S30" s="2" t="n"/>
      <c r="T30" s="2" t="n"/>
      <c r="U30" s="2" t="n">
        <v>0</v>
      </c>
      <c r="V30" s="2" t="inlineStr">
        <is>
          <t>masc:-0.4;fem:2.0</t>
        </is>
      </c>
      <c r="W30" s="2" t="n">
        <v>-0.4</v>
      </c>
      <c r="X30" s="2" t="n">
        <v>2</v>
      </c>
      <c r="Y30" s="2" t="inlineStr">
        <is>
          <t>COMM_Emotional</t>
        </is>
      </c>
      <c r="Z30" s="2" t="inlineStr">
        <is>
          <t>REG_CoRegulator</t>
        </is>
      </c>
      <c r="AA30" s="2" t="inlineStr">
        <is>
          <t>LANG_Service</t>
        </is>
      </c>
      <c r="AB30" s="2" t="inlineStr">
        <is>
          <t>Affection_Mismatch , Independence_Collision</t>
        </is>
      </c>
      <c r="AC30" s="2" t="inlineStr">
        <is>
          <t>Affection_Mismatch</t>
        </is>
      </c>
      <c r="AD30" s="2" t="inlineStr">
        <is>
          <t>Independence_Collision</t>
        </is>
      </c>
      <c r="AE30" s="2" t="n">
        <v>9</v>
      </c>
      <c r="AF30" s="2" t="inlineStr">
        <is>
          <t>resigned caregiver</t>
        </is>
      </c>
      <c r="AG30" s="2" t="inlineStr">
        <is>
          <t>silent surrender</t>
        </is>
      </c>
      <c r="AH30" s="2" t="n">
        <v>1.2</v>
      </c>
      <c r="AI30" s="2" t="inlineStr">
        <is>
          <t>yes</t>
        </is>
      </c>
      <c r="AJ30" s="2" t="inlineStr">
        <is>
          <t>no</t>
        </is>
      </c>
      <c r="AK30" s="2" t="inlineStr">
        <is>
          <t>yes</t>
        </is>
      </c>
      <c r="AL30" s="2" t="inlineStr">
        <is>
          <t>yes</t>
        </is>
      </c>
      <c r="AM30" s="2" t="n"/>
      <c r="AN30" s="2" t="n"/>
      <c r="AO30" s="2" t="n"/>
      <c r="AP30" s="2" t="inlineStr">
        <is>
          <t>v3_2026-03-19</t>
        </is>
      </c>
      <c r="AQ30">
        <f>(L30-Schema_v5!$C2)/(Schema_v5!$C3-Schema_v5!$C2)</f>
        <v/>
      </c>
      <c r="AR30">
        <f>(M30-Schema_v5!$C4)/(Schema_v5!$C5-Schema_v5!$C4)</f>
        <v/>
      </c>
      <c r="AS30">
        <f>N30/Schema_v5!$C6</f>
        <v/>
      </c>
      <c r="AT30">
        <f>O30/Schema_v5!$C7</f>
        <v/>
      </c>
      <c r="AU30">
        <f>P30/Schema_v5!$C8</f>
        <v/>
      </c>
      <c r="AV30">
        <f>IF(Schema_v5!$C9=0,0,AH30/Schema_v5!$C9)</f>
        <v/>
      </c>
      <c r="AW30">
        <f>IF(Schema_v5!$C10=0,0,AE30/Schema_v5!$C10)</f>
        <v/>
      </c>
      <c r="AX30">
        <f>(W30-Schema_v5!$C11)/(Schema_v5!$C12-Schema_v5!$C11)</f>
        <v/>
      </c>
      <c r="AY30">
        <f>(X30-Schema_v5!$C13)/(Schema_v5!$C14-Schema_v5!$C13)</f>
        <v/>
      </c>
    </row>
    <row r="31" ht="135" customHeight="1" s="10">
      <c r="A31" s="2" t="inlineStr">
        <is>
          <t>Q06_E</t>
        </is>
      </c>
      <c r="B31" s="2" t="n">
        <v>6</v>
      </c>
      <c r="C31" s="2" t="n">
        <v>6</v>
      </c>
      <c r="D31" s="2" t="inlineStr">
        <is>
          <t>Core</t>
        </is>
      </c>
      <c r="E31" s="2" t="n">
        <v>1</v>
      </c>
      <c r="F31" s="2" t="inlineStr">
        <is>
          <t>CommunicationHealth</t>
        </is>
      </c>
      <c r="G31" s="2" t="inlineStr">
        <is>
          <t>EmotionalNeeds</t>
        </is>
      </c>
      <c r="H31" s="2" t="n"/>
      <c r="I31" s="2" t="inlineStr">
        <is>
          <t>E</t>
        </is>
      </c>
      <c r="J31" s="2" t="inlineStr">
        <is>
          <t>E</t>
        </is>
      </c>
      <c r="K31" s="2" t="inlineStr">
        <is>
          <t>I tell myself it's probably just stress or a bad week. I don't want to give up too early, but it's hard not to notice when it shifts.</t>
        </is>
      </c>
      <c r="L31" s="2" t="n">
        <v>7</v>
      </c>
      <c r="M31" s="2" t="n">
        <v>8</v>
      </c>
      <c r="N31" s="2" t="n">
        <v>6</v>
      </c>
      <c r="O31" s="2" t="n">
        <v>6</v>
      </c>
      <c r="P31" s="2" t="n">
        <v>4</v>
      </c>
      <c r="Q31" s="2" t="inlineStr">
        <is>
          <t>Romantic Idealist</t>
        </is>
      </c>
      <c r="R31" s="2" t="n">
        <v>6</v>
      </c>
      <c r="S31" s="2" t="n"/>
      <c r="T31" s="2" t="n"/>
      <c r="U31" s="2" t="n">
        <v>0</v>
      </c>
      <c r="V31" s="2" t="inlineStr">
        <is>
          <t>masc:-0.4;fem:1.5</t>
        </is>
      </c>
      <c r="W31" s="2" t="n">
        <v>-0.4</v>
      </c>
      <c r="X31" s="2" t="n">
        <v>1.5</v>
      </c>
      <c r="Y31" s="2" t="inlineStr">
        <is>
          <t>COMM_Emotional</t>
        </is>
      </c>
      <c r="Z31" s="2" t="inlineStr">
        <is>
          <t>REG_Distractor</t>
        </is>
      </c>
      <c r="AA31" s="2" t="inlineStr">
        <is>
          <t>LANG_Gifts</t>
        </is>
      </c>
      <c r="AB31" s="2" t="n"/>
      <c r="AC31" s="2" t="n"/>
      <c r="AD31" s="2" t="n"/>
      <c r="AE31" s="2" t="n">
        <v>0</v>
      </c>
      <c r="AF31" s="2" t="inlineStr">
        <is>
          <t>tired hope</t>
        </is>
      </c>
      <c r="AG31" s="2" t="inlineStr">
        <is>
          <t>cautious optimist</t>
        </is>
      </c>
      <c r="AH31" s="2" t="n">
        <v>0</v>
      </c>
      <c r="AI31" s="2" t="inlineStr">
        <is>
          <t>no</t>
        </is>
      </c>
      <c r="AJ31" s="2" t="inlineStr">
        <is>
          <t>no</t>
        </is>
      </c>
      <c r="AK31" s="2" t="inlineStr">
        <is>
          <t>yes</t>
        </is>
      </c>
      <c r="AL31" s="2" t="inlineStr">
        <is>
          <t>yes</t>
        </is>
      </c>
      <c r="AM31" s="2" t="n"/>
      <c r="AN31" s="2" t="n"/>
      <c r="AO31" s="2" t="n"/>
      <c r="AP31" s="2" t="inlineStr">
        <is>
          <t>v3_2026-03-19</t>
        </is>
      </c>
      <c r="AQ31">
        <f>(L31-Schema_v5!$C2)/(Schema_v5!$C3-Schema_v5!$C2)</f>
        <v/>
      </c>
      <c r="AR31">
        <f>(M31-Schema_v5!$C4)/(Schema_v5!$C5-Schema_v5!$C4)</f>
        <v/>
      </c>
      <c r="AS31">
        <f>N31/Schema_v5!$C6</f>
        <v/>
      </c>
      <c r="AT31">
        <f>O31/Schema_v5!$C7</f>
        <v/>
      </c>
      <c r="AU31">
        <f>P31/Schema_v5!$C8</f>
        <v/>
      </c>
      <c r="AV31">
        <f>IF(Schema_v5!$C9=0,0,AH31/Schema_v5!$C9)</f>
        <v/>
      </c>
      <c r="AW31">
        <f>IF(Schema_v5!$C10=0,0,AE31/Schema_v5!$C10)</f>
        <v/>
      </c>
      <c r="AX31">
        <f>(W31-Schema_v5!$C11)/(Schema_v5!$C12-Schema_v5!$C11)</f>
        <v/>
      </c>
      <c r="AY31">
        <f>(X31-Schema_v5!$C13)/(Schema_v5!$C14-Schema_v5!$C13)</f>
        <v/>
      </c>
    </row>
    <row r="32" ht="108" customHeight="1" s="10">
      <c r="A32" s="2" t="inlineStr">
        <is>
          <t>Q07_A</t>
        </is>
      </c>
      <c r="B32" s="2" t="n">
        <v>7</v>
      </c>
      <c r="C32" s="2" t="n">
        <v>7</v>
      </c>
      <c r="D32" s="2" t="inlineStr">
        <is>
          <t>Core</t>
        </is>
      </c>
      <c r="E32" s="2" t="n">
        <v>1</v>
      </c>
      <c r="F32" s="2" t="inlineStr">
        <is>
          <t>CommunicationHealth</t>
        </is>
      </c>
      <c r="G32" s="2" t="inlineStr">
        <is>
          <t>EmotionalNeeds</t>
        </is>
      </c>
      <c r="H32" s="2" t="inlineStr">
        <is>
          <t>Question 7: You're deep in conversation and they suddenly shut down or go cold. What's your move?</t>
        </is>
      </c>
      <c r="I32" s="2" t="inlineStr">
        <is>
          <t>A</t>
        </is>
      </c>
      <c r="J32" s="2" t="inlineStr">
        <is>
          <t>A</t>
        </is>
      </c>
      <c r="K32" s="2" t="inlineStr">
        <is>
          <t>I pause. I've learned not everything's about me. If they want to talk, they will. If not, I don't chase silence.</t>
        </is>
      </c>
      <c r="L32" s="2" t="n">
        <v>8</v>
      </c>
      <c r="M32" s="2" t="n">
        <v>8</v>
      </c>
      <c r="N32" s="2" t="n">
        <v>4</v>
      </c>
      <c r="O32" s="2" t="n">
        <v>4</v>
      </c>
      <c r="P32" s="2" t="n">
        <v>0</v>
      </c>
      <c r="Q32" s="2" t="inlineStr">
        <is>
          <t>Icebox</t>
        </is>
      </c>
      <c r="R32" s="2" t="n">
        <v>1</v>
      </c>
      <c r="S32" s="2" t="n"/>
      <c r="T32" s="2" t="n"/>
      <c r="U32" s="2" t="n">
        <v>0</v>
      </c>
      <c r="V32" s="2" t="inlineStr">
        <is>
          <t>masc:1.8;fem:-1.6</t>
        </is>
      </c>
      <c r="W32" s="2" t="n">
        <v>1.8</v>
      </c>
      <c r="X32" s="2" t="n">
        <v>-1.6</v>
      </c>
      <c r="Y32" s="2" t="inlineStr">
        <is>
          <t>COMM_Avoidant</t>
        </is>
      </c>
      <c r="Z32" s="2" t="inlineStr">
        <is>
          <t>REG_Suppressor</t>
        </is>
      </c>
      <c r="AA32" s="2" t="inlineStr">
        <is>
          <t>LANG_Time</t>
        </is>
      </c>
      <c r="AB32" s="2" t="n"/>
      <c r="AC32" s="2" t="n"/>
      <c r="AD32" s="2" t="n"/>
      <c r="AE32" s="2" t="n">
        <v>0</v>
      </c>
      <c r="AF32" s="2" t="inlineStr">
        <is>
          <t>calm detachment</t>
        </is>
      </c>
      <c r="AG32" s="2" t="inlineStr">
        <is>
          <t>patient withdrawer</t>
        </is>
      </c>
      <c r="AH32" s="2" t="n">
        <v>0.8</v>
      </c>
      <c r="AI32" s="2" t="inlineStr">
        <is>
          <t>no</t>
        </is>
      </c>
      <c r="AJ32" s="2" t="inlineStr">
        <is>
          <t>no</t>
        </is>
      </c>
      <c r="AK32" s="2" t="inlineStr">
        <is>
          <t>yes</t>
        </is>
      </c>
      <c r="AL32" s="2" t="inlineStr">
        <is>
          <t>yes</t>
        </is>
      </c>
      <c r="AM32" s="2" t="n"/>
      <c r="AN32" s="2" t="n"/>
      <c r="AO32" s="2" t="n"/>
      <c r="AP32" s="2" t="inlineStr">
        <is>
          <t>v3_2026-03-19</t>
        </is>
      </c>
      <c r="AQ32">
        <f>(L32-Schema_v5!$C2)/(Schema_v5!$C3-Schema_v5!$C2)</f>
        <v/>
      </c>
      <c r="AR32">
        <f>(M32-Schema_v5!$C4)/(Schema_v5!$C5-Schema_v5!$C4)</f>
        <v/>
      </c>
      <c r="AS32">
        <f>N32/Schema_v5!$C6</f>
        <v/>
      </c>
      <c r="AT32">
        <f>O32/Schema_v5!$C7</f>
        <v/>
      </c>
      <c r="AU32">
        <f>P32/Schema_v5!$C8</f>
        <v/>
      </c>
      <c r="AV32">
        <f>IF(Schema_v5!$C9=0,0,AH32/Schema_v5!$C9)</f>
        <v/>
      </c>
      <c r="AW32">
        <f>IF(Schema_v5!$C10=0,0,AE32/Schema_v5!$C10)</f>
        <v/>
      </c>
      <c r="AX32">
        <f>(W32-Schema_v5!$C11)/(Schema_v5!$C12-Schema_v5!$C11)</f>
        <v/>
      </c>
      <c r="AY32">
        <f>(X32-Schema_v5!$C13)/(Schema_v5!$C14-Schema_v5!$C13)</f>
        <v/>
      </c>
    </row>
    <row r="33" ht="135" customHeight="1" s="10">
      <c r="A33" s="2" t="inlineStr">
        <is>
          <t>Q07_B</t>
        </is>
      </c>
      <c r="B33" s="2" t="n">
        <v>7</v>
      </c>
      <c r="C33" s="2" t="n">
        <v>7</v>
      </c>
      <c r="D33" s="2" t="inlineStr">
        <is>
          <t>Core</t>
        </is>
      </c>
      <c r="E33" s="2" t="n">
        <v>1</v>
      </c>
      <c r="F33" s="2" t="inlineStr">
        <is>
          <t>CommunicationHealth</t>
        </is>
      </c>
      <c r="G33" s="2" t="inlineStr">
        <is>
          <t>EmotionalNeeds</t>
        </is>
      </c>
      <c r="H33" s="2" t="n"/>
      <c r="I33" s="2" t="inlineStr">
        <is>
          <t>B</t>
        </is>
      </c>
      <c r="J33" s="2" t="inlineStr">
        <is>
          <t>B</t>
        </is>
      </c>
      <c r="K33" s="2" t="inlineStr">
        <is>
          <t>I immediately think I said something wrong. I start scanning every word trying to figure out what triggered it.</t>
        </is>
      </c>
      <c r="L33" s="2" t="n">
        <v>5</v>
      </c>
      <c r="M33" s="2" t="n">
        <v>6</v>
      </c>
      <c r="N33" s="2" t="n">
        <v>4</v>
      </c>
      <c r="O33" s="2" t="n">
        <v>4</v>
      </c>
      <c r="P33" s="2" t="n">
        <v>2</v>
      </c>
      <c r="Q33" s="2" t="inlineStr">
        <is>
          <t>Analyzer</t>
        </is>
      </c>
      <c r="R33" s="2" t="n">
        <v>2</v>
      </c>
      <c r="S33" s="2" t="n"/>
      <c r="T33" s="2" t="n"/>
      <c r="U33" s="2" t="n">
        <v>0</v>
      </c>
      <c r="V33" s="2" t="inlineStr">
        <is>
          <t>masc:1.4;fem:0.1</t>
        </is>
      </c>
      <c r="W33" s="2" t="n">
        <v>1.4</v>
      </c>
      <c r="X33" s="2" t="n">
        <v>0.1</v>
      </c>
      <c r="Y33" s="2" t="inlineStr">
        <is>
          <t>COMM_Logical</t>
        </is>
      </c>
      <c r="Z33" s="2" t="inlineStr">
        <is>
          <t>REG_SelfSoother</t>
        </is>
      </c>
      <c r="AA33" s="2" t="inlineStr">
        <is>
          <t>LANG_Service</t>
        </is>
      </c>
      <c r="AB33" s="2" t="inlineStr">
        <is>
          <t>Vulnerability_Loop</t>
        </is>
      </c>
      <c r="AC33" s="2" t="inlineStr">
        <is>
          <t>Vulnerability_Loop</t>
        </is>
      </c>
      <c r="AD33" s="2" t="n"/>
      <c r="AE33" s="2" t="n">
        <v>5</v>
      </c>
      <c r="AF33" s="2" t="inlineStr">
        <is>
          <t>inner spiral</t>
        </is>
      </c>
      <c r="AG33" s="2" t="inlineStr">
        <is>
          <t>self-blamer</t>
        </is>
      </c>
      <c r="AH33" s="2" t="n">
        <v>0</v>
      </c>
      <c r="AI33" s="2" t="inlineStr">
        <is>
          <t>yes</t>
        </is>
      </c>
      <c r="AJ33" s="2" t="inlineStr">
        <is>
          <t>no</t>
        </is>
      </c>
      <c r="AK33" s="2" t="inlineStr">
        <is>
          <t>yes</t>
        </is>
      </c>
      <c r="AL33" s="2" t="inlineStr">
        <is>
          <t>yes</t>
        </is>
      </c>
      <c r="AM33" s="2" t="n"/>
      <c r="AN33" s="2" t="n"/>
      <c r="AO33" s="2" t="n"/>
      <c r="AP33" s="2" t="inlineStr">
        <is>
          <t>v3_2026-03-19</t>
        </is>
      </c>
      <c r="AQ33">
        <f>(L33-Schema_v5!$C2)/(Schema_v5!$C3-Schema_v5!$C2)</f>
        <v/>
      </c>
      <c r="AR33">
        <f>(M33-Schema_v5!$C4)/(Schema_v5!$C5-Schema_v5!$C4)</f>
        <v/>
      </c>
      <c r="AS33">
        <f>N33/Schema_v5!$C6</f>
        <v/>
      </c>
      <c r="AT33">
        <f>O33/Schema_v5!$C7</f>
        <v/>
      </c>
      <c r="AU33">
        <f>P33/Schema_v5!$C8</f>
        <v/>
      </c>
      <c r="AV33">
        <f>IF(Schema_v5!$C9=0,0,AH33/Schema_v5!$C9)</f>
        <v/>
      </c>
      <c r="AW33">
        <f>IF(Schema_v5!$C10=0,0,AE33/Schema_v5!$C10)</f>
        <v/>
      </c>
      <c r="AX33">
        <f>(W33-Schema_v5!$C11)/(Schema_v5!$C12-Schema_v5!$C11)</f>
        <v/>
      </c>
      <c r="AY33">
        <f>(X33-Schema_v5!$C13)/(Schema_v5!$C14-Schema_v5!$C13)</f>
        <v/>
      </c>
    </row>
    <row r="34" ht="121.5" customHeight="1" s="10">
      <c r="A34" s="2" t="inlineStr">
        <is>
          <t>Q07_C</t>
        </is>
      </c>
      <c r="B34" s="2" t="n">
        <v>7</v>
      </c>
      <c r="C34" s="2" t="n">
        <v>7</v>
      </c>
      <c r="D34" s="2" t="inlineStr">
        <is>
          <t>Core</t>
        </is>
      </c>
      <c r="E34" s="2" t="n">
        <v>1</v>
      </c>
      <c r="F34" s="2" t="inlineStr">
        <is>
          <t>CommunicationHealth</t>
        </is>
      </c>
      <c r="G34" s="2" t="inlineStr">
        <is>
          <t>EmotionalNeeds</t>
        </is>
      </c>
      <c r="H34" s="2" t="n"/>
      <c r="I34" s="2" t="inlineStr">
        <is>
          <t>C</t>
        </is>
      </c>
      <c r="J34" s="2" t="inlineStr">
        <is>
          <t>C</t>
        </is>
      </c>
      <c r="K34" s="2" t="inlineStr">
        <is>
          <t>I'll ask once. If it's brushed off or ignored, I shift. I'm not the type to sit in someone else's silence for long.</t>
        </is>
      </c>
      <c r="L34" s="2" t="n">
        <v>9</v>
      </c>
      <c r="M34" s="2" t="n">
        <v>9</v>
      </c>
      <c r="N34" s="2" t="n">
        <v>10</v>
      </c>
      <c r="O34" s="2" t="n">
        <v>10</v>
      </c>
      <c r="P34" s="2" t="n">
        <v>10</v>
      </c>
      <c r="Q34" s="2" t="inlineStr">
        <is>
          <t>Regulated Grown-Up</t>
        </is>
      </c>
      <c r="R34" s="2" t="n">
        <v>9</v>
      </c>
      <c r="S34" s="2" t="n"/>
      <c r="T34" s="2" t="n"/>
      <c r="U34" s="2" t="n">
        <v>0</v>
      </c>
      <c r="V34" s="2" t="inlineStr">
        <is>
          <t>masc:1.1;fem:0.9</t>
        </is>
      </c>
      <c r="W34" s="2" t="n">
        <v>1.1</v>
      </c>
      <c r="X34" s="2" t="n">
        <v>0.9</v>
      </c>
      <c r="Y34" s="2" t="inlineStr">
        <is>
          <t>COMM_Direct</t>
        </is>
      </c>
      <c r="Z34" s="2" t="inlineStr">
        <is>
          <t>REG_CoRegulator</t>
        </is>
      </c>
      <c r="AA34" s="2" t="inlineStr">
        <is>
          <t>LANG_Words</t>
        </is>
      </c>
      <c r="AB34" s="2" t="n"/>
      <c r="AC34" s="2" t="n"/>
      <c r="AD34" s="2" t="n"/>
      <c r="AE34" s="2" t="n">
        <v>0</v>
      </c>
      <c r="AF34" s="2" t="inlineStr">
        <is>
          <t>direct with boundaries</t>
        </is>
      </c>
      <c r="AG34" s="2" t="inlineStr">
        <is>
          <t>firm line-setter</t>
        </is>
      </c>
      <c r="AH34" s="2" t="n">
        <v>0</v>
      </c>
      <c r="AI34" s="2" t="inlineStr">
        <is>
          <t>no</t>
        </is>
      </c>
      <c r="AJ34" s="2" t="inlineStr">
        <is>
          <t>no</t>
        </is>
      </c>
      <c r="AK34" s="2" t="inlineStr">
        <is>
          <t>yes</t>
        </is>
      </c>
      <c r="AL34" s="2" t="inlineStr">
        <is>
          <t>yes</t>
        </is>
      </c>
      <c r="AM34" s="2" t="n"/>
      <c r="AN34" s="2" t="n"/>
      <c r="AO34" s="2" t="n"/>
      <c r="AP34" s="2" t="inlineStr">
        <is>
          <t>v3_2026-03-19</t>
        </is>
      </c>
      <c r="AQ34">
        <f>(L34-Schema_v5!$C2)/(Schema_v5!$C3-Schema_v5!$C2)</f>
        <v/>
      </c>
      <c r="AR34">
        <f>(M34-Schema_v5!$C4)/(Schema_v5!$C5-Schema_v5!$C4)</f>
        <v/>
      </c>
      <c r="AS34">
        <f>N34/Schema_v5!$C6</f>
        <v/>
      </c>
      <c r="AT34">
        <f>O34/Schema_v5!$C7</f>
        <v/>
      </c>
      <c r="AU34">
        <f>P34/Schema_v5!$C8</f>
        <v/>
      </c>
      <c r="AV34">
        <f>IF(Schema_v5!$C9=0,0,AH34/Schema_v5!$C9)</f>
        <v/>
      </c>
      <c r="AW34">
        <f>IF(Schema_v5!$C10=0,0,AE34/Schema_v5!$C10)</f>
        <v/>
      </c>
      <c r="AX34">
        <f>(W34-Schema_v5!$C11)/(Schema_v5!$C12-Schema_v5!$C11)</f>
        <v/>
      </c>
      <c r="AY34">
        <f>(X34-Schema_v5!$C13)/(Schema_v5!$C14-Schema_v5!$C13)</f>
        <v/>
      </c>
    </row>
    <row r="35" ht="121.5" customHeight="1" s="10">
      <c r="A35" s="2" t="inlineStr">
        <is>
          <t>Q07_D</t>
        </is>
      </c>
      <c r="B35" s="2" t="n">
        <v>7</v>
      </c>
      <c r="C35" s="2" t="n">
        <v>7</v>
      </c>
      <c r="D35" s="2" t="inlineStr">
        <is>
          <t>Core</t>
        </is>
      </c>
      <c r="E35" s="2" t="n">
        <v>1</v>
      </c>
      <c r="F35" s="2" t="inlineStr">
        <is>
          <t>CommunicationHealth</t>
        </is>
      </c>
      <c r="G35" s="2" t="inlineStr">
        <is>
          <t>EmotionalNeeds</t>
        </is>
      </c>
      <c r="H35" s="2" t="n"/>
      <c r="I35" s="2" t="inlineStr">
        <is>
          <t>D</t>
        </is>
      </c>
      <c r="J35" s="2" t="inlineStr">
        <is>
          <t>D</t>
        </is>
      </c>
      <c r="K35" s="2" t="inlineStr">
        <is>
          <t>I try to keep the mood up, shift the subject, make it feel less tense, even if I'm freaking out a little inside.</t>
        </is>
      </c>
      <c r="L35" s="2" t="n">
        <v>6</v>
      </c>
      <c r="M35" s="2" t="n">
        <v>7</v>
      </c>
      <c r="N35" s="2" t="n">
        <v>4</v>
      </c>
      <c r="O35" s="2" t="n">
        <v>4</v>
      </c>
      <c r="P35" s="2" t="n">
        <v>2</v>
      </c>
      <c r="Q35" s="2" t="inlineStr">
        <is>
          <t>Performer</t>
        </is>
      </c>
      <c r="R35" s="2" t="n">
        <v>7</v>
      </c>
      <c r="S35" s="2" t="n"/>
      <c r="T35" s="2" t="n"/>
      <c r="U35" s="2" t="n">
        <v>0</v>
      </c>
      <c r="V35" s="2" t="inlineStr">
        <is>
          <t>masc:0.3;fem:0.5</t>
        </is>
      </c>
      <c r="W35" s="2" t="n">
        <v>0.3</v>
      </c>
      <c r="X35" s="2" t="n">
        <v>0.5</v>
      </c>
      <c r="Y35" s="2" t="inlineStr">
        <is>
          <t>COMM_Indirect</t>
        </is>
      </c>
      <c r="Z35" s="2" t="inlineStr">
        <is>
          <t>REG_Distractor</t>
        </is>
      </c>
      <c r="AA35" s="2" t="inlineStr">
        <is>
          <t>LANG_Gifts</t>
        </is>
      </c>
      <c r="AB35" s="2" t="inlineStr">
        <is>
          <t>Vulnerability_Loop</t>
        </is>
      </c>
      <c r="AC35" s="2" t="inlineStr">
        <is>
          <t>Vulnerability_Loop</t>
        </is>
      </c>
      <c r="AD35" s="2" t="n"/>
      <c r="AE35" s="2" t="n">
        <v>5</v>
      </c>
      <c r="AF35" s="2" t="inlineStr">
        <is>
          <t>smooth cover-up</t>
        </is>
      </c>
      <c r="AG35" s="2" t="inlineStr">
        <is>
          <t>tension diffuser</t>
        </is>
      </c>
      <c r="AH35" s="2" t="n">
        <v>0</v>
      </c>
      <c r="AI35" s="2" t="inlineStr">
        <is>
          <t>yes</t>
        </is>
      </c>
      <c r="AJ35" s="2" t="inlineStr">
        <is>
          <t>no</t>
        </is>
      </c>
      <c r="AK35" s="2" t="inlineStr">
        <is>
          <t>yes</t>
        </is>
      </c>
      <c r="AL35" s="2" t="inlineStr">
        <is>
          <t>yes</t>
        </is>
      </c>
      <c r="AM35" s="2" t="n"/>
      <c r="AN35" s="2" t="n"/>
      <c r="AO35" s="2" t="n"/>
      <c r="AP35" s="2" t="inlineStr">
        <is>
          <t>v3_2026-03-19</t>
        </is>
      </c>
      <c r="AQ35">
        <f>(L35-Schema_v5!$C2)/(Schema_v5!$C3-Schema_v5!$C2)</f>
        <v/>
      </c>
      <c r="AR35">
        <f>(M35-Schema_v5!$C4)/(Schema_v5!$C5-Schema_v5!$C4)</f>
        <v/>
      </c>
      <c r="AS35">
        <f>N35/Schema_v5!$C6</f>
        <v/>
      </c>
      <c r="AT35">
        <f>O35/Schema_v5!$C7</f>
        <v/>
      </c>
      <c r="AU35">
        <f>P35/Schema_v5!$C8</f>
        <v/>
      </c>
      <c r="AV35">
        <f>IF(Schema_v5!$C9=0,0,AH35/Schema_v5!$C9)</f>
        <v/>
      </c>
      <c r="AW35">
        <f>IF(Schema_v5!$C10=0,0,AE35/Schema_v5!$C10)</f>
        <v/>
      </c>
      <c r="AX35">
        <f>(W35-Schema_v5!$C11)/(Schema_v5!$C12-Schema_v5!$C11)</f>
        <v/>
      </c>
      <c r="AY35">
        <f>(X35-Schema_v5!$C13)/(Schema_v5!$C14-Schema_v5!$C13)</f>
        <v/>
      </c>
    </row>
    <row r="36" ht="108" customHeight="1" s="10">
      <c r="A36" s="2" t="inlineStr">
        <is>
          <t>Q07_E</t>
        </is>
      </c>
      <c r="B36" s="2" t="n">
        <v>7</v>
      </c>
      <c r="C36" s="2" t="n">
        <v>7</v>
      </c>
      <c r="D36" s="2" t="inlineStr">
        <is>
          <t>Core</t>
        </is>
      </c>
      <c r="E36" s="2" t="n">
        <v>1</v>
      </c>
      <c r="F36" s="2" t="inlineStr">
        <is>
          <t>CommunicationHealth</t>
        </is>
      </c>
      <c r="G36" s="2" t="inlineStr">
        <is>
          <t>EmotionalNeeds</t>
        </is>
      </c>
      <c r="H36" s="2" t="n"/>
      <c r="I36" s="2" t="inlineStr">
        <is>
          <t>E</t>
        </is>
      </c>
      <c r="J36" s="2" t="inlineStr">
        <is>
          <t>E</t>
        </is>
      </c>
      <c r="K36" s="2" t="inlineStr">
        <is>
          <t>I feel it, but I don't say anything. I stay present, hoping they'll come back to me on their own.</t>
        </is>
      </c>
      <c r="L36" s="2" t="n">
        <v>6</v>
      </c>
      <c r="M36" s="2" t="n">
        <v>6</v>
      </c>
      <c r="N36" s="2" t="n">
        <v>4</v>
      </c>
      <c r="O36" s="2" t="n">
        <v>4</v>
      </c>
      <c r="P36" s="2" t="n">
        <v>4</v>
      </c>
      <c r="Q36" s="2" t="inlineStr">
        <is>
          <t>Translator</t>
        </is>
      </c>
      <c r="R36" s="2" t="n">
        <v>3</v>
      </c>
      <c r="S36" s="2" t="n"/>
      <c r="T36" s="2" t="n"/>
      <c r="U36" s="2" t="n">
        <v>0</v>
      </c>
      <c r="V36" s="2" t="inlineStr">
        <is>
          <t>masc:-0.1;fem:1.6</t>
        </is>
      </c>
      <c r="W36" s="2" t="n">
        <v>-0.1</v>
      </c>
      <c r="X36" s="2" t="n">
        <v>1.6</v>
      </c>
      <c r="Y36" s="2" t="inlineStr">
        <is>
          <t>COMM_Indirect</t>
        </is>
      </c>
      <c r="Z36" s="2" t="inlineStr">
        <is>
          <t>REG_CoRegulator</t>
        </is>
      </c>
      <c r="AA36" s="2" t="inlineStr">
        <is>
          <t>LANG_Words</t>
        </is>
      </c>
      <c r="AB36" s="2" t="inlineStr">
        <is>
          <t>Vulnerability_Loop</t>
        </is>
      </c>
      <c r="AC36" s="2" t="inlineStr">
        <is>
          <t>Vulnerability_Loop</t>
        </is>
      </c>
      <c r="AD36" s="2" t="n"/>
      <c r="AE36" s="2" t="n">
        <v>5</v>
      </c>
      <c r="AF36" s="2" t="inlineStr">
        <is>
          <t>gentle waiter</t>
        </is>
      </c>
      <c r="AG36" s="2" t="inlineStr">
        <is>
          <t>silent holder</t>
        </is>
      </c>
      <c r="AH36" s="2" t="n">
        <v>0.6</v>
      </c>
      <c r="AI36" s="2" t="inlineStr">
        <is>
          <t>yes</t>
        </is>
      </c>
      <c r="AJ36" s="2" t="inlineStr">
        <is>
          <t>no</t>
        </is>
      </c>
      <c r="AK36" s="2" t="inlineStr">
        <is>
          <t>yes</t>
        </is>
      </c>
      <c r="AL36" s="2" t="inlineStr">
        <is>
          <t>yes</t>
        </is>
      </c>
      <c r="AM36" s="2" t="n"/>
      <c r="AN36" s="2" t="n"/>
      <c r="AO36" s="2" t="n"/>
      <c r="AP36" s="2" t="inlineStr">
        <is>
          <t>v3_2026-03-19</t>
        </is>
      </c>
      <c r="AQ36">
        <f>(L36-Schema_v5!$C2)/(Schema_v5!$C3-Schema_v5!$C2)</f>
        <v/>
      </c>
      <c r="AR36">
        <f>(M36-Schema_v5!$C4)/(Schema_v5!$C5-Schema_v5!$C4)</f>
        <v/>
      </c>
      <c r="AS36">
        <f>N36/Schema_v5!$C6</f>
        <v/>
      </c>
      <c r="AT36">
        <f>O36/Schema_v5!$C7</f>
        <v/>
      </c>
      <c r="AU36">
        <f>P36/Schema_v5!$C8</f>
        <v/>
      </c>
      <c r="AV36">
        <f>IF(Schema_v5!$C9=0,0,AH36/Schema_v5!$C9)</f>
        <v/>
      </c>
      <c r="AW36">
        <f>IF(Schema_v5!$C10=0,0,AE36/Schema_v5!$C10)</f>
        <v/>
      </c>
      <c r="AX36">
        <f>(W36-Schema_v5!$C11)/(Schema_v5!$C12-Schema_v5!$C11)</f>
        <v/>
      </c>
      <c r="AY36">
        <f>(X36-Schema_v5!$C13)/(Schema_v5!$C14-Schema_v5!$C13)</f>
        <v/>
      </c>
    </row>
    <row r="37" ht="135" customHeight="1" s="10">
      <c r="A37" s="2" t="inlineStr">
        <is>
          <t>Q08_A</t>
        </is>
      </c>
      <c r="B37" s="2" t="n">
        <v>8</v>
      </c>
      <c r="C37" s="2" t="n">
        <v>8</v>
      </c>
      <c r="D37" s="2" t="inlineStr">
        <is>
          <t>Core</t>
        </is>
      </c>
      <c r="E37" s="2" t="n">
        <v>1</v>
      </c>
      <c r="F37" s="2" t="inlineStr">
        <is>
          <t>CommunicationHealth</t>
        </is>
      </c>
      <c r="G37" s="2" t="inlineStr">
        <is>
          <t>EmotionalNeeds</t>
        </is>
      </c>
      <c r="H37" s="2" t="inlineStr">
        <is>
          <t>Question 8: You feel them pulling away. They haven't said it, but the shift is obvious. What runs through your head first?</t>
        </is>
      </c>
      <c r="I37" s="2" t="inlineStr">
        <is>
          <t>A</t>
        </is>
      </c>
      <c r="J37" s="2" t="inlineStr">
        <is>
          <t>A</t>
        </is>
      </c>
      <c r="K37" s="2" t="inlineStr">
        <is>
          <t>Here we go again. I already know how this plays out. I stop trying the second I feel myself caring more than they do.</t>
        </is>
      </c>
      <c r="L37" s="2" t="n">
        <v>5</v>
      </c>
      <c r="M37" s="2" t="n">
        <v>5</v>
      </c>
      <c r="N37" s="2" t="n">
        <v>4</v>
      </c>
      <c r="O37" s="2" t="n">
        <v>2</v>
      </c>
      <c r="P37" s="2" t="n">
        <v>2</v>
      </c>
      <c r="Q37" s="2" t="inlineStr">
        <is>
          <t>Survivor</t>
        </is>
      </c>
      <c r="R37" s="2" t="n">
        <v>8</v>
      </c>
      <c r="S37" s="2" t="n"/>
      <c r="T37" s="2" t="n"/>
      <c r="U37" s="2" t="n">
        <v>0</v>
      </c>
      <c r="V37" s="2" t="inlineStr">
        <is>
          <t>masc:0.3;fem:1.3</t>
        </is>
      </c>
      <c r="W37" s="2" t="n">
        <v>0.3</v>
      </c>
      <c r="X37" s="2" t="n">
        <v>1.3</v>
      </c>
      <c r="Y37" s="2" t="inlineStr">
        <is>
          <t>COMM_Emotional</t>
        </is>
      </c>
      <c r="Z37" s="2" t="inlineStr">
        <is>
          <t>REG_SelfSoother</t>
        </is>
      </c>
      <c r="AA37" s="2" t="inlineStr">
        <is>
          <t>LANG_Service</t>
        </is>
      </c>
      <c r="AB37" s="2" t="inlineStr">
        <is>
          <t>Vulnerability_Loop</t>
        </is>
      </c>
      <c r="AC37" s="2" t="inlineStr">
        <is>
          <t>Vulnerability_Loop</t>
        </is>
      </c>
      <c r="AD37" s="2" t="n"/>
      <c r="AE37" s="2" t="n">
        <v>5</v>
      </c>
      <c r="AF37" s="2" t="inlineStr">
        <is>
          <t>pain-calibrated exit</t>
        </is>
      </c>
      <c r="AG37" s="2" t="inlineStr">
        <is>
          <t>early withdrawer</t>
        </is>
      </c>
      <c r="AH37" s="2" t="n">
        <v>0.6</v>
      </c>
      <c r="AI37" s="2" t="inlineStr">
        <is>
          <t>yes</t>
        </is>
      </c>
      <c r="AJ37" s="2" t="inlineStr">
        <is>
          <t>no</t>
        </is>
      </c>
      <c r="AK37" s="2" t="inlineStr">
        <is>
          <t>yes</t>
        </is>
      </c>
      <c r="AL37" s="2" t="inlineStr">
        <is>
          <t>yes</t>
        </is>
      </c>
      <c r="AM37" s="2" t="n"/>
      <c r="AN37" s="2" t="n"/>
      <c r="AO37" s="2" t="n"/>
      <c r="AP37" s="2" t="inlineStr">
        <is>
          <t>v3_2026-03-19</t>
        </is>
      </c>
      <c r="AQ37">
        <f>(L37-Schema_v5!$C2)/(Schema_v5!$C3-Schema_v5!$C2)</f>
        <v/>
      </c>
      <c r="AR37">
        <f>(M37-Schema_v5!$C4)/(Schema_v5!$C5-Schema_v5!$C4)</f>
        <v/>
      </c>
      <c r="AS37">
        <f>N37/Schema_v5!$C6</f>
        <v/>
      </c>
      <c r="AT37">
        <f>O37/Schema_v5!$C7</f>
        <v/>
      </c>
      <c r="AU37">
        <f>P37/Schema_v5!$C8</f>
        <v/>
      </c>
      <c r="AV37">
        <f>IF(Schema_v5!$C9=0,0,AH37/Schema_v5!$C9)</f>
        <v/>
      </c>
      <c r="AW37">
        <f>IF(Schema_v5!$C10=0,0,AE37/Schema_v5!$C10)</f>
        <v/>
      </c>
      <c r="AX37">
        <f>(W37-Schema_v5!$C11)/(Schema_v5!$C12-Schema_v5!$C11)</f>
        <v/>
      </c>
      <c r="AY37">
        <f>(X37-Schema_v5!$C13)/(Schema_v5!$C14-Schema_v5!$C13)</f>
        <v/>
      </c>
    </row>
    <row r="38" ht="148.5" customHeight="1" s="10">
      <c r="A38" s="2" t="inlineStr">
        <is>
          <t>Q08_B</t>
        </is>
      </c>
      <c r="B38" s="2" t="n">
        <v>8</v>
      </c>
      <c r="C38" s="2" t="n">
        <v>8</v>
      </c>
      <c r="D38" s="2" t="inlineStr">
        <is>
          <t>Core</t>
        </is>
      </c>
      <c r="E38" s="2" t="n">
        <v>1</v>
      </c>
      <c r="F38" s="2" t="inlineStr">
        <is>
          <t>CommunicationHealth</t>
        </is>
      </c>
      <c r="G38" s="2" t="inlineStr">
        <is>
          <t>EmotionalNeeds</t>
        </is>
      </c>
      <c r="H38" s="2" t="n"/>
      <c r="I38" s="2" t="inlineStr">
        <is>
          <t>B</t>
        </is>
      </c>
      <c r="J38" s="2" t="inlineStr">
        <is>
          <t>B</t>
        </is>
      </c>
      <c r="K38" s="2" t="inlineStr">
        <is>
          <t>It's subtle, but I clock everything. Less emojis. Slower replies. Something's off, I just haven't figured out what yet.</t>
        </is>
      </c>
      <c r="L38" s="2" t="n">
        <v>7</v>
      </c>
      <c r="M38" s="2" t="n">
        <v>8</v>
      </c>
      <c r="N38" s="2" t="n">
        <v>6</v>
      </c>
      <c r="O38" s="2" t="n">
        <v>6</v>
      </c>
      <c r="P38" s="2" t="n">
        <v>6</v>
      </c>
      <c r="Q38" s="2" t="inlineStr">
        <is>
          <t>Analyzer</t>
        </is>
      </c>
      <c r="R38" s="2" t="n">
        <v>2</v>
      </c>
      <c r="S38" s="2" t="n"/>
      <c r="T38" s="2" t="n"/>
      <c r="U38" s="2" t="n">
        <v>0</v>
      </c>
      <c r="V38" s="2" t="inlineStr">
        <is>
          <t>masc:1.4;fem:0.1</t>
        </is>
      </c>
      <c r="W38" s="2" t="n">
        <v>1.4</v>
      </c>
      <c r="X38" s="2" t="n">
        <v>0.1</v>
      </c>
      <c r="Y38" s="2" t="inlineStr">
        <is>
          <t>COMM_Logical</t>
        </is>
      </c>
      <c r="Z38" s="2" t="inlineStr">
        <is>
          <t>REG_SelfSoother</t>
        </is>
      </c>
      <c r="AA38" s="2" t="inlineStr">
        <is>
          <t>LANG_Service</t>
        </is>
      </c>
      <c r="AB38" s="2" t="n"/>
      <c r="AC38" s="2" t="n"/>
      <c r="AD38" s="2" t="n"/>
      <c r="AE38" s="2" t="n">
        <v>0</v>
      </c>
      <c r="AF38" s="2" t="inlineStr">
        <is>
          <t>pattern tracker</t>
        </is>
      </c>
      <c r="AG38" s="2" t="inlineStr">
        <is>
          <t>micro-signal reader</t>
        </is>
      </c>
      <c r="AH38" s="2" t="n">
        <v>0.6</v>
      </c>
      <c r="AI38" s="2" t="inlineStr">
        <is>
          <t>no</t>
        </is>
      </c>
      <c r="AJ38" s="2" t="inlineStr">
        <is>
          <t>no</t>
        </is>
      </c>
      <c r="AK38" s="2" t="inlineStr">
        <is>
          <t>yes</t>
        </is>
      </c>
      <c r="AL38" s="2" t="inlineStr">
        <is>
          <t>yes</t>
        </is>
      </c>
      <c r="AM38" s="2" t="n"/>
      <c r="AN38" s="2" t="n"/>
      <c r="AO38" s="2" t="n"/>
      <c r="AP38" s="2" t="inlineStr">
        <is>
          <t>v3_2026-03-19</t>
        </is>
      </c>
      <c r="AQ38">
        <f>(L38-Schema_v5!$C2)/(Schema_v5!$C3-Schema_v5!$C2)</f>
        <v/>
      </c>
      <c r="AR38">
        <f>(M38-Schema_v5!$C4)/(Schema_v5!$C5-Schema_v5!$C4)</f>
        <v/>
      </c>
      <c r="AS38">
        <f>N38/Schema_v5!$C6</f>
        <v/>
      </c>
      <c r="AT38">
        <f>O38/Schema_v5!$C7</f>
        <v/>
      </c>
      <c r="AU38">
        <f>P38/Schema_v5!$C8</f>
        <v/>
      </c>
      <c r="AV38">
        <f>IF(Schema_v5!$C9=0,0,AH38/Schema_v5!$C9)</f>
        <v/>
      </c>
      <c r="AW38">
        <f>IF(Schema_v5!$C10=0,0,AE38/Schema_v5!$C10)</f>
        <v/>
      </c>
      <c r="AX38">
        <f>(W38-Schema_v5!$C11)/(Schema_v5!$C12-Schema_v5!$C11)</f>
        <v/>
      </c>
      <c r="AY38">
        <f>(X38-Schema_v5!$C13)/(Schema_v5!$C14-Schema_v5!$C13)</f>
        <v/>
      </c>
    </row>
    <row r="39" ht="148.5" customHeight="1" s="10">
      <c r="A39" s="2" t="inlineStr">
        <is>
          <t>Q08_C</t>
        </is>
      </c>
      <c r="B39" s="2" t="n">
        <v>8</v>
      </c>
      <c r="C39" s="2" t="n">
        <v>8</v>
      </c>
      <c r="D39" s="2" t="inlineStr">
        <is>
          <t>Core</t>
        </is>
      </c>
      <c r="E39" s="2" t="n">
        <v>1</v>
      </c>
      <c r="F39" s="2" t="inlineStr">
        <is>
          <t>CommunicationHealth</t>
        </is>
      </c>
      <c r="G39" s="2" t="inlineStr">
        <is>
          <t>EmotionalNeeds</t>
        </is>
      </c>
      <c r="H39" s="2" t="n"/>
      <c r="I39" s="2" t="inlineStr">
        <is>
          <t>C</t>
        </is>
      </c>
      <c r="J39" s="2" t="inlineStr">
        <is>
          <t>C</t>
        </is>
      </c>
      <c r="K39" s="2" t="inlineStr">
        <is>
          <t>I don't ask. I just start detaching. If you're fading, I'm not chasing. I've done that before, and I don't owe anyone a meltdown.</t>
        </is>
      </c>
      <c r="L39" s="2" t="n">
        <v>5</v>
      </c>
      <c r="M39" s="2" t="n">
        <v>6</v>
      </c>
      <c r="N39" s="2" t="n">
        <v>0</v>
      </c>
      <c r="O39" s="2" t="n">
        <v>2</v>
      </c>
      <c r="P39" s="2" t="n">
        <v>0</v>
      </c>
      <c r="Q39" s="2" t="inlineStr">
        <is>
          <t>Quiet Exit</t>
        </is>
      </c>
      <c r="R39" s="2" t="n">
        <v>4</v>
      </c>
      <c r="S39" s="2" t="n"/>
      <c r="T39" s="2" t="n"/>
      <c r="U39" s="2" t="n">
        <v>0</v>
      </c>
      <c r="V39" s="2" t="inlineStr">
        <is>
          <t>masc:1.4;fem:-1.3</t>
        </is>
      </c>
      <c r="W39" s="2" t="n">
        <v>1.4</v>
      </c>
      <c r="X39" s="2" t="n">
        <v>-1.3</v>
      </c>
      <c r="Y39" s="2" t="inlineStr">
        <is>
          <t>COMM_Avoidant</t>
        </is>
      </c>
      <c r="Z39" s="2" t="inlineStr">
        <is>
          <t>REG_Suppressor</t>
        </is>
      </c>
      <c r="AA39" s="2" t="inlineStr">
        <is>
          <t>LANG_Time</t>
        </is>
      </c>
      <c r="AB39" s="2" t="inlineStr">
        <is>
          <t>Vulnerability_Loop</t>
        </is>
      </c>
      <c r="AC39" s="2" t="inlineStr">
        <is>
          <t>Vulnerability_Loop</t>
        </is>
      </c>
      <c r="AD39" s="2" t="n"/>
      <c r="AE39" s="2" t="n">
        <v>5</v>
      </c>
      <c r="AF39" s="2" t="inlineStr">
        <is>
          <t>soft boundary</t>
        </is>
      </c>
      <c r="AG39" s="2" t="inlineStr">
        <is>
          <t>quiet exit</t>
        </is>
      </c>
      <c r="AH39" s="2" t="n">
        <v>0.2</v>
      </c>
      <c r="AI39" s="2" t="inlineStr">
        <is>
          <t>yes</t>
        </is>
      </c>
      <c r="AJ39" s="2" t="inlineStr">
        <is>
          <t>no</t>
        </is>
      </c>
      <c r="AK39" s="2" t="inlineStr">
        <is>
          <t>yes</t>
        </is>
      </c>
      <c r="AL39" s="2" t="inlineStr">
        <is>
          <t>yes</t>
        </is>
      </c>
      <c r="AM39" s="2" t="n"/>
      <c r="AN39" s="2" t="n"/>
      <c r="AO39" s="2" t="n"/>
      <c r="AP39" s="2" t="inlineStr">
        <is>
          <t>v3_2026-03-19</t>
        </is>
      </c>
      <c r="AQ39">
        <f>(L39-Schema_v5!$C2)/(Schema_v5!$C3-Schema_v5!$C2)</f>
        <v/>
      </c>
      <c r="AR39">
        <f>(M39-Schema_v5!$C4)/(Schema_v5!$C5-Schema_v5!$C4)</f>
        <v/>
      </c>
      <c r="AS39">
        <f>N39/Schema_v5!$C6</f>
        <v/>
      </c>
      <c r="AT39">
        <f>O39/Schema_v5!$C7</f>
        <v/>
      </c>
      <c r="AU39">
        <f>P39/Schema_v5!$C8</f>
        <v/>
      </c>
      <c r="AV39">
        <f>IF(Schema_v5!$C9=0,0,AH39/Schema_v5!$C9)</f>
        <v/>
      </c>
      <c r="AW39">
        <f>IF(Schema_v5!$C10=0,0,AE39/Schema_v5!$C10)</f>
        <v/>
      </c>
      <c r="AX39">
        <f>(W39-Schema_v5!$C11)/(Schema_v5!$C12-Schema_v5!$C11)</f>
        <v/>
      </c>
      <c r="AY39">
        <f>(X39-Schema_v5!$C13)/(Schema_v5!$C14-Schema_v5!$C13)</f>
        <v/>
      </c>
    </row>
    <row r="40" ht="121.5" customHeight="1" s="10">
      <c r="A40" s="2" t="inlineStr">
        <is>
          <t>Q08_D</t>
        </is>
      </c>
      <c r="B40" s="2" t="n">
        <v>8</v>
      </c>
      <c r="C40" s="2" t="n">
        <v>8</v>
      </c>
      <c r="D40" s="2" t="inlineStr">
        <is>
          <t>Core</t>
        </is>
      </c>
      <c r="E40" s="2" t="n">
        <v>1</v>
      </c>
      <c r="F40" s="2" t="inlineStr">
        <is>
          <t>CommunicationHealth</t>
        </is>
      </c>
      <c r="G40" s="2" t="inlineStr">
        <is>
          <t>EmotionalNeeds</t>
        </is>
      </c>
      <c r="H40" s="2" t="n"/>
      <c r="I40" s="2" t="inlineStr">
        <is>
          <t>D</t>
        </is>
      </c>
      <c r="J40" s="2" t="inlineStr">
        <is>
          <t>D</t>
        </is>
      </c>
      <c r="K40" s="2" t="inlineStr">
        <is>
          <t>Maybe they just need space. I try not to assume the worst... but yeah, it's hard not to take it personal.</t>
        </is>
      </c>
      <c r="L40" s="2" t="n">
        <v>7</v>
      </c>
      <c r="M40" s="2" t="n">
        <v>8</v>
      </c>
      <c r="N40" s="2" t="n">
        <v>6</v>
      </c>
      <c r="O40" s="2" t="n">
        <v>6</v>
      </c>
      <c r="P40" s="2" t="n">
        <v>4</v>
      </c>
      <c r="Q40" s="2" t="inlineStr">
        <is>
          <t>Romantic Idealist</t>
        </is>
      </c>
      <c r="R40" s="2" t="n">
        <v>6</v>
      </c>
      <c r="S40" s="2" t="n"/>
      <c r="T40" s="2" t="n"/>
      <c r="U40" s="2" t="n">
        <v>0</v>
      </c>
      <c r="V40" s="2" t="inlineStr">
        <is>
          <t>masc:-0.4;fem:1.5</t>
        </is>
      </c>
      <c r="W40" s="2" t="n">
        <v>-0.4</v>
      </c>
      <c r="X40" s="2" t="n">
        <v>1.5</v>
      </c>
      <c r="Y40" s="2" t="inlineStr">
        <is>
          <t>COMM_Emotional</t>
        </is>
      </c>
      <c r="Z40" s="2" t="inlineStr">
        <is>
          <t>REG_Distractor</t>
        </is>
      </c>
      <c r="AA40" s="2" t="inlineStr">
        <is>
          <t>LANG_Gifts</t>
        </is>
      </c>
      <c r="AB40" s="2" t="n"/>
      <c r="AC40" s="2" t="n"/>
      <c r="AD40" s="2" t="n"/>
      <c r="AE40" s="2" t="n">
        <v>0</v>
      </c>
      <c r="AF40" s="2" t="inlineStr">
        <is>
          <t>fragile optimism</t>
        </is>
      </c>
      <c r="AG40" s="2" t="inlineStr">
        <is>
          <t>tentative hope</t>
        </is>
      </c>
      <c r="AH40" s="2" t="n">
        <v>0</v>
      </c>
      <c r="AI40" s="2" t="inlineStr">
        <is>
          <t>no</t>
        </is>
      </c>
      <c r="AJ40" s="2" t="inlineStr">
        <is>
          <t>no</t>
        </is>
      </c>
      <c r="AK40" s="2" t="inlineStr">
        <is>
          <t>yes</t>
        </is>
      </c>
      <c r="AL40" s="2" t="inlineStr">
        <is>
          <t>yes</t>
        </is>
      </c>
      <c r="AM40" s="2" t="n"/>
      <c r="AN40" s="2" t="n"/>
      <c r="AO40" s="2" t="n"/>
      <c r="AP40" s="2" t="inlineStr">
        <is>
          <t>v3_2026-03-19</t>
        </is>
      </c>
      <c r="AQ40">
        <f>(L40-Schema_v5!$C2)/(Schema_v5!$C3-Schema_v5!$C2)</f>
        <v/>
      </c>
      <c r="AR40">
        <f>(M40-Schema_v5!$C4)/(Schema_v5!$C5-Schema_v5!$C4)</f>
        <v/>
      </c>
      <c r="AS40">
        <f>N40/Schema_v5!$C6</f>
        <v/>
      </c>
      <c r="AT40">
        <f>O40/Schema_v5!$C7</f>
        <v/>
      </c>
      <c r="AU40">
        <f>P40/Schema_v5!$C8</f>
        <v/>
      </c>
      <c r="AV40">
        <f>IF(Schema_v5!$C9=0,0,AH40/Schema_v5!$C9)</f>
        <v/>
      </c>
      <c r="AW40">
        <f>IF(Schema_v5!$C10=0,0,AE40/Schema_v5!$C10)</f>
        <v/>
      </c>
      <c r="AX40">
        <f>(W40-Schema_v5!$C11)/(Schema_v5!$C12-Schema_v5!$C11)</f>
        <v/>
      </c>
      <c r="AY40">
        <f>(X40-Schema_v5!$C13)/(Schema_v5!$C14-Schema_v5!$C13)</f>
        <v/>
      </c>
    </row>
    <row r="41" ht="108" customHeight="1" s="10">
      <c r="A41" s="2" t="inlineStr">
        <is>
          <t>Q08_E</t>
        </is>
      </c>
      <c r="B41" s="2" t="n">
        <v>8</v>
      </c>
      <c r="C41" s="2" t="n">
        <v>8</v>
      </c>
      <c r="D41" s="2" t="inlineStr">
        <is>
          <t>Core</t>
        </is>
      </c>
      <c r="E41" s="2" t="n">
        <v>1</v>
      </c>
      <c r="F41" s="2" t="inlineStr">
        <is>
          <t>CommunicationHealth</t>
        </is>
      </c>
      <c r="G41" s="2" t="inlineStr">
        <is>
          <t>EmotionalNeeds</t>
        </is>
      </c>
      <c r="H41" s="2" t="n"/>
      <c r="I41" s="2" t="inlineStr">
        <is>
          <t>E</t>
        </is>
      </c>
      <c r="J41" s="2" t="inlineStr">
        <is>
          <t>E</t>
        </is>
      </c>
      <c r="K41" s="2" t="inlineStr">
        <is>
          <t>Cool. If they're gonna play distant, I'll be busy too. I'm not built to beg for consistency.</t>
        </is>
      </c>
      <c r="L41" s="2" t="n">
        <v>4</v>
      </c>
      <c r="M41" s="2" t="n">
        <v>5</v>
      </c>
      <c r="N41" s="2" t="n">
        <v>0</v>
      </c>
      <c r="O41" s="2" t="n">
        <v>0</v>
      </c>
      <c r="P41" s="2" t="n">
        <v>0</v>
      </c>
      <c r="Q41" s="2" t="inlineStr">
        <is>
          <t>Icebox</t>
        </is>
      </c>
      <c r="R41" s="2" t="n">
        <v>1</v>
      </c>
      <c r="S41" s="2" t="n"/>
      <c r="T41" s="2" t="n"/>
      <c r="U41" s="2" t="n">
        <v>0</v>
      </c>
      <c r="V41" s="2" t="inlineStr">
        <is>
          <t>masc:1.8;fem:-1.6</t>
        </is>
      </c>
      <c r="W41" s="2" t="n">
        <v>1.8</v>
      </c>
      <c r="X41" s="2" t="n">
        <v>-1.6</v>
      </c>
      <c r="Y41" s="2" t="inlineStr">
        <is>
          <t>COMM_Avoidant</t>
        </is>
      </c>
      <c r="Z41" s="2" t="inlineStr">
        <is>
          <t>REG_Suppressor</t>
        </is>
      </c>
      <c r="AA41" s="2" t="inlineStr">
        <is>
          <t>LANG_Time</t>
        </is>
      </c>
      <c r="AB41" s="2" t="inlineStr">
        <is>
          <t>Vulnerability_Loop , Pursuer_Distancer</t>
        </is>
      </c>
      <c r="AC41" s="2" t="inlineStr">
        <is>
          <t>Vulnerability_Loop</t>
        </is>
      </c>
      <c r="AD41" s="2" t="inlineStr">
        <is>
          <t>Pursuer_Distancer</t>
        </is>
      </c>
      <c r="AE41" s="2" t="n">
        <v>11</v>
      </c>
      <c r="AF41" s="2" t="inlineStr">
        <is>
          <t>defensive control</t>
        </is>
      </c>
      <c r="AG41" s="2" t="inlineStr">
        <is>
          <t>mirrored distance</t>
        </is>
      </c>
      <c r="AH41" s="2" t="n">
        <v>0</v>
      </c>
      <c r="AI41" s="2" t="inlineStr">
        <is>
          <t>yes</t>
        </is>
      </c>
      <c r="AJ41" s="2" t="inlineStr">
        <is>
          <t>no</t>
        </is>
      </c>
      <c r="AK41" s="2" t="inlineStr">
        <is>
          <t>yes</t>
        </is>
      </c>
      <c r="AL41" s="2" t="inlineStr">
        <is>
          <t>yes</t>
        </is>
      </c>
      <c r="AM41" s="2" t="n"/>
      <c r="AN41" s="2" t="n"/>
      <c r="AO41" s="2" t="n"/>
      <c r="AP41" s="2" t="inlineStr">
        <is>
          <t>v3_2026-03-19</t>
        </is>
      </c>
      <c r="AQ41">
        <f>(L41-Schema_v5!$C2)/(Schema_v5!$C3-Schema_v5!$C2)</f>
        <v/>
      </c>
      <c r="AR41">
        <f>(M41-Schema_v5!$C4)/(Schema_v5!$C5-Schema_v5!$C4)</f>
        <v/>
      </c>
      <c r="AS41">
        <f>N41/Schema_v5!$C6</f>
        <v/>
      </c>
      <c r="AT41">
        <f>O41/Schema_v5!$C7</f>
        <v/>
      </c>
      <c r="AU41">
        <f>P41/Schema_v5!$C8</f>
        <v/>
      </c>
      <c r="AV41">
        <f>IF(Schema_v5!$C9=0,0,AH41/Schema_v5!$C9)</f>
        <v/>
      </c>
      <c r="AW41">
        <f>IF(Schema_v5!$C10=0,0,AE41/Schema_v5!$C10)</f>
        <v/>
      </c>
      <c r="AX41">
        <f>(W41-Schema_v5!$C11)/(Schema_v5!$C12-Schema_v5!$C11)</f>
        <v/>
      </c>
      <c r="AY41">
        <f>(X41-Schema_v5!$C13)/(Schema_v5!$C14-Schema_v5!$C13)</f>
        <v/>
      </c>
    </row>
    <row r="42" ht="121.5" customHeight="1" s="10">
      <c r="A42" s="2" t="inlineStr">
        <is>
          <t>Q09_A</t>
        </is>
      </c>
      <c r="B42" s="2" t="n">
        <v>9</v>
      </c>
      <c r="C42" s="2" t="n">
        <v>9</v>
      </c>
      <c r="D42" s="2" t="inlineStr">
        <is>
          <t>Core</t>
        </is>
      </c>
      <c r="E42" s="2" t="n">
        <v>1.05</v>
      </c>
      <c r="F42" s="2" t="inlineStr">
        <is>
          <t>ConflictRepair</t>
        </is>
      </c>
      <c r="G42" s="2" t="inlineStr">
        <is>
          <t>CommunicationHealth</t>
        </is>
      </c>
      <c r="H42" s="2" t="inlineStr">
        <is>
          <t>Question 9: They cancel plans last minute. No real reason, no reschedule. How do you take it?</t>
        </is>
      </c>
      <c r="I42" s="2" t="inlineStr">
        <is>
          <t>A</t>
        </is>
      </c>
      <c r="J42" s="2" t="inlineStr">
        <is>
          <t>A</t>
        </is>
      </c>
      <c r="K42" s="2" t="inlineStr">
        <is>
          <t>Noted. That's usually my cue to start pulling my energy back. I don't throw a fit, I just stop handing out access.</t>
        </is>
      </c>
      <c r="L42" s="2" t="n">
        <v>7</v>
      </c>
      <c r="M42" s="2" t="n">
        <v>8</v>
      </c>
      <c r="N42" s="2" t="n">
        <v>4</v>
      </c>
      <c r="O42" s="2" t="n">
        <v>4</v>
      </c>
      <c r="P42" s="2" t="n">
        <v>0</v>
      </c>
      <c r="Q42" s="2" t="inlineStr">
        <is>
          <t>Quiet Exit</t>
        </is>
      </c>
      <c r="R42" s="2" t="n">
        <v>4</v>
      </c>
      <c r="S42" s="2" t="n"/>
      <c r="T42" s="2" t="n"/>
      <c r="U42" s="2" t="n">
        <v>0</v>
      </c>
      <c r="V42" s="2" t="inlineStr">
        <is>
          <t>masc:1.4;fem:-1.3</t>
        </is>
      </c>
      <c r="W42" s="2" t="n">
        <v>1.4</v>
      </c>
      <c r="X42" s="2" t="n">
        <v>-1.3</v>
      </c>
      <c r="Y42" s="2" t="inlineStr">
        <is>
          <t>COMM_Avoidant</t>
        </is>
      </c>
      <c r="Z42" s="2" t="inlineStr">
        <is>
          <t>REG_Suppressor</t>
        </is>
      </c>
      <c r="AA42" s="2" t="inlineStr">
        <is>
          <t>LANG_Time</t>
        </is>
      </c>
      <c r="AB42" s="2" t="n"/>
      <c r="AC42" s="2" t="n"/>
      <c r="AD42" s="2" t="n"/>
      <c r="AE42" s="2" t="n">
        <v>0</v>
      </c>
      <c r="AF42" s="2" t="inlineStr">
        <is>
          <t>soft withdrawal</t>
        </is>
      </c>
      <c r="AG42" s="2" t="inlineStr">
        <is>
          <t>quiet boundary</t>
        </is>
      </c>
      <c r="AH42" s="2" t="n">
        <v>0.2</v>
      </c>
      <c r="AI42" s="2" t="inlineStr">
        <is>
          <t>no</t>
        </is>
      </c>
      <c r="AJ42" s="2" t="inlineStr">
        <is>
          <t>no</t>
        </is>
      </c>
      <c r="AK42" s="2" t="inlineStr">
        <is>
          <t>yes</t>
        </is>
      </c>
      <c r="AL42" s="2" t="inlineStr">
        <is>
          <t>yes</t>
        </is>
      </c>
      <c r="AM42" s="2" t="n"/>
      <c r="AN42" s="2" t="n"/>
      <c r="AO42" s="2" t="n"/>
      <c r="AP42" s="2" t="inlineStr">
        <is>
          <t>v3_2026-03-19</t>
        </is>
      </c>
      <c r="AQ42">
        <f>(L42-Schema_v5!$C2)/(Schema_v5!$C3-Schema_v5!$C2)</f>
        <v/>
      </c>
      <c r="AR42">
        <f>(M42-Schema_v5!$C4)/(Schema_v5!$C5-Schema_v5!$C4)</f>
        <v/>
      </c>
      <c r="AS42">
        <f>N42/Schema_v5!$C6</f>
        <v/>
      </c>
      <c r="AT42">
        <f>O42/Schema_v5!$C7</f>
        <v/>
      </c>
      <c r="AU42">
        <f>P42/Schema_v5!$C8</f>
        <v/>
      </c>
      <c r="AV42">
        <f>IF(Schema_v5!$C9=0,0,AH42/Schema_v5!$C9)</f>
        <v/>
      </c>
      <c r="AW42">
        <f>IF(Schema_v5!$C10=0,0,AE42/Schema_v5!$C10)</f>
        <v/>
      </c>
      <c r="AX42">
        <f>(W42-Schema_v5!$C11)/(Schema_v5!$C12-Schema_v5!$C11)</f>
        <v/>
      </c>
      <c r="AY42">
        <f>(X42-Schema_v5!$C13)/(Schema_v5!$C14-Schema_v5!$C13)</f>
        <v/>
      </c>
    </row>
    <row r="43" ht="148.5" customHeight="1" s="10">
      <c r="A43" s="2" t="inlineStr">
        <is>
          <t>Q09_B</t>
        </is>
      </c>
      <c r="B43" s="2" t="n">
        <v>9</v>
      </c>
      <c r="C43" s="2" t="n">
        <v>9</v>
      </c>
      <c r="D43" s="2" t="inlineStr">
        <is>
          <t>Core</t>
        </is>
      </c>
      <c r="E43" s="2" t="n">
        <v>1.05</v>
      </c>
      <c r="F43" s="2" t="inlineStr">
        <is>
          <t>ConflictRepair</t>
        </is>
      </c>
      <c r="G43" s="2" t="inlineStr">
        <is>
          <t>CommunicationHealth</t>
        </is>
      </c>
      <c r="H43" s="2" t="n"/>
      <c r="I43" s="2" t="inlineStr">
        <is>
          <t>B</t>
        </is>
      </c>
      <c r="J43" s="2" t="inlineStr">
        <is>
          <t>B</t>
        </is>
      </c>
      <c r="K43" s="2" t="inlineStr">
        <is>
          <t>I act like it's fine, but it lingers. Now I'm checking who else they were with, what story that timing fits into. I overthink for a living.</t>
        </is>
      </c>
      <c r="L43" s="2" t="n">
        <v>5</v>
      </c>
      <c r="M43" s="2" t="n">
        <v>6</v>
      </c>
      <c r="N43" s="2" t="n">
        <v>4</v>
      </c>
      <c r="O43" s="2" t="n">
        <v>4</v>
      </c>
      <c r="P43" s="2" t="n">
        <v>2</v>
      </c>
      <c r="Q43" s="2" t="inlineStr">
        <is>
          <t>Analyzer</t>
        </is>
      </c>
      <c r="R43" s="2" t="n">
        <v>2</v>
      </c>
      <c r="S43" s="2" t="n"/>
      <c r="T43" s="2" t="n"/>
      <c r="U43" s="2" t="n">
        <v>0</v>
      </c>
      <c r="V43" s="2" t="inlineStr">
        <is>
          <t>masc:1.4;fem:0.1</t>
        </is>
      </c>
      <c r="W43" s="2" t="n">
        <v>1.4</v>
      </c>
      <c r="X43" s="2" t="n">
        <v>0.1</v>
      </c>
      <c r="Y43" s="2" t="inlineStr">
        <is>
          <t>COMM_Logical</t>
        </is>
      </c>
      <c r="Z43" s="2" t="inlineStr">
        <is>
          <t>REG_SelfSoother</t>
        </is>
      </c>
      <c r="AA43" s="2" t="inlineStr">
        <is>
          <t>LANG_Service</t>
        </is>
      </c>
      <c r="AB43" s="2" t="inlineStr">
        <is>
          <t>Vulnerability_Loop</t>
        </is>
      </c>
      <c r="AC43" s="2" t="inlineStr">
        <is>
          <t>Vulnerability_Loop</t>
        </is>
      </c>
      <c r="AD43" s="2" t="n"/>
      <c r="AE43" s="2" t="n">
        <v>5</v>
      </c>
      <c r="AF43" s="2" t="inlineStr">
        <is>
          <t>obsessive cross-referencer</t>
        </is>
      </c>
      <c r="AG43" s="2" t="inlineStr">
        <is>
          <t>trust checker</t>
        </is>
      </c>
      <c r="AH43" s="2" t="n">
        <v>0</v>
      </c>
      <c r="AI43" s="2" t="inlineStr">
        <is>
          <t>yes</t>
        </is>
      </c>
      <c r="AJ43" s="2" t="inlineStr">
        <is>
          <t>no</t>
        </is>
      </c>
      <c r="AK43" s="2" t="inlineStr">
        <is>
          <t>yes</t>
        </is>
      </c>
      <c r="AL43" s="2" t="inlineStr">
        <is>
          <t>yes</t>
        </is>
      </c>
      <c r="AM43" s="2" t="n"/>
      <c r="AN43" s="2" t="n"/>
      <c r="AO43" s="2" t="n"/>
      <c r="AP43" s="2" t="inlineStr">
        <is>
          <t>v3_2026-03-19</t>
        </is>
      </c>
      <c r="AQ43">
        <f>(L43-Schema_v5!$C2)/(Schema_v5!$C3-Schema_v5!$C2)</f>
        <v/>
      </c>
      <c r="AR43">
        <f>(M43-Schema_v5!$C4)/(Schema_v5!$C5-Schema_v5!$C4)</f>
        <v/>
      </c>
      <c r="AS43">
        <f>N43/Schema_v5!$C6</f>
        <v/>
      </c>
      <c r="AT43">
        <f>O43/Schema_v5!$C7</f>
        <v/>
      </c>
      <c r="AU43">
        <f>P43/Schema_v5!$C8</f>
        <v/>
      </c>
      <c r="AV43">
        <f>IF(Schema_v5!$C9=0,0,AH43/Schema_v5!$C9)</f>
        <v/>
      </c>
      <c r="AW43">
        <f>IF(Schema_v5!$C10=0,0,AE43/Schema_v5!$C10)</f>
        <v/>
      </c>
      <c r="AX43">
        <f>(W43-Schema_v5!$C11)/(Schema_v5!$C12-Schema_v5!$C11)</f>
        <v/>
      </c>
      <c r="AY43">
        <f>(X43-Schema_v5!$C13)/(Schema_v5!$C14-Schema_v5!$C13)</f>
        <v/>
      </c>
    </row>
    <row r="44" ht="162" customHeight="1" s="10">
      <c r="A44" s="2" t="inlineStr">
        <is>
          <t>Q09_C</t>
        </is>
      </c>
      <c r="B44" s="2" t="n">
        <v>9</v>
      </c>
      <c r="C44" s="2" t="n">
        <v>9</v>
      </c>
      <c r="D44" s="2" t="inlineStr">
        <is>
          <t>Core</t>
        </is>
      </c>
      <c r="E44" s="2" t="n">
        <v>1.05</v>
      </c>
      <c r="F44" s="2" t="inlineStr">
        <is>
          <t>ConflictRepair</t>
        </is>
      </c>
      <c r="G44" s="2" t="inlineStr">
        <is>
          <t>CommunicationHealth</t>
        </is>
      </c>
      <c r="H44" s="2" t="n"/>
      <c r="I44" s="2" t="inlineStr">
        <is>
          <t>C</t>
        </is>
      </c>
      <c r="J44" s="2" t="inlineStr">
        <is>
          <t>C</t>
        </is>
      </c>
      <c r="K44" s="2" t="inlineStr">
        <is>
          <t>It stings. I replay the texts a few times, wondering what I said or didn't say. I don't bring it up, but I definitely adjust after that.</t>
        </is>
      </c>
      <c r="L44" s="2" t="n">
        <v>5</v>
      </c>
      <c r="M44" s="2" t="n">
        <v>6</v>
      </c>
      <c r="N44" s="2" t="n">
        <v>2</v>
      </c>
      <c r="O44" s="2" t="n">
        <v>4</v>
      </c>
      <c r="P44" s="2" t="n">
        <v>2</v>
      </c>
      <c r="Q44" s="2" t="inlineStr">
        <is>
          <t>Phantom Seeker</t>
        </is>
      </c>
      <c r="R44" s="2" t="n">
        <v>10</v>
      </c>
      <c r="S44" s="2" t="n"/>
      <c r="T44" s="2" t="n"/>
      <c r="U44" s="2" t="n">
        <v>0</v>
      </c>
      <c r="V44" s="2" t="inlineStr">
        <is>
          <t>masc:-0.2;fem:1.5</t>
        </is>
      </c>
      <c r="W44" s="2" t="n">
        <v>-0.2</v>
      </c>
      <c r="X44" s="2" t="n">
        <v>1.5</v>
      </c>
      <c r="Y44" s="2" t="inlineStr">
        <is>
          <t>COMM_Emotional</t>
        </is>
      </c>
      <c r="Z44" s="2" t="inlineStr">
        <is>
          <t>REG_SelfSoother</t>
        </is>
      </c>
      <c r="AA44" s="2" t="inlineStr">
        <is>
          <t>LANG_Touch</t>
        </is>
      </c>
      <c r="AB44" s="2" t="inlineStr">
        <is>
          <t>Vulnerability_Loop</t>
        </is>
      </c>
      <c r="AC44" s="2" t="inlineStr">
        <is>
          <t>Vulnerability_Loop</t>
        </is>
      </c>
      <c r="AD44" s="2" t="n"/>
      <c r="AE44" s="2" t="n">
        <v>5</v>
      </c>
      <c r="AF44" s="2" t="inlineStr">
        <is>
          <t>internalizer pullback</t>
        </is>
      </c>
      <c r="AG44" s="2" t="inlineStr">
        <is>
          <t>cautious retreater</t>
        </is>
      </c>
      <c r="AH44" s="2" t="n">
        <v>0</v>
      </c>
      <c r="AI44" s="2" t="inlineStr">
        <is>
          <t>yes</t>
        </is>
      </c>
      <c r="AJ44" s="2" t="inlineStr">
        <is>
          <t>no</t>
        </is>
      </c>
      <c r="AK44" s="2" t="inlineStr">
        <is>
          <t>yes</t>
        </is>
      </c>
      <c r="AL44" s="2" t="inlineStr">
        <is>
          <t>yes</t>
        </is>
      </c>
      <c r="AM44" s="2" t="n"/>
      <c r="AN44" s="2" t="n"/>
      <c r="AO44" s="2" t="n"/>
      <c r="AP44" s="2" t="inlineStr">
        <is>
          <t>v3_2026-03-19</t>
        </is>
      </c>
      <c r="AQ44">
        <f>(L44-Schema_v5!$C2)/(Schema_v5!$C3-Schema_v5!$C2)</f>
        <v/>
      </c>
      <c r="AR44">
        <f>(M44-Schema_v5!$C4)/(Schema_v5!$C5-Schema_v5!$C4)</f>
        <v/>
      </c>
      <c r="AS44">
        <f>N44/Schema_v5!$C6</f>
        <v/>
      </c>
      <c r="AT44">
        <f>O44/Schema_v5!$C7</f>
        <v/>
      </c>
      <c r="AU44">
        <f>P44/Schema_v5!$C8</f>
        <v/>
      </c>
      <c r="AV44">
        <f>IF(Schema_v5!$C9=0,0,AH44/Schema_v5!$C9)</f>
        <v/>
      </c>
      <c r="AW44">
        <f>IF(Schema_v5!$C10=0,0,AE44/Schema_v5!$C10)</f>
        <v/>
      </c>
      <c r="AX44">
        <f>(W44-Schema_v5!$C11)/(Schema_v5!$C12-Schema_v5!$C11)</f>
        <v/>
      </c>
      <c r="AY44">
        <f>(X44-Schema_v5!$C13)/(Schema_v5!$C14-Schema_v5!$C13)</f>
        <v/>
      </c>
    </row>
    <row r="45" ht="175.5" customHeight="1" s="10">
      <c r="A45" s="2" t="inlineStr">
        <is>
          <t>Q09_D</t>
        </is>
      </c>
      <c r="B45" s="2" t="n">
        <v>9</v>
      </c>
      <c r="C45" s="2" t="n">
        <v>9</v>
      </c>
      <c r="D45" s="2" t="inlineStr">
        <is>
          <t>Core</t>
        </is>
      </c>
      <c r="E45" s="2" t="n">
        <v>1.05</v>
      </c>
      <c r="F45" s="2" t="inlineStr">
        <is>
          <t>ConflictRepair</t>
        </is>
      </c>
      <c r="G45" s="2" t="inlineStr">
        <is>
          <t>CommunicationHealth</t>
        </is>
      </c>
      <c r="H45" s="2" t="n"/>
      <c r="I45" s="2" t="inlineStr">
        <is>
          <t>D</t>
        </is>
      </c>
      <c r="J45" s="2" t="inlineStr">
        <is>
          <t>D</t>
        </is>
      </c>
      <c r="K45" s="2" t="inlineStr">
        <is>
          <t>I get annoyed, then weirdly try harder. Like maybe if I'm more consistent, they'll start matching that. It never really works, but I still do it.</t>
        </is>
      </c>
      <c r="L45" s="2" t="n">
        <v>4</v>
      </c>
      <c r="M45" s="2" t="n">
        <v>5</v>
      </c>
      <c r="N45" s="2" t="n">
        <v>2</v>
      </c>
      <c r="O45" s="2" t="n">
        <v>2</v>
      </c>
      <c r="P45" s="2" t="n">
        <v>2</v>
      </c>
      <c r="Q45" s="2" t="inlineStr">
        <is>
          <t>Fixer</t>
        </is>
      </c>
      <c r="R45" s="2" t="n">
        <v>5</v>
      </c>
      <c r="S45" s="2" t="n"/>
      <c r="T45" s="2" t="n"/>
      <c r="U45" s="2" t="n">
        <v>0</v>
      </c>
      <c r="V45" s="2" t="inlineStr">
        <is>
          <t>masc:-0.4;fem:2.0</t>
        </is>
      </c>
      <c r="W45" s="2" t="n">
        <v>-0.4</v>
      </c>
      <c r="X45" s="2" t="n">
        <v>2</v>
      </c>
      <c r="Y45" s="2" t="inlineStr">
        <is>
          <t>COMM_Emotional</t>
        </is>
      </c>
      <c r="Z45" s="2" t="inlineStr">
        <is>
          <t>REG_CoRegulator</t>
        </is>
      </c>
      <c r="AA45" s="2" t="inlineStr">
        <is>
          <t>LANG_Service</t>
        </is>
      </c>
      <c r="AB45" s="2" t="inlineStr">
        <is>
          <t>Commitment_Ambiguity</t>
        </is>
      </c>
      <c r="AC45" s="2" t="inlineStr">
        <is>
          <t>Commitment_Ambiguity</t>
        </is>
      </c>
      <c r="AD45" s="2" t="n"/>
      <c r="AE45" s="2" t="n">
        <v>5</v>
      </c>
      <c r="AF45" s="2" t="inlineStr">
        <is>
          <t>conditional effort loop</t>
        </is>
      </c>
      <c r="AG45" s="2" t="inlineStr">
        <is>
          <t>overcompensator</t>
        </is>
      </c>
      <c r="AH45" s="2" t="n">
        <v>0</v>
      </c>
      <c r="AI45" s="2" t="inlineStr">
        <is>
          <t>yes</t>
        </is>
      </c>
      <c r="AJ45" s="2" t="inlineStr">
        <is>
          <t>no</t>
        </is>
      </c>
      <c r="AK45" s="2" t="inlineStr">
        <is>
          <t>yes</t>
        </is>
      </c>
      <c r="AL45" s="2" t="inlineStr">
        <is>
          <t>yes</t>
        </is>
      </c>
      <c r="AM45" s="2" t="n"/>
      <c r="AN45" s="2" t="n"/>
      <c r="AO45" s="2" t="n"/>
      <c r="AP45" s="2" t="inlineStr">
        <is>
          <t>v3_2026-03-19</t>
        </is>
      </c>
      <c r="AQ45">
        <f>(L45-Schema_v5!$C2)/(Schema_v5!$C3-Schema_v5!$C2)</f>
        <v/>
      </c>
      <c r="AR45">
        <f>(M45-Schema_v5!$C4)/(Schema_v5!$C5-Schema_v5!$C4)</f>
        <v/>
      </c>
      <c r="AS45">
        <f>N45/Schema_v5!$C6</f>
        <v/>
      </c>
      <c r="AT45">
        <f>O45/Schema_v5!$C7</f>
        <v/>
      </c>
      <c r="AU45">
        <f>P45/Schema_v5!$C8</f>
        <v/>
      </c>
      <c r="AV45">
        <f>IF(Schema_v5!$C9=0,0,AH45/Schema_v5!$C9)</f>
        <v/>
      </c>
      <c r="AW45">
        <f>IF(Schema_v5!$C10=0,0,AE45/Schema_v5!$C10)</f>
        <v/>
      </c>
      <c r="AX45">
        <f>(W45-Schema_v5!$C11)/(Schema_v5!$C12-Schema_v5!$C11)</f>
        <v/>
      </c>
      <c r="AY45">
        <f>(X45-Schema_v5!$C13)/(Schema_v5!$C14-Schema_v5!$C13)</f>
        <v/>
      </c>
    </row>
    <row r="46" ht="121.5" customHeight="1" s="10">
      <c r="A46" s="2" t="inlineStr">
        <is>
          <t>Q09_E</t>
        </is>
      </c>
      <c r="B46" s="2" t="n">
        <v>9</v>
      </c>
      <c r="C46" s="2" t="n">
        <v>9</v>
      </c>
      <c r="D46" s="2" t="inlineStr">
        <is>
          <t>Core</t>
        </is>
      </c>
      <c r="E46" s="2" t="n">
        <v>1.05</v>
      </c>
      <c r="F46" s="2" t="inlineStr">
        <is>
          <t>ConflictRepair</t>
        </is>
      </c>
      <c r="G46" s="2" t="inlineStr">
        <is>
          <t>CommunicationHealth</t>
        </is>
      </c>
      <c r="H46" s="2" t="n"/>
      <c r="I46" s="2" t="inlineStr">
        <is>
          <t>E</t>
        </is>
      </c>
      <c r="J46" s="2" t="inlineStr">
        <is>
          <t>E</t>
        </is>
      </c>
      <c r="K46" s="2" t="inlineStr">
        <is>
          <t>Cool. That tells me everything I needed to know. I move different after that, no announcement required.</t>
        </is>
      </c>
      <c r="L46" s="2" t="n">
        <v>4</v>
      </c>
      <c r="M46" s="2" t="n">
        <v>5</v>
      </c>
      <c r="N46" s="2" t="n">
        <v>0</v>
      </c>
      <c r="O46" s="2" t="n">
        <v>0</v>
      </c>
      <c r="P46" s="2" t="n">
        <v>0</v>
      </c>
      <c r="Q46" s="2" t="inlineStr">
        <is>
          <t>Icebox</t>
        </is>
      </c>
      <c r="R46" s="2" t="n">
        <v>1</v>
      </c>
      <c r="S46" s="2" t="n"/>
      <c r="T46" s="2" t="n"/>
      <c r="U46" s="2" t="n">
        <v>0</v>
      </c>
      <c r="V46" s="2" t="inlineStr">
        <is>
          <t>masc:1.8;fem:-1.6</t>
        </is>
      </c>
      <c r="W46" s="2" t="n">
        <v>1.8</v>
      </c>
      <c r="X46" s="2" t="n">
        <v>-1.6</v>
      </c>
      <c r="Y46" s="2" t="inlineStr">
        <is>
          <t>COMM_Avoidant</t>
        </is>
      </c>
      <c r="Z46" s="2" t="inlineStr">
        <is>
          <t>REG_Suppressor</t>
        </is>
      </c>
      <c r="AA46" s="2" t="inlineStr">
        <is>
          <t>LANG_Time</t>
        </is>
      </c>
      <c r="AB46" s="2" t="n"/>
      <c r="AC46" s="2" t="n"/>
      <c r="AD46" s="2" t="n"/>
      <c r="AE46" s="2" t="n">
        <v>0</v>
      </c>
      <c r="AF46" s="2" t="inlineStr">
        <is>
          <t>cold logic</t>
        </is>
      </c>
      <c r="AG46" s="2" t="inlineStr">
        <is>
          <t>decisive exit</t>
        </is>
      </c>
      <c r="AH46" s="2" t="n">
        <v>0.6</v>
      </c>
      <c r="AI46" s="2" t="inlineStr">
        <is>
          <t>no</t>
        </is>
      </c>
      <c r="AJ46" s="2" t="inlineStr">
        <is>
          <t>no</t>
        </is>
      </c>
      <c r="AK46" s="2" t="inlineStr">
        <is>
          <t>yes</t>
        </is>
      </c>
      <c r="AL46" s="2" t="inlineStr">
        <is>
          <t>yes</t>
        </is>
      </c>
      <c r="AM46" s="2" t="n"/>
      <c r="AN46" s="2" t="n"/>
      <c r="AO46" s="2" t="n"/>
      <c r="AP46" s="2" t="inlineStr">
        <is>
          <t>v3_2026-03-19</t>
        </is>
      </c>
      <c r="AQ46">
        <f>(L46-Schema_v5!$C2)/(Schema_v5!$C3-Schema_v5!$C2)</f>
        <v/>
      </c>
      <c r="AR46">
        <f>(M46-Schema_v5!$C4)/(Schema_v5!$C5-Schema_v5!$C4)</f>
        <v/>
      </c>
      <c r="AS46">
        <f>N46/Schema_v5!$C6</f>
        <v/>
      </c>
      <c r="AT46">
        <f>O46/Schema_v5!$C7</f>
        <v/>
      </c>
      <c r="AU46">
        <f>P46/Schema_v5!$C8</f>
        <v/>
      </c>
      <c r="AV46">
        <f>IF(Schema_v5!$C9=0,0,AH46/Schema_v5!$C9)</f>
        <v/>
      </c>
      <c r="AW46">
        <f>IF(Schema_v5!$C10=0,0,AE46/Schema_v5!$C10)</f>
        <v/>
      </c>
      <c r="AX46">
        <f>(W46-Schema_v5!$C11)/(Schema_v5!$C12-Schema_v5!$C11)</f>
        <v/>
      </c>
      <c r="AY46">
        <f>(X46-Schema_v5!$C13)/(Schema_v5!$C14-Schema_v5!$C13)</f>
        <v/>
      </c>
    </row>
    <row r="47" ht="148.5" customHeight="1" s="10">
      <c r="A47" s="2" t="inlineStr">
        <is>
          <t>Q10_A</t>
        </is>
      </c>
      <c r="B47" s="2" t="n">
        <v>10</v>
      </c>
      <c r="C47" s="2" t="n">
        <v>10</v>
      </c>
      <c r="D47" s="2" t="inlineStr">
        <is>
          <t>Core</t>
        </is>
      </c>
      <c r="E47" s="2" t="n">
        <v>1.05</v>
      </c>
      <c r="F47" s="2" t="inlineStr">
        <is>
          <t>ConflictRepair</t>
        </is>
      </c>
      <c r="G47" s="2" t="inlineStr">
        <is>
          <t>CommunicationHealth</t>
        </is>
      </c>
      <c r="H47" s="2" t="inlineStr">
        <is>
          <t>Question 10: They come to you for comfort when things go wrong-but you're not sure they'd do the same for you. What runs through your mind?</t>
        </is>
      </c>
      <c r="I47" s="2" t="inlineStr">
        <is>
          <t>A</t>
        </is>
      </c>
      <c r="J47" s="2" t="inlineStr">
        <is>
          <t>A</t>
        </is>
      </c>
      <c r="K47" s="2" t="inlineStr">
        <is>
          <t>I play the part, but I clock the imbalance. I've been the safe place before, doesn't mean they ever planned to stay.</t>
        </is>
      </c>
      <c r="L47" s="2" t="n">
        <v>7</v>
      </c>
      <c r="M47" s="2" t="n">
        <v>8</v>
      </c>
      <c r="N47" s="2" t="n">
        <v>6</v>
      </c>
      <c r="O47" s="2" t="n">
        <v>8</v>
      </c>
      <c r="P47" s="2" t="n">
        <v>6</v>
      </c>
      <c r="Q47" s="2" t="inlineStr">
        <is>
          <t>Survivor</t>
        </is>
      </c>
      <c r="R47" s="2" t="n">
        <v>8</v>
      </c>
      <c r="S47" s="2" t="n"/>
      <c r="T47" s="2" t="n"/>
      <c r="U47" s="2" t="n">
        <v>0</v>
      </c>
      <c r="V47" s="2" t="inlineStr">
        <is>
          <t>masc:0.3;fem:1.3</t>
        </is>
      </c>
      <c r="W47" s="2" t="n">
        <v>0.3</v>
      </c>
      <c r="X47" s="2" t="n">
        <v>1.3</v>
      </c>
      <c r="Y47" s="2" t="inlineStr">
        <is>
          <t>COMM_Emotional</t>
        </is>
      </c>
      <c r="Z47" s="2" t="inlineStr">
        <is>
          <t>REG_SelfSoother</t>
        </is>
      </c>
      <c r="AA47" s="2" t="inlineStr">
        <is>
          <t>LANG_Service</t>
        </is>
      </c>
      <c r="AB47" s="2" t="n"/>
      <c r="AC47" s="2" t="n"/>
      <c r="AD47" s="2" t="n"/>
      <c r="AE47" s="2" t="n">
        <v>0</v>
      </c>
      <c r="AF47" s="2" t="inlineStr">
        <is>
          <t>burned-out responder</t>
        </is>
      </c>
      <c r="AG47" s="2" t="inlineStr">
        <is>
          <t>guarded giver</t>
        </is>
      </c>
      <c r="AH47" s="2" t="n">
        <v>0</v>
      </c>
      <c r="AI47" s="2" t="inlineStr">
        <is>
          <t>no</t>
        </is>
      </c>
      <c r="AJ47" s="2" t="inlineStr">
        <is>
          <t>no</t>
        </is>
      </c>
      <c r="AK47" s="2" t="inlineStr">
        <is>
          <t>yes</t>
        </is>
      </c>
      <c r="AL47" s="2" t="inlineStr">
        <is>
          <t>yes</t>
        </is>
      </c>
      <c r="AM47" s="2" t="n"/>
      <c r="AN47" s="2" t="n"/>
      <c r="AO47" s="2" t="n"/>
      <c r="AP47" s="2" t="inlineStr">
        <is>
          <t>v3_2026-03-19</t>
        </is>
      </c>
      <c r="AQ47">
        <f>(L47-Schema_v5!$C2)/(Schema_v5!$C3-Schema_v5!$C2)</f>
        <v/>
      </c>
      <c r="AR47">
        <f>(M47-Schema_v5!$C4)/(Schema_v5!$C5-Schema_v5!$C4)</f>
        <v/>
      </c>
      <c r="AS47">
        <f>N47/Schema_v5!$C6</f>
        <v/>
      </c>
      <c r="AT47">
        <f>O47/Schema_v5!$C7</f>
        <v/>
      </c>
      <c r="AU47">
        <f>P47/Schema_v5!$C8</f>
        <v/>
      </c>
      <c r="AV47">
        <f>IF(Schema_v5!$C9=0,0,AH47/Schema_v5!$C9)</f>
        <v/>
      </c>
      <c r="AW47">
        <f>IF(Schema_v5!$C10=0,0,AE47/Schema_v5!$C10)</f>
        <v/>
      </c>
      <c r="AX47">
        <f>(W47-Schema_v5!$C11)/(Schema_v5!$C12-Schema_v5!$C11)</f>
        <v/>
      </c>
      <c r="AY47">
        <f>(X47-Schema_v5!$C13)/(Schema_v5!$C14-Schema_v5!$C13)</f>
        <v/>
      </c>
    </row>
    <row r="48" ht="108" customHeight="1" s="10">
      <c r="A48" s="2" t="inlineStr">
        <is>
          <t>Q10_B</t>
        </is>
      </c>
      <c r="B48" s="2" t="n">
        <v>10</v>
      </c>
      <c r="C48" s="2" t="n">
        <v>10</v>
      </c>
      <c r="D48" s="2" t="inlineStr">
        <is>
          <t>Core</t>
        </is>
      </c>
      <c r="E48" s="2" t="n">
        <v>1.05</v>
      </c>
      <c r="F48" s="2" t="inlineStr">
        <is>
          <t>ConflictRepair</t>
        </is>
      </c>
      <c r="G48" s="2" t="inlineStr">
        <is>
          <t>CommunicationHealth</t>
        </is>
      </c>
      <c r="H48" s="2" t="n"/>
      <c r="I48" s="2" t="inlineStr">
        <is>
          <t>B</t>
        </is>
      </c>
      <c r="J48" s="2" t="inlineStr">
        <is>
          <t>B</t>
        </is>
      </c>
      <c r="K48" s="2" t="inlineStr">
        <is>
          <t>I try to be what they need, hoping maybe this time they'll realize I'm more than a backup plan.</t>
        </is>
      </c>
      <c r="L48" s="2" t="n">
        <v>6</v>
      </c>
      <c r="M48" s="2" t="n">
        <v>7</v>
      </c>
      <c r="N48" s="2" t="n">
        <v>4</v>
      </c>
      <c r="O48" s="2" t="n">
        <v>6</v>
      </c>
      <c r="P48" s="2" t="n">
        <v>4</v>
      </c>
      <c r="Q48" s="2" t="inlineStr">
        <is>
          <t>Fixer</t>
        </is>
      </c>
      <c r="R48" s="2" t="n">
        <v>5</v>
      </c>
      <c r="S48" s="2" t="n"/>
      <c r="T48" s="2" t="n"/>
      <c r="U48" s="2" t="n">
        <v>0</v>
      </c>
      <c r="V48" s="2" t="inlineStr">
        <is>
          <t>masc:-0.4;fem:2.0</t>
        </is>
      </c>
      <c r="W48" s="2" t="n">
        <v>-0.4</v>
      </c>
      <c r="X48" s="2" t="n">
        <v>2</v>
      </c>
      <c r="Y48" s="2" t="inlineStr">
        <is>
          <t>COMM_Emotional</t>
        </is>
      </c>
      <c r="Z48" s="2" t="inlineStr">
        <is>
          <t>REG_CoRegulator</t>
        </is>
      </c>
      <c r="AA48" s="2" t="inlineStr">
        <is>
          <t>LANG_Service</t>
        </is>
      </c>
      <c r="AB48" s="2" t="inlineStr">
        <is>
          <t>Commitment_Ambiguity</t>
        </is>
      </c>
      <c r="AC48" s="2" t="inlineStr">
        <is>
          <t>Commitment_Ambiguity</t>
        </is>
      </c>
      <c r="AD48" s="2" t="n"/>
      <c r="AE48" s="2" t="n">
        <v>5</v>
      </c>
      <c r="AF48" s="2" t="inlineStr">
        <is>
          <t>approval-seeking caretaker</t>
        </is>
      </c>
      <c r="AG48" s="2" t="inlineStr">
        <is>
          <t>hopeful server</t>
        </is>
      </c>
      <c r="AH48" s="2" t="n">
        <v>0</v>
      </c>
      <c r="AI48" s="2" t="inlineStr">
        <is>
          <t>yes</t>
        </is>
      </c>
      <c r="AJ48" s="2" t="inlineStr">
        <is>
          <t>no</t>
        </is>
      </c>
      <c r="AK48" s="2" t="inlineStr">
        <is>
          <t>yes</t>
        </is>
      </c>
      <c r="AL48" s="2" t="inlineStr">
        <is>
          <t>yes</t>
        </is>
      </c>
      <c r="AM48" s="2" t="n"/>
      <c r="AN48" s="2" t="n"/>
      <c r="AO48" s="2" t="n"/>
      <c r="AP48" s="2" t="inlineStr">
        <is>
          <t>v3_2026-03-19</t>
        </is>
      </c>
      <c r="AQ48">
        <f>(L48-Schema_v5!$C2)/(Schema_v5!$C3-Schema_v5!$C2)</f>
        <v/>
      </c>
      <c r="AR48">
        <f>(M48-Schema_v5!$C4)/(Schema_v5!$C5-Schema_v5!$C4)</f>
        <v/>
      </c>
      <c r="AS48">
        <f>N48/Schema_v5!$C6</f>
        <v/>
      </c>
      <c r="AT48">
        <f>O48/Schema_v5!$C7</f>
        <v/>
      </c>
      <c r="AU48">
        <f>P48/Schema_v5!$C8</f>
        <v/>
      </c>
      <c r="AV48">
        <f>IF(Schema_v5!$C9=0,0,AH48/Schema_v5!$C9)</f>
        <v/>
      </c>
      <c r="AW48">
        <f>IF(Schema_v5!$C10=0,0,AE48/Schema_v5!$C10)</f>
        <v/>
      </c>
      <c r="AX48">
        <f>(W48-Schema_v5!$C11)/(Schema_v5!$C12-Schema_v5!$C11)</f>
        <v/>
      </c>
      <c r="AY48">
        <f>(X48-Schema_v5!$C13)/(Schema_v5!$C14-Schema_v5!$C13)</f>
        <v/>
      </c>
    </row>
    <row r="49" ht="148.5" customHeight="1" s="10">
      <c r="A49" s="2" t="inlineStr">
        <is>
          <t>Q10_C</t>
        </is>
      </c>
      <c r="B49" s="2" t="n">
        <v>10</v>
      </c>
      <c r="C49" s="2" t="n">
        <v>10</v>
      </c>
      <c r="D49" s="2" t="inlineStr">
        <is>
          <t>Core</t>
        </is>
      </c>
      <c r="E49" s="2" t="n">
        <v>1.05</v>
      </c>
      <c r="F49" s="2" t="inlineStr">
        <is>
          <t>ConflictRepair</t>
        </is>
      </c>
      <c r="G49" s="2" t="inlineStr">
        <is>
          <t>CommunicationHealth</t>
        </is>
      </c>
      <c r="H49" s="2" t="n"/>
      <c r="I49" s="2" t="inlineStr">
        <is>
          <t>C</t>
        </is>
      </c>
      <c r="J49" s="2" t="inlineStr">
        <is>
          <t>C</t>
        </is>
      </c>
      <c r="K49" s="2" t="inlineStr">
        <is>
          <t>I comfort them, but in my head I'm already creating distance. If I can't count on them too, this whole thing is one-sided.</t>
        </is>
      </c>
      <c r="L49" s="2" t="n">
        <v>7</v>
      </c>
      <c r="M49" s="2" t="n">
        <v>8</v>
      </c>
      <c r="N49" s="2" t="n">
        <v>6</v>
      </c>
      <c r="O49" s="2" t="n">
        <v>8</v>
      </c>
      <c r="P49" s="2" t="n">
        <v>6</v>
      </c>
      <c r="Q49" s="2" t="inlineStr">
        <is>
          <t>Analyzer</t>
        </is>
      </c>
      <c r="R49" s="2" t="n">
        <v>2</v>
      </c>
      <c r="S49" s="2" t="n"/>
      <c r="T49" s="2" t="n"/>
      <c r="U49" s="2" t="n">
        <v>0</v>
      </c>
      <c r="V49" s="2" t="inlineStr">
        <is>
          <t>masc:1.4;fem:0.1</t>
        </is>
      </c>
      <c r="W49" s="2" t="n">
        <v>1.4</v>
      </c>
      <c r="X49" s="2" t="n">
        <v>0.1</v>
      </c>
      <c r="Y49" s="2" t="inlineStr">
        <is>
          <t>COMM_Logical</t>
        </is>
      </c>
      <c r="Z49" s="2" t="inlineStr">
        <is>
          <t>REG_SelfSoother</t>
        </is>
      </c>
      <c r="AA49" s="2" t="inlineStr">
        <is>
          <t>LANG_Service</t>
        </is>
      </c>
      <c r="AB49" s="2" t="n"/>
      <c r="AC49" s="2" t="n"/>
      <c r="AD49" s="2" t="n"/>
      <c r="AE49" s="2" t="n">
        <v>0</v>
      </c>
      <c r="AF49" s="2" t="inlineStr">
        <is>
          <t>measured pullback</t>
        </is>
      </c>
      <c r="AG49" s="2" t="inlineStr">
        <is>
          <t>quiet assessor</t>
        </is>
      </c>
      <c r="AH49" s="2" t="n">
        <v>0</v>
      </c>
      <c r="AI49" s="2" t="inlineStr">
        <is>
          <t>no</t>
        </is>
      </c>
      <c r="AJ49" s="2" t="inlineStr">
        <is>
          <t>no</t>
        </is>
      </c>
      <c r="AK49" s="2" t="inlineStr">
        <is>
          <t>yes</t>
        </is>
      </c>
      <c r="AL49" s="2" t="inlineStr">
        <is>
          <t>yes</t>
        </is>
      </c>
      <c r="AM49" s="2" t="n"/>
      <c r="AN49" s="2" t="n"/>
      <c r="AO49" s="2" t="n"/>
      <c r="AP49" s="2" t="inlineStr">
        <is>
          <t>v3_2026-03-19</t>
        </is>
      </c>
      <c r="AQ49">
        <f>(L49-Schema_v5!$C2)/(Schema_v5!$C3-Schema_v5!$C2)</f>
        <v/>
      </c>
      <c r="AR49">
        <f>(M49-Schema_v5!$C4)/(Schema_v5!$C5-Schema_v5!$C4)</f>
        <v/>
      </c>
      <c r="AS49">
        <f>N49/Schema_v5!$C6</f>
        <v/>
      </c>
      <c r="AT49">
        <f>O49/Schema_v5!$C7</f>
        <v/>
      </c>
      <c r="AU49">
        <f>P49/Schema_v5!$C8</f>
        <v/>
      </c>
      <c r="AV49">
        <f>IF(Schema_v5!$C9=0,0,AH49/Schema_v5!$C9)</f>
        <v/>
      </c>
      <c r="AW49">
        <f>IF(Schema_v5!$C10=0,0,AE49/Schema_v5!$C10)</f>
        <v/>
      </c>
      <c r="AX49">
        <f>(W49-Schema_v5!$C11)/(Schema_v5!$C12-Schema_v5!$C11)</f>
        <v/>
      </c>
      <c r="AY49">
        <f>(X49-Schema_v5!$C13)/(Schema_v5!$C14-Schema_v5!$C13)</f>
        <v/>
      </c>
    </row>
    <row r="50" ht="148.5" customHeight="1" s="10">
      <c r="A50" s="2" t="inlineStr">
        <is>
          <t>Q10_D</t>
        </is>
      </c>
      <c r="B50" s="2" t="n">
        <v>10</v>
      </c>
      <c r="C50" s="2" t="n">
        <v>10</v>
      </c>
      <c r="D50" s="2" t="inlineStr">
        <is>
          <t>Core</t>
        </is>
      </c>
      <c r="E50" s="2" t="n">
        <v>1.05</v>
      </c>
      <c r="F50" s="2" t="inlineStr">
        <is>
          <t>ConflictRepair</t>
        </is>
      </c>
      <c r="G50" s="2" t="inlineStr">
        <is>
          <t>CommunicationHealth</t>
        </is>
      </c>
      <c r="H50" s="2" t="n"/>
      <c r="I50" s="2" t="inlineStr">
        <is>
          <t>D</t>
        </is>
      </c>
      <c r="J50" s="2" t="inlineStr">
        <is>
          <t>D</t>
        </is>
      </c>
      <c r="K50" s="2" t="inlineStr">
        <is>
          <t>I act calm, but I feel it. When I need someone, I keep it to myself, so watching them lean on me makes the silence louder.</t>
        </is>
      </c>
      <c r="L50" s="2" t="n">
        <v>5</v>
      </c>
      <c r="M50" s="2" t="n">
        <v>6</v>
      </c>
      <c r="N50" s="2" t="n">
        <v>2</v>
      </c>
      <c r="O50" s="2" t="n">
        <v>4</v>
      </c>
      <c r="P50" s="2" t="n">
        <v>2</v>
      </c>
      <c r="Q50" s="2" t="inlineStr">
        <is>
          <t>Phantom Seeker</t>
        </is>
      </c>
      <c r="R50" s="2" t="n">
        <v>10</v>
      </c>
      <c r="S50" s="2" t="n"/>
      <c r="T50" s="2" t="n"/>
      <c r="U50" s="2" t="n">
        <v>0</v>
      </c>
      <c r="V50" s="2" t="inlineStr">
        <is>
          <t>masc:-0.2;fem:1.5</t>
        </is>
      </c>
      <c r="W50" s="2" t="n">
        <v>-0.2</v>
      </c>
      <c r="X50" s="2" t="n">
        <v>1.5</v>
      </c>
      <c r="Y50" s="2" t="inlineStr">
        <is>
          <t>COMM_Emotional</t>
        </is>
      </c>
      <c r="Z50" s="2" t="inlineStr">
        <is>
          <t>REG_SelfSoother</t>
        </is>
      </c>
      <c r="AA50" s="2" t="inlineStr">
        <is>
          <t>LANG_Touch</t>
        </is>
      </c>
      <c r="AB50" s="2" t="inlineStr">
        <is>
          <t>Transparency_Gap</t>
        </is>
      </c>
      <c r="AC50" s="2" t="inlineStr">
        <is>
          <t>Transparency_Gap</t>
        </is>
      </c>
      <c r="AD50" s="2" t="n"/>
      <c r="AE50" s="2" t="n">
        <v>5</v>
      </c>
      <c r="AF50" s="2" t="inlineStr">
        <is>
          <t>quiet resentment</t>
        </is>
      </c>
      <c r="AG50" s="2" t="inlineStr">
        <is>
          <t>unspoken holder</t>
        </is>
      </c>
      <c r="AH50" s="2" t="n">
        <v>0</v>
      </c>
      <c r="AI50" s="2" t="inlineStr">
        <is>
          <t>yes</t>
        </is>
      </c>
      <c r="AJ50" s="2" t="inlineStr">
        <is>
          <t>no</t>
        </is>
      </c>
      <c r="AK50" s="2" t="inlineStr">
        <is>
          <t>yes</t>
        </is>
      </c>
      <c r="AL50" s="2" t="inlineStr">
        <is>
          <t>yes</t>
        </is>
      </c>
      <c r="AM50" s="2" t="n"/>
      <c r="AN50" s="2" t="n"/>
      <c r="AO50" s="2" t="n"/>
      <c r="AP50" s="2" t="inlineStr">
        <is>
          <t>v3_2026-03-19</t>
        </is>
      </c>
      <c r="AQ50">
        <f>(L50-Schema_v5!$C2)/(Schema_v5!$C3-Schema_v5!$C2)</f>
        <v/>
      </c>
      <c r="AR50">
        <f>(M50-Schema_v5!$C4)/(Schema_v5!$C5-Schema_v5!$C4)</f>
        <v/>
      </c>
      <c r="AS50">
        <f>N50/Schema_v5!$C6</f>
        <v/>
      </c>
      <c r="AT50">
        <f>O50/Schema_v5!$C7</f>
        <v/>
      </c>
      <c r="AU50">
        <f>P50/Schema_v5!$C8</f>
        <v/>
      </c>
      <c r="AV50">
        <f>IF(Schema_v5!$C9=0,0,AH50/Schema_v5!$C9)</f>
        <v/>
      </c>
      <c r="AW50">
        <f>IF(Schema_v5!$C10=0,0,AE50/Schema_v5!$C10)</f>
        <v/>
      </c>
      <c r="AX50">
        <f>(W50-Schema_v5!$C11)/(Schema_v5!$C12-Schema_v5!$C11)</f>
        <v/>
      </c>
      <c r="AY50">
        <f>(X50-Schema_v5!$C13)/(Schema_v5!$C14-Schema_v5!$C13)</f>
        <v/>
      </c>
    </row>
    <row r="51" ht="162" customHeight="1" s="10">
      <c r="A51" s="2" t="inlineStr">
        <is>
          <t>Q10_E</t>
        </is>
      </c>
      <c r="B51" s="2" t="n">
        <v>10</v>
      </c>
      <c r="C51" s="2" t="n">
        <v>10</v>
      </c>
      <c r="D51" s="2" t="inlineStr">
        <is>
          <t>Core</t>
        </is>
      </c>
      <c r="E51" s="2" t="n">
        <v>1.05</v>
      </c>
      <c r="F51" s="2" t="inlineStr">
        <is>
          <t>ConflictRepair</t>
        </is>
      </c>
      <c r="G51" s="2" t="inlineStr">
        <is>
          <t>CommunicationHealth</t>
        </is>
      </c>
      <c r="H51" s="2" t="n"/>
      <c r="I51" s="2" t="inlineStr">
        <is>
          <t>E</t>
        </is>
      </c>
      <c r="J51" s="2" t="inlineStr">
        <is>
          <t>E</t>
        </is>
      </c>
      <c r="K51" s="2" t="inlineStr">
        <is>
          <t>I give them what they need in the moment. Then I sit with the feeling later, wondering why I always end up being the one who shows up.</t>
        </is>
      </c>
      <c r="L51" s="2" t="n">
        <v>6</v>
      </c>
      <c r="M51" s="2" t="n">
        <v>7</v>
      </c>
      <c r="N51" s="2" t="n">
        <v>4</v>
      </c>
      <c r="O51" s="2" t="n">
        <v>4</v>
      </c>
      <c r="P51" s="2" t="n">
        <v>4</v>
      </c>
      <c r="Q51" s="2" t="inlineStr">
        <is>
          <t>Romantic Idealist</t>
        </is>
      </c>
      <c r="R51" s="2" t="n">
        <v>6</v>
      </c>
      <c r="S51" s="2" t="n"/>
      <c r="T51" s="2" t="n"/>
      <c r="U51" s="2" t="n">
        <v>0</v>
      </c>
      <c r="V51" s="2" t="inlineStr">
        <is>
          <t>masc:-0.4;fem:1.5</t>
        </is>
      </c>
      <c r="W51" s="2" t="n">
        <v>-0.4</v>
      </c>
      <c r="X51" s="2" t="n">
        <v>1.5</v>
      </c>
      <c r="Y51" s="2" t="inlineStr">
        <is>
          <t>COMM_Emotional</t>
        </is>
      </c>
      <c r="Z51" s="2" t="inlineStr">
        <is>
          <t>REG_Distractor</t>
        </is>
      </c>
      <c r="AA51" s="2" t="inlineStr">
        <is>
          <t>LANG_Gifts</t>
        </is>
      </c>
      <c r="AB51" s="2" t="n"/>
      <c r="AC51" s="2" t="n"/>
      <c r="AD51" s="2" t="n"/>
      <c r="AE51" s="2" t="n">
        <v>0</v>
      </c>
      <c r="AF51" s="2" t="inlineStr">
        <is>
          <t>tired loyal dreamer</t>
        </is>
      </c>
      <c r="AG51" s="2" t="inlineStr">
        <is>
          <t>devoted but drained</t>
        </is>
      </c>
      <c r="AH51" s="2" t="n">
        <v>0</v>
      </c>
      <c r="AI51" s="2" t="inlineStr">
        <is>
          <t>no</t>
        </is>
      </c>
      <c r="AJ51" s="2" t="inlineStr">
        <is>
          <t>no</t>
        </is>
      </c>
      <c r="AK51" s="2" t="inlineStr">
        <is>
          <t>yes</t>
        </is>
      </c>
      <c r="AL51" s="2" t="inlineStr">
        <is>
          <t>yes</t>
        </is>
      </c>
      <c r="AM51" s="2" t="n"/>
      <c r="AN51" s="2" t="n"/>
      <c r="AO51" s="2" t="n"/>
      <c r="AP51" s="2" t="inlineStr">
        <is>
          <t>v3_2026-03-19</t>
        </is>
      </c>
      <c r="AQ51">
        <f>(L51-Schema_v5!$C2)/(Schema_v5!$C3-Schema_v5!$C2)</f>
        <v/>
      </c>
      <c r="AR51">
        <f>(M51-Schema_v5!$C4)/(Schema_v5!$C5-Schema_v5!$C4)</f>
        <v/>
      </c>
      <c r="AS51">
        <f>N51/Schema_v5!$C6</f>
        <v/>
      </c>
      <c r="AT51">
        <f>O51/Schema_v5!$C7</f>
        <v/>
      </c>
      <c r="AU51">
        <f>P51/Schema_v5!$C8</f>
        <v/>
      </c>
      <c r="AV51">
        <f>IF(Schema_v5!$C9=0,0,AH51/Schema_v5!$C9)</f>
        <v/>
      </c>
      <c r="AW51">
        <f>IF(Schema_v5!$C10=0,0,AE51/Schema_v5!$C10)</f>
        <v/>
      </c>
      <c r="AX51">
        <f>(W51-Schema_v5!$C11)/(Schema_v5!$C12-Schema_v5!$C11)</f>
        <v/>
      </c>
      <c r="AY51">
        <f>(X51-Schema_v5!$C13)/(Schema_v5!$C14-Schema_v5!$C13)</f>
        <v/>
      </c>
    </row>
    <row r="52" ht="94.5" customHeight="1" s="10">
      <c r="A52" s="2" t="inlineStr">
        <is>
          <t>Q11_A</t>
        </is>
      </c>
      <c r="B52" s="2" t="n">
        <v>11</v>
      </c>
      <c r="C52" s="2" t="n">
        <v>11</v>
      </c>
      <c r="D52" s="2" t="inlineStr">
        <is>
          <t>Core</t>
        </is>
      </c>
      <c r="E52" s="2" t="n">
        <v>1.05</v>
      </c>
      <c r="F52" s="2" t="inlineStr">
        <is>
          <t>ConflictRepair</t>
        </is>
      </c>
      <c r="G52" s="2" t="inlineStr">
        <is>
          <t>CommunicationHealth</t>
        </is>
      </c>
      <c r="H52" s="2" t="inlineStr">
        <is>
          <t>They start acting distant-less replies, colder tone, still polite. What's your first move?</t>
        </is>
      </c>
      <c r="I52" s="2" t="inlineStr">
        <is>
          <t>A</t>
        </is>
      </c>
      <c r="J52" s="2" t="inlineStr">
        <is>
          <t>A</t>
        </is>
      </c>
      <c r="K52" s="2" t="inlineStr">
        <is>
          <t>I give them space. If they want to talk, they will. If not, I take the hint.</t>
        </is>
      </c>
      <c r="L52" s="2" t="n">
        <v>7</v>
      </c>
      <c r="M52" s="2" t="n">
        <v>8</v>
      </c>
      <c r="N52" s="2" t="n">
        <v>4</v>
      </c>
      <c r="O52" s="2" t="n">
        <v>4</v>
      </c>
      <c r="P52" s="2" t="n">
        <v>0</v>
      </c>
      <c r="Q52" s="2" t="inlineStr">
        <is>
          <t>Icebox</t>
        </is>
      </c>
      <c r="R52" s="2" t="n">
        <v>1</v>
      </c>
      <c r="S52" s="2" t="n"/>
      <c r="T52" s="2" t="n"/>
      <c r="U52" s="2" t="n">
        <v>0</v>
      </c>
      <c r="V52" s="2" t="inlineStr">
        <is>
          <t>masc:1.8;fem:-1.6</t>
        </is>
      </c>
      <c r="W52" s="2" t="n">
        <v>1.8</v>
      </c>
      <c r="X52" s="2" t="n">
        <v>-1.6</v>
      </c>
      <c r="Y52" s="2" t="inlineStr">
        <is>
          <t>COMM_Avoidant</t>
        </is>
      </c>
      <c r="Z52" s="2" t="inlineStr">
        <is>
          <t>REG_Suppressor</t>
        </is>
      </c>
      <c r="AA52" s="2" t="inlineStr">
        <is>
          <t>LANG_Time</t>
        </is>
      </c>
      <c r="AB52" s="2" t="n"/>
      <c r="AC52" s="2" t="n"/>
      <c r="AD52" s="2" t="n"/>
      <c r="AE52" s="2" t="n">
        <v>0</v>
      </c>
      <c r="AF52" s="2" t="inlineStr">
        <is>
          <t>detached cool</t>
        </is>
      </c>
      <c r="AG52" s="2" t="inlineStr">
        <is>
          <t>patient withdrawer</t>
        </is>
      </c>
      <c r="AH52" s="2" t="n">
        <v>1.2</v>
      </c>
      <c r="AI52" s="2" t="inlineStr">
        <is>
          <t>no</t>
        </is>
      </c>
      <c r="AJ52" s="2" t="inlineStr">
        <is>
          <t>no</t>
        </is>
      </c>
      <c r="AK52" s="2" t="inlineStr">
        <is>
          <t>yes</t>
        </is>
      </c>
      <c r="AL52" s="2" t="inlineStr">
        <is>
          <t>yes</t>
        </is>
      </c>
      <c r="AM52" s="2" t="n"/>
      <c r="AN52" s="2" t="n"/>
      <c r="AO52" s="2" t="n"/>
      <c r="AP52" s="2" t="inlineStr">
        <is>
          <t>v3_2026-03-19</t>
        </is>
      </c>
      <c r="AQ52">
        <f>(L52-Schema_v5!$C2)/(Schema_v5!$C3-Schema_v5!$C2)</f>
        <v/>
      </c>
      <c r="AR52">
        <f>(M52-Schema_v5!$C4)/(Schema_v5!$C5-Schema_v5!$C4)</f>
        <v/>
      </c>
      <c r="AS52">
        <f>N52/Schema_v5!$C6</f>
        <v/>
      </c>
      <c r="AT52">
        <f>O52/Schema_v5!$C7</f>
        <v/>
      </c>
      <c r="AU52">
        <f>P52/Schema_v5!$C8</f>
        <v/>
      </c>
      <c r="AV52">
        <f>IF(Schema_v5!$C9=0,0,AH52/Schema_v5!$C9)</f>
        <v/>
      </c>
      <c r="AW52">
        <f>IF(Schema_v5!$C10=0,0,AE52/Schema_v5!$C10)</f>
        <v/>
      </c>
      <c r="AX52">
        <f>(W52-Schema_v5!$C11)/(Schema_v5!$C12-Schema_v5!$C11)</f>
        <v/>
      </c>
      <c r="AY52">
        <f>(X52-Schema_v5!$C13)/(Schema_v5!$C14-Schema_v5!$C13)</f>
        <v/>
      </c>
    </row>
    <row r="53" ht="94.5" customHeight="1" s="10">
      <c r="A53" s="2" t="inlineStr">
        <is>
          <t>Q11_B</t>
        </is>
      </c>
      <c r="B53" s="2" t="n">
        <v>11</v>
      </c>
      <c r="C53" s="2" t="n">
        <v>11</v>
      </c>
      <c r="D53" s="2" t="inlineStr">
        <is>
          <t>Core</t>
        </is>
      </c>
      <c r="E53" s="2" t="n">
        <v>1.05</v>
      </c>
      <c r="F53" s="2" t="inlineStr">
        <is>
          <t>ConflictRepair</t>
        </is>
      </c>
      <c r="G53" s="2" t="inlineStr">
        <is>
          <t>CommunicationHealth</t>
        </is>
      </c>
      <c r="H53" s="2" t="n"/>
      <c r="I53" s="2" t="inlineStr">
        <is>
          <t>B</t>
        </is>
      </c>
      <c r="J53" s="2" t="inlineStr">
        <is>
          <t>B</t>
        </is>
      </c>
      <c r="K53" s="2" t="inlineStr">
        <is>
          <t>I reread every text. Then I spiral into what I should've said differently.</t>
        </is>
      </c>
      <c r="L53" s="2" t="n">
        <v>4</v>
      </c>
      <c r="M53" s="2" t="n">
        <v>5</v>
      </c>
      <c r="N53" s="2" t="n">
        <v>2</v>
      </c>
      <c r="O53" s="2" t="n">
        <v>2</v>
      </c>
      <c r="P53" s="2" t="n">
        <v>2</v>
      </c>
      <c r="Q53" s="2" t="inlineStr">
        <is>
          <t>Analyzer</t>
        </is>
      </c>
      <c r="R53" s="2" t="n">
        <v>2</v>
      </c>
      <c r="S53" s="2" t="n"/>
      <c r="T53" s="2" t="n"/>
      <c r="U53" s="2" t="n">
        <v>0</v>
      </c>
      <c r="V53" s="2" t="inlineStr">
        <is>
          <t>masc:1.4;fem:0.1</t>
        </is>
      </c>
      <c r="W53" s="2" t="n">
        <v>1.4</v>
      </c>
      <c r="X53" s="2" t="n">
        <v>0.1</v>
      </c>
      <c r="Y53" s="2" t="inlineStr">
        <is>
          <t>COMM_Logical</t>
        </is>
      </c>
      <c r="Z53" s="2" t="inlineStr">
        <is>
          <t>REG_SelfSoother</t>
        </is>
      </c>
      <c r="AA53" s="2" t="inlineStr">
        <is>
          <t>LANG_Service</t>
        </is>
      </c>
      <c r="AB53" s="2" t="inlineStr">
        <is>
          <t>Trust_Tension</t>
        </is>
      </c>
      <c r="AC53" s="2" t="inlineStr">
        <is>
          <t>Trust_Tension</t>
        </is>
      </c>
      <c r="AD53" s="2" t="n"/>
      <c r="AE53" s="2" t="n">
        <v>6</v>
      </c>
      <c r="AF53" s="2" t="inlineStr">
        <is>
          <t>ruminating replayer</t>
        </is>
      </c>
      <c r="AG53" s="2" t="inlineStr">
        <is>
          <t>overanalyzer</t>
        </is>
      </c>
      <c r="AH53" s="2" t="n">
        <v>0</v>
      </c>
      <c r="AI53" s="2" t="inlineStr">
        <is>
          <t>yes</t>
        </is>
      </c>
      <c r="AJ53" s="2" t="inlineStr">
        <is>
          <t>no</t>
        </is>
      </c>
      <c r="AK53" s="2" t="inlineStr">
        <is>
          <t>yes</t>
        </is>
      </c>
      <c r="AL53" s="2" t="inlineStr">
        <is>
          <t>yes</t>
        </is>
      </c>
      <c r="AM53" s="2" t="n"/>
      <c r="AN53" s="2" t="n"/>
      <c r="AO53" s="2" t="n"/>
      <c r="AP53" s="2" t="inlineStr">
        <is>
          <t>v3_2026-03-19</t>
        </is>
      </c>
      <c r="AQ53">
        <f>(L53-Schema_v5!$C2)/(Schema_v5!$C3-Schema_v5!$C2)</f>
        <v/>
      </c>
      <c r="AR53">
        <f>(M53-Schema_v5!$C4)/(Schema_v5!$C5-Schema_v5!$C4)</f>
        <v/>
      </c>
      <c r="AS53">
        <f>N53/Schema_v5!$C6</f>
        <v/>
      </c>
      <c r="AT53">
        <f>O53/Schema_v5!$C7</f>
        <v/>
      </c>
      <c r="AU53">
        <f>P53/Schema_v5!$C8</f>
        <v/>
      </c>
      <c r="AV53">
        <f>IF(Schema_v5!$C9=0,0,AH53/Schema_v5!$C9)</f>
        <v/>
      </c>
      <c r="AW53">
        <f>IF(Schema_v5!$C10=0,0,AE53/Schema_v5!$C10)</f>
        <v/>
      </c>
      <c r="AX53">
        <f>(W53-Schema_v5!$C11)/(Schema_v5!$C12-Schema_v5!$C11)</f>
        <v/>
      </c>
      <c r="AY53">
        <f>(X53-Schema_v5!$C13)/(Schema_v5!$C14-Schema_v5!$C13)</f>
        <v/>
      </c>
    </row>
    <row r="54" ht="81" customHeight="1" s="10">
      <c r="A54" s="2" t="inlineStr">
        <is>
          <t>Q11_C</t>
        </is>
      </c>
      <c r="B54" s="2" t="n">
        <v>11</v>
      </c>
      <c r="C54" s="2" t="n">
        <v>11</v>
      </c>
      <c r="D54" s="2" t="inlineStr">
        <is>
          <t>Core</t>
        </is>
      </c>
      <c r="E54" s="2" t="n">
        <v>1.05</v>
      </c>
      <c r="F54" s="2" t="inlineStr">
        <is>
          <t>ConflictRepair</t>
        </is>
      </c>
      <c r="G54" s="2" t="inlineStr">
        <is>
          <t>CommunicationHealth</t>
        </is>
      </c>
      <c r="H54" s="2" t="n"/>
      <c r="I54" s="2" t="inlineStr">
        <is>
          <t>C</t>
        </is>
      </c>
      <c r="J54" s="2" t="inlineStr">
        <is>
          <t>C</t>
        </is>
      </c>
      <c r="K54" s="2" t="inlineStr">
        <is>
          <t>I mirror their shift. If they're pulling back, so am I, no explanations.</t>
        </is>
      </c>
      <c r="L54" s="2" t="n">
        <v>6</v>
      </c>
      <c r="M54" s="2" t="n">
        <v>7</v>
      </c>
      <c r="N54" s="2" t="n">
        <v>2</v>
      </c>
      <c r="O54" s="2" t="n">
        <v>2</v>
      </c>
      <c r="P54" s="2" t="n">
        <v>0</v>
      </c>
      <c r="Q54" s="2" t="inlineStr">
        <is>
          <t>Quiet Exit</t>
        </is>
      </c>
      <c r="R54" s="2" t="n">
        <v>4</v>
      </c>
      <c r="S54" s="2" t="n"/>
      <c r="T54" s="2" t="n"/>
      <c r="U54" s="2" t="n">
        <v>0</v>
      </c>
      <c r="V54" s="2" t="inlineStr">
        <is>
          <t>masc:1.4;fem:-1.3</t>
        </is>
      </c>
      <c r="W54" s="2" t="n">
        <v>1.4</v>
      </c>
      <c r="X54" s="2" t="n">
        <v>-1.3</v>
      </c>
      <c r="Y54" s="2" t="inlineStr">
        <is>
          <t>COMM_Avoidant</t>
        </is>
      </c>
      <c r="Z54" s="2" t="inlineStr">
        <is>
          <t>REG_Suppressor</t>
        </is>
      </c>
      <c r="AA54" s="2" t="inlineStr">
        <is>
          <t>LANG_Time</t>
        </is>
      </c>
      <c r="AB54" s="2" t="inlineStr">
        <is>
          <t>Pursuer_Distancer</t>
        </is>
      </c>
      <c r="AC54" s="2" t="inlineStr">
        <is>
          <t>Pursuer_Distancer</t>
        </is>
      </c>
      <c r="AD54" s="2" t="n"/>
      <c r="AE54" s="2" t="n">
        <v>6</v>
      </c>
      <c r="AF54" s="2" t="inlineStr">
        <is>
          <t>soft echo</t>
        </is>
      </c>
      <c r="AG54" s="2" t="inlineStr">
        <is>
          <t>mirrored withdrawal</t>
        </is>
      </c>
      <c r="AH54" s="2" t="n">
        <v>0.6</v>
      </c>
      <c r="AI54" s="2" t="inlineStr">
        <is>
          <t>yes</t>
        </is>
      </c>
      <c r="AJ54" s="2" t="inlineStr">
        <is>
          <t>no</t>
        </is>
      </c>
      <c r="AK54" s="2" t="inlineStr">
        <is>
          <t>yes</t>
        </is>
      </c>
      <c r="AL54" s="2" t="inlineStr">
        <is>
          <t>yes</t>
        </is>
      </c>
      <c r="AM54" s="2" t="n"/>
      <c r="AN54" s="2" t="n"/>
      <c r="AO54" s="2" t="n"/>
      <c r="AP54" s="2" t="inlineStr">
        <is>
          <t>v3_2026-03-19</t>
        </is>
      </c>
      <c r="AQ54">
        <f>(L54-Schema_v5!$C2)/(Schema_v5!$C3-Schema_v5!$C2)</f>
        <v/>
      </c>
      <c r="AR54">
        <f>(M54-Schema_v5!$C4)/(Schema_v5!$C5-Schema_v5!$C4)</f>
        <v/>
      </c>
      <c r="AS54">
        <f>N54/Schema_v5!$C6</f>
        <v/>
      </c>
      <c r="AT54">
        <f>O54/Schema_v5!$C7</f>
        <v/>
      </c>
      <c r="AU54">
        <f>P54/Schema_v5!$C8</f>
        <v/>
      </c>
      <c r="AV54">
        <f>IF(Schema_v5!$C9=0,0,AH54/Schema_v5!$C9)</f>
        <v/>
      </c>
      <c r="AW54">
        <f>IF(Schema_v5!$C10=0,0,AE54/Schema_v5!$C10)</f>
        <v/>
      </c>
      <c r="AX54">
        <f>(W54-Schema_v5!$C11)/(Schema_v5!$C12-Schema_v5!$C11)</f>
        <v/>
      </c>
      <c r="AY54">
        <f>(X54-Schema_v5!$C13)/(Schema_v5!$C14-Schema_v5!$C13)</f>
        <v/>
      </c>
    </row>
    <row r="55" ht="94.5" customHeight="1" s="10">
      <c r="A55" s="2" t="inlineStr">
        <is>
          <t>Q11_D</t>
        </is>
      </c>
      <c r="B55" s="2" t="n">
        <v>11</v>
      </c>
      <c r="C55" s="2" t="n">
        <v>11</v>
      </c>
      <c r="D55" s="2" t="inlineStr">
        <is>
          <t>Core</t>
        </is>
      </c>
      <c r="E55" s="2" t="n">
        <v>1.05</v>
      </c>
      <c r="F55" s="2" t="inlineStr">
        <is>
          <t>ConflictRepair</t>
        </is>
      </c>
      <c r="G55" s="2" t="inlineStr">
        <is>
          <t>CommunicationHealth</t>
        </is>
      </c>
      <c r="H55" s="2" t="n"/>
      <c r="I55" s="2" t="inlineStr">
        <is>
          <t>D</t>
        </is>
      </c>
      <c r="J55" s="2" t="inlineStr">
        <is>
          <t>D</t>
        </is>
      </c>
      <c r="K55" s="2" t="inlineStr">
        <is>
          <t>I try to re-engage them. Make them laugh. Be light. I don't want to feel the shift.</t>
        </is>
      </c>
      <c r="L55" s="2" t="n">
        <v>6</v>
      </c>
      <c r="M55" s="2" t="n">
        <v>7</v>
      </c>
      <c r="N55" s="2" t="n">
        <v>4</v>
      </c>
      <c r="O55" s="2" t="n">
        <v>4</v>
      </c>
      <c r="P55" s="2" t="n">
        <v>2</v>
      </c>
      <c r="Q55" s="2" t="inlineStr">
        <is>
          <t>Performer</t>
        </is>
      </c>
      <c r="R55" s="2" t="n">
        <v>7</v>
      </c>
      <c r="S55" s="2" t="n"/>
      <c r="T55" s="2" t="n"/>
      <c r="U55" s="2" t="n">
        <v>0</v>
      </c>
      <c r="V55" s="2" t="inlineStr">
        <is>
          <t>masc:0.3;fem:0.5</t>
        </is>
      </c>
      <c r="W55" s="2" t="n">
        <v>0.3</v>
      </c>
      <c r="X55" s="2" t="n">
        <v>0.5</v>
      </c>
      <c r="Y55" s="2" t="inlineStr">
        <is>
          <t>COMM_Indirect</t>
        </is>
      </c>
      <c r="Z55" s="2" t="inlineStr">
        <is>
          <t>REG_Distractor</t>
        </is>
      </c>
      <c r="AA55" s="2" t="inlineStr">
        <is>
          <t>LANG_Gifts</t>
        </is>
      </c>
      <c r="AB55" s="2" t="inlineStr">
        <is>
          <t>Vulnerability_Loop</t>
        </is>
      </c>
      <c r="AC55" s="2" t="inlineStr">
        <is>
          <t>Vulnerability_Loop</t>
        </is>
      </c>
      <c r="AD55" s="2" t="n"/>
      <c r="AE55" s="2" t="n">
        <v>5</v>
      </c>
      <c r="AF55" s="2" t="inlineStr">
        <is>
          <t>mood manager</t>
        </is>
      </c>
      <c r="AG55" s="2" t="inlineStr">
        <is>
          <t>tension diffuser</t>
        </is>
      </c>
      <c r="AH55" s="2" t="n">
        <v>0</v>
      </c>
      <c r="AI55" s="2" t="inlineStr">
        <is>
          <t>yes</t>
        </is>
      </c>
      <c r="AJ55" s="2" t="inlineStr">
        <is>
          <t>no</t>
        </is>
      </c>
      <c r="AK55" s="2" t="inlineStr">
        <is>
          <t>yes</t>
        </is>
      </c>
      <c r="AL55" s="2" t="inlineStr">
        <is>
          <t>yes</t>
        </is>
      </c>
      <c r="AM55" s="2" t="n"/>
      <c r="AN55" s="2" t="n"/>
      <c r="AO55" s="2" t="n"/>
      <c r="AP55" s="2" t="inlineStr">
        <is>
          <t>v3_2026-03-19</t>
        </is>
      </c>
      <c r="AQ55">
        <f>(L55-Schema_v5!$C2)/(Schema_v5!$C3-Schema_v5!$C2)</f>
        <v/>
      </c>
      <c r="AR55">
        <f>(M55-Schema_v5!$C4)/(Schema_v5!$C5-Schema_v5!$C4)</f>
        <v/>
      </c>
      <c r="AS55">
        <f>N55/Schema_v5!$C6</f>
        <v/>
      </c>
      <c r="AT55">
        <f>O55/Schema_v5!$C7</f>
        <v/>
      </c>
      <c r="AU55">
        <f>P55/Schema_v5!$C8</f>
        <v/>
      </c>
      <c r="AV55">
        <f>IF(Schema_v5!$C9=0,0,AH55/Schema_v5!$C9)</f>
        <v/>
      </c>
      <c r="AW55">
        <f>IF(Schema_v5!$C10=0,0,AE55/Schema_v5!$C10)</f>
        <v/>
      </c>
      <c r="AX55">
        <f>(W55-Schema_v5!$C11)/(Schema_v5!$C12-Schema_v5!$C11)</f>
        <v/>
      </c>
      <c r="AY55">
        <f>(X55-Schema_v5!$C13)/(Schema_v5!$C14-Schema_v5!$C13)</f>
        <v/>
      </c>
    </row>
    <row r="56" ht="81" customHeight="1" s="10">
      <c r="A56" s="2" t="inlineStr">
        <is>
          <t>Q11_E</t>
        </is>
      </c>
      <c r="B56" s="2" t="n">
        <v>11</v>
      </c>
      <c r="C56" s="2" t="n">
        <v>11</v>
      </c>
      <c r="D56" s="2" t="inlineStr">
        <is>
          <t>Core</t>
        </is>
      </c>
      <c r="E56" s="2" t="n">
        <v>1.05</v>
      </c>
      <c r="F56" s="2" t="inlineStr">
        <is>
          <t>ConflictRepair</t>
        </is>
      </c>
      <c r="G56" s="2" t="inlineStr">
        <is>
          <t>CommunicationHealth</t>
        </is>
      </c>
      <c r="H56" s="2" t="n"/>
      <c r="I56" s="2" t="inlineStr">
        <is>
          <t>E</t>
        </is>
      </c>
      <c r="J56" s="2" t="inlineStr">
        <is>
          <t>E</t>
        </is>
      </c>
      <c r="K56" s="2" t="inlineStr">
        <is>
          <t>I sit with it, hoping they'll come back on their own. I don't press. I just wait.</t>
        </is>
      </c>
      <c r="L56" s="2" t="n">
        <v>7</v>
      </c>
      <c r="M56" s="2" t="n">
        <v>8</v>
      </c>
      <c r="N56" s="2" t="n">
        <v>6</v>
      </c>
      <c r="O56" s="2" t="n">
        <v>8</v>
      </c>
      <c r="P56" s="2" t="n">
        <v>8</v>
      </c>
      <c r="Q56" s="2" t="inlineStr">
        <is>
          <t>Translator</t>
        </is>
      </c>
      <c r="R56" s="2" t="n">
        <v>3</v>
      </c>
      <c r="S56" s="2" t="n"/>
      <c r="T56" s="2" t="n"/>
      <c r="U56" s="2" t="n">
        <v>0</v>
      </c>
      <c r="V56" s="2" t="inlineStr">
        <is>
          <t>masc:-0.1;fem:1.6</t>
        </is>
      </c>
      <c r="W56" s="2" t="n">
        <v>-0.1</v>
      </c>
      <c r="X56" s="2" t="n">
        <v>1.6</v>
      </c>
      <c r="Y56" s="2" t="inlineStr">
        <is>
          <t>COMM_Indirect</t>
        </is>
      </c>
      <c r="Z56" s="2" t="inlineStr">
        <is>
          <t>REG_CoRegulator</t>
        </is>
      </c>
      <c r="AA56" s="2" t="inlineStr">
        <is>
          <t>LANG_Words</t>
        </is>
      </c>
      <c r="AB56" s="2" t="n"/>
      <c r="AC56" s="2" t="n"/>
      <c r="AD56" s="2" t="n"/>
      <c r="AE56" s="2" t="n">
        <v>0</v>
      </c>
      <c r="AF56" s="2" t="inlineStr">
        <is>
          <t>gentle responder</t>
        </is>
      </c>
      <c r="AG56" s="2" t="inlineStr">
        <is>
          <t>quiet holder</t>
        </is>
      </c>
      <c r="AH56" s="2" t="n">
        <v>0</v>
      </c>
      <c r="AI56" s="2" t="inlineStr">
        <is>
          <t>no</t>
        </is>
      </c>
      <c r="AJ56" s="2" t="inlineStr">
        <is>
          <t>no</t>
        </is>
      </c>
      <c r="AK56" s="2" t="inlineStr">
        <is>
          <t>yes</t>
        </is>
      </c>
      <c r="AL56" s="2" t="inlineStr">
        <is>
          <t>yes</t>
        </is>
      </c>
      <c r="AM56" s="2" t="n"/>
      <c r="AN56" s="2" t="n"/>
      <c r="AO56" s="2" t="n"/>
      <c r="AP56" s="2" t="inlineStr">
        <is>
          <t>v3_2026-03-19</t>
        </is>
      </c>
      <c r="AQ56">
        <f>(L56-Schema_v5!$C2)/(Schema_v5!$C3-Schema_v5!$C2)</f>
        <v/>
      </c>
      <c r="AR56">
        <f>(M56-Schema_v5!$C4)/(Schema_v5!$C5-Schema_v5!$C4)</f>
        <v/>
      </c>
      <c r="AS56">
        <f>N56/Schema_v5!$C6</f>
        <v/>
      </c>
      <c r="AT56">
        <f>O56/Schema_v5!$C7</f>
        <v/>
      </c>
      <c r="AU56">
        <f>P56/Schema_v5!$C8</f>
        <v/>
      </c>
      <c r="AV56">
        <f>IF(Schema_v5!$C9=0,0,AH56/Schema_v5!$C9)</f>
        <v/>
      </c>
      <c r="AW56">
        <f>IF(Schema_v5!$C10=0,0,AE56/Schema_v5!$C10)</f>
        <v/>
      </c>
      <c r="AX56">
        <f>(W56-Schema_v5!$C11)/(Schema_v5!$C12-Schema_v5!$C11)</f>
        <v/>
      </c>
      <c r="AY56">
        <f>(X56-Schema_v5!$C13)/(Schema_v5!$C14-Schema_v5!$C13)</f>
        <v/>
      </c>
    </row>
    <row r="57" ht="108" customHeight="1" s="10">
      <c r="A57" s="2" t="inlineStr">
        <is>
          <t>Q12_A</t>
        </is>
      </c>
      <c r="B57" s="2" t="n">
        <v>12</v>
      </c>
      <c r="C57" s="2" t="n">
        <v>12</v>
      </c>
      <c r="D57" s="2" t="inlineStr">
        <is>
          <t>Core</t>
        </is>
      </c>
      <c r="E57" s="2" t="n">
        <v>1.05</v>
      </c>
      <c r="F57" s="2" t="inlineStr">
        <is>
          <t>ConflictRepair</t>
        </is>
      </c>
      <c r="G57" s="2" t="inlineStr">
        <is>
          <t>CommunicationHealth</t>
        </is>
      </c>
      <c r="H57" s="2" t="inlineStr">
        <is>
          <t>They used to check in every day. Now they don't. You haven't brought it up yet. What's brewing in your head?</t>
        </is>
      </c>
      <c r="I57" s="2" t="inlineStr">
        <is>
          <t>A</t>
        </is>
      </c>
      <c r="J57" s="2" t="inlineStr">
        <is>
          <t>A</t>
        </is>
      </c>
      <c r="K57" s="2" t="inlineStr">
        <is>
          <t>Something changed. I don't know what, but it's not just in my head.</t>
        </is>
      </c>
      <c r="L57" s="2" t="n">
        <v>7</v>
      </c>
      <c r="M57" s="2" t="n">
        <v>8</v>
      </c>
      <c r="N57" s="2" t="n">
        <v>6</v>
      </c>
      <c r="O57" s="2" t="n">
        <v>8</v>
      </c>
      <c r="P57" s="2" t="n">
        <v>6</v>
      </c>
      <c r="Q57" s="2" t="inlineStr">
        <is>
          <t>Analyzer</t>
        </is>
      </c>
      <c r="R57" s="2" t="n">
        <v>2</v>
      </c>
      <c r="S57" s="2" t="n"/>
      <c r="T57" s="2" t="n"/>
      <c r="U57" s="2" t="n">
        <v>0</v>
      </c>
      <c r="V57" s="2" t="inlineStr">
        <is>
          <t>masc:1.4;fem:0.1</t>
        </is>
      </c>
      <c r="W57" s="2" t="n">
        <v>1.4</v>
      </c>
      <c r="X57" s="2" t="n">
        <v>0.1</v>
      </c>
      <c r="Y57" s="2" t="inlineStr">
        <is>
          <t>COMM_Logical</t>
        </is>
      </c>
      <c r="Z57" s="2" t="inlineStr">
        <is>
          <t>REG_SelfSoother</t>
        </is>
      </c>
      <c r="AA57" s="2" t="inlineStr">
        <is>
          <t>LANG_Service</t>
        </is>
      </c>
      <c r="AB57" s="2" t="n"/>
      <c r="AC57" s="2" t="n"/>
      <c r="AD57" s="2" t="n"/>
      <c r="AE57" s="2" t="n">
        <v>0</v>
      </c>
      <c r="AF57" s="2" t="inlineStr">
        <is>
          <t>pattern watcher</t>
        </is>
      </c>
      <c r="AG57" s="2" t="inlineStr">
        <is>
          <t>subtle signal reader</t>
        </is>
      </c>
      <c r="AH57" s="2" t="n">
        <v>0</v>
      </c>
      <c r="AI57" s="2" t="inlineStr">
        <is>
          <t>no</t>
        </is>
      </c>
      <c r="AJ57" s="2" t="inlineStr">
        <is>
          <t>no</t>
        </is>
      </c>
      <c r="AK57" s="2" t="inlineStr">
        <is>
          <t>yes</t>
        </is>
      </c>
      <c r="AL57" s="2" t="inlineStr">
        <is>
          <t>yes</t>
        </is>
      </c>
      <c r="AM57" s="2" t="n"/>
      <c r="AN57" s="2" t="n"/>
      <c r="AO57" s="2" t="n"/>
      <c r="AP57" s="2" t="inlineStr">
        <is>
          <t>v3_2026-03-19</t>
        </is>
      </c>
      <c r="AQ57">
        <f>(L57-Schema_v5!$C2)/(Schema_v5!$C3-Schema_v5!$C2)</f>
        <v/>
      </c>
      <c r="AR57">
        <f>(M57-Schema_v5!$C4)/(Schema_v5!$C5-Schema_v5!$C4)</f>
        <v/>
      </c>
      <c r="AS57">
        <f>N57/Schema_v5!$C6</f>
        <v/>
      </c>
      <c r="AT57">
        <f>O57/Schema_v5!$C7</f>
        <v/>
      </c>
      <c r="AU57">
        <f>P57/Schema_v5!$C8</f>
        <v/>
      </c>
      <c r="AV57">
        <f>IF(Schema_v5!$C9=0,0,AH57/Schema_v5!$C9)</f>
        <v/>
      </c>
      <c r="AW57">
        <f>IF(Schema_v5!$C10=0,0,AE57/Schema_v5!$C10)</f>
        <v/>
      </c>
      <c r="AX57">
        <f>(W57-Schema_v5!$C11)/(Schema_v5!$C12-Schema_v5!$C11)</f>
        <v/>
      </c>
      <c r="AY57">
        <f>(X57-Schema_v5!$C13)/(Schema_v5!$C14-Schema_v5!$C13)</f>
        <v/>
      </c>
    </row>
    <row r="58" ht="81" customHeight="1" s="10">
      <c r="A58" s="2" t="inlineStr">
        <is>
          <t>Q12_B</t>
        </is>
      </c>
      <c r="B58" s="2" t="n">
        <v>12</v>
      </c>
      <c r="C58" s="2" t="n">
        <v>12</v>
      </c>
      <c r="D58" s="2" t="inlineStr">
        <is>
          <t>Core</t>
        </is>
      </c>
      <c r="E58" s="2" t="n">
        <v>1.05</v>
      </c>
      <c r="F58" s="2" t="inlineStr">
        <is>
          <t>ConflictRepair</t>
        </is>
      </c>
      <c r="G58" s="2" t="inlineStr">
        <is>
          <t>CommunicationHealth</t>
        </is>
      </c>
      <c r="H58" s="2" t="n"/>
      <c r="I58" s="2" t="inlineStr">
        <is>
          <t>B</t>
        </is>
      </c>
      <c r="J58" s="2" t="inlineStr">
        <is>
          <t>B</t>
        </is>
      </c>
      <c r="K58" s="2" t="inlineStr">
        <is>
          <t>I try not to assume. I wait. If I ask and it's nothing, I'll feel stupid.</t>
        </is>
      </c>
      <c r="L58" s="2" t="n">
        <v>5</v>
      </c>
      <c r="M58" s="2" t="n">
        <v>6</v>
      </c>
      <c r="N58" s="2" t="n">
        <v>2</v>
      </c>
      <c r="O58" s="2" t="n">
        <v>4</v>
      </c>
      <c r="P58" s="2" t="n">
        <v>2</v>
      </c>
      <c r="Q58" s="2" t="inlineStr">
        <is>
          <t>Phantom Seeker</t>
        </is>
      </c>
      <c r="R58" s="2" t="n">
        <v>10</v>
      </c>
      <c r="S58" s="2" t="n"/>
      <c r="T58" s="2" t="n"/>
      <c r="U58" s="2" t="n">
        <v>0</v>
      </c>
      <c r="V58" s="2" t="inlineStr">
        <is>
          <t>masc:-0.2;fem:1.5</t>
        </is>
      </c>
      <c r="W58" s="2" t="n">
        <v>-0.2</v>
      </c>
      <c r="X58" s="2" t="n">
        <v>1.5</v>
      </c>
      <c r="Y58" s="2" t="inlineStr">
        <is>
          <t>COMM_Emotional</t>
        </is>
      </c>
      <c r="Z58" s="2" t="inlineStr">
        <is>
          <t>REG_SelfSoother</t>
        </is>
      </c>
      <c r="AA58" s="2" t="inlineStr">
        <is>
          <t>LANG_Touch</t>
        </is>
      </c>
      <c r="AB58" s="2" t="inlineStr">
        <is>
          <t>Vulnerability_Loop</t>
        </is>
      </c>
      <c r="AC58" s="2" t="inlineStr">
        <is>
          <t>Vulnerability_Loop</t>
        </is>
      </c>
      <c r="AD58" s="2" t="n"/>
      <c r="AE58" s="2" t="n">
        <v>5</v>
      </c>
      <c r="AF58" s="2" t="inlineStr">
        <is>
          <t>doubtful waiter</t>
        </is>
      </c>
      <c r="AG58" s="2" t="inlineStr">
        <is>
          <t>hesitant checker</t>
        </is>
      </c>
      <c r="AH58" s="2" t="n">
        <v>0</v>
      </c>
      <c r="AI58" s="2" t="inlineStr">
        <is>
          <t>yes</t>
        </is>
      </c>
      <c r="AJ58" s="2" t="inlineStr">
        <is>
          <t>no</t>
        </is>
      </c>
      <c r="AK58" s="2" t="inlineStr">
        <is>
          <t>yes</t>
        </is>
      </c>
      <c r="AL58" s="2" t="inlineStr">
        <is>
          <t>yes</t>
        </is>
      </c>
      <c r="AM58" s="2" t="n"/>
      <c r="AN58" s="2" t="n"/>
      <c r="AO58" s="2" t="n"/>
      <c r="AP58" s="2" t="inlineStr">
        <is>
          <t>v3_2026-03-19</t>
        </is>
      </c>
      <c r="AQ58">
        <f>(L58-Schema_v5!$C2)/(Schema_v5!$C3-Schema_v5!$C2)</f>
        <v/>
      </c>
      <c r="AR58">
        <f>(M58-Schema_v5!$C4)/(Schema_v5!$C5-Schema_v5!$C4)</f>
        <v/>
      </c>
      <c r="AS58">
        <f>N58/Schema_v5!$C6</f>
        <v/>
      </c>
      <c r="AT58">
        <f>O58/Schema_v5!$C7</f>
        <v/>
      </c>
      <c r="AU58">
        <f>P58/Schema_v5!$C8</f>
        <v/>
      </c>
      <c r="AV58">
        <f>IF(Schema_v5!$C9=0,0,AH58/Schema_v5!$C9)</f>
        <v/>
      </c>
      <c r="AW58">
        <f>IF(Schema_v5!$C10=0,0,AE58/Schema_v5!$C10)</f>
        <v/>
      </c>
      <c r="AX58">
        <f>(W58-Schema_v5!$C11)/(Schema_v5!$C12-Schema_v5!$C11)</f>
        <v/>
      </c>
      <c r="AY58">
        <f>(X58-Schema_v5!$C13)/(Schema_v5!$C14-Schema_v5!$C13)</f>
        <v/>
      </c>
    </row>
    <row r="59" ht="148.5" customHeight="1" s="10">
      <c r="A59" s="2" t="inlineStr">
        <is>
          <t>Q12_C</t>
        </is>
      </c>
      <c r="B59" s="2" t="n">
        <v>12</v>
      </c>
      <c r="C59" s="2" t="n">
        <v>12</v>
      </c>
      <c r="D59" s="2" t="inlineStr">
        <is>
          <t>Core</t>
        </is>
      </c>
      <c r="E59" s="2" t="n">
        <v>1.05</v>
      </c>
      <c r="F59" s="2" t="inlineStr">
        <is>
          <t>ConflictRepair</t>
        </is>
      </c>
      <c r="G59" s="2" t="inlineStr">
        <is>
          <t>CommunicationHealth</t>
        </is>
      </c>
      <c r="H59" s="2" t="n"/>
      <c r="I59" s="2" t="inlineStr">
        <is>
          <t>C</t>
        </is>
      </c>
      <c r="J59" s="2" t="inlineStr">
        <is>
          <t>C</t>
        </is>
      </c>
      <c r="K59" s="2" t="inlineStr">
        <is>
          <t>I bring it up again, but this time they can probably hear the shift in my tone. I'm not trying to argue-I just need them to actually hear me.</t>
        </is>
      </c>
      <c r="L59" s="2" t="n">
        <v>9</v>
      </c>
      <c r="M59" s="2" t="n">
        <v>9</v>
      </c>
      <c r="N59" s="2" t="n">
        <v>10</v>
      </c>
      <c r="O59" s="2" t="n">
        <v>10</v>
      </c>
      <c r="P59" s="2" t="n">
        <v>10</v>
      </c>
      <c r="Q59" s="2" t="inlineStr">
        <is>
          <t>Regulated Grown-Up</t>
        </is>
      </c>
      <c r="R59" s="2" t="n">
        <v>9</v>
      </c>
      <c r="S59" s="2" t="n"/>
      <c r="T59" s="2" t="n"/>
      <c r="U59" s="2" t="n">
        <v>0</v>
      </c>
      <c r="V59" s="2" t="inlineStr">
        <is>
          <t>masc:1.1;fem:0.9</t>
        </is>
      </c>
      <c r="W59" s="2" t="n">
        <v>1.1</v>
      </c>
      <c r="X59" s="2" t="n">
        <v>0.9</v>
      </c>
      <c r="Y59" s="2" t="inlineStr">
        <is>
          <t>COMM_Direct</t>
        </is>
      </c>
      <c r="Z59" s="2" t="inlineStr">
        <is>
          <t>REG_CoRegulator</t>
        </is>
      </c>
      <c r="AA59" s="2" t="inlineStr">
        <is>
          <t>LANG_Words</t>
        </is>
      </c>
      <c r="AB59" s="2" t="n"/>
      <c r="AC59" s="2" t="n"/>
      <c r="AD59" s="2" t="n"/>
      <c r="AE59" s="2" t="n">
        <v>0</v>
      </c>
      <c r="AF59" s="2" t="inlineStr">
        <is>
          <t>calm confronter</t>
        </is>
      </c>
      <c r="AG59" s="2" t="inlineStr">
        <is>
          <t>direct communicator</t>
        </is>
      </c>
      <c r="AH59" s="2" t="n">
        <v>0</v>
      </c>
      <c r="AI59" s="2" t="inlineStr">
        <is>
          <t>no</t>
        </is>
      </c>
      <c r="AJ59" s="2" t="inlineStr">
        <is>
          <t>no</t>
        </is>
      </c>
      <c r="AK59" s="2" t="inlineStr">
        <is>
          <t>yes</t>
        </is>
      </c>
      <c r="AL59" s="2" t="inlineStr">
        <is>
          <t>yes</t>
        </is>
      </c>
      <c r="AM59" s="2" t="n"/>
      <c r="AN59" s="2" t="n"/>
      <c r="AO59" s="2" t="n"/>
      <c r="AP59" s="2" t="inlineStr">
        <is>
          <t>v3_2026-03-19</t>
        </is>
      </c>
      <c r="AQ59">
        <f>(L59-Schema_v5!$C2)/(Schema_v5!$C3-Schema_v5!$C2)</f>
        <v/>
      </c>
      <c r="AR59">
        <f>(M59-Schema_v5!$C4)/(Schema_v5!$C5-Schema_v5!$C4)</f>
        <v/>
      </c>
      <c r="AS59">
        <f>N59/Schema_v5!$C6</f>
        <v/>
      </c>
      <c r="AT59">
        <f>O59/Schema_v5!$C7</f>
        <v/>
      </c>
      <c r="AU59">
        <f>P59/Schema_v5!$C8</f>
        <v/>
      </c>
      <c r="AV59">
        <f>IF(Schema_v5!$C9=0,0,AH59/Schema_v5!$C9)</f>
        <v/>
      </c>
      <c r="AW59">
        <f>IF(Schema_v5!$C10=0,0,AE59/Schema_v5!$C10)</f>
        <v/>
      </c>
      <c r="AX59">
        <f>(W59-Schema_v5!$C11)/(Schema_v5!$C12-Schema_v5!$C11)</f>
        <v/>
      </c>
      <c r="AY59">
        <f>(X59-Schema_v5!$C13)/(Schema_v5!$C14-Schema_v5!$C13)</f>
        <v/>
      </c>
    </row>
    <row r="60" ht="81" customHeight="1" s="10">
      <c r="A60" s="2" t="inlineStr">
        <is>
          <t>Q12_D</t>
        </is>
      </c>
      <c r="B60" s="2" t="n">
        <v>12</v>
      </c>
      <c r="C60" s="2" t="n">
        <v>12</v>
      </c>
      <c r="D60" s="2" t="inlineStr">
        <is>
          <t>Core</t>
        </is>
      </c>
      <c r="E60" s="2" t="n">
        <v>1.05</v>
      </c>
      <c r="F60" s="2" t="inlineStr">
        <is>
          <t>ConflictRepair</t>
        </is>
      </c>
      <c r="G60" s="2" t="inlineStr">
        <is>
          <t>CommunicationHealth</t>
        </is>
      </c>
      <c r="H60" s="2" t="n"/>
      <c r="I60" s="2" t="inlineStr">
        <is>
          <t>D</t>
        </is>
      </c>
      <c r="J60" s="2" t="inlineStr">
        <is>
          <t>D</t>
        </is>
      </c>
      <c r="K60" s="2" t="inlineStr">
        <is>
          <t>I joke about it to see how they react. If they don't bite, I pull back quietly.</t>
        </is>
      </c>
      <c r="L60" s="2" t="n">
        <v>6</v>
      </c>
      <c r="M60" s="2" t="n">
        <v>7</v>
      </c>
      <c r="N60" s="2" t="n">
        <v>2</v>
      </c>
      <c r="O60" s="2" t="n">
        <v>2</v>
      </c>
      <c r="P60" s="2" t="n">
        <v>0</v>
      </c>
      <c r="Q60" s="2" t="inlineStr">
        <is>
          <t>Performer</t>
        </is>
      </c>
      <c r="R60" s="2" t="n">
        <v>7</v>
      </c>
      <c r="S60" s="2" t="n"/>
      <c r="T60" s="2" t="n"/>
      <c r="U60" s="2" t="n">
        <v>0</v>
      </c>
      <c r="V60" s="2" t="inlineStr">
        <is>
          <t>masc:0.3;fem:0.5</t>
        </is>
      </c>
      <c r="W60" s="2" t="n">
        <v>0.3</v>
      </c>
      <c r="X60" s="2" t="n">
        <v>0.5</v>
      </c>
      <c r="Y60" s="2" t="inlineStr">
        <is>
          <t>COMM_Indirect</t>
        </is>
      </c>
      <c r="Z60" s="2" t="inlineStr">
        <is>
          <t>REG_Distractor</t>
        </is>
      </c>
      <c r="AA60" s="2" t="inlineStr">
        <is>
          <t>LANG_Gifts</t>
        </is>
      </c>
      <c r="AB60" s="2" t="inlineStr">
        <is>
          <t>Vulnerability_Loop , Scorekeeping_Echo</t>
        </is>
      </c>
      <c r="AC60" s="2" t="inlineStr">
        <is>
          <t>Vulnerability_Loop</t>
        </is>
      </c>
      <c r="AD60" s="2" t="inlineStr">
        <is>
          <t>Scorekeeping_Echo</t>
        </is>
      </c>
      <c r="AE60" s="2" t="n">
        <v>13</v>
      </c>
      <c r="AF60" s="2" t="inlineStr">
        <is>
          <t>playful tester</t>
        </is>
      </c>
      <c r="AG60" s="2" t="inlineStr">
        <is>
          <t>indirect feeler</t>
        </is>
      </c>
      <c r="AH60" s="2" t="n">
        <v>0.8</v>
      </c>
      <c r="AI60" s="2" t="inlineStr">
        <is>
          <t>yes</t>
        </is>
      </c>
      <c r="AJ60" s="2" t="inlineStr">
        <is>
          <t>no</t>
        </is>
      </c>
      <c r="AK60" s="2" t="inlineStr">
        <is>
          <t>yes</t>
        </is>
      </c>
      <c r="AL60" s="2" t="inlineStr">
        <is>
          <t>yes</t>
        </is>
      </c>
      <c r="AM60" s="2" t="n"/>
      <c r="AN60" s="2" t="n"/>
      <c r="AO60" s="2" t="n"/>
      <c r="AP60" s="2" t="inlineStr">
        <is>
          <t>v3_2026-03-19</t>
        </is>
      </c>
      <c r="AQ60">
        <f>(L60-Schema_v5!$C2)/(Schema_v5!$C3-Schema_v5!$C2)</f>
        <v/>
      </c>
      <c r="AR60">
        <f>(M60-Schema_v5!$C4)/(Schema_v5!$C5-Schema_v5!$C4)</f>
        <v/>
      </c>
      <c r="AS60">
        <f>N60/Schema_v5!$C6</f>
        <v/>
      </c>
      <c r="AT60">
        <f>O60/Schema_v5!$C7</f>
        <v/>
      </c>
      <c r="AU60">
        <f>P60/Schema_v5!$C8</f>
        <v/>
      </c>
      <c r="AV60">
        <f>IF(Schema_v5!$C9=0,0,AH60/Schema_v5!$C9)</f>
        <v/>
      </c>
      <c r="AW60">
        <f>IF(Schema_v5!$C10=0,0,AE60/Schema_v5!$C10)</f>
        <v/>
      </c>
      <c r="AX60">
        <f>(W60-Schema_v5!$C11)/(Schema_v5!$C12-Schema_v5!$C11)</f>
        <v/>
      </c>
      <c r="AY60">
        <f>(X60-Schema_v5!$C13)/(Schema_v5!$C14-Schema_v5!$C13)</f>
        <v/>
      </c>
    </row>
    <row r="61" ht="108" customHeight="1" s="10">
      <c r="A61" s="2" t="inlineStr">
        <is>
          <t>Q12_E</t>
        </is>
      </c>
      <c r="B61" s="2" t="n">
        <v>12</v>
      </c>
      <c r="C61" s="2" t="n">
        <v>12</v>
      </c>
      <c r="D61" s="2" t="inlineStr">
        <is>
          <t>Core</t>
        </is>
      </c>
      <c r="E61" s="2" t="n">
        <v>1.05</v>
      </c>
      <c r="F61" s="2" t="inlineStr">
        <is>
          <t>ConflictRepair</t>
        </is>
      </c>
      <c r="G61" s="2" t="inlineStr">
        <is>
          <t>CommunicationHealth</t>
        </is>
      </c>
      <c r="H61" s="2" t="n"/>
      <c r="I61" s="2" t="inlineStr">
        <is>
          <t>E</t>
        </is>
      </c>
      <c r="J61" s="2" t="inlineStr">
        <is>
          <t>E</t>
        </is>
      </c>
      <c r="K61" s="2" t="inlineStr">
        <is>
          <t>I shift before they get the chance to. I've seen this pattern before, I know how it ends.</t>
        </is>
      </c>
      <c r="L61" s="2" t="n">
        <v>6</v>
      </c>
      <c r="M61" s="2" t="n">
        <v>7</v>
      </c>
      <c r="N61" s="2" t="n">
        <v>4</v>
      </c>
      <c r="O61" s="2" t="n">
        <v>6</v>
      </c>
      <c r="P61" s="2" t="n">
        <v>4</v>
      </c>
      <c r="Q61" s="2" t="inlineStr">
        <is>
          <t>Survivor</t>
        </is>
      </c>
      <c r="R61" s="2" t="n">
        <v>8</v>
      </c>
      <c r="S61" s="2" t="n"/>
      <c r="T61" s="2" t="n"/>
      <c r="U61" s="2" t="n">
        <v>0</v>
      </c>
      <c r="V61" s="2" t="inlineStr">
        <is>
          <t>masc:0.3;fem:1.3</t>
        </is>
      </c>
      <c r="W61" s="2" t="n">
        <v>0.3</v>
      </c>
      <c r="X61" s="2" t="n">
        <v>1.3</v>
      </c>
      <c r="Y61" s="2" t="inlineStr">
        <is>
          <t>COMM_Emotional</t>
        </is>
      </c>
      <c r="Z61" s="2" t="inlineStr">
        <is>
          <t>REG_SelfSoother</t>
        </is>
      </c>
      <c r="AA61" s="2" t="inlineStr">
        <is>
          <t>LANG_Service</t>
        </is>
      </c>
      <c r="AB61" s="2" t="inlineStr">
        <is>
          <t>Vulnerability_Loop</t>
        </is>
      </c>
      <c r="AC61" s="2" t="inlineStr">
        <is>
          <t>Vulnerability_Loop</t>
        </is>
      </c>
      <c r="AD61" s="2" t="n"/>
      <c r="AE61" s="2" t="n">
        <v>5</v>
      </c>
      <c r="AF61" s="2" t="inlineStr">
        <is>
          <t>pain-preemptive responder</t>
        </is>
      </c>
      <c r="AG61" s="2" t="inlineStr">
        <is>
          <t>early exit planner</t>
        </is>
      </c>
      <c r="AH61" s="2" t="n">
        <v>0</v>
      </c>
      <c r="AI61" s="2" t="inlineStr">
        <is>
          <t>yes</t>
        </is>
      </c>
      <c r="AJ61" s="2" t="inlineStr">
        <is>
          <t>no</t>
        </is>
      </c>
      <c r="AK61" s="2" t="inlineStr">
        <is>
          <t>yes</t>
        </is>
      </c>
      <c r="AL61" s="2" t="inlineStr">
        <is>
          <t>yes</t>
        </is>
      </c>
      <c r="AM61" s="2" t="n"/>
      <c r="AN61" s="2" t="n"/>
      <c r="AO61" s="2" t="n"/>
      <c r="AP61" s="2" t="inlineStr">
        <is>
          <t>v3_2026-03-19</t>
        </is>
      </c>
      <c r="AQ61">
        <f>(L61-Schema_v5!$C2)/(Schema_v5!$C3-Schema_v5!$C2)</f>
        <v/>
      </c>
      <c r="AR61">
        <f>(M61-Schema_v5!$C4)/(Schema_v5!$C5-Schema_v5!$C4)</f>
        <v/>
      </c>
      <c r="AS61">
        <f>N61/Schema_v5!$C6</f>
        <v/>
      </c>
      <c r="AT61">
        <f>O61/Schema_v5!$C7</f>
        <v/>
      </c>
      <c r="AU61">
        <f>P61/Schema_v5!$C8</f>
        <v/>
      </c>
      <c r="AV61">
        <f>IF(Schema_v5!$C9=0,0,AH61/Schema_v5!$C9)</f>
        <v/>
      </c>
      <c r="AW61">
        <f>IF(Schema_v5!$C10=0,0,AE61/Schema_v5!$C10)</f>
        <v/>
      </c>
      <c r="AX61">
        <f>(W61-Schema_v5!$C11)/(Schema_v5!$C12-Schema_v5!$C11)</f>
        <v/>
      </c>
      <c r="AY61">
        <f>(X61-Schema_v5!$C13)/(Schema_v5!$C14-Schema_v5!$C13)</f>
        <v/>
      </c>
    </row>
    <row r="62" ht="108" customHeight="1" s="10">
      <c r="A62" s="2" t="inlineStr">
        <is>
          <t>Q13_A</t>
        </is>
      </c>
      <c r="B62" s="2" t="n">
        <v>13</v>
      </c>
      <c r="C62" s="2" t="n">
        <v>13</v>
      </c>
      <c r="D62" s="2" t="inlineStr">
        <is>
          <t>Core</t>
        </is>
      </c>
      <c r="E62" s="2" t="n">
        <v>1.05</v>
      </c>
      <c r="F62" s="2" t="inlineStr">
        <is>
          <t>ConflictRepair</t>
        </is>
      </c>
      <c r="G62" s="2" t="inlineStr">
        <is>
          <t>CommunicationHealth</t>
        </is>
      </c>
      <c r="H62" s="2" t="inlineStr">
        <is>
          <t>They say they like you-but they're inconsistent. What part of you answers that first?</t>
        </is>
      </c>
      <c r="I62" s="2" t="inlineStr">
        <is>
          <t>A</t>
        </is>
      </c>
      <c r="J62" s="2" t="inlineStr">
        <is>
          <t>A</t>
        </is>
      </c>
      <c r="K62" s="2" t="inlineStr">
        <is>
          <t>I just need space to check if I'm seeing it clearly before I lean in. Not to play games.</t>
        </is>
      </c>
      <c r="L62" s="2" t="n">
        <v>8</v>
      </c>
      <c r="M62" s="2" t="n">
        <v>8</v>
      </c>
      <c r="N62" s="2" t="n">
        <v>4</v>
      </c>
      <c r="O62" s="2" t="n">
        <v>4</v>
      </c>
      <c r="P62" s="2" t="n">
        <v>2</v>
      </c>
      <c r="Q62" s="2" t="inlineStr">
        <is>
          <t>Quiet Exit</t>
        </is>
      </c>
      <c r="R62" s="2" t="n">
        <v>4</v>
      </c>
      <c r="S62" s="2" t="n"/>
      <c r="T62" s="2" t="n"/>
      <c r="U62" s="2" t="n">
        <v>0</v>
      </c>
      <c r="V62" s="2" t="inlineStr">
        <is>
          <t>masc:1.4;fem:-1.3</t>
        </is>
      </c>
      <c r="W62" s="2" t="n">
        <v>1.4</v>
      </c>
      <c r="X62" s="2" t="n">
        <v>-1.3</v>
      </c>
      <c r="Y62" s="2" t="inlineStr">
        <is>
          <t>COMM_Avoidant</t>
        </is>
      </c>
      <c r="Z62" s="2" t="inlineStr">
        <is>
          <t>REG_Suppressor</t>
        </is>
      </c>
      <c r="AA62" s="2" t="inlineStr">
        <is>
          <t>LANG_Time</t>
        </is>
      </c>
      <c r="AB62" s="2" t="n"/>
      <c r="AC62" s="2" t="n"/>
      <c r="AD62" s="2" t="n"/>
      <c r="AE62" s="2" t="n">
        <v>0</v>
      </c>
      <c r="AF62" s="2" t="inlineStr">
        <is>
          <t>observer mode</t>
        </is>
      </c>
      <c r="AG62" s="2" t="inlineStr">
        <is>
          <t>cautious engager</t>
        </is>
      </c>
      <c r="AH62" s="2" t="n">
        <v>0.2</v>
      </c>
      <c r="AI62" s="2" t="inlineStr">
        <is>
          <t>no</t>
        </is>
      </c>
      <c r="AJ62" s="2" t="inlineStr">
        <is>
          <t>no</t>
        </is>
      </c>
      <c r="AK62" s="2" t="inlineStr">
        <is>
          <t>yes</t>
        </is>
      </c>
      <c r="AL62" s="2" t="inlineStr">
        <is>
          <t>yes</t>
        </is>
      </c>
      <c r="AM62" s="2" t="n"/>
      <c r="AN62" s="2" t="n"/>
      <c r="AO62" s="2" t="n"/>
      <c r="AP62" s="2" t="inlineStr">
        <is>
          <t>v3_2026-03-19</t>
        </is>
      </c>
      <c r="AQ62">
        <f>(L62-Schema_v5!$C2)/(Schema_v5!$C3-Schema_v5!$C2)</f>
        <v/>
      </c>
      <c r="AR62">
        <f>(M62-Schema_v5!$C4)/(Schema_v5!$C5-Schema_v5!$C4)</f>
        <v/>
      </c>
      <c r="AS62">
        <f>N62/Schema_v5!$C6</f>
        <v/>
      </c>
      <c r="AT62">
        <f>O62/Schema_v5!$C7</f>
        <v/>
      </c>
      <c r="AU62">
        <f>P62/Schema_v5!$C8</f>
        <v/>
      </c>
      <c r="AV62">
        <f>IF(Schema_v5!$C9=0,0,AH62/Schema_v5!$C9)</f>
        <v/>
      </c>
      <c r="AW62">
        <f>IF(Schema_v5!$C10=0,0,AE62/Schema_v5!$C10)</f>
        <v/>
      </c>
      <c r="AX62">
        <f>(W62-Schema_v5!$C11)/(Schema_v5!$C12-Schema_v5!$C11)</f>
        <v/>
      </c>
      <c r="AY62">
        <f>(X62-Schema_v5!$C13)/(Schema_v5!$C14-Schema_v5!$C13)</f>
        <v/>
      </c>
    </row>
    <row r="63" ht="121.5" customHeight="1" s="10">
      <c r="A63" s="2" t="inlineStr">
        <is>
          <t>Q13_B</t>
        </is>
      </c>
      <c r="B63" s="2" t="n">
        <v>13</v>
      </c>
      <c r="C63" s="2" t="n">
        <v>13</v>
      </c>
      <c r="D63" s="2" t="inlineStr">
        <is>
          <t>Core</t>
        </is>
      </c>
      <c r="E63" s="2" t="n">
        <v>1.05</v>
      </c>
      <c r="F63" s="2" t="inlineStr">
        <is>
          <t>ConflictRepair</t>
        </is>
      </c>
      <c r="G63" s="2" t="inlineStr">
        <is>
          <t>CommunicationHealth</t>
        </is>
      </c>
      <c r="H63" s="2" t="n"/>
      <c r="I63" s="2" t="inlineStr">
        <is>
          <t>B</t>
        </is>
      </c>
      <c r="J63" s="2" t="inlineStr">
        <is>
          <t>B</t>
        </is>
      </c>
      <c r="K63" s="2" t="inlineStr">
        <is>
          <t>I start imagining what it could be. I try not to get ahead of myself, I just like feeling what it can be.</t>
        </is>
      </c>
      <c r="L63" s="2" t="n">
        <v>7</v>
      </c>
      <c r="M63" s="2" t="n">
        <v>8</v>
      </c>
      <c r="N63" s="2" t="n">
        <v>6</v>
      </c>
      <c r="O63" s="2" t="n">
        <v>6</v>
      </c>
      <c r="P63" s="2" t="n">
        <v>4</v>
      </c>
      <c r="Q63" s="2" t="inlineStr">
        <is>
          <t>Romantic Idealist</t>
        </is>
      </c>
      <c r="R63" s="2" t="n">
        <v>6</v>
      </c>
      <c r="S63" s="2" t="n"/>
      <c r="T63" s="2" t="n"/>
      <c r="U63" s="2" t="n">
        <v>0</v>
      </c>
      <c r="V63" s="2" t="inlineStr">
        <is>
          <t>masc:-0.4;fem:1.5</t>
        </is>
      </c>
      <c r="W63" s="2" t="n">
        <v>-0.4</v>
      </c>
      <c r="X63" s="2" t="n">
        <v>1.5</v>
      </c>
      <c r="Y63" s="2" t="inlineStr">
        <is>
          <t>COMM_Emotional</t>
        </is>
      </c>
      <c r="Z63" s="2" t="inlineStr">
        <is>
          <t>REG_Distractor</t>
        </is>
      </c>
      <c r="AA63" s="2" t="inlineStr">
        <is>
          <t>LANG_Gifts</t>
        </is>
      </c>
      <c r="AB63" s="2" t="n"/>
      <c r="AC63" s="2" t="n"/>
      <c r="AD63" s="2" t="n"/>
      <c r="AE63" s="2" t="n">
        <v>0</v>
      </c>
      <c r="AF63" s="2" t="inlineStr">
        <is>
          <t>daydreaming hopeful</t>
        </is>
      </c>
      <c r="AG63" s="2" t="inlineStr">
        <is>
          <t>romantic visionary</t>
        </is>
      </c>
      <c r="AH63" s="2" t="n">
        <v>0</v>
      </c>
      <c r="AI63" s="2" t="inlineStr">
        <is>
          <t>no</t>
        </is>
      </c>
      <c r="AJ63" s="2" t="inlineStr">
        <is>
          <t>no</t>
        </is>
      </c>
      <c r="AK63" s="2" t="inlineStr">
        <is>
          <t>yes</t>
        </is>
      </c>
      <c r="AL63" s="2" t="inlineStr">
        <is>
          <t>yes</t>
        </is>
      </c>
      <c r="AM63" s="2" t="n"/>
      <c r="AN63" s="2" t="n"/>
      <c r="AO63" s="2" t="n"/>
      <c r="AP63" s="2" t="inlineStr">
        <is>
          <t>v3_2026-03-19</t>
        </is>
      </c>
      <c r="AQ63">
        <f>(L63-Schema_v5!$C2)/(Schema_v5!$C3-Schema_v5!$C2)</f>
        <v/>
      </c>
      <c r="AR63">
        <f>(M63-Schema_v5!$C4)/(Schema_v5!$C5-Schema_v5!$C4)</f>
        <v/>
      </c>
      <c r="AS63">
        <f>N63/Schema_v5!$C6</f>
        <v/>
      </c>
      <c r="AT63">
        <f>O63/Schema_v5!$C7</f>
        <v/>
      </c>
      <c r="AU63">
        <f>P63/Schema_v5!$C8</f>
        <v/>
      </c>
      <c r="AV63">
        <f>IF(Schema_v5!$C9=0,0,AH63/Schema_v5!$C9)</f>
        <v/>
      </c>
      <c r="AW63">
        <f>IF(Schema_v5!$C10=0,0,AE63/Schema_v5!$C10)</f>
        <v/>
      </c>
      <c r="AX63">
        <f>(W63-Schema_v5!$C11)/(Schema_v5!$C12-Schema_v5!$C11)</f>
        <v/>
      </c>
      <c r="AY63">
        <f>(X63-Schema_v5!$C13)/(Schema_v5!$C14-Schema_v5!$C13)</f>
        <v/>
      </c>
    </row>
    <row r="64" ht="148.5" customHeight="1" s="10">
      <c r="A64" s="2" t="inlineStr">
        <is>
          <t>Q13_C</t>
        </is>
      </c>
      <c r="B64" s="2" t="n">
        <v>13</v>
      </c>
      <c r="C64" s="2" t="n">
        <v>13</v>
      </c>
      <c r="D64" s="2" t="inlineStr">
        <is>
          <t>Core</t>
        </is>
      </c>
      <c r="E64" s="2" t="n">
        <v>1.05</v>
      </c>
      <c r="F64" s="2" t="inlineStr">
        <is>
          <t>ConflictRepair</t>
        </is>
      </c>
      <c r="G64" s="2" t="inlineStr">
        <is>
          <t>CommunicationHealth</t>
        </is>
      </c>
      <c r="H64" s="2" t="n"/>
      <c r="I64" s="2" t="inlineStr">
        <is>
          <t>C</t>
        </is>
      </c>
      <c r="J64" s="2" t="inlineStr">
        <is>
          <t>C</t>
        </is>
      </c>
      <c r="K64" s="2" t="inlineStr">
        <is>
          <t>I don't say much, but I start showing up more, checking in, remembering little things. That's usually how I start showing my interest.</t>
        </is>
      </c>
      <c r="L64" s="2" t="n">
        <v>8</v>
      </c>
      <c r="M64" s="2" t="n">
        <v>9</v>
      </c>
      <c r="N64" s="2" t="n">
        <v>8</v>
      </c>
      <c r="O64" s="2" t="n">
        <v>10</v>
      </c>
      <c r="P64" s="2" t="n">
        <v>8</v>
      </c>
      <c r="Q64" s="2" t="inlineStr">
        <is>
          <t>Translator</t>
        </is>
      </c>
      <c r="R64" s="2" t="n">
        <v>3</v>
      </c>
      <c r="S64" s="2" t="n"/>
      <c r="T64" s="2" t="n"/>
      <c r="U64" s="2" t="n">
        <v>0</v>
      </c>
      <c r="V64" s="2" t="inlineStr">
        <is>
          <t>masc:-0.1;fem:1.6</t>
        </is>
      </c>
      <c r="W64" s="2" t="n">
        <v>-0.1</v>
      </c>
      <c r="X64" s="2" t="n">
        <v>1.6</v>
      </c>
      <c r="Y64" s="2" t="inlineStr">
        <is>
          <t>COMM_Indirect</t>
        </is>
      </c>
      <c r="Z64" s="2" t="inlineStr">
        <is>
          <t>REG_CoRegulator</t>
        </is>
      </c>
      <c r="AA64" s="2" t="inlineStr">
        <is>
          <t>LANG_Words</t>
        </is>
      </c>
      <c r="AB64" s="2" t="n"/>
      <c r="AC64" s="2" t="n"/>
      <c r="AD64" s="2" t="n"/>
      <c r="AE64" s="2" t="n">
        <v>0</v>
      </c>
      <c r="AF64" s="2" t="inlineStr">
        <is>
          <t>steady signaler</t>
        </is>
      </c>
      <c r="AG64" s="2" t="inlineStr">
        <is>
          <t>consistent investor</t>
        </is>
      </c>
      <c r="AH64" s="2" t="n">
        <v>0</v>
      </c>
      <c r="AI64" s="2" t="inlineStr">
        <is>
          <t>no</t>
        </is>
      </c>
      <c r="AJ64" s="2" t="inlineStr">
        <is>
          <t>no</t>
        </is>
      </c>
      <c r="AK64" s="2" t="inlineStr">
        <is>
          <t>yes</t>
        </is>
      </c>
      <c r="AL64" s="2" t="inlineStr">
        <is>
          <t>yes</t>
        </is>
      </c>
      <c r="AM64" s="2" t="n"/>
      <c r="AN64" s="2" t="n"/>
      <c r="AO64" s="2" t="n"/>
      <c r="AP64" s="2" t="inlineStr">
        <is>
          <t>v3_2026-03-19</t>
        </is>
      </c>
      <c r="AQ64">
        <f>(L64-Schema_v5!$C2)/(Schema_v5!$C3-Schema_v5!$C2)</f>
        <v/>
      </c>
      <c r="AR64">
        <f>(M64-Schema_v5!$C4)/(Schema_v5!$C5-Schema_v5!$C4)</f>
        <v/>
      </c>
      <c r="AS64">
        <f>N64/Schema_v5!$C6</f>
        <v/>
      </c>
      <c r="AT64">
        <f>O64/Schema_v5!$C7</f>
        <v/>
      </c>
      <c r="AU64">
        <f>P64/Schema_v5!$C8</f>
        <v/>
      </c>
      <c r="AV64">
        <f>IF(Schema_v5!$C9=0,0,AH64/Schema_v5!$C9)</f>
        <v/>
      </c>
      <c r="AW64">
        <f>IF(Schema_v5!$C10=0,0,AE64/Schema_v5!$C10)</f>
        <v/>
      </c>
      <c r="AX64">
        <f>(W64-Schema_v5!$C11)/(Schema_v5!$C12-Schema_v5!$C11)</f>
        <v/>
      </c>
      <c r="AY64">
        <f>(X64-Schema_v5!$C13)/(Schema_v5!$C14-Schema_v5!$C13)</f>
        <v/>
      </c>
    </row>
    <row r="65" ht="121.5" customHeight="1" s="10">
      <c r="A65" s="2" t="inlineStr">
        <is>
          <t>Q13_D</t>
        </is>
      </c>
      <c r="B65" s="2" t="n">
        <v>13</v>
      </c>
      <c r="C65" s="2" t="n">
        <v>13</v>
      </c>
      <c r="D65" s="2" t="inlineStr">
        <is>
          <t>Core</t>
        </is>
      </c>
      <c r="E65" s="2" t="n">
        <v>1.05</v>
      </c>
      <c r="F65" s="2" t="inlineStr">
        <is>
          <t>ConflictRepair</t>
        </is>
      </c>
      <c r="G65" s="2" t="inlineStr">
        <is>
          <t>CommunicationHealth</t>
        </is>
      </c>
      <c r="H65" s="2" t="n"/>
      <c r="I65" s="2" t="inlineStr">
        <is>
          <t>D</t>
        </is>
      </c>
      <c r="J65" s="2" t="inlineStr">
        <is>
          <t>D</t>
        </is>
      </c>
      <c r="K65" s="2" t="inlineStr">
        <is>
          <t>I want them to like me back, but I need to know it's safe first, so I keep it light while I wait on their actions.</t>
        </is>
      </c>
      <c r="L65" s="2" t="n">
        <v>7</v>
      </c>
      <c r="M65" s="2" t="n">
        <v>8</v>
      </c>
      <c r="N65" s="2" t="n">
        <v>4</v>
      </c>
      <c r="O65" s="2" t="n">
        <v>6</v>
      </c>
      <c r="P65" s="2" t="n">
        <v>4</v>
      </c>
      <c r="Q65" s="2" t="inlineStr">
        <is>
          <t>Performer</t>
        </is>
      </c>
      <c r="R65" s="2" t="n">
        <v>7</v>
      </c>
      <c r="S65" s="2" t="n"/>
      <c r="T65" s="2" t="n"/>
      <c r="U65" s="2" t="n">
        <v>0</v>
      </c>
      <c r="V65" s="2" t="inlineStr">
        <is>
          <t>masc:0.3;fem:0.5</t>
        </is>
      </c>
      <c r="W65" s="2" t="n">
        <v>0.3</v>
      </c>
      <c r="X65" s="2" t="n">
        <v>0.5</v>
      </c>
      <c r="Y65" s="2" t="inlineStr">
        <is>
          <t>COMM_Indirect</t>
        </is>
      </c>
      <c r="Z65" s="2" t="inlineStr">
        <is>
          <t>REG_Distractor</t>
        </is>
      </c>
      <c r="AA65" s="2" t="inlineStr">
        <is>
          <t>LANG_Gifts</t>
        </is>
      </c>
      <c r="AB65" s="2" t="n"/>
      <c r="AC65" s="2" t="n"/>
      <c r="AD65" s="2" t="n"/>
      <c r="AE65" s="2" t="n">
        <v>0</v>
      </c>
      <c r="AF65" s="2" t="inlineStr">
        <is>
          <t>strategic flirter</t>
        </is>
      </c>
      <c r="AG65" s="2" t="inlineStr">
        <is>
          <t>cautious charmer</t>
        </is>
      </c>
      <c r="AH65" s="2" t="n">
        <v>0.2</v>
      </c>
      <c r="AI65" s="2" t="inlineStr">
        <is>
          <t>no</t>
        </is>
      </c>
      <c r="AJ65" s="2" t="inlineStr">
        <is>
          <t>no</t>
        </is>
      </c>
      <c r="AK65" s="2" t="inlineStr">
        <is>
          <t>yes</t>
        </is>
      </c>
      <c r="AL65" s="2" t="inlineStr">
        <is>
          <t>yes</t>
        </is>
      </c>
      <c r="AM65" s="2" t="n"/>
      <c r="AN65" s="2" t="n"/>
      <c r="AO65" s="2" t="n"/>
      <c r="AP65" s="2" t="inlineStr">
        <is>
          <t>v3_2026-03-19</t>
        </is>
      </c>
      <c r="AQ65">
        <f>(L65-Schema_v5!$C2)/(Schema_v5!$C3-Schema_v5!$C2)</f>
        <v/>
      </c>
      <c r="AR65">
        <f>(M65-Schema_v5!$C4)/(Schema_v5!$C5-Schema_v5!$C4)</f>
        <v/>
      </c>
      <c r="AS65">
        <f>N65/Schema_v5!$C6</f>
        <v/>
      </c>
      <c r="AT65">
        <f>O65/Schema_v5!$C7</f>
        <v/>
      </c>
      <c r="AU65">
        <f>P65/Schema_v5!$C8</f>
        <v/>
      </c>
      <c r="AV65">
        <f>IF(Schema_v5!$C9=0,0,AH65/Schema_v5!$C9)</f>
        <v/>
      </c>
      <c r="AW65">
        <f>IF(Schema_v5!$C10=0,0,AE65/Schema_v5!$C10)</f>
        <v/>
      </c>
      <c r="AX65">
        <f>(W65-Schema_v5!$C11)/(Schema_v5!$C12-Schema_v5!$C11)</f>
        <v/>
      </c>
      <c r="AY65">
        <f>(X65-Schema_v5!$C13)/(Schema_v5!$C14-Schema_v5!$C13)</f>
        <v/>
      </c>
    </row>
    <row r="66" ht="135" customHeight="1" s="10">
      <c r="A66" s="2" t="inlineStr">
        <is>
          <t>Q13_E</t>
        </is>
      </c>
      <c r="B66" s="2" t="n">
        <v>13</v>
      </c>
      <c r="C66" s="2" t="n">
        <v>13</v>
      </c>
      <c r="D66" s="2" t="inlineStr">
        <is>
          <t>Core</t>
        </is>
      </c>
      <c r="E66" s="2" t="n">
        <v>1.05</v>
      </c>
      <c r="F66" s="2" t="inlineStr">
        <is>
          <t>ConflictRepair</t>
        </is>
      </c>
      <c r="G66" s="2" t="inlineStr">
        <is>
          <t>CommunicationHealth</t>
        </is>
      </c>
      <c r="H66" s="2" t="n"/>
      <c r="I66" s="2" t="inlineStr">
        <is>
          <t>E</t>
        </is>
      </c>
      <c r="J66" s="2" t="inlineStr">
        <is>
          <t>E</t>
        </is>
      </c>
      <c r="K66" s="2" t="inlineStr">
        <is>
          <t>If I like someone, it shows, but I don't rush just because the vibe is good. I wait to see if the energy stays real.</t>
        </is>
      </c>
      <c r="L66" s="2" t="n">
        <v>8</v>
      </c>
      <c r="M66" s="2" t="n">
        <v>9</v>
      </c>
      <c r="N66" s="2" t="n">
        <v>4</v>
      </c>
      <c r="O66" s="2" t="n">
        <v>6</v>
      </c>
      <c r="P66" s="2" t="n">
        <v>2</v>
      </c>
      <c r="Q66" s="2" t="inlineStr">
        <is>
          <t>Icebox</t>
        </is>
      </c>
      <c r="R66" s="2" t="n">
        <v>1</v>
      </c>
      <c r="S66" s="2" t="n"/>
      <c r="T66" s="2" t="n"/>
      <c r="U66" s="2" t="n">
        <v>0</v>
      </c>
      <c r="V66" s="2" t="inlineStr">
        <is>
          <t>masc:1.8;fem:-1.6</t>
        </is>
      </c>
      <c r="W66" s="2" t="n">
        <v>1.8</v>
      </c>
      <c r="X66" s="2" t="n">
        <v>-1.6</v>
      </c>
      <c r="Y66" s="2" t="inlineStr">
        <is>
          <t>COMM_Avoidant</t>
        </is>
      </c>
      <c r="Z66" s="2" t="inlineStr">
        <is>
          <t>REG_Suppressor</t>
        </is>
      </c>
      <c r="AA66" s="2" t="inlineStr">
        <is>
          <t>LANG_Time</t>
        </is>
      </c>
      <c r="AB66" s="2" t="n"/>
      <c r="AC66" s="2" t="n"/>
      <c r="AD66" s="2" t="n"/>
      <c r="AE66" s="2" t="n">
        <v>0</v>
      </c>
      <c r="AF66" s="2" t="inlineStr">
        <is>
          <t>guarded realist</t>
        </is>
      </c>
      <c r="AG66" s="2" t="inlineStr">
        <is>
          <t>patient tester</t>
        </is>
      </c>
      <c r="AH66" s="2" t="n">
        <v>0.6</v>
      </c>
      <c r="AI66" s="2" t="inlineStr">
        <is>
          <t>no</t>
        </is>
      </c>
      <c r="AJ66" s="2" t="inlineStr">
        <is>
          <t>no</t>
        </is>
      </c>
      <c r="AK66" s="2" t="inlineStr">
        <is>
          <t>yes</t>
        </is>
      </c>
      <c r="AL66" s="2" t="inlineStr">
        <is>
          <t>yes</t>
        </is>
      </c>
      <c r="AM66" s="2" t="n"/>
      <c r="AN66" s="2" t="n"/>
      <c r="AO66" s="2" t="n"/>
      <c r="AP66" s="2" t="inlineStr">
        <is>
          <t>v3_2026-03-19</t>
        </is>
      </c>
      <c r="AQ66">
        <f>(L66-Schema_v5!$C2)/(Schema_v5!$C3-Schema_v5!$C2)</f>
        <v/>
      </c>
      <c r="AR66">
        <f>(M66-Schema_v5!$C4)/(Schema_v5!$C5-Schema_v5!$C4)</f>
        <v/>
      </c>
      <c r="AS66">
        <f>N66/Schema_v5!$C6</f>
        <v/>
      </c>
      <c r="AT66">
        <f>O66/Schema_v5!$C7</f>
        <v/>
      </c>
      <c r="AU66">
        <f>P66/Schema_v5!$C8</f>
        <v/>
      </c>
      <c r="AV66">
        <f>IF(Schema_v5!$C9=0,0,AH66/Schema_v5!$C9)</f>
        <v/>
      </c>
      <c r="AW66">
        <f>IF(Schema_v5!$C10=0,0,AE66/Schema_v5!$C10)</f>
        <v/>
      </c>
      <c r="AX66">
        <f>(W66-Schema_v5!$C11)/(Schema_v5!$C12-Schema_v5!$C11)</f>
        <v/>
      </c>
      <c r="AY66">
        <f>(X66-Schema_v5!$C13)/(Schema_v5!$C14-Schema_v5!$C13)</f>
        <v/>
      </c>
    </row>
    <row r="67" ht="121.5" customHeight="1" s="10">
      <c r="A67" s="2" t="inlineStr">
        <is>
          <t>Q14_A</t>
        </is>
      </c>
      <c r="B67" s="2" t="n">
        <v>14</v>
      </c>
      <c r="C67" s="2" t="n">
        <v>14</v>
      </c>
      <c r="D67" s="2" t="inlineStr">
        <is>
          <t>Core</t>
        </is>
      </c>
      <c r="E67" s="2" t="n">
        <v>1.05</v>
      </c>
      <c r="F67" s="2" t="inlineStr">
        <is>
          <t>ConflictRepair</t>
        </is>
      </c>
      <c r="G67" s="2" t="inlineStr">
        <is>
          <t>CommunicationHealth</t>
        </is>
      </c>
      <c r="H67" s="2" t="inlineStr">
        <is>
          <t>They keep you in the loop, but never quite make you the priority. What shifts in you?</t>
        </is>
      </c>
      <c r="I67" s="2" t="inlineStr">
        <is>
          <t>A</t>
        </is>
      </c>
      <c r="J67" s="2" t="inlineStr">
        <is>
          <t>A</t>
        </is>
      </c>
      <c r="K67" s="2" t="inlineStr">
        <is>
          <t>I mirror it. They get the same version of me they're handing out. No extra effort for bare minimum.</t>
        </is>
      </c>
      <c r="L67" s="2" t="n">
        <v>7</v>
      </c>
      <c r="M67" s="2" t="n">
        <v>8</v>
      </c>
      <c r="N67" s="2" t="n">
        <v>4</v>
      </c>
      <c r="O67" s="2" t="n">
        <v>4</v>
      </c>
      <c r="P67" s="2" t="n">
        <v>0</v>
      </c>
      <c r="Q67" s="2" t="inlineStr">
        <is>
          <t>Icebox</t>
        </is>
      </c>
      <c r="R67" s="2" t="n">
        <v>1</v>
      </c>
      <c r="S67" s="2" t="n"/>
      <c r="T67" s="2" t="n"/>
      <c r="U67" s="2" t="n">
        <v>0</v>
      </c>
      <c r="V67" s="2" t="inlineStr">
        <is>
          <t>masc:1.8;fem:-1.6</t>
        </is>
      </c>
      <c r="W67" s="2" t="n">
        <v>1.8</v>
      </c>
      <c r="X67" s="2" t="n">
        <v>-1.6</v>
      </c>
      <c r="Y67" s="2" t="inlineStr">
        <is>
          <t>COMM_Avoidant</t>
        </is>
      </c>
      <c r="Z67" s="2" t="inlineStr">
        <is>
          <t>REG_Suppressor</t>
        </is>
      </c>
      <c r="AA67" s="2" t="inlineStr">
        <is>
          <t>LANG_Time</t>
        </is>
      </c>
      <c r="AB67" s="2" t="n"/>
      <c r="AC67" s="2" t="n"/>
      <c r="AD67" s="2" t="n"/>
      <c r="AE67" s="2" t="n">
        <v>0</v>
      </c>
      <c r="AF67" s="2" t="inlineStr">
        <is>
          <t>tactical disengagement</t>
        </is>
      </c>
      <c r="AG67" s="2" t="inlineStr">
        <is>
          <t>mirrored detachment</t>
        </is>
      </c>
      <c r="AH67" s="2" t="n">
        <v>0.6</v>
      </c>
      <c r="AI67" s="2" t="inlineStr">
        <is>
          <t>no</t>
        </is>
      </c>
      <c r="AJ67" s="2" t="inlineStr">
        <is>
          <t>no</t>
        </is>
      </c>
      <c r="AK67" s="2" t="inlineStr">
        <is>
          <t>yes</t>
        </is>
      </c>
      <c r="AL67" s="2" t="inlineStr">
        <is>
          <t>yes</t>
        </is>
      </c>
      <c r="AM67" s="2" t="n"/>
      <c r="AN67" s="2" t="n"/>
      <c r="AO67" s="2" t="n"/>
      <c r="AP67" s="2" t="inlineStr">
        <is>
          <t>v3_2026-03-19</t>
        </is>
      </c>
      <c r="AQ67">
        <f>(L67-Schema_v5!$C2)/(Schema_v5!$C3-Schema_v5!$C2)</f>
        <v/>
      </c>
      <c r="AR67">
        <f>(M67-Schema_v5!$C4)/(Schema_v5!$C5-Schema_v5!$C4)</f>
        <v/>
      </c>
      <c r="AS67">
        <f>N67/Schema_v5!$C6</f>
        <v/>
      </c>
      <c r="AT67">
        <f>O67/Schema_v5!$C7</f>
        <v/>
      </c>
      <c r="AU67">
        <f>P67/Schema_v5!$C8</f>
        <v/>
      </c>
      <c r="AV67">
        <f>IF(Schema_v5!$C9=0,0,AH67/Schema_v5!$C9)</f>
        <v/>
      </c>
      <c r="AW67">
        <f>IF(Schema_v5!$C10=0,0,AE67/Schema_v5!$C10)</f>
        <v/>
      </c>
      <c r="AX67">
        <f>(W67-Schema_v5!$C11)/(Schema_v5!$C12-Schema_v5!$C11)</f>
        <v/>
      </c>
      <c r="AY67">
        <f>(X67-Schema_v5!$C13)/(Schema_v5!$C14-Schema_v5!$C13)</f>
        <v/>
      </c>
    </row>
    <row r="68" ht="121.5" customHeight="1" s="10">
      <c r="A68" s="2" t="inlineStr">
        <is>
          <t>Q14_B</t>
        </is>
      </c>
      <c r="B68" s="2" t="n">
        <v>14</v>
      </c>
      <c r="C68" s="2" t="n">
        <v>14</v>
      </c>
      <c r="D68" s="2" t="inlineStr">
        <is>
          <t>Core</t>
        </is>
      </c>
      <c r="E68" s="2" t="n">
        <v>1.05</v>
      </c>
      <c r="F68" s="2" t="inlineStr">
        <is>
          <t>ConflictRepair</t>
        </is>
      </c>
      <c r="G68" s="2" t="inlineStr">
        <is>
          <t>CommunicationHealth</t>
        </is>
      </c>
      <c r="H68" s="2" t="n"/>
      <c r="I68" s="2" t="inlineStr">
        <is>
          <t>B</t>
        </is>
      </c>
      <c r="J68" s="2" t="inlineStr">
        <is>
          <t>B</t>
        </is>
      </c>
      <c r="K68" s="2" t="inlineStr">
        <is>
          <t>I start overexplaining, why I care, what I mean, what I hope for. I try to make it easier to choose me.</t>
        </is>
      </c>
      <c r="L68" s="2" t="n">
        <v>5</v>
      </c>
      <c r="M68" s="2" t="n">
        <v>6</v>
      </c>
      <c r="N68" s="2" t="n">
        <v>4</v>
      </c>
      <c r="O68" s="2" t="n">
        <v>4</v>
      </c>
      <c r="P68" s="2" t="n">
        <v>4</v>
      </c>
      <c r="Q68" s="2" t="inlineStr">
        <is>
          <t>Fixer</t>
        </is>
      </c>
      <c r="R68" s="2" t="n">
        <v>5</v>
      </c>
      <c r="S68" s="2" t="n"/>
      <c r="T68" s="2" t="n"/>
      <c r="U68" s="2" t="n">
        <v>0</v>
      </c>
      <c r="V68" s="2" t="inlineStr">
        <is>
          <t>masc:-0.4;fem:2.0</t>
        </is>
      </c>
      <c r="W68" s="2" t="n">
        <v>-0.4</v>
      </c>
      <c r="X68" s="2" t="n">
        <v>2</v>
      </c>
      <c r="Y68" s="2" t="inlineStr">
        <is>
          <t>COMM_Emotional</t>
        </is>
      </c>
      <c r="Z68" s="2" t="inlineStr">
        <is>
          <t>REG_CoRegulator</t>
        </is>
      </c>
      <c r="AA68" s="2" t="inlineStr">
        <is>
          <t>LANG_Service</t>
        </is>
      </c>
      <c r="AB68" s="2" t="inlineStr">
        <is>
          <t>Vulnerability_Loop</t>
        </is>
      </c>
      <c r="AC68" s="2" t="inlineStr">
        <is>
          <t>Vulnerability_Loop</t>
        </is>
      </c>
      <c r="AD68" s="2" t="n"/>
      <c r="AE68" s="2" t="n">
        <v>5</v>
      </c>
      <c r="AF68" s="2" t="inlineStr">
        <is>
          <t>emotional sales pitch</t>
        </is>
      </c>
      <c r="AG68" s="2" t="inlineStr">
        <is>
          <t>approval seeker</t>
        </is>
      </c>
      <c r="AH68" s="2" t="n">
        <v>0</v>
      </c>
      <c r="AI68" s="2" t="inlineStr">
        <is>
          <t>yes</t>
        </is>
      </c>
      <c r="AJ68" s="2" t="inlineStr">
        <is>
          <t>no</t>
        </is>
      </c>
      <c r="AK68" s="2" t="inlineStr">
        <is>
          <t>yes</t>
        </is>
      </c>
      <c r="AL68" s="2" t="inlineStr">
        <is>
          <t>yes</t>
        </is>
      </c>
      <c r="AM68" s="2" t="n"/>
      <c r="AN68" s="2" t="n"/>
      <c r="AO68" s="2" t="n"/>
      <c r="AP68" s="2" t="inlineStr">
        <is>
          <t>v3_2026-03-19</t>
        </is>
      </c>
      <c r="AQ68">
        <f>(L68-Schema_v5!$C2)/(Schema_v5!$C3-Schema_v5!$C2)</f>
        <v/>
      </c>
      <c r="AR68">
        <f>(M68-Schema_v5!$C4)/(Schema_v5!$C5-Schema_v5!$C4)</f>
        <v/>
      </c>
      <c r="AS68">
        <f>N68/Schema_v5!$C6</f>
        <v/>
      </c>
      <c r="AT68">
        <f>O68/Schema_v5!$C7</f>
        <v/>
      </c>
      <c r="AU68">
        <f>P68/Schema_v5!$C8</f>
        <v/>
      </c>
      <c r="AV68">
        <f>IF(Schema_v5!$C9=0,0,AH68/Schema_v5!$C9)</f>
        <v/>
      </c>
      <c r="AW68">
        <f>IF(Schema_v5!$C10=0,0,AE68/Schema_v5!$C10)</f>
        <v/>
      </c>
      <c r="AX68">
        <f>(W68-Schema_v5!$C11)/(Schema_v5!$C12-Schema_v5!$C11)</f>
        <v/>
      </c>
      <c r="AY68">
        <f>(X68-Schema_v5!$C13)/(Schema_v5!$C14-Schema_v5!$C13)</f>
        <v/>
      </c>
    </row>
    <row r="69" ht="108" customHeight="1" s="10">
      <c r="A69" s="2" t="inlineStr">
        <is>
          <t>Q14_C</t>
        </is>
      </c>
      <c r="B69" s="2" t="n">
        <v>14</v>
      </c>
      <c r="C69" s="2" t="n">
        <v>14</v>
      </c>
      <c r="D69" s="2" t="inlineStr">
        <is>
          <t>Core</t>
        </is>
      </c>
      <c r="E69" s="2" t="n">
        <v>1.05</v>
      </c>
      <c r="F69" s="2" t="inlineStr">
        <is>
          <t>ConflictRepair</t>
        </is>
      </c>
      <c r="G69" s="2" t="inlineStr">
        <is>
          <t>CommunicationHealth</t>
        </is>
      </c>
      <c r="H69" s="2" t="n"/>
      <c r="I69" s="2" t="inlineStr">
        <is>
          <t>C</t>
        </is>
      </c>
      <c r="J69" s="2" t="inlineStr">
        <is>
          <t>C</t>
        </is>
      </c>
      <c r="K69" s="2" t="inlineStr">
        <is>
          <t>I act like I don't care, but it eats at me. I show up less, talk less, but I'm still watching every move.</t>
        </is>
      </c>
      <c r="L69" s="2" t="n">
        <v>5</v>
      </c>
      <c r="M69" s="2" t="n">
        <v>6</v>
      </c>
      <c r="N69" s="2" t="n">
        <v>2</v>
      </c>
      <c r="O69" s="2" t="n">
        <v>4</v>
      </c>
      <c r="P69" s="2" t="n">
        <v>2</v>
      </c>
      <c r="Q69" s="2" t="inlineStr">
        <is>
          <t>Phantom Seeker</t>
        </is>
      </c>
      <c r="R69" s="2" t="n">
        <v>10</v>
      </c>
      <c r="S69" s="2" t="n"/>
      <c r="T69" s="2" t="n"/>
      <c r="U69" s="2" t="n">
        <v>0</v>
      </c>
      <c r="V69" s="2" t="inlineStr">
        <is>
          <t>masc:-0.2;fem:1.5</t>
        </is>
      </c>
      <c r="W69" s="2" t="n">
        <v>-0.2</v>
      </c>
      <c r="X69" s="2" t="n">
        <v>1.5</v>
      </c>
      <c r="Y69" s="2" t="inlineStr">
        <is>
          <t>COMM_Emotional</t>
        </is>
      </c>
      <c r="Z69" s="2" t="inlineStr">
        <is>
          <t>REG_SelfSoother</t>
        </is>
      </c>
      <c r="AA69" s="2" t="inlineStr">
        <is>
          <t>LANG_Touch</t>
        </is>
      </c>
      <c r="AB69" s="2" t="inlineStr">
        <is>
          <t>Vulnerability_Loop</t>
        </is>
      </c>
      <c r="AC69" s="2" t="inlineStr">
        <is>
          <t>Vulnerability_Loop</t>
        </is>
      </c>
      <c r="AD69" s="2" t="n"/>
      <c r="AE69" s="2" t="n">
        <v>5</v>
      </c>
      <c r="AF69" s="2" t="inlineStr">
        <is>
          <t>internal retreat</t>
        </is>
      </c>
      <c r="AG69" s="2" t="inlineStr">
        <is>
          <t>quiet stewer</t>
        </is>
      </c>
      <c r="AH69" s="2" t="n">
        <v>0</v>
      </c>
      <c r="AI69" s="2" t="inlineStr">
        <is>
          <t>yes</t>
        </is>
      </c>
      <c r="AJ69" s="2" t="inlineStr">
        <is>
          <t>no</t>
        </is>
      </c>
      <c r="AK69" s="2" t="inlineStr">
        <is>
          <t>yes</t>
        </is>
      </c>
      <c r="AL69" s="2" t="inlineStr">
        <is>
          <t>yes</t>
        </is>
      </c>
      <c r="AM69" s="2" t="n"/>
      <c r="AN69" s="2" t="n"/>
      <c r="AO69" s="2" t="n"/>
      <c r="AP69" s="2" t="inlineStr">
        <is>
          <t>v3_2026-03-19</t>
        </is>
      </c>
      <c r="AQ69">
        <f>(L69-Schema_v5!$C2)/(Schema_v5!$C3-Schema_v5!$C2)</f>
        <v/>
      </c>
      <c r="AR69">
        <f>(M69-Schema_v5!$C4)/(Schema_v5!$C5-Schema_v5!$C4)</f>
        <v/>
      </c>
      <c r="AS69">
        <f>N69/Schema_v5!$C6</f>
        <v/>
      </c>
      <c r="AT69">
        <f>O69/Schema_v5!$C7</f>
        <v/>
      </c>
      <c r="AU69">
        <f>P69/Schema_v5!$C8</f>
        <v/>
      </c>
      <c r="AV69">
        <f>IF(Schema_v5!$C9=0,0,AH69/Schema_v5!$C9)</f>
        <v/>
      </c>
      <c r="AW69">
        <f>IF(Schema_v5!$C10=0,0,AE69/Schema_v5!$C10)</f>
        <v/>
      </c>
      <c r="AX69">
        <f>(W69-Schema_v5!$C11)/(Schema_v5!$C12-Schema_v5!$C11)</f>
        <v/>
      </c>
      <c r="AY69">
        <f>(X69-Schema_v5!$C13)/(Schema_v5!$C14-Schema_v5!$C13)</f>
        <v/>
      </c>
    </row>
    <row r="70" ht="135" customHeight="1" s="10">
      <c r="A70" s="2" t="inlineStr">
        <is>
          <t>Q14_D</t>
        </is>
      </c>
      <c r="B70" s="2" t="n">
        <v>14</v>
      </c>
      <c r="C70" s="2" t="n">
        <v>14</v>
      </c>
      <c r="D70" s="2" t="inlineStr">
        <is>
          <t>Core</t>
        </is>
      </c>
      <c r="E70" s="2" t="n">
        <v>1.05</v>
      </c>
      <c r="F70" s="2" t="inlineStr">
        <is>
          <t>ConflictRepair</t>
        </is>
      </c>
      <c r="G70" s="2" t="inlineStr">
        <is>
          <t>CommunicationHealth</t>
        </is>
      </c>
      <c r="H70" s="2" t="n"/>
      <c r="I70" s="2" t="inlineStr">
        <is>
          <t>D</t>
        </is>
      </c>
      <c r="J70" s="2" t="inlineStr">
        <is>
          <t>D</t>
        </is>
      </c>
      <c r="K70" s="2" t="inlineStr">
        <is>
          <t>I pretend I'm fine, but the shift gets loud. Suddenly I'm noticing who they respond to faster. Who gets their energy.</t>
        </is>
      </c>
      <c r="L70" s="2" t="n">
        <v>6</v>
      </c>
      <c r="M70" s="2" t="n">
        <v>7</v>
      </c>
      <c r="N70" s="2" t="n">
        <v>4</v>
      </c>
      <c r="O70" s="2" t="n">
        <v>4</v>
      </c>
      <c r="P70" s="2" t="n">
        <v>2</v>
      </c>
      <c r="Q70" s="2" t="inlineStr">
        <is>
          <t>Analyzer</t>
        </is>
      </c>
      <c r="R70" s="2" t="n">
        <v>2</v>
      </c>
      <c r="S70" s="2" t="n"/>
      <c r="T70" s="2" t="n"/>
      <c r="U70" s="2" t="n">
        <v>0</v>
      </c>
      <c r="V70" s="2" t="inlineStr">
        <is>
          <t>masc:1.4;fem:0.1</t>
        </is>
      </c>
      <c r="W70" s="2" t="n">
        <v>1.4</v>
      </c>
      <c r="X70" s="2" t="n">
        <v>0.1</v>
      </c>
      <c r="Y70" s="2" t="inlineStr">
        <is>
          <t>COMM_Logical</t>
        </is>
      </c>
      <c r="Z70" s="2" t="inlineStr">
        <is>
          <t>REG_SelfSoother</t>
        </is>
      </c>
      <c r="AA70" s="2" t="inlineStr">
        <is>
          <t>LANG_Service</t>
        </is>
      </c>
      <c r="AB70" s="2" t="inlineStr">
        <is>
          <t>Vulnerability_Loop</t>
        </is>
      </c>
      <c r="AC70" s="2" t="inlineStr">
        <is>
          <t>Vulnerability_Loop</t>
        </is>
      </c>
      <c r="AD70" s="2" t="n"/>
      <c r="AE70" s="2" t="n">
        <v>5</v>
      </c>
      <c r="AF70" s="2" t="inlineStr">
        <is>
          <t>silent scorekeeper</t>
        </is>
      </c>
      <c r="AG70" s="2" t="inlineStr">
        <is>
          <t>attention tracker</t>
        </is>
      </c>
      <c r="AH70" s="2" t="n">
        <v>1.8</v>
      </c>
      <c r="AI70" s="2" t="inlineStr">
        <is>
          <t>yes</t>
        </is>
      </c>
      <c r="AJ70" s="2" t="inlineStr">
        <is>
          <t>no</t>
        </is>
      </c>
      <c r="AK70" s="2" t="inlineStr">
        <is>
          <t>yes</t>
        </is>
      </c>
      <c r="AL70" s="2" t="inlineStr">
        <is>
          <t>yes</t>
        </is>
      </c>
      <c r="AM70" s="2" t="n"/>
      <c r="AN70" s="2" t="n"/>
      <c r="AO70" s="2" t="n"/>
      <c r="AP70" s="2" t="inlineStr">
        <is>
          <t>v3_2026-03-19</t>
        </is>
      </c>
      <c r="AQ70">
        <f>(L70-Schema_v5!$C2)/(Schema_v5!$C3-Schema_v5!$C2)</f>
        <v/>
      </c>
      <c r="AR70">
        <f>(M70-Schema_v5!$C4)/(Schema_v5!$C5-Schema_v5!$C4)</f>
        <v/>
      </c>
      <c r="AS70">
        <f>N70/Schema_v5!$C6</f>
        <v/>
      </c>
      <c r="AT70">
        <f>O70/Schema_v5!$C7</f>
        <v/>
      </c>
      <c r="AU70">
        <f>P70/Schema_v5!$C8</f>
        <v/>
      </c>
      <c r="AV70">
        <f>IF(Schema_v5!$C9=0,0,AH70/Schema_v5!$C9)</f>
        <v/>
      </c>
      <c r="AW70">
        <f>IF(Schema_v5!$C10=0,0,AE70/Schema_v5!$C10)</f>
        <v/>
      </c>
      <c r="AX70">
        <f>(W70-Schema_v5!$C11)/(Schema_v5!$C12-Schema_v5!$C11)</f>
        <v/>
      </c>
      <c r="AY70">
        <f>(X70-Schema_v5!$C13)/(Schema_v5!$C14-Schema_v5!$C13)</f>
        <v/>
      </c>
    </row>
    <row r="71" ht="121.5" customHeight="1" s="10">
      <c r="A71" s="2" t="inlineStr">
        <is>
          <t>Q14_E</t>
        </is>
      </c>
      <c r="B71" s="2" t="n">
        <v>14</v>
      </c>
      <c r="C71" s="2" t="n">
        <v>14</v>
      </c>
      <c r="D71" s="2" t="inlineStr">
        <is>
          <t>Core</t>
        </is>
      </c>
      <c r="E71" s="2" t="n">
        <v>1.05</v>
      </c>
      <c r="F71" s="2" t="inlineStr">
        <is>
          <t>ConflictRepair</t>
        </is>
      </c>
      <c r="G71" s="2" t="inlineStr">
        <is>
          <t>CommunicationHealth</t>
        </is>
      </c>
      <c r="H71" s="2" t="n"/>
      <c r="I71" s="2" t="inlineStr">
        <is>
          <t>E</t>
        </is>
      </c>
      <c r="J71" s="2" t="inlineStr">
        <is>
          <t>E</t>
        </is>
      </c>
      <c r="K71" s="2" t="inlineStr">
        <is>
          <t>I clock it, stash the receipt, and stop reaching out. I've made that mistake before, won't repeat it.</t>
        </is>
      </c>
      <c r="L71" s="2" t="n">
        <v>8</v>
      </c>
      <c r="M71" s="2" t="n">
        <v>9</v>
      </c>
      <c r="N71" s="2" t="n">
        <v>4</v>
      </c>
      <c r="O71" s="2" t="n">
        <v>6</v>
      </c>
      <c r="P71" s="2" t="n">
        <v>2</v>
      </c>
      <c r="Q71" s="2" t="inlineStr">
        <is>
          <t>Quiet Exit</t>
        </is>
      </c>
      <c r="R71" s="2" t="n">
        <v>4</v>
      </c>
      <c r="S71" s="2" t="n"/>
      <c r="T71" s="2" t="n"/>
      <c r="U71" s="2" t="n">
        <v>0</v>
      </c>
      <c r="V71" s="2" t="inlineStr">
        <is>
          <t>masc:1.4;fem:-1.3</t>
        </is>
      </c>
      <c r="W71" s="2" t="n">
        <v>1.4</v>
      </c>
      <c r="X71" s="2" t="n">
        <v>-1.3</v>
      </c>
      <c r="Y71" s="2" t="inlineStr">
        <is>
          <t>COMM_Avoidant</t>
        </is>
      </c>
      <c r="Z71" s="2" t="inlineStr">
        <is>
          <t>REG_Suppressor</t>
        </is>
      </c>
      <c r="AA71" s="2" t="inlineStr">
        <is>
          <t>LANG_Time</t>
        </is>
      </c>
      <c r="AB71" s="2" t="n"/>
      <c r="AC71" s="2" t="n"/>
      <c r="AD71" s="2" t="n"/>
      <c r="AE71" s="2" t="n">
        <v>0</v>
      </c>
      <c r="AF71" s="2" t="inlineStr">
        <is>
          <t>strategic shutdown</t>
        </is>
      </c>
      <c r="AG71" s="2" t="inlineStr">
        <is>
          <t>decisive withdrawer</t>
        </is>
      </c>
      <c r="AH71" s="2" t="n">
        <v>0.6</v>
      </c>
      <c r="AI71" s="2" t="inlineStr">
        <is>
          <t>no</t>
        </is>
      </c>
      <c r="AJ71" s="2" t="inlineStr">
        <is>
          <t>no</t>
        </is>
      </c>
      <c r="AK71" s="2" t="inlineStr">
        <is>
          <t>yes</t>
        </is>
      </c>
      <c r="AL71" s="2" t="inlineStr">
        <is>
          <t>yes</t>
        </is>
      </c>
      <c r="AM71" s="2" t="n"/>
      <c r="AN71" s="2" t="n"/>
      <c r="AO71" s="2" t="n"/>
      <c r="AP71" s="2" t="inlineStr">
        <is>
          <t>v3_2026-03-19</t>
        </is>
      </c>
      <c r="AQ71">
        <f>(L71-Schema_v5!$C2)/(Schema_v5!$C3-Schema_v5!$C2)</f>
        <v/>
      </c>
      <c r="AR71">
        <f>(M71-Schema_v5!$C4)/(Schema_v5!$C5-Schema_v5!$C4)</f>
        <v/>
      </c>
      <c r="AS71">
        <f>N71/Schema_v5!$C6</f>
        <v/>
      </c>
      <c r="AT71">
        <f>O71/Schema_v5!$C7</f>
        <v/>
      </c>
      <c r="AU71">
        <f>P71/Schema_v5!$C8</f>
        <v/>
      </c>
      <c r="AV71">
        <f>IF(Schema_v5!$C9=0,0,AH71/Schema_v5!$C9)</f>
        <v/>
      </c>
      <c r="AW71">
        <f>IF(Schema_v5!$C10=0,0,AE71/Schema_v5!$C10)</f>
        <v/>
      </c>
      <c r="AX71">
        <f>(W71-Schema_v5!$C11)/(Schema_v5!$C12-Schema_v5!$C11)</f>
        <v/>
      </c>
      <c r="AY71">
        <f>(X71-Schema_v5!$C13)/(Schema_v5!$C14-Schema_v5!$C13)</f>
        <v/>
      </c>
    </row>
    <row r="72" ht="135" customHeight="1" s="10">
      <c r="A72" s="2" t="inlineStr">
        <is>
          <t>Q15_A</t>
        </is>
      </c>
      <c r="B72" s="2" t="n">
        <v>15</v>
      </c>
      <c r="C72" s="2" t="n">
        <v>15</v>
      </c>
      <c r="D72" s="2" t="inlineStr">
        <is>
          <t>Core</t>
        </is>
      </c>
      <c r="E72" s="2" t="n">
        <v>1.05</v>
      </c>
      <c r="F72" s="2" t="inlineStr">
        <is>
          <t>ConflictRepair</t>
        </is>
      </c>
      <c r="G72" s="2" t="inlineStr">
        <is>
          <t>CommunicationHealth</t>
        </is>
      </c>
      <c r="H72" s="2" t="inlineStr">
        <is>
          <t>They respond fast. They remember what you say. No mixed signals. It's easy. How does your brain react to that kind of consistency?</t>
        </is>
      </c>
      <c r="I72" s="2" t="inlineStr">
        <is>
          <t>A</t>
        </is>
      </c>
      <c r="J72" s="2" t="inlineStr">
        <is>
          <t>A</t>
        </is>
      </c>
      <c r="K72" s="2" t="inlineStr">
        <is>
          <t>I wait for the twist. Nobody's that into me for no reason. I enjoy it, but I stay suspicious.</t>
        </is>
      </c>
      <c r="L72" s="2" t="n">
        <v>6</v>
      </c>
      <c r="M72" s="2" t="n">
        <v>7</v>
      </c>
      <c r="N72" s="2" t="n">
        <v>4</v>
      </c>
      <c r="O72" s="2" t="n">
        <v>6</v>
      </c>
      <c r="P72" s="2" t="n">
        <v>4</v>
      </c>
      <c r="Q72" s="2" t="inlineStr">
        <is>
          <t>Survivor</t>
        </is>
      </c>
      <c r="R72" s="2" t="n">
        <v>8</v>
      </c>
      <c r="S72" s="2" t="n"/>
      <c r="T72" s="2" t="n"/>
      <c r="U72" s="2" t="n">
        <v>0</v>
      </c>
      <c r="V72" s="2" t="inlineStr">
        <is>
          <t>masc:0.3;fem:1.3</t>
        </is>
      </c>
      <c r="W72" s="2" t="n">
        <v>0.3</v>
      </c>
      <c r="X72" s="2" t="n">
        <v>1.3</v>
      </c>
      <c r="Y72" s="2" t="inlineStr">
        <is>
          <t>COMM_Emotional</t>
        </is>
      </c>
      <c r="Z72" s="2" t="inlineStr">
        <is>
          <t>REG_SelfSoother</t>
        </is>
      </c>
      <c r="AA72" s="2" t="inlineStr">
        <is>
          <t>LANG_Service</t>
        </is>
      </c>
      <c r="AB72" s="2" t="inlineStr">
        <is>
          <t>Vulnerability_Loop</t>
        </is>
      </c>
      <c r="AC72" s="2" t="inlineStr">
        <is>
          <t>Vulnerability_Loop</t>
        </is>
      </c>
      <c r="AD72" s="2" t="n"/>
      <c r="AE72" s="2" t="n">
        <v>5</v>
      </c>
      <c r="AF72" s="2" t="inlineStr">
        <is>
          <t>trauma-calibrated skepticism</t>
        </is>
      </c>
      <c r="AG72" s="2" t="inlineStr">
        <is>
          <t>guarded receiver</t>
        </is>
      </c>
      <c r="AH72" s="2" t="n">
        <v>0</v>
      </c>
      <c r="AI72" s="2" t="inlineStr">
        <is>
          <t>yes</t>
        </is>
      </c>
      <c r="AJ72" s="2" t="inlineStr">
        <is>
          <t>no</t>
        </is>
      </c>
      <c r="AK72" s="2" t="inlineStr">
        <is>
          <t>yes</t>
        </is>
      </c>
      <c r="AL72" s="2" t="inlineStr">
        <is>
          <t>yes</t>
        </is>
      </c>
      <c r="AM72" s="2" t="n"/>
      <c r="AN72" s="2" t="n"/>
      <c r="AO72" s="2" t="n"/>
      <c r="AP72" s="2" t="inlineStr">
        <is>
          <t>v3_2026-03-19</t>
        </is>
      </c>
      <c r="AQ72">
        <f>(L72-Schema_v5!$C2)/(Schema_v5!$C3-Schema_v5!$C2)</f>
        <v/>
      </c>
      <c r="AR72">
        <f>(M72-Schema_v5!$C4)/(Schema_v5!$C5-Schema_v5!$C4)</f>
        <v/>
      </c>
      <c r="AS72">
        <f>N72/Schema_v5!$C6</f>
        <v/>
      </c>
      <c r="AT72">
        <f>O72/Schema_v5!$C7</f>
        <v/>
      </c>
      <c r="AU72">
        <f>P72/Schema_v5!$C8</f>
        <v/>
      </c>
      <c r="AV72">
        <f>IF(Schema_v5!$C9=0,0,AH72/Schema_v5!$C9)</f>
        <v/>
      </c>
      <c r="AW72">
        <f>IF(Schema_v5!$C10=0,0,AE72/Schema_v5!$C10)</f>
        <v/>
      </c>
      <c r="AX72">
        <f>(W72-Schema_v5!$C11)/(Schema_v5!$C12-Schema_v5!$C11)</f>
        <v/>
      </c>
      <c r="AY72">
        <f>(X72-Schema_v5!$C13)/(Schema_v5!$C14-Schema_v5!$C13)</f>
        <v/>
      </c>
    </row>
    <row r="73" ht="108" customHeight="1" s="10">
      <c r="A73" s="2" t="inlineStr">
        <is>
          <t>Q15_B</t>
        </is>
      </c>
      <c r="B73" s="2" t="n">
        <v>15</v>
      </c>
      <c r="C73" s="2" t="n">
        <v>15</v>
      </c>
      <c r="D73" s="2" t="inlineStr">
        <is>
          <t>Core</t>
        </is>
      </c>
      <c r="E73" s="2" t="n">
        <v>1.05</v>
      </c>
      <c r="F73" s="2" t="inlineStr">
        <is>
          <t>ConflictRepair</t>
        </is>
      </c>
      <c r="G73" s="2" t="inlineStr">
        <is>
          <t>CommunicationHealth</t>
        </is>
      </c>
      <c r="H73" s="2" t="n"/>
      <c r="I73" s="2" t="inlineStr">
        <is>
          <t>B</t>
        </is>
      </c>
      <c r="J73" s="2" t="inlineStr">
        <is>
          <t>B</t>
        </is>
      </c>
      <c r="K73" s="2" t="inlineStr">
        <is>
          <t>I get anxious. Like... if it's this easy now, what happens when I actually need something?</t>
        </is>
      </c>
      <c r="L73" s="2" t="n">
        <v>5</v>
      </c>
      <c r="M73" s="2" t="n">
        <v>6</v>
      </c>
      <c r="N73" s="2" t="n">
        <v>2</v>
      </c>
      <c r="O73" s="2" t="n">
        <v>4</v>
      </c>
      <c r="P73" s="2" t="n">
        <v>2</v>
      </c>
      <c r="Q73" s="2" t="inlineStr">
        <is>
          <t>Phantom Seeker</t>
        </is>
      </c>
      <c r="R73" s="2" t="n">
        <v>10</v>
      </c>
      <c r="S73" s="2" t="n"/>
      <c r="T73" s="2" t="n"/>
      <c r="U73" s="2" t="n">
        <v>0</v>
      </c>
      <c r="V73" s="2" t="inlineStr">
        <is>
          <t>masc:-0.2;fem:1.5</t>
        </is>
      </c>
      <c r="W73" s="2" t="n">
        <v>-0.2</v>
      </c>
      <c r="X73" s="2" t="n">
        <v>1.5</v>
      </c>
      <c r="Y73" s="2" t="inlineStr">
        <is>
          <t>COMM_Emotional</t>
        </is>
      </c>
      <c r="Z73" s="2" t="inlineStr">
        <is>
          <t>REG_SelfSoother</t>
        </is>
      </c>
      <c r="AA73" s="2" t="inlineStr">
        <is>
          <t>LANG_Touch</t>
        </is>
      </c>
      <c r="AB73" s="2" t="inlineStr">
        <is>
          <t>Vulnerability_Loop</t>
        </is>
      </c>
      <c r="AC73" s="2" t="inlineStr">
        <is>
          <t>Vulnerability_Loop</t>
        </is>
      </c>
      <c r="AD73" s="2" t="n"/>
      <c r="AE73" s="2" t="n">
        <v>5</v>
      </c>
      <c r="AF73" s="2" t="inlineStr">
        <is>
          <t>fragile trust reflex</t>
        </is>
      </c>
      <c r="AG73" s="2" t="inlineStr">
        <is>
          <t>uneasy believer</t>
        </is>
      </c>
      <c r="AH73" s="2" t="n">
        <v>0</v>
      </c>
      <c r="AI73" s="2" t="inlineStr">
        <is>
          <t>yes</t>
        </is>
      </c>
      <c r="AJ73" s="2" t="inlineStr">
        <is>
          <t>no</t>
        </is>
      </c>
      <c r="AK73" s="2" t="inlineStr">
        <is>
          <t>yes</t>
        </is>
      </c>
      <c r="AL73" s="2" t="inlineStr">
        <is>
          <t>yes</t>
        </is>
      </c>
      <c r="AM73" s="2" t="n"/>
      <c r="AN73" s="2" t="n"/>
      <c r="AO73" s="2" t="n"/>
      <c r="AP73" s="2" t="inlineStr">
        <is>
          <t>v3_2026-03-19</t>
        </is>
      </c>
      <c r="AQ73">
        <f>(L73-Schema_v5!$C2)/(Schema_v5!$C3-Schema_v5!$C2)</f>
        <v/>
      </c>
      <c r="AR73">
        <f>(M73-Schema_v5!$C4)/(Schema_v5!$C5-Schema_v5!$C4)</f>
        <v/>
      </c>
      <c r="AS73">
        <f>N73/Schema_v5!$C6</f>
        <v/>
      </c>
      <c r="AT73">
        <f>O73/Schema_v5!$C7</f>
        <v/>
      </c>
      <c r="AU73">
        <f>P73/Schema_v5!$C8</f>
        <v/>
      </c>
      <c r="AV73">
        <f>IF(Schema_v5!$C9=0,0,AH73/Schema_v5!$C9)</f>
        <v/>
      </c>
      <c r="AW73">
        <f>IF(Schema_v5!$C10=0,0,AE73/Schema_v5!$C10)</f>
        <v/>
      </c>
      <c r="AX73">
        <f>(W73-Schema_v5!$C11)/(Schema_v5!$C12-Schema_v5!$C11)</f>
        <v/>
      </c>
      <c r="AY73">
        <f>(X73-Schema_v5!$C13)/(Schema_v5!$C14-Schema_v5!$C13)</f>
        <v/>
      </c>
    </row>
    <row r="74" ht="135" customHeight="1" s="10">
      <c r="A74" s="2" t="inlineStr">
        <is>
          <t>Q15_C</t>
        </is>
      </c>
      <c r="B74" s="2" t="n">
        <v>15</v>
      </c>
      <c r="C74" s="2" t="n">
        <v>15</v>
      </c>
      <c r="D74" s="2" t="inlineStr">
        <is>
          <t>Core</t>
        </is>
      </c>
      <c r="E74" s="2" t="n">
        <v>1.05</v>
      </c>
      <c r="F74" s="2" t="inlineStr">
        <is>
          <t>ConflictRepair</t>
        </is>
      </c>
      <c r="G74" s="2" t="inlineStr">
        <is>
          <t>CommunicationHealth</t>
        </is>
      </c>
      <c r="H74" s="2" t="n"/>
      <c r="I74" s="2" t="inlineStr">
        <is>
          <t>C</t>
        </is>
      </c>
      <c r="J74" s="2" t="inlineStr">
        <is>
          <t>C</t>
        </is>
      </c>
      <c r="K74" s="2" t="inlineStr">
        <is>
          <t>I like it, but I start checking what they want from me. Nobody invests like that unless they're expecting a return.</t>
        </is>
      </c>
      <c r="L74" s="2" t="n">
        <v>6</v>
      </c>
      <c r="M74" s="2" t="n">
        <v>7</v>
      </c>
      <c r="N74" s="2" t="n">
        <v>4</v>
      </c>
      <c r="O74" s="2" t="n">
        <v>6</v>
      </c>
      <c r="P74" s="2" t="n">
        <v>4</v>
      </c>
      <c r="Q74" s="2" t="inlineStr">
        <is>
          <t>Analyzer</t>
        </is>
      </c>
      <c r="R74" s="2" t="n">
        <v>2</v>
      </c>
      <c r="S74" s="2" t="n"/>
      <c r="T74" s="2" t="n"/>
      <c r="U74" s="2" t="n">
        <v>0</v>
      </c>
      <c r="V74" s="2" t="inlineStr">
        <is>
          <t>masc:1.4;fem:0.1</t>
        </is>
      </c>
      <c r="W74" s="2" t="n">
        <v>1.4</v>
      </c>
      <c r="X74" s="2" t="n">
        <v>0.1</v>
      </c>
      <c r="Y74" s="2" t="inlineStr">
        <is>
          <t>COMM_Logical</t>
        </is>
      </c>
      <c r="Z74" s="2" t="inlineStr">
        <is>
          <t>REG_SelfSoother</t>
        </is>
      </c>
      <c r="AA74" s="2" t="inlineStr">
        <is>
          <t>LANG_Service</t>
        </is>
      </c>
      <c r="AB74" s="2" t="inlineStr">
        <is>
          <t>Vulnerability_Loop</t>
        </is>
      </c>
      <c r="AC74" s="2" t="inlineStr">
        <is>
          <t>Vulnerability_Loop</t>
        </is>
      </c>
      <c r="AD74" s="2" t="n"/>
      <c r="AE74" s="2" t="n">
        <v>5</v>
      </c>
      <c r="AF74" s="2" t="inlineStr">
        <is>
          <t>reciprocity scanner</t>
        </is>
      </c>
      <c r="AG74" s="2" t="inlineStr">
        <is>
          <t>cautious assessor</t>
        </is>
      </c>
      <c r="AH74" s="2" t="n">
        <v>0</v>
      </c>
      <c r="AI74" s="2" t="inlineStr">
        <is>
          <t>yes</t>
        </is>
      </c>
      <c r="AJ74" s="2" t="inlineStr">
        <is>
          <t>no</t>
        </is>
      </c>
      <c r="AK74" s="2" t="inlineStr">
        <is>
          <t>yes</t>
        </is>
      </c>
      <c r="AL74" s="2" t="inlineStr">
        <is>
          <t>yes</t>
        </is>
      </c>
      <c r="AM74" s="2" t="n"/>
      <c r="AN74" s="2" t="n"/>
      <c r="AO74" s="2" t="n"/>
      <c r="AP74" s="2" t="inlineStr">
        <is>
          <t>v3_2026-03-19</t>
        </is>
      </c>
      <c r="AQ74">
        <f>(L74-Schema_v5!$C2)/(Schema_v5!$C3-Schema_v5!$C2)</f>
        <v/>
      </c>
      <c r="AR74">
        <f>(M74-Schema_v5!$C4)/(Schema_v5!$C5-Schema_v5!$C4)</f>
        <v/>
      </c>
      <c r="AS74">
        <f>N74/Schema_v5!$C6</f>
        <v/>
      </c>
      <c r="AT74">
        <f>O74/Schema_v5!$C7</f>
        <v/>
      </c>
      <c r="AU74">
        <f>P74/Schema_v5!$C8</f>
        <v/>
      </c>
      <c r="AV74">
        <f>IF(Schema_v5!$C9=0,0,AH74/Schema_v5!$C9)</f>
        <v/>
      </c>
      <c r="AW74">
        <f>IF(Schema_v5!$C10=0,0,AE74/Schema_v5!$C10)</f>
        <v/>
      </c>
      <c r="AX74">
        <f>(W74-Schema_v5!$C11)/(Schema_v5!$C12-Schema_v5!$C11)</f>
        <v/>
      </c>
      <c r="AY74">
        <f>(X74-Schema_v5!$C13)/(Schema_v5!$C14-Schema_v5!$C13)</f>
        <v/>
      </c>
    </row>
    <row r="75" ht="94.5" customHeight="1" s="10">
      <c r="A75" s="2" t="inlineStr">
        <is>
          <t>Q15_D</t>
        </is>
      </c>
      <c r="B75" s="2" t="n">
        <v>15</v>
      </c>
      <c r="C75" s="2" t="n">
        <v>15</v>
      </c>
      <c r="D75" s="2" t="inlineStr">
        <is>
          <t>Core</t>
        </is>
      </c>
      <c r="E75" s="2" t="n">
        <v>1.05</v>
      </c>
      <c r="F75" s="2" t="inlineStr">
        <is>
          <t>ConflictRepair</t>
        </is>
      </c>
      <c r="G75" s="2" t="inlineStr">
        <is>
          <t>CommunicationHealth</t>
        </is>
      </c>
      <c r="H75" s="2" t="n"/>
      <c r="I75" s="2" t="inlineStr">
        <is>
          <t>D</t>
        </is>
      </c>
      <c r="J75" s="2" t="inlineStr">
        <is>
          <t>D</t>
        </is>
      </c>
      <c r="K75" s="2" t="inlineStr">
        <is>
          <t>I try not to mess it up. I overthink everything I send back. It feels good, but fragile.</t>
        </is>
      </c>
      <c r="L75" s="2" t="n">
        <v>6</v>
      </c>
      <c r="M75" s="2" t="n">
        <v>7</v>
      </c>
      <c r="N75" s="2" t="n">
        <v>4</v>
      </c>
      <c r="O75" s="2" t="n">
        <v>4</v>
      </c>
      <c r="P75" s="2" t="n">
        <v>2</v>
      </c>
      <c r="Q75" s="2" t="inlineStr">
        <is>
          <t>Performer</t>
        </is>
      </c>
      <c r="R75" s="2" t="n">
        <v>7</v>
      </c>
      <c r="S75" s="2" t="n"/>
      <c r="T75" s="2" t="n"/>
      <c r="U75" s="2" t="n">
        <v>0</v>
      </c>
      <c r="V75" s="2" t="inlineStr">
        <is>
          <t>masc:0.3;fem:0.5</t>
        </is>
      </c>
      <c r="W75" s="2" t="n">
        <v>0.3</v>
      </c>
      <c r="X75" s="2" t="n">
        <v>0.5</v>
      </c>
      <c r="Y75" s="2" t="inlineStr">
        <is>
          <t>COMM_Indirect</t>
        </is>
      </c>
      <c r="Z75" s="2" t="inlineStr">
        <is>
          <t>REG_Distractor</t>
        </is>
      </c>
      <c r="AA75" s="2" t="inlineStr">
        <is>
          <t>LANG_Gifts</t>
        </is>
      </c>
      <c r="AB75" s="2" t="inlineStr">
        <is>
          <t>Vulnerability_Loop</t>
        </is>
      </c>
      <c r="AC75" s="2" t="inlineStr">
        <is>
          <t>Vulnerability_Loop</t>
        </is>
      </c>
      <c r="AD75" s="2" t="n"/>
      <c r="AE75" s="2" t="n">
        <v>5</v>
      </c>
      <c r="AF75" s="2" t="inlineStr">
        <is>
          <t>image anxiety</t>
        </is>
      </c>
      <c r="AG75" s="2" t="inlineStr">
        <is>
          <t>careful performer</t>
        </is>
      </c>
      <c r="AH75" s="2" t="n">
        <v>0</v>
      </c>
      <c r="AI75" s="2" t="inlineStr">
        <is>
          <t>yes</t>
        </is>
      </c>
      <c r="AJ75" s="2" t="inlineStr">
        <is>
          <t>no</t>
        </is>
      </c>
      <c r="AK75" s="2" t="inlineStr">
        <is>
          <t>yes</t>
        </is>
      </c>
      <c r="AL75" s="2" t="inlineStr">
        <is>
          <t>yes</t>
        </is>
      </c>
      <c r="AM75" s="2" t="n"/>
      <c r="AN75" s="2" t="n"/>
      <c r="AO75" s="2" t="n"/>
      <c r="AP75" s="2" t="inlineStr">
        <is>
          <t>v3_2026-03-19</t>
        </is>
      </c>
      <c r="AQ75">
        <f>(L75-Schema_v5!$C2)/(Schema_v5!$C3-Schema_v5!$C2)</f>
        <v/>
      </c>
      <c r="AR75">
        <f>(M75-Schema_v5!$C4)/(Schema_v5!$C5-Schema_v5!$C4)</f>
        <v/>
      </c>
      <c r="AS75">
        <f>N75/Schema_v5!$C6</f>
        <v/>
      </c>
      <c r="AT75">
        <f>O75/Schema_v5!$C7</f>
        <v/>
      </c>
      <c r="AU75">
        <f>P75/Schema_v5!$C8</f>
        <v/>
      </c>
      <c r="AV75">
        <f>IF(Schema_v5!$C9=0,0,AH75/Schema_v5!$C9)</f>
        <v/>
      </c>
      <c r="AW75">
        <f>IF(Schema_v5!$C10=0,0,AE75/Schema_v5!$C10)</f>
        <v/>
      </c>
      <c r="AX75">
        <f>(W75-Schema_v5!$C11)/(Schema_v5!$C12-Schema_v5!$C11)</f>
        <v/>
      </c>
      <c r="AY75">
        <f>(X75-Schema_v5!$C13)/(Schema_v5!$C14-Schema_v5!$C13)</f>
        <v/>
      </c>
    </row>
    <row r="76" ht="94.5" customHeight="1" s="10">
      <c r="A76" s="2" t="inlineStr">
        <is>
          <t>Q15_E</t>
        </is>
      </c>
      <c r="B76" s="2" t="n">
        <v>15</v>
      </c>
      <c r="C76" s="2" t="n">
        <v>15</v>
      </c>
      <c r="D76" s="2" t="inlineStr">
        <is>
          <t>Core</t>
        </is>
      </c>
      <c r="E76" s="2" t="n">
        <v>1.05</v>
      </c>
      <c r="F76" s="2" t="inlineStr">
        <is>
          <t>ConflictRepair</t>
        </is>
      </c>
      <c r="G76" s="2" t="inlineStr">
        <is>
          <t>CommunicationHealth</t>
        </is>
      </c>
      <c r="H76" s="2" t="n"/>
      <c r="I76" s="2" t="inlineStr">
        <is>
          <t>E</t>
        </is>
      </c>
      <c r="J76" s="2" t="inlineStr">
        <is>
          <t>E</t>
        </is>
      </c>
      <c r="K76" s="2" t="inlineStr">
        <is>
          <t>I match it, but I don't flood it. Feels rare, and I'm not about to fumble it with weird energy.</t>
        </is>
      </c>
      <c r="L76" s="2" t="n">
        <v>9</v>
      </c>
      <c r="M76" s="2" t="n">
        <v>9</v>
      </c>
      <c r="N76" s="2" t="n">
        <v>6</v>
      </c>
      <c r="O76" s="2" t="n">
        <v>6</v>
      </c>
      <c r="P76" s="2" t="n">
        <v>2</v>
      </c>
      <c r="Q76" s="2" t="inlineStr">
        <is>
          <t>Icebox</t>
        </is>
      </c>
      <c r="R76" s="2" t="n">
        <v>1</v>
      </c>
      <c r="S76" s="2" t="n"/>
      <c r="T76" s="2" t="n"/>
      <c r="U76" s="2" t="n">
        <v>0</v>
      </c>
      <c r="V76" s="2" t="inlineStr">
        <is>
          <t>masc:1.8;fem:-1.6</t>
        </is>
      </c>
      <c r="W76" s="2" t="n">
        <v>1.8</v>
      </c>
      <c r="X76" s="2" t="n">
        <v>-1.6</v>
      </c>
      <c r="Y76" s="2" t="inlineStr">
        <is>
          <t>COMM_Avoidant</t>
        </is>
      </c>
      <c r="Z76" s="2" t="inlineStr">
        <is>
          <t>REG_Suppressor</t>
        </is>
      </c>
      <c r="AA76" s="2" t="inlineStr">
        <is>
          <t>LANG_Time</t>
        </is>
      </c>
      <c r="AB76" s="2" t="n"/>
      <c r="AC76" s="2" t="n"/>
      <c r="AD76" s="2" t="n"/>
      <c r="AE76" s="2" t="n">
        <v>0</v>
      </c>
      <c r="AF76" s="2" t="inlineStr">
        <is>
          <t>cautious returner</t>
        </is>
      </c>
      <c r="AG76" s="2" t="inlineStr">
        <is>
          <t>balanced engager</t>
        </is>
      </c>
      <c r="AH76" s="2" t="n">
        <v>0</v>
      </c>
      <c r="AI76" s="2" t="inlineStr">
        <is>
          <t>no</t>
        </is>
      </c>
      <c r="AJ76" s="2" t="inlineStr">
        <is>
          <t>no</t>
        </is>
      </c>
      <c r="AK76" s="2" t="inlineStr">
        <is>
          <t>yes</t>
        </is>
      </c>
      <c r="AL76" s="2" t="inlineStr">
        <is>
          <t>yes</t>
        </is>
      </c>
      <c r="AM76" s="2" t="n"/>
      <c r="AN76" s="2" t="n"/>
      <c r="AO76" s="2" t="n"/>
      <c r="AP76" s="2" t="inlineStr">
        <is>
          <t>v3_2026-03-19</t>
        </is>
      </c>
      <c r="AQ76">
        <f>(L76-Schema_v5!$C2)/(Schema_v5!$C3-Schema_v5!$C2)</f>
        <v/>
      </c>
      <c r="AR76">
        <f>(M76-Schema_v5!$C4)/(Schema_v5!$C5-Schema_v5!$C4)</f>
        <v/>
      </c>
      <c r="AS76">
        <f>N76/Schema_v5!$C6</f>
        <v/>
      </c>
      <c r="AT76">
        <f>O76/Schema_v5!$C7</f>
        <v/>
      </c>
      <c r="AU76">
        <f>P76/Schema_v5!$C8</f>
        <v/>
      </c>
      <c r="AV76">
        <f>IF(Schema_v5!$C9=0,0,AH76/Schema_v5!$C9)</f>
        <v/>
      </c>
      <c r="AW76">
        <f>IF(Schema_v5!$C10=0,0,AE76/Schema_v5!$C10)</f>
        <v/>
      </c>
      <c r="AX76">
        <f>(W76-Schema_v5!$C11)/(Schema_v5!$C12-Schema_v5!$C11)</f>
        <v/>
      </c>
      <c r="AY76">
        <f>(X76-Schema_v5!$C13)/(Schema_v5!$C14-Schema_v5!$C13)</f>
        <v/>
      </c>
    </row>
    <row r="77" ht="108" customHeight="1" s="10">
      <c r="A77" s="2" t="inlineStr">
        <is>
          <t>Q16_A</t>
        </is>
      </c>
      <c r="B77" s="2" t="n">
        <v>16</v>
      </c>
      <c r="C77" s="2" t="n">
        <v>16</v>
      </c>
      <c r="D77" s="2" t="inlineStr">
        <is>
          <t>Core</t>
        </is>
      </c>
      <c r="E77" s="2" t="n">
        <v>1.05</v>
      </c>
      <c r="F77" s="2" t="inlineStr">
        <is>
          <t>ConflictRepair</t>
        </is>
      </c>
      <c r="G77" s="2" t="inlineStr">
        <is>
          <t>CommunicationHealth</t>
        </is>
      </c>
      <c r="H77" s="2" t="inlineStr">
        <is>
          <t>They go from warm to cold out of nowhere. What's your first move?</t>
        </is>
      </c>
      <c r="I77" s="2" t="inlineStr">
        <is>
          <t>A</t>
        </is>
      </c>
      <c r="J77" s="2" t="inlineStr">
        <is>
          <t>A</t>
        </is>
      </c>
      <c r="K77" s="2" t="inlineStr">
        <is>
          <t>If you're hot and cold, I'm room temperature and gone. I'm not here to decode moods.</t>
        </is>
      </c>
      <c r="L77" s="2" t="n">
        <v>9</v>
      </c>
      <c r="M77" s="2" t="n">
        <v>9</v>
      </c>
      <c r="N77" s="2" t="n">
        <v>10</v>
      </c>
      <c r="O77" s="2" t="n">
        <v>10</v>
      </c>
      <c r="P77" s="2" t="n">
        <v>10</v>
      </c>
      <c r="Q77" s="2" t="inlineStr">
        <is>
          <t>Regulated Grown-Up</t>
        </is>
      </c>
      <c r="R77" s="2" t="n">
        <v>9</v>
      </c>
      <c r="S77" s="2" t="n"/>
      <c r="T77" s="2" t="n"/>
      <c r="U77" s="2" t="n">
        <v>0</v>
      </c>
      <c r="V77" s="2" t="inlineStr">
        <is>
          <t>masc:1.1;fem:0.9</t>
        </is>
      </c>
      <c r="W77" s="2" t="n">
        <v>1.1</v>
      </c>
      <c r="X77" s="2" t="n">
        <v>0.9</v>
      </c>
      <c r="Y77" s="2" t="inlineStr">
        <is>
          <t>COMM_Direct</t>
        </is>
      </c>
      <c r="Z77" s="2" t="inlineStr">
        <is>
          <t>REG_CoRegulator</t>
        </is>
      </c>
      <c r="AA77" s="2" t="inlineStr">
        <is>
          <t>LANG_Words</t>
        </is>
      </c>
      <c r="AB77" s="2" t="n"/>
      <c r="AC77" s="2" t="n"/>
      <c r="AD77" s="2" t="n"/>
      <c r="AE77" s="2" t="n">
        <v>0</v>
      </c>
      <c r="AF77" s="2" t="inlineStr">
        <is>
          <t>blunt detachment</t>
        </is>
      </c>
      <c r="AG77" s="2" t="inlineStr">
        <is>
          <t>immediate cutoff</t>
        </is>
      </c>
      <c r="AH77" s="2" t="n">
        <v>1.2</v>
      </c>
      <c r="AI77" s="2" t="inlineStr">
        <is>
          <t>no</t>
        </is>
      </c>
      <c r="AJ77" s="2" t="inlineStr">
        <is>
          <t>no</t>
        </is>
      </c>
      <c r="AK77" s="2" t="inlineStr">
        <is>
          <t>yes</t>
        </is>
      </c>
      <c r="AL77" s="2" t="inlineStr">
        <is>
          <t>yes</t>
        </is>
      </c>
      <c r="AM77" s="2" t="n"/>
      <c r="AN77" s="2" t="n"/>
      <c r="AO77" s="2" t="n"/>
      <c r="AP77" s="2" t="inlineStr">
        <is>
          <t>v3_2026-03-19</t>
        </is>
      </c>
      <c r="AQ77">
        <f>(L77-Schema_v5!$C2)/(Schema_v5!$C3-Schema_v5!$C2)</f>
        <v/>
      </c>
      <c r="AR77">
        <f>(M77-Schema_v5!$C4)/(Schema_v5!$C5-Schema_v5!$C4)</f>
        <v/>
      </c>
      <c r="AS77">
        <f>N77/Schema_v5!$C6</f>
        <v/>
      </c>
      <c r="AT77">
        <f>O77/Schema_v5!$C7</f>
        <v/>
      </c>
      <c r="AU77">
        <f>P77/Schema_v5!$C8</f>
        <v/>
      </c>
      <c r="AV77">
        <f>IF(Schema_v5!$C9=0,0,AH77/Schema_v5!$C9)</f>
        <v/>
      </c>
      <c r="AW77">
        <f>IF(Schema_v5!$C10=0,0,AE77/Schema_v5!$C10)</f>
        <v/>
      </c>
      <c r="AX77">
        <f>(W77-Schema_v5!$C11)/(Schema_v5!$C12-Schema_v5!$C11)</f>
        <v/>
      </c>
      <c r="AY77">
        <f>(X77-Schema_v5!$C13)/(Schema_v5!$C14-Schema_v5!$C13)</f>
        <v/>
      </c>
    </row>
    <row r="78" ht="175.5" customHeight="1" s="10">
      <c r="A78" s="2" t="inlineStr">
        <is>
          <t>Q16_B</t>
        </is>
      </c>
      <c r="B78" s="2" t="n">
        <v>16</v>
      </c>
      <c r="C78" s="2" t="n">
        <v>16</v>
      </c>
      <c r="D78" s="2" t="inlineStr">
        <is>
          <t>Core</t>
        </is>
      </c>
      <c r="E78" s="2" t="n">
        <v>1.05</v>
      </c>
      <c r="F78" s="2" t="inlineStr">
        <is>
          <t>ConflictRepair</t>
        </is>
      </c>
      <c r="G78" s="2" t="inlineStr">
        <is>
          <t>CommunicationHealth</t>
        </is>
      </c>
      <c r="H78" s="2" t="n"/>
      <c r="I78" s="2" t="inlineStr">
        <is>
          <t>B</t>
        </is>
      </c>
      <c r="J78" s="2" t="inlineStr">
        <is>
          <t>B</t>
        </is>
      </c>
      <c r="K78" s="2" t="inlineStr">
        <is>
          <t>I recheck our last texts. Then I reread mine. Then I wonder if I should've said less, or more. I don't bring it up, but it definitely rewires how I respond.</t>
        </is>
      </c>
      <c r="L78" s="2" t="n">
        <v>5</v>
      </c>
      <c r="M78" s="2" t="n">
        <v>6</v>
      </c>
      <c r="N78" s="2" t="n">
        <v>4</v>
      </c>
      <c r="O78" s="2" t="n">
        <v>4</v>
      </c>
      <c r="P78" s="2" t="n">
        <v>2</v>
      </c>
      <c r="Q78" s="2" t="inlineStr">
        <is>
          <t>Analyzer</t>
        </is>
      </c>
      <c r="R78" s="2" t="n">
        <v>2</v>
      </c>
      <c r="S78" s="2" t="n"/>
      <c r="T78" s="2" t="n"/>
      <c r="U78" s="2" t="n">
        <v>0</v>
      </c>
      <c r="V78" s="2" t="inlineStr">
        <is>
          <t>masc:1.4;fem:0.1</t>
        </is>
      </c>
      <c r="W78" s="2" t="n">
        <v>1.4</v>
      </c>
      <c r="X78" s="2" t="n">
        <v>0.1</v>
      </c>
      <c r="Y78" s="2" t="inlineStr">
        <is>
          <t>COMM_Logical</t>
        </is>
      </c>
      <c r="Z78" s="2" t="inlineStr">
        <is>
          <t>REG_SelfSoother</t>
        </is>
      </c>
      <c r="AA78" s="2" t="inlineStr">
        <is>
          <t>LANG_Service</t>
        </is>
      </c>
      <c r="AB78" s="2" t="inlineStr">
        <is>
          <t>Trust_Tension</t>
        </is>
      </c>
      <c r="AC78" s="2" t="inlineStr">
        <is>
          <t>Trust_Tension</t>
        </is>
      </c>
      <c r="AD78" s="2" t="n"/>
      <c r="AE78" s="2" t="n">
        <v>6</v>
      </c>
      <c r="AF78" s="2" t="inlineStr">
        <is>
          <t>emotional spiral</t>
        </is>
      </c>
      <c r="AG78" s="2" t="inlineStr">
        <is>
          <t>overanalyzer</t>
        </is>
      </c>
      <c r="AH78" s="2" t="n">
        <v>0</v>
      </c>
      <c r="AI78" s="2" t="inlineStr">
        <is>
          <t>yes</t>
        </is>
      </c>
      <c r="AJ78" s="2" t="inlineStr">
        <is>
          <t>no</t>
        </is>
      </c>
      <c r="AK78" s="2" t="inlineStr">
        <is>
          <t>yes</t>
        </is>
      </c>
      <c r="AL78" s="2" t="inlineStr">
        <is>
          <t>yes</t>
        </is>
      </c>
      <c r="AM78" s="2" t="n"/>
      <c r="AN78" s="2" t="n"/>
      <c r="AO78" s="2" t="n"/>
      <c r="AP78" s="2" t="inlineStr">
        <is>
          <t>v3_2026-03-19</t>
        </is>
      </c>
      <c r="AQ78">
        <f>(L78-Schema_v5!$C2)/(Schema_v5!$C3-Schema_v5!$C2)</f>
        <v/>
      </c>
      <c r="AR78">
        <f>(M78-Schema_v5!$C4)/(Schema_v5!$C5-Schema_v5!$C4)</f>
        <v/>
      </c>
      <c r="AS78">
        <f>N78/Schema_v5!$C6</f>
        <v/>
      </c>
      <c r="AT78">
        <f>O78/Schema_v5!$C7</f>
        <v/>
      </c>
      <c r="AU78">
        <f>P78/Schema_v5!$C8</f>
        <v/>
      </c>
      <c r="AV78">
        <f>IF(Schema_v5!$C9=0,0,AH78/Schema_v5!$C9)</f>
        <v/>
      </c>
      <c r="AW78">
        <f>IF(Schema_v5!$C10=0,0,AE78/Schema_v5!$C10)</f>
        <v/>
      </c>
      <c r="AX78">
        <f>(W78-Schema_v5!$C11)/(Schema_v5!$C12-Schema_v5!$C11)</f>
        <v/>
      </c>
      <c r="AY78">
        <f>(X78-Schema_v5!$C13)/(Schema_v5!$C14-Schema_v5!$C13)</f>
        <v/>
      </c>
    </row>
    <row r="79" ht="121.5" customHeight="1" s="10">
      <c r="A79" s="2" t="inlineStr">
        <is>
          <t>Q16_C</t>
        </is>
      </c>
      <c r="B79" s="2" t="n">
        <v>16</v>
      </c>
      <c r="C79" s="2" t="n">
        <v>16</v>
      </c>
      <c r="D79" s="2" t="inlineStr">
        <is>
          <t>Core</t>
        </is>
      </c>
      <c r="E79" s="2" t="n">
        <v>1.05</v>
      </c>
      <c r="F79" s="2" t="inlineStr">
        <is>
          <t>ConflictRepair</t>
        </is>
      </c>
      <c r="G79" s="2" t="inlineStr">
        <is>
          <t>CommunicationHealth</t>
        </is>
      </c>
      <c r="H79" s="2" t="n"/>
      <c r="I79" s="2" t="inlineStr">
        <is>
          <t>C</t>
        </is>
      </c>
      <c r="J79" s="2" t="inlineStr">
        <is>
          <t>C</t>
        </is>
      </c>
      <c r="K79" s="2" t="inlineStr">
        <is>
          <t>I back off. They'll either notice or they won't. I'm not chasing people who don't know what they want.</t>
        </is>
      </c>
      <c r="L79" s="2" t="n">
        <v>4</v>
      </c>
      <c r="M79" s="2" t="n">
        <v>5</v>
      </c>
      <c r="N79" s="2" t="n">
        <v>0</v>
      </c>
      <c r="O79" s="2" t="n">
        <v>0</v>
      </c>
      <c r="P79" s="2" t="n">
        <v>0</v>
      </c>
      <c r="Q79" s="2" t="inlineStr">
        <is>
          <t>Icebox</t>
        </is>
      </c>
      <c r="R79" s="2" t="n">
        <v>1</v>
      </c>
      <c r="S79" s="2" t="n"/>
      <c r="T79" s="2" t="n"/>
      <c r="U79" s="2" t="n">
        <v>0</v>
      </c>
      <c r="V79" s="2" t="inlineStr">
        <is>
          <t>masc:1.8;fem:-1.6</t>
        </is>
      </c>
      <c r="W79" s="2" t="n">
        <v>1.8</v>
      </c>
      <c r="X79" s="2" t="n">
        <v>-1.6</v>
      </c>
      <c r="Y79" s="2" t="inlineStr">
        <is>
          <t>COMM_Avoidant</t>
        </is>
      </c>
      <c r="Z79" s="2" t="inlineStr">
        <is>
          <t>REG_Suppressor</t>
        </is>
      </c>
      <c r="AA79" s="2" t="inlineStr">
        <is>
          <t>LANG_Time</t>
        </is>
      </c>
      <c r="AB79" s="2" t="inlineStr">
        <is>
          <t>Vulnerability_Loop</t>
        </is>
      </c>
      <c r="AC79" s="2" t="inlineStr">
        <is>
          <t>Vulnerability_Loop</t>
        </is>
      </c>
      <c r="AD79" s="2" t="n"/>
      <c r="AE79" s="2" t="n">
        <v>5</v>
      </c>
      <c r="AF79" s="2" t="inlineStr">
        <is>
          <t>quiet burn</t>
        </is>
      </c>
      <c r="AG79" s="2" t="inlineStr">
        <is>
          <t>disengaged pullback</t>
        </is>
      </c>
      <c r="AH79" s="2" t="n">
        <v>0.6</v>
      </c>
      <c r="AI79" s="2" t="inlineStr">
        <is>
          <t>yes</t>
        </is>
      </c>
      <c r="AJ79" s="2" t="inlineStr">
        <is>
          <t>no</t>
        </is>
      </c>
      <c r="AK79" s="2" t="inlineStr">
        <is>
          <t>yes</t>
        </is>
      </c>
      <c r="AL79" s="2" t="inlineStr">
        <is>
          <t>yes</t>
        </is>
      </c>
      <c r="AM79" s="2" t="n"/>
      <c r="AN79" s="2" t="n"/>
      <c r="AO79" s="2" t="n"/>
      <c r="AP79" s="2" t="inlineStr">
        <is>
          <t>v3_2026-03-19</t>
        </is>
      </c>
      <c r="AQ79">
        <f>(L79-Schema_v5!$C2)/(Schema_v5!$C3-Schema_v5!$C2)</f>
        <v/>
      </c>
      <c r="AR79">
        <f>(M79-Schema_v5!$C4)/(Schema_v5!$C5-Schema_v5!$C4)</f>
        <v/>
      </c>
      <c r="AS79">
        <f>N79/Schema_v5!$C6</f>
        <v/>
      </c>
      <c r="AT79">
        <f>O79/Schema_v5!$C7</f>
        <v/>
      </c>
      <c r="AU79">
        <f>P79/Schema_v5!$C8</f>
        <v/>
      </c>
      <c r="AV79">
        <f>IF(Schema_v5!$C9=0,0,AH79/Schema_v5!$C9)</f>
        <v/>
      </c>
      <c r="AW79">
        <f>IF(Schema_v5!$C10=0,0,AE79/Schema_v5!$C10)</f>
        <v/>
      </c>
      <c r="AX79">
        <f>(W79-Schema_v5!$C11)/(Schema_v5!$C12-Schema_v5!$C11)</f>
        <v/>
      </c>
      <c r="AY79">
        <f>(X79-Schema_v5!$C13)/(Schema_v5!$C14-Schema_v5!$C13)</f>
        <v/>
      </c>
    </row>
    <row r="80" ht="148.5" customHeight="1" s="10">
      <c r="A80" s="2" t="inlineStr">
        <is>
          <t>Q16_D</t>
        </is>
      </c>
      <c r="B80" s="2" t="n">
        <v>16</v>
      </c>
      <c r="C80" s="2" t="n">
        <v>16</v>
      </c>
      <c r="D80" s="2" t="inlineStr">
        <is>
          <t>Core</t>
        </is>
      </c>
      <c r="E80" s="2" t="n">
        <v>1.05</v>
      </c>
      <c r="F80" s="2" t="inlineStr">
        <is>
          <t>ConflictRepair</t>
        </is>
      </c>
      <c r="G80" s="2" t="inlineStr">
        <is>
          <t>CommunicationHealth</t>
        </is>
      </c>
      <c r="H80" s="2" t="n"/>
      <c r="I80" s="2" t="inlineStr">
        <is>
          <t>D</t>
        </is>
      </c>
      <c r="J80" s="2" t="inlineStr">
        <is>
          <t>D</t>
        </is>
      </c>
      <c r="K80" s="2" t="inlineStr">
        <is>
          <t>I stop bringing things up. If they don't want me, I'm not going to beg to be understood. I've played that game before.</t>
        </is>
      </c>
      <c r="L80" s="2" t="n">
        <v>6</v>
      </c>
      <c r="M80" s="2" t="n">
        <v>7</v>
      </c>
      <c r="N80" s="2" t="n">
        <v>4</v>
      </c>
      <c r="O80" s="2" t="n">
        <v>4</v>
      </c>
      <c r="P80" s="2" t="n">
        <v>4</v>
      </c>
      <c r="Q80" s="2" t="inlineStr">
        <is>
          <t>Fixer</t>
        </is>
      </c>
      <c r="R80" s="2" t="n">
        <v>5</v>
      </c>
      <c r="S80" s="2" t="n"/>
      <c r="T80" s="2" t="n"/>
      <c r="U80" s="2" t="n">
        <v>0</v>
      </c>
      <c r="V80" s="2" t="inlineStr">
        <is>
          <t>masc:-0.4;fem:2.0</t>
        </is>
      </c>
      <c r="W80" s="2" t="n">
        <v>-0.4</v>
      </c>
      <c r="X80" s="2" t="n">
        <v>2</v>
      </c>
      <c r="Y80" s="2" t="inlineStr">
        <is>
          <t>COMM_Emotional</t>
        </is>
      </c>
      <c r="Z80" s="2" t="inlineStr">
        <is>
          <t>REG_CoRegulator</t>
        </is>
      </c>
      <c r="AA80" s="2" t="inlineStr">
        <is>
          <t>LANG_Service</t>
        </is>
      </c>
      <c r="AB80" s="2" t="inlineStr">
        <is>
          <t>Affection_Mismatch , Independence_Collision</t>
        </is>
      </c>
      <c r="AC80" s="2" t="inlineStr">
        <is>
          <t>Affection_Mismatch</t>
        </is>
      </c>
      <c r="AD80" s="2" t="inlineStr">
        <is>
          <t>Independence_Collision</t>
        </is>
      </c>
      <c r="AE80" s="2" t="n">
        <v>9</v>
      </c>
      <c r="AF80" s="2" t="inlineStr">
        <is>
          <t>resigned caregiver</t>
        </is>
      </c>
      <c r="AG80" s="2" t="inlineStr">
        <is>
          <t>silent surrender</t>
        </is>
      </c>
      <c r="AH80" s="2" t="n">
        <v>1.2</v>
      </c>
      <c r="AI80" s="2" t="inlineStr">
        <is>
          <t>yes</t>
        </is>
      </c>
      <c r="AJ80" s="2" t="inlineStr">
        <is>
          <t>no</t>
        </is>
      </c>
      <c r="AK80" s="2" t="inlineStr">
        <is>
          <t>yes</t>
        </is>
      </c>
      <c r="AL80" s="2" t="inlineStr">
        <is>
          <t>yes</t>
        </is>
      </c>
      <c r="AM80" s="2" t="n"/>
      <c r="AN80" s="2" t="n"/>
      <c r="AO80" s="2" t="n"/>
      <c r="AP80" s="2" t="inlineStr">
        <is>
          <t>v3_2026-03-19</t>
        </is>
      </c>
      <c r="AQ80">
        <f>(L80-Schema_v5!$C2)/(Schema_v5!$C3-Schema_v5!$C2)</f>
        <v/>
      </c>
      <c r="AR80">
        <f>(M80-Schema_v5!$C4)/(Schema_v5!$C5-Schema_v5!$C4)</f>
        <v/>
      </c>
      <c r="AS80">
        <f>N80/Schema_v5!$C6</f>
        <v/>
      </c>
      <c r="AT80">
        <f>O80/Schema_v5!$C7</f>
        <v/>
      </c>
      <c r="AU80">
        <f>P80/Schema_v5!$C8</f>
        <v/>
      </c>
      <c r="AV80">
        <f>IF(Schema_v5!$C9=0,0,AH80/Schema_v5!$C9)</f>
        <v/>
      </c>
      <c r="AW80">
        <f>IF(Schema_v5!$C10=0,0,AE80/Schema_v5!$C10)</f>
        <v/>
      </c>
      <c r="AX80">
        <f>(W80-Schema_v5!$C11)/(Schema_v5!$C12-Schema_v5!$C11)</f>
        <v/>
      </c>
      <c r="AY80">
        <f>(X80-Schema_v5!$C13)/(Schema_v5!$C14-Schema_v5!$C13)</f>
        <v/>
      </c>
    </row>
    <row r="81" ht="135" customHeight="1" s="10">
      <c r="A81" s="2" t="inlineStr">
        <is>
          <t>Q16_E</t>
        </is>
      </c>
      <c r="B81" s="2" t="n">
        <v>16</v>
      </c>
      <c r="C81" s="2" t="n">
        <v>16</v>
      </c>
      <c r="D81" s="2" t="inlineStr">
        <is>
          <t>Core</t>
        </is>
      </c>
      <c r="E81" s="2" t="n">
        <v>1.05</v>
      </c>
      <c r="F81" s="2" t="inlineStr">
        <is>
          <t>ConflictRepair</t>
        </is>
      </c>
      <c r="G81" s="2" t="inlineStr">
        <is>
          <t>CommunicationHealth</t>
        </is>
      </c>
      <c r="H81" s="2" t="n"/>
      <c r="I81" s="2" t="inlineStr">
        <is>
          <t>E</t>
        </is>
      </c>
      <c r="J81" s="2" t="inlineStr">
        <is>
          <t>E</t>
        </is>
      </c>
      <c r="K81" s="2" t="inlineStr">
        <is>
          <t>I tell myself it's probably just stress or a bad week. I don't want to give up too early, but it's hard not to notice when it shifts.</t>
        </is>
      </c>
      <c r="L81" s="2" t="n">
        <v>7</v>
      </c>
      <c r="M81" s="2" t="n">
        <v>8</v>
      </c>
      <c r="N81" s="2" t="n">
        <v>6</v>
      </c>
      <c r="O81" s="2" t="n">
        <v>6</v>
      </c>
      <c r="P81" s="2" t="n">
        <v>4</v>
      </c>
      <c r="Q81" s="2" t="inlineStr">
        <is>
          <t>Romantic Idealist</t>
        </is>
      </c>
      <c r="R81" s="2" t="n">
        <v>6</v>
      </c>
      <c r="S81" s="2" t="n"/>
      <c r="T81" s="2" t="n"/>
      <c r="U81" s="2" t="n">
        <v>0</v>
      </c>
      <c r="V81" s="2" t="inlineStr">
        <is>
          <t>masc:-0.4;fem:1.5</t>
        </is>
      </c>
      <c r="W81" s="2" t="n">
        <v>-0.4</v>
      </c>
      <c r="X81" s="2" t="n">
        <v>1.5</v>
      </c>
      <c r="Y81" s="2" t="inlineStr">
        <is>
          <t>COMM_Emotional</t>
        </is>
      </c>
      <c r="Z81" s="2" t="inlineStr">
        <is>
          <t>REG_Distractor</t>
        </is>
      </c>
      <c r="AA81" s="2" t="inlineStr">
        <is>
          <t>LANG_Gifts</t>
        </is>
      </c>
      <c r="AB81" s="2" t="n"/>
      <c r="AC81" s="2" t="n"/>
      <c r="AD81" s="2" t="n"/>
      <c r="AE81" s="2" t="n">
        <v>0</v>
      </c>
      <c r="AF81" s="2" t="inlineStr">
        <is>
          <t>tired hope</t>
        </is>
      </c>
      <c r="AG81" s="2" t="inlineStr">
        <is>
          <t>cautious optimist</t>
        </is>
      </c>
      <c r="AH81" s="2" t="n">
        <v>0</v>
      </c>
      <c r="AI81" s="2" t="inlineStr">
        <is>
          <t>no</t>
        </is>
      </c>
      <c r="AJ81" s="2" t="inlineStr">
        <is>
          <t>no</t>
        </is>
      </c>
      <c r="AK81" s="2" t="inlineStr">
        <is>
          <t>yes</t>
        </is>
      </c>
      <c r="AL81" s="2" t="inlineStr">
        <is>
          <t>yes</t>
        </is>
      </c>
      <c r="AM81" s="2" t="n"/>
      <c r="AN81" s="2" t="n"/>
      <c r="AO81" s="2" t="n"/>
      <c r="AP81" s="2" t="inlineStr">
        <is>
          <t>v3_2026-03-19</t>
        </is>
      </c>
      <c r="AQ81">
        <f>(L81-Schema_v5!$C2)/(Schema_v5!$C3-Schema_v5!$C2)</f>
        <v/>
      </c>
      <c r="AR81">
        <f>(M81-Schema_v5!$C4)/(Schema_v5!$C5-Schema_v5!$C4)</f>
        <v/>
      </c>
      <c r="AS81">
        <f>N81/Schema_v5!$C6</f>
        <v/>
      </c>
      <c r="AT81">
        <f>O81/Schema_v5!$C7</f>
        <v/>
      </c>
      <c r="AU81">
        <f>P81/Schema_v5!$C8</f>
        <v/>
      </c>
      <c r="AV81">
        <f>IF(Schema_v5!$C9=0,0,AH81/Schema_v5!$C9)</f>
        <v/>
      </c>
      <c r="AW81">
        <f>IF(Schema_v5!$C10=0,0,AE81/Schema_v5!$C10)</f>
        <v/>
      </c>
      <c r="AX81">
        <f>(W81-Schema_v5!$C11)/(Schema_v5!$C12-Schema_v5!$C11)</f>
        <v/>
      </c>
      <c r="AY81">
        <f>(X81-Schema_v5!$C13)/(Schema_v5!$C14-Schema_v5!$C13)</f>
        <v/>
      </c>
    </row>
    <row r="82" ht="94.5" customHeight="1" s="10">
      <c r="A82" s="2" t="inlineStr">
        <is>
          <t>Q17_A</t>
        </is>
      </c>
      <c r="B82" s="2" t="n">
        <v>17</v>
      </c>
      <c r="C82" s="2" t="n">
        <v>17</v>
      </c>
      <c r="D82" s="2" t="inlineStr">
        <is>
          <t>Core</t>
        </is>
      </c>
      <c r="E82" s="2" t="n">
        <v>1.1</v>
      </c>
      <c r="F82" s="2" t="inlineStr">
        <is>
          <t>EmotionalRegulation</t>
        </is>
      </c>
      <c r="G82" s="2" t="inlineStr">
        <is>
          <t>AttachmentSafety</t>
        </is>
      </c>
      <c r="H82" s="2" t="inlineStr">
        <is>
          <t>You're deep in conversation and they suddenly shut down or go quiet. What do you do next?</t>
        </is>
      </c>
      <c r="I82" s="2" t="inlineStr">
        <is>
          <t>A</t>
        </is>
      </c>
      <c r="J82" s="2" t="inlineStr">
        <is>
          <t>A</t>
        </is>
      </c>
      <c r="K82" s="2" t="inlineStr">
        <is>
          <t>I give them space. If they want to talk, they will. If not, I take the hint.</t>
        </is>
      </c>
      <c r="L82" s="2" t="n">
        <v>8</v>
      </c>
      <c r="M82" s="2" t="n">
        <v>8</v>
      </c>
      <c r="N82" s="2" t="n">
        <v>4</v>
      </c>
      <c r="O82" s="2" t="n">
        <v>4</v>
      </c>
      <c r="P82" s="2" t="n">
        <v>0</v>
      </c>
      <c r="Q82" s="2" t="inlineStr">
        <is>
          <t>Icebox</t>
        </is>
      </c>
      <c r="R82" s="2" t="n">
        <v>1</v>
      </c>
      <c r="S82" s="2" t="n"/>
      <c r="T82" s="2" t="n"/>
      <c r="U82" s="2" t="n">
        <v>0</v>
      </c>
      <c r="V82" s="2" t="inlineStr">
        <is>
          <t>masc:1.8;fem:-1.6</t>
        </is>
      </c>
      <c r="W82" s="2" t="n">
        <v>1.8</v>
      </c>
      <c r="X82" s="2" t="n">
        <v>-1.6</v>
      </c>
      <c r="Y82" s="2" t="inlineStr">
        <is>
          <t>COMM_Avoidant</t>
        </is>
      </c>
      <c r="Z82" s="2" t="inlineStr">
        <is>
          <t>REG_Suppressor</t>
        </is>
      </c>
      <c r="AA82" s="2" t="inlineStr">
        <is>
          <t>LANG_Time</t>
        </is>
      </c>
      <c r="AB82" s="2" t="n"/>
      <c r="AC82" s="2" t="n"/>
      <c r="AD82" s="2" t="n"/>
      <c r="AE82" s="2" t="n">
        <v>0</v>
      </c>
      <c r="AF82" s="2" t="inlineStr">
        <is>
          <t>detached cool</t>
        </is>
      </c>
      <c r="AG82" s="2" t="inlineStr">
        <is>
          <t>patient withdrawer</t>
        </is>
      </c>
      <c r="AH82" s="2" t="n">
        <v>1.2</v>
      </c>
      <c r="AI82" s="2" t="inlineStr">
        <is>
          <t>no</t>
        </is>
      </c>
      <c r="AJ82" s="2" t="inlineStr">
        <is>
          <t>no</t>
        </is>
      </c>
      <c r="AK82" s="2" t="inlineStr">
        <is>
          <t>yes</t>
        </is>
      </c>
      <c r="AL82" s="2" t="inlineStr">
        <is>
          <t>yes</t>
        </is>
      </c>
      <c r="AM82" s="2" t="n"/>
      <c r="AN82" s="2" t="n"/>
      <c r="AO82" s="2" t="n"/>
      <c r="AP82" s="2" t="inlineStr">
        <is>
          <t>v3_2026-03-19</t>
        </is>
      </c>
      <c r="AQ82">
        <f>(L82-Schema_v5!$C2)/(Schema_v5!$C3-Schema_v5!$C2)</f>
        <v/>
      </c>
      <c r="AR82">
        <f>(M82-Schema_v5!$C4)/(Schema_v5!$C5-Schema_v5!$C4)</f>
        <v/>
      </c>
      <c r="AS82">
        <f>N82/Schema_v5!$C6</f>
        <v/>
      </c>
      <c r="AT82">
        <f>O82/Schema_v5!$C7</f>
        <v/>
      </c>
      <c r="AU82">
        <f>P82/Schema_v5!$C8</f>
        <v/>
      </c>
      <c r="AV82">
        <f>IF(Schema_v5!$C9=0,0,AH82/Schema_v5!$C9)</f>
        <v/>
      </c>
      <c r="AW82">
        <f>IF(Schema_v5!$C10=0,0,AE82/Schema_v5!$C10)</f>
        <v/>
      </c>
      <c r="AX82">
        <f>(W82-Schema_v5!$C11)/(Schema_v5!$C12-Schema_v5!$C11)</f>
        <v/>
      </c>
      <c r="AY82">
        <f>(X82-Schema_v5!$C13)/(Schema_v5!$C14-Schema_v5!$C13)</f>
        <v/>
      </c>
    </row>
    <row r="83" ht="135" customHeight="1" s="10">
      <c r="A83" s="2" t="inlineStr">
        <is>
          <t>Q17_B</t>
        </is>
      </c>
      <c r="B83" s="2" t="n">
        <v>17</v>
      </c>
      <c r="C83" s="2" t="n">
        <v>17</v>
      </c>
      <c r="D83" s="2" t="inlineStr">
        <is>
          <t>Core</t>
        </is>
      </c>
      <c r="E83" s="2" t="n">
        <v>1.1</v>
      </c>
      <c r="F83" s="2" t="inlineStr">
        <is>
          <t>EmotionalRegulation</t>
        </is>
      </c>
      <c r="G83" s="2" t="inlineStr">
        <is>
          <t>AttachmentSafety</t>
        </is>
      </c>
      <c r="H83" s="2" t="n"/>
      <c r="I83" s="2" t="inlineStr">
        <is>
          <t>B</t>
        </is>
      </c>
      <c r="J83" s="2" t="inlineStr">
        <is>
          <t>B</t>
        </is>
      </c>
      <c r="K83" s="2" t="inlineStr">
        <is>
          <t>I immediately think I said something wrong. I start scanning every word trying to figure out what triggered it.</t>
        </is>
      </c>
      <c r="L83" s="2" t="n">
        <v>4</v>
      </c>
      <c r="M83" s="2" t="n">
        <v>5</v>
      </c>
      <c r="N83" s="2" t="n">
        <v>2</v>
      </c>
      <c r="O83" s="2" t="n">
        <v>2</v>
      </c>
      <c r="P83" s="2" t="n">
        <v>2</v>
      </c>
      <c r="Q83" s="2" t="inlineStr">
        <is>
          <t>Analyzer</t>
        </is>
      </c>
      <c r="R83" s="2" t="n">
        <v>2</v>
      </c>
      <c r="S83" s="2" t="n"/>
      <c r="T83" s="2" t="n"/>
      <c r="U83" s="2" t="n">
        <v>0</v>
      </c>
      <c r="V83" s="2" t="inlineStr">
        <is>
          <t>masc:1.4;fem:0.1</t>
        </is>
      </c>
      <c r="W83" s="2" t="n">
        <v>1.4</v>
      </c>
      <c r="X83" s="2" t="n">
        <v>0.1</v>
      </c>
      <c r="Y83" s="2" t="inlineStr">
        <is>
          <t>COMM_Logical</t>
        </is>
      </c>
      <c r="Z83" s="2" t="inlineStr">
        <is>
          <t>REG_SelfSoother</t>
        </is>
      </c>
      <c r="AA83" s="2" t="inlineStr">
        <is>
          <t>LANG_Service</t>
        </is>
      </c>
      <c r="AB83" s="2" t="inlineStr">
        <is>
          <t>Vulnerability_Loop</t>
        </is>
      </c>
      <c r="AC83" s="2" t="inlineStr">
        <is>
          <t>Vulnerability_Loop</t>
        </is>
      </c>
      <c r="AD83" s="2" t="n"/>
      <c r="AE83" s="2" t="n">
        <v>5</v>
      </c>
      <c r="AF83" s="2" t="inlineStr">
        <is>
          <t>inner spiral</t>
        </is>
      </c>
      <c r="AG83" s="2" t="inlineStr">
        <is>
          <t>self-blamer</t>
        </is>
      </c>
      <c r="AH83" s="2" t="n">
        <v>0</v>
      </c>
      <c r="AI83" s="2" t="inlineStr">
        <is>
          <t>yes</t>
        </is>
      </c>
      <c r="AJ83" s="2" t="inlineStr">
        <is>
          <t>no</t>
        </is>
      </c>
      <c r="AK83" s="2" t="inlineStr">
        <is>
          <t>yes</t>
        </is>
      </c>
      <c r="AL83" s="2" t="inlineStr">
        <is>
          <t>yes</t>
        </is>
      </c>
      <c r="AM83" s="2" t="n"/>
      <c r="AN83" s="2" t="n"/>
      <c r="AO83" s="2" t="n"/>
      <c r="AP83" s="2" t="inlineStr">
        <is>
          <t>v3_2026-03-19</t>
        </is>
      </c>
      <c r="AQ83">
        <f>(L83-Schema_v5!$C2)/(Schema_v5!$C3-Schema_v5!$C2)</f>
        <v/>
      </c>
      <c r="AR83">
        <f>(M83-Schema_v5!$C4)/(Schema_v5!$C5-Schema_v5!$C4)</f>
        <v/>
      </c>
      <c r="AS83">
        <f>N83/Schema_v5!$C6</f>
        <v/>
      </c>
      <c r="AT83">
        <f>O83/Schema_v5!$C7</f>
        <v/>
      </c>
      <c r="AU83">
        <f>P83/Schema_v5!$C8</f>
        <v/>
      </c>
      <c r="AV83">
        <f>IF(Schema_v5!$C9=0,0,AH83/Schema_v5!$C9)</f>
        <v/>
      </c>
      <c r="AW83">
        <f>IF(Schema_v5!$C10=0,0,AE83/Schema_v5!$C10)</f>
        <v/>
      </c>
      <c r="AX83">
        <f>(W83-Schema_v5!$C11)/(Schema_v5!$C12-Schema_v5!$C11)</f>
        <v/>
      </c>
      <c r="AY83">
        <f>(X83-Schema_v5!$C13)/(Schema_v5!$C14-Schema_v5!$C13)</f>
        <v/>
      </c>
    </row>
    <row r="84" ht="121.5" customHeight="1" s="10">
      <c r="A84" s="2" t="inlineStr">
        <is>
          <t>Q17_C</t>
        </is>
      </c>
      <c r="B84" s="2" t="n">
        <v>17</v>
      </c>
      <c r="C84" s="2" t="n">
        <v>17</v>
      </c>
      <c r="D84" s="2" t="inlineStr">
        <is>
          <t>Core</t>
        </is>
      </c>
      <c r="E84" s="2" t="n">
        <v>1.1</v>
      </c>
      <c r="F84" s="2" t="inlineStr">
        <is>
          <t>EmotionalRegulation</t>
        </is>
      </c>
      <c r="G84" s="2" t="inlineStr">
        <is>
          <t>AttachmentSafety</t>
        </is>
      </c>
      <c r="H84" s="2" t="n"/>
      <c r="I84" s="2" t="inlineStr">
        <is>
          <t>C</t>
        </is>
      </c>
      <c r="J84" s="2" t="inlineStr">
        <is>
          <t>C</t>
        </is>
      </c>
      <c r="K84" s="2" t="inlineStr">
        <is>
          <t>I'll ask once. If it's brushed off or ignored, I shift. I'm not the type to sit in someone else's silence for long.</t>
        </is>
      </c>
      <c r="L84" s="2" t="n">
        <v>9</v>
      </c>
      <c r="M84" s="2" t="n">
        <v>9</v>
      </c>
      <c r="N84" s="2" t="n">
        <v>10</v>
      </c>
      <c r="O84" s="2" t="n">
        <v>10</v>
      </c>
      <c r="P84" s="2" t="n">
        <v>10</v>
      </c>
      <c r="Q84" s="2" t="inlineStr">
        <is>
          <t>Regulated Grown-Up</t>
        </is>
      </c>
      <c r="R84" s="2" t="n">
        <v>9</v>
      </c>
      <c r="S84" s="2" t="n"/>
      <c r="T84" s="2" t="n"/>
      <c r="U84" s="2" t="n">
        <v>0</v>
      </c>
      <c r="V84" s="2" t="inlineStr">
        <is>
          <t>masc:1.1;fem:0.9</t>
        </is>
      </c>
      <c r="W84" s="2" t="n">
        <v>1.1</v>
      </c>
      <c r="X84" s="2" t="n">
        <v>0.9</v>
      </c>
      <c r="Y84" s="2" t="inlineStr">
        <is>
          <t>COMM_Direct</t>
        </is>
      </c>
      <c r="Z84" s="2" t="inlineStr">
        <is>
          <t>REG_CoRegulator</t>
        </is>
      </c>
      <c r="AA84" s="2" t="inlineStr">
        <is>
          <t>LANG_Words</t>
        </is>
      </c>
      <c r="AB84" s="2" t="n"/>
      <c r="AC84" s="2" t="n"/>
      <c r="AD84" s="2" t="n"/>
      <c r="AE84" s="2" t="n">
        <v>0</v>
      </c>
      <c r="AF84" s="2" t="inlineStr">
        <is>
          <t>direct with boundaries</t>
        </is>
      </c>
      <c r="AG84" s="2" t="inlineStr">
        <is>
          <t>firm line-setter</t>
        </is>
      </c>
      <c r="AH84" s="2" t="n">
        <v>0</v>
      </c>
      <c r="AI84" s="2" t="inlineStr">
        <is>
          <t>no</t>
        </is>
      </c>
      <c r="AJ84" s="2" t="inlineStr">
        <is>
          <t>no</t>
        </is>
      </c>
      <c r="AK84" s="2" t="inlineStr">
        <is>
          <t>yes</t>
        </is>
      </c>
      <c r="AL84" s="2" t="inlineStr">
        <is>
          <t>yes</t>
        </is>
      </c>
      <c r="AM84" s="2" t="n"/>
      <c r="AN84" s="2" t="n"/>
      <c r="AO84" s="2" t="n"/>
      <c r="AP84" s="2" t="inlineStr">
        <is>
          <t>v3_2026-03-19</t>
        </is>
      </c>
      <c r="AQ84">
        <f>(L84-Schema_v5!$C2)/(Schema_v5!$C3-Schema_v5!$C2)</f>
        <v/>
      </c>
      <c r="AR84">
        <f>(M84-Schema_v5!$C4)/(Schema_v5!$C5-Schema_v5!$C4)</f>
        <v/>
      </c>
      <c r="AS84">
        <f>N84/Schema_v5!$C6</f>
        <v/>
      </c>
      <c r="AT84">
        <f>O84/Schema_v5!$C7</f>
        <v/>
      </c>
      <c r="AU84">
        <f>P84/Schema_v5!$C8</f>
        <v/>
      </c>
      <c r="AV84">
        <f>IF(Schema_v5!$C9=0,0,AH84/Schema_v5!$C9)</f>
        <v/>
      </c>
      <c r="AW84">
        <f>IF(Schema_v5!$C10=0,0,AE84/Schema_v5!$C10)</f>
        <v/>
      </c>
      <c r="AX84">
        <f>(W84-Schema_v5!$C11)/(Schema_v5!$C12-Schema_v5!$C11)</f>
        <v/>
      </c>
      <c r="AY84">
        <f>(X84-Schema_v5!$C13)/(Schema_v5!$C14-Schema_v5!$C13)</f>
        <v/>
      </c>
    </row>
    <row r="85" ht="121.5" customHeight="1" s="10">
      <c r="A85" s="2" t="inlineStr">
        <is>
          <t>Q17_D</t>
        </is>
      </c>
      <c r="B85" s="2" t="n">
        <v>17</v>
      </c>
      <c r="C85" s="2" t="n">
        <v>17</v>
      </c>
      <c r="D85" s="2" t="inlineStr">
        <is>
          <t>Core</t>
        </is>
      </c>
      <c r="E85" s="2" t="n">
        <v>1.1</v>
      </c>
      <c r="F85" s="2" t="inlineStr">
        <is>
          <t>EmotionalRegulation</t>
        </is>
      </c>
      <c r="G85" s="2" t="inlineStr">
        <is>
          <t>AttachmentSafety</t>
        </is>
      </c>
      <c r="H85" s="2" t="n"/>
      <c r="I85" s="2" t="inlineStr">
        <is>
          <t>D</t>
        </is>
      </c>
      <c r="J85" s="2" t="inlineStr">
        <is>
          <t>D</t>
        </is>
      </c>
      <c r="K85" s="2" t="inlineStr">
        <is>
          <t>I try to keep the mood up, shift the subject, make it feel less tense, even if I'm freaking out a little inside.</t>
        </is>
      </c>
      <c r="L85" s="2" t="n">
        <v>6</v>
      </c>
      <c r="M85" s="2" t="n">
        <v>7</v>
      </c>
      <c r="N85" s="2" t="n">
        <v>4</v>
      </c>
      <c r="O85" s="2" t="n">
        <v>4</v>
      </c>
      <c r="P85" s="2" t="n">
        <v>2</v>
      </c>
      <c r="Q85" s="2" t="inlineStr">
        <is>
          <t>Performer</t>
        </is>
      </c>
      <c r="R85" s="2" t="n">
        <v>7</v>
      </c>
      <c r="S85" s="2" t="n"/>
      <c r="T85" s="2" t="n"/>
      <c r="U85" s="2" t="n">
        <v>0</v>
      </c>
      <c r="V85" s="2" t="inlineStr">
        <is>
          <t>masc:0.3;fem:0.5</t>
        </is>
      </c>
      <c r="W85" s="2" t="n">
        <v>0.3</v>
      </c>
      <c r="X85" s="2" t="n">
        <v>0.5</v>
      </c>
      <c r="Y85" s="2" t="inlineStr">
        <is>
          <t>COMM_Indirect</t>
        </is>
      </c>
      <c r="Z85" s="2" t="inlineStr">
        <is>
          <t>REG_Distractor</t>
        </is>
      </c>
      <c r="AA85" s="2" t="inlineStr">
        <is>
          <t>LANG_Gifts</t>
        </is>
      </c>
      <c r="AB85" s="2" t="inlineStr">
        <is>
          <t>Vulnerability_Loop</t>
        </is>
      </c>
      <c r="AC85" s="2" t="inlineStr">
        <is>
          <t>Vulnerability_Loop</t>
        </is>
      </c>
      <c r="AD85" s="2" t="n"/>
      <c r="AE85" s="2" t="n">
        <v>5</v>
      </c>
      <c r="AF85" s="2" t="inlineStr">
        <is>
          <t>smooth cover-up</t>
        </is>
      </c>
      <c r="AG85" s="2" t="inlineStr">
        <is>
          <t>tension diffuser</t>
        </is>
      </c>
      <c r="AH85" s="2" t="n">
        <v>0</v>
      </c>
      <c r="AI85" s="2" t="inlineStr">
        <is>
          <t>yes</t>
        </is>
      </c>
      <c r="AJ85" s="2" t="inlineStr">
        <is>
          <t>no</t>
        </is>
      </c>
      <c r="AK85" s="2" t="inlineStr">
        <is>
          <t>yes</t>
        </is>
      </c>
      <c r="AL85" s="2" t="inlineStr">
        <is>
          <t>yes</t>
        </is>
      </c>
      <c r="AM85" s="2" t="n"/>
      <c r="AN85" s="2" t="n"/>
      <c r="AO85" s="2" t="n"/>
      <c r="AP85" s="2" t="inlineStr">
        <is>
          <t>v3_2026-03-19</t>
        </is>
      </c>
      <c r="AQ85">
        <f>(L85-Schema_v5!$C2)/(Schema_v5!$C3-Schema_v5!$C2)</f>
        <v/>
      </c>
      <c r="AR85">
        <f>(M85-Schema_v5!$C4)/(Schema_v5!$C5-Schema_v5!$C4)</f>
        <v/>
      </c>
      <c r="AS85">
        <f>N85/Schema_v5!$C6</f>
        <v/>
      </c>
      <c r="AT85">
        <f>O85/Schema_v5!$C7</f>
        <v/>
      </c>
      <c r="AU85">
        <f>P85/Schema_v5!$C8</f>
        <v/>
      </c>
      <c r="AV85">
        <f>IF(Schema_v5!$C9=0,0,AH85/Schema_v5!$C9)</f>
        <v/>
      </c>
      <c r="AW85">
        <f>IF(Schema_v5!$C10=0,0,AE85/Schema_v5!$C10)</f>
        <v/>
      </c>
      <c r="AX85">
        <f>(W85-Schema_v5!$C11)/(Schema_v5!$C12-Schema_v5!$C11)</f>
        <v/>
      </c>
      <c r="AY85">
        <f>(X85-Schema_v5!$C13)/(Schema_v5!$C14-Schema_v5!$C13)</f>
        <v/>
      </c>
    </row>
    <row r="86" ht="108" customHeight="1" s="10">
      <c r="A86" s="2" t="inlineStr">
        <is>
          <t>Q17_E</t>
        </is>
      </c>
      <c r="B86" s="2" t="n">
        <v>17</v>
      </c>
      <c r="C86" s="2" t="n">
        <v>17</v>
      </c>
      <c r="D86" s="2" t="inlineStr">
        <is>
          <t>Core</t>
        </is>
      </c>
      <c r="E86" s="2" t="n">
        <v>1.1</v>
      </c>
      <c r="F86" s="2" t="inlineStr">
        <is>
          <t>EmotionalRegulation</t>
        </is>
      </c>
      <c r="G86" s="2" t="inlineStr">
        <is>
          <t>AttachmentSafety</t>
        </is>
      </c>
      <c r="H86" s="2" t="n"/>
      <c r="I86" s="2" t="inlineStr">
        <is>
          <t>E</t>
        </is>
      </c>
      <c r="J86" s="2" t="inlineStr">
        <is>
          <t>E</t>
        </is>
      </c>
      <c r="K86" s="2" t="inlineStr">
        <is>
          <t>I feel it, but I don't say anything. I stay present, hoping they'll come back to me on their own.</t>
        </is>
      </c>
      <c r="L86" s="2" t="n">
        <v>6</v>
      </c>
      <c r="M86" s="2" t="n">
        <v>6</v>
      </c>
      <c r="N86" s="2" t="n">
        <v>4</v>
      </c>
      <c r="O86" s="2" t="n">
        <v>4</v>
      </c>
      <c r="P86" s="2" t="n">
        <v>4</v>
      </c>
      <c r="Q86" s="2" t="inlineStr">
        <is>
          <t>Translator</t>
        </is>
      </c>
      <c r="R86" s="2" t="n">
        <v>3</v>
      </c>
      <c r="S86" s="2" t="n"/>
      <c r="T86" s="2" t="n"/>
      <c r="U86" s="2" t="n">
        <v>0</v>
      </c>
      <c r="V86" s="2" t="inlineStr">
        <is>
          <t>masc:-0.1;fem:1.6</t>
        </is>
      </c>
      <c r="W86" s="2" t="n">
        <v>-0.1</v>
      </c>
      <c r="X86" s="2" t="n">
        <v>1.6</v>
      </c>
      <c r="Y86" s="2" t="inlineStr">
        <is>
          <t>COMM_Indirect</t>
        </is>
      </c>
      <c r="Z86" s="2" t="inlineStr">
        <is>
          <t>REG_CoRegulator</t>
        </is>
      </c>
      <c r="AA86" s="2" t="inlineStr">
        <is>
          <t>LANG_Words</t>
        </is>
      </c>
      <c r="AB86" s="2" t="inlineStr">
        <is>
          <t>Vulnerability_Loop</t>
        </is>
      </c>
      <c r="AC86" s="2" t="inlineStr">
        <is>
          <t>Vulnerability_Loop</t>
        </is>
      </c>
      <c r="AD86" s="2" t="n"/>
      <c r="AE86" s="2" t="n">
        <v>5</v>
      </c>
      <c r="AF86" s="2" t="inlineStr">
        <is>
          <t>gentle waiter</t>
        </is>
      </c>
      <c r="AG86" s="2" t="inlineStr">
        <is>
          <t>silent holder</t>
        </is>
      </c>
      <c r="AH86" s="2" t="n">
        <v>0.6</v>
      </c>
      <c r="AI86" s="2" t="inlineStr">
        <is>
          <t>yes</t>
        </is>
      </c>
      <c r="AJ86" s="2" t="inlineStr">
        <is>
          <t>no</t>
        </is>
      </c>
      <c r="AK86" s="2" t="inlineStr">
        <is>
          <t>yes</t>
        </is>
      </c>
      <c r="AL86" s="2" t="inlineStr">
        <is>
          <t>yes</t>
        </is>
      </c>
      <c r="AM86" s="2" t="n"/>
      <c r="AN86" s="2" t="n"/>
      <c r="AO86" s="2" t="n"/>
      <c r="AP86" s="2" t="inlineStr">
        <is>
          <t>v3_2026-03-19</t>
        </is>
      </c>
      <c r="AQ86">
        <f>(L86-Schema_v5!$C2)/(Schema_v5!$C3-Schema_v5!$C2)</f>
        <v/>
      </c>
      <c r="AR86">
        <f>(M86-Schema_v5!$C4)/(Schema_v5!$C5-Schema_v5!$C4)</f>
        <v/>
      </c>
      <c r="AS86">
        <f>N86/Schema_v5!$C6</f>
        <v/>
      </c>
      <c r="AT86">
        <f>O86/Schema_v5!$C7</f>
        <v/>
      </c>
      <c r="AU86">
        <f>P86/Schema_v5!$C8</f>
        <v/>
      </c>
      <c r="AV86">
        <f>IF(Schema_v5!$C9=0,0,AH86/Schema_v5!$C9)</f>
        <v/>
      </c>
      <c r="AW86">
        <f>IF(Schema_v5!$C10=0,0,AE86/Schema_v5!$C10)</f>
        <v/>
      </c>
      <c r="AX86">
        <f>(W86-Schema_v5!$C11)/(Schema_v5!$C12-Schema_v5!$C11)</f>
        <v/>
      </c>
      <c r="AY86">
        <f>(X86-Schema_v5!$C13)/(Schema_v5!$C14-Schema_v5!$C13)</f>
        <v/>
      </c>
    </row>
    <row r="87" ht="148.5" customHeight="1" s="10">
      <c r="A87" s="2" t="inlineStr">
        <is>
          <t>Q18_A</t>
        </is>
      </c>
      <c r="B87" s="2" t="n">
        <v>18</v>
      </c>
      <c r="C87" s="2" t="n">
        <v>18</v>
      </c>
      <c r="D87" s="2" t="inlineStr">
        <is>
          <t>Core</t>
        </is>
      </c>
      <c r="E87" s="2" t="n">
        <v>1.1</v>
      </c>
      <c r="F87" s="2" t="inlineStr">
        <is>
          <t>EmotionalRegulation</t>
        </is>
      </c>
      <c r="G87" s="2" t="inlineStr">
        <is>
          <t>AttachmentSafety</t>
        </is>
      </c>
      <c r="H87" s="2" t="inlineStr">
        <is>
          <t>They open up to you-then start pulling back. No explanation, just distance. What do you do with that shift?</t>
        </is>
      </c>
      <c r="I87" s="2" t="inlineStr">
        <is>
          <t>A</t>
        </is>
      </c>
      <c r="J87" s="2" t="inlineStr">
        <is>
          <t>A</t>
        </is>
      </c>
      <c r="K87" s="2" t="inlineStr">
        <is>
          <t>I match the energy. You pull back? I pull back faster. I've learned not to chase clarity from people who hide when it gets real.</t>
        </is>
      </c>
      <c r="L87" s="2" t="n">
        <v>7</v>
      </c>
      <c r="M87" s="2" t="n">
        <v>8</v>
      </c>
      <c r="N87" s="2" t="n">
        <v>4</v>
      </c>
      <c r="O87" s="2" t="n">
        <v>4</v>
      </c>
      <c r="P87" s="2" t="n">
        <v>0</v>
      </c>
      <c r="Q87" s="2" t="inlineStr">
        <is>
          <t>Icebox</t>
        </is>
      </c>
      <c r="R87" s="2" t="n">
        <v>1</v>
      </c>
      <c r="S87" s="2" t="n"/>
      <c r="T87" s="2" t="n"/>
      <c r="U87" s="2" t="n">
        <v>0</v>
      </c>
      <c r="V87" s="2" t="inlineStr">
        <is>
          <t>masc:1.8;fem:-1.6</t>
        </is>
      </c>
      <c r="W87" s="2" t="n">
        <v>1.8</v>
      </c>
      <c r="X87" s="2" t="n">
        <v>-1.6</v>
      </c>
      <c r="Y87" s="2" t="inlineStr">
        <is>
          <t>COMM_Avoidant</t>
        </is>
      </c>
      <c r="Z87" s="2" t="inlineStr">
        <is>
          <t>REG_Suppressor</t>
        </is>
      </c>
      <c r="AA87" s="2" t="inlineStr">
        <is>
          <t>LANG_Time</t>
        </is>
      </c>
      <c r="AB87" s="2" t="n"/>
      <c r="AC87" s="2" t="n"/>
      <c r="AD87" s="2" t="n"/>
      <c r="AE87" s="2" t="n">
        <v>0</v>
      </c>
      <c r="AF87" s="2" t="inlineStr">
        <is>
          <t>fast mirror exit</t>
        </is>
      </c>
      <c r="AG87" s="2" t="inlineStr">
        <is>
          <t>decisive mirror</t>
        </is>
      </c>
      <c r="AH87" s="2" t="n">
        <v>0.8</v>
      </c>
      <c r="AI87" s="2" t="inlineStr">
        <is>
          <t>no</t>
        </is>
      </c>
      <c r="AJ87" s="2" t="inlineStr">
        <is>
          <t>no</t>
        </is>
      </c>
      <c r="AK87" s="2" t="inlineStr">
        <is>
          <t>yes</t>
        </is>
      </c>
      <c r="AL87" s="2" t="inlineStr">
        <is>
          <t>yes</t>
        </is>
      </c>
      <c r="AM87" s="2" t="n"/>
      <c r="AN87" s="2" t="n"/>
      <c r="AO87" s="2" t="n"/>
      <c r="AP87" s="2" t="inlineStr">
        <is>
          <t>v3_2026-03-19</t>
        </is>
      </c>
      <c r="AQ87">
        <f>(L87-Schema_v5!$C2)/(Schema_v5!$C3-Schema_v5!$C2)</f>
        <v/>
      </c>
      <c r="AR87">
        <f>(M87-Schema_v5!$C4)/(Schema_v5!$C5-Schema_v5!$C4)</f>
        <v/>
      </c>
      <c r="AS87">
        <f>N87/Schema_v5!$C6</f>
        <v/>
      </c>
      <c r="AT87">
        <f>O87/Schema_v5!$C7</f>
        <v/>
      </c>
      <c r="AU87">
        <f>P87/Schema_v5!$C8</f>
        <v/>
      </c>
      <c r="AV87">
        <f>IF(Schema_v5!$C9=0,0,AH87/Schema_v5!$C9)</f>
        <v/>
      </c>
      <c r="AW87">
        <f>IF(Schema_v5!$C10=0,0,AE87/Schema_v5!$C10)</f>
        <v/>
      </c>
      <c r="AX87">
        <f>(W87-Schema_v5!$C11)/(Schema_v5!$C12-Schema_v5!$C11)</f>
        <v/>
      </c>
      <c r="AY87">
        <f>(X87-Schema_v5!$C13)/(Schema_v5!$C14-Schema_v5!$C13)</f>
        <v/>
      </c>
    </row>
    <row r="88" ht="189" customHeight="1" s="10">
      <c r="A88" s="2" t="inlineStr">
        <is>
          <t>Q18_B</t>
        </is>
      </c>
      <c r="B88" s="2" t="n">
        <v>18</v>
      </c>
      <c r="C88" s="2" t="n">
        <v>18</v>
      </c>
      <c r="D88" s="2" t="inlineStr">
        <is>
          <t>Core</t>
        </is>
      </c>
      <c r="E88" s="2" t="n">
        <v>1.1</v>
      </c>
      <c r="F88" s="2" t="inlineStr">
        <is>
          <t>EmotionalRegulation</t>
        </is>
      </c>
      <c r="G88" s="2" t="inlineStr">
        <is>
          <t>AttachmentSafety</t>
        </is>
      </c>
      <c r="H88" s="2" t="n"/>
      <c r="I88" s="2" t="inlineStr">
        <is>
          <t>B</t>
        </is>
      </c>
      <c r="J88" s="2" t="inlineStr">
        <is>
          <t>B</t>
        </is>
      </c>
      <c r="K88" s="2" t="inlineStr">
        <is>
          <t>I start thinking I pushed too far. I replay the moment, wondering what I said that made them go quiet. It usually ends with me blaming myself.</t>
        </is>
      </c>
      <c r="L88" s="2" t="n">
        <v>4</v>
      </c>
      <c r="M88" s="2" t="n">
        <v>5</v>
      </c>
      <c r="N88" s="2" t="n">
        <v>2</v>
      </c>
      <c r="O88" s="2" t="n">
        <v>2</v>
      </c>
      <c r="P88" s="2" t="n">
        <v>2</v>
      </c>
      <c r="Q88" s="2" t="inlineStr">
        <is>
          <t>Analyzer</t>
        </is>
      </c>
      <c r="R88" s="2" t="n">
        <v>2</v>
      </c>
      <c r="S88" s="2" t="n"/>
      <c r="T88" s="2" t="n"/>
      <c r="U88" s="2" t="n">
        <v>0</v>
      </c>
      <c r="V88" s="2" t="inlineStr">
        <is>
          <t>masc:1.4;fem:0.1</t>
        </is>
      </c>
      <c r="W88" s="2" t="n">
        <v>1.4</v>
      </c>
      <c r="X88" s="2" t="n">
        <v>0.1</v>
      </c>
      <c r="Y88" s="2" t="inlineStr">
        <is>
          <t>COMM_Logical</t>
        </is>
      </c>
      <c r="Z88" s="2" t="inlineStr">
        <is>
          <t>REG_SelfSoother</t>
        </is>
      </c>
      <c r="AA88" s="2" t="inlineStr">
        <is>
          <t>LANG_Service</t>
        </is>
      </c>
      <c r="AB88" s="2" t="inlineStr">
        <is>
          <t>Vulnerability_Loop</t>
        </is>
      </c>
      <c r="AC88" s="2" t="inlineStr">
        <is>
          <t>Vulnerability_Loop</t>
        </is>
      </c>
      <c r="AD88" s="2" t="n"/>
      <c r="AE88" s="2" t="n">
        <v>5</v>
      </c>
      <c r="AF88" s="2" t="inlineStr">
        <is>
          <t>shame loop</t>
        </is>
      </c>
      <c r="AG88" s="2" t="inlineStr">
        <is>
          <t>self-blamer</t>
        </is>
      </c>
      <c r="AH88" s="2" t="n">
        <v>0</v>
      </c>
      <c r="AI88" s="2" t="inlineStr">
        <is>
          <t>yes</t>
        </is>
      </c>
      <c r="AJ88" s="2" t="inlineStr">
        <is>
          <t>no</t>
        </is>
      </c>
      <c r="AK88" s="2" t="inlineStr">
        <is>
          <t>yes</t>
        </is>
      </c>
      <c r="AL88" s="2" t="inlineStr">
        <is>
          <t>yes</t>
        </is>
      </c>
      <c r="AM88" s="2" t="n"/>
      <c r="AN88" s="2" t="n"/>
      <c r="AO88" s="2" t="n"/>
      <c r="AP88" s="2" t="inlineStr">
        <is>
          <t>v3_2026-03-19</t>
        </is>
      </c>
      <c r="AQ88">
        <f>(L88-Schema_v5!$C2)/(Schema_v5!$C3-Schema_v5!$C2)</f>
        <v/>
      </c>
      <c r="AR88">
        <f>(M88-Schema_v5!$C4)/(Schema_v5!$C5-Schema_v5!$C4)</f>
        <v/>
      </c>
      <c r="AS88">
        <f>N88/Schema_v5!$C6</f>
        <v/>
      </c>
      <c r="AT88">
        <f>O88/Schema_v5!$C7</f>
        <v/>
      </c>
      <c r="AU88">
        <f>P88/Schema_v5!$C8</f>
        <v/>
      </c>
      <c r="AV88">
        <f>IF(Schema_v5!$C9=0,0,AH88/Schema_v5!$C9)</f>
        <v/>
      </c>
      <c r="AW88">
        <f>IF(Schema_v5!$C10=0,0,AE88/Schema_v5!$C10)</f>
        <v/>
      </c>
      <c r="AX88">
        <f>(W88-Schema_v5!$C11)/(Schema_v5!$C12-Schema_v5!$C11)</f>
        <v/>
      </c>
      <c r="AY88">
        <f>(X88-Schema_v5!$C13)/(Schema_v5!$C14-Schema_v5!$C13)</f>
        <v/>
      </c>
    </row>
    <row r="89" ht="148.5" customHeight="1" s="10">
      <c r="A89" s="2" t="inlineStr">
        <is>
          <t>Q18_C</t>
        </is>
      </c>
      <c r="B89" s="2" t="n">
        <v>18</v>
      </c>
      <c r="C89" s="2" t="n">
        <v>18</v>
      </c>
      <c r="D89" s="2" t="inlineStr">
        <is>
          <t>Core</t>
        </is>
      </c>
      <c r="E89" s="2" t="n">
        <v>1.1</v>
      </c>
      <c r="F89" s="2" t="inlineStr">
        <is>
          <t>EmotionalRegulation</t>
        </is>
      </c>
      <c r="G89" s="2" t="inlineStr">
        <is>
          <t>AttachmentSafety</t>
        </is>
      </c>
      <c r="H89" s="2" t="n"/>
      <c r="I89" s="2" t="inlineStr">
        <is>
          <t>C</t>
        </is>
      </c>
      <c r="J89" s="2" t="inlineStr">
        <is>
          <t>C</t>
        </is>
      </c>
      <c r="K89" s="2" t="inlineStr">
        <is>
          <t>I wait. Sometimes people get scared when they feel seen, I don't want to add pressure, but I definitely notice the change.</t>
        </is>
      </c>
      <c r="L89" s="2" t="n">
        <v>7</v>
      </c>
      <c r="M89" s="2" t="n">
        <v>8</v>
      </c>
      <c r="N89" s="2" t="n">
        <v>6</v>
      </c>
      <c r="O89" s="2" t="n">
        <v>6</v>
      </c>
      <c r="P89" s="2" t="n">
        <v>4</v>
      </c>
      <c r="Q89" s="2" t="inlineStr">
        <is>
          <t>Romantic Idealist</t>
        </is>
      </c>
      <c r="R89" s="2" t="n">
        <v>6</v>
      </c>
      <c r="S89" s="2" t="n"/>
      <c r="T89" s="2" t="n"/>
      <c r="U89" s="2" t="n">
        <v>0</v>
      </c>
      <c r="V89" s="2" t="inlineStr">
        <is>
          <t>masc:-0.4;fem:1.5</t>
        </is>
      </c>
      <c r="W89" s="2" t="n">
        <v>-0.4</v>
      </c>
      <c r="X89" s="2" t="n">
        <v>1.5</v>
      </c>
      <c r="Y89" s="2" t="inlineStr">
        <is>
          <t>COMM_Emotional</t>
        </is>
      </c>
      <c r="Z89" s="2" t="inlineStr">
        <is>
          <t>REG_Distractor</t>
        </is>
      </c>
      <c r="AA89" s="2" t="inlineStr">
        <is>
          <t>LANG_Gifts</t>
        </is>
      </c>
      <c r="AB89" s="2" t="n"/>
      <c r="AC89" s="2" t="n"/>
      <c r="AD89" s="2" t="n"/>
      <c r="AE89" s="2" t="n">
        <v>0</v>
      </c>
      <c r="AF89" s="2" t="inlineStr">
        <is>
          <t>patient rationalizer</t>
        </is>
      </c>
      <c r="AG89" s="2" t="inlineStr">
        <is>
          <t>hopeful waiter</t>
        </is>
      </c>
      <c r="AH89" s="2" t="n">
        <v>0</v>
      </c>
      <c r="AI89" s="2" t="inlineStr">
        <is>
          <t>no</t>
        </is>
      </c>
      <c r="AJ89" s="2" t="inlineStr">
        <is>
          <t>no</t>
        </is>
      </c>
      <c r="AK89" s="2" t="inlineStr">
        <is>
          <t>yes</t>
        </is>
      </c>
      <c r="AL89" s="2" t="inlineStr">
        <is>
          <t>yes</t>
        </is>
      </c>
      <c r="AM89" s="2" t="n"/>
      <c r="AN89" s="2" t="n"/>
      <c r="AO89" s="2" t="n"/>
      <c r="AP89" s="2" t="inlineStr">
        <is>
          <t>v3_2026-03-19</t>
        </is>
      </c>
      <c r="AQ89">
        <f>(L89-Schema_v5!$C2)/(Schema_v5!$C3-Schema_v5!$C2)</f>
        <v/>
      </c>
      <c r="AR89">
        <f>(M89-Schema_v5!$C4)/(Schema_v5!$C5-Schema_v5!$C4)</f>
        <v/>
      </c>
      <c r="AS89">
        <f>N89/Schema_v5!$C6</f>
        <v/>
      </c>
      <c r="AT89">
        <f>O89/Schema_v5!$C7</f>
        <v/>
      </c>
      <c r="AU89">
        <f>P89/Schema_v5!$C8</f>
        <v/>
      </c>
      <c r="AV89">
        <f>IF(Schema_v5!$C9=0,0,AH89/Schema_v5!$C9)</f>
        <v/>
      </c>
      <c r="AW89">
        <f>IF(Schema_v5!$C10=0,0,AE89/Schema_v5!$C10)</f>
        <v/>
      </c>
      <c r="AX89">
        <f>(W89-Schema_v5!$C11)/(Schema_v5!$C12-Schema_v5!$C11)</f>
        <v/>
      </c>
      <c r="AY89">
        <f>(X89-Schema_v5!$C13)/(Schema_v5!$C14-Schema_v5!$C13)</f>
        <v/>
      </c>
    </row>
    <row r="90" ht="135" customHeight="1" s="10">
      <c r="A90" s="2" t="inlineStr">
        <is>
          <t>Q18_D</t>
        </is>
      </c>
      <c r="B90" s="2" t="n">
        <v>18</v>
      </c>
      <c r="C90" s="2" t="n">
        <v>18</v>
      </c>
      <c r="D90" s="2" t="inlineStr">
        <is>
          <t>Core</t>
        </is>
      </c>
      <c r="E90" s="2" t="n">
        <v>1.1</v>
      </c>
      <c r="F90" s="2" t="inlineStr">
        <is>
          <t>EmotionalRegulation</t>
        </is>
      </c>
      <c r="G90" s="2" t="inlineStr">
        <is>
          <t>AttachmentSafety</t>
        </is>
      </c>
      <c r="H90" s="2" t="n"/>
      <c r="I90" s="2" t="inlineStr">
        <is>
          <t>D</t>
        </is>
      </c>
      <c r="J90" s="2" t="inlineStr">
        <is>
          <t>D</t>
        </is>
      </c>
      <c r="K90" s="2" t="inlineStr">
        <is>
          <t>I go into fix-it mode. Check in more. Try to feel lighter, easier, more fun, anything to bring us back to how it felt before.</t>
        </is>
      </c>
      <c r="L90" s="2" t="n">
        <v>5</v>
      </c>
      <c r="M90" s="2" t="n">
        <v>6</v>
      </c>
      <c r="N90" s="2" t="n">
        <v>4</v>
      </c>
      <c r="O90" s="2" t="n">
        <v>4</v>
      </c>
      <c r="P90" s="2" t="n">
        <v>4</v>
      </c>
      <c r="Q90" s="2" t="inlineStr">
        <is>
          <t>Fixer</t>
        </is>
      </c>
      <c r="R90" s="2" t="n">
        <v>5</v>
      </c>
      <c r="S90" s="2" t="n"/>
      <c r="T90" s="2" t="n"/>
      <c r="U90" s="2" t="n">
        <v>0</v>
      </c>
      <c r="V90" s="2" t="inlineStr">
        <is>
          <t>masc:-0.4;fem:2.0</t>
        </is>
      </c>
      <c r="W90" s="2" t="n">
        <v>-0.4</v>
      </c>
      <c r="X90" s="2" t="n">
        <v>2</v>
      </c>
      <c r="Y90" s="2" t="inlineStr">
        <is>
          <t>COMM_Emotional</t>
        </is>
      </c>
      <c r="Z90" s="2" t="inlineStr">
        <is>
          <t>REG_CoRegulator</t>
        </is>
      </c>
      <c r="AA90" s="2" t="inlineStr">
        <is>
          <t>LANG_Service</t>
        </is>
      </c>
      <c r="AB90" s="2" t="inlineStr">
        <is>
          <t>Vulnerability_Loop</t>
        </is>
      </c>
      <c r="AC90" s="2" t="inlineStr">
        <is>
          <t>Vulnerability_Loop</t>
        </is>
      </c>
      <c r="AD90" s="2" t="n"/>
      <c r="AE90" s="2" t="n">
        <v>5</v>
      </c>
      <c r="AF90" s="2" t="inlineStr">
        <is>
          <t>emotional reset attempt</t>
        </is>
      </c>
      <c r="AG90" s="2" t="inlineStr">
        <is>
          <t>overcompensator</t>
        </is>
      </c>
      <c r="AH90" s="2" t="n">
        <v>0</v>
      </c>
      <c r="AI90" s="2" t="inlineStr">
        <is>
          <t>yes</t>
        </is>
      </c>
      <c r="AJ90" s="2" t="inlineStr">
        <is>
          <t>no</t>
        </is>
      </c>
      <c r="AK90" s="2" t="inlineStr">
        <is>
          <t>yes</t>
        </is>
      </c>
      <c r="AL90" s="2" t="inlineStr">
        <is>
          <t>yes</t>
        </is>
      </c>
      <c r="AM90" s="2" t="n"/>
      <c r="AN90" s="2" t="n"/>
      <c r="AO90" s="2" t="n"/>
      <c r="AP90" s="2" t="inlineStr">
        <is>
          <t>v3_2026-03-19</t>
        </is>
      </c>
      <c r="AQ90">
        <f>(L90-Schema_v5!$C2)/(Schema_v5!$C3-Schema_v5!$C2)</f>
        <v/>
      </c>
      <c r="AR90">
        <f>(M90-Schema_v5!$C4)/(Schema_v5!$C5-Schema_v5!$C4)</f>
        <v/>
      </c>
      <c r="AS90">
        <f>N90/Schema_v5!$C6</f>
        <v/>
      </c>
      <c r="AT90">
        <f>O90/Schema_v5!$C7</f>
        <v/>
      </c>
      <c r="AU90">
        <f>P90/Schema_v5!$C8</f>
        <v/>
      </c>
      <c r="AV90">
        <f>IF(Schema_v5!$C9=0,0,AH90/Schema_v5!$C9)</f>
        <v/>
      </c>
      <c r="AW90">
        <f>IF(Schema_v5!$C10=0,0,AE90/Schema_v5!$C10)</f>
        <v/>
      </c>
      <c r="AX90">
        <f>(W90-Schema_v5!$C11)/(Schema_v5!$C12-Schema_v5!$C11)</f>
        <v/>
      </c>
      <c r="AY90">
        <f>(X90-Schema_v5!$C13)/(Schema_v5!$C14-Schema_v5!$C13)</f>
        <v/>
      </c>
    </row>
    <row r="91" ht="135" customHeight="1" s="10">
      <c r="A91" s="2" t="inlineStr">
        <is>
          <t>Q18_E</t>
        </is>
      </c>
      <c r="B91" s="2" t="n">
        <v>18</v>
      </c>
      <c r="C91" s="2" t="n">
        <v>18</v>
      </c>
      <c r="D91" s="2" t="inlineStr">
        <is>
          <t>Core</t>
        </is>
      </c>
      <c r="E91" s="2" t="n">
        <v>1.1</v>
      </c>
      <c r="F91" s="2" t="inlineStr">
        <is>
          <t>EmotionalRegulation</t>
        </is>
      </c>
      <c r="G91" s="2" t="inlineStr">
        <is>
          <t>AttachmentSafety</t>
        </is>
      </c>
      <c r="H91" s="2" t="n"/>
      <c r="I91" s="2" t="inlineStr">
        <is>
          <t>E</t>
        </is>
      </c>
      <c r="J91" s="2" t="inlineStr">
        <is>
          <t>E</t>
        </is>
      </c>
      <c r="K91" s="2" t="inlineStr">
        <is>
          <t>I make myself busy. I don't ask, I don't chase. But I clock it. I'll still be polite, but they won't get the same version of me again.</t>
        </is>
      </c>
      <c r="L91" s="2" t="n">
        <v>7</v>
      </c>
      <c r="M91" s="2" t="n">
        <v>8</v>
      </c>
      <c r="N91" s="2" t="n">
        <v>4</v>
      </c>
      <c r="O91" s="2" t="n">
        <v>4</v>
      </c>
      <c r="P91" s="2" t="n">
        <v>0</v>
      </c>
      <c r="Q91" s="2" t="inlineStr">
        <is>
          <t>Quiet Exit</t>
        </is>
      </c>
      <c r="R91" s="2" t="n">
        <v>4</v>
      </c>
      <c r="S91" s="2" t="n"/>
      <c r="T91" s="2" t="n"/>
      <c r="U91" s="2" t="n">
        <v>0</v>
      </c>
      <c r="V91" s="2" t="inlineStr">
        <is>
          <t>masc:1.4;fem:-1.3</t>
        </is>
      </c>
      <c r="W91" s="2" t="n">
        <v>1.4</v>
      </c>
      <c r="X91" s="2" t="n">
        <v>-1.3</v>
      </c>
      <c r="Y91" s="2" t="inlineStr">
        <is>
          <t>COMM_Avoidant</t>
        </is>
      </c>
      <c r="Z91" s="2" t="inlineStr">
        <is>
          <t>REG_Suppressor</t>
        </is>
      </c>
      <c r="AA91" s="2" t="inlineStr">
        <is>
          <t>LANG_Time</t>
        </is>
      </c>
      <c r="AB91" s="2" t="n"/>
      <c r="AC91" s="2" t="n"/>
      <c r="AD91" s="2" t="n"/>
      <c r="AE91" s="2" t="n">
        <v>0</v>
      </c>
      <c r="AF91" s="2" t="inlineStr">
        <is>
          <t>soft lockdown</t>
        </is>
      </c>
      <c r="AG91" s="2" t="inlineStr">
        <is>
          <t>guarded exit</t>
        </is>
      </c>
      <c r="AH91" s="2" t="n">
        <v>0</v>
      </c>
      <c r="AI91" s="2" t="inlineStr">
        <is>
          <t>no</t>
        </is>
      </c>
      <c r="AJ91" s="2" t="inlineStr">
        <is>
          <t>no</t>
        </is>
      </c>
      <c r="AK91" s="2" t="inlineStr">
        <is>
          <t>yes</t>
        </is>
      </c>
      <c r="AL91" s="2" t="inlineStr">
        <is>
          <t>yes</t>
        </is>
      </c>
      <c r="AM91" s="2" t="n"/>
      <c r="AN91" s="2" t="n"/>
      <c r="AO91" s="2" t="n"/>
      <c r="AP91" s="2" t="inlineStr">
        <is>
          <t>v3_2026-03-19</t>
        </is>
      </c>
      <c r="AQ91">
        <f>(L91-Schema_v5!$C2)/(Schema_v5!$C3-Schema_v5!$C2)</f>
        <v/>
      </c>
      <c r="AR91">
        <f>(M91-Schema_v5!$C4)/(Schema_v5!$C5-Schema_v5!$C4)</f>
        <v/>
      </c>
      <c r="AS91">
        <f>N91/Schema_v5!$C6</f>
        <v/>
      </c>
      <c r="AT91">
        <f>O91/Schema_v5!$C7</f>
        <v/>
      </c>
      <c r="AU91">
        <f>P91/Schema_v5!$C8</f>
        <v/>
      </c>
      <c r="AV91">
        <f>IF(Schema_v5!$C9=0,0,AH91/Schema_v5!$C9)</f>
        <v/>
      </c>
      <c r="AW91">
        <f>IF(Schema_v5!$C10=0,0,AE91/Schema_v5!$C10)</f>
        <v/>
      </c>
      <c r="AX91">
        <f>(W91-Schema_v5!$C11)/(Schema_v5!$C12-Schema_v5!$C11)</f>
        <v/>
      </c>
      <c r="AY91">
        <f>(X91-Schema_v5!$C13)/(Schema_v5!$C14-Schema_v5!$C13)</f>
        <v/>
      </c>
    </row>
    <row r="92" ht="148.5" customHeight="1" s="10">
      <c r="A92" s="2" t="inlineStr">
        <is>
          <t>Q19_A</t>
        </is>
      </c>
      <c r="B92" s="2" t="n">
        <v>19</v>
      </c>
      <c r="C92" s="2" t="n">
        <v>19</v>
      </c>
      <c r="D92" s="2" t="inlineStr">
        <is>
          <t>Core</t>
        </is>
      </c>
      <c r="E92" s="2" t="n">
        <v>1.1</v>
      </c>
      <c r="F92" s="2" t="inlineStr">
        <is>
          <t>EmotionalRegulation</t>
        </is>
      </c>
      <c r="G92" s="2" t="inlineStr">
        <is>
          <t>AttachmentSafety</t>
        </is>
      </c>
      <c r="H92" s="2" t="inlineStr">
        <is>
          <t>You're starting to really like them. But they haven't asked much about you. How do you handle that imbalance?</t>
        </is>
      </c>
      <c r="I92" s="2" t="inlineStr">
        <is>
          <t>A</t>
        </is>
      </c>
      <c r="J92" s="2" t="inlineStr">
        <is>
          <t>A</t>
        </is>
      </c>
      <c r="K92" s="2" t="inlineStr">
        <is>
          <t>I clock it. If they're not curious, they're not serious. I don't make speeches, I just start pulling back and let them figure it out.</t>
        </is>
      </c>
      <c r="L92" s="2" t="n">
        <v>8</v>
      </c>
      <c r="M92" s="2" t="n">
        <v>9</v>
      </c>
      <c r="N92" s="2" t="n">
        <v>4</v>
      </c>
      <c r="O92" s="2" t="n">
        <v>6</v>
      </c>
      <c r="P92" s="2" t="n">
        <v>2</v>
      </c>
      <c r="Q92" s="2" t="inlineStr">
        <is>
          <t>Icebox</t>
        </is>
      </c>
      <c r="R92" s="2" t="n">
        <v>1</v>
      </c>
      <c r="S92" s="2" t="n"/>
      <c r="T92" s="2" t="n"/>
      <c r="U92" s="2" t="n">
        <v>0</v>
      </c>
      <c r="V92" s="2" t="inlineStr">
        <is>
          <t>masc:1.8;fem:-1.6</t>
        </is>
      </c>
      <c r="W92" s="2" t="n">
        <v>1.8</v>
      </c>
      <c r="X92" s="2" t="n">
        <v>-1.6</v>
      </c>
      <c r="Y92" s="2" t="inlineStr">
        <is>
          <t>COMM_Avoidant</t>
        </is>
      </c>
      <c r="Z92" s="2" t="inlineStr">
        <is>
          <t>REG_Suppressor</t>
        </is>
      </c>
      <c r="AA92" s="2" t="inlineStr">
        <is>
          <t>LANG_Time</t>
        </is>
      </c>
      <c r="AB92" s="2" t="n"/>
      <c r="AC92" s="2" t="n"/>
      <c r="AD92" s="2" t="n"/>
      <c r="AE92" s="2" t="n">
        <v>0</v>
      </c>
      <c r="AF92" s="2" t="inlineStr">
        <is>
          <t>quiet disengagement</t>
        </is>
      </c>
      <c r="AG92" s="2" t="inlineStr">
        <is>
          <t>measured pullback</t>
        </is>
      </c>
      <c r="AH92" s="2" t="n">
        <v>0</v>
      </c>
      <c r="AI92" s="2" t="inlineStr">
        <is>
          <t>no</t>
        </is>
      </c>
      <c r="AJ92" s="2" t="inlineStr">
        <is>
          <t>no</t>
        </is>
      </c>
      <c r="AK92" s="2" t="inlineStr">
        <is>
          <t>yes</t>
        </is>
      </c>
      <c r="AL92" s="2" t="inlineStr">
        <is>
          <t>yes</t>
        </is>
      </c>
      <c r="AM92" s="2" t="n"/>
      <c r="AN92" s="2" t="n"/>
      <c r="AO92" s="2" t="n"/>
      <c r="AP92" s="2" t="inlineStr">
        <is>
          <t>v3_2026-03-19</t>
        </is>
      </c>
      <c r="AQ92">
        <f>(L92-Schema_v5!$C2)/(Schema_v5!$C3-Schema_v5!$C2)</f>
        <v/>
      </c>
      <c r="AR92">
        <f>(M92-Schema_v5!$C4)/(Schema_v5!$C5-Schema_v5!$C4)</f>
        <v/>
      </c>
      <c r="AS92">
        <f>N92/Schema_v5!$C6</f>
        <v/>
      </c>
      <c r="AT92">
        <f>O92/Schema_v5!$C7</f>
        <v/>
      </c>
      <c r="AU92">
        <f>P92/Schema_v5!$C8</f>
        <v/>
      </c>
      <c r="AV92">
        <f>IF(Schema_v5!$C9=0,0,AH92/Schema_v5!$C9)</f>
        <v/>
      </c>
      <c r="AW92">
        <f>IF(Schema_v5!$C10=0,0,AE92/Schema_v5!$C10)</f>
        <v/>
      </c>
      <c r="AX92">
        <f>(W92-Schema_v5!$C11)/(Schema_v5!$C12-Schema_v5!$C11)</f>
        <v/>
      </c>
      <c r="AY92">
        <f>(X92-Schema_v5!$C13)/(Schema_v5!$C14-Schema_v5!$C13)</f>
        <v/>
      </c>
    </row>
    <row r="93" ht="135" customHeight="1" s="10">
      <c r="A93" s="2" t="inlineStr">
        <is>
          <t>Q19_B</t>
        </is>
      </c>
      <c r="B93" s="2" t="n">
        <v>19</v>
      </c>
      <c r="C93" s="2" t="n">
        <v>19</v>
      </c>
      <c r="D93" s="2" t="inlineStr">
        <is>
          <t>Core</t>
        </is>
      </c>
      <c r="E93" s="2" t="n">
        <v>1.1</v>
      </c>
      <c r="F93" s="2" t="inlineStr">
        <is>
          <t>EmotionalRegulation</t>
        </is>
      </c>
      <c r="G93" s="2" t="inlineStr">
        <is>
          <t>AttachmentSafety</t>
        </is>
      </c>
      <c r="H93" s="2" t="n"/>
      <c r="I93" s="2" t="inlineStr">
        <is>
          <t>B</t>
        </is>
      </c>
      <c r="J93" s="2" t="inlineStr">
        <is>
          <t>B</t>
        </is>
      </c>
      <c r="K93" s="2" t="inlineStr">
        <is>
          <t>I start telling little stories about myself anyway, hoping they'll finally ask more. When they don't, it stings more than I let on.</t>
        </is>
      </c>
      <c r="L93" s="2" t="n">
        <v>5</v>
      </c>
      <c r="M93" s="2" t="n">
        <v>6</v>
      </c>
      <c r="N93" s="2" t="n">
        <v>2</v>
      </c>
      <c r="O93" s="2" t="n">
        <v>2</v>
      </c>
      <c r="P93" s="2" t="n">
        <v>0</v>
      </c>
      <c r="Q93" s="2" t="inlineStr">
        <is>
          <t>Phantom Seeker</t>
        </is>
      </c>
      <c r="R93" s="2" t="n">
        <v>10</v>
      </c>
      <c r="S93" s="2" t="n"/>
      <c r="T93" s="2" t="n"/>
      <c r="U93" s="2" t="n">
        <v>0</v>
      </c>
      <c r="V93" s="2" t="inlineStr">
        <is>
          <t>masc:-0.2;fem:1.5</t>
        </is>
      </c>
      <c r="W93" s="2" t="n">
        <v>-0.2</v>
      </c>
      <c r="X93" s="2" t="n">
        <v>1.5</v>
      </c>
      <c r="Y93" s="2" t="inlineStr">
        <is>
          <t>COMM_Emotional</t>
        </is>
      </c>
      <c r="Z93" s="2" t="inlineStr">
        <is>
          <t>REG_SelfSoother</t>
        </is>
      </c>
      <c r="AA93" s="2" t="inlineStr">
        <is>
          <t>LANG_Touch</t>
        </is>
      </c>
      <c r="AB93" s="2" t="inlineStr">
        <is>
          <t>Scorekeeping_Echo</t>
        </is>
      </c>
      <c r="AC93" s="2" t="inlineStr">
        <is>
          <t>Scorekeeping_Echo</t>
        </is>
      </c>
      <c r="AD93" s="2" t="n"/>
      <c r="AE93" s="2" t="n">
        <v>8</v>
      </c>
      <c r="AF93" s="2" t="inlineStr">
        <is>
          <t>indirect yearning</t>
        </is>
      </c>
      <c r="AG93" s="2" t="inlineStr">
        <is>
          <t>subtle tester</t>
        </is>
      </c>
      <c r="AH93" s="2" t="n">
        <v>0.2</v>
      </c>
      <c r="AI93" s="2" t="inlineStr">
        <is>
          <t>yes</t>
        </is>
      </c>
      <c r="AJ93" s="2" t="inlineStr">
        <is>
          <t>no</t>
        </is>
      </c>
      <c r="AK93" s="2" t="inlineStr">
        <is>
          <t>yes</t>
        </is>
      </c>
      <c r="AL93" s="2" t="inlineStr">
        <is>
          <t>yes</t>
        </is>
      </c>
      <c r="AM93" s="2" t="n"/>
      <c r="AN93" s="2" t="n"/>
      <c r="AO93" s="2" t="n"/>
      <c r="AP93" s="2" t="inlineStr">
        <is>
          <t>v3_2026-03-19</t>
        </is>
      </c>
      <c r="AQ93">
        <f>(L93-Schema_v5!$C2)/(Schema_v5!$C3-Schema_v5!$C2)</f>
        <v/>
      </c>
      <c r="AR93">
        <f>(M93-Schema_v5!$C4)/(Schema_v5!$C5-Schema_v5!$C4)</f>
        <v/>
      </c>
      <c r="AS93">
        <f>N93/Schema_v5!$C6</f>
        <v/>
      </c>
      <c r="AT93">
        <f>O93/Schema_v5!$C7</f>
        <v/>
      </c>
      <c r="AU93">
        <f>P93/Schema_v5!$C8</f>
        <v/>
      </c>
      <c r="AV93">
        <f>IF(Schema_v5!$C9=0,0,AH93/Schema_v5!$C9)</f>
        <v/>
      </c>
      <c r="AW93">
        <f>IF(Schema_v5!$C10=0,0,AE93/Schema_v5!$C10)</f>
        <v/>
      </c>
      <c r="AX93">
        <f>(W93-Schema_v5!$C11)/(Schema_v5!$C12-Schema_v5!$C11)</f>
        <v/>
      </c>
      <c r="AY93">
        <f>(X93-Schema_v5!$C13)/(Schema_v5!$C14-Schema_v5!$C13)</f>
        <v/>
      </c>
    </row>
    <row r="94" ht="162" customHeight="1" s="10">
      <c r="A94" s="2" t="inlineStr">
        <is>
          <t>Q19_C</t>
        </is>
      </c>
      <c r="B94" s="2" t="n">
        <v>19</v>
      </c>
      <c r="C94" s="2" t="n">
        <v>19</v>
      </c>
      <c r="D94" s="2" t="inlineStr">
        <is>
          <t>Core</t>
        </is>
      </c>
      <c r="E94" s="2" t="n">
        <v>1.1</v>
      </c>
      <c r="F94" s="2" t="inlineStr">
        <is>
          <t>EmotionalRegulation</t>
        </is>
      </c>
      <c r="G94" s="2" t="inlineStr">
        <is>
          <t>AttachmentSafety</t>
        </is>
      </c>
      <c r="H94" s="2" t="n"/>
      <c r="I94" s="2" t="inlineStr">
        <is>
          <t>C</t>
        </is>
      </c>
      <c r="J94" s="2" t="inlineStr">
        <is>
          <t>C</t>
        </is>
      </c>
      <c r="K94" s="2" t="inlineStr">
        <is>
          <t>I keep the conversation going but note the pattern. If it keeps feeling one-sided, I stop investing. Curiosity should go both ways.</t>
        </is>
      </c>
      <c r="L94" s="2" t="n">
        <v>7</v>
      </c>
      <c r="M94" s="2" t="n">
        <v>8</v>
      </c>
      <c r="N94" s="2" t="n">
        <v>6</v>
      </c>
      <c r="O94" s="2" t="n">
        <v>8</v>
      </c>
      <c r="P94" s="2" t="n">
        <v>6</v>
      </c>
      <c r="Q94" s="2" t="inlineStr">
        <is>
          <t>Analyzer</t>
        </is>
      </c>
      <c r="R94" s="2" t="n">
        <v>2</v>
      </c>
      <c r="S94" s="2" t="n"/>
      <c r="T94" s="2" t="n"/>
      <c r="U94" s="2" t="n">
        <v>0</v>
      </c>
      <c r="V94" s="2" t="inlineStr">
        <is>
          <t>masc:1.4;fem:0.1</t>
        </is>
      </c>
      <c r="W94" s="2" t="n">
        <v>1.4</v>
      </c>
      <c r="X94" s="2" t="n">
        <v>0.1</v>
      </c>
      <c r="Y94" s="2" t="inlineStr">
        <is>
          <t>COMM_Logical</t>
        </is>
      </c>
      <c r="Z94" s="2" t="inlineStr">
        <is>
          <t>REG_SelfSoother</t>
        </is>
      </c>
      <c r="AA94" s="2" t="inlineStr">
        <is>
          <t>LANG_Service</t>
        </is>
      </c>
      <c r="AB94" s="2" t="n"/>
      <c r="AC94" s="2" t="n"/>
      <c r="AD94" s="2" t="n"/>
      <c r="AE94" s="2" t="n">
        <v>0</v>
      </c>
      <c r="AF94" s="2" t="inlineStr">
        <is>
          <t>measured monitoring</t>
        </is>
      </c>
      <c r="AG94" s="2" t="inlineStr">
        <is>
          <t>balanced assessor</t>
        </is>
      </c>
      <c r="AH94" s="2" t="n">
        <v>0</v>
      </c>
      <c r="AI94" s="2" t="inlineStr">
        <is>
          <t>no</t>
        </is>
      </c>
      <c r="AJ94" s="2" t="inlineStr">
        <is>
          <t>no</t>
        </is>
      </c>
      <c r="AK94" s="2" t="inlineStr">
        <is>
          <t>yes</t>
        </is>
      </c>
      <c r="AL94" s="2" t="inlineStr">
        <is>
          <t>yes</t>
        </is>
      </c>
      <c r="AM94" s="2" t="n"/>
      <c r="AN94" s="2" t="n"/>
      <c r="AO94" s="2" t="n"/>
      <c r="AP94" s="2" t="inlineStr">
        <is>
          <t>v3_2026-03-19</t>
        </is>
      </c>
      <c r="AQ94">
        <f>(L94-Schema_v5!$C2)/(Schema_v5!$C3-Schema_v5!$C2)</f>
        <v/>
      </c>
      <c r="AR94">
        <f>(M94-Schema_v5!$C4)/(Schema_v5!$C5-Schema_v5!$C4)</f>
        <v/>
      </c>
      <c r="AS94">
        <f>N94/Schema_v5!$C6</f>
        <v/>
      </c>
      <c r="AT94">
        <f>O94/Schema_v5!$C7</f>
        <v/>
      </c>
      <c r="AU94">
        <f>P94/Schema_v5!$C8</f>
        <v/>
      </c>
      <c r="AV94">
        <f>IF(Schema_v5!$C9=0,0,AH94/Schema_v5!$C9)</f>
        <v/>
      </c>
      <c r="AW94">
        <f>IF(Schema_v5!$C10=0,0,AE94/Schema_v5!$C10)</f>
        <v/>
      </c>
      <c r="AX94">
        <f>(W94-Schema_v5!$C11)/(Schema_v5!$C12-Schema_v5!$C11)</f>
        <v/>
      </c>
      <c r="AY94">
        <f>(X94-Schema_v5!$C13)/(Schema_v5!$C14-Schema_v5!$C13)</f>
        <v/>
      </c>
    </row>
    <row r="95" ht="148.5" customHeight="1" s="10">
      <c r="A95" s="2" t="inlineStr">
        <is>
          <t>Q19_D</t>
        </is>
      </c>
      <c r="B95" s="2" t="n">
        <v>19</v>
      </c>
      <c r="C95" s="2" t="n">
        <v>19</v>
      </c>
      <c r="D95" s="2" t="inlineStr">
        <is>
          <t>Core</t>
        </is>
      </c>
      <c r="E95" s="2" t="n">
        <v>1.1</v>
      </c>
      <c r="F95" s="2" t="inlineStr">
        <is>
          <t>EmotionalRegulation</t>
        </is>
      </c>
      <c r="G95" s="2" t="inlineStr">
        <is>
          <t>AttachmentSafety</t>
        </is>
      </c>
      <c r="H95" s="2" t="n"/>
      <c r="I95" s="2" t="inlineStr">
        <is>
          <t>D</t>
        </is>
      </c>
      <c r="J95" s="2" t="inlineStr">
        <is>
          <t>D</t>
        </is>
      </c>
      <c r="K95" s="2" t="inlineStr">
        <is>
          <t>I assume I'm just too much or not interesting enough. So I shrink a little. Try to be easier to be around, maybe then they'll lean in.</t>
        </is>
      </c>
      <c r="L95" s="2" t="n">
        <v>4</v>
      </c>
      <c r="M95" s="2" t="n">
        <v>5</v>
      </c>
      <c r="N95" s="2" t="n">
        <v>2</v>
      </c>
      <c r="O95" s="2" t="n">
        <v>2</v>
      </c>
      <c r="P95" s="2" t="n">
        <v>2</v>
      </c>
      <c r="Q95" s="2" t="inlineStr">
        <is>
          <t>Fixer</t>
        </is>
      </c>
      <c r="R95" s="2" t="n">
        <v>5</v>
      </c>
      <c r="S95" s="2" t="n"/>
      <c r="T95" s="2" t="n"/>
      <c r="U95" s="2" t="n">
        <v>0</v>
      </c>
      <c r="V95" s="2" t="inlineStr">
        <is>
          <t>masc:-0.4;fem:2.0</t>
        </is>
      </c>
      <c r="W95" s="2" t="n">
        <v>-0.4</v>
      </c>
      <c r="X95" s="2" t="n">
        <v>2</v>
      </c>
      <c r="Y95" s="2" t="inlineStr">
        <is>
          <t>COMM_Emotional</t>
        </is>
      </c>
      <c r="Z95" s="2" t="inlineStr">
        <is>
          <t>REG_CoRegulator</t>
        </is>
      </c>
      <c r="AA95" s="2" t="inlineStr">
        <is>
          <t>LANG_Service</t>
        </is>
      </c>
      <c r="AB95" s="2" t="inlineStr">
        <is>
          <t>Commitment_Ambiguity</t>
        </is>
      </c>
      <c r="AC95" s="2" t="inlineStr">
        <is>
          <t>Commitment_Ambiguity</t>
        </is>
      </c>
      <c r="AD95" s="2" t="n"/>
      <c r="AE95" s="2" t="n">
        <v>5</v>
      </c>
      <c r="AF95" s="2" t="inlineStr">
        <is>
          <t>self-dimming</t>
        </is>
      </c>
      <c r="AG95" s="2" t="inlineStr">
        <is>
          <t>self-minimizer</t>
        </is>
      </c>
      <c r="AH95" s="2" t="n">
        <v>0</v>
      </c>
      <c r="AI95" s="2" t="inlineStr">
        <is>
          <t>yes</t>
        </is>
      </c>
      <c r="AJ95" s="2" t="inlineStr">
        <is>
          <t>no</t>
        </is>
      </c>
      <c r="AK95" s="2" t="inlineStr">
        <is>
          <t>yes</t>
        </is>
      </c>
      <c r="AL95" s="2" t="inlineStr">
        <is>
          <t>yes</t>
        </is>
      </c>
      <c r="AM95" s="2" t="n"/>
      <c r="AN95" s="2" t="n"/>
      <c r="AO95" s="2" t="n"/>
      <c r="AP95" s="2" t="inlineStr">
        <is>
          <t>v3_2026-03-19</t>
        </is>
      </c>
      <c r="AQ95">
        <f>(L95-Schema_v5!$C2)/(Schema_v5!$C3-Schema_v5!$C2)</f>
        <v/>
      </c>
      <c r="AR95">
        <f>(M95-Schema_v5!$C4)/(Schema_v5!$C5-Schema_v5!$C4)</f>
        <v/>
      </c>
      <c r="AS95">
        <f>N95/Schema_v5!$C6</f>
        <v/>
      </c>
      <c r="AT95">
        <f>O95/Schema_v5!$C7</f>
        <v/>
      </c>
      <c r="AU95">
        <f>P95/Schema_v5!$C8</f>
        <v/>
      </c>
      <c r="AV95">
        <f>IF(Schema_v5!$C9=0,0,AH95/Schema_v5!$C9)</f>
        <v/>
      </c>
      <c r="AW95">
        <f>IF(Schema_v5!$C10=0,0,AE95/Schema_v5!$C10)</f>
        <v/>
      </c>
      <c r="AX95">
        <f>(W95-Schema_v5!$C11)/(Schema_v5!$C12-Schema_v5!$C11)</f>
        <v/>
      </c>
      <c r="AY95">
        <f>(X95-Schema_v5!$C13)/(Schema_v5!$C14-Schema_v5!$C13)</f>
        <v/>
      </c>
    </row>
    <row r="96" ht="135" customHeight="1" s="10">
      <c r="A96" s="2" t="inlineStr">
        <is>
          <t>Q19_E</t>
        </is>
      </c>
      <c r="B96" s="2" t="n">
        <v>19</v>
      </c>
      <c r="C96" s="2" t="n">
        <v>19</v>
      </c>
      <c r="D96" s="2" t="inlineStr">
        <is>
          <t>Core</t>
        </is>
      </c>
      <c r="E96" s="2" t="n">
        <v>1.1</v>
      </c>
      <c r="F96" s="2" t="inlineStr">
        <is>
          <t>EmotionalRegulation</t>
        </is>
      </c>
      <c r="G96" s="2" t="inlineStr">
        <is>
          <t>AttachmentSafety</t>
        </is>
      </c>
      <c r="H96" s="2" t="n"/>
      <c r="I96" s="2" t="inlineStr">
        <is>
          <t>E</t>
        </is>
      </c>
      <c r="J96" s="2" t="inlineStr">
        <is>
          <t>E</t>
        </is>
      </c>
      <c r="K96" s="2" t="inlineStr">
        <is>
          <t>If they're not asking, I stop sharing. It's not rejection, it's just proof they're not where I am. That tells me all I need to know.</t>
        </is>
      </c>
      <c r="L96" s="2" t="n">
        <v>9</v>
      </c>
      <c r="M96" s="2" t="n">
        <v>9</v>
      </c>
      <c r="N96" s="2" t="n">
        <v>10</v>
      </c>
      <c r="O96" s="2" t="n">
        <v>10</v>
      </c>
      <c r="P96" s="2" t="n">
        <v>10</v>
      </c>
      <c r="Q96" s="2" t="inlineStr">
        <is>
          <t>Regulated Grown-Up</t>
        </is>
      </c>
      <c r="R96" s="2" t="n">
        <v>9</v>
      </c>
      <c r="S96" s="2" t="n"/>
      <c r="T96" s="2" t="n"/>
      <c r="U96" s="2" t="n">
        <v>0</v>
      </c>
      <c r="V96" s="2" t="inlineStr">
        <is>
          <t>masc:1.1;fem:0.9</t>
        </is>
      </c>
      <c r="W96" s="2" t="n">
        <v>1.1</v>
      </c>
      <c r="X96" s="2" t="n">
        <v>0.9</v>
      </c>
      <c r="Y96" s="2" t="inlineStr">
        <is>
          <t>COMM_Direct</t>
        </is>
      </c>
      <c r="Z96" s="2" t="inlineStr">
        <is>
          <t>REG_CoRegulator</t>
        </is>
      </c>
      <c r="AA96" s="2" t="inlineStr">
        <is>
          <t>LANG_Words</t>
        </is>
      </c>
      <c r="AB96" s="2" t="n"/>
      <c r="AC96" s="2" t="n"/>
      <c r="AD96" s="2" t="n"/>
      <c r="AE96" s="2" t="n">
        <v>0</v>
      </c>
      <c r="AF96" s="2" t="inlineStr">
        <is>
          <t>blunt boundary recognition</t>
        </is>
      </c>
      <c r="AG96" s="2" t="inlineStr">
        <is>
          <t>decisive assessor</t>
        </is>
      </c>
      <c r="AH96" s="2" t="n">
        <v>0</v>
      </c>
      <c r="AI96" s="2" t="inlineStr">
        <is>
          <t>no</t>
        </is>
      </c>
      <c r="AJ96" s="2" t="inlineStr">
        <is>
          <t>no</t>
        </is>
      </c>
      <c r="AK96" s="2" t="inlineStr">
        <is>
          <t>yes</t>
        </is>
      </c>
      <c r="AL96" s="2" t="inlineStr">
        <is>
          <t>yes</t>
        </is>
      </c>
      <c r="AM96" s="2" t="n"/>
      <c r="AN96" s="2" t="n"/>
      <c r="AO96" s="2" t="n"/>
      <c r="AP96" s="2" t="inlineStr">
        <is>
          <t>v3_2026-03-19</t>
        </is>
      </c>
      <c r="AQ96">
        <f>(L96-Schema_v5!$C2)/(Schema_v5!$C3-Schema_v5!$C2)</f>
        <v/>
      </c>
      <c r="AR96">
        <f>(M96-Schema_v5!$C4)/(Schema_v5!$C5-Schema_v5!$C4)</f>
        <v/>
      </c>
      <c r="AS96">
        <f>N96/Schema_v5!$C6</f>
        <v/>
      </c>
      <c r="AT96">
        <f>O96/Schema_v5!$C7</f>
        <v/>
      </c>
      <c r="AU96">
        <f>P96/Schema_v5!$C8</f>
        <v/>
      </c>
      <c r="AV96">
        <f>IF(Schema_v5!$C9=0,0,AH96/Schema_v5!$C9)</f>
        <v/>
      </c>
      <c r="AW96">
        <f>IF(Schema_v5!$C10=0,0,AE96/Schema_v5!$C10)</f>
        <v/>
      </c>
      <c r="AX96">
        <f>(W96-Schema_v5!$C11)/(Schema_v5!$C12-Schema_v5!$C11)</f>
        <v/>
      </c>
      <c r="AY96">
        <f>(X96-Schema_v5!$C13)/(Schema_v5!$C14-Schema_v5!$C13)</f>
        <v/>
      </c>
    </row>
    <row r="97" ht="135" customHeight="1" s="10">
      <c r="A97" s="2" t="inlineStr">
        <is>
          <t>Q20_A</t>
        </is>
      </c>
      <c r="B97" s="2" t="n">
        <v>20</v>
      </c>
      <c r="C97" s="2" t="n">
        <v>20</v>
      </c>
      <c r="D97" s="2" t="inlineStr">
        <is>
          <t>Core</t>
        </is>
      </c>
      <c r="E97" s="2" t="n">
        <v>1.1</v>
      </c>
      <c r="F97" s="2" t="inlineStr">
        <is>
          <t>EmotionalRegulation</t>
        </is>
      </c>
      <c r="G97" s="2" t="inlineStr">
        <is>
          <t>AttachmentSafety</t>
        </is>
      </c>
      <c r="H97" s="2" t="inlineStr">
        <is>
          <t>They say they're "just not ready for anything serious," but keep texting, flirting, and staying close. What do you do with that?</t>
        </is>
      </c>
      <c r="I97" s="2" t="inlineStr">
        <is>
          <t>A</t>
        </is>
      </c>
      <c r="J97" s="2" t="inlineStr">
        <is>
          <t>A</t>
        </is>
      </c>
      <c r="K97" s="2" t="inlineStr">
        <is>
          <t>I don't chase maybes. If you're not ready, I'm not holding space hoping you'll get there. I move different after that.</t>
        </is>
      </c>
      <c r="L97" s="2" t="n">
        <v>9</v>
      </c>
      <c r="M97" s="2" t="n">
        <v>9</v>
      </c>
      <c r="N97" s="2" t="n">
        <v>10</v>
      </c>
      <c r="O97" s="2" t="n">
        <v>10</v>
      </c>
      <c r="P97" s="2" t="n">
        <v>10</v>
      </c>
      <c r="Q97" s="2" t="inlineStr">
        <is>
          <t>Regulated Grown-Up</t>
        </is>
      </c>
      <c r="R97" s="2" t="n">
        <v>9</v>
      </c>
      <c r="S97" s="2" t="n"/>
      <c r="T97" s="2" t="n"/>
      <c r="U97" s="2" t="n">
        <v>0</v>
      </c>
      <c r="V97" s="2" t="inlineStr">
        <is>
          <t>masc:1.1;fem:0.9</t>
        </is>
      </c>
      <c r="W97" s="2" t="n">
        <v>1.1</v>
      </c>
      <c r="X97" s="2" t="n">
        <v>0.9</v>
      </c>
      <c r="Y97" s="2" t="inlineStr">
        <is>
          <t>COMM_Direct</t>
        </is>
      </c>
      <c r="Z97" s="2" t="inlineStr">
        <is>
          <t>REG_CoRegulator</t>
        </is>
      </c>
      <c r="AA97" s="2" t="inlineStr">
        <is>
          <t>LANG_Words</t>
        </is>
      </c>
      <c r="AB97" s="2" t="n"/>
      <c r="AC97" s="2" t="n"/>
      <c r="AD97" s="2" t="n"/>
      <c r="AE97" s="2" t="n">
        <v>0</v>
      </c>
      <c r="AF97" s="2" t="inlineStr">
        <is>
          <t>emotional detachment with clarity</t>
        </is>
      </c>
      <c r="AG97" s="2" t="inlineStr">
        <is>
          <t>clean exit</t>
        </is>
      </c>
      <c r="AH97" s="2" t="n">
        <v>0.2</v>
      </c>
      <c r="AI97" s="2" t="inlineStr">
        <is>
          <t>no</t>
        </is>
      </c>
      <c r="AJ97" s="2" t="inlineStr">
        <is>
          <t>no</t>
        </is>
      </c>
      <c r="AK97" s="2" t="inlineStr">
        <is>
          <t>yes</t>
        </is>
      </c>
      <c r="AL97" s="2" t="inlineStr">
        <is>
          <t>yes</t>
        </is>
      </c>
      <c r="AM97" s="2" t="n"/>
      <c r="AN97" s="2" t="n"/>
      <c r="AO97" s="2" t="n"/>
      <c r="AP97" s="2" t="inlineStr">
        <is>
          <t>v3_2026-03-19</t>
        </is>
      </c>
      <c r="AQ97">
        <f>(L97-Schema_v5!$C2)/(Schema_v5!$C3-Schema_v5!$C2)</f>
        <v/>
      </c>
      <c r="AR97">
        <f>(M97-Schema_v5!$C4)/(Schema_v5!$C5-Schema_v5!$C4)</f>
        <v/>
      </c>
      <c r="AS97">
        <f>N97/Schema_v5!$C6</f>
        <v/>
      </c>
      <c r="AT97">
        <f>O97/Schema_v5!$C7</f>
        <v/>
      </c>
      <c r="AU97">
        <f>P97/Schema_v5!$C8</f>
        <v/>
      </c>
      <c r="AV97">
        <f>IF(Schema_v5!$C9=0,0,AH97/Schema_v5!$C9)</f>
        <v/>
      </c>
      <c r="AW97">
        <f>IF(Schema_v5!$C10=0,0,AE97/Schema_v5!$C10)</f>
        <v/>
      </c>
      <c r="AX97">
        <f>(W97-Schema_v5!$C11)/(Schema_v5!$C12-Schema_v5!$C11)</f>
        <v/>
      </c>
      <c r="AY97">
        <f>(X97-Schema_v5!$C13)/(Schema_v5!$C14-Schema_v5!$C13)</f>
        <v/>
      </c>
    </row>
    <row r="98" ht="135" customHeight="1" s="10">
      <c r="A98" s="2" t="inlineStr">
        <is>
          <t>Q20_B</t>
        </is>
      </c>
      <c r="B98" s="2" t="n">
        <v>20</v>
      </c>
      <c r="C98" s="2" t="n">
        <v>20</v>
      </c>
      <c r="D98" s="2" t="inlineStr">
        <is>
          <t>Core</t>
        </is>
      </c>
      <c r="E98" s="2" t="n">
        <v>1.1</v>
      </c>
      <c r="F98" s="2" t="inlineStr">
        <is>
          <t>EmotionalRegulation</t>
        </is>
      </c>
      <c r="G98" s="2" t="inlineStr">
        <is>
          <t>AttachmentSafety</t>
        </is>
      </c>
      <c r="H98" s="2" t="n"/>
      <c r="I98" s="2" t="inlineStr">
        <is>
          <t>B</t>
        </is>
      </c>
      <c r="J98" s="2" t="inlineStr">
        <is>
          <t>B</t>
        </is>
      </c>
      <c r="K98" s="2" t="inlineStr">
        <is>
          <t>I downplay what I want. I'd rather keep them close than scare them off. I tell myself maybe they'll change their mind.</t>
        </is>
      </c>
      <c r="L98" s="2" t="n">
        <v>4</v>
      </c>
      <c r="M98" s="2" t="n">
        <v>5</v>
      </c>
      <c r="N98" s="2" t="n">
        <v>0</v>
      </c>
      <c r="O98" s="2" t="n">
        <v>2</v>
      </c>
      <c r="P98" s="2" t="n">
        <v>0</v>
      </c>
      <c r="Q98" s="2" t="inlineStr">
        <is>
          <t>Phantom Seeker</t>
        </is>
      </c>
      <c r="R98" s="2" t="n">
        <v>10</v>
      </c>
      <c r="S98" s="2" t="n"/>
      <c r="T98" s="2" t="n"/>
      <c r="U98" s="2" t="n">
        <v>0</v>
      </c>
      <c r="V98" s="2" t="inlineStr">
        <is>
          <t>masc:-0.2;fem:1.5</t>
        </is>
      </c>
      <c r="W98" s="2" t="n">
        <v>-0.2</v>
      </c>
      <c r="X98" s="2" t="n">
        <v>1.5</v>
      </c>
      <c r="Y98" s="2" t="inlineStr">
        <is>
          <t>COMM_Emotional</t>
        </is>
      </c>
      <c r="Z98" s="2" t="inlineStr">
        <is>
          <t>REG_SelfSoother</t>
        </is>
      </c>
      <c r="AA98" s="2" t="inlineStr">
        <is>
          <t>LANG_Touch</t>
        </is>
      </c>
      <c r="AB98" s="2" t="inlineStr">
        <is>
          <t>Commitment_Ambiguity</t>
        </is>
      </c>
      <c r="AC98" s="2" t="inlineStr">
        <is>
          <t>Commitment_Ambiguity</t>
        </is>
      </c>
      <c r="AD98" s="2" t="n"/>
      <c r="AE98" s="2" t="n">
        <v>5</v>
      </c>
      <c r="AF98" s="2" t="inlineStr">
        <is>
          <t>self-silencing attachment</t>
        </is>
      </c>
      <c r="AG98" s="2" t="inlineStr">
        <is>
          <t>avoidant hope</t>
        </is>
      </c>
      <c r="AH98" s="2" t="n">
        <v>0.6</v>
      </c>
      <c r="AI98" s="2" t="inlineStr">
        <is>
          <t>yes</t>
        </is>
      </c>
      <c r="AJ98" s="2" t="inlineStr">
        <is>
          <t>no</t>
        </is>
      </c>
      <c r="AK98" s="2" t="inlineStr">
        <is>
          <t>yes</t>
        </is>
      </c>
      <c r="AL98" s="2" t="inlineStr">
        <is>
          <t>yes</t>
        </is>
      </c>
      <c r="AM98" s="2" t="n"/>
      <c r="AN98" s="2" t="n"/>
      <c r="AO98" s="2" t="n"/>
      <c r="AP98" s="2" t="inlineStr">
        <is>
          <t>v3_2026-03-19</t>
        </is>
      </c>
      <c r="AQ98">
        <f>(L98-Schema_v5!$C2)/(Schema_v5!$C3-Schema_v5!$C2)</f>
        <v/>
      </c>
      <c r="AR98">
        <f>(M98-Schema_v5!$C4)/(Schema_v5!$C5-Schema_v5!$C4)</f>
        <v/>
      </c>
      <c r="AS98">
        <f>N98/Schema_v5!$C6</f>
        <v/>
      </c>
      <c r="AT98">
        <f>O98/Schema_v5!$C7</f>
        <v/>
      </c>
      <c r="AU98">
        <f>P98/Schema_v5!$C8</f>
        <v/>
      </c>
      <c r="AV98">
        <f>IF(Schema_v5!$C9=0,0,AH98/Schema_v5!$C9)</f>
        <v/>
      </c>
      <c r="AW98">
        <f>IF(Schema_v5!$C10=0,0,AE98/Schema_v5!$C10)</f>
        <v/>
      </c>
      <c r="AX98">
        <f>(W98-Schema_v5!$C11)/(Schema_v5!$C12-Schema_v5!$C11)</f>
        <v/>
      </c>
      <c r="AY98">
        <f>(X98-Schema_v5!$C13)/(Schema_v5!$C14-Schema_v5!$C13)</f>
        <v/>
      </c>
    </row>
    <row r="99" ht="148.5" customHeight="1" s="10">
      <c r="A99" s="2" t="inlineStr">
        <is>
          <t>Q20_C</t>
        </is>
      </c>
      <c r="B99" s="2" t="n">
        <v>20</v>
      </c>
      <c r="C99" s="2" t="n">
        <v>20</v>
      </c>
      <c r="D99" s="2" t="inlineStr">
        <is>
          <t>Core</t>
        </is>
      </c>
      <c r="E99" s="2" t="n">
        <v>1.1</v>
      </c>
      <c r="F99" s="2" t="inlineStr">
        <is>
          <t>EmotionalRegulation</t>
        </is>
      </c>
      <c r="G99" s="2" t="inlineStr">
        <is>
          <t>AttachmentSafety</t>
        </is>
      </c>
      <c r="H99" s="2" t="n"/>
      <c r="I99" s="2" t="inlineStr">
        <is>
          <t>C</t>
        </is>
      </c>
      <c r="J99" s="2" t="inlineStr">
        <is>
          <t>C</t>
        </is>
      </c>
      <c r="K99" s="2" t="inlineStr">
        <is>
          <t>I lean into the attention while it's there, but I'm already preparing for them to dip. I know how this story ends, I just don't rush it.</t>
        </is>
      </c>
      <c r="L99" s="2" t="n">
        <v>6</v>
      </c>
      <c r="M99" s="2" t="n">
        <v>7</v>
      </c>
      <c r="N99" s="2" t="n">
        <v>2</v>
      </c>
      <c r="O99" s="2" t="n">
        <v>2</v>
      </c>
      <c r="P99" s="2" t="n">
        <v>0</v>
      </c>
      <c r="Q99" s="2" t="inlineStr">
        <is>
          <t>Icebox</t>
        </is>
      </c>
      <c r="R99" s="2" t="n">
        <v>1</v>
      </c>
      <c r="S99" s="2" t="n"/>
      <c r="T99" s="2" t="n"/>
      <c r="U99" s="2" t="n">
        <v>0</v>
      </c>
      <c r="V99" s="2" t="inlineStr">
        <is>
          <t>masc:1.8;fem:-1.6</t>
        </is>
      </c>
      <c r="W99" s="2" t="n">
        <v>1.8</v>
      </c>
      <c r="X99" s="2" t="n">
        <v>-1.6</v>
      </c>
      <c r="Y99" s="2" t="inlineStr">
        <is>
          <t>COMM_Avoidant</t>
        </is>
      </c>
      <c r="Z99" s="2" t="inlineStr">
        <is>
          <t>REG_Suppressor</t>
        </is>
      </c>
      <c r="AA99" s="2" t="inlineStr">
        <is>
          <t>LANG_Time</t>
        </is>
      </c>
      <c r="AB99" s="2" t="n"/>
      <c r="AC99" s="2" t="n"/>
      <c r="AD99" s="2" t="n"/>
      <c r="AE99" s="2" t="n">
        <v>0</v>
      </c>
      <c r="AF99" s="2" t="inlineStr">
        <is>
          <t>detached indulgence</t>
        </is>
      </c>
      <c r="AG99" s="2" t="inlineStr">
        <is>
          <t>slow detacher</t>
        </is>
      </c>
      <c r="AH99" s="2" t="n">
        <v>1.2</v>
      </c>
      <c r="AI99" s="2" t="inlineStr">
        <is>
          <t>no</t>
        </is>
      </c>
      <c r="AJ99" s="2" t="inlineStr">
        <is>
          <t>no</t>
        </is>
      </c>
      <c r="AK99" s="2" t="inlineStr">
        <is>
          <t>yes</t>
        </is>
      </c>
      <c r="AL99" s="2" t="inlineStr">
        <is>
          <t>yes</t>
        </is>
      </c>
      <c r="AM99" s="2" t="n"/>
      <c r="AN99" s="2" t="n"/>
      <c r="AO99" s="2" t="n"/>
      <c r="AP99" s="2" t="inlineStr">
        <is>
          <t>v3_2026-03-19</t>
        </is>
      </c>
      <c r="AQ99">
        <f>(L99-Schema_v5!$C2)/(Schema_v5!$C3-Schema_v5!$C2)</f>
        <v/>
      </c>
      <c r="AR99">
        <f>(M99-Schema_v5!$C4)/(Schema_v5!$C5-Schema_v5!$C4)</f>
        <v/>
      </c>
      <c r="AS99">
        <f>N99/Schema_v5!$C6</f>
        <v/>
      </c>
      <c r="AT99">
        <f>O99/Schema_v5!$C7</f>
        <v/>
      </c>
      <c r="AU99">
        <f>P99/Schema_v5!$C8</f>
        <v/>
      </c>
      <c r="AV99">
        <f>IF(Schema_v5!$C9=0,0,AH99/Schema_v5!$C9)</f>
        <v/>
      </c>
      <c r="AW99">
        <f>IF(Schema_v5!$C10=0,0,AE99/Schema_v5!$C10)</f>
        <v/>
      </c>
      <c r="AX99">
        <f>(W99-Schema_v5!$C11)/(Schema_v5!$C12-Schema_v5!$C11)</f>
        <v/>
      </c>
      <c r="AY99">
        <f>(X99-Schema_v5!$C13)/(Schema_v5!$C14-Schema_v5!$C13)</f>
        <v/>
      </c>
    </row>
    <row r="100" ht="148.5" customHeight="1" s="10">
      <c r="A100" s="2" t="inlineStr">
        <is>
          <t>Q20_D</t>
        </is>
      </c>
      <c r="B100" s="2" t="n">
        <v>20</v>
      </c>
      <c r="C100" s="2" t="n">
        <v>20</v>
      </c>
      <c r="D100" s="2" t="inlineStr">
        <is>
          <t>Core</t>
        </is>
      </c>
      <c r="E100" s="2" t="n">
        <v>1.1</v>
      </c>
      <c r="F100" s="2" t="inlineStr">
        <is>
          <t>EmotionalRegulation</t>
        </is>
      </c>
      <c r="G100" s="2" t="inlineStr">
        <is>
          <t>AttachmentSafety</t>
        </is>
      </c>
      <c r="H100" s="2" t="n"/>
      <c r="I100" s="2" t="inlineStr">
        <is>
          <t>D</t>
        </is>
      </c>
      <c r="J100" s="2" t="inlineStr">
        <is>
          <t>D</t>
        </is>
      </c>
      <c r="K100" s="2" t="inlineStr">
        <is>
          <t>I start fixing it in my head. Maybe if I give it time, make things feel safer, they'll realize what we have. It's not manipulation, it's belief.</t>
        </is>
      </c>
      <c r="L100" s="2" t="n">
        <v>5</v>
      </c>
      <c r="M100" s="2" t="n">
        <v>6</v>
      </c>
      <c r="N100" s="2" t="n">
        <v>4</v>
      </c>
      <c r="O100" s="2" t="n">
        <v>4</v>
      </c>
      <c r="P100" s="2" t="n">
        <v>4</v>
      </c>
      <c r="Q100" s="2" t="inlineStr">
        <is>
          <t>Fixer</t>
        </is>
      </c>
      <c r="R100" s="2" t="n">
        <v>5</v>
      </c>
      <c r="S100" s="2" t="n"/>
      <c r="T100" s="2" t="n"/>
      <c r="U100" s="2" t="n">
        <v>0</v>
      </c>
      <c r="V100" s="2" t="inlineStr">
        <is>
          <t>masc:-0.4;fem:2.0</t>
        </is>
      </c>
      <c r="W100" s="2" t="n">
        <v>-0.4</v>
      </c>
      <c r="X100" s="2" t="n">
        <v>2</v>
      </c>
      <c r="Y100" s="2" t="inlineStr">
        <is>
          <t>COMM_Emotional</t>
        </is>
      </c>
      <c r="Z100" s="2" t="inlineStr">
        <is>
          <t>REG_CoRegulator</t>
        </is>
      </c>
      <c r="AA100" s="2" t="inlineStr">
        <is>
          <t>LANG_Service</t>
        </is>
      </c>
      <c r="AB100" s="2" t="inlineStr">
        <is>
          <t>Commitment_Ambiguity</t>
        </is>
      </c>
      <c r="AC100" s="2" t="inlineStr">
        <is>
          <t>Commitment_Ambiguity</t>
        </is>
      </c>
      <c r="AD100" s="2" t="n"/>
      <c r="AE100" s="2" t="n">
        <v>5</v>
      </c>
      <c r="AF100" s="2" t="inlineStr">
        <is>
          <t>subtle persuasion loop</t>
        </is>
      </c>
      <c r="AG100" s="2" t="inlineStr">
        <is>
          <t>hopeful fixer</t>
        </is>
      </c>
      <c r="AH100" s="2" t="n">
        <v>0.2</v>
      </c>
      <c r="AI100" s="2" t="inlineStr">
        <is>
          <t>yes</t>
        </is>
      </c>
      <c r="AJ100" s="2" t="inlineStr">
        <is>
          <t>no</t>
        </is>
      </c>
      <c r="AK100" s="2" t="inlineStr">
        <is>
          <t>yes</t>
        </is>
      </c>
      <c r="AL100" s="2" t="inlineStr">
        <is>
          <t>yes</t>
        </is>
      </c>
      <c r="AM100" s="2" t="n"/>
      <c r="AN100" s="2" t="n"/>
      <c r="AO100" s="2" t="n"/>
      <c r="AP100" s="2" t="inlineStr">
        <is>
          <t>v3_2026-03-19</t>
        </is>
      </c>
      <c r="AQ100">
        <f>(L100-Schema_v5!$C2)/(Schema_v5!$C3-Schema_v5!$C2)</f>
        <v/>
      </c>
      <c r="AR100">
        <f>(M100-Schema_v5!$C4)/(Schema_v5!$C5-Schema_v5!$C4)</f>
        <v/>
      </c>
      <c r="AS100">
        <f>N100/Schema_v5!$C6</f>
        <v/>
      </c>
      <c r="AT100">
        <f>O100/Schema_v5!$C7</f>
        <v/>
      </c>
      <c r="AU100">
        <f>P100/Schema_v5!$C8</f>
        <v/>
      </c>
      <c r="AV100">
        <f>IF(Schema_v5!$C9=0,0,AH100/Schema_v5!$C9)</f>
        <v/>
      </c>
      <c r="AW100">
        <f>IF(Schema_v5!$C10=0,0,AE100/Schema_v5!$C10)</f>
        <v/>
      </c>
      <c r="AX100">
        <f>(W100-Schema_v5!$C11)/(Schema_v5!$C12-Schema_v5!$C11)</f>
        <v/>
      </c>
      <c r="AY100">
        <f>(X100-Schema_v5!$C13)/(Schema_v5!$C14-Schema_v5!$C13)</f>
        <v/>
      </c>
    </row>
    <row r="101" ht="135" customHeight="1" s="10">
      <c r="A101" s="2" t="inlineStr">
        <is>
          <t>Q20_E</t>
        </is>
      </c>
      <c r="B101" s="2" t="n">
        <v>20</v>
      </c>
      <c r="C101" s="2" t="n">
        <v>20</v>
      </c>
      <c r="D101" s="2" t="inlineStr">
        <is>
          <t>Core</t>
        </is>
      </c>
      <c r="E101" s="2" t="n">
        <v>1.1</v>
      </c>
      <c r="F101" s="2" t="inlineStr">
        <is>
          <t>EmotionalRegulation</t>
        </is>
      </c>
      <c r="G101" s="2" t="inlineStr">
        <is>
          <t>AttachmentSafety</t>
        </is>
      </c>
      <c r="H101" s="2" t="n"/>
      <c r="I101" s="2" t="inlineStr">
        <is>
          <t>E</t>
        </is>
      </c>
      <c r="J101" s="2" t="inlineStr">
        <is>
          <t>E</t>
        </is>
      </c>
      <c r="K101" s="2" t="inlineStr">
        <is>
          <t>I mirror it. You want casual? Cool. I can do that, until I don't. Just don't get mad when I stop answering like I used to.</t>
        </is>
      </c>
      <c r="L101" s="2" t="n">
        <v>7</v>
      </c>
      <c r="M101" s="2" t="n">
        <v>8</v>
      </c>
      <c r="N101" s="2" t="n">
        <v>4</v>
      </c>
      <c r="O101" s="2" t="n">
        <v>6</v>
      </c>
      <c r="P101" s="2" t="n">
        <v>2</v>
      </c>
      <c r="Q101" s="2" t="inlineStr">
        <is>
          <t>Performer</t>
        </is>
      </c>
      <c r="R101" s="2" t="n">
        <v>7</v>
      </c>
      <c r="S101" s="2" t="n"/>
      <c r="T101" s="2" t="n"/>
      <c r="U101" s="2" t="n">
        <v>0</v>
      </c>
      <c r="V101" s="2" t="inlineStr">
        <is>
          <t>masc:0.3;fem:0.5</t>
        </is>
      </c>
      <c r="W101" s="2" t="n">
        <v>0.3</v>
      </c>
      <c r="X101" s="2" t="n">
        <v>0.5</v>
      </c>
      <c r="Y101" s="2" t="inlineStr">
        <is>
          <t>COMM_Indirect</t>
        </is>
      </c>
      <c r="Z101" s="2" t="inlineStr">
        <is>
          <t>REG_Distractor</t>
        </is>
      </c>
      <c r="AA101" s="2" t="inlineStr">
        <is>
          <t>LANG_Gifts</t>
        </is>
      </c>
      <c r="AB101" s="2" t="n"/>
      <c r="AC101" s="2" t="n"/>
      <c r="AD101" s="2" t="n"/>
      <c r="AE101" s="2" t="n">
        <v>0</v>
      </c>
      <c r="AF101" s="2" t="inlineStr">
        <is>
          <t>cool mask hot clock</t>
        </is>
      </c>
      <c r="AG101" s="2" t="inlineStr">
        <is>
          <t>casual timer</t>
        </is>
      </c>
      <c r="AH101" s="2" t="n">
        <v>0.6</v>
      </c>
      <c r="AI101" s="2" t="inlineStr">
        <is>
          <t>no</t>
        </is>
      </c>
      <c r="AJ101" s="2" t="inlineStr">
        <is>
          <t>no</t>
        </is>
      </c>
      <c r="AK101" s="2" t="inlineStr">
        <is>
          <t>yes</t>
        </is>
      </c>
      <c r="AL101" s="2" t="inlineStr">
        <is>
          <t>yes</t>
        </is>
      </c>
      <c r="AM101" s="2" t="n"/>
      <c r="AN101" s="2" t="n"/>
      <c r="AO101" s="2" t="n"/>
      <c r="AP101" s="2" t="inlineStr">
        <is>
          <t>v3_2026-03-19</t>
        </is>
      </c>
      <c r="AQ101">
        <f>(L101-Schema_v5!$C2)/(Schema_v5!$C3-Schema_v5!$C2)</f>
        <v/>
      </c>
      <c r="AR101">
        <f>(M101-Schema_v5!$C4)/(Schema_v5!$C5-Schema_v5!$C4)</f>
        <v/>
      </c>
      <c r="AS101">
        <f>N101/Schema_v5!$C6</f>
        <v/>
      </c>
      <c r="AT101">
        <f>O101/Schema_v5!$C7</f>
        <v/>
      </c>
      <c r="AU101">
        <f>P101/Schema_v5!$C8</f>
        <v/>
      </c>
      <c r="AV101">
        <f>IF(Schema_v5!$C9=0,0,AH101/Schema_v5!$C9)</f>
        <v/>
      </c>
      <c r="AW101">
        <f>IF(Schema_v5!$C10=0,0,AE101/Schema_v5!$C10)</f>
        <v/>
      </c>
      <c r="AX101">
        <f>(W101-Schema_v5!$C11)/(Schema_v5!$C12-Schema_v5!$C11)</f>
        <v/>
      </c>
      <c r="AY101">
        <f>(X101-Schema_v5!$C13)/(Schema_v5!$C14-Schema_v5!$C13)</f>
        <v/>
      </c>
    </row>
    <row r="102" ht="108" customHeight="1" s="10">
      <c r="A102" s="2" t="inlineStr">
        <is>
          <t>Q21_A</t>
        </is>
      </c>
      <c r="B102" s="2" t="n">
        <v>21</v>
      </c>
      <c r="C102" s="2" t="n">
        <v>21</v>
      </c>
      <c r="D102" s="2" t="inlineStr">
        <is>
          <t>Core</t>
        </is>
      </c>
      <c r="E102" s="2" t="n">
        <v>1.1</v>
      </c>
      <c r="F102" s="2" t="inlineStr">
        <is>
          <t>EmotionalRegulation</t>
        </is>
      </c>
      <c r="G102" s="2" t="inlineStr">
        <is>
          <t>AttachmentSafety</t>
        </is>
      </c>
      <c r="H102" s="2" t="inlineStr">
        <is>
          <t>One day they're into you, then distant the next. How do you handle the mixed signals?</t>
        </is>
      </c>
      <c r="I102" s="2" t="inlineStr">
        <is>
          <t>A</t>
        </is>
      </c>
      <c r="J102" s="2" t="inlineStr">
        <is>
          <t>A</t>
        </is>
      </c>
      <c r="K102" s="2" t="inlineStr">
        <is>
          <t>If you're hot and cold, I'm room temperature and gone. I'm not here to decode moods.</t>
        </is>
      </c>
      <c r="L102" s="2" t="n">
        <v>9</v>
      </c>
      <c r="M102" s="2" t="n">
        <v>9</v>
      </c>
      <c r="N102" s="2" t="n">
        <v>10</v>
      </c>
      <c r="O102" s="2" t="n">
        <v>10</v>
      </c>
      <c r="P102" s="2" t="n">
        <v>10</v>
      </c>
      <c r="Q102" s="2" t="inlineStr">
        <is>
          <t>Regulated Grown-Up</t>
        </is>
      </c>
      <c r="R102" s="2" t="n">
        <v>9</v>
      </c>
      <c r="S102" s="2" t="n"/>
      <c r="T102" s="2" t="n"/>
      <c r="U102" s="2" t="n">
        <v>0</v>
      </c>
      <c r="V102" s="2" t="inlineStr">
        <is>
          <t>masc:1.1;fem:0.9</t>
        </is>
      </c>
      <c r="W102" s="2" t="n">
        <v>1.1</v>
      </c>
      <c r="X102" s="2" t="n">
        <v>0.9</v>
      </c>
      <c r="Y102" s="2" t="inlineStr">
        <is>
          <t>COMM_Direct</t>
        </is>
      </c>
      <c r="Z102" s="2" t="inlineStr">
        <is>
          <t>REG_CoRegulator</t>
        </is>
      </c>
      <c r="AA102" s="2" t="inlineStr">
        <is>
          <t>LANG_Words</t>
        </is>
      </c>
      <c r="AB102" s="2" t="n"/>
      <c r="AC102" s="2" t="n"/>
      <c r="AD102" s="2" t="n"/>
      <c r="AE102" s="2" t="n">
        <v>0</v>
      </c>
      <c r="AF102" s="2" t="inlineStr">
        <is>
          <t>blunt detachment</t>
        </is>
      </c>
      <c r="AG102" s="2" t="inlineStr">
        <is>
          <t>immediate cutoff</t>
        </is>
      </c>
      <c r="AH102" s="2" t="n">
        <v>1.2</v>
      </c>
      <c r="AI102" s="2" t="inlineStr">
        <is>
          <t>no</t>
        </is>
      </c>
      <c r="AJ102" s="2" t="inlineStr">
        <is>
          <t>no</t>
        </is>
      </c>
      <c r="AK102" s="2" t="inlineStr">
        <is>
          <t>yes</t>
        </is>
      </c>
      <c r="AL102" s="2" t="inlineStr">
        <is>
          <t>yes</t>
        </is>
      </c>
      <c r="AM102" s="2" t="n"/>
      <c r="AN102" s="2" t="n"/>
      <c r="AO102" s="2" t="n"/>
      <c r="AP102" s="2" t="inlineStr">
        <is>
          <t>v3_2026-03-19</t>
        </is>
      </c>
      <c r="AQ102">
        <f>(L102-Schema_v5!$C2)/(Schema_v5!$C3-Schema_v5!$C2)</f>
        <v/>
      </c>
      <c r="AR102">
        <f>(M102-Schema_v5!$C4)/(Schema_v5!$C5-Schema_v5!$C4)</f>
        <v/>
      </c>
      <c r="AS102">
        <f>N102/Schema_v5!$C6</f>
        <v/>
      </c>
      <c r="AT102">
        <f>O102/Schema_v5!$C7</f>
        <v/>
      </c>
      <c r="AU102">
        <f>P102/Schema_v5!$C8</f>
        <v/>
      </c>
      <c r="AV102">
        <f>IF(Schema_v5!$C9=0,0,AH102/Schema_v5!$C9)</f>
        <v/>
      </c>
      <c r="AW102">
        <f>IF(Schema_v5!$C10=0,0,AE102/Schema_v5!$C10)</f>
        <v/>
      </c>
      <c r="AX102">
        <f>(W102-Schema_v5!$C11)/(Schema_v5!$C12-Schema_v5!$C11)</f>
        <v/>
      </c>
      <c r="AY102">
        <f>(X102-Schema_v5!$C13)/(Schema_v5!$C14-Schema_v5!$C13)</f>
        <v/>
      </c>
    </row>
    <row r="103" ht="175.5" customHeight="1" s="10">
      <c r="A103" s="2" t="inlineStr">
        <is>
          <t>Q21_B</t>
        </is>
      </c>
      <c r="B103" s="2" t="n">
        <v>21</v>
      </c>
      <c r="C103" s="2" t="n">
        <v>21</v>
      </c>
      <c r="D103" s="2" t="inlineStr">
        <is>
          <t>Core</t>
        </is>
      </c>
      <c r="E103" s="2" t="n">
        <v>1.1</v>
      </c>
      <c r="F103" s="2" t="inlineStr">
        <is>
          <t>EmotionalRegulation</t>
        </is>
      </c>
      <c r="G103" s="2" t="inlineStr">
        <is>
          <t>AttachmentSafety</t>
        </is>
      </c>
      <c r="H103" s="2" t="n"/>
      <c r="I103" s="2" t="inlineStr">
        <is>
          <t>B</t>
        </is>
      </c>
      <c r="J103" s="2" t="inlineStr">
        <is>
          <t>B</t>
        </is>
      </c>
      <c r="K103" s="2" t="inlineStr">
        <is>
          <t>I recheck our last texts. Then I reread mine. Then I wonder if I should've said less, or more. I don't bring it up, but it definitely rewires how I respond.</t>
        </is>
      </c>
      <c r="L103" s="2" t="n">
        <v>5</v>
      </c>
      <c r="M103" s="2" t="n">
        <v>6</v>
      </c>
      <c r="N103" s="2" t="n">
        <v>4</v>
      </c>
      <c r="O103" s="2" t="n">
        <v>4</v>
      </c>
      <c r="P103" s="2" t="n">
        <v>2</v>
      </c>
      <c r="Q103" s="2" t="inlineStr">
        <is>
          <t>Analyzer</t>
        </is>
      </c>
      <c r="R103" s="2" t="n">
        <v>2</v>
      </c>
      <c r="S103" s="2" t="n"/>
      <c r="T103" s="2" t="n"/>
      <c r="U103" s="2" t="n">
        <v>0</v>
      </c>
      <c r="V103" s="2" t="inlineStr">
        <is>
          <t>masc:1.4;fem:0.1</t>
        </is>
      </c>
      <c r="W103" s="2" t="n">
        <v>1.4</v>
      </c>
      <c r="X103" s="2" t="n">
        <v>0.1</v>
      </c>
      <c r="Y103" s="2" t="inlineStr">
        <is>
          <t>COMM_Logical</t>
        </is>
      </c>
      <c r="Z103" s="2" t="inlineStr">
        <is>
          <t>REG_SelfSoother</t>
        </is>
      </c>
      <c r="AA103" s="2" t="inlineStr">
        <is>
          <t>LANG_Service</t>
        </is>
      </c>
      <c r="AB103" s="2" t="inlineStr">
        <is>
          <t>Trust_Tension</t>
        </is>
      </c>
      <c r="AC103" s="2" t="inlineStr">
        <is>
          <t>Trust_Tension</t>
        </is>
      </c>
      <c r="AD103" s="2" t="n"/>
      <c r="AE103" s="2" t="n">
        <v>6</v>
      </c>
      <c r="AF103" s="2" t="inlineStr">
        <is>
          <t>emotional spiral</t>
        </is>
      </c>
      <c r="AG103" s="2" t="inlineStr">
        <is>
          <t>overanalyzer</t>
        </is>
      </c>
      <c r="AH103" s="2" t="n">
        <v>0</v>
      </c>
      <c r="AI103" s="2" t="inlineStr">
        <is>
          <t>yes</t>
        </is>
      </c>
      <c r="AJ103" s="2" t="inlineStr">
        <is>
          <t>no</t>
        </is>
      </c>
      <c r="AK103" s="2" t="inlineStr">
        <is>
          <t>yes</t>
        </is>
      </c>
      <c r="AL103" s="2" t="inlineStr">
        <is>
          <t>yes</t>
        </is>
      </c>
      <c r="AM103" s="2" t="n"/>
      <c r="AN103" s="2" t="n"/>
      <c r="AO103" s="2" t="n"/>
      <c r="AP103" s="2" t="inlineStr">
        <is>
          <t>v3_2026-03-19</t>
        </is>
      </c>
      <c r="AQ103">
        <f>(L103-Schema_v5!$C2)/(Schema_v5!$C3-Schema_v5!$C2)</f>
        <v/>
      </c>
      <c r="AR103">
        <f>(M103-Schema_v5!$C4)/(Schema_v5!$C5-Schema_v5!$C4)</f>
        <v/>
      </c>
      <c r="AS103">
        <f>N103/Schema_v5!$C6</f>
        <v/>
      </c>
      <c r="AT103">
        <f>O103/Schema_v5!$C7</f>
        <v/>
      </c>
      <c r="AU103">
        <f>P103/Schema_v5!$C8</f>
        <v/>
      </c>
      <c r="AV103">
        <f>IF(Schema_v5!$C9=0,0,AH103/Schema_v5!$C9)</f>
        <v/>
      </c>
      <c r="AW103">
        <f>IF(Schema_v5!$C10=0,0,AE103/Schema_v5!$C10)</f>
        <v/>
      </c>
      <c r="AX103">
        <f>(W103-Schema_v5!$C11)/(Schema_v5!$C12-Schema_v5!$C11)</f>
        <v/>
      </c>
      <c r="AY103">
        <f>(X103-Schema_v5!$C13)/(Schema_v5!$C14-Schema_v5!$C13)</f>
        <v/>
      </c>
    </row>
    <row r="104" ht="121.5" customHeight="1" s="10">
      <c r="A104" s="2" t="inlineStr">
        <is>
          <t>Q21_C</t>
        </is>
      </c>
      <c r="B104" s="2" t="n">
        <v>21</v>
      </c>
      <c r="C104" s="2" t="n">
        <v>21</v>
      </c>
      <c r="D104" s="2" t="inlineStr">
        <is>
          <t>Core</t>
        </is>
      </c>
      <c r="E104" s="2" t="n">
        <v>1.1</v>
      </c>
      <c r="F104" s="2" t="inlineStr">
        <is>
          <t>EmotionalRegulation</t>
        </is>
      </c>
      <c r="G104" s="2" t="inlineStr">
        <is>
          <t>AttachmentSafety</t>
        </is>
      </c>
      <c r="H104" s="2" t="n"/>
      <c r="I104" s="2" t="inlineStr">
        <is>
          <t>C</t>
        </is>
      </c>
      <c r="J104" s="2" t="inlineStr">
        <is>
          <t>C</t>
        </is>
      </c>
      <c r="K104" s="2" t="inlineStr">
        <is>
          <t>I back off. They'll either notice or they won't. I'm not chasing people who don't know what they want.</t>
        </is>
      </c>
      <c r="L104" s="2" t="n">
        <v>4</v>
      </c>
      <c r="M104" s="2" t="n">
        <v>5</v>
      </c>
      <c r="N104" s="2" t="n">
        <v>0</v>
      </c>
      <c r="O104" s="2" t="n">
        <v>0</v>
      </c>
      <c r="P104" s="2" t="n">
        <v>0</v>
      </c>
      <c r="Q104" s="2" t="inlineStr">
        <is>
          <t>Icebox</t>
        </is>
      </c>
      <c r="R104" s="2" t="n">
        <v>1</v>
      </c>
      <c r="S104" s="2" t="n"/>
      <c r="T104" s="2" t="n"/>
      <c r="U104" s="2" t="n">
        <v>0</v>
      </c>
      <c r="V104" s="2" t="inlineStr">
        <is>
          <t>masc:1.8;fem:-1.6</t>
        </is>
      </c>
      <c r="W104" s="2" t="n">
        <v>1.8</v>
      </c>
      <c r="X104" s="2" t="n">
        <v>-1.6</v>
      </c>
      <c r="Y104" s="2" t="inlineStr">
        <is>
          <t>COMM_Avoidant</t>
        </is>
      </c>
      <c r="Z104" s="2" t="inlineStr">
        <is>
          <t>REG_Suppressor</t>
        </is>
      </c>
      <c r="AA104" s="2" t="inlineStr">
        <is>
          <t>LANG_Time</t>
        </is>
      </c>
      <c r="AB104" s="2" t="inlineStr">
        <is>
          <t>Vulnerability_Loop</t>
        </is>
      </c>
      <c r="AC104" s="2" t="inlineStr">
        <is>
          <t>Vulnerability_Loop</t>
        </is>
      </c>
      <c r="AD104" s="2" t="n"/>
      <c r="AE104" s="2" t="n">
        <v>5</v>
      </c>
      <c r="AF104" s="2" t="inlineStr">
        <is>
          <t>quiet burn</t>
        </is>
      </c>
      <c r="AG104" s="2" t="inlineStr">
        <is>
          <t>disengaged pullback</t>
        </is>
      </c>
      <c r="AH104" s="2" t="n">
        <v>0.6</v>
      </c>
      <c r="AI104" s="2" t="inlineStr">
        <is>
          <t>yes</t>
        </is>
      </c>
      <c r="AJ104" s="2" t="inlineStr">
        <is>
          <t>no</t>
        </is>
      </c>
      <c r="AK104" s="2" t="inlineStr">
        <is>
          <t>yes</t>
        </is>
      </c>
      <c r="AL104" s="2" t="inlineStr">
        <is>
          <t>yes</t>
        </is>
      </c>
      <c r="AM104" s="2" t="n"/>
      <c r="AN104" s="2" t="n"/>
      <c r="AO104" s="2" t="n"/>
      <c r="AP104" s="2" t="inlineStr">
        <is>
          <t>v3_2026-03-19</t>
        </is>
      </c>
      <c r="AQ104">
        <f>(L104-Schema_v5!$C2)/(Schema_v5!$C3-Schema_v5!$C2)</f>
        <v/>
      </c>
      <c r="AR104">
        <f>(M104-Schema_v5!$C4)/(Schema_v5!$C5-Schema_v5!$C4)</f>
        <v/>
      </c>
      <c r="AS104">
        <f>N104/Schema_v5!$C6</f>
        <v/>
      </c>
      <c r="AT104">
        <f>O104/Schema_v5!$C7</f>
        <v/>
      </c>
      <c r="AU104">
        <f>P104/Schema_v5!$C8</f>
        <v/>
      </c>
      <c r="AV104">
        <f>IF(Schema_v5!$C9=0,0,AH104/Schema_v5!$C9)</f>
        <v/>
      </c>
      <c r="AW104">
        <f>IF(Schema_v5!$C10=0,0,AE104/Schema_v5!$C10)</f>
        <v/>
      </c>
      <c r="AX104">
        <f>(W104-Schema_v5!$C11)/(Schema_v5!$C12-Schema_v5!$C11)</f>
        <v/>
      </c>
      <c r="AY104">
        <f>(X104-Schema_v5!$C13)/(Schema_v5!$C14-Schema_v5!$C13)</f>
        <v/>
      </c>
    </row>
    <row r="105" ht="148.5" customHeight="1" s="10">
      <c r="A105" s="2" t="inlineStr">
        <is>
          <t>Q21_D</t>
        </is>
      </c>
      <c r="B105" s="2" t="n">
        <v>21</v>
      </c>
      <c r="C105" s="2" t="n">
        <v>21</v>
      </c>
      <c r="D105" s="2" t="inlineStr">
        <is>
          <t>Core</t>
        </is>
      </c>
      <c r="E105" s="2" t="n">
        <v>1.1</v>
      </c>
      <c r="F105" s="2" t="inlineStr">
        <is>
          <t>EmotionalRegulation</t>
        </is>
      </c>
      <c r="G105" s="2" t="inlineStr">
        <is>
          <t>AttachmentSafety</t>
        </is>
      </c>
      <c r="H105" s="2" t="n"/>
      <c r="I105" s="2" t="inlineStr">
        <is>
          <t>D</t>
        </is>
      </c>
      <c r="J105" s="2" t="inlineStr">
        <is>
          <t>D</t>
        </is>
      </c>
      <c r="K105" s="2" t="inlineStr">
        <is>
          <t>I stop bringing things up. If they don't want me, I'm not going to beg to be understood. I've played that game before.</t>
        </is>
      </c>
      <c r="L105" s="2" t="n">
        <v>6</v>
      </c>
      <c r="M105" s="2" t="n">
        <v>7</v>
      </c>
      <c r="N105" s="2" t="n">
        <v>4</v>
      </c>
      <c r="O105" s="2" t="n">
        <v>4</v>
      </c>
      <c r="P105" s="2" t="n">
        <v>4</v>
      </c>
      <c r="Q105" s="2" t="inlineStr">
        <is>
          <t>Fixer</t>
        </is>
      </c>
      <c r="R105" s="2" t="n">
        <v>5</v>
      </c>
      <c r="S105" s="2" t="n"/>
      <c r="T105" s="2" t="n"/>
      <c r="U105" s="2" t="n">
        <v>0</v>
      </c>
      <c r="V105" s="2" t="inlineStr">
        <is>
          <t>masc:-0.4;fem:2.0</t>
        </is>
      </c>
      <c r="W105" s="2" t="n">
        <v>-0.4</v>
      </c>
      <c r="X105" s="2" t="n">
        <v>2</v>
      </c>
      <c r="Y105" s="2" t="inlineStr">
        <is>
          <t>COMM_Emotional</t>
        </is>
      </c>
      <c r="Z105" s="2" t="inlineStr">
        <is>
          <t>REG_CoRegulator</t>
        </is>
      </c>
      <c r="AA105" s="2" t="inlineStr">
        <is>
          <t>LANG_Service</t>
        </is>
      </c>
      <c r="AB105" s="2" t="inlineStr">
        <is>
          <t>Affection_Mismatch , Independence_Collision</t>
        </is>
      </c>
      <c r="AC105" s="2" t="inlineStr">
        <is>
          <t>Affection_Mismatch</t>
        </is>
      </c>
      <c r="AD105" s="2" t="inlineStr">
        <is>
          <t>Independence_Collision</t>
        </is>
      </c>
      <c r="AE105" s="2" t="n">
        <v>9</v>
      </c>
      <c r="AF105" s="2" t="inlineStr">
        <is>
          <t>resigned caregiver</t>
        </is>
      </c>
      <c r="AG105" s="2" t="inlineStr">
        <is>
          <t>silent surrender</t>
        </is>
      </c>
      <c r="AH105" s="2" t="n">
        <v>1.2</v>
      </c>
      <c r="AI105" s="2" t="inlineStr">
        <is>
          <t>yes</t>
        </is>
      </c>
      <c r="AJ105" s="2" t="inlineStr">
        <is>
          <t>no</t>
        </is>
      </c>
      <c r="AK105" s="2" t="inlineStr">
        <is>
          <t>yes</t>
        </is>
      </c>
      <c r="AL105" s="2" t="inlineStr">
        <is>
          <t>yes</t>
        </is>
      </c>
      <c r="AM105" s="2" t="n"/>
      <c r="AN105" s="2" t="n"/>
      <c r="AO105" s="2" t="n"/>
      <c r="AP105" s="2" t="inlineStr">
        <is>
          <t>v3_2026-03-19</t>
        </is>
      </c>
      <c r="AQ105">
        <f>(L105-Schema_v5!$C2)/(Schema_v5!$C3-Schema_v5!$C2)</f>
        <v/>
      </c>
      <c r="AR105">
        <f>(M105-Schema_v5!$C4)/(Schema_v5!$C5-Schema_v5!$C4)</f>
        <v/>
      </c>
      <c r="AS105">
        <f>N105/Schema_v5!$C6</f>
        <v/>
      </c>
      <c r="AT105">
        <f>O105/Schema_v5!$C7</f>
        <v/>
      </c>
      <c r="AU105">
        <f>P105/Schema_v5!$C8</f>
        <v/>
      </c>
      <c r="AV105">
        <f>IF(Schema_v5!$C9=0,0,AH105/Schema_v5!$C9)</f>
        <v/>
      </c>
      <c r="AW105">
        <f>IF(Schema_v5!$C10=0,0,AE105/Schema_v5!$C10)</f>
        <v/>
      </c>
      <c r="AX105">
        <f>(W105-Schema_v5!$C11)/(Schema_v5!$C12-Schema_v5!$C11)</f>
        <v/>
      </c>
      <c r="AY105">
        <f>(X105-Schema_v5!$C13)/(Schema_v5!$C14-Schema_v5!$C13)</f>
        <v/>
      </c>
    </row>
    <row r="106" ht="135" customHeight="1" s="10">
      <c r="A106" s="2" t="inlineStr">
        <is>
          <t>Q21_E</t>
        </is>
      </c>
      <c r="B106" s="2" t="n">
        <v>21</v>
      </c>
      <c r="C106" s="2" t="n">
        <v>21</v>
      </c>
      <c r="D106" s="2" t="inlineStr">
        <is>
          <t>Core</t>
        </is>
      </c>
      <c r="E106" s="2" t="n">
        <v>1.1</v>
      </c>
      <c r="F106" s="2" t="inlineStr">
        <is>
          <t>EmotionalRegulation</t>
        </is>
      </c>
      <c r="G106" s="2" t="inlineStr">
        <is>
          <t>AttachmentSafety</t>
        </is>
      </c>
      <c r="H106" s="2" t="n"/>
      <c r="I106" s="2" t="inlineStr">
        <is>
          <t>E</t>
        </is>
      </c>
      <c r="J106" s="2" t="inlineStr">
        <is>
          <t>E</t>
        </is>
      </c>
      <c r="K106" s="2" t="inlineStr">
        <is>
          <t>I tell myself it's probably just stress or a bad week. I don't want to give up too early, but it's hard not to notice when it shifts.</t>
        </is>
      </c>
      <c r="L106" s="2" t="n">
        <v>7</v>
      </c>
      <c r="M106" s="2" t="n">
        <v>8</v>
      </c>
      <c r="N106" s="2" t="n">
        <v>6</v>
      </c>
      <c r="O106" s="2" t="n">
        <v>6</v>
      </c>
      <c r="P106" s="2" t="n">
        <v>4</v>
      </c>
      <c r="Q106" s="2" t="inlineStr">
        <is>
          <t>Romantic Idealist</t>
        </is>
      </c>
      <c r="R106" s="2" t="n">
        <v>6</v>
      </c>
      <c r="S106" s="2" t="n"/>
      <c r="T106" s="2" t="n"/>
      <c r="U106" s="2" t="n">
        <v>0</v>
      </c>
      <c r="V106" s="2" t="inlineStr">
        <is>
          <t>masc:-0.4;fem:1.5</t>
        </is>
      </c>
      <c r="W106" s="2" t="n">
        <v>-0.4</v>
      </c>
      <c r="X106" s="2" t="n">
        <v>1.5</v>
      </c>
      <c r="Y106" s="2" t="inlineStr">
        <is>
          <t>COMM_Emotional</t>
        </is>
      </c>
      <c r="Z106" s="2" t="inlineStr">
        <is>
          <t>REG_Distractor</t>
        </is>
      </c>
      <c r="AA106" s="2" t="inlineStr">
        <is>
          <t>LANG_Gifts</t>
        </is>
      </c>
      <c r="AB106" s="2" t="n"/>
      <c r="AC106" s="2" t="n"/>
      <c r="AD106" s="2" t="n"/>
      <c r="AE106" s="2" t="n">
        <v>0</v>
      </c>
      <c r="AF106" s="2" t="inlineStr">
        <is>
          <t>tired hope</t>
        </is>
      </c>
      <c r="AG106" s="2" t="inlineStr">
        <is>
          <t>cautious optimist</t>
        </is>
      </c>
      <c r="AH106" s="2" t="n">
        <v>0</v>
      </c>
      <c r="AI106" s="2" t="inlineStr">
        <is>
          <t>no</t>
        </is>
      </c>
      <c r="AJ106" s="2" t="inlineStr">
        <is>
          <t>no</t>
        </is>
      </c>
      <c r="AK106" s="2" t="inlineStr">
        <is>
          <t>yes</t>
        </is>
      </c>
      <c r="AL106" s="2" t="inlineStr">
        <is>
          <t>yes</t>
        </is>
      </c>
      <c r="AM106" s="2" t="n"/>
      <c r="AN106" s="2" t="n"/>
      <c r="AO106" s="2" t="n"/>
      <c r="AP106" s="2" t="inlineStr">
        <is>
          <t>v3_2026-03-19</t>
        </is>
      </c>
      <c r="AQ106">
        <f>(L106-Schema_v5!$C2)/(Schema_v5!$C3-Schema_v5!$C2)</f>
        <v/>
      </c>
      <c r="AR106">
        <f>(M106-Schema_v5!$C4)/(Schema_v5!$C5-Schema_v5!$C4)</f>
        <v/>
      </c>
      <c r="AS106">
        <f>N106/Schema_v5!$C6</f>
        <v/>
      </c>
      <c r="AT106">
        <f>O106/Schema_v5!$C7</f>
        <v/>
      </c>
      <c r="AU106">
        <f>P106/Schema_v5!$C8</f>
        <v/>
      </c>
      <c r="AV106">
        <f>IF(Schema_v5!$C9=0,0,AH106/Schema_v5!$C9)</f>
        <v/>
      </c>
      <c r="AW106">
        <f>IF(Schema_v5!$C10=0,0,AE106/Schema_v5!$C10)</f>
        <v/>
      </c>
      <c r="AX106">
        <f>(W106-Schema_v5!$C11)/(Schema_v5!$C12-Schema_v5!$C11)</f>
        <v/>
      </c>
      <c r="AY106">
        <f>(X106-Schema_v5!$C13)/(Schema_v5!$C14-Schema_v5!$C13)</f>
        <v/>
      </c>
    </row>
    <row r="107" ht="94.5" customHeight="1" s="10">
      <c r="A107" s="2" t="inlineStr">
        <is>
          <t>Q22_A</t>
        </is>
      </c>
      <c r="B107" s="2" t="n">
        <v>22</v>
      </c>
      <c r="C107" s="2" t="n">
        <v>22</v>
      </c>
      <c r="D107" s="2" t="inlineStr">
        <is>
          <t>Core</t>
        </is>
      </c>
      <c r="E107" s="2" t="n">
        <v>1.1</v>
      </c>
      <c r="F107" s="2" t="inlineStr">
        <is>
          <t>EmotionalRegulation</t>
        </is>
      </c>
      <c r="G107" s="2" t="inlineStr">
        <is>
          <t>AttachmentSafety</t>
        </is>
      </c>
      <c r="H107" s="2" t="inlineStr">
        <is>
          <t>You're deep in conversation and they suddenly shut down or go quiet. What do you do next?</t>
        </is>
      </c>
      <c r="I107" s="2" t="inlineStr">
        <is>
          <t>A</t>
        </is>
      </c>
      <c r="J107" s="2" t="inlineStr">
        <is>
          <t>A</t>
        </is>
      </c>
      <c r="K107" s="2" t="inlineStr">
        <is>
          <t>I give them space. If they want to talk, they will. If not, I take the hint.</t>
        </is>
      </c>
      <c r="L107" s="2" t="n">
        <v>8</v>
      </c>
      <c r="M107" s="2" t="n">
        <v>8</v>
      </c>
      <c r="N107" s="2" t="n">
        <v>4</v>
      </c>
      <c r="O107" s="2" t="n">
        <v>4</v>
      </c>
      <c r="P107" s="2" t="n">
        <v>0</v>
      </c>
      <c r="Q107" s="2" t="inlineStr">
        <is>
          <t>Icebox</t>
        </is>
      </c>
      <c r="R107" s="2" t="n">
        <v>1</v>
      </c>
      <c r="S107" s="2" t="n"/>
      <c r="T107" s="2" t="n"/>
      <c r="U107" s="2" t="n">
        <v>0</v>
      </c>
      <c r="V107" s="2" t="inlineStr">
        <is>
          <t>masc:1.8;fem:-1.6</t>
        </is>
      </c>
      <c r="W107" s="2" t="n">
        <v>1.8</v>
      </c>
      <c r="X107" s="2" t="n">
        <v>-1.6</v>
      </c>
      <c r="Y107" s="2" t="inlineStr">
        <is>
          <t>COMM_Avoidant</t>
        </is>
      </c>
      <c r="Z107" s="2" t="inlineStr">
        <is>
          <t>REG_Suppressor</t>
        </is>
      </c>
      <c r="AA107" s="2" t="inlineStr">
        <is>
          <t>LANG_Time</t>
        </is>
      </c>
      <c r="AB107" s="2" t="n"/>
      <c r="AC107" s="2" t="n"/>
      <c r="AD107" s="2" t="n"/>
      <c r="AE107" s="2" t="n">
        <v>0</v>
      </c>
      <c r="AF107" s="2" t="inlineStr">
        <is>
          <t>detached cool</t>
        </is>
      </c>
      <c r="AG107" s="2" t="inlineStr">
        <is>
          <t>patient withdrawer</t>
        </is>
      </c>
      <c r="AH107" s="2" t="n">
        <v>1.2</v>
      </c>
      <c r="AI107" s="2" t="inlineStr">
        <is>
          <t>no</t>
        </is>
      </c>
      <c r="AJ107" s="2" t="inlineStr">
        <is>
          <t>no</t>
        </is>
      </c>
      <c r="AK107" s="2" t="inlineStr">
        <is>
          <t>yes</t>
        </is>
      </c>
      <c r="AL107" s="2" t="inlineStr">
        <is>
          <t>yes</t>
        </is>
      </c>
      <c r="AM107" s="2" t="n"/>
      <c r="AN107" s="2" t="n"/>
      <c r="AO107" s="2" t="n"/>
      <c r="AP107" s="2" t="inlineStr">
        <is>
          <t>v3_2026-03-19</t>
        </is>
      </c>
      <c r="AQ107">
        <f>(L107-Schema_v5!$C2)/(Schema_v5!$C3-Schema_v5!$C2)</f>
        <v/>
      </c>
      <c r="AR107">
        <f>(M107-Schema_v5!$C4)/(Schema_v5!$C5-Schema_v5!$C4)</f>
        <v/>
      </c>
      <c r="AS107">
        <f>N107/Schema_v5!$C6</f>
        <v/>
      </c>
      <c r="AT107">
        <f>O107/Schema_v5!$C7</f>
        <v/>
      </c>
      <c r="AU107">
        <f>P107/Schema_v5!$C8</f>
        <v/>
      </c>
      <c r="AV107">
        <f>IF(Schema_v5!$C9=0,0,AH107/Schema_v5!$C9)</f>
        <v/>
      </c>
      <c r="AW107">
        <f>IF(Schema_v5!$C10=0,0,AE107/Schema_v5!$C10)</f>
        <v/>
      </c>
      <c r="AX107">
        <f>(W107-Schema_v5!$C11)/(Schema_v5!$C12-Schema_v5!$C11)</f>
        <v/>
      </c>
      <c r="AY107">
        <f>(X107-Schema_v5!$C13)/(Schema_v5!$C14-Schema_v5!$C13)</f>
        <v/>
      </c>
    </row>
    <row r="108" ht="135" customHeight="1" s="10">
      <c r="A108" s="2" t="inlineStr">
        <is>
          <t>Q22_B</t>
        </is>
      </c>
      <c r="B108" s="2" t="n">
        <v>22</v>
      </c>
      <c r="C108" s="2" t="n">
        <v>22</v>
      </c>
      <c r="D108" s="2" t="inlineStr">
        <is>
          <t>Core</t>
        </is>
      </c>
      <c r="E108" s="2" t="n">
        <v>1.1</v>
      </c>
      <c r="F108" s="2" t="inlineStr">
        <is>
          <t>EmotionalRegulation</t>
        </is>
      </c>
      <c r="G108" s="2" t="inlineStr">
        <is>
          <t>AttachmentSafety</t>
        </is>
      </c>
      <c r="H108" s="2" t="n"/>
      <c r="I108" s="2" t="inlineStr">
        <is>
          <t>B</t>
        </is>
      </c>
      <c r="J108" s="2" t="inlineStr">
        <is>
          <t>B</t>
        </is>
      </c>
      <c r="K108" s="2" t="inlineStr">
        <is>
          <t>I immediately think I said something wrong. I start scanning every word trying to figure out what triggered it.</t>
        </is>
      </c>
      <c r="L108" s="2" t="n">
        <v>4</v>
      </c>
      <c r="M108" s="2" t="n">
        <v>5</v>
      </c>
      <c r="N108" s="2" t="n">
        <v>2</v>
      </c>
      <c r="O108" s="2" t="n">
        <v>2</v>
      </c>
      <c r="P108" s="2" t="n">
        <v>2</v>
      </c>
      <c r="Q108" s="2" t="inlineStr">
        <is>
          <t>Analyzer</t>
        </is>
      </c>
      <c r="R108" s="2" t="n">
        <v>2</v>
      </c>
      <c r="S108" s="2" t="n"/>
      <c r="T108" s="2" t="n"/>
      <c r="U108" s="2" t="n">
        <v>0</v>
      </c>
      <c r="V108" s="2" t="inlineStr">
        <is>
          <t>masc:1.4;fem:0.1</t>
        </is>
      </c>
      <c r="W108" s="2" t="n">
        <v>1.4</v>
      </c>
      <c r="X108" s="2" t="n">
        <v>0.1</v>
      </c>
      <c r="Y108" s="2" t="inlineStr">
        <is>
          <t>COMM_Logical</t>
        </is>
      </c>
      <c r="Z108" s="2" t="inlineStr">
        <is>
          <t>REG_SelfSoother</t>
        </is>
      </c>
      <c r="AA108" s="2" t="inlineStr">
        <is>
          <t>LANG_Service</t>
        </is>
      </c>
      <c r="AB108" s="2" t="inlineStr">
        <is>
          <t>Vulnerability_Loop</t>
        </is>
      </c>
      <c r="AC108" s="2" t="inlineStr">
        <is>
          <t>Vulnerability_Loop</t>
        </is>
      </c>
      <c r="AD108" s="2" t="n"/>
      <c r="AE108" s="2" t="n">
        <v>5</v>
      </c>
      <c r="AF108" s="2" t="inlineStr">
        <is>
          <t>inner spiral</t>
        </is>
      </c>
      <c r="AG108" s="2" t="inlineStr">
        <is>
          <t>self-blamer</t>
        </is>
      </c>
      <c r="AH108" s="2" t="n">
        <v>0</v>
      </c>
      <c r="AI108" s="2" t="inlineStr">
        <is>
          <t>yes</t>
        </is>
      </c>
      <c r="AJ108" s="2" t="inlineStr">
        <is>
          <t>no</t>
        </is>
      </c>
      <c r="AK108" s="2" t="inlineStr">
        <is>
          <t>yes</t>
        </is>
      </c>
      <c r="AL108" s="2" t="inlineStr">
        <is>
          <t>yes</t>
        </is>
      </c>
      <c r="AM108" s="2" t="n"/>
      <c r="AN108" s="2" t="n"/>
      <c r="AO108" s="2" t="n"/>
      <c r="AP108" s="2" t="inlineStr">
        <is>
          <t>v3_2026-03-19</t>
        </is>
      </c>
      <c r="AQ108">
        <f>(L108-Schema_v5!$C2)/(Schema_v5!$C3-Schema_v5!$C2)</f>
        <v/>
      </c>
      <c r="AR108">
        <f>(M108-Schema_v5!$C4)/(Schema_v5!$C5-Schema_v5!$C4)</f>
        <v/>
      </c>
      <c r="AS108">
        <f>N108/Schema_v5!$C6</f>
        <v/>
      </c>
      <c r="AT108">
        <f>O108/Schema_v5!$C7</f>
        <v/>
      </c>
      <c r="AU108">
        <f>P108/Schema_v5!$C8</f>
        <v/>
      </c>
      <c r="AV108">
        <f>IF(Schema_v5!$C9=0,0,AH108/Schema_v5!$C9)</f>
        <v/>
      </c>
      <c r="AW108">
        <f>IF(Schema_v5!$C10=0,0,AE108/Schema_v5!$C10)</f>
        <v/>
      </c>
      <c r="AX108">
        <f>(W108-Schema_v5!$C11)/(Schema_v5!$C12-Schema_v5!$C11)</f>
        <v/>
      </c>
      <c r="AY108">
        <f>(X108-Schema_v5!$C13)/(Schema_v5!$C14-Schema_v5!$C13)</f>
        <v/>
      </c>
    </row>
    <row r="109" ht="121.5" customHeight="1" s="10">
      <c r="A109" s="2" t="inlineStr">
        <is>
          <t>Q22_C</t>
        </is>
      </c>
      <c r="B109" s="2" t="n">
        <v>22</v>
      </c>
      <c r="C109" s="2" t="n">
        <v>22</v>
      </c>
      <c r="D109" s="2" t="inlineStr">
        <is>
          <t>Core</t>
        </is>
      </c>
      <c r="E109" s="2" t="n">
        <v>1.1</v>
      </c>
      <c r="F109" s="2" t="inlineStr">
        <is>
          <t>EmotionalRegulation</t>
        </is>
      </c>
      <c r="G109" s="2" t="inlineStr">
        <is>
          <t>AttachmentSafety</t>
        </is>
      </c>
      <c r="H109" s="2" t="n"/>
      <c r="I109" s="2" t="inlineStr">
        <is>
          <t>C</t>
        </is>
      </c>
      <c r="J109" s="2" t="inlineStr">
        <is>
          <t>C</t>
        </is>
      </c>
      <c r="K109" s="2" t="inlineStr">
        <is>
          <t>I'll ask once. If it's brushed off or ignored, I shift. I'm not the type to sit in someone else's silence for long.</t>
        </is>
      </c>
      <c r="L109" s="2" t="n">
        <v>9</v>
      </c>
      <c r="M109" s="2" t="n">
        <v>9</v>
      </c>
      <c r="N109" s="2" t="n">
        <v>10</v>
      </c>
      <c r="O109" s="2" t="n">
        <v>10</v>
      </c>
      <c r="P109" s="2" t="n">
        <v>10</v>
      </c>
      <c r="Q109" s="2" t="inlineStr">
        <is>
          <t>Regulated Grown-Up</t>
        </is>
      </c>
      <c r="R109" s="2" t="n">
        <v>9</v>
      </c>
      <c r="S109" s="2" t="n"/>
      <c r="T109" s="2" t="n"/>
      <c r="U109" s="2" t="n">
        <v>0</v>
      </c>
      <c r="V109" s="2" t="inlineStr">
        <is>
          <t>masc:1.1;fem:0.9</t>
        </is>
      </c>
      <c r="W109" s="2" t="n">
        <v>1.1</v>
      </c>
      <c r="X109" s="2" t="n">
        <v>0.9</v>
      </c>
      <c r="Y109" s="2" t="inlineStr">
        <is>
          <t>COMM_Direct</t>
        </is>
      </c>
      <c r="Z109" s="2" t="inlineStr">
        <is>
          <t>REG_CoRegulator</t>
        </is>
      </c>
      <c r="AA109" s="2" t="inlineStr">
        <is>
          <t>LANG_Words</t>
        </is>
      </c>
      <c r="AB109" s="2" t="n"/>
      <c r="AC109" s="2" t="n"/>
      <c r="AD109" s="2" t="n"/>
      <c r="AE109" s="2" t="n">
        <v>0</v>
      </c>
      <c r="AF109" s="2" t="inlineStr">
        <is>
          <t>direct with boundaries</t>
        </is>
      </c>
      <c r="AG109" s="2" t="inlineStr">
        <is>
          <t>firm line-setter</t>
        </is>
      </c>
      <c r="AH109" s="2" t="n">
        <v>0</v>
      </c>
      <c r="AI109" s="2" t="inlineStr">
        <is>
          <t>no</t>
        </is>
      </c>
      <c r="AJ109" s="2" t="inlineStr">
        <is>
          <t>no</t>
        </is>
      </c>
      <c r="AK109" s="2" t="inlineStr">
        <is>
          <t>yes</t>
        </is>
      </c>
      <c r="AL109" s="2" t="inlineStr">
        <is>
          <t>yes</t>
        </is>
      </c>
      <c r="AM109" s="2" t="n"/>
      <c r="AN109" s="2" t="n"/>
      <c r="AO109" s="2" t="n"/>
      <c r="AP109" s="2" t="inlineStr">
        <is>
          <t>v3_2026-03-19</t>
        </is>
      </c>
      <c r="AQ109">
        <f>(L109-Schema_v5!$C2)/(Schema_v5!$C3-Schema_v5!$C2)</f>
        <v/>
      </c>
      <c r="AR109">
        <f>(M109-Schema_v5!$C4)/(Schema_v5!$C5-Schema_v5!$C4)</f>
        <v/>
      </c>
      <c r="AS109">
        <f>N109/Schema_v5!$C6</f>
        <v/>
      </c>
      <c r="AT109">
        <f>O109/Schema_v5!$C7</f>
        <v/>
      </c>
      <c r="AU109">
        <f>P109/Schema_v5!$C8</f>
        <v/>
      </c>
      <c r="AV109">
        <f>IF(Schema_v5!$C9=0,0,AH109/Schema_v5!$C9)</f>
        <v/>
      </c>
      <c r="AW109">
        <f>IF(Schema_v5!$C10=0,0,AE109/Schema_v5!$C10)</f>
        <v/>
      </c>
      <c r="AX109">
        <f>(W109-Schema_v5!$C11)/(Schema_v5!$C12-Schema_v5!$C11)</f>
        <v/>
      </c>
      <c r="AY109">
        <f>(X109-Schema_v5!$C13)/(Schema_v5!$C14-Schema_v5!$C13)</f>
        <v/>
      </c>
    </row>
    <row r="110" ht="121.5" customHeight="1" s="10">
      <c r="A110" s="2" t="inlineStr">
        <is>
          <t>Q22_D</t>
        </is>
      </c>
      <c r="B110" s="2" t="n">
        <v>22</v>
      </c>
      <c r="C110" s="2" t="n">
        <v>22</v>
      </c>
      <c r="D110" s="2" t="inlineStr">
        <is>
          <t>Core</t>
        </is>
      </c>
      <c r="E110" s="2" t="n">
        <v>1.1</v>
      </c>
      <c r="F110" s="2" t="inlineStr">
        <is>
          <t>EmotionalRegulation</t>
        </is>
      </c>
      <c r="G110" s="2" t="inlineStr">
        <is>
          <t>AttachmentSafety</t>
        </is>
      </c>
      <c r="H110" s="2" t="n"/>
      <c r="I110" s="2" t="inlineStr">
        <is>
          <t>D</t>
        </is>
      </c>
      <c r="J110" s="2" t="inlineStr">
        <is>
          <t>D</t>
        </is>
      </c>
      <c r="K110" s="2" t="inlineStr">
        <is>
          <t>I try to keep the mood up, shift the subject, make it feel less tense,even if I'm freaking out a little inside.</t>
        </is>
      </c>
      <c r="L110" s="2" t="n">
        <v>6</v>
      </c>
      <c r="M110" s="2" t="n">
        <v>7</v>
      </c>
      <c r="N110" s="2" t="n">
        <v>4</v>
      </c>
      <c r="O110" s="2" t="n">
        <v>4</v>
      </c>
      <c r="P110" s="2" t="n">
        <v>2</v>
      </c>
      <c r="Q110" s="2" t="inlineStr">
        <is>
          <t>Performer</t>
        </is>
      </c>
      <c r="R110" s="2" t="n">
        <v>7</v>
      </c>
      <c r="S110" s="2" t="n"/>
      <c r="T110" s="2" t="n"/>
      <c r="U110" s="2" t="n">
        <v>0</v>
      </c>
      <c r="V110" s="2" t="inlineStr">
        <is>
          <t>masc:0.3;fem:0.5</t>
        </is>
      </c>
      <c r="W110" s="2" t="n">
        <v>0.3</v>
      </c>
      <c r="X110" s="2" t="n">
        <v>0.5</v>
      </c>
      <c r="Y110" s="2" t="inlineStr">
        <is>
          <t>COMM_Indirect</t>
        </is>
      </c>
      <c r="Z110" s="2" t="inlineStr">
        <is>
          <t>REG_Distractor</t>
        </is>
      </c>
      <c r="AA110" s="2" t="inlineStr">
        <is>
          <t>LANG_Gifts</t>
        </is>
      </c>
      <c r="AB110" s="2" t="inlineStr">
        <is>
          <t>Vulnerability_Loop</t>
        </is>
      </c>
      <c r="AC110" s="2" t="inlineStr">
        <is>
          <t>Vulnerability_Loop</t>
        </is>
      </c>
      <c r="AD110" s="2" t="n"/>
      <c r="AE110" s="2" t="n">
        <v>5</v>
      </c>
      <c r="AF110" s="2" t="inlineStr">
        <is>
          <t>smooth cover-up</t>
        </is>
      </c>
      <c r="AG110" s="2" t="inlineStr">
        <is>
          <t>tension diffuser</t>
        </is>
      </c>
      <c r="AH110" s="2" t="n">
        <v>0</v>
      </c>
      <c r="AI110" s="2" t="inlineStr">
        <is>
          <t>yes</t>
        </is>
      </c>
      <c r="AJ110" s="2" t="inlineStr">
        <is>
          <t>no</t>
        </is>
      </c>
      <c r="AK110" s="2" t="inlineStr">
        <is>
          <t>yes</t>
        </is>
      </c>
      <c r="AL110" s="2" t="inlineStr">
        <is>
          <t>yes</t>
        </is>
      </c>
      <c r="AM110" s="2" t="n"/>
      <c r="AN110" s="2" t="n"/>
      <c r="AO110" s="2" t="n"/>
      <c r="AP110" s="2" t="inlineStr">
        <is>
          <t>v3_2026-03-19</t>
        </is>
      </c>
      <c r="AQ110">
        <f>(L110-Schema_v5!$C2)/(Schema_v5!$C3-Schema_v5!$C2)</f>
        <v/>
      </c>
      <c r="AR110">
        <f>(M110-Schema_v5!$C4)/(Schema_v5!$C5-Schema_v5!$C4)</f>
        <v/>
      </c>
      <c r="AS110">
        <f>N110/Schema_v5!$C6</f>
        <v/>
      </c>
      <c r="AT110">
        <f>O110/Schema_v5!$C7</f>
        <v/>
      </c>
      <c r="AU110">
        <f>P110/Schema_v5!$C8</f>
        <v/>
      </c>
      <c r="AV110">
        <f>IF(Schema_v5!$C9=0,0,AH110/Schema_v5!$C9)</f>
        <v/>
      </c>
      <c r="AW110">
        <f>IF(Schema_v5!$C10=0,0,AE110/Schema_v5!$C10)</f>
        <v/>
      </c>
      <c r="AX110">
        <f>(W110-Schema_v5!$C11)/(Schema_v5!$C12-Schema_v5!$C11)</f>
        <v/>
      </c>
      <c r="AY110">
        <f>(X110-Schema_v5!$C13)/(Schema_v5!$C14-Schema_v5!$C13)</f>
        <v/>
      </c>
    </row>
    <row r="111" ht="108" customHeight="1" s="10">
      <c r="A111" s="2" t="inlineStr">
        <is>
          <t>Q22_E</t>
        </is>
      </c>
      <c r="B111" s="2" t="n">
        <v>22</v>
      </c>
      <c r="C111" s="2" t="n">
        <v>22</v>
      </c>
      <c r="D111" s="2" t="inlineStr">
        <is>
          <t>Core</t>
        </is>
      </c>
      <c r="E111" s="2" t="n">
        <v>1.1</v>
      </c>
      <c r="F111" s="2" t="inlineStr">
        <is>
          <t>EmotionalRegulation</t>
        </is>
      </c>
      <c r="G111" s="2" t="inlineStr">
        <is>
          <t>AttachmentSafety</t>
        </is>
      </c>
      <c r="H111" s="2" t="n"/>
      <c r="I111" s="2" t="inlineStr">
        <is>
          <t>E</t>
        </is>
      </c>
      <c r="J111" s="2" t="inlineStr">
        <is>
          <t>E</t>
        </is>
      </c>
      <c r="K111" s="2" t="inlineStr">
        <is>
          <t>I feel it, but I don't say anything. I stay present, hoping they'll come back to me on their own.</t>
        </is>
      </c>
      <c r="L111" s="2" t="n">
        <v>6</v>
      </c>
      <c r="M111" s="2" t="n">
        <v>6</v>
      </c>
      <c r="N111" s="2" t="n">
        <v>4</v>
      </c>
      <c r="O111" s="2" t="n">
        <v>4</v>
      </c>
      <c r="P111" s="2" t="n">
        <v>4</v>
      </c>
      <c r="Q111" s="2" t="inlineStr">
        <is>
          <t>Translator</t>
        </is>
      </c>
      <c r="R111" s="2" t="n">
        <v>3</v>
      </c>
      <c r="S111" s="2" t="n"/>
      <c r="T111" s="2" t="n"/>
      <c r="U111" s="2" t="n">
        <v>0</v>
      </c>
      <c r="V111" s="2" t="inlineStr">
        <is>
          <t>masc:-0.1;fem:1.6</t>
        </is>
      </c>
      <c r="W111" s="2" t="n">
        <v>-0.1</v>
      </c>
      <c r="X111" s="2" t="n">
        <v>1.6</v>
      </c>
      <c r="Y111" s="2" t="inlineStr">
        <is>
          <t>COMM_Indirect</t>
        </is>
      </c>
      <c r="Z111" s="2" t="inlineStr">
        <is>
          <t>REG_CoRegulator</t>
        </is>
      </c>
      <c r="AA111" s="2" t="inlineStr">
        <is>
          <t>LANG_Words</t>
        </is>
      </c>
      <c r="AB111" s="2" t="inlineStr">
        <is>
          <t>Vulnerability_Loop</t>
        </is>
      </c>
      <c r="AC111" s="2" t="inlineStr">
        <is>
          <t>Vulnerability_Loop</t>
        </is>
      </c>
      <c r="AD111" s="2" t="n"/>
      <c r="AE111" s="2" t="n">
        <v>5</v>
      </c>
      <c r="AF111" s="2" t="inlineStr">
        <is>
          <t>gentle waiter</t>
        </is>
      </c>
      <c r="AG111" s="2" t="inlineStr">
        <is>
          <t>silent holder</t>
        </is>
      </c>
      <c r="AH111" s="2" t="n">
        <v>0.6</v>
      </c>
      <c r="AI111" s="2" t="inlineStr">
        <is>
          <t>yes</t>
        </is>
      </c>
      <c r="AJ111" s="2" t="inlineStr">
        <is>
          <t>no</t>
        </is>
      </c>
      <c r="AK111" s="2" t="inlineStr">
        <is>
          <t>yes</t>
        </is>
      </c>
      <c r="AL111" s="2" t="inlineStr">
        <is>
          <t>yes</t>
        </is>
      </c>
      <c r="AM111" s="2" t="n"/>
      <c r="AN111" s="2" t="n"/>
      <c r="AO111" s="2" t="n"/>
      <c r="AP111" s="2" t="inlineStr">
        <is>
          <t>v3_2026-03-19</t>
        </is>
      </c>
      <c r="AQ111">
        <f>(L111-Schema_v5!$C2)/(Schema_v5!$C3-Schema_v5!$C2)</f>
        <v/>
      </c>
      <c r="AR111">
        <f>(M111-Schema_v5!$C4)/(Schema_v5!$C5-Schema_v5!$C4)</f>
        <v/>
      </c>
      <c r="AS111">
        <f>N111/Schema_v5!$C6</f>
        <v/>
      </c>
      <c r="AT111">
        <f>O111/Schema_v5!$C7</f>
        <v/>
      </c>
      <c r="AU111">
        <f>P111/Schema_v5!$C8</f>
        <v/>
      </c>
      <c r="AV111">
        <f>IF(Schema_v5!$C9=0,0,AH111/Schema_v5!$C9)</f>
        <v/>
      </c>
      <c r="AW111">
        <f>IF(Schema_v5!$C10=0,0,AE111/Schema_v5!$C10)</f>
        <v/>
      </c>
      <c r="AX111">
        <f>(W111-Schema_v5!$C11)/(Schema_v5!$C12-Schema_v5!$C11)</f>
        <v/>
      </c>
      <c r="AY111">
        <f>(X111-Schema_v5!$C13)/(Schema_v5!$C14-Schema_v5!$C13)</f>
        <v/>
      </c>
    </row>
    <row r="112" ht="108" customHeight="1" s="10">
      <c r="A112" s="2" t="inlineStr">
        <is>
          <t>Q23_A</t>
        </is>
      </c>
      <c r="B112" s="2" t="n">
        <v>23</v>
      </c>
      <c r="C112" s="2" t="n">
        <v>23</v>
      </c>
      <c r="D112" s="2" t="inlineStr">
        <is>
          <t>Core</t>
        </is>
      </c>
      <c r="E112" s="2" t="n">
        <v>1.1</v>
      </c>
      <c r="F112" s="2" t="inlineStr">
        <is>
          <t>EmotionalRegulation</t>
        </is>
      </c>
      <c r="G112" s="2" t="inlineStr">
        <is>
          <t>AttachmentSafety</t>
        </is>
      </c>
      <c r="H112" s="2" t="inlineStr">
        <is>
          <t>You realize you're the one always putting in effort. They're coasting. What do you do about it?</t>
        </is>
      </c>
      <c r="I112" s="2" t="inlineStr">
        <is>
          <t>A</t>
        </is>
      </c>
      <c r="J112" s="2" t="inlineStr">
        <is>
          <t>A</t>
        </is>
      </c>
      <c r="K112" s="2" t="inlineStr">
        <is>
          <t>I stop. No callout, no drama. If I was carrying it, then it dies when I stop moving.</t>
        </is>
      </c>
      <c r="L112" s="2" t="n">
        <v>8</v>
      </c>
      <c r="M112" s="2" t="n">
        <v>8</v>
      </c>
      <c r="N112" s="2" t="n">
        <v>4</v>
      </c>
      <c r="O112" s="2" t="n">
        <v>4</v>
      </c>
      <c r="P112" s="2" t="n">
        <v>2</v>
      </c>
      <c r="Q112" s="2" t="inlineStr">
        <is>
          <t>Quiet Exit</t>
        </is>
      </c>
      <c r="R112" s="2" t="n">
        <v>4</v>
      </c>
      <c r="S112" s="2" t="n"/>
      <c r="T112" s="2" t="n"/>
      <c r="U112" s="2" t="n">
        <v>0</v>
      </c>
      <c r="V112" s="2" t="inlineStr">
        <is>
          <t>masc:1.4;fem:-1.3</t>
        </is>
      </c>
      <c r="W112" s="2" t="n">
        <v>1.4</v>
      </c>
      <c r="X112" s="2" t="n">
        <v>-1.3</v>
      </c>
      <c r="Y112" s="2" t="inlineStr">
        <is>
          <t>COMM_Avoidant</t>
        </is>
      </c>
      <c r="Z112" s="2" t="inlineStr">
        <is>
          <t>REG_Suppressor</t>
        </is>
      </c>
      <c r="AA112" s="2" t="inlineStr">
        <is>
          <t>LANG_Time</t>
        </is>
      </c>
      <c r="AB112" s="2" t="n"/>
      <c r="AC112" s="2" t="n"/>
      <c r="AD112" s="2" t="n"/>
      <c r="AE112" s="2" t="n">
        <v>0</v>
      </c>
      <c r="AF112" s="2" t="inlineStr">
        <is>
          <t>effort withdrawal</t>
        </is>
      </c>
      <c r="AG112" s="2" t="inlineStr">
        <is>
          <t>quiet exit</t>
        </is>
      </c>
      <c r="AH112" s="2" t="n">
        <v>0.6</v>
      </c>
      <c r="AI112" s="2" t="inlineStr">
        <is>
          <t>no</t>
        </is>
      </c>
      <c r="AJ112" s="2" t="inlineStr">
        <is>
          <t>no</t>
        </is>
      </c>
      <c r="AK112" s="2" t="inlineStr">
        <is>
          <t>yes</t>
        </is>
      </c>
      <c r="AL112" s="2" t="inlineStr">
        <is>
          <t>yes</t>
        </is>
      </c>
      <c r="AM112" s="2" t="n"/>
      <c r="AN112" s="2" t="n"/>
      <c r="AO112" s="2" t="n"/>
      <c r="AP112" s="2" t="inlineStr">
        <is>
          <t>v3_2026-03-19</t>
        </is>
      </c>
      <c r="AQ112">
        <f>(L112-Schema_v5!$C2)/(Schema_v5!$C3-Schema_v5!$C2)</f>
        <v/>
      </c>
      <c r="AR112">
        <f>(M112-Schema_v5!$C4)/(Schema_v5!$C5-Schema_v5!$C4)</f>
        <v/>
      </c>
      <c r="AS112">
        <f>N112/Schema_v5!$C6</f>
        <v/>
      </c>
      <c r="AT112">
        <f>O112/Schema_v5!$C7</f>
        <v/>
      </c>
      <c r="AU112">
        <f>P112/Schema_v5!$C8</f>
        <v/>
      </c>
      <c r="AV112">
        <f>IF(Schema_v5!$C9=0,0,AH112/Schema_v5!$C9)</f>
        <v/>
      </c>
      <c r="AW112">
        <f>IF(Schema_v5!$C10=0,0,AE112/Schema_v5!$C10)</f>
        <v/>
      </c>
      <c r="AX112">
        <f>(W112-Schema_v5!$C11)/(Schema_v5!$C12-Schema_v5!$C11)</f>
        <v/>
      </c>
      <c r="AY112">
        <f>(X112-Schema_v5!$C13)/(Schema_v5!$C14-Schema_v5!$C13)</f>
        <v/>
      </c>
    </row>
    <row r="113" ht="162" customHeight="1" s="10">
      <c r="A113" s="2" t="inlineStr">
        <is>
          <t>Q23_B</t>
        </is>
      </c>
      <c r="B113" s="2" t="n">
        <v>23</v>
      </c>
      <c r="C113" s="2" t="n">
        <v>23</v>
      </c>
      <c r="D113" s="2" t="inlineStr">
        <is>
          <t>Core</t>
        </is>
      </c>
      <c r="E113" s="2" t="n">
        <v>1.1</v>
      </c>
      <c r="F113" s="2" t="inlineStr">
        <is>
          <t>EmotionalRegulation</t>
        </is>
      </c>
      <c r="G113" s="2" t="inlineStr">
        <is>
          <t>AttachmentSafety</t>
        </is>
      </c>
      <c r="H113" s="2" t="n"/>
      <c r="I113" s="2" t="inlineStr">
        <is>
          <t>B</t>
        </is>
      </c>
      <c r="J113" s="2" t="inlineStr">
        <is>
          <t>B</t>
        </is>
      </c>
      <c r="K113" s="2" t="inlineStr">
        <is>
          <t>I try one more time, just to see if they notice. If not, I pull back hard. I need to know it wasn't just me pretending this thing was mutual.</t>
        </is>
      </c>
      <c r="L113" s="2" t="n">
        <v>5</v>
      </c>
      <c r="M113" s="2" t="n">
        <v>6</v>
      </c>
      <c r="N113" s="2" t="n">
        <v>2</v>
      </c>
      <c r="O113" s="2" t="n">
        <v>2</v>
      </c>
      <c r="P113" s="2" t="n">
        <v>0</v>
      </c>
      <c r="Q113" s="2" t="inlineStr">
        <is>
          <t>Phantom Seeker</t>
        </is>
      </c>
      <c r="R113" s="2" t="n">
        <v>10</v>
      </c>
      <c r="S113" s="2" t="n"/>
      <c r="T113" s="2" t="n"/>
      <c r="U113" s="2" t="n">
        <v>0</v>
      </c>
      <c r="V113" s="2" t="inlineStr">
        <is>
          <t>masc:-0.2;fem:1.5</t>
        </is>
      </c>
      <c r="W113" s="2" t="n">
        <v>-0.2</v>
      </c>
      <c r="X113" s="2" t="n">
        <v>1.5</v>
      </c>
      <c r="Y113" s="2" t="inlineStr">
        <is>
          <t>COMM_Emotional</t>
        </is>
      </c>
      <c r="Z113" s="2" t="inlineStr">
        <is>
          <t>REG_SelfSoother</t>
        </is>
      </c>
      <c r="AA113" s="2" t="inlineStr">
        <is>
          <t>LANG_Touch</t>
        </is>
      </c>
      <c r="AB113" s="2" t="inlineStr">
        <is>
          <t>Vulnerability_Loop , Pursuer_Distancer</t>
        </is>
      </c>
      <c r="AC113" s="2" t="inlineStr">
        <is>
          <t>Vulnerability_Loop</t>
        </is>
      </c>
      <c r="AD113" s="2" t="inlineStr">
        <is>
          <t>Pursuer_Distancer</t>
        </is>
      </c>
      <c r="AE113" s="2" t="n">
        <v>11</v>
      </c>
      <c r="AF113" s="2" t="inlineStr">
        <is>
          <t>last-ditch test</t>
        </is>
      </c>
      <c r="AG113" s="2" t="inlineStr">
        <is>
          <t>conditional engager</t>
        </is>
      </c>
      <c r="AH113" s="2" t="n">
        <v>1.2</v>
      </c>
      <c r="AI113" s="2" t="inlineStr">
        <is>
          <t>yes</t>
        </is>
      </c>
      <c r="AJ113" s="2" t="inlineStr">
        <is>
          <t>no</t>
        </is>
      </c>
      <c r="AK113" s="2" t="inlineStr">
        <is>
          <t>yes</t>
        </is>
      </c>
      <c r="AL113" s="2" t="inlineStr">
        <is>
          <t>yes</t>
        </is>
      </c>
      <c r="AM113" s="2" t="n"/>
      <c r="AN113" s="2" t="n"/>
      <c r="AO113" s="2" t="n"/>
      <c r="AP113" s="2" t="inlineStr">
        <is>
          <t>v3_2026-03-19</t>
        </is>
      </c>
      <c r="AQ113">
        <f>(L113-Schema_v5!$C2)/(Schema_v5!$C3-Schema_v5!$C2)</f>
        <v/>
      </c>
      <c r="AR113">
        <f>(M113-Schema_v5!$C4)/(Schema_v5!$C5-Schema_v5!$C4)</f>
        <v/>
      </c>
      <c r="AS113">
        <f>N113/Schema_v5!$C6</f>
        <v/>
      </c>
      <c r="AT113">
        <f>O113/Schema_v5!$C7</f>
        <v/>
      </c>
      <c r="AU113">
        <f>P113/Schema_v5!$C8</f>
        <v/>
      </c>
      <c r="AV113">
        <f>IF(Schema_v5!$C9=0,0,AH113/Schema_v5!$C9)</f>
        <v/>
      </c>
      <c r="AW113">
        <f>IF(Schema_v5!$C10=0,0,AE113/Schema_v5!$C10)</f>
        <v/>
      </c>
      <c r="AX113">
        <f>(W113-Schema_v5!$C11)/(Schema_v5!$C12-Schema_v5!$C11)</f>
        <v/>
      </c>
      <c r="AY113">
        <f>(X113-Schema_v5!$C13)/(Schema_v5!$C14-Schema_v5!$C13)</f>
        <v/>
      </c>
    </row>
    <row r="114" ht="135" customHeight="1" s="10">
      <c r="A114" s="2" t="inlineStr">
        <is>
          <t>Q23_C</t>
        </is>
      </c>
      <c r="B114" s="2" t="n">
        <v>23</v>
      </c>
      <c r="C114" s="2" t="n">
        <v>23</v>
      </c>
      <c r="D114" s="2" t="inlineStr">
        <is>
          <t>Core</t>
        </is>
      </c>
      <c r="E114" s="2" t="n">
        <v>1.1</v>
      </c>
      <c r="F114" s="2" t="inlineStr">
        <is>
          <t>EmotionalRegulation</t>
        </is>
      </c>
      <c r="G114" s="2" t="inlineStr">
        <is>
          <t>AttachmentSafety</t>
        </is>
      </c>
      <c r="H114" s="2" t="n"/>
      <c r="I114" s="2" t="inlineStr">
        <is>
          <t>C</t>
        </is>
      </c>
      <c r="J114" s="2" t="inlineStr">
        <is>
          <t>C</t>
        </is>
      </c>
      <c r="K114" s="2" t="inlineStr">
        <is>
          <t>I ask. Not in a "what are we?" way ,I just need to know if I'm wasting my energy or building something real.</t>
        </is>
      </c>
      <c r="L114" s="2" t="n">
        <v>8</v>
      </c>
      <c r="M114" s="2" t="n">
        <v>9</v>
      </c>
      <c r="N114" s="2" t="n">
        <v>8</v>
      </c>
      <c r="O114" s="2" t="n">
        <v>8</v>
      </c>
      <c r="P114" s="2" t="n">
        <v>8</v>
      </c>
      <c r="Q114" s="2" t="inlineStr">
        <is>
          <t>Analyzer</t>
        </is>
      </c>
      <c r="R114" s="2" t="n">
        <v>2</v>
      </c>
      <c r="S114" s="2" t="n"/>
      <c r="T114" s="2" t="n"/>
      <c r="U114" s="2" t="n">
        <v>0</v>
      </c>
      <c r="V114" s="2" t="inlineStr">
        <is>
          <t>masc:1.4;fem:0.1</t>
        </is>
      </c>
      <c r="W114" s="2" t="n">
        <v>1.4</v>
      </c>
      <c r="X114" s="2" t="n">
        <v>0.1</v>
      </c>
      <c r="Y114" s="2" t="inlineStr">
        <is>
          <t>COMM_Logical</t>
        </is>
      </c>
      <c r="Z114" s="2" t="inlineStr">
        <is>
          <t>REG_SelfSoother</t>
        </is>
      </c>
      <c r="AA114" s="2" t="inlineStr">
        <is>
          <t>LANG_Service</t>
        </is>
      </c>
      <c r="AB114" s="2" t="n"/>
      <c r="AC114" s="2" t="n"/>
      <c r="AD114" s="2" t="n"/>
      <c r="AE114" s="2" t="n">
        <v>0</v>
      </c>
      <c r="AF114" s="2" t="inlineStr">
        <is>
          <t>clarity-seeking</t>
        </is>
      </c>
      <c r="AG114" s="2" t="inlineStr">
        <is>
          <t>direct assessor</t>
        </is>
      </c>
      <c r="AH114" s="2" t="n">
        <v>0</v>
      </c>
      <c r="AI114" s="2" t="inlineStr">
        <is>
          <t>no</t>
        </is>
      </c>
      <c r="AJ114" s="2" t="inlineStr">
        <is>
          <t>no</t>
        </is>
      </c>
      <c r="AK114" s="2" t="inlineStr">
        <is>
          <t>yes</t>
        </is>
      </c>
      <c r="AL114" s="2" t="inlineStr">
        <is>
          <t>yes</t>
        </is>
      </c>
      <c r="AM114" s="2" t="n"/>
      <c r="AN114" s="2" t="n"/>
      <c r="AO114" s="2" t="n"/>
      <c r="AP114" s="2" t="inlineStr">
        <is>
          <t>v3_2026-03-19</t>
        </is>
      </c>
      <c r="AQ114">
        <f>(L114-Schema_v5!$C2)/(Schema_v5!$C3-Schema_v5!$C2)</f>
        <v/>
      </c>
      <c r="AR114">
        <f>(M114-Schema_v5!$C4)/(Schema_v5!$C5-Schema_v5!$C4)</f>
        <v/>
      </c>
      <c r="AS114">
        <f>N114/Schema_v5!$C6</f>
        <v/>
      </c>
      <c r="AT114">
        <f>O114/Schema_v5!$C7</f>
        <v/>
      </c>
      <c r="AU114">
        <f>P114/Schema_v5!$C8</f>
        <v/>
      </c>
      <c r="AV114">
        <f>IF(Schema_v5!$C9=0,0,AH114/Schema_v5!$C9)</f>
        <v/>
      </c>
      <c r="AW114">
        <f>IF(Schema_v5!$C10=0,0,AE114/Schema_v5!$C10)</f>
        <v/>
      </c>
      <c r="AX114">
        <f>(W114-Schema_v5!$C11)/(Schema_v5!$C12-Schema_v5!$C11)</f>
        <v/>
      </c>
      <c r="AY114">
        <f>(X114-Schema_v5!$C13)/(Schema_v5!$C14-Schema_v5!$C13)</f>
        <v/>
      </c>
    </row>
    <row r="115" ht="148.5" customHeight="1" s="10">
      <c r="A115" s="2" t="inlineStr">
        <is>
          <t>Q23_D</t>
        </is>
      </c>
      <c r="B115" s="2" t="n">
        <v>23</v>
      </c>
      <c r="C115" s="2" t="n">
        <v>23</v>
      </c>
      <c r="D115" s="2" t="inlineStr">
        <is>
          <t>Core</t>
        </is>
      </c>
      <c r="E115" s="2" t="n">
        <v>1.1</v>
      </c>
      <c r="F115" s="2" t="inlineStr">
        <is>
          <t>EmotionalRegulation</t>
        </is>
      </c>
      <c r="G115" s="2" t="inlineStr">
        <is>
          <t>AttachmentSafety</t>
        </is>
      </c>
      <c r="H115" s="2" t="n"/>
      <c r="I115" s="2" t="inlineStr">
        <is>
          <t>D</t>
        </is>
      </c>
      <c r="J115" s="2" t="inlineStr">
        <is>
          <t>D</t>
        </is>
      </c>
      <c r="K115" s="2" t="inlineStr">
        <is>
          <t>I double down. I give more, joke more, show up harder, hoping they'll finally meet me there. It's dumb, I know, but I still do it.</t>
        </is>
      </c>
      <c r="L115" s="2" t="n">
        <v>4</v>
      </c>
      <c r="M115" s="2" t="n">
        <v>5</v>
      </c>
      <c r="N115" s="2" t="n">
        <v>2</v>
      </c>
      <c r="O115" s="2" t="n">
        <v>2</v>
      </c>
      <c r="P115" s="2" t="n">
        <v>2</v>
      </c>
      <c r="Q115" s="2" t="inlineStr">
        <is>
          <t>Fixer</t>
        </is>
      </c>
      <c r="R115" s="2" t="n">
        <v>5</v>
      </c>
      <c r="S115" s="2" t="n"/>
      <c r="T115" s="2" t="n"/>
      <c r="U115" s="2" t="n">
        <v>0</v>
      </c>
      <c r="V115" s="2" t="inlineStr">
        <is>
          <t>masc:-0.4;fem:2.0</t>
        </is>
      </c>
      <c r="W115" s="2" t="n">
        <v>-0.4</v>
      </c>
      <c r="X115" s="2" t="n">
        <v>2</v>
      </c>
      <c r="Y115" s="2" t="inlineStr">
        <is>
          <t>COMM_Emotional</t>
        </is>
      </c>
      <c r="Z115" s="2" t="inlineStr">
        <is>
          <t>REG_CoRegulator</t>
        </is>
      </c>
      <c r="AA115" s="2" t="inlineStr">
        <is>
          <t>LANG_Service</t>
        </is>
      </c>
      <c r="AB115" s="2" t="inlineStr">
        <is>
          <t>Humor_Shield</t>
        </is>
      </c>
      <c r="AC115" s="2" t="inlineStr">
        <is>
          <t>Humor_Shield</t>
        </is>
      </c>
      <c r="AD115" s="2" t="n"/>
      <c r="AE115" s="2" t="n">
        <v>3</v>
      </c>
      <c r="AF115" s="2" t="inlineStr">
        <is>
          <t>effort loop</t>
        </is>
      </c>
      <c r="AG115" s="2" t="inlineStr">
        <is>
          <t>hopeful fixer</t>
        </is>
      </c>
      <c r="AH115" s="2" t="n">
        <v>0</v>
      </c>
      <c r="AI115" s="2" t="inlineStr">
        <is>
          <t>yes</t>
        </is>
      </c>
      <c r="AJ115" s="2" t="inlineStr">
        <is>
          <t>no</t>
        </is>
      </c>
      <c r="AK115" s="2" t="inlineStr">
        <is>
          <t>yes</t>
        </is>
      </c>
      <c r="AL115" s="2" t="inlineStr">
        <is>
          <t>yes</t>
        </is>
      </c>
      <c r="AM115" s="2" t="n"/>
      <c r="AN115" s="2" t="n"/>
      <c r="AO115" s="2" t="n"/>
      <c r="AP115" s="2" t="inlineStr">
        <is>
          <t>v3_2026-03-19</t>
        </is>
      </c>
      <c r="AQ115">
        <f>(L115-Schema_v5!$C2)/(Schema_v5!$C3-Schema_v5!$C2)</f>
        <v/>
      </c>
      <c r="AR115">
        <f>(M115-Schema_v5!$C4)/(Schema_v5!$C5-Schema_v5!$C4)</f>
        <v/>
      </c>
      <c r="AS115">
        <f>N115/Schema_v5!$C6</f>
        <v/>
      </c>
      <c r="AT115">
        <f>O115/Schema_v5!$C7</f>
        <v/>
      </c>
      <c r="AU115">
        <f>P115/Schema_v5!$C8</f>
        <v/>
      </c>
      <c r="AV115">
        <f>IF(Schema_v5!$C9=0,0,AH115/Schema_v5!$C9)</f>
        <v/>
      </c>
      <c r="AW115">
        <f>IF(Schema_v5!$C10=0,0,AE115/Schema_v5!$C10)</f>
        <v/>
      </c>
      <c r="AX115">
        <f>(W115-Schema_v5!$C11)/(Schema_v5!$C12-Schema_v5!$C11)</f>
        <v/>
      </c>
      <c r="AY115">
        <f>(X115-Schema_v5!$C13)/(Schema_v5!$C14-Schema_v5!$C13)</f>
        <v/>
      </c>
    </row>
    <row r="116" ht="135" customHeight="1" s="10">
      <c r="A116" s="2" t="inlineStr">
        <is>
          <t>Q23_E</t>
        </is>
      </c>
      <c r="B116" s="2" t="n">
        <v>23</v>
      </c>
      <c r="C116" s="2" t="n">
        <v>23</v>
      </c>
      <c r="D116" s="2" t="inlineStr">
        <is>
          <t>Core</t>
        </is>
      </c>
      <c r="E116" s="2" t="n">
        <v>1.1</v>
      </c>
      <c r="F116" s="2" t="inlineStr">
        <is>
          <t>EmotionalRegulation</t>
        </is>
      </c>
      <c r="G116" s="2" t="inlineStr">
        <is>
          <t>AttachmentSafety</t>
        </is>
      </c>
      <c r="H116" s="2" t="n"/>
      <c r="I116" s="2" t="inlineStr">
        <is>
          <t>E</t>
        </is>
      </c>
      <c r="J116" s="2" t="inlineStr">
        <is>
          <t>E</t>
        </is>
      </c>
      <c r="K116" s="2" t="inlineStr">
        <is>
          <t>You didn't match my energy? I don't mention it, I just reroute mine. I'm not here to coach someone into caring.</t>
        </is>
      </c>
      <c r="L116" s="2" t="n">
        <v>8</v>
      </c>
      <c r="M116" s="2" t="n">
        <v>9</v>
      </c>
      <c r="N116" s="2" t="n">
        <v>4</v>
      </c>
      <c r="O116" s="2" t="n">
        <v>6</v>
      </c>
      <c r="P116" s="2" t="n">
        <v>2</v>
      </c>
      <c r="Q116" s="2" t="inlineStr">
        <is>
          <t>Icebox</t>
        </is>
      </c>
      <c r="R116" s="2" t="n">
        <v>1</v>
      </c>
      <c r="S116" s="2" t="n"/>
      <c r="T116" s="2" t="n"/>
      <c r="U116" s="2" t="n">
        <v>0</v>
      </c>
      <c r="V116" s="2" t="inlineStr">
        <is>
          <t>masc:1.8;fem:-1.6</t>
        </is>
      </c>
      <c r="W116" s="2" t="n">
        <v>1.8</v>
      </c>
      <c r="X116" s="2" t="n">
        <v>-1.6</v>
      </c>
      <c r="Y116" s="2" t="inlineStr">
        <is>
          <t>COMM_Avoidant</t>
        </is>
      </c>
      <c r="Z116" s="2" t="inlineStr">
        <is>
          <t>REG_Suppressor</t>
        </is>
      </c>
      <c r="AA116" s="2" t="inlineStr">
        <is>
          <t>LANG_Time</t>
        </is>
      </c>
      <c r="AB116" s="2" t="n"/>
      <c r="AC116" s="2" t="n"/>
      <c r="AD116" s="2" t="n"/>
      <c r="AE116" s="2" t="n">
        <v>0</v>
      </c>
      <c r="AF116" s="2" t="inlineStr">
        <is>
          <t>no-warning shift</t>
        </is>
      </c>
      <c r="AG116" s="2" t="inlineStr">
        <is>
          <t>decisive withdrawer</t>
        </is>
      </c>
      <c r="AH116" s="2" t="n">
        <v>0.6</v>
      </c>
      <c r="AI116" s="2" t="inlineStr">
        <is>
          <t>no</t>
        </is>
      </c>
      <c r="AJ116" s="2" t="inlineStr">
        <is>
          <t>no</t>
        </is>
      </c>
      <c r="AK116" s="2" t="inlineStr">
        <is>
          <t>yes</t>
        </is>
      </c>
      <c r="AL116" s="2" t="inlineStr">
        <is>
          <t>yes</t>
        </is>
      </c>
      <c r="AM116" s="2" t="n"/>
      <c r="AN116" s="2" t="n"/>
      <c r="AO116" s="2" t="n"/>
      <c r="AP116" s="2" t="inlineStr">
        <is>
          <t>v3_2026-03-19</t>
        </is>
      </c>
      <c r="AQ116">
        <f>(L116-Schema_v5!$C2)/(Schema_v5!$C3-Schema_v5!$C2)</f>
        <v/>
      </c>
      <c r="AR116">
        <f>(M116-Schema_v5!$C4)/(Schema_v5!$C5-Schema_v5!$C4)</f>
        <v/>
      </c>
      <c r="AS116">
        <f>N116/Schema_v5!$C6</f>
        <v/>
      </c>
      <c r="AT116">
        <f>O116/Schema_v5!$C7</f>
        <v/>
      </c>
      <c r="AU116">
        <f>P116/Schema_v5!$C8</f>
        <v/>
      </c>
      <c r="AV116">
        <f>IF(Schema_v5!$C9=0,0,AH116/Schema_v5!$C9)</f>
        <v/>
      </c>
      <c r="AW116">
        <f>IF(Schema_v5!$C10=0,0,AE116/Schema_v5!$C10)</f>
        <v/>
      </c>
      <c r="AX116">
        <f>(W116-Schema_v5!$C11)/(Schema_v5!$C12-Schema_v5!$C11)</f>
        <v/>
      </c>
      <c r="AY116">
        <f>(X116-Schema_v5!$C13)/(Schema_v5!$C14-Schema_v5!$C13)</f>
        <v/>
      </c>
    </row>
    <row r="117" ht="108" customHeight="1" s="10">
      <c r="A117" s="2" t="inlineStr">
        <is>
          <t>Q24_A</t>
        </is>
      </c>
      <c r="B117" s="2" t="n">
        <v>24</v>
      </c>
      <c r="C117" s="2" t="n">
        <v>24</v>
      </c>
      <c r="D117" s="2" t="inlineStr">
        <is>
          <t>Core</t>
        </is>
      </c>
      <c r="E117" s="2" t="n">
        <v>1.1</v>
      </c>
      <c r="F117" s="2" t="inlineStr">
        <is>
          <t>EmotionalRegulation</t>
        </is>
      </c>
      <c r="G117" s="2" t="inlineStr">
        <is>
          <t>AttachmentSafety</t>
        </is>
      </c>
      <c r="H117" s="2" t="inlineStr">
        <is>
          <t>You go out of your way for someone... but it's clear they don't value it. What happens next?</t>
        </is>
      </c>
      <c r="I117" s="2" t="inlineStr">
        <is>
          <t>A</t>
        </is>
      </c>
      <c r="J117" s="2" t="inlineStr">
        <is>
          <t>A</t>
        </is>
      </c>
      <c r="K117" s="2" t="inlineStr">
        <is>
          <t>I note it, quietly. Next time they need something, I'm not showing up the same.</t>
        </is>
      </c>
      <c r="L117" s="2" t="n">
        <v>8</v>
      </c>
      <c r="M117" s="2" t="n">
        <v>8</v>
      </c>
      <c r="N117" s="2" t="n">
        <v>4</v>
      </c>
      <c r="O117" s="2" t="n">
        <v>4</v>
      </c>
      <c r="P117" s="2" t="n">
        <v>2</v>
      </c>
      <c r="Q117" s="2" t="inlineStr">
        <is>
          <t>Quiet Exit</t>
        </is>
      </c>
      <c r="R117" s="2" t="n">
        <v>4</v>
      </c>
      <c r="S117" s="2" t="n"/>
      <c r="T117" s="2" t="n"/>
      <c r="U117" s="2" t="n">
        <v>0</v>
      </c>
      <c r="V117" s="2" t="inlineStr">
        <is>
          <t>masc:1.4;fem:-1.3</t>
        </is>
      </c>
      <c r="W117" s="2" t="n">
        <v>1.4</v>
      </c>
      <c r="X117" s="2" t="n">
        <v>-1.3</v>
      </c>
      <c r="Y117" s="2" t="inlineStr">
        <is>
          <t>COMM_Avoidant</t>
        </is>
      </c>
      <c r="Z117" s="2" t="inlineStr">
        <is>
          <t>REG_Suppressor</t>
        </is>
      </c>
      <c r="AA117" s="2" t="inlineStr">
        <is>
          <t>LANG_Time</t>
        </is>
      </c>
      <c r="AB117" s="2" t="n"/>
      <c r="AC117" s="2" t="n"/>
      <c r="AD117" s="2" t="n"/>
      <c r="AE117" s="2" t="n">
        <v>0</v>
      </c>
      <c r="AF117" s="2" t="inlineStr">
        <is>
          <t>emotional cost accountant</t>
        </is>
      </c>
      <c r="AG117" s="2" t="inlineStr">
        <is>
          <t>boundary enforcer</t>
        </is>
      </c>
      <c r="AH117" s="2" t="n">
        <v>0</v>
      </c>
      <c r="AI117" s="2" t="inlineStr">
        <is>
          <t>no</t>
        </is>
      </c>
      <c r="AJ117" s="2" t="inlineStr">
        <is>
          <t>no</t>
        </is>
      </c>
      <c r="AK117" s="2" t="inlineStr">
        <is>
          <t>yes</t>
        </is>
      </c>
      <c r="AL117" s="2" t="inlineStr">
        <is>
          <t>yes</t>
        </is>
      </c>
      <c r="AM117" s="2" t="n"/>
      <c r="AN117" s="2" t="n"/>
      <c r="AO117" s="2" t="n"/>
      <c r="AP117" s="2" t="inlineStr">
        <is>
          <t>v3_2026-03-19</t>
        </is>
      </c>
      <c r="AQ117">
        <f>(L117-Schema_v5!$C2)/(Schema_v5!$C3-Schema_v5!$C2)</f>
        <v/>
      </c>
      <c r="AR117">
        <f>(M117-Schema_v5!$C4)/(Schema_v5!$C5-Schema_v5!$C4)</f>
        <v/>
      </c>
      <c r="AS117">
        <f>N117/Schema_v5!$C6</f>
        <v/>
      </c>
      <c r="AT117">
        <f>O117/Schema_v5!$C7</f>
        <v/>
      </c>
      <c r="AU117">
        <f>P117/Schema_v5!$C8</f>
        <v/>
      </c>
      <c r="AV117">
        <f>IF(Schema_v5!$C9=0,0,AH117/Schema_v5!$C9)</f>
        <v/>
      </c>
      <c r="AW117">
        <f>IF(Schema_v5!$C10=0,0,AE117/Schema_v5!$C10)</f>
        <v/>
      </c>
      <c r="AX117">
        <f>(W117-Schema_v5!$C11)/(Schema_v5!$C12-Schema_v5!$C11)</f>
        <v/>
      </c>
      <c r="AY117">
        <f>(X117-Schema_v5!$C13)/(Schema_v5!$C14-Schema_v5!$C13)</f>
        <v/>
      </c>
    </row>
    <row r="118" ht="121.5" customHeight="1" s="10">
      <c r="A118" s="2" t="inlineStr">
        <is>
          <t>Q24_B</t>
        </is>
      </c>
      <c r="B118" s="2" t="n">
        <v>24</v>
      </c>
      <c r="C118" s="2" t="n">
        <v>24</v>
      </c>
      <c r="D118" s="2" t="inlineStr">
        <is>
          <t>Core</t>
        </is>
      </c>
      <c r="E118" s="2" t="n">
        <v>1.1</v>
      </c>
      <c r="F118" s="2" t="inlineStr">
        <is>
          <t>EmotionalRegulation</t>
        </is>
      </c>
      <c r="G118" s="2" t="inlineStr">
        <is>
          <t>AttachmentSafety</t>
        </is>
      </c>
      <c r="H118" s="2" t="n"/>
      <c r="I118" s="2" t="inlineStr">
        <is>
          <t>B</t>
        </is>
      </c>
      <c r="J118" s="2" t="inlineStr">
        <is>
          <t>B</t>
        </is>
      </c>
      <c r="K118" s="2" t="inlineStr">
        <is>
          <t>I try one more thing, one big gesture, maybe. If they still don't get it, that's on them.</t>
        </is>
      </c>
      <c r="L118" s="2" t="n">
        <v>6</v>
      </c>
      <c r="M118" s="2" t="n">
        <v>7</v>
      </c>
      <c r="N118" s="2" t="n">
        <v>4</v>
      </c>
      <c r="O118" s="2" t="n">
        <v>4</v>
      </c>
      <c r="P118" s="2" t="n">
        <v>2</v>
      </c>
      <c r="Q118" s="2" t="inlineStr">
        <is>
          <t>Romantic Idealist</t>
        </is>
      </c>
      <c r="R118" s="2" t="n">
        <v>6</v>
      </c>
      <c r="S118" s="2" t="n"/>
      <c r="T118" s="2" t="n"/>
      <c r="U118" s="2" t="n">
        <v>0</v>
      </c>
      <c r="V118" s="2" t="inlineStr">
        <is>
          <t>masc:-0.4;fem:1.5</t>
        </is>
      </c>
      <c r="W118" s="2" t="n">
        <v>-0.4</v>
      </c>
      <c r="X118" s="2" t="n">
        <v>1.5</v>
      </c>
      <c r="Y118" s="2" t="inlineStr">
        <is>
          <t>COMM_Emotional</t>
        </is>
      </c>
      <c r="Z118" s="2" t="inlineStr">
        <is>
          <t>REG_Distractor</t>
        </is>
      </c>
      <c r="AA118" s="2" t="inlineStr">
        <is>
          <t>LANG_Gifts</t>
        </is>
      </c>
      <c r="AB118" s="2" t="inlineStr">
        <is>
          <t>Commitment_Ambiguity</t>
        </is>
      </c>
      <c r="AC118" s="2" t="inlineStr">
        <is>
          <t>Commitment_Ambiguity</t>
        </is>
      </c>
      <c r="AD118" s="2" t="n"/>
      <c r="AE118" s="2" t="n">
        <v>5</v>
      </c>
      <c r="AF118" s="2" t="inlineStr">
        <is>
          <t>hopeful closer</t>
        </is>
      </c>
      <c r="AG118" s="2" t="inlineStr">
        <is>
          <t>last-chance giver</t>
        </is>
      </c>
      <c r="AH118" s="2" t="n">
        <v>0</v>
      </c>
      <c r="AI118" s="2" t="inlineStr">
        <is>
          <t>yes</t>
        </is>
      </c>
      <c r="AJ118" s="2" t="inlineStr">
        <is>
          <t>no</t>
        </is>
      </c>
      <c r="AK118" s="2" t="inlineStr">
        <is>
          <t>yes</t>
        </is>
      </c>
      <c r="AL118" s="2" t="inlineStr">
        <is>
          <t>yes</t>
        </is>
      </c>
      <c r="AM118" s="2" t="n"/>
      <c r="AN118" s="2" t="n"/>
      <c r="AO118" s="2" t="n"/>
      <c r="AP118" s="2" t="inlineStr">
        <is>
          <t>v3_2026-03-19</t>
        </is>
      </c>
      <c r="AQ118">
        <f>(L118-Schema_v5!$C2)/(Schema_v5!$C3-Schema_v5!$C2)</f>
        <v/>
      </c>
      <c r="AR118">
        <f>(M118-Schema_v5!$C4)/(Schema_v5!$C5-Schema_v5!$C4)</f>
        <v/>
      </c>
      <c r="AS118">
        <f>N118/Schema_v5!$C6</f>
        <v/>
      </c>
      <c r="AT118">
        <f>O118/Schema_v5!$C7</f>
        <v/>
      </c>
      <c r="AU118">
        <f>P118/Schema_v5!$C8</f>
        <v/>
      </c>
      <c r="AV118">
        <f>IF(Schema_v5!$C9=0,0,AH118/Schema_v5!$C9)</f>
        <v/>
      </c>
      <c r="AW118">
        <f>IF(Schema_v5!$C10=0,0,AE118/Schema_v5!$C10)</f>
        <v/>
      </c>
      <c r="AX118">
        <f>(W118-Schema_v5!$C11)/(Schema_v5!$C12-Schema_v5!$C11)</f>
        <v/>
      </c>
      <c r="AY118">
        <f>(X118-Schema_v5!$C13)/(Schema_v5!$C14-Schema_v5!$C13)</f>
        <v/>
      </c>
    </row>
    <row r="119" ht="94.5" customHeight="1" s="10">
      <c r="A119" s="2" t="inlineStr">
        <is>
          <t>Q24_C</t>
        </is>
      </c>
      <c r="B119" s="2" t="n">
        <v>24</v>
      </c>
      <c r="C119" s="2" t="n">
        <v>24</v>
      </c>
      <c r="D119" s="2" t="inlineStr">
        <is>
          <t>Core</t>
        </is>
      </c>
      <c r="E119" s="2" t="n">
        <v>1.1</v>
      </c>
      <c r="F119" s="2" t="inlineStr">
        <is>
          <t>EmotionalRegulation</t>
        </is>
      </c>
      <c r="G119" s="2" t="inlineStr">
        <is>
          <t>AttachmentSafety</t>
        </is>
      </c>
      <c r="H119" s="2" t="n"/>
      <c r="I119" s="2" t="inlineStr">
        <is>
          <t>C</t>
        </is>
      </c>
      <c r="J119" s="2" t="inlineStr">
        <is>
          <t>C</t>
        </is>
      </c>
      <c r="K119" s="2" t="inlineStr">
        <is>
          <t>I say it. Not to guilt them, just so they know I noticed. Then I adjust accordingly.</t>
        </is>
      </c>
      <c r="L119" s="2" t="n">
        <v>8</v>
      </c>
      <c r="M119" s="2" t="n">
        <v>9</v>
      </c>
      <c r="N119" s="2" t="n">
        <v>8</v>
      </c>
      <c r="O119" s="2" t="n">
        <v>8</v>
      </c>
      <c r="P119" s="2" t="n">
        <v>8</v>
      </c>
      <c r="Q119" s="2" t="inlineStr">
        <is>
          <t>Analyzer</t>
        </is>
      </c>
      <c r="R119" s="2" t="n">
        <v>2</v>
      </c>
      <c r="S119" s="2" t="n"/>
      <c r="T119" s="2" t="n"/>
      <c r="U119" s="2" t="n">
        <v>0</v>
      </c>
      <c r="V119" s="2" t="inlineStr">
        <is>
          <t>masc:1.4;fem:0.1</t>
        </is>
      </c>
      <c r="W119" s="2" t="n">
        <v>1.4</v>
      </c>
      <c r="X119" s="2" t="n">
        <v>0.1</v>
      </c>
      <c r="Y119" s="2" t="inlineStr">
        <is>
          <t>COMM_Logical</t>
        </is>
      </c>
      <c r="Z119" s="2" t="inlineStr">
        <is>
          <t>REG_SelfSoother</t>
        </is>
      </c>
      <c r="AA119" s="2" t="inlineStr">
        <is>
          <t>LANG_Service</t>
        </is>
      </c>
      <c r="AB119" s="2" t="n"/>
      <c r="AC119" s="2" t="n"/>
      <c r="AD119" s="2" t="n"/>
      <c r="AE119" s="2" t="n">
        <v>0</v>
      </c>
      <c r="AF119" s="2" t="inlineStr">
        <is>
          <t>honest calibration</t>
        </is>
      </c>
      <c r="AG119" s="2" t="inlineStr">
        <is>
          <t>direct communicator</t>
        </is>
      </c>
      <c r="AH119" s="2" t="n">
        <v>0</v>
      </c>
      <c r="AI119" s="2" t="inlineStr">
        <is>
          <t>no</t>
        </is>
      </c>
      <c r="AJ119" s="2" t="inlineStr">
        <is>
          <t>no</t>
        </is>
      </c>
      <c r="AK119" s="2" t="inlineStr">
        <is>
          <t>yes</t>
        </is>
      </c>
      <c r="AL119" s="2" t="inlineStr">
        <is>
          <t>yes</t>
        </is>
      </c>
      <c r="AM119" s="2" t="n"/>
      <c r="AN119" s="2" t="n"/>
      <c r="AO119" s="2" t="n"/>
      <c r="AP119" s="2" t="inlineStr">
        <is>
          <t>v3_2026-03-19</t>
        </is>
      </c>
      <c r="AQ119">
        <f>(L119-Schema_v5!$C2)/(Schema_v5!$C3-Schema_v5!$C2)</f>
        <v/>
      </c>
      <c r="AR119">
        <f>(M119-Schema_v5!$C4)/(Schema_v5!$C5-Schema_v5!$C4)</f>
        <v/>
      </c>
      <c r="AS119">
        <f>N119/Schema_v5!$C6</f>
        <v/>
      </c>
      <c r="AT119">
        <f>O119/Schema_v5!$C7</f>
        <v/>
      </c>
      <c r="AU119">
        <f>P119/Schema_v5!$C8</f>
        <v/>
      </c>
      <c r="AV119">
        <f>IF(Schema_v5!$C9=0,0,AH119/Schema_v5!$C9)</f>
        <v/>
      </c>
      <c r="AW119">
        <f>IF(Schema_v5!$C10=0,0,AE119/Schema_v5!$C10)</f>
        <v/>
      </c>
      <c r="AX119">
        <f>(W119-Schema_v5!$C11)/(Schema_v5!$C12-Schema_v5!$C11)</f>
        <v/>
      </c>
      <c r="AY119">
        <f>(X119-Schema_v5!$C13)/(Schema_v5!$C14-Schema_v5!$C13)</f>
        <v/>
      </c>
    </row>
    <row r="120" ht="162" customHeight="1" s="10">
      <c r="A120" s="2" t="inlineStr">
        <is>
          <t>Q24_D</t>
        </is>
      </c>
      <c r="B120" s="2" t="n">
        <v>24</v>
      </c>
      <c r="C120" s="2" t="n">
        <v>24</v>
      </c>
      <c r="D120" s="2" t="inlineStr">
        <is>
          <t>Core</t>
        </is>
      </c>
      <c r="E120" s="2" t="n">
        <v>1.1</v>
      </c>
      <c r="F120" s="2" t="inlineStr">
        <is>
          <t>EmotionalRegulation</t>
        </is>
      </c>
      <c r="G120" s="2" t="inlineStr">
        <is>
          <t>AttachmentSafety</t>
        </is>
      </c>
      <c r="H120" s="2" t="n"/>
      <c r="I120" s="2" t="inlineStr">
        <is>
          <t>D</t>
        </is>
      </c>
      <c r="J120" s="2" t="inlineStr">
        <is>
          <t>D</t>
        </is>
      </c>
      <c r="K120" s="2" t="inlineStr">
        <is>
          <t>I pretend it doesn't bother me... but then I start making sure they feel the shift. You can't keep taking from someone who stopped offering.</t>
        </is>
      </c>
      <c r="L120" s="2" t="n">
        <v>5</v>
      </c>
      <c r="M120" s="2" t="n">
        <v>6</v>
      </c>
      <c r="N120" s="2" t="n">
        <v>2</v>
      </c>
      <c r="O120" s="2" t="n">
        <v>4</v>
      </c>
      <c r="P120" s="2" t="n">
        <v>2</v>
      </c>
      <c r="Q120" s="2" t="inlineStr">
        <is>
          <t>Phantom Seeker</t>
        </is>
      </c>
      <c r="R120" s="2" t="n">
        <v>10</v>
      </c>
      <c r="S120" s="2" t="n"/>
      <c r="T120" s="2" t="n"/>
      <c r="U120" s="2" t="n">
        <v>0</v>
      </c>
      <c r="V120" s="2" t="inlineStr">
        <is>
          <t>masc:-0.2;fem:1.5</t>
        </is>
      </c>
      <c r="W120" s="2" t="n">
        <v>-0.2</v>
      </c>
      <c r="X120" s="2" t="n">
        <v>1.5</v>
      </c>
      <c r="Y120" s="2" t="inlineStr">
        <is>
          <t>COMM_Emotional</t>
        </is>
      </c>
      <c r="Z120" s="2" t="inlineStr">
        <is>
          <t>REG_SelfSoother</t>
        </is>
      </c>
      <c r="AA120" s="2" t="inlineStr">
        <is>
          <t>LANG_Touch</t>
        </is>
      </c>
      <c r="AB120" s="2" t="inlineStr">
        <is>
          <t>Vulnerability_Loop</t>
        </is>
      </c>
      <c r="AC120" s="2" t="inlineStr">
        <is>
          <t>Vulnerability_Loop</t>
        </is>
      </c>
      <c r="AD120" s="2" t="n"/>
      <c r="AE120" s="2" t="n">
        <v>5</v>
      </c>
      <c r="AF120" s="2" t="inlineStr">
        <is>
          <t>passive signal sender</t>
        </is>
      </c>
      <c r="AG120" s="2" t="inlineStr">
        <is>
          <t>indirect punisher</t>
        </is>
      </c>
      <c r="AH120" s="2" t="n">
        <v>0.2</v>
      </c>
      <c r="AI120" s="2" t="inlineStr">
        <is>
          <t>yes</t>
        </is>
      </c>
      <c r="AJ120" s="2" t="inlineStr">
        <is>
          <t>no</t>
        </is>
      </c>
      <c r="AK120" s="2" t="inlineStr">
        <is>
          <t>yes</t>
        </is>
      </c>
      <c r="AL120" s="2" t="inlineStr">
        <is>
          <t>yes</t>
        </is>
      </c>
      <c r="AM120" s="2" t="n"/>
      <c r="AN120" s="2" t="n"/>
      <c r="AO120" s="2" t="n"/>
      <c r="AP120" s="2" t="inlineStr">
        <is>
          <t>v3_2026-03-19</t>
        </is>
      </c>
      <c r="AQ120">
        <f>(L120-Schema_v5!$C2)/(Schema_v5!$C3-Schema_v5!$C2)</f>
        <v/>
      </c>
      <c r="AR120">
        <f>(M120-Schema_v5!$C4)/(Schema_v5!$C5-Schema_v5!$C4)</f>
        <v/>
      </c>
      <c r="AS120">
        <f>N120/Schema_v5!$C6</f>
        <v/>
      </c>
      <c r="AT120">
        <f>O120/Schema_v5!$C7</f>
        <v/>
      </c>
      <c r="AU120">
        <f>P120/Schema_v5!$C8</f>
        <v/>
      </c>
      <c r="AV120">
        <f>IF(Schema_v5!$C9=0,0,AH120/Schema_v5!$C9)</f>
        <v/>
      </c>
      <c r="AW120">
        <f>IF(Schema_v5!$C10=0,0,AE120/Schema_v5!$C10)</f>
        <v/>
      </c>
      <c r="AX120">
        <f>(W120-Schema_v5!$C11)/(Schema_v5!$C12-Schema_v5!$C11)</f>
        <v/>
      </c>
      <c r="AY120">
        <f>(X120-Schema_v5!$C13)/(Schema_v5!$C14-Schema_v5!$C13)</f>
        <v/>
      </c>
    </row>
    <row r="121" ht="108" customHeight="1" s="10">
      <c r="A121" s="2" t="inlineStr">
        <is>
          <t>Q24_E</t>
        </is>
      </c>
      <c r="B121" s="2" t="n">
        <v>24</v>
      </c>
      <c r="C121" s="2" t="n">
        <v>24</v>
      </c>
      <c r="D121" s="2" t="inlineStr">
        <is>
          <t>Core</t>
        </is>
      </c>
      <c r="E121" s="2" t="n">
        <v>1.1</v>
      </c>
      <c r="F121" s="2" t="inlineStr">
        <is>
          <t>EmotionalRegulation</t>
        </is>
      </c>
      <c r="G121" s="2" t="inlineStr">
        <is>
          <t>AttachmentSafety</t>
        </is>
      </c>
      <c r="H121" s="2" t="n"/>
      <c r="I121" s="2" t="inlineStr">
        <is>
          <t>E</t>
        </is>
      </c>
      <c r="J121" s="2" t="inlineStr">
        <is>
          <t>E</t>
        </is>
      </c>
      <c r="K121" s="2" t="inlineStr">
        <is>
          <t>If it's not appreciated, it was a mistake. I never give twice where it's ignored once.</t>
        </is>
      </c>
      <c r="L121" s="2" t="n">
        <v>9</v>
      </c>
      <c r="M121" s="2" t="n">
        <v>9</v>
      </c>
      <c r="N121" s="2" t="n">
        <v>6</v>
      </c>
      <c r="O121" s="2" t="n">
        <v>6</v>
      </c>
      <c r="P121" s="2" t="n">
        <v>2</v>
      </c>
      <c r="Q121" s="2" t="inlineStr">
        <is>
          <t>Icebox</t>
        </is>
      </c>
      <c r="R121" s="2" t="n">
        <v>1</v>
      </c>
      <c r="S121" s="2" t="n"/>
      <c r="T121" s="2" t="n"/>
      <c r="U121" s="2" t="n">
        <v>0</v>
      </c>
      <c r="V121" s="2" t="inlineStr">
        <is>
          <t>masc:1.8;fem:-1.6</t>
        </is>
      </c>
      <c r="W121" s="2" t="n">
        <v>1.8</v>
      </c>
      <c r="X121" s="2" t="n">
        <v>-1.6</v>
      </c>
      <c r="Y121" s="2" t="inlineStr">
        <is>
          <t>COMM_Avoidant</t>
        </is>
      </c>
      <c r="Z121" s="2" t="inlineStr">
        <is>
          <t>REG_Suppressor</t>
        </is>
      </c>
      <c r="AA121" s="2" t="inlineStr">
        <is>
          <t>LANG_Time</t>
        </is>
      </c>
      <c r="AB121" s="2" t="n"/>
      <c r="AC121" s="2" t="n"/>
      <c r="AD121" s="2" t="n"/>
      <c r="AE121" s="2" t="n">
        <v>0</v>
      </c>
      <c r="AF121" s="2" t="inlineStr">
        <is>
          <t>cold cost-cut</t>
        </is>
      </c>
      <c r="AG121" s="2" t="inlineStr">
        <is>
          <t>clean exit</t>
        </is>
      </c>
      <c r="AH121" s="2" t="n">
        <v>0.6</v>
      </c>
      <c r="AI121" s="2" t="inlineStr">
        <is>
          <t>no</t>
        </is>
      </c>
      <c r="AJ121" s="2" t="inlineStr">
        <is>
          <t>no</t>
        </is>
      </c>
      <c r="AK121" s="2" t="inlineStr">
        <is>
          <t>yes</t>
        </is>
      </c>
      <c r="AL121" s="2" t="inlineStr">
        <is>
          <t>yes</t>
        </is>
      </c>
      <c r="AM121" s="2" t="n"/>
      <c r="AN121" s="2" t="n"/>
      <c r="AO121" s="2" t="n"/>
      <c r="AP121" s="2" t="inlineStr">
        <is>
          <t>v3_2026-03-19</t>
        </is>
      </c>
      <c r="AQ121">
        <f>(L121-Schema_v5!$C2)/(Schema_v5!$C3-Schema_v5!$C2)</f>
        <v/>
      </c>
      <c r="AR121">
        <f>(M121-Schema_v5!$C4)/(Schema_v5!$C5-Schema_v5!$C4)</f>
        <v/>
      </c>
      <c r="AS121">
        <f>N121/Schema_v5!$C6</f>
        <v/>
      </c>
      <c r="AT121">
        <f>O121/Schema_v5!$C7</f>
        <v/>
      </c>
      <c r="AU121">
        <f>P121/Schema_v5!$C8</f>
        <v/>
      </c>
      <c r="AV121">
        <f>IF(Schema_v5!$C9=0,0,AH121/Schema_v5!$C9)</f>
        <v/>
      </c>
      <c r="AW121">
        <f>IF(Schema_v5!$C10=0,0,AE121/Schema_v5!$C10)</f>
        <v/>
      </c>
      <c r="AX121">
        <f>(W121-Schema_v5!$C11)/(Schema_v5!$C12-Schema_v5!$C11)</f>
        <v/>
      </c>
      <c r="AY121">
        <f>(X121-Schema_v5!$C13)/(Schema_v5!$C14-Schema_v5!$C13)</f>
        <v/>
      </c>
    </row>
    <row r="122" ht="135" customHeight="1" s="10">
      <c r="A122" s="2" t="inlineStr">
        <is>
          <t>Q25_A</t>
        </is>
      </c>
      <c r="B122" s="2" t="n">
        <v>25</v>
      </c>
      <c r="C122" s="2" t="n">
        <v>25</v>
      </c>
      <c r="D122" s="2" t="inlineStr">
        <is>
          <t>Core</t>
        </is>
      </c>
      <c r="E122" s="2" t="n">
        <v>1.1</v>
      </c>
      <c r="F122" s="2" t="inlineStr">
        <is>
          <t>ValuesLifestyle</t>
        </is>
      </c>
      <c r="G122" s="2" t="inlineStr">
        <is>
          <t>IntentAlignment</t>
        </is>
      </c>
      <c r="H122" s="2" t="inlineStr">
        <is>
          <t>You start falling for someone... but deep down, you don't think they feel the same. What's your next move?</t>
        </is>
      </c>
      <c r="I122" s="2" t="inlineStr">
        <is>
          <t>A</t>
        </is>
      </c>
      <c r="J122" s="2" t="inlineStr">
        <is>
          <t>A</t>
        </is>
      </c>
      <c r="K122" s="2" t="inlineStr">
        <is>
          <t>I don't say anything. I pull back before it becomes obvious. I've had enough one-sided stories in my life.</t>
        </is>
      </c>
      <c r="L122" s="2" t="n">
        <v>7</v>
      </c>
      <c r="M122" s="2" t="n">
        <v>8</v>
      </c>
      <c r="N122" s="2" t="n">
        <v>6</v>
      </c>
      <c r="O122" s="2" t="n">
        <v>8</v>
      </c>
      <c r="P122" s="2" t="n">
        <v>6</v>
      </c>
      <c r="Q122" s="2" t="inlineStr">
        <is>
          <t>Survivor</t>
        </is>
      </c>
      <c r="R122" s="2" t="n">
        <v>8</v>
      </c>
      <c r="S122" s="2" t="n"/>
      <c r="T122" s="2" t="n"/>
      <c r="U122" s="2" t="n">
        <v>0</v>
      </c>
      <c r="V122" s="2" t="inlineStr">
        <is>
          <t>masc:0.3;fem:1.3</t>
        </is>
      </c>
      <c r="W122" s="2" t="n">
        <v>0.3</v>
      </c>
      <c r="X122" s="2" t="n">
        <v>1.3</v>
      </c>
      <c r="Y122" s="2" t="inlineStr">
        <is>
          <t>COMM_Emotional</t>
        </is>
      </c>
      <c r="Z122" s="2" t="inlineStr">
        <is>
          <t>REG_SelfSoother</t>
        </is>
      </c>
      <c r="AA122" s="2" t="inlineStr">
        <is>
          <t>LANG_Service</t>
        </is>
      </c>
      <c r="AB122" s="2" t="n"/>
      <c r="AC122" s="2" t="n"/>
      <c r="AD122" s="2" t="n"/>
      <c r="AE122" s="2" t="n">
        <v>0</v>
      </c>
      <c r="AF122" s="2" t="inlineStr">
        <is>
          <t>preemptive exit</t>
        </is>
      </c>
      <c r="AG122" s="2" t="inlineStr">
        <is>
          <t>pattern recognizer</t>
        </is>
      </c>
      <c r="AH122" s="2" t="n">
        <v>0.6</v>
      </c>
      <c r="AI122" s="2" t="inlineStr">
        <is>
          <t>no</t>
        </is>
      </c>
      <c r="AJ122" s="2" t="inlineStr">
        <is>
          <t>no</t>
        </is>
      </c>
      <c r="AK122" s="2" t="inlineStr">
        <is>
          <t>no</t>
        </is>
      </c>
      <c r="AL122" s="2" t="inlineStr">
        <is>
          <t>no</t>
        </is>
      </c>
      <c r="AM122" s="2" t="n"/>
      <c r="AN122" s="2" t="n"/>
      <c r="AO122" s="2" t="n"/>
      <c r="AP122" s="2" t="inlineStr">
        <is>
          <t>v3_2026-03-19</t>
        </is>
      </c>
      <c r="AQ122">
        <f>(L122-Schema_v5!$C2)/(Schema_v5!$C3-Schema_v5!$C2)</f>
        <v/>
      </c>
      <c r="AR122">
        <f>(M122-Schema_v5!$C4)/(Schema_v5!$C5-Schema_v5!$C4)</f>
        <v/>
      </c>
      <c r="AS122">
        <f>N122/Schema_v5!$C6</f>
        <v/>
      </c>
      <c r="AT122">
        <f>O122/Schema_v5!$C7</f>
        <v/>
      </c>
      <c r="AU122">
        <f>P122/Schema_v5!$C8</f>
        <v/>
      </c>
      <c r="AV122">
        <f>IF(Schema_v5!$C9=0,0,AH122/Schema_v5!$C9)</f>
        <v/>
      </c>
      <c r="AW122">
        <f>IF(Schema_v5!$C10=0,0,AE122/Schema_v5!$C10)</f>
        <v/>
      </c>
      <c r="AX122">
        <f>(W122-Schema_v5!$C11)/(Schema_v5!$C12-Schema_v5!$C11)</f>
        <v/>
      </c>
      <c r="AY122">
        <f>(X122-Schema_v5!$C13)/(Schema_v5!$C14-Schema_v5!$C13)</f>
        <v/>
      </c>
    </row>
    <row r="123" ht="135" customHeight="1" s="10">
      <c r="A123" s="2" t="inlineStr">
        <is>
          <t>Q25_B</t>
        </is>
      </c>
      <c r="B123" s="2" t="n">
        <v>25</v>
      </c>
      <c r="C123" s="2" t="n">
        <v>25</v>
      </c>
      <c r="D123" s="2" t="inlineStr">
        <is>
          <t>Core</t>
        </is>
      </c>
      <c r="E123" s="2" t="n">
        <v>1.1</v>
      </c>
      <c r="F123" s="2" t="inlineStr">
        <is>
          <t>ValuesLifestyle</t>
        </is>
      </c>
      <c r="G123" s="2" t="inlineStr">
        <is>
          <t>IntentAlignment</t>
        </is>
      </c>
      <c r="H123" s="2" t="n"/>
      <c r="I123" s="2" t="inlineStr">
        <is>
          <t>B</t>
        </is>
      </c>
      <c r="J123" s="2" t="inlineStr">
        <is>
          <t>B</t>
        </is>
      </c>
      <c r="K123" s="2" t="inlineStr">
        <is>
          <t>I try harder. I find reasons to stay in their orbit, hoping they eventually feel it too. It's dumb, but I get stuck in hope loops.</t>
        </is>
      </c>
      <c r="L123" s="2" t="n">
        <v>4</v>
      </c>
      <c r="M123" s="2" t="n">
        <v>5</v>
      </c>
      <c r="N123" s="2" t="n">
        <v>2</v>
      </c>
      <c r="O123" s="2" t="n">
        <v>2</v>
      </c>
      <c r="P123" s="2" t="n">
        <v>2</v>
      </c>
      <c r="Q123" s="2" t="inlineStr">
        <is>
          <t>Fixer</t>
        </is>
      </c>
      <c r="R123" s="2" t="n">
        <v>5</v>
      </c>
      <c r="S123" s="2" t="n"/>
      <c r="T123" s="2" t="n"/>
      <c r="U123" s="2" t="n">
        <v>0</v>
      </c>
      <c r="V123" s="2" t="inlineStr">
        <is>
          <t>masc:-0.4;fem:2.0</t>
        </is>
      </c>
      <c r="W123" s="2" t="n">
        <v>-0.4</v>
      </c>
      <c r="X123" s="2" t="n">
        <v>2</v>
      </c>
      <c r="Y123" s="2" t="inlineStr">
        <is>
          <t>COMM_Emotional</t>
        </is>
      </c>
      <c r="Z123" s="2" t="inlineStr">
        <is>
          <t>REG_CoRegulator</t>
        </is>
      </c>
      <c r="AA123" s="2" t="inlineStr">
        <is>
          <t>LANG_Service</t>
        </is>
      </c>
      <c r="AB123" s="2" t="inlineStr">
        <is>
          <t>Commitment_Ambiguity</t>
        </is>
      </c>
      <c r="AC123" s="2" t="inlineStr">
        <is>
          <t>Commitment_Ambiguity</t>
        </is>
      </c>
      <c r="AD123" s="2" t="n"/>
      <c r="AE123" s="2" t="n">
        <v>5</v>
      </c>
      <c r="AF123" s="2" t="inlineStr">
        <is>
          <t>persistence loop</t>
        </is>
      </c>
      <c r="AG123" s="2" t="inlineStr">
        <is>
          <t>loyal chaser</t>
        </is>
      </c>
      <c r="AH123" s="2" t="n">
        <v>0</v>
      </c>
      <c r="AI123" s="2" t="inlineStr">
        <is>
          <t>yes</t>
        </is>
      </c>
      <c r="AJ123" s="2" t="inlineStr">
        <is>
          <t>no</t>
        </is>
      </c>
      <c r="AK123" s="2" t="inlineStr">
        <is>
          <t>no</t>
        </is>
      </c>
      <c r="AL123" s="2" t="inlineStr">
        <is>
          <t>no</t>
        </is>
      </c>
      <c r="AM123" s="2" t="n"/>
      <c r="AN123" s="2" t="n"/>
      <c r="AO123" s="2" t="n"/>
      <c r="AP123" s="2" t="inlineStr">
        <is>
          <t>v3_2026-03-19</t>
        </is>
      </c>
      <c r="AQ123">
        <f>(L123-Schema_v5!$C2)/(Schema_v5!$C3-Schema_v5!$C2)</f>
        <v/>
      </c>
      <c r="AR123">
        <f>(M123-Schema_v5!$C4)/(Schema_v5!$C5-Schema_v5!$C4)</f>
        <v/>
      </c>
      <c r="AS123">
        <f>N123/Schema_v5!$C6</f>
        <v/>
      </c>
      <c r="AT123">
        <f>O123/Schema_v5!$C7</f>
        <v/>
      </c>
      <c r="AU123">
        <f>P123/Schema_v5!$C8</f>
        <v/>
      </c>
      <c r="AV123">
        <f>IF(Schema_v5!$C9=0,0,AH123/Schema_v5!$C9)</f>
        <v/>
      </c>
      <c r="AW123">
        <f>IF(Schema_v5!$C10=0,0,AE123/Schema_v5!$C10)</f>
        <v/>
      </c>
      <c r="AX123">
        <f>(W123-Schema_v5!$C11)/(Schema_v5!$C12-Schema_v5!$C11)</f>
        <v/>
      </c>
      <c r="AY123">
        <f>(X123-Schema_v5!$C13)/(Schema_v5!$C14-Schema_v5!$C13)</f>
        <v/>
      </c>
    </row>
    <row r="124" ht="121.5" customHeight="1" s="10">
      <c r="A124" s="2" t="inlineStr">
        <is>
          <t>Q25_C</t>
        </is>
      </c>
      <c r="B124" s="2" t="n">
        <v>25</v>
      </c>
      <c r="C124" s="2" t="n">
        <v>25</v>
      </c>
      <c r="D124" s="2" t="inlineStr">
        <is>
          <t>Core</t>
        </is>
      </c>
      <c r="E124" s="2" t="n">
        <v>1.1</v>
      </c>
      <c r="F124" s="2" t="inlineStr">
        <is>
          <t>ValuesLifestyle</t>
        </is>
      </c>
      <c r="G124" s="2" t="inlineStr">
        <is>
          <t>IntentAlignment</t>
        </is>
      </c>
      <c r="H124" s="2" t="n"/>
      <c r="I124" s="2" t="inlineStr">
        <is>
          <t>C</t>
        </is>
      </c>
      <c r="J124" s="2" t="inlineStr">
        <is>
          <t>C</t>
        </is>
      </c>
      <c r="K124" s="2" t="inlineStr">
        <is>
          <t>I ask in roundabout ways. Not directly, but enough to get a read. If they dodge, I emotionally clock out.</t>
        </is>
      </c>
      <c r="L124" s="2" t="n">
        <v>8</v>
      </c>
      <c r="M124" s="2" t="n">
        <v>9</v>
      </c>
      <c r="N124" s="2" t="n">
        <v>8</v>
      </c>
      <c r="O124" s="2" t="n">
        <v>8</v>
      </c>
      <c r="P124" s="2" t="n">
        <v>8</v>
      </c>
      <c r="Q124" s="2" t="inlineStr">
        <is>
          <t>Analyzer</t>
        </is>
      </c>
      <c r="R124" s="2" t="n">
        <v>2</v>
      </c>
      <c r="S124" s="2" t="n"/>
      <c r="T124" s="2" t="n"/>
      <c r="U124" s="2" t="n">
        <v>0</v>
      </c>
      <c r="V124" s="2" t="inlineStr">
        <is>
          <t>masc:1.4;fem:0.1</t>
        </is>
      </c>
      <c r="W124" s="2" t="n">
        <v>1.4</v>
      </c>
      <c r="X124" s="2" t="n">
        <v>0.1</v>
      </c>
      <c r="Y124" s="2" t="inlineStr">
        <is>
          <t>COMM_Logical</t>
        </is>
      </c>
      <c r="Z124" s="2" t="inlineStr">
        <is>
          <t>REG_SelfSoother</t>
        </is>
      </c>
      <c r="AA124" s="2" t="inlineStr">
        <is>
          <t>LANG_Service</t>
        </is>
      </c>
      <c r="AB124" s="2" t="n"/>
      <c r="AC124" s="2" t="n"/>
      <c r="AD124" s="2" t="n"/>
      <c r="AE124" s="2" t="n">
        <v>0</v>
      </c>
      <c r="AF124" s="2" t="inlineStr">
        <is>
          <t>indirect clarifier</t>
        </is>
      </c>
      <c r="AG124" s="2" t="inlineStr">
        <is>
          <t>subtle assessor</t>
        </is>
      </c>
      <c r="AH124" s="2" t="n">
        <v>0</v>
      </c>
      <c r="AI124" s="2" t="inlineStr">
        <is>
          <t>no</t>
        </is>
      </c>
      <c r="AJ124" s="2" t="inlineStr">
        <is>
          <t>no</t>
        </is>
      </c>
      <c r="AK124" s="2" t="inlineStr">
        <is>
          <t>no</t>
        </is>
      </c>
      <c r="AL124" s="2" t="inlineStr">
        <is>
          <t>no</t>
        </is>
      </c>
      <c r="AM124" s="2" t="n"/>
      <c r="AN124" s="2" t="n"/>
      <c r="AO124" s="2" t="n"/>
      <c r="AP124" s="2" t="inlineStr">
        <is>
          <t>v3_2026-03-19</t>
        </is>
      </c>
      <c r="AQ124">
        <f>(L124-Schema_v5!$C2)/(Schema_v5!$C3-Schema_v5!$C2)</f>
        <v/>
      </c>
      <c r="AR124">
        <f>(M124-Schema_v5!$C4)/(Schema_v5!$C5-Schema_v5!$C4)</f>
        <v/>
      </c>
      <c r="AS124">
        <f>N124/Schema_v5!$C6</f>
        <v/>
      </c>
      <c r="AT124">
        <f>O124/Schema_v5!$C7</f>
        <v/>
      </c>
      <c r="AU124">
        <f>P124/Schema_v5!$C8</f>
        <v/>
      </c>
      <c r="AV124">
        <f>IF(Schema_v5!$C9=0,0,AH124/Schema_v5!$C9)</f>
        <v/>
      </c>
      <c r="AW124">
        <f>IF(Schema_v5!$C10=0,0,AE124/Schema_v5!$C10)</f>
        <v/>
      </c>
      <c r="AX124">
        <f>(W124-Schema_v5!$C11)/(Schema_v5!$C12-Schema_v5!$C11)</f>
        <v/>
      </c>
      <c r="AY124">
        <f>(X124-Schema_v5!$C13)/(Schema_v5!$C14-Schema_v5!$C13)</f>
        <v/>
      </c>
    </row>
    <row r="125" ht="121.5" customHeight="1" s="10">
      <c r="A125" s="2" t="inlineStr">
        <is>
          <t>Q25_D</t>
        </is>
      </c>
      <c r="B125" s="2" t="n">
        <v>25</v>
      </c>
      <c r="C125" s="2" t="n">
        <v>25</v>
      </c>
      <c r="D125" s="2" t="inlineStr">
        <is>
          <t>Core</t>
        </is>
      </c>
      <c r="E125" s="2" t="n">
        <v>1.1</v>
      </c>
      <c r="F125" s="2" t="inlineStr">
        <is>
          <t>ValuesLifestyle</t>
        </is>
      </c>
      <c r="G125" s="2" t="inlineStr">
        <is>
          <t>IntentAlignment</t>
        </is>
      </c>
      <c r="H125" s="2" t="n"/>
      <c r="I125" s="2" t="inlineStr">
        <is>
          <t>D</t>
        </is>
      </c>
      <c r="J125" s="2" t="inlineStr">
        <is>
          <t>D</t>
        </is>
      </c>
      <c r="K125" s="2" t="inlineStr">
        <is>
          <t>I keep showing up, but softer. I can't fake confidence I don't feel, so I let them decide what this becomes.</t>
        </is>
      </c>
      <c r="L125" s="2" t="n">
        <v>5</v>
      </c>
      <c r="M125" s="2" t="n">
        <v>6</v>
      </c>
      <c r="N125" s="2" t="n">
        <v>2</v>
      </c>
      <c r="O125" s="2" t="n">
        <v>4</v>
      </c>
      <c r="P125" s="2" t="n">
        <v>2</v>
      </c>
      <c r="Q125" s="2" t="inlineStr">
        <is>
          <t>Phantom Seeker</t>
        </is>
      </c>
      <c r="R125" s="2" t="n">
        <v>10</v>
      </c>
      <c r="S125" s="2" t="n"/>
      <c r="T125" s="2" t="n"/>
      <c r="U125" s="2" t="n">
        <v>0</v>
      </c>
      <c r="V125" s="2" t="inlineStr">
        <is>
          <t>masc:-0.2;fem:1.5</t>
        </is>
      </c>
      <c r="W125" s="2" t="n">
        <v>-0.2</v>
      </c>
      <c r="X125" s="2" t="n">
        <v>1.5</v>
      </c>
      <c r="Y125" s="2" t="inlineStr">
        <is>
          <t>COMM_Emotional</t>
        </is>
      </c>
      <c r="Z125" s="2" t="inlineStr">
        <is>
          <t>REG_SelfSoother</t>
        </is>
      </c>
      <c r="AA125" s="2" t="inlineStr">
        <is>
          <t>LANG_Touch</t>
        </is>
      </c>
      <c r="AB125" s="2" t="inlineStr">
        <is>
          <t>Vulnerability_Loop</t>
        </is>
      </c>
      <c r="AC125" s="2" t="inlineStr">
        <is>
          <t>Vulnerability_Loop</t>
        </is>
      </c>
      <c r="AD125" s="2" t="n"/>
      <c r="AE125" s="2" t="n">
        <v>5</v>
      </c>
      <c r="AF125" s="2" t="inlineStr">
        <is>
          <t>quiet bid</t>
        </is>
      </c>
      <c r="AG125" s="2" t="inlineStr">
        <is>
          <t>reserved participant</t>
        </is>
      </c>
      <c r="AH125" s="2" t="n">
        <v>0</v>
      </c>
      <c r="AI125" s="2" t="inlineStr">
        <is>
          <t>yes</t>
        </is>
      </c>
      <c r="AJ125" s="2" t="inlineStr">
        <is>
          <t>no</t>
        </is>
      </c>
      <c r="AK125" s="2" t="inlineStr">
        <is>
          <t>no</t>
        </is>
      </c>
      <c r="AL125" s="2" t="inlineStr">
        <is>
          <t>no</t>
        </is>
      </c>
      <c r="AM125" s="2" t="n"/>
      <c r="AN125" s="2" t="n"/>
      <c r="AO125" s="2" t="n"/>
      <c r="AP125" s="2" t="inlineStr">
        <is>
          <t>v3_2026-03-19</t>
        </is>
      </c>
      <c r="AQ125">
        <f>(L125-Schema_v5!$C2)/(Schema_v5!$C3-Schema_v5!$C2)</f>
        <v/>
      </c>
      <c r="AR125">
        <f>(M125-Schema_v5!$C4)/(Schema_v5!$C5-Schema_v5!$C4)</f>
        <v/>
      </c>
      <c r="AS125">
        <f>N125/Schema_v5!$C6</f>
        <v/>
      </c>
      <c r="AT125">
        <f>O125/Schema_v5!$C7</f>
        <v/>
      </c>
      <c r="AU125">
        <f>P125/Schema_v5!$C8</f>
        <v/>
      </c>
      <c r="AV125">
        <f>IF(Schema_v5!$C9=0,0,AH125/Schema_v5!$C9)</f>
        <v/>
      </c>
      <c r="AW125">
        <f>IF(Schema_v5!$C10=0,0,AE125/Schema_v5!$C10)</f>
        <v/>
      </c>
      <c r="AX125">
        <f>(W125-Schema_v5!$C11)/(Schema_v5!$C12-Schema_v5!$C11)</f>
        <v/>
      </c>
      <c r="AY125">
        <f>(X125-Schema_v5!$C13)/(Schema_v5!$C14-Schema_v5!$C13)</f>
        <v/>
      </c>
    </row>
    <row r="126" ht="108" customHeight="1" s="10">
      <c r="A126" s="2" t="inlineStr">
        <is>
          <t>Q25_E</t>
        </is>
      </c>
      <c r="B126" s="2" t="n">
        <v>25</v>
      </c>
      <c r="C126" s="2" t="n">
        <v>25</v>
      </c>
      <c r="D126" s="2" t="inlineStr">
        <is>
          <t>Core</t>
        </is>
      </c>
      <c r="E126" s="2" t="n">
        <v>1.1</v>
      </c>
      <c r="F126" s="2" t="inlineStr">
        <is>
          <t>ValuesLifestyle</t>
        </is>
      </c>
      <c r="G126" s="2" t="inlineStr">
        <is>
          <t>IntentAlignment</t>
        </is>
      </c>
      <c r="H126" s="2" t="n"/>
      <c r="I126" s="2" t="inlineStr">
        <is>
          <t>E</t>
        </is>
      </c>
      <c r="J126" s="2" t="inlineStr">
        <is>
          <t>E</t>
        </is>
      </c>
      <c r="K126" s="2" t="inlineStr">
        <is>
          <t>If I have to guess how you feel, I already know. I don't chase someone who wouldn't sprint for me.</t>
        </is>
      </c>
      <c r="L126" s="2" t="n">
        <v>9</v>
      </c>
      <c r="M126" s="2" t="n">
        <v>9</v>
      </c>
      <c r="N126" s="2" t="n">
        <v>6</v>
      </c>
      <c r="O126" s="2" t="n">
        <v>6</v>
      </c>
      <c r="P126" s="2" t="n">
        <v>2</v>
      </c>
      <c r="Q126" s="2" t="inlineStr">
        <is>
          <t>Icebox</t>
        </is>
      </c>
      <c r="R126" s="2" t="n">
        <v>1</v>
      </c>
      <c r="S126" s="2" t="n"/>
      <c r="T126" s="2" t="n"/>
      <c r="U126" s="2" t="n">
        <v>0</v>
      </c>
      <c r="V126" s="2" t="inlineStr">
        <is>
          <t>masc:1.8;fem:-1.6</t>
        </is>
      </c>
      <c r="W126" s="2" t="n">
        <v>1.8</v>
      </c>
      <c r="X126" s="2" t="n">
        <v>-1.6</v>
      </c>
      <c r="Y126" s="2" t="inlineStr">
        <is>
          <t>COMM_Avoidant</t>
        </is>
      </c>
      <c r="Z126" s="2" t="inlineStr">
        <is>
          <t>REG_Suppressor</t>
        </is>
      </c>
      <c r="AA126" s="2" t="inlineStr">
        <is>
          <t>LANG_Time</t>
        </is>
      </c>
      <c r="AB126" s="2" t="n"/>
      <c r="AC126" s="2" t="n"/>
      <c r="AD126" s="2" t="n"/>
      <c r="AE126" s="2" t="n">
        <v>0</v>
      </c>
      <c r="AF126" s="2" t="inlineStr">
        <is>
          <t>high-bar exit logic</t>
        </is>
      </c>
      <c r="AG126" s="2" t="inlineStr">
        <is>
          <t>non-negotiator</t>
        </is>
      </c>
      <c r="AH126" s="2" t="n">
        <v>0.6</v>
      </c>
      <c r="AI126" s="2" t="inlineStr">
        <is>
          <t>no</t>
        </is>
      </c>
      <c r="AJ126" s="2" t="inlineStr">
        <is>
          <t>no</t>
        </is>
      </c>
      <c r="AK126" s="2" t="inlineStr">
        <is>
          <t>no</t>
        </is>
      </c>
      <c r="AL126" s="2" t="inlineStr">
        <is>
          <t>no</t>
        </is>
      </c>
      <c r="AM126" s="2" t="n"/>
      <c r="AN126" s="2" t="n"/>
      <c r="AO126" s="2" t="n"/>
      <c r="AP126" s="2" t="inlineStr">
        <is>
          <t>v3_2026-03-19</t>
        </is>
      </c>
      <c r="AQ126">
        <f>(L126-Schema_v5!$C2)/(Schema_v5!$C3-Schema_v5!$C2)</f>
        <v/>
      </c>
      <c r="AR126">
        <f>(M126-Schema_v5!$C4)/(Schema_v5!$C5-Schema_v5!$C4)</f>
        <v/>
      </c>
      <c r="AS126">
        <f>N126/Schema_v5!$C6</f>
        <v/>
      </c>
      <c r="AT126">
        <f>O126/Schema_v5!$C7</f>
        <v/>
      </c>
      <c r="AU126">
        <f>P126/Schema_v5!$C8</f>
        <v/>
      </c>
      <c r="AV126">
        <f>IF(Schema_v5!$C9=0,0,AH126/Schema_v5!$C9)</f>
        <v/>
      </c>
      <c r="AW126">
        <f>IF(Schema_v5!$C10=0,0,AE126/Schema_v5!$C10)</f>
        <v/>
      </c>
      <c r="AX126">
        <f>(W126-Schema_v5!$C11)/(Schema_v5!$C12-Schema_v5!$C11)</f>
        <v/>
      </c>
      <c r="AY126">
        <f>(X126-Schema_v5!$C13)/(Schema_v5!$C14-Schema_v5!$C13)</f>
        <v/>
      </c>
    </row>
    <row r="127" ht="135" customHeight="1" s="10">
      <c r="A127" s="2" t="inlineStr">
        <is>
          <t>Q26_A</t>
        </is>
      </c>
      <c r="B127" s="2" t="n">
        <v>26</v>
      </c>
      <c r="C127" s="2" t="n">
        <v>26</v>
      </c>
      <c r="D127" s="2" t="inlineStr">
        <is>
          <t>Core</t>
        </is>
      </c>
      <c r="E127" s="2" t="n">
        <v>1.1</v>
      </c>
      <c r="F127" s="2" t="inlineStr">
        <is>
          <t>ValuesLifestyle</t>
        </is>
      </c>
      <c r="G127" s="2" t="inlineStr">
        <is>
          <t>IntentAlignment</t>
        </is>
      </c>
      <c r="H127" s="2" t="inlineStr">
        <is>
          <t>You ask for something small-reassurance, support, a quick favor. But they brush it off or forget. What's your first thought?</t>
        </is>
      </c>
      <c r="I127" s="2" t="inlineStr">
        <is>
          <t>A</t>
        </is>
      </c>
      <c r="J127" s="2" t="inlineStr">
        <is>
          <t>A</t>
        </is>
      </c>
      <c r="K127" s="2" t="inlineStr">
        <is>
          <t>Cool. Won't ask again. I don't repeat myself when it comes to energy.</t>
        </is>
      </c>
      <c r="L127" s="2" t="n">
        <v>9</v>
      </c>
      <c r="M127" s="2" t="n">
        <v>9</v>
      </c>
      <c r="N127" s="2" t="n">
        <v>6</v>
      </c>
      <c r="O127" s="2" t="n">
        <v>6</v>
      </c>
      <c r="P127" s="2" t="n">
        <v>2</v>
      </c>
      <c r="Q127" s="2" t="inlineStr">
        <is>
          <t>Icebox</t>
        </is>
      </c>
      <c r="R127" s="2" t="n">
        <v>1</v>
      </c>
      <c r="S127" s="2" t="n"/>
      <c r="T127" s="2" t="n"/>
      <c r="U127" s="2" t="n">
        <v>0</v>
      </c>
      <c r="V127" s="2" t="inlineStr">
        <is>
          <t>masc:1.8;fem:-1.6</t>
        </is>
      </c>
      <c r="W127" s="2" t="n">
        <v>1.8</v>
      </c>
      <c r="X127" s="2" t="n">
        <v>-1.6</v>
      </c>
      <c r="Y127" s="2" t="inlineStr">
        <is>
          <t>COMM_Avoidant</t>
        </is>
      </c>
      <c r="Z127" s="2" t="inlineStr">
        <is>
          <t>REG_Suppressor</t>
        </is>
      </c>
      <c r="AA127" s="2" t="inlineStr">
        <is>
          <t>LANG_Time</t>
        </is>
      </c>
      <c r="AB127" s="2" t="n"/>
      <c r="AC127" s="2" t="n"/>
      <c r="AD127" s="2" t="n"/>
      <c r="AE127" s="2" t="n">
        <v>0</v>
      </c>
      <c r="AF127" s="2" t="inlineStr">
        <is>
          <t>cut-off switch mentality</t>
        </is>
      </c>
      <c r="AG127" s="2" t="inlineStr">
        <is>
          <t>decisive withdrawer</t>
        </is>
      </c>
      <c r="AH127" s="2" t="n">
        <v>0.6</v>
      </c>
      <c r="AI127" s="2" t="inlineStr">
        <is>
          <t>no</t>
        </is>
      </c>
      <c r="AJ127" s="2" t="inlineStr">
        <is>
          <t>no</t>
        </is>
      </c>
      <c r="AK127" s="2" t="inlineStr">
        <is>
          <t>no</t>
        </is>
      </c>
      <c r="AL127" s="2" t="inlineStr">
        <is>
          <t>no</t>
        </is>
      </c>
      <c r="AM127" s="2" t="n"/>
      <c r="AN127" s="2" t="n"/>
      <c r="AO127" s="2" t="n"/>
      <c r="AP127" s="2" t="inlineStr">
        <is>
          <t>v3_2026-03-19</t>
        </is>
      </c>
      <c r="AQ127">
        <f>(L127-Schema_v5!$C2)/(Schema_v5!$C3-Schema_v5!$C2)</f>
        <v/>
      </c>
      <c r="AR127">
        <f>(M127-Schema_v5!$C4)/(Schema_v5!$C5-Schema_v5!$C4)</f>
        <v/>
      </c>
      <c r="AS127">
        <f>N127/Schema_v5!$C6</f>
        <v/>
      </c>
      <c r="AT127">
        <f>O127/Schema_v5!$C7</f>
        <v/>
      </c>
      <c r="AU127">
        <f>P127/Schema_v5!$C8</f>
        <v/>
      </c>
      <c r="AV127">
        <f>IF(Schema_v5!$C9=0,0,AH127/Schema_v5!$C9)</f>
        <v/>
      </c>
      <c r="AW127">
        <f>IF(Schema_v5!$C10=0,0,AE127/Schema_v5!$C10)</f>
        <v/>
      </c>
      <c r="AX127">
        <f>(W127-Schema_v5!$C11)/(Schema_v5!$C12-Schema_v5!$C11)</f>
        <v/>
      </c>
      <c r="AY127">
        <f>(X127-Schema_v5!$C13)/(Schema_v5!$C14-Schema_v5!$C13)</f>
        <v/>
      </c>
    </row>
    <row r="128" ht="121.5" customHeight="1" s="10">
      <c r="A128" s="2" t="inlineStr">
        <is>
          <t>Q26_B</t>
        </is>
      </c>
      <c r="B128" s="2" t="n">
        <v>26</v>
      </c>
      <c r="C128" s="2" t="n">
        <v>26</v>
      </c>
      <c r="D128" s="2" t="inlineStr">
        <is>
          <t>Core</t>
        </is>
      </c>
      <c r="E128" s="2" t="n">
        <v>1.1</v>
      </c>
      <c r="F128" s="2" t="inlineStr">
        <is>
          <t>ValuesLifestyle</t>
        </is>
      </c>
      <c r="G128" s="2" t="inlineStr">
        <is>
          <t>IntentAlignment</t>
        </is>
      </c>
      <c r="H128" s="2" t="n"/>
      <c r="I128" s="2" t="inlineStr">
        <is>
          <t>B</t>
        </is>
      </c>
      <c r="J128" s="2" t="inlineStr">
        <is>
          <t>B</t>
        </is>
      </c>
      <c r="K128" s="2" t="inlineStr">
        <is>
          <t>Maybe I was too much. I replay it in my head, wondering if I worded it wrong or came off needy.</t>
        </is>
      </c>
      <c r="L128" s="2" t="n">
        <v>4</v>
      </c>
      <c r="M128" s="2" t="n">
        <v>5</v>
      </c>
      <c r="N128" s="2" t="n">
        <v>2</v>
      </c>
      <c r="O128" s="2" t="n">
        <v>2</v>
      </c>
      <c r="P128" s="2" t="n">
        <v>0</v>
      </c>
      <c r="Q128" s="2" t="inlineStr">
        <is>
          <t>Phantom Seeker</t>
        </is>
      </c>
      <c r="R128" s="2" t="n">
        <v>10</v>
      </c>
      <c r="S128" s="2" t="n"/>
      <c r="T128" s="2" t="n"/>
      <c r="U128" s="2" t="n">
        <v>0</v>
      </c>
      <c r="V128" s="2" t="inlineStr">
        <is>
          <t>masc:-0.2;fem:1.5</t>
        </is>
      </c>
      <c r="W128" s="2" t="n">
        <v>-0.2</v>
      </c>
      <c r="X128" s="2" t="n">
        <v>1.5</v>
      </c>
      <c r="Y128" s="2" t="inlineStr">
        <is>
          <t>COMM_Emotional</t>
        </is>
      </c>
      <c r="Z128" s="2" t="inlineStr">
        <is>
          <t>REG_SelfSoother</t>
        </is>
      </c>
      <c r="AA128" s="2" t="inlineStr">
        <is>
          <t>LANG_Touch</t>
        </is>
      </c>
      <c r="AB128" s="2" t="inlineStr">
        <is>
          <t>Commitment_Ambiguity</t>
        </is>
      </c>
      <c r="AC128" s="2" t="inlineStr">
        <is>
          <t>Commitment_Ambiguity</t>
        </is>
      </c>
      <c r="AD128" s="2" t="n"/>
      <c r="AE128" s="2" t="n">
        <v>5</v>
      </c>
      <c r="AF128" s="2" t="inlineStr">
        <is>
          <t>internal shame loop</t>
        </is>
      </c>
      <c r="AG128" s="2" t="inlineStr">
        <is>
          <t>self-blamer</t>
        </is>
      </c>
      <c r="AH128" s="2" t="n">
        <v>0</v>
      </c>
      <c r="AI128" s="2" t="inlineStr">
        <is>
          <t>yes</t>
        </is>
      </c>
      <c r="AJ128" s="2" t="inlineStr">
        <is>
          <t>no</t>
        </is>
      </c>
      <c r="AK128" s="2" t="inlineStr">
        <is>
          <t>no</t>
        </is>
      </c>
      <c r="AL128" s="2" t="inlineStr">
        <is>
          <t>no</t>
        </is>
      </c>
      <c r="AM128" s="2" t="n"/>
      <c r="AN128" s="2" t="n"/>
      <c r="AO128" s="2" t="n"/>
      <c r="AP128" s="2" t="inlineStr">
        <is>
          <t>v3_2026-03-19</t>
        </is>
      </c>
      <c r="AQ128">
        <f>(L128-Schema_v5!$C2)/(Schema_v5!$C3-Schema_v5!$C2)</f>
        <v/>
      </c>
      <c r="AR128">
        <f>(M128-Schema_v5!$C4)/(Schema_v5!$C5-Schema_v5!$C4)</f>
        <v/>
      </c>
      <c r="AS128">
        <f>N128/Schema_v5!$C6</f>
        <v/>
      </c>
      <c r="AT128">
        <f>O128/Schema_v5!$C7</f>
        <v/>
      </c>
      <c r="AU128">
        <f>P128/Schema_v5!$C8</f>
        <v/>
      </c>
      <c r="AV128">
        <f>IF(Schema_v5!$C9=0,0,AH128/Schema_v5!$C9)</f>
        <v/>
      </c>
      <c r="AW128">
        <f>IF(Schema_v5!$C10=0,0,AE128/Schema_v5!$C10)</f>
        <v/>
      </c>
      <c r="AX128">
        <f>(W128-Schema_v5!$C11)/(Schema_v5!$C12-Schema_v5!$C11)</f>
        <v/>
      </c>
      <c r="AY128">
        <f>(X128-Schema_v5!$C13)/(Schema_v5!$C14-Schema_v5!$C13)</f>
        <v/>
      </c>
    </row>
    <row r="129" ht="108" customHeight="1" s="10">
      <c r="A129" s="2" t="inlineStr">
        <is>
          <t>Q26_C</t>
        </is>
      </c>
      <c r="B129" s="2" t="n">
        <v>26</v>
      </c>
      <c r="C129" s="2" t="n">
        <v>26</v>
      </c>
      <c r="D129" s="2" t="inlineStr">
        <is>
          <t>Core</t>
        </is>
      </c>
      <c r="E129" s="2" t="n">
        <v>1.1</v>
      </c>
      <c r="F129" s="2" t="inlineStr">
        <is>
          <t>ValuesLifestyle</t>
        </is>
      </c>
      <c r="G129" s="2" t="inlineStr">
        <is>
          <t>IntentAlignment</t>
        </is>
      </c>
      <c r="H129" s="2" t="n"/>
      <c r="I129" s="2" t="inlineStr">
        <is>
          <t>C</t>
        </is>
      </c>
      <c r="J129" s="2" t="inlineStr">
        <is>
          <t>C</t>
        </is>
      </c>
      <c r="K129" s="2" t="inlineStr">
        <is>
          <t>I bring it up, but lightly, like a joke. If they care, they'll fix it. If they laugh it off again, I note it.</t>
        </is>
      </c>
      <c r="L129" s="2" t="n">
        <v>7</v>
      </c>
      <c r="M129" s="2" t="n">
        <v>8</v>
      </c>
      <c r="N129" s="2" t="n">
        <v>6</v>
      </c>
      <c r="O129" s="2" t="n">
        <v>6</v>
      </c>
      <c r="P129" s="2" t="n">
        <v>6</v>
      </c>
      <c r="Q129" s="2" t="inlineStr">
        <is>
          <t>Analyzer</t>
        </is>
      </c>
      <c r="R129" s="2" t="n">
        <v>2</v>
      </c>
      <c r="S129" s="2" t="n"/>
      <c r="T129" s="2" t="n"/>
      <c r="U129" s="2" t="n">
        <v>0</v>
      </c>
      <c r="V129" s="2" t="inlineStr">
        <is>
          <t>masc:1.4;fem:0.1</t>
        </is>
      </c>
      <c r="W129" s="2" t="n">
        <v>1.4</v>
      </c>
      <c r="X129" s="2" t="n">
        <v>0.1</v>
      </c>
      <c r="Y129" s="2" t="inlineStr">
        <is>
          <t>COMM_Logical</t>
        </is>
      </c>
      <c r="Z129" s="2" t="inlineStr">
        <is>
          <t>REG_SelfSoother</t>
        </is>
      </c>
      <c r="AA129" s="2" t="inlineStr">
        <is>
          <t>LANG_Service</t>
        </is>
      </c>
      <c r="AB129" s="2" t="n"/>
      <c r="AC129" s="2" t="n"/>
      <c r="AD129" s="2" t="n"/>
      <c r="AE129" s="2" t="n">
        <v>0</v>
      </c>
      <c r="AF129" s="2" t="inlineStr">
        <is>
          <t>test hidden in humor</t>
        </is>
      </c>
      <c r="AG129" s="2" t="inlineStr">
        <is>
          <t>subtle assessor</t>
        </is>
      </c>
      <c r="AH129" s="2" t="n">
        <v>0.6</v>
      </c>
      <c r="AI129" s="2" t="inlineStr">
        <is>
          <t>no</t>
        </is>
      </c>
      <c r="AJ129" s="2" t="inlineStr">
        <is>
          <t>no</t>
        </is>
      </c>
      <c r="AK129" s="2" t="inlineStr">
        <is>
          <t>no</t>
        </is>
      </c>
      <c r="AL129" s="2" t="inlineStr">
        <is>
          <t>no</t>
        </is>
      </c>
      <c r="AM129" s="2" t="n"/>
      <c r="AN129" s="2" t="n"/>
      <c r="AO129" s="2" t="n"/>
      <c r="AP129" s="2" t="inlineStr">
        <is>
          <t>v3_2026-03-19</t>
        </is>
      </c>
      <c r="AQ129">
        <f>(L129-Schema_v5!$C2)/(Schema_v5!$C3-Schema_v5!$C2)</f>
        <v/>
      </c>
      <c r="AR129">
        <f>(M129-Schema_v5!$C4)/(Schema_v5!$C5-Schema_v5!$C4)</f>
        <v/>
      </c>
      <c r="AS129">
        <f>N129/Schema_v5!$C6</f>
        <v/>
      </c>
      <c r="AT129">
        <f>O129/Schema_v5!$C7</f>
        <v/>
      </c>
      <c r="AU129">
        <f>P129/Schema_v5!$C8</f>
        <v/>
      </c>
      <c r="AV129">
        <f>IF(Schema_v5!$C9=0,0,AH129/Schema_v5!$C9)</f>
        <v/>
      </c>
      <c r="AW129">
        <f>IF(Schema_v5!$C10=0,0,AE129/Schema_v5!$C10)</f>
        <v/>
      </c>
      <c r="AX129">
        <f>(W129-Schema_v5!$C11)/(Schema_v5!$C12-Schema_v5!$C11)</f>
        <v/>
      </c>
      <c r="AY129">
        <f>(X129-Schema_v5!$C13)/(Schema_v5!$C14-Schema_v5!$C13)</f>
        <v/>
      </c>
    </row>
    <row r="130" ht="162" customHeight="1" s="10">
      <c r="A130" s="2" t="inlineStr">
        <is>
          <t>Q26_D</t>
        </is>
      </c>
      <c r="B130" s="2" t="n">
        <v>26</v>
      </c>
      <c r="C130" s="2" t="n">
        <v>26</v>
      </c>
      <c r="D130" s="2" t="inlineStr">
        <is>
          <t>Core</t>
        </is>
      </c>
      <c r="E130" s="2" t="n">
        <v>1.1</v>
      </c>
      <c r="F130" s="2" t="inlineStr">
        <is>
          <t>ValuesLifestyle</t>
        </is>
      </c>
      <c r="G130" s="2" t="inlineStr">
        <is>
          <t>IntentAlignment</t>
        </is>
      </c>
      <c r="H130" s="2" t="n"/>
      <c r="I130" s="2" t="inlineStr">
        <is>
          <t>D</t>
        </is>
      </c>
      <c r="J130" s="2" t="inlineStr">
        <is>
          <t>D</t>
        </is>
      </c>
      <c r="K130" s="2" t="inlineStr">
        <is>
          <t>I end up doing it myself and tell myself it's fine. I've always handled things alone, so why expect different now?</t>
        </is>
      </c>
      <c r="L130" s="2" t="n">
        <v>6</v>
      </c>
      <c r="M130" s="2" t="n">
        <v>7</v>
      </c>
      <c r="N130" s="2" t="n">
        <v>4</v>
      </c>
      <c r="O130" s="2" t="n">
        <v>6</v>
      </c>
      <c r="P130" s="2" t="n">
        <v>4</v>
      </c>
      <c r="Q130" s="2" t="inlineStr">
        <is>
          <t>Survivor</t>
        </is>
      </c>
      <c r="R130" s="2" t="n">
        <v>8</v>
      </c>
      <c r="S130" s="2" t="n"/>
      <c r="T130" s="2" t="n"/>
      <c r="U130" s="2" t="n">
        <v>0</v>
      </c>
      <c r="V130" s="2" t="inlineStr">
        <is>
          <t>masc:0.3;fem:1.3</t>
        </is>
      </c>
      <c r="W130" s="2" t="n">
        <v>0.3</v>
      </c>
      <c r="X130" s="2" t="n">
        <v>1.3</v>
      </c>
      <c r="Y130" s="2" t="inlineStr">
        <is>
          <t>COMM_Emotional</t>
        </is>
      </c>
      <c r="Z130" s="2" t="inlineStr">
        <is>
          <t>REG_SelfSoother</t>
        </is>
      </c>
      <c r="AA130" s="2" t="inlineStr">
        <is>
          <t>LANG_Touch</t>
        </is>
      </c>
      <c r="AB130" s="2" t="inlineStr">
        <is>
          <t>Vulnerability_Loop</t>
        </is>
      </c>
      <c r="AC130" s="2" t="inlineStr">
        <is>
          <t>Vulnerability_Loop</t>
        </is>
      </c>
      <c r="AD130" s="2" t="n"/>
      <c r="AE130" s="2" t="n">
        <v>5</v>
      </c>
      <c r="AF130" s="2" t="inlineStr">
        <is>
          <t>forced self-reliance</t>
        </is>
      </c>
      <c r="AG130" s="2" t="inlineStr">
        <is>
          <t>self-sufficient pullback</t>
        </is>
      </c>
      <c r="AH130" s="2" t="n">
        <v>0</v>
      </c>
      <c r="AI130" s="2" t="inlineStr">
        <is>
          <t>yes</t>
        </is>
      </c>
      <c r="AJ130" s="2" t="inlineStr">
        <is>
          <t>no</t>
        </is>
      </c>
      <c r="AK130" s="2" t="inlineStr">
        <is>
          <t>no</t>
        </is>
      </c>
      <c r="AL130" s="2" t="inlineStr">
        <is>
          <t>no</t>
        </is>
      </c>
      <c r="AM130" s="2" t="n"/>
      <c r="AN130" s="2" t="n"/>
      <c r="AO130" s="2" t="n"/>
      <c r="AP130" s="2" t="inlineStr">
        <is>
          <t>v3_2026-03-19</t>
        </is>
      </c>
      <c r="AQ130">
        <f>(L130-Schema_v5!$C2)/(Schema_v5!$C3-Schema_v5!$C2)</f>
        <v/>
      </c>
      <c r="AR130">
        <f>(M130-Schema_v5!$C4)/(Schema_v5!$C5-Schema_v5!$C4)</f>
        <v/>
      </c>
      <c r="AS130">
        <f>N130/Schema_v5!$C6</f>
        <v/>
      </c>
      <c r="AT130">
        <f>O130/Schema_v5!$C7</f>
        <v/>
      </c>
      <c r="AU130">
        <f>P130/Schema_v5!$C8</f>
        <v/>
      </c>
      <c r="AV130">
        <f>IF(Schema_v5!$C9=0,0,AH130/Schema_v5!$C9)</f>
        <v/>
      </c>
      <c r="AW130">
        <f>IF(Schema_v5!$C10=0,0,AE130/Schema_v5!$C10)</f>
        <v/>
      </c>
      <c r="AX130">
        <f>(W130-Schema_v5!$C11)/(Schema_v5!$C12-Schema_v5!$C11)</f>
        <v/>
      </c>
      <c r="AY130">
        <f>(X130-Schema_v5!$C13)/(Schema_v5!$C14-Schema_v5!$C13)</f>
        <v/>
      </c>
    </row>
    <row r="131" ht="108" customHeight="1" s="10">
      <c r="A131" s="2" t="inlineStr">
        <is>
          <t>Q26_E</t>
        </is>
      </c>
      <c r="B131" s="2" t="n">
        <v>26</v>
      </c>
      <c r="C131" s="2" t="n">
        <v>26</v>
      </c>
      <c r="D131" s="2" t="inlineStr">
        <is>
          <t>Core</t>
        </is>
      </c>
      <c r="E131" s="2" t="n">
        <v>1.1</v>
      </c>
      <c r="F131" s="2" t="inlineStr">
        <is>
          <t>ValuesLifestyle</t>
        </is>
      </c>
      <c r="G131" s="2" t="inlineStr">
        <is>
          <t>IntentAlignment</t>
        </is>
      </c>
      <c r="H131" s="2" t="n"/>
      <c r="I131" s="2" t="inlineStr">
        <is>
          <t>E</t>
        </is>
      </c>
      <c r="J131" s="2" t="inlineStr">
        <is>
          <t>E</t>
        </is>
      </c>
      <c r="K131" s="2" t="inlineStr">
        <is>
          <t>I give them the benefit of the doubt... for now. But next time I ask, I'm watching closely.</t>
        </is>
      </c>
      <c r="L131" s="2" t="n">
        <v>7</v>
      </c>
      <c r="M131" s="2" t="n">
        <v>8</v>
      </c>
      <c r="N131" s="2" t="n">
        <v>6</v>
      </c>
      <c r="O131" s="2" t="n">
        <v>6</v>
      </c>
      <c r="P131" s="2" t="n">
        <v>4</v>
      </c>
      <c r="Q131" s="2" t="inlineStr">
        <is>
          <t>Romantic Idealist</t>
        </is>
      </c>
      <c r="R131" s="2" t="n">
        <v>6</v>
      </c>
      <c r="S131" s="2" t="n"/>
      <c r="T131" s="2" t="n"/>
      <c r="U131" s="2" t="n">
        <v>0</v>
      </c>
      <c r="V131" s="2" t="inlineStr">
        <is>
          <t>masc:-0.4;fem:1.5</t>
        </is>
      </c>
      <c r="W131" s="2" t="n">
        <v>-0.4</v>
      </c>
      <c r="X131" s="2" t="n">
        <v>1.5</v>
      </c>
      <c r="Y131" s="2" t="inlineStr">
        <is>
          <t>COMM_Emotional</t>
        </is>
      </c>
      <c r="Z131" s="2" t="inlineStr">
        <is>
          <t>REG_Distractor</t>
        </is>
      </c>
      <c r="AA131" s="2" t="inlineStr">
        <is>
          <t>LANG_Gifts</t>
        </is>
      </c>
      <c r="AB131" s="2" t="n"/>
      <c r="AC131" s="2" t="n"/>
      <c r="AD131" s="2" t="n"/>
      <c r="AE131" s="2" t="n">
        <v>0</v>
      </c>
      <c r="AF131" s="2" t="inlineStr">
        <is>
          <t>conditional grace</t>
        </is>
      </c>
      <c r="AG131" s="2" t="inlineStr">
        <is>
          <t>hopeful monitor</t>
        </is>
      </c>
      <c r="AH131" s="2" t="n">
        <v>0</v>
      </c>
      <c r="AI131" s="2" t="inlineStr">
        <is>
          <t>no</t>
        </is>
      </c>
      <c r="AJ131" s="2" t="inlineStr">
        <is>
          <t>no</t>
        </is>
      </c>
      <c r="AK131" s="2" t="inlineStr">
        <is>
          <t>no</t>
        </is>
      </c>
      <c r="AL131" s="2" t="inlineStr">
        <is>
          <t>no</t>
        </is>
      </c>
      <c r="AM131" s="2" t="n"/>
      <c r="AN131" s="2" t="n"/>
      <c r="AO131" s="2" t="n"/>
      <c r="AP131" s="2" t="inlineStr">
        <is>
          <t>v3_2026-03-19</t>
        </is>
      </c>
      <c r="AQ131">
        <f>(L131-Schema_v5!$C2)/(Schema_v5!$C3-Schema_v5!$C2)</f>
        <v/>
      </c>
      <c r="AR131">
        <f>(M131-Schema_v5!$C4)/(Schema_v5!$C5-Schema_v5!$C4)</f>
        <v/>
      </c>
      <c r="AS131">
        <f>N131/Schema_v5!$C6</f>
        <v/>
      </c>
      <c r="AT131">
        <f>O131/Schema_v5!$C7</f>
        <v/>
      </c>
      <c r="AU131">
        <f>P131/Schema_v5!$C8</f>
        <v/>
      </c>
      <c r="AV131">
        <f>IF(Schema_v5!$C9=0,0,AH131/Schema_v5!$C9)</f>
        <v/>
      </c>
      <c r="AW131">
        <f>IF(Schema_v5!$C10=0,0,AE131/Schema_v5!$C10)</f>
        <v/>
      </c>
      <c r="AX131">
        <f>(W131-Schema_v5!$C11)/(Schema_v5!$C12-Schema_v5!$C11)</f>
        <v/>
      </c>
      <c r="AY131">
        <f>(X131-Schema_v5!$C13)/(Schema_v5!$C14-Schema_v5!$C13)</f>
        <v/>
      </c>
    </row>
    <row r="132" ht="135" customHeight="1" s="10">
      <c r="A132" s="2" t="inlineStr">
        <is>
          <t>Q27_A</t>
        </is>
      </c>
      <c r="B132" s="2" t="n">
        <v>27</v>
      </c>
      <c r="C132" s="2" t="n">
        <v>27</v>
      </c>
      <c r="D132" s="2" t="inlineStr">
        <is>
          <t>Core</t>
        </is>
      </c>
      <c r="E132" s="2" t="n">
        <v>1.15</v>
      </c>
      <c r="F132" s="2" t="inlineStr">
        <is>
          <t>ValuesLifestyle</t>
        </is>
      </c>
      <c r="G132" s="2" t="inlineStr">
        <is>
          <t>IntentAlignment</t>
        </is>
      </c>
      <c r="H132" s="2" t="inlineStr">
        <is>
          <t>You finally open up about something that's been weighing on you. Their response feels... underwhelming. What now?</t>
        </is>
      </c>
      <c r="I132" s="2" t="inlineStr">
        <is>
          <t>A</t>
        </is>
      </c>
      <c r="J132" s="2" t="inlineStr">
        <is>
          <t>A</t>
        </is>
      </c>
      <c r="K132" s="2" t="inlineStr">
        <is>
          <t>Noted. That version of me won't show up again. I clock reactions.</t>
        </is>
      </c>
      <c r="L132" s="2" t="n">
        <v>9</v>
      </c>
      <c r="M132" s="2" t="n">
        <v>9</v>
      </c>
      <c r="N132" s="2" t="n">
        <v>6</v>
      </c>
      <c r="O132" s="2" t="n">
        <v>6</v>
      </c>
      <c r="P132" s="2" t="n">
        <v>2</v>
      </c>
      <c r="Q132" s="2" t="inlineStr">
        <is>
          <t>Icebox</t>
        </is>
      </c>
      <c r="R132" s="2" t="n">
        <v>1</v>
      </c>
      <c r="S132" s="2" t="n"/>
      <c r="T132" s="2" t="n"/>
      <c r="U132" s="2" t="n">
        <v>0</v>
      </c>
      <c r="V132" s="2" t="inlineStr">
        <is>
          <t>masc:1.8;fem:-1.6</t>
        </is>
      </c>
      <c r="W132" s="2" t="n">
        <v>1.8</v>
      </c>
      <c r="X132" s="2" t="n">
        <v>-1.6</v>
      </c>
      <c r="Y132" s="2" t="inlineStr">
        <is>
          <t>COMM_Avoidant</t>
        </is>
      </c>
      <c r="Z132" s="2" t="inlineStr">
        <is>
          <t>REG_Suppressor</t>
        </is>
      </c>
      <c r="AA132" s="2" t="inlineStr">
        <is>
          <t>LANG_Time</t>
        </is>
      </c>
      <c r="AB132" s="2" t="n"/>
      <c r="AC132" s="2" t="n"/>
      <c r="AD132" s="2" t="n"/>
      <c r="AE132" s="2" t="n">
        <v>0</v>
      </c>
      <c r="AF132" s="2" t="inlineStr">
        <is>
          <t>one-and-done disclosure</t>
        </is>
      </c>
      <c r="AG132" s="2" t="inlineStr">
        <is>
          <t>trust gatekeeper</t>
        </is>
      </c>
      <c r="AH132" s="2" t="n">
        <v>0</v>
      </c>
      <c r="AI132" s="2" t="inlineStr">
        <is>
          <t>no</t>
        </is>
      </c>
      <c r="AJ132" s="2" t="inlineStr">
        <is>
          <t>no</t>
        </is>
      </c>
      <c r="AK132" s="2" t="inlineStr">
        <is>
          <t>no</t>
        </is>
      </c>
      <c r="AL132" s="2" t="inlineStr">
        <is>
          <t>no</t>
        </is>
      </c>
      <c r="AM132" s="2" t="n"/>
      <c r="AN132" s="2" t="n"/>
      <c r="AO132" s="2" t="n"/>
      <c r="AP132" s="2" t="inlineStr">
        <is>
          <t>v3_2026-03-19</t>
        </is>
      </c>
      <c r="AQ132">
        <f>(L132-Schema_v5!$C2)/(Schema_v5!$C3-Schema_v5!$C2)</f>
        <v/>
      </c>
      <c r="AR132">
        <f>(M132-Schema_v5!$C4)/(Schema_v5!$C5-Schema_v5!$C4)</f>
        <v/>
      </c>
      <c r="AS132">
        <f>N132/Schema_v5!$C6</f>
        <v/>
      </c>
      <c r="AT132">
        <f>O132/Schema_v5!$C7</f>
        <v/>
      </c>
      <c r="AU132">
        <f>P132/Schema_v5!$C8</f>
        <v/>
      </c>
      <c r="AV132">
        <f>IF(Schema_v5!$C9=0,0,AH132/Schema_v5!$C9)</f>
        <v/>
      </c>
      <c r="AW132">
        <f>IF(Schema_v5!$C10=0,0,AE132/Schema_v5!$C10)</f>
        <v/>
      </c>
      <c r="AX132">
        <f>(W132-Schema_v5!$C11)/(Schema_v5!$C12-Schema_v5!$C11)</f>
        <v/>
      </c>
      <c r="AY132">
        <f>(X132-Schema_v5!$C13)/(Schema_v5!$C14-Schema_v5!$C13)</f>
        <v/>
      </c>
    </row>
    <row r="133" ht="108" customHeight="1" s="10">
      <c r="A133" s="2" t="inlineStr">
        <is>
          <t>Q27_B</t>
        </is>
      </c>
      <c r="B133" s="2" t="n">
        <v>27</v>
      </c>
      <c r="C133" s="2" t="n">
        <v>27</v>
      </c>
      <c r="D133" s="2" t="inlineStr">
        <is>
          <t>Core</t>
        </is>
      </c>
      <c r="E133" s="2" t="n">
        <v>1.15</v>
      </c>
      <c r="F133" s="2" t="inlineStr">
        <is>
          <t>ValuesLifestyle</t>
        </is>
      </c>
      <c r="G133" s="2" t="inlineStr">
        <is>
          <t>IntentAlignment</t>
        </is>
      </c>
      <c r="H133" s="2" t="n"/>
      <c r="I133" s="2" t="inlineStr">
        <is>
          <t>B</t>
        </is>
      </c>
      <c r="J133" s="2" t="inlineStr">
        <is>
          <t>B</t>
        </is>
      </c>
      <c r="K133" s="2" t="inlineStr">
        <is>
          <t>I say I'm fine, but now I feel weird. I think about how I made it awkward, then wish I'd kept it in.</t>
        </is>
      </c>
      <c r="L133" s="2" t="n">
        <v>4</v>
      </c>
      <c r="M133" s="2" t="n">
        <v>5</v>
      </c>
      <c r="N133" s="2" t="n">
        <v>2</v>
      </c>
      <c r="O133" s="2" t="n">
        <v>2</v>
      </c>
      <c r="P133" s="2" t="n">
        <v>0</v>
      </c>
      <c r="Q133" s="2" t="inlineStr">
        <is>
          <t>Phantom Seeker</t>
        </is>
      </c>
      <c r="R133" s="2" t="n">
        <v>10</v>
      </c>
      <c r="S133" s="2" t="n"/>
      <c r="T133" s="2" t="n"/>
      <c r="U133" s="2" t="n">
        <v>0</v>
      </c>
      <c r="V133" s="2" t="inlineStr">
        <is>
          <t>masc:-0.2;fem:1.5</t>
        </is>
      </c>
      <c r="W133" s="2" t="n">
        <v>-0.2</v>
      </c>
      <c r="X133" s="2" t="n">
        <v>1.5</v>
      </c>
      <c r="Y133" s="2" t="inlineStr">
        <is>
          <t>COMM_Emotional</t>
        </is>
      </c>
      <c r="Z133" s="2" t="inlineStr">
        <is>
          <t>REG_SelfSoother</t>
        </is>
      </c>
      <c r="AA133" s="2" t="inlineStr">
        <is>
          <t>LANG_Touch</t>
        </is>
      </c>
      <c r="AB133" s="2" t="inlineStr">
        <is>
          <t>Vulnerability_Loop</t>
        </is>
      </c>
      <c r="AC133" s="2" t="inlineStr">
        <is>
          <t>Vulnerability_Loop</t>
        </is>
      </c>
      <c r="AD133" s="2" t="n"/>
      <c r="AE133" s="2" t="n">
        <v>5</v>
      </c>
      <c r="AF133" s="2" t="inlineStr">
        <is>
          <t>vulnerability regret spiral</t>
        </is>
      </c>
      <c r="AG133" s="2" t="inlineStr">
        <is>
          <t>internal retreater</t>
        </is>
      </c>
      <c r="AH133" s="2" t="n">
        <v>0</v>
      </c>
      <c r="AI133" s="2" t="inlineStr">
        <is>
          <t>yes</t>
        </is>
      </c>
      <c r="AJ133" s="2" t="inlineStr">
        <is>
          <t>no</t>
        </is>
      </c>
      <c r="AK133" s="2" t="inlineStr">
        <is>
          <t>no</t>
        </is>
      </c>
      <c r="AL133" s="2" t="inlineStr">
        <is>
          <t>no</t>
        </is>
      </c>
      <c r="AM133" s="2" t="n"/>
      <c r="AN133" s="2" t="n"/>
      <c r="AO133" s="2" t="n"/>
      <c r="AP133" s="2" t="inlineStr">
        <is>
          <t>v3_2026-03-19</t>
        </is>
      </c>
      <c r="AQ133">
        <f>(L133-Schema_v5!$C2)/(Schema_v5!$C3-Schema_v5!$C2)</f>
        <v/>
      </c>
      <c r="AR133">
        <f>(M133-Schema_v5!$C4)/(Schema_v5!$C5-Schema_v5!$C4)</f>
        <v/>
      </c>
      <c r="AS133">
        <f>N133/Schema_v5!$C6</f>
        <v/>
      </c>
      <c r="AT133">
        <f>O133/Schema_v5!$C7</f>
        <v/>
      </c>
      <c r="AU133">
        <f>P133/Schema_v5!$C8</f>
        <v/>
      </c>
      <c r="AV133">
        <f>IF(Schema_v5!$C9=0,0,AH133/Schema_v5!$C9)</f>
        <v/>
      </c>
      <c r="AW133">
        <f>IF(Schema_v5!$C10=0,0,AE133/Schema_v5!$C10)</f>
        <v/>
      </c>
      <c r="AX133">
        <f>(W133-Schema_v5!$C11)/(Schema_v5!$C12-Schema_v5!$C11)</f>
        <v/>
      </c>
      <c r="AY133">
        <f>(X133-Schema_v5!$C13)/(Schema_v5!$C14-Schema_v5!$C13)</f>
        <v/>
      </c>
    </row>
    <row r="134" ht="108" customHeight="1" s="10">
      <c r="A134" s="2" t="inlineStr">
        <is>
          <t>Q27_C</t>
        </is>
      </c>
      <c r="B134" s="2" t="n">
        <v>27</v>
      </c>
      <c r="C134" s="2" t="n">
        <v>27</v>
      </c>
      <c r="D134" s="2" t="inlineStr">
        <is>
          <t>Core</t>
        </is>
      </c>
      <c r="E134" s="2" t="n">
        <v>1.15</v>
      </c>
      <c r="F134" s="2" t="inlineStr">
        <is>
          <t>ValuesLifestyle</t>
        </is>
      </c>
      <c r="G134" s="2" t="inlineStr">
        <is>
          <t>IntentAlignment</t>
        </is>
      </c>
      <c r="H134" s="2" t="n"/>
      <c r="I134" s="2" t="inlineStr">
        <is>
          <t>C</t>
        </is>
      </c>
      <c r="J134" s="2" t="inlineStr">
        <is>
          <t>C</t>
        </is>
      </c>
      <c r="K134" s="2" t="inlineStr">
        <is>
          <t>I replay their tone. Then I analyze whether they didn't care, or just didn't know how to respond.</t>
        </is>
      </c>
      <c r="L134" s="2" t="n">
        <v>7</v>
      </c>
      <c r="M134" s="2" t="n">
        <v>8</v>
      </c>
      <c r="N134" s="2" t="n">
        <v>6</v>
      </c>
      <c r="O134" s="2" t="n">
        <v>8</v>
      </c>
      <c r="P134" s="2" t="n">
        <v>6</v>
      </c>
      <c r="Q134" s="2" t="inlineStr">
        <is>
          <t>Analyzer</t>
        </is>
      </c>
      <c r="R134" s="2" t="n">
        <v>2</v>
      </c>
      <c r="S134" s="2" t="n"/>
      <c r="T134" s="2" t="n"/>
      <c r="U134" s="2" t="n">
        <v>0</v>
      </c>
      <c r="V134" s="2" t="inlineStr">
        <is>
          <t>masc:1.4;fem:0.1</t>
        </is>
      </c>
      <c r="W134" s="2" t="n">
        <v>1.4</v>
      </c>
      <c r="X134" s="2" t="n">
        <v>0.1</v>
      </c>
      <c r="Y134" s="2" t="inlineStr">
        <is>
          <t>COMM_Logical</t>
        </is>
      </c>
      <c r="Z134" s="2" t="inlineStr">
        <is>
          <t>REG_SelfSoother</t>
        </is>
      </c>
      <c r="AA134" s="2" t="inlineStr">
        <is>
          <t>LANG_Service</t>
        </is>
      </c>
      <c r="AB134" s="2" t="n"/>
      <c r="AC134" s="2" t="n"/>
      <c r="AD134" s="2" t="n"/>
      <c r="AE134" s="2" t="n">
        <v>0</v>
      </c>
      <c r="AF134" s="2" t="inlineStr">
        <is>
          <t>emotional forensics</t>
        </is>
      </c>
      <c r="AG134" s="2" t="inlineStr">
        <is>
          <t>intent decoder</t>
        </is>
      </c>
      <c r="AH134" s="2" t="n">
        <v>0</v>
      </c>
      <c r="AI134" s="2" t="inlineStr">
        <is>
          <t>no</t>
        </is>
      </c>
      <c r="AJ134" s="2" t="inlineStr">
        <is>
          <t>no</t>
        </is>
      </c>
      <c r="AK134" s="2" t="inlineStr">
        <is>
          <t>no</t>
        </is>
      </c>
      <c r="AL134" s="2" t="inlineStr">
        <is>
          <t>no</t>
        </is>
      </c>
      <c r="AM134" s="2" t="n"/>
      <c r="AN134" s="2" t="n"/>
      <c r="AO134" s="2" t="n"/>
      <c r="AP134" s="2" t="inlineStr">
        <is>
          <t>v3_2026-03-19</t>
        </is>
      </c>
      <c r="AQ134">
        <f>(L134-Schema_v5!$C2)/(Schema_v5!$C3-Schema_v5!$C2)</f>
        <v/>
      </c>
      <c r="AR134">
        <f>(M134-Schema_v5!$C4)/(Schema_v5!$C5-Schema_v5!$C4)</f>
        <v/>
      </c>
      <c r="AS134">
        <f>N134/Schema_v5!$C6</f>
        <v/>
      </c>
      <c r="AT134">
        <f>O134/Schema_v5!$C7</f>
        <v/>
      </c>
      <c r="AU134">
        <f>P134/Schema_v5!$C8</f>
        <v/>
      </c>
      <c r="AV134">
        <f>IF(Schema_v5!$C9=0,0,AH134/Schema_v5!$C9)</f>
        <v/>
      </c>
      <c r="AW134">
        <f>IF(Schema_v5!$C10=0,0,AE134/Schema_v5!$C10)</f>
        <v/>
      </c>
      <c r="AX134">
        <f>(W134-Schema_v5!$C11)/(Schema_v5!$C12-Schema_v5!$C11)</f>
        <v/>
      </c>
      <c r="AY134">
        <f>(X134-Schema_v5!$C13)/(Schema_v5!$C14-Schema_v5!$C13)</f>
        <v/>
      </c>
    </row>
    <row r="135" ht="135" customHeight="1" s="10">
      <c r="A135" s="2" t="inlineStr">
        <is>
          <t>Q27_D</t>
        </is>
      </c>
      <c r="B135" s="2" t="n">
        <v>27</v>
      </c>
      <c r="C135" s="2" t="n">
        <v>27</v>
      </c>
      <c r="D135" s="2" t="inlineStr">
        <is>
          <t>Core</t>
        </is>
      </c>
      <c r="E135" s="2" t="n">
        <v>1.15</v>
      </c>
      <c r="F135" s="2" t="inlineStr">
        <is>
          <t>ValuesLifestyle</t>
        </is>
      </c>
      <c r="G135" s="2" t="inlineStr">
        <is>
          <t>IntentAlignment</t>
        </is>
      </c>
      <c r="H135" s="2" t="n"/>
      <c r="I135" s="2" t="inlineStr">
        <is>
          <t>D</t>
        </is>
      </c>
      <c r="J135" s="2" t="inlineStr">
        <is>
          <t>D</t>
        </is>
      </c>
      <c r="K135" s="2" t="inlineStr">
        <is>
          <t>I try to clean it up, like "Haha never mind," so they're not uncomfortable. It's easier if I'm the one holding the weight.</t>
        </is>
      </c>
      <c r="L135" s="2" t="n">
        <v>5</v>
      </c>
      <c r="M135" s="2" t="n">
        <v>6</v>
      </c>
      <c r="N135" s="2" t="n">
        <v>4</v>
      </c>
      <c r="O135" s="2" t="n">
        <v>4</v>
      </c>
      <c r="P135" s="2" t="n">
        <v>4</v>
      </c>
      <c r="Q135" s="2" t="inlineStr">
        <is>
          <t>Fixer</t>
        </is>
      </c>
      <c r="R135" s="2" t="n">
        <v>5</v>
      </c>
      <c r="S135" s="2" t="n"/>
      <c r="T135" s="2" t="n"/>
      <c r="U135" s="2" t="n">
        <v>0</v>
      </c>
      <c r="V135" s="2" t="inlineStr">
        <is>
          <t>masc:-0.4;fem:2.0</t>
        </is>
      </c>
      <c r="W135" s="2" t="n">
        <v>-0.4</v>
      </c>
      <c r="X135" s="2" t="n">
        <v>2</v>
      </c>
      <c r="Y135" s="2" t="inlineStr">
        <is>
          <t>COMM_Emotional</t>
        </is>
      </c>
      <c r="Z135" s="2" t="inlineStr">
        <is>
          <t>REG_CoRegulator</t>
        </is>
      </c>
      <c r="AA135" s="2" t="inlineStr">
        <is>
          <t>LANG_Service</t>
        </is>
      </c>
      <c r="AB135" s="2" t="inlineStr">
        <is>
          <t>Vulnerability_Loop</t>
        </is>
      </c>
      <c r="AC135" s="2" t="inlineStr">
        <is>
          <t>Vulnerability_Loop</t>
        </is>
      </c>
      <c r="AD135" s="2" t="n"/>
      <c r="AE135" s="2" t="n">
        <v>5</v>
      </c>
      <c r="AF135" s="2" t="inlineStr">
        <is>
          <t>self-erasure for harmony</t>
        </is>
      </c>
      <c r="AG135" s="2" t="inlineStr">
        <is>
          <t>over-accommodator</t>
        </is>
      </c>
      <c r="AH135" s="2" t="n">
        <v>0</v>
      </c>
      <c r="AI135" s="2" t="inlineStr">
        <is>
          <t>yes</t>
        </is>
      </c>
      <c r="AJ135" s="2" t="inlineStr">
        <is>
          <t>no</t>
        </is>
      </c>
      <c r="AK135" s="2" t="inlineStr">
        <is>
          <t>no</t>
        </is>
      </c>
      <c r="AL135" s="2" t="inlineStr">
        <is>
          <t>no</t>
        </is>
      </c>
      <c r="AM135" s="2" t="n"/>
      <c r="AN135" s="2" t="n"/>
      <c r="AO135" s="2" t="n"/>
      <c r="AP135" s="2" t="inlineStr">
        <is>
          <t>v3_2026-03-19</t>
        </is>
      </c>
      <c r="AQ135">
        <f>(L135-Schema_v5!$C2)/(Schema_v5!$C3-Schema_v5!$C2)</f>
        <v/>
      </c>
      <c r="AR135">
        <f>(M135-Schema_v5!$C4)/(Schema_v5!$C5-Schema_v5!$C4)</f>
        <v/>
      </c>
      <c r="AS135">
        <f>N135/Schema_v5!$C6</f>
        <v/>
      </c>
      <c r="AT135">
        <f>O135/Schema_v5!$C7</f>
        <v/>
      </c>
      <c r="AU135">
        <f>P135/Schema_v5!$C8</f>
        <v/>
      </c>
      <c r="AV135">
        <f>IF(Schema_v5!$C9=0,0,AH135/Schema_v5!$C9)</f>
        <v/>
      </c>
      <c r="AW135">
        <f>IF(Schema_v5!$C10=0,0,AE135/Schema_v5!$C10)</f>
        <v/>
      </c>
      <c r="AX135">
        <f>(W135-Schema_v5!$C11)/(Schema_v5!$C12-Schema_v5!$C11)</f>
        <v/>
      </c>
      <c r="AY135">
        <f>(X135-Schema_v5!$C13)/(Schema_v5!$C14-Schema_v5!$C13)</f>
        <v/>
      </c>
    </row>
    <row r="136" ht="121.5" customHeight="1" s="10">
      <c r="A136" s="2" t="inlineStr">
        <is>
          <t>Q27_E</t>
        </is>
      </c>
      <c r="B136" s="2" t="n">
        <v>27</v>
      </c>
      <c r="C136" s="2" t="n">
        <v>27</v>
      </c>
      <c r="D136" s="2" t="inlineStr">
        <is>
          <t>Core</t>
        </is>
      </c>
      <c r="E136" s="2" t="n">
        <v>1.15</v>
      </c>
      <c r="F136" s="2" t="inlineStr">
        <is>
          <t>ValuesLifestyle</t>
        </is>
      </c>
      <c r="G136" s="2" t="inlineStr">
        <is>
          <t>IntentAlignment</t>
        </is>
      </c>
      <c r="H136" s="2" t="n"/>
      <c r="I136" s="2" t="inlineStr">
        <is>
          <t>E</t>
        </is>
      </c>
      <c r="J136" s="2" t="inlineStr">
        <is>
          <t>E</t>
        </is>
      </c>
      <c r="K136" s="2" t="inlineStr">
        <is>
          <t>I let it go in the moment, but the next time they open up, I mirror that same half-hearted energy back.</t>
        </is>
      </c>
      <c r="L136" s="2" t="n">
        <v>8</v>
      </c>
      <c r="M136" s="2" t="n">
        <v>8</v>
      </c>
      <c r="N136" s="2" t="n">
        <v>4</v>
      </c>
      <c r="O136" s="2" t="n">
        <v>4</v>
      </c>
      <c r="P136" s="2" t="n">
        <v>2</v>
      </c>
      <c r="Q136" s="2" t="inlineStr">
        <is>
          <t>Quiet Exit</t>
        </is>
      </c>
      <c r="R136" s="2" t="n">
        <v>4</v>
      </c>
      <c r="S136" s="2" t="n"/>
      <c r="T136" s="2" t="n"/>
      <c r="U136" s="2" t="n">
        <v>0</v>
      </c>
      <c r="V136" s="2" t="inlineStr">
        <is>
          <t>masc:1.4;fem:-1.3</t>
        </is>
      </c>
      <c r="W136" s="2" t="n">
        <v>1.4</v>
      </c>
      <c r="X136" s="2" t="n">
        <v>-1.3</v>
      </c>
      <c r="Y136" s="2" t="inlineStr">
        <is>
          <t>COMM_Avoidant</t>
        </is>
      </c>
      <c r="Z136" s="2" t="inlineStr">
        <is>
          <t>REG_Suppressor</t>
        </is>
      </c>
      <c r="AA136" s="2" t="inlineStr">
        <is>
          <t>LANG_Time</t>
        </is>
      </c>
      <c r="AB136" s="2" t="n"/>
      <c r="AC136" s="2" t="n"/>
      <c r="AD136" s="2" t="n"/>
      <c r="AE136" s="2" t="n">
        <v>0</v>
      </c>
      <c r="AF136" s="2" t="inlineStr">
        <is>
          <t>balanced withdrawal test</t>
        </is>
      </c>
      <c r="AG136" s="2" t="inlineStr">
        <is>
          <t>mirrored responder</t>
        </is>
      </c>
      <c r="AH136" s="2" t="n">
        <v>0.8</v>
      </c>
      <c r="AI136" s="2" t="inlineStr">
        <is>
          <t>no</t>
        </is>
      </c>
      <c r="AJ136" s="2" t="inlineStr">
        <is>
          <t>no</t>
        </is>
      </c>
      <c r="AK136" s="2" t="inlineStr">
        <is>
          <t>no</t>
        </is>
      </c>
      <c r="AL136" s="2" t="inlineStr">
        <is>
          <t>no</t>
        </is>
      </c>
      <c r="AM136" s="2" t="n"/>
      <c r="AN136" s="2" t="n"/>
      <c r="AO136" s="2" t="n"/>
      <c r="AP136" s="2" t="inlineStr">
        <is>
          <t>v3_2026-03-19</t>
        </is>
      </c>
      <c r="AQ136">
        <f>(L136-Schema_v5!$C2)/(Schema_v5!$C3-Schema_v5!$C2)</f>
        <v/>
      </c>
      <c r="AR136">
        <f>(M136-Schema_v5!$C4)/(Schema_v5!$C5-Schema_v5!$C4)</f>
        <v/>
      </c>
      <c r="AS136">
        <f>N136/Schema_v5!$C6</f>
        <v/>
      </c>
      <c r="AT136">
        <f>O136/Schema_v5!$C7</f>
        <v/>
      </c>
      <c r="AU136">
        <f>P136/Schema_v5!$C8</f>
        <v/>
      </c>
      <c r="AV136">
        <f>IF(Schema_v5!$C9=0,0,AH136/Schema_v5!$C9)</f>
        <v/>
      </c>
      <c r="AW136">
        <f>IF(Schema_v5!$C10=0,0,AE136/Schema_v5!$C10)</f>
        <v/>
      </c>
      <c r="AX136">
        <f>(W136-Schema_v5!$C11)/(Schema_v5!$C12-Schema_v5!$C11)</f>
        <v/>
      </c>
      <c r="AY136">
        <f>(X136-Schema_v5!$C13)/(Schema_v5!$C14-Schema_v5!$C13)</f>
        <v/>
      </c>
    </row>
    <row r="137" ht="148.5" customHeight="1" s="10">
      <c r="A137" s="2" t="inlineStr">
        <is>
          <t>Q28_A</t>
        </is>
      </c>
      <c r="B137" s="2" t="n">
        <v>28</v>
      </c>
      <c r="C137" s="2" t="n">
        <v>28</v>
      </c>
      <c r="D137" s="2" t="inlineStr">
        <is>
          <t>Core</t>
        </is>
      </c>
      <c r="E137" s="2" t="n">
        <v>1.15</v>
      </c>
      <c r="F137" s="2" t="inlineStr">
        <is>
          <t>ValuesLifestyle</t>
        </is>
      </c>
      <c r="G137" s="2" t="inlineStr">
        <is>
          <t>IntentAlignment</t>
        </is>
      </c>
      <c r="H137" s="2" t="inlineStr">
        <is>
          <t>You catch them doing something shady-not cheating, but definitely questionable. They don't know you know. What's your move?</t>
        </is>
      </c>
      <c r="I137" s="2" t="inlineStr">
        <is>
          <t>A</t>
        </is>
      </c>
      <c r="J137" s="2" t="inlineStr">
        <is>
          <t>A</t>
        </is>
      </c>
      <c r="K137" s="2" t="inlineStr">
        <is>
          <t>I don't confront, I collect. I want to see if they'll admit it before I say anything.</t>
        </is>
      </c>
      <c r="L137" s="2" t="n">
        <v>7</v>
      </c>
      <c r="M137" s="2" t="n">
        <v>8</v>
      </c>
      <c r="N137" s="2" t="n">
        <v>6</v>
      </c>
      <c r="O137" s="2" t="n">
        <v>6</v>
      </c>
      <c r="P137" s="2" t="n">
        <v>6</v>
      </c>
      <c r="Q137" s="2" t="inlineStr">
        <is>
          <t>Analyzer</t>
        </is>
      </c>
      <c r="R137" s="2" t="n">
        <v>2</v>
      </c>
      <c r="S137" s="2" t="n"/>
      <c r="T137" s="2" t="n"/>
      <c r="U137" s="2" t="n">
        <v>0</v>
      </c>
      <c r="V137" s="2" t="inlineStr">
        <is>
          <t>masc:1.4;fem:0.1</t>
        </is>
      </c>
      <c r="W137" s="2" t="n">
        <v>1.4</v>
      </c>
      <c r="X137" s="2" t="n">
        <v>0.1</v>
      </c>
      <c r="Y137" s="2" t="inlineStr">
        <is>
          <t>COMM_Logical</t>
        </is>
      </c>
      <c r="Z137" s="2" t="inlineStr">
        <is>
          <t>REG_SelfSoother</t>
        </is>
      </c>
      <c r="AA137" s="2" t="inlineStr">
        <is>
          <t>LANG_Service</t>
        </is>
      </c>
      <c r="AB137" s="2" t="n"/>
      <c r="AC137" s="2" t="n"/>
      <c r="AD137" s="2" t="n"/>
      <c r="AE137" s="2" t="n">
        <v>0</v>
      </c>
      <c r="AF137" s="2" t="inlineStr">
        <is>
          <t>silent pattern tracker</t>
        </is>
      </c>
      <c r="AG137" s="2" t="inlineStr">
        <is>
          <t>quiet investigator</t>
        </is>
      </c>
      <c r="AH137" s="2" t="n">
        <v>1.2</v>
      </c>
      <c r="AI137" s="2" t="inlineStr">
        <is>
          <t>no</t>
        </is>
      </c>
      <c r="AJ137" s="2" t="inlineStr">
        <is>
          <t>no</t>
        </is>
      </c>
      <c r="AK137" s="2" t="inlineStr">
        <is>
          <t>no</t>
        </is>
      </c>
      <c r="AL137" s="2" t="inlineStr">
        <is>
          <t>no</t>
        </is>
      </c>
      <c r="AM137" s="2" t="n"/>
      <c r="AN137" s="2" t="n"/>
      <c r="AO137" s="2" t="n"/>
      <c r="AP137" s="2" t="inlineStr">
        <is>
          <t>v3_2026-03-19</t>
        </is>
      </c>
      <c r="AQ137">
        <f>(L137-Schema_v5!$C2)/(Schema_v5!$C3-Schema_v5!$C2)</f>
        <v/>
      </c>
      <c r="AR137">
        <f>(M137-Schema_v5!$C4)/(Schema_v5!$C5-Schema_v5!$C4)</f>
        <v/>
      </c>
      <c r="AS137">
        <f>N137/Schema_v5!$C6</f>
        <v/>
      </c>
      <c r="AT137">
        <f>O137/Schema_v5!$C7</f>
        <v/>
      </c>
      <c r="AU137">
        <f>P137/Schema_v5!$C8</f>
        <v/>
      </c>
      <c r="AV137">
        <f>IF(Schema_v5!$C9=0,0,AH137/Schema_v5!$C9)</f>
        <v/>
      </c>
      <c r="AW137">
        <f>IF(Schema_v5!$C10=0,0,AE137/Schema_v5!$C10)</f>
        <v/>
      </c>
      <c r="AX137">
        <f>(W137-Schema_v5!$C11)/(Schema_v5!$C12-Schema_v5!$C11)</f>
        <v/>
      </c>
      <c r="AY137">
        <f>(X137-Schema_v5!$C13)/(Schema_v5!$C14-Schema_v5!$C13)</f>
        <v/>
      </c>
    </row>
    <row r="138" ht="135" customHeight="1" s="10">
      <c r="A138" s="2" t="inlineStr">
        <is>
          <t>Q28_B</t>
        </is>
      </c>
      <c r="B138" s="2" t="n">
        <v>28</v>
      </c>
      <c r="C138" s="2" t="n">
        <v>28</v>
      </c>
      <c r="D138" s="2" t="inlineStr">
        <is>
          <t>Core</t>
        </is>
      </c>
      <c r="E138" s="2" t="n">
        <v>1.15</v>
      </c>
      <c r="F138" s="2" t="inlineStr">
        <is>
          <t>ValuesLifestyle</t>
        </is>
      </c>
      <c r="G138" s="2" t="inlineStr">
        <is>
          <t>IntentAlignment</t>
        </is>
      </c>
      <c r="H138" s="2" t="n"/>
      <c r="I138" s="2" t="inlineStr">
        <is>
          <t>B</t>
        </is>
      </c>
      <c r="J138" s="2" t="inlineStr">
        <is>
          <t>B</t>
        </is>
      </c>
      <c r="K138" s="2" t="inlineStr">
        <is>
          <t>I act normal, but I'm already shifting. If you could do that once, you'll do it again. I don't wait for repeats.</t>
        </is>
      </c>
      <c r="L138" s="2" t="n">
        <v>8</v>
      </c>
      <c r="M138" s="2" t="n">
        <v>9</v>
      </c>
      <c r="N138" s="2" t="n">
        <v>4</v>
      </c>
      <c r="O138" s="2" t="n">
        <v>6</v>
      </c>
      <c r="P138" s="2" t="n">
        <v>2</v>
      </c>
      <c r="Q138" s="2" t="inlineStr">
        <is>
          <t>Icebox</t>
        </is>
      </c>
      <c r="R138" s="2" t="n">
        <v>1</v>
      </c>
      <c r="S138" s="2" t="n"/>
      <c r="T138" s="2" t="n"/>
      <c r="U138" s="2" t="n">
        <v>0</v>
      </c>
      <c r="V138" s="2" t="inlineStr">
        <is>
          <t>masc:1.8;fem:-1.6</t>
        </is>
      </c>
      <c r="W138" s="2" t="n">
        <v>1.8</v>
      </c>
      <c r="X138" s="2" t="n">
        <v>-1.6</v>
      </c>
      <c r="Y138" s="2" t="inlineStr">
        <is>
          <t>COMM_Avoidant</t>
        </is>
      </c>
      <c r="Z138" s="2" t="inlineStr">
        <is>
          <t>REG_Suppressor</t>
        </is>
      </c>
      <c r="AA138" s="2" t="inlineStr">
        <is>
          <t>LANG_Time</t>
        </is>
      </c>
      <c r="AB138" s="2" t="n"/>
      <c r="AC138" s="2" t="n"/>
      <c r="AD138" s="2" t="n"/>
      <c r="AE138" s="2" t="n">
        <v>0</v>
      </c>
      <c r="AF138" s="2" t="inlineStr">
        <is>
          <t>silent judgment</t>
        </is>
      </c>
      <c r="AG138" s="2" t="inlineStr">
        <is>
          <t>fast exiter</t>
        </is>
      </c>
      <c r="AH138" s="2" t="n">
        <v>0.6</v>
      </c>
      <c r="AI138" s="2" t="inlineStr">
        <is>
          <t>no</t>
        </is>
      </c>
      <c r="AJ138" s="2" t="inlineStr">
        <is>
          <t>no</t>
        </is>
      </c>
      <c r="AK138" s="2" t="inlineStr">
        <is>
          <t>no</t>
        </is>
      </c>
      <c r="AL138" s="2" t="inlineStr">
        <is>
          <t>no</t>
        </is>
      </c>
      <c r="AM138" s="2" t="n"/>
      <c r="AN138" s="2" t="n"/>
      <c r="AO138" s="2" t="n"/>
      <c r="AP138" s="2" t="inlineStr">
        <is>
          <t>v3_2026-03-19</t>
        </is>
      </c>
      <c r="AQ138">
        <f>(L138-Schema_v5!$C2)/(Schema_v5!$C3-Schema_v5!$C2)</f>
        <v/>
      </c>
      <c r="AR138">
        <f>(M138-Schema_v5!$C4)/(Schema_v5!$C5-Schema_v5!$C4)</f>
        <v/>
      </c>
      <c r="AS138">
        <f>N138/Schema_v5!$C6</f>
        <v/>
      </c>
      <c r="AT138">
        <f>O138/Schema_v5!$C7</f>
        <v/>
      </c>
      <c r="AU138">
        <f>P138/Schema_v5!$C8</f>
        <v/>
      </c>
      <c r="AV138">
        <f>IF(Schema_v5!$C9=0,0,AH138/Schema_v5!$C9)</f>
        <v/>
      </c>
      <c r="AW138">
        <f>IF(Schema_v5!$C10=0,0,AE138/Schema_v5!$C10)</f>
        <v/>
      </c>
      <c r="AX138">
        <f>(W138-Schema_v5!$C11)/(Schema_v5!$C12-Schema_v5!$C11)</f>
        <v/>
      </c>
      <c r="AY138">
        <f>(X138-Schema_v5!$C13)/(Schema_v5!$C14-Schema_v5!$C13)</f>
        <v/>
      </c>
    </row>
    <row r="139" ht="108" customHeight="1" s="10">
      <c r="A139" s="2" t="inlineStr">
        <is>
          <t>Q28_C</t>
        </is>
      </c>
      <c r="B139" s="2" t="n">
        <v>28</v>
      </c>
      <c r="C139" s="2" t="n">
        <v>28</v>
      </c>
      <c r="D139" s="2" t="inlineStr">
        <is>
          <t>Core</t>
        </is>
      </c>
      <c r="E139" s="2" t="n">
        <v>1.15</v>
      </c>
      <c r="F139" s="2" t="inlineStr">
        <is>
          <t>ValuesLifestyle</t>
        </is>
      </c>
      <c r="G139" s="2" t="inlineStr">
        <is>
          <t>IntentAlignment</t>
        </is>
      </c>
      <c r="H139" s="2" t="n"/>
      <c r="I139" s="2" t="inlineStr">
        <is>
          <t>C</t>
        </is>
      </c>
      <c r="J139" s="2" t="inlineStr">
        <is>
          <t>C</t>
        </is>
      </c>
      <c r="K139" s="2" t="inlineStr">
        <is>
          <t>I ask directly. If you lie to my face, I'm done. I'd rather deal with a harsh truth than slow deceit.</t>
        </is>
      </c>
      <c r="L139" s="2" t="n">
        <v>10</v>
      </c>
      <c r="M139" s="2" t="n">
        <v>10</v>
      </c>
      <c r="N139" s="2" t="n">
        <v>10</v>
      </c>
      <c r="O139" s="2" t="n">
        <v>10</v>
      </c>
      <c r="P139" s="2" t="n">
        <v>10</v>
      </c>
      <c r="Q139" s="2" t="inlineStr">
        <is>
          <t>Regulated Grown-Up</t>
        </is>
      </c>
      <c r="R139" s="2" t="n">
        <v>9</v>
      </c>
      <c r="S139" s="2" t="n"/>
      <c r="T139" s="2" t="n"/>
      <c r="U139" s="2" t="n">
        <v>0</v>
      </c>
      <c r="V139" s="2" t="inlineStr">
        <is>
          <t>masc:1.1;fem:0.9</t>
        </is>
      </c>
      <c r="W139" s="2" t="n">
        <v>1.1</v>
      </c>
      <c r="X139" s="2" t="n">
        <v>0.9</v>
      </c>
      <c r="Y139" s="2" t="inlineStr">
        <is>
          <t>COMM_Direct</t>
        </is>
      </c>
      <c r="Z139" s="2" t="inlineStr">
        <is>
          <t>REG_CoRegulator</t>
        </is>
      </c>
      <c r="AA139" s="2" t="inlineStr">
        <is>
          <t>LANG_Words</t>
        </is>
      </c>
      <c r="AB139" s="2" t="n"/>
      <c r="AC139" s="2" t="n"/>
      <c r="AD139" s="2" t="n"/>
      <c r="AE139" s="2" t="n">
        <v>0</v>
      </c>
      <c r="AF139" s="2" t="inlineStr">
        <is>
          <t>boundary with teeth</t>
        </is>
      </c>
      <c r="AG139" s="2" t="inlineStr">
        <is>
          <t>direct confronter</t>
        </is>
      </c>
      <c r="AH139" s="2" t="n">
        <v>0</v>
      </c>
      <c r="AI139" s="2" t="inlineStr">
        <is>
          <t>no</t>
        </is>
      </c>
      <c r="AJ139" s="2" t="inlineStr">
        <is>
          <t>no</t>
        </is>
      </c>
      <c r="AK139" s="2" t="inlineStr">
        <is>
          <t>no</t>
        </is>
      </c>
      <c r="AL139" s="2" t="inlineStr">
        <is>
          <t>no</t>
        </is>
      </c>
      <c r="AM139" s="2" t="n"/>
      <c r="AN139" s="2" t="n"/>
      <c r="AO139" s="2" t="n"/>
      <c r="AP139" s="2" t="inlineStr">
        <is>
          <t>v3_2026-03-19</t>
        </is>
      </c>
      <c r="AQ139">
        <f>(L139-Schema_v5!$C2)/(Schema_v5!$C3-Schema_v5!$C2)</f>
        <v/>
      </c>
      <c r="AR139">
        <f>(M139-Schema_v5!$C4)/(Schema_v5!$C5-Schema_v5!$C4)</f>
        <v/>
      </c>
      <c r="AS139">
        <f>N139/Schema_v5!$C6</f>
        <v/>
      </c>
      <c r="AT139">
        <f>O139/Schema_v5!$C7</f>
        <v/>
      </c>
      <c r="AU139">
        <f>P139/Schema_v5!$C8</f>
        <v/>
      </c>
      <c r="AV139">
        <f>IF(Schema_v5!$C9=0,0,AH139/Schema_v5!$C9)</f>
        <v/>
      </c>
      <c r="AW139">
        <f>IF(Schema_v5!$C10=0,0,AE139/Schema_v5!$C10)</f>
        <v/>
      </c>
      <c r="AX139">
        <f>(W139-Schema_v5!$C11)/(Schema_v5!$C12-Schema_v5!$C11)</f>
        <v/>
      </c>
      <c r="AY139">
        <f>(X139-Schema_v5!$C13)/(Schema_v5!$C14-Schema_v5!$C13)</f>
        <v/>
      </c>
    </row>
    <row r="140" ht="108" customHeight="1" s="10">
      <c r="A140" s="2" t="inlineStr">
        <is>
          <t>Q28_D</t>
        </is>
      </c>
      <c r="B140" s="2" t="n">
        <v>28</v>
      </c>
      <c r="C140" s="2" t="n">
        <v>28</v>
      </c>
      <c r="D140" s="2" t="inlineStr">
        <is>
          <t>Core</t>
        </is>
      </c>
      <c r="E140" s="2" t="n">
        <v>1.15</v>
      </c>
      <c r="F140" s="2" t="inlineStr">
        <is>
          <t>ValuesLifestyle</t>
        </is>
      </c>
      <c r="G140" s="2" t="inlineStr">
        <is>
          <t>IntentAlignment</t>
        </is>
      </c>
      <c r="H140" s="2" t="n"/>
      <c r="I140" s="2" t="inlineStr">
        <is>
          <t>D</t>
        </is>
      </c>
      <c r="J140" s="2" t="inlineStr">
        <is>
          <t>D</t>
        </is>
      </c>
      <c r="K140" s="2" t="inlineStr">
        <is>
          <t>I make a sarcastic comment or drop a subtle clue that I saw it, just to see how they react.</t>
        </is>
      </c>
      <c r="L140" s="2" t="n">
        <v>6</v>
      </c>
      <c r="M140" s="2" t="n">
        <v>7</v>
      </c>
      <c r="N140" s="2" t="n">
        <v>4</v>
      </c>
      <c r="O140" s="2" t="n">
        <v>4</v>
      </c>
      <c r="P140" s="2" t="n">
        <v>2</v>
      </c>
      <c r="Q140" s="2" t="inlineStr">
        <is>
          <t>Performer</t>
        </is>
      </c>
      <c r="R140" s="2" t="n">
        <v>7</v>
      </c>
      <c r="S140" s="2" t="n"/>
      <c r="T140" s="2" t="n"/>
      <c r="U140" s="2" t="n">
        <v>0</v>
      </c>
      <c r="V140" s="2" t="inlineStr">
        <is>
          <t>masc:0.2;fem:1.1</t>
        </is>
      </c>
      <c r="W140" s="2" t="n">
        <v>0.2</v>
      </c>
      <c r="X140" s="2" t="n">
        <v>1.1</v>
      </c>
      <c r="Y140" s="2" t="inlineStr">
        <is>
          <t>COMM_Indirect</t>
        </is>
      </c>
      <c r="Z140" s="2" t="inlineStr">
        <is>
          <t>REG_CoRegulator</t>
        </is>
      </c>
      <c r="AA140" s="2" t="inlineStr">
        <is>
          <t>LANG_Words</t>
        </is>
      </c>
      <c r="AB140" s="2" t="inlineStr">
        <is>
          <t>Scorekeeping_Echo</t>
        </is>
      </c>
      <c r="AC140" s="2" t="inlineStr">
        <is>
          <t>Scorekeeping_Echo</t>
        </is>
      </c>
      <c r="AD140" s="2" t="n"/>
      <c r="AE140" s="2" t="n">
        <v>8</v>
      </c>
      <c r="AF140" s="2" t="inlineStr">
        <is>
          <t>passive confrontation via humor</t>
        </is>
      </c>
      <c r="AG140" s="2" t="inlineStr">
        <is>
          <t>playful tester</t>
        </is>
      </c>
      <c r="AH140" s="2" t="n">
        <v>0.6</v>
      </c>
      <c r="AI140" s="2" t="inlineStr">
        <is>
          <t>yes</t>
        </is>
      </c>
      <c r="AJ140" s="2" t="inlineStr">
        <is>
          <t>no</t>
        </is>
      </c>
      <c r="AK140" s="2" t="inlineStr">
        <is>
          <t>no</t>
        </is>
      </c>
      <c r="AL140" s="2" t="inlineStr">
        <is>
          <t>no</t>
        </is>
      </c>
      <c r="AM140" s="2" t="n"/>
      <c r="AN140" s="2" t="n"/>
      <c r="AO140" s="2" t="n"/>
      <c r="AP140" s="2" t="inlineStr">
        <is>
          <t>v3_2026-03-19</t>
        </is>
      </c>
      <c r="AQ140">
        <f>(L140-Schema_v5!$C2)/(Schema_v5!$C3-Schema_v5!$C2)</f>
        <v/>
      </c>
      <c r="AR140">
        <f>(M140-Schema_v5!$C4)/(Schema_v5!$C5-Schema_v5!$C4)</f>
        <v/>
      </c>
      <c r="AS140">
        <f>N140/Schema_v5!$C6</f>
        <v/>
      </c>
      <c r="AT140">
        <f>O140/Schema_v5!$C7</f>
        <v/>
      </c>
      <c r="AU140">
        <f>P140/Schema_v5!$C8</f>
        <v/>
      </c>
      <c r="AV140">
        <f>IF(Schema_v5!$C9=0,0,AH140/Schema_v5!$C9)</f>
        <v/>
      </c>
      <c r="AW140">
        <f>IF(Schema_v5!$C10=0,0,AE140/Schema_v5!$C10)</f>
        <v/>
      </c>
      <c r="AX140">
        <f>(W140-Schema_v5!$C11)/(Schema_v5!$C12-Schema_v5!$C11)</f>
        <v/>
      </c>
      <c r="AY140">
        <f>(X140-Schema_v5!$C13)/(Schema_v5!$C14-Schema_v5!$C13)</f>
        <v/>
      </c>
    </row>
    <row r="141" ht="121.5" customHeight="1" s="10">
      <c r="A141" s="2" t="inlineStr">
        <is>
          <t>Q28_E</t>
        </is>
      </c>
      <c r="B141" s="2" t="n">
        <v>28</v>
      </c>
      <c r="C141" s="2" t="n">
        <v>28</v>
      </c>
      <c r="D141" s="2" t="inlineStr">
        <is>
          <t>Core</t>
        </is>
      </c>
      <c r="E141" s="2" t="n">
        <v>1.15</v>
      </c>
      <c r="F141" s="2" t="inlineStr">
        <is>
          <t>ValuesLifestyle</t>
        </is>
      </c>
      <c r="G141" s="2" t="inlineStr">
        <is>
          <t>IntentAlignment</t>
        </is>
      </c>
      <c r="H141" s="2" t="n"/>
      <c r="I141" s="2" t="inlineStr">
        <is>
          <t>E</t>
        </is>
      </c>
      <c r="J141" s="2" t="inlineStr">
        <is>
          <t>E</t>
        </is>
      </c>
      <c r="K141" s="2" t="inlineStr">
        <is>
          <t>I question myself first. Maybe I misunderstood. Maybe they had a reason. I spiral before I speak.</t>
        </is>
      </c>
      <c r="L141" s="2" t="n">
        <v>5</v>
      </c>
      <c r="M141" s="2" t="n">
        <v>6</v>
      </c>
      <c r="N141" s="2" t="n">
        <v>2</v>
      </c>
      <c r="O141" s="2" t="n">
        <v>4</v>
      </c>
      <c r="P141" s="2" t="n">
        <v>2</v>
      </c>
      <c r="Q141" s="2" t="inlineStr">
        <is>
          <t>Romantic Idealist</t>
        </is>
      </c>
      <c r="R141" s="2" t="n">
        <v>6</v>
      </c>
      <c r="S141" s="2" t="n"/>
      <c r="T141" s="2" t="n"/>
      <c r="U141" s="2" t="n">
        <v>0</v>
      </c>
      <c r="V141" s="2" t="inlineStr">
        <is>
          <t>masc:-0.4;fem:1.5</t>
        </is>
      </c>
      <c r="W141" s="2" t="n">
        <v>-0.4</v>
      </c>
      <c r="X141" s="2" t="n">
        <v>1.5</v>
      </c>
      <c r="Y141" s="2" t="inlineStr">
        <is>
          <t>COMM_Emotional</t>
        </is>
      </c>
      <c r="Z141" s="2" t="inlineStr">
        <is>
          <t>REG_Distractor</t>
        </is>
      </c>
      <c r="AA141" s="2" t="inlineStr">
        <is>
          <t>LANG_Gifts</t>
        </is>
      </c>
      <c r="AB141" s="2" t="inlineStr">
        <is>
          <t>Commitment_Ambiguity</t>
        </is>
      </c>
      <c r="AC141" s="2" t="inlineStr">
        <is>
          <t>Commitment_Ambiguity</t>
        </is>
      </c>
      <c r="AD141" s="2" t="n"/>
      <c r="AE141" s="2" t="n">
        <v>5</v>
      </c>
      <c r="AF141" s="2" t="inlineStr">
        <is>
          <t>self-gaslighting</t>
        </is>
      </c>
      <c r="AG141" s="2" t="inlineStr">
        <is>
          <t>doubtful justifier</t>
        </is>
      </c>
      <c r="AH141" s="2" t="n">
        <v>0</v>
      </c>
      <c r="AI141" s="2" t="inlineStr">
        <is>
          <t>yes</t>
        </is>
      </c>
      <c r="AJ141" s="2" t="inlineStr">
        <is>
          <t>no</t>
        </is>
      </c>
      <c r="AK141" s="2" t="inlineStr">
        <is>
          <t>no</t>
        </is>
      </c>
      <c r="AL141" s="2" t="inlineStr">
        <is>
          <t>no</t>
        </is>
      </c>
      <c r="AM141" s="2" t="n"/>
      <c r="AN141" s="2" t="n"/>
      <c r="AO141" s="2" t="n"/>
      <c r="AP141" s="2" t="inlineStr">
        <is>
          <t>v3_2026-03-19</t>
        </is>
      </c>
      <c r="AQ141">
        <f>(L141-Schema_v5!$C2)/(Schema_v5!$C3-Schema_v5!$C2)</f>
        <v/>
      </c>
      <c r="AR141">
        <f>(M141-Schema_v5!$C4)/(Schema_v5!$C5-Schema_v5!$C4)</f>
        <v/>
      </c>
      <c r="AS141">
        <f>N141/Schema_v5!$C6</f>
        <v/>
      </c>
      <c r="AT141">
        <f>O141/Schema_v5!$C7</f>
        <v/>
      </c>
      <c r="AU141">
        <f>P141/Schema_v5!$C8</f>
        <v/>
      </c>
      <c r="AV141">
        <f>IF(Schema_v5!$C9=0,0,AH141/Schema_v5!$C9)</f>
        <v/>
      </c>
      <c r="AW141">
        <f>IF(Schema_v5!$C10=0,0,AE141/Schema_v5!$C10)</f>
        <v/>
      </c>
      <c r="AX141">
        <f>(W141-Schema_v5!$C11)/(Schema_v5!$C12-Schema_v5!$C11)</f>
        <v/>
      </c>
      <c r="AY141">
        <f>(X141-Schema_v5!$C13)/(Schema_v5!$C14-Schema_v5!$C13)</f>
        <v/>
      </c>
    </row>
    <row r="142" ht="121.5" customHeight="1" s="10">
      <c r="A142" s="2" t="inlineStr">
        <is>
          <t>Q29_A</t>
        </is>
      </c>
      <c r="B142" s="2" t="n">
        <v>29</v>
      </c>
      <c r="C142" s="2" t="n">
        <v>29</v>
      </c>
      <c r="D142" s="2" t="inlineStr">
        <is>
          <t>Core</t>
        </is>
      </c>
      <c r="E142" s="2" t="n">
        <v>1.15</v>
      </c>
      <c r="F142" s="2" t="inlineStr">
        <is>
          <t>ValuesLifestyle</t>
        </is>
      </c>
      <c r="G142" s="2" t="inlineStr">
        <is>
          <t>IntentAlignment</t>
        </is>
      </c>
      <c r="H142" s="2" t="inlineStr">
        <is>
          <t>You start feeling like they're pulling back emotionally-but they haven't said anything. What's your instinct?</t>
        </is>
      </c>
      <c r="I142" s="2" t="inlineStr">
        <is>
          <t>A</t>
        </is>
      </c>
      <c r="J142" s="2" t="inlineStr">
        <is>
          <t>A</t>
        </is>
      </c>
      <c r="K142" s="2" t="inlineStr">
        <is>
          <t>I match the shift. You move less, I move less. I'm not here to overextend where I'm not met.</t>
        </is>
      </c>
      <c r="L142" s="2" t="n">
        <v>8</v>
      </c>
      <c r="M142" s="2" t="n">
        <v>9</v>
      </c>
      <c r="N142" s="2" t="n">
        <v>4</v>
      </c>
      <c r="O142" s="2" t="n">
        <v>6</v>
      </c>
      <c r="P142" s="2" t="n">
        <v>2</v>
      </c>
      <c r="Q142" s="2" t="inlineStr">
        <is>
          <t>Icebox</t>
        </is>
      </c>
      <c r="R142" s="2" t="n">
        <v>1</v>
      </c>
      <c r="S142" s="2" t="n"/>
      <c r="T142" s="2" t="n"/>
      <c r="U142" s="2" t="n">
        <v>0</v>
      </c>
      <c r="V142" s="2" t="inlineStr">
        <is>
          <t>masc:1.8;fem:-1.6</t>
        </is>
      </c>
      <c r="W142" s="2" t="n">
        <v>1.8</v>
      </c>
      <c r="X142" s="2" t="n">
        <v>-1.6</v>
      </c>
      <c r="Y142" s="2" t="inlineStr">
        <is>
          <t>COMM_Avoidant</t>
        </is>
      </c>
      <c r="Z142" s="2" t="inlineStr">
        <is>
          <t>REG_Suppressor</t>
        </is>
      </c>
      <c r="AA142" s="2" t="inlineStr">
        <is>
          <t>LANG_Time</t>
        </is>
      </c>
      <c r="AB142" s="2" t="n"/>
      <c r="AC142" s="2" t="n"/>
      <c r="AD142" s="2" t="n"/>
      <c r="AE142" s="2" t="n">
        <v>0</v>
      </c>
      <c r="AF142" s="2" t="inlineStr">
        <is>
          <t>energy mirror reflex</t>
        </is>
      </c>
      <c r="AG142" s="2" t="inlineStr">
        <is>
          <t>mirrored boundary</t>
        </is>
      </c>
      <c r="AH142" s="2" t="n">
        <v>0</v>
      </c>
      <c r="AI142" s="2" t="inlineStr">
        <is>
          <t>no</t>
        </is>
      </c>
      <c r="AJ142" s="2" t="inlineStr">
        <is>
          <t>no</t>
        </is>
      </c>
      <c r="AK142" s="2" t="inlineStr">
        <is>
          <t>no</t>
        </is>
      </c>
      <c r="AL142" s="2" t="inlineStr">
        <is>
          <t>no</t>
        </is>
      </c>
      <c r="AM142" s="2" t="n"/>
      <c r="AN142" s="2" t="n"/>
      <c r="AO142" s="2" t="n"/>
      <c r="AP142" s="2" t="inlineStr">
        <is>
          <t>v3_2026-03-19</t>
        </is>
      </c>
      <c r="AQ142">
        <f>(L142-Schema_v5!$C2)/(Schema_v5!$C3-Schema_v5!$C2)</f>
        <v/>
      </c>
      <c r="AR142">
        <f>(M142-Schema_v5!$C4)/(Schema_v5!$C5-Schema_v5!$C4)</f>
        <v/>
      </c>
      <c r="AS142">
        <f>N142/Schema_v5!$C6</f>
        <v/>
      </c>
      <c r="AT142">
        <f>O142/Schema_v5!$C7</f>
        <v/>
      </c>
      <c r="AU142">
        <f>P142/Schema_v5!$C8</f>
        <v/>
      </c>
      <c r="AV142">
        <f>IF(Schema_v5!$C9=0,0,AH142/Schema_v5!$C9)</f>
        <v/>
      </c>
      <c r="AW142">
        <f>IF(Schema_v5!$C10=0,0,AE142/Schema_v5!$C10)</f>
        <v/>
      </c>
      <c r="AX142">
        <f>(W142-Schema_v5!$C11)/(Schema_v5!$C12-Schema_v5!$C11)</f>
        <v/>
      </c>
      <c r="AY142">
        <f>(X142-Schema_v5!$C13)/(Schema_v5!$C14-Schema_v5!$C13)</f>
        <v/>
      </c>
    </row>
    <row r="143" ht="135" customHeight="1" s="10">
      <c r="A143" s="2" t="inlineStr">
        <is>
          <t>Q29_B</t>
        </is>
      </c>
      <c r="B143" s="2" t="n">
        <v>29</v>
      </c>
      <c r="C143" s="2" t="n">
        <v>29</v>
      </c>
      <c r="D143" s="2" t="inlineStr">
        <is>
          <t>Core</t>
        </is>
      </c>
      <c r="E143" s="2" t="n">
        <v>1.15</v>
      </c>
      <c r="F143" s="2" t="inlineStr">
        <is>
          <t>ValuesLifestyle</t>
        </is>
      </c>
      <c r="G143" s="2" t="inlineStr">
        <is>
          <t>IntentAlignment</t>
        </is>
      </c>
      <c r="H143" s="2" t="n"/>
      <c r="I143" s="2" t="inlineStr">
        <is>
          <t>B</t>
        </is>
      </c>
      <c r="J143" s="2" t="inlineStr">
        <is>
          <t>B</t>
        </is>
      </c>
      <c r="K143" s="2" t="inlineStr">
        <is>
          <t>I keep the conversations going, but lighter. I don't want to ask directly, I'd rather just try to stay in their world a bit longer.</t>
        </is>
      </c>
      <c r="L143" s="2" t="n">
        <v>5</v>
      </c>
      <c r="M143" s="2" t="n">
        <v>6</v>
      </c>
      <c r="N143" s="2" t="n">
        <v>2</v>
      </c>
      <c r="O143" s="2" t="n">
        <v>4</v>
      </c>
      <c r="P143" s="2" t="n">
        <v>2</v>
      </c>
      <c r="Q143" s="2" t="inlineStr">
        <is>
          <t>Phantom Seeker</t>
        </is>
      </c>
      <c r="R143" s="2" t="n">
        <v>10</v>
      </c>
      <c r="S143" s="2" t="n"/>
      <c r="T143" s="2" t="n"/>
      <c r="U143" s="2" t="n">
        <v>0</v>
      </c>
      <c r="V143" s="2" t="inlineStr">
        <is>
          <t>masc:-0.2;fem:1.5</t>
        </is>
      </c>
      <c r="W143" s="2" t="n">
        <v>-0.2</v>
      </c>
      <c r="X143" s="2" t="n">
        <v>1.5</v>
      </c>
      <c r="Y143" s="2" t="inlineStr">
        <is>
          <t>COMM_Emotional</t>
        </is>
      </c>
      <c r="Z143" s="2" t="inlineStr">
        <is>
          <t>REG_SelfSoother</t>
        </is>
      </c>
      <c r="AA143" s="2" t="inlineStr">
        <is>
          <t>LANG_Touch</t>
        </is>
      </c>
      <c r="AB143" s="2" t="inlineStr">
        <is>
          <t>Vulnerability_Loop</t>
        </is>
      </c>
      <c r="AC143" s="2" t="inlineStr">
        <is>
          <t>Vulnerability_Loop</t>
        </is>
      </c>
      <c r="AD143" s="2" t="n"/>
      <c r="AE143" s="2" t="n">
        <v>5</v>
      </c>
      <c r="AF143" s="2" t="inlineStr">
        <is>
          <t>soft presence maintenance</t>
        </is>
      </c>
      <c r="AG143" s="2" t="inlineStr">
        <is>
          <t>gentle holder</t>
        </is>
      </c>
      <c r="AH143" s="2" t="n">
        <v>0</v>
      </c>
      <c r="AI143" s="2" t="inlineStr">
        <is>
          <t>yes</t>
        </is>
      </c>
      <c r="AJ143" s="2" t="inlineStr">
        <is>
          <t>no</t>
        </is>
      </c>
      <c r="AK143" s="2" t="inlineStr">
        <is>
          <t>no</t>
        </is>
      </c>
      <c r="AL143" s="2" t="inlineStr">
        <is>
          <t>no</t>
        </is>
      </c>
      <c r="AM143" s="2" t="n"/>
      <c r="AN143" s="2" t="n"/>
      <c r="AO143" s="2" t="n"/>
      <c r="AP143" s="2" t="inlineStr">
        <is>
          <t>v3_2026-03-19</t>
        </is>
      </c>
      <c r="AQ143">
        <f>(L143-Schema_v5!$C2)/(Schema_v5!$C3-Schema_v5!$C2)</f>
        <v/>
      </c>
      <c r="AR143">
        <f>(M143-Schema_v5!$C4)/(Schema_v5!$C5-Schema_v5!$C4)</f>
        <v/>
      </c>
      <c r="AS143">
        <f>N143/Schema_v5!$C6</f>
        <v/>
      </c>
      <c r="AT143">
        <f>O143/Schema_v5!$C7</f>
        <v/>
      </c>
      <c r="AU143">
        <f>P143/Schema_v5!$C8</f>
        <v/>
      </c>
      <c r="AV143">
        <f>IF(Schema_v5!$C9=0,0,AH143/Schema_v5!$C9)</f>
        <v/>
      </c>
      <c r="AW143">
        <f>IF(Schema_v5!$C10=0,0,AE143/Schema_v5!$C10)</f>
        <v/>
      </c>
      <c r="AX143">
        <f>(W143-Schema_v5!$C11)/(Schema_v5!$C12-Schema_v5!$C11)</f>
        <v/>
      </c>
      <c r="AY143">
        <f>(X143-Schema_v5!$C13)/(Schema_v5!$C14-Schema_v5!$C13)</f>
        <v/>
      </c>
    </row>
    <row r="144" ht="135" customHeight="1" s="10">
      <c r="A144" s="2" t="inlineStr">
        <is>
          <t>Q29_C</t>
        </is>
      </c>
      <c r="B144" s="2" t="n">
        <v>29</v>
      </c>
      <c r="C144" s="2" t="n">
        <v>29</v>
      </c>
      <c r="D144" s="2" t="inlineStr">
        <is>
          <t>Core</t>
        </is>
      </c>
      <c r="E144" s="2" t="n">
        <v>1.15</v>
      </c>
      <c r="F144" s="2" t="inlineStr">
        <is>
          <t>ValuesLifestyle</t>
        </is>
      </c>
      <c r="G144" s="2" t="inlineStr">
        <is>
          <t>IntentAlignment</t>
        </is>
      </c>
      <c r="H144" s="2" t="n"/>
      <c r="I144" s="2" t="inlineStr">
        <is>
          <t>C</t>
        </is>
      </c>
      <c r="J144" s="2" t="inlineStr">
        <is>
          <t>C</t>
        </is>
      </c>
      <c r="K144" s="2" t="inlineStr">
        <is>
          <t>I bring it up. I don't like guessing games. If we're drifting, I'd rather name it than pretend it's not happening.</t>
        </is>
      </c>
      <c r="L144" s="2" t="n">
        <v>10</v>
      </c>
      <c r="M144" s="2" t="n">
        <v>10</v>
      </c>
      <c r="N144" s="2" t="n">
        <v>10</v>
      </c>
      <c r="O144" s="2" t="n">
        <v>10</v>
      </c>
      <c r="P144" s="2" t="n">
        <v>10</v>
      </c>
      <c r="Q144" s="2" t="inlineStr">
        <is>
          <t>Regulated Grown-Up</t>
        </is>
      </c>
      <c r="R144" s="2" t="n">
        <v>9</v>
      </c>
      <c r="S144" s="2" t="n"/>
      <c r="T144" s="2" t="n"/>
      <c r="U144" s="2" t="n">
        <v>0</v>
      </c>
      <c r="V144" s="2" t="inlineStr">
        <is>
          <t>masc:1.1;fem:0.9</t>
        </is>
      </c>
      <c r="W144" s="2" t="n">
        <v>1.1</v>
      </c>
      <c r="X144" s="2" t="n">
        <v>0.9</v>
      </c>
      <c r="Y144" s="2" t="inlineStr">
        <is>
          <t>COMM_Direct</t>
        </is>
      </c>
      <c r="Z144" s="2" t="inlineStr">
        <is>
          <t>REG_CoRegulator</t>
        </is>
      </c>
      <c r="AA144" s="2" t="inlineStr">
        <is>
          <t>LANG_Words</t>
        </is>
      </c>
      <c r="AB144" s="2" t="n"/>
      <c r="AC144" s="2" t="n"/>
      <c r="AD144" s="2" t="n"/>
      <c r="AE144" s="2" t="n">
        <v>0</v>
      </c>
      <c r="AF144" s="2" t="inlineStr">
        <is>
          <t>clarity seeker</t>
        </is>
      </c>
      <c r="AG144" s="2" t="inlineStr">
        <is>
          <t>direct communicator</t>
        </is>
      </c>
      <c r="AH144" s="2" t="n">
        <v>0.5</v>
      </c>
      <c r="AI144" s="2" t="inlineStr">
        <is>
          <t>no</t>
        </is>
      </c>
      <c r="AJ144" s="2" t="inlineStr">
        <is>
          <t>no</t>
        </is>
      </c>
      <c r="AK144" s="2" t="inlineStr">
        <is>
          <t>no</t>
        </is>
      </c>
      <c r="AL144" s="2" t="inlineStr">
        <is>
          <t>no</t>
        </is>
      </c>
      <c r="AM144" s="2" t="n"/>
      <c r="AN144" s="2" t="n"/>
      <c r="AO144" s="2" t="n"/>
      <c r="AP144" s="2" t="inlineStr">
        <is>
          <t>v3_2026-03-19</t>
        </is>
      </c>
      <c r="AQ144">
        <f>(L144-Schema_v5!$C2)/(Schema_v5!$C3-Schema_v5!$C2)</f>
        <v/>
      </c>
      <c r="AR144">
        <f>(M144-Schema_v5!$C4)/(Schema_v5!$C5-Schema_v5!$C4)</f>
        <v/>
      </c>
      <c r="AS144">
        <f>N144/Schema_v5!$C6</f>
        <v/>
      </c>
      <c r="AT144">
        <f>O144/Schema_v5!$C7</f>
        <v/>
      </c>
      <c r="AU144">
        <f>P144/Schema_v5!$C8</f>
        <v/>
      </c>
      <c r="AV144">
        <f>IF(Schema_v5!$C9=0,0,AH144/Schema_v5!$C9)</f>
        <v/>
      </c>
      <c r="AW144">
        <f>IF(Schema_v5!$C10=0,0,AE144/Schema_v5!$C10)</f>
        <v/>
      </c>
      <c r="AX144">
        <f>(W144-Schema_v5!$C11)/(Schema_v5!$C12-Schema_v5!$C11)</f>
        <v/>
      </c>
      <c r="AY144">
        <f>(X144-Schema_v5!$C13)/(Schema_v5!$C14-Schema_v5!$C13)</f>
        <v/>
      </c>
    </row>
    <row r="145" ht="135" customHeight="1" s="10">
      <c r="A145" s="2" t="inlineStr">
        <is>
          <t>Q29_D</t>
        </is>
      </c>
      <c r="B145" s="2" t="n">
        <v>29</v>
      </c>
      <c r="C145" s="2" t="n">
        <v>29</v>
      </c>
      <c r="D145" s="2" t="inlineStr">
        <is>
          <t>Core</t>
        </is>
      </c>
      <c r="E145" s="2" t="n">
        <v>1.15</v>
      </c>
      <c r="F145" s="2" t="inlineStr">
        <is>
          <t>ValuesLifestyle</t>
        </is>
      </c>
      <c r="G145" s="2" t="inlineStr">
        <is>
          <t>IntentAlignment</t>
        </is>
      </c>
      <c r="H145" s="2" t="n"/>
      <c r="I145" s="2" t="inlineStr">
        <is>
          <t>D</t>
        </is>
      </c>
      <c r="J145" s="2" t="inlineStr">
        <is>
          <t>D</t>
        </is>
      </c>
      <c r="K145" s="2" t="inlineStr">
        <is>
          <t>I start mentally preparing for the end. I've seen this before, distance always comes before the goodbye.</t>
        </is>
      </c>
      <c r="L145" s="2" t="n">
        <v>6</v>
      </c>
      <c r="M145" s="2" t="n">
        <v>7</v>
      </c>
      <c r="N145" s="2" t="n">
        <v>4</v>
      </c>
      <c r="O145" s="2" t="n">
        <v>6</v>
      </c>
      <c r="P145" s="2" t="n">
        <v>4</v>
      </c>
      <c r="Q145" s="2" t="inlineStr">
        <is>
          <t>Survivor</t>
        </is>
      </c>
      <c r="R145" s="2" t="n">
        <v>8</v>
      </c>
      <c r="S145" s="2" t="n"/>
      <c r="T145" s="2" t="n"/>
      <c r="U145" s="2" t="n">
        <v>0</v>
      </c>
      <c r="V145" s="2" t="inlineStr">
        <is>
          <t>masc:0.3;fem:1.3</t>
        </is>
      </c>
      <c r="W145" s="2" t="n">
        <v>0.3</v>
      </c>
      <c r="X145" s="2" t="n">
        <v>1.3</v>
      </c>
      <c r="Y145" s="2" t="inlineStr">
        <is>
          <t>COMM_Emotional</t>
        </is>
      </c>
      <c r="Z145" s="2" t="inlineStr">
        <is>
          <t>REG_SelfSoother</t>
        </is>
      </c>
      <c r="AA145" s="2" t="inlineStr">
        <is>
          <t>LANG_Service</t>
        </is>
      </c>
      <c r="AB145" s="2" t="inlineStr">
        <is>
          <t>Vulnerability_Loop</t>
        </is>
      </c>
      <c r="AC145" s="2" t="inlineStr">
        <is>
          <t>Vulnerability_Loop</t>
        </is>
      </c>
      <c r="AD145" s="2" t="n"/>
      <c r="AE145" s="2" t="n">
        <v>5</v>
      </c>
      <c r="AF145" s="2" t="inlineStr">
        <is>
          <t>preemptive grief process</t>
        </is>
      </c>
      <c r="AG145" s="2" t="inlineStr">
        <is>
          <t>guarded planner</t>
        </is>
      </c>
      <c r="AH145" s="2" t="n">
        <v>0</v>
      </c>
      <c r="AI145" s="2" t="inlineStr">
        <is>
          <t>yes</t>
        </is>
      </c>
      <c r="AJ145" s="2" t="inlineStr">
        <is>
          <t>no</t>
        </is>
      </c>
      <c r="AK145" s="2" t="inlineStr">
        <is>
          <t>no</t>
        </is>
      </c>
      <c r="AL145" s="2" t="inlineStr">
        <is>
          <t>no</t>
        </is>
      </c>
      <c r="AM145" s="2" t="n"/>
      <c r="AN145" s="2" t="n"/>
      <c r="AO145" s="2" t="n"/>
      <c r="AP145" s="2" t="inlineStr">
        <is>
          <t>v3_2026-03-19</t>
        </is>
      </c>
      <c r="AQ145">
        <f>(L145-Schema_v5!$C2)/(Schema_v5!$C3-Schema_v5!$C2)</f>
        <v/>
      </c>
      <c r="AR145">
        <f>(M145-Schema_v5!$C4)/(Schema_v5!$C5-Schema_v5!$C4)</f>
        <v/>
      </c>
      <c r="AS145">
        <f>N145/Schema_v5!$C6</f>
        <v/>
      </c>
      <c r="AT145">
        <f>O145/Schema_v5!$C7</f>
        <v/>
      </c>
      <c r="AU145">
        <f>P145/Schema_v5!$C8</f>
        <v/>
      </c>
      <c r="AV145">
        <f>IF(Schema_v5!$C9=0,0,AH145/Schema_v5!$C9)</f>
        <v/>
      </c>
      <c r="AW145">
        <f>IF(Schema_v5!$C10=0,0,AE145/Schema_v5!$C10)</f>
        <v/>
      </c>
      <c r="AX145">
        <f>(W145-Schema_v5!$C11)/(Schema_v5!$C12-Schema_v5!$C11)</f>
        <v/>
      </c>
      <c r="AY145">
        <f>(X145-Schema_v5!$C13)/(Schema_v5!$C14-Schema_v5!$C13)</f>
        <v/>
      </c>
    </row>
    <row r="146" ht="135" customHeight="1" s="10">
      <c r="A146" s="2" t="inlineStr">
        <is>
          <t>Q29_E</t>
        </is>
      </c>
      <c r="B146" s="2" t="n">
        <v>29</v>
      </c>
      <c r="C146" s="2" t="n">
        <v>29</v>
      </c>
      <c r="D146" s="2" t="inlineStr">
        <is>
          <t>Core</t>
        </is>
      </c>
      <c r="E146" s="2" t="n">
        <v>1.15</v>
      </c>
      <c r="F146" s="2" t="inlineStr">
        <is>
          <t>ValuesLifestyle</t>
        </is>
      </c>
      <c r="G146" s="2" t="inlineStr">
        <is>
          <t>IntentAlignment</t>
        </is>
      </c>
      <c r="H146" s="2" t="n"/>
      <c r="I146" s="2" t="inlineStr">
        <is>
          <t>E</t>
        </is>
      </c>
      <c r="J146" s="2" t="inlineStr">
        <is>
          <t>E</t>
        </is>
      </c>
      <c r="K146" s="2" t="inlineStr">
        <is>
          <t>I start monitoring everything, timing, wording, vibe. I try to pinpoint exactly when the shift started.</t>
        </is>
      </c>
      <c r="L146" s="2" t="n">
        <v>7</v>
      </c>
      <c r="M146" s="2" t="n">
        <v>8</v>
      </c>
      <c r="N146" s="2" t="n">
        <v>6</v>
      </c>
      <c r="O146" s="2" t="n">
        <v>6</v>
      </c>
      <c r="P146" s="2" t="n">
        <v>6</v>
      </c>
      <c r="Q146" s="2" t="inlineStr">
        <is>
          <t>Analyzer</t>
        </is>
      </c>
      <c r="R146" s="2" t="n">
        <v>2</v>
      </c>
      <c r="S146" s="2" t="n"/>
      <c r="T146" s="2" t="n"/>
      <c r="U146" s="2" t="n">
        <v>0</v>
      </c>
      <c r="V146" s="2" t="inlineStr">
        <is>
          <t>masc:1.4;fem:0.1</t>
        </is>
      </c>
      <c r="W146" s="2" t="n">
        <v>1.4</v>
      </c>
      <c r="X146" s="2" t="n">
        <v>0.1</v>
      </c>
      <c r="Y146" s="2" t="inlineStr">
        <is>
          <t>COMM_Logical</t>
        </is>
      </c>
      <c r="Z146" s="2" t="inlineStr">
        <is>
          <t>REG_SelfSoother</t>
        </is>
      </c>
      <c r="AA146" s="2" t="inlineStr">
        <is>
          <t>LANG_Service</t>
        </is>
      </c>
      <c r="AB146" s="2" t="n"/>
      <c r="AC146" s="2" t="n"/>
      <c r="AD146" s="2" t="n"/>
      <c r="AE146" s="2" t="n">
        <v>0</v>
      </c>
      <c r="AF146" s="2" t="inlineStr">
        <is>
          <t>pattern lockdown mode</t>
        </is>
      </c>
      <c r="AG146" s="2" t="inlineStr">
        <is>
          <t>detailed tracker</t>
        </is>
      </c>
      <c r="AH146" s="2" t="n">
        <v>0.6</v>
      </c>
      <c r="AI146" s="2" t="inlineStr">
        <is>
          <t>no</t>
        </is>
      </c>
      <c r="AJ146" s="2" t="inlineStr">
        <is>
          <t>no</t>
        </is>
      </c>
      <c r="AK146" s="2" t="inlineStr">
        <is>
          <t>no</t>
        </is>
      </c>
      <c r="AL146" s="2" t="inlineStr">
        <is>
          <t>no</t>
        </is>
      </c>
      <c r="AM146" s="2" t="n"/>
      <c r="AN146" s="2" t="n"/>
      <c r="AO146" s="2" t="n"/>
      <c r="AP146" s="2" t="inlineStr">
        <is>
          <t>v3_2026-03-19</t>
        </is>
      </c>
      <c r="AQ146">
        <f>(L146-Schema_v5!$C2)/(Schema_v5!$C3-Schema_v5!$C2)</f>
        <v/>
      </c>
      <c r="AR146">
        <f>(M146-Schema_v5!$C4)/(Schema_v5!$C5-Schema_v5!$C4)</f>
        <v/>
      </c>
      <c r="AS146">
        <f>N146/Schema_v5!$C6</f>
        <v/>
      </c>
      <c r="AT146">
        <f>O146/Schema_v5!$C7</f>
        <v/>
      </c>
      <c r="AU146">
        <f>P146/Schema_v5!$C8</f>
        <v/>
      </c>
      <c r="AV146">
        <f>IF(Schema_v5!$C9=0,0,AH146/Schema_v5!$C9)</f>
        <v/>
      </c>
      <c r="AW146">
        <f>IF(Schema_v5!$C10=0,0,AE146/Schema_v5!$C10)</f>
        <v/>
      </c>
      <c r="AX146">
        <f>(W146-Schema_v5!$C11)/(Schema_v5!$C12-Schema_v5!$C11)</f>
        <v/>
      </c>
      <c r="AY146">
        <f>(X146-Schema_v5!$C13)/(Schema_v5!$C14-Schema_v5!$C13)</f>
        <v/>
      </c>
    </row>
    <row r="147" ht="135" customHeight="1" s="10">
      <c r="A147" s="2" t="inlineStr">
        <is>
          <t>Q30_A</t>
        </is>
      </c>
      <c r="B147" s="2" t="n">
        <v>30</v>
      </c>
      <c r="C147" s="2" t="n">
        <v>30</v>
      </c>
      <c r="D147" s="2" t="inlineStr">
        <is>
          <t>Core</t>
        </is>
      </c>
      <c r="E147" s="2" t="n">
        <v>1.15</v>
      </c>
      <c r="F147" s="2" t="inlineStr">
        <is>
          <t>ValuesLifestyle</t>
        </is>
      </c>
      <c r="G147" s="2" t="inlineStr">
        <is>
          <t>IntentAlignment</t>
        </is>
      </c>
      <c r="H147" s="2" t="inlineStr">
        <is>
          <t>You show up honest-open, maybe even a little unsure. But they respond with distance or sarcasm. What's your next move?</t>
        </is>
      </c>
      <c r="I147" s="2" t="inlineStr">
        <is>
          <t>A</t>
        </is>
      </c>
      <c r="J147" s="2" t="inlineStr">
        <is>
          <t>A</t>
        </is>
      </c>
      <c r="K147" s="2" t="inlineStr">
        <is>
          <t>I laugh it off like I wasn't being serious. Then I close that part of myself off, probably for good.</t>
        </is>
      </c>
      <c r="L147" s="2" t="n">
        <v>8</v>
      </c>
      <c r="M147" s="2" t="n">
        <v>9</v>
      </c>
      <c r="N147" s="2" t="n">
        <v>4</v>
      </c>
      <c r="O147" s="2" t="n">
        <v>6</v>
      </c>
      <c r="P147" s="2" t="n">
        <v>2</v>
      </c>
      <c r="Q147" s="2" t="inlineStr">
        <is>
          <t>Icebox</t>
        </is>
      </c>
      <c r="R147" s="2" t="n">
        <v>1</v>
      </c>
      <c r="S147" s="2" t="n"/>
      <c r="T147" s="2" t="n"/>
      <c r="U147" s="2" t="n">
        <v>0</v>
      </c>
      <c r="V147" s="2" t="inlineStr">
        <is>
          <t>masc:1.8;fem:-1.6</t>
        </is>
      </c>
      <c r="W147" s="2" t="n">
        <v>1.8</v>
      </c>
      <c r="X147" s="2" t="n">
        <v>-1.6</v>
      </c>
      <c r="Y147" s="2" t="inlineStr">
        <is>
          <t>COMM_Avoidant</t>
        </is>
      </c>
      <c r="Z147" s="2" t="inlineStr">
        <is>
          <t>REG_Suppressor</t>
        </is>
      </c>
      <c r="AA147" s="2" t="inlineStr">
        <is>
          <t>LANG_Time</t>
        </is>
      </c>
      <c r="AB147" s="2" t="n"/>
      <c r="AC147" s="2" t="n"/>
      <c r="AD147" s="2" t="n"/>
      <c r="AE147" s="2" t="n">
        <v>0</v>
      </c>
      <c r="AF147" s="2" t="inlineStr">
        <is>
          <t>emotional retraction protocol</t>
        </is>
      </c>
      <c r="AG147" s="2" t="inlineStr">
        <is>
          <t>trust closer</t>
        </is>
      </c>
      <c r="AH147" s="2" t="n">
        <v>0</v>
      </c>
      <c r="AI147" s="2" t="inlineStr">
        <is>
          <t>no</t>
        </is>
      </c>
      <c r="AJ147" s="2" t="inlineStr">
        <is>
          <t>no</t>
        </is>
      </c>
      <c r="AK147" s="2" t="inlineStr">
        <is>
          <t>no</t>
        </is>
      </c>
      <c r="AL147" s="2" t="inlineStr">
        <is>
          <t>no</t>
        </is>
      </c>
      <c r="AM147" s="2" t="n"/>
      <c r="AN147" s="2" t="n"/>
      <c r="AO147" s="2" t="n"/>
      <c r="AP147" s="2" t="inlineStr">
        <is>
          <t>v3_2026-03-19</t>
        </is>
      </c>
      <c r="AQ147">
        <f>(L147-Schema_v5!$C2)/(Schema_v5!$C3-Schema_v5!$C2)</f>
        <v/>
      </c>
      <c r="AR147">
        <f>(M147-Schema_v5!$C4)/(Schema_v5!$C5-Schema_v5!$C4)</f>
        <v/>
      </c>
      <c r="AS147">
        <f>N147/Schema_v5!$C6</f>
        <v/>
      </c>
      <c r="AT147">
        <f>O147/Schema_v5!$C7</f>
        <v/>
      </c>
      <c r="AU147">
        <f>P147/Schema_v5!$C8</f>
        <v/>
      </c>
      <c r="AV147">
        <f>IF(Schema_v5!$C9=0,0,AH147/Schema_v5!$C9)</f>
        <v/>
      </c>
      <c r="AW147">
        <f>IF(Schema_v5!$C10=0,0,AE147/Schema_v5!$C10)</f>
        <v/>
      </c>
      <c r="AX147">
        <f>(W147-Schema_v5!$C11)/(Schema_v5!$C12-Schema_v5!$C11)</f>
        <v/>
      </c>
      <c r="AY147">
        <f>(X147-Schema_v5!$C13)/(Schema_v5!$C14-Schema_v5!$C13)</f>
        <v/>
      </c>
    </row>
    <row r="148" ht="121.5" customHeight="1" s="10">
      <c r="A148" s="2" t="inlineStr">
        <is>
          <t>Q30_B</t>
        </is>
      </c>
      <c r="B148" s="2" t="n">
        <v>30</v>
      </c>
      <c r="C148" s="2" t="n">
        <v>30</v>
      </c>
      <c r="D148" s="2" t="inlineStr">
        <is>
          <t>Core</t>
        </is>
      </c>
      <c r="E148" s="2" t="n">
        <v>1.15</v>
      </c>
      <c r="F148" s="2" t="inlineStr">
        <is>
          <t>ValuesLifestyle</t>
        </is>
      </c>
      <c r="G148" s="2" t="inlineStr">
        <is>
          <t>IntentAlignment</t>
        </is>
      </c>
      <c r="H148" s="2" t="n"/>
      <c r="I148" s="2" t="inlineStr">
        <is>
          <t>B</t>
        </is>
      </c>
      <c r="J148" s="2" t="inlineStr">
        <is>
          <t>B</t>
        </is>
      </c>
      <c r="K148" s="2" t="inlineStr">
        <is>
          <t>I over-explain myself. I try to make it less intense so maybe they'll lean back in. I just hate the silence.</t>
        </is>
      </c>
      <c r="L148" s="2" t="n">
        <v>4</v>
      </c>
      <c r="M148" s="2" t="n">
        <v>5</v>
      </c>
      <c r="N148" s="2" t="n">
        <v>2</v>
      </c>
      <c r="O148" s="2" t="n">
        <v>2</v>
      </c>
      <c r="P148" s="2" t="n">
        <v>0</v>
      </c>
      <c r="Q148" s="2" t="inlineStr">
        <is>
          <t>Phantom Seeker</t>
        </is>
      </c>
      <c r="R148" s="2" t="n">
        <v>10</v>
      </c>
      <c r="S148" s="2" t="n"/>
      <c r="T148" s="2" t="n"/>
      <c r="U148" s="2" t="n">
        <v>0</v>
      </c>
      <c r="V148" s="2" t="inlineStr">
        <is>
          <t>masc:-0.2;fem:1.5</t>
        </is>
      </c>
      <c r="W148" s="2" t="n">
        <v>-0.2</v>
      </c>
      <c r="X148" s="2" t="n">
        <v>1.5</v>
      </c>
      <c r="Y148" s="2" t="inlineStr">
        <is>
          <t>COMM_Emotional</t>
        </is>
      </c>
      <c r="Z148" s="2" t="inlineStr">
        <is>
          <t>REG_SelfSoother</t>
        </is>
      </c>
      <c r="AA148" s="2" t="inlineStr">
        <is>
          <t>LANG_Touch</t>
        </is>
      </c>
      <c r="AB148" s="2" t="inlineStr">
        <is>
          <t>Commitment_Ambiguity</t>
        </is>
      </c>
      <c r="AC148" s="2" t="inlineStr">
        <is>
          <t>Commitment_Ambiguity</t>
        </is>
      </c>
      <c r="AD148" s="2" t="n"/>
      <c r="AE148" s="2" t="n">
        <v>5</v>
      </c>
      <c r="AF148" s="2" t="inlineStr">
        <is>
          <t>emotional recalibration attempt</t>
        </is>
      </c>
      <c r="AG148" s="2" t="inlineStr">
        <is>
          <t>approval seeker</t>
        </is>
      </c>
      <c r="AH148" s="2" t="n">
        <v>0</v>
      </c>
      <c r="AI148" s="2" t="inlineStr">
        <is>
          <t>yes</t>
        </is>
      </c>
      <c r="AJ148" s="2" t="inlineStr">
        <is>
          <t>no</t>
        </is>
      </c>
      <c r="AK148" s="2" t="inlineStr">
        <is>
          <t>no</t>
        </is>
      </c>
      <c r="AL148" s="2" t="inlineStr">
        <is>
          <t>no</t>
        </is>
      </c>
      <c r="AM148" s="2" t="n"/>
      <c r="AN148" s="2" t="n"/>
      <c r="AO148" s="2" t="n"/>
      <c r="AP148" s="2" t="inlineStr">
        <is>
          <t>v3_2026-03-19</t>
        </is>
      </c>
      <c r="AQ148">
        <f>(L148-Schema_v5!$C2)/(Schema_v5!$C3-Schema_v5!$C2)</f>
        <v/>
      </c>
      <c r="AR148">
        <f>(M148-Schema_v5!$C4)/(Schema_v5!$C5-Schema_v5!$C4)</f>
        <v/>
      </c>
      <c r="AS148">
        <f>N148/Schema_v5!$C6</f>
        <v/>
      </c>
      <c r="AT148">
        <f>O148/Schema_v5!$C7</f>
        <v/>
      </c>
      <c r="AU148">
        <f>P148/Schema_v5!$C8</f>
        <v/>
      </c>
      <c r="AV148">
        <f>IF(Schema_v5!$C9=0,0,AH148/Schema_v5!$C9)</f>
        <v/>
      </c>
      <c r="AW148">
        <f>IF(Schema_v5!$C10=0,0,AE148/Schema_v5!$C10)</f>
        <v/>
      </c>
      <c r="AX148">
        <f>(W148-Schema_v5!$C11)/(Schema_v5!$C12-Schema_v5!$C11)</f>
        <v/>
      </c>
      <c r="AY148">
        <f>(X148-Schema_v5!$C13)/(Schema_v5!$C14-Schema_v5!$C13)</f>
        <v/>
      </c>
    </row>
    <row r="149" ht="135" customHeight="1" s="10">
      <c r="A149" s="2" t="inlineStr">
        <is>
          <t>Q30_C</t>
        </is>
      </c>
      <c r="B149" s="2" t="n">
        <v>30</v>
      </c>
      <c r="C149" s="2" t="n">
        <v>30</v>
      </c>
      <c r="D149" s="2" t="inlineStr">
        <is>
          <t>Core</t>
        </is>
      </c>
      <c r="E149" s="2" t="n">
        <v>1.15</v>
      </c>
      <c r="F149" s="2" t="inlineStr">
        <is>
          <t>ValuesLifestyle</t>
        </is>
      </c>
      <c r="G149" s="2" t="inlineStr">
        <is>
          <t>IntentAlignment</t>
        </is>
      </c>
      <c r="H149" s="2" t="n"/>
      <c r="I149" s="2" t="inlineStr">
        <is>
          <t>C</t>
        </is>
      </c>
      <c r="J149" s="2" t="inlineStr">
        <is>
          <t>C</t>
        </is>
      </c>
      <c r="K149" s="2" t="inlineStr">
        <is>
          <t>I say something direct, "That wasn't really the moment for that." If I'm being real, I expect the same back.</t>
        </is>
      </c>
      <c r="L149" s="2" t="n">
        <v>9</v>
      </c>
      <c r="M149" s="2" t="n">
        <v>9</v>
      </c>
      <c r="N149" s="2" t="n">
        <v>10</v>
      </c>
      <c r="O149" s="2" t="n">
        <v>10</v>
      </c>
      <c r="P149" s="2" t="n">
        <v>10</v>
      </c>
      <c r="Q149" s="2" t="inlineStr">
        <is>
          <t>Regulated Grown-Up</t>
        </is>
      </c>
      <c r="R149" s="2" t="n">
        <v>9</v>
      </c>
      <c r="S149" s="2" t="n"/>
      <c r="T149" s="2" t="n"/>
      <c r="U149" s="2" t="n">
        <v>0</v>
      </c>
      <c r="V149" s="2" t="inlineStr">
        <is>
          <t>masc:1.1;fem:0.9</t>
        </is>
      </c>
      <c r="W149" s="2" t="n">
        <v>1.1</v>
      </c>
      <c r="X149" s="2" t="n">
        <v>0.9</v>
      </c>
      <c r="Y149" s="2" t="inlineStr">
        <is>
          <t>COMM_Direct</t>
        </is>
      </c>
      <c r="Z149" s="2" t="inlineStr">
        <is>
          <t>REG_CoRegulator</t>
        </is>
      </c>
      <c r="AA149" s="2" t="inlineStr">
        <is>
          <t>LANG_Words</t>
        </is>
      </c>
      <c r="AB149" s="2" t="n"/>
      <c r="AC149" s="2" t="n"/>
      <c r="AD149" s="2" t="n"/>
      <c r="AE149" s="2" t="n">
        <v>0</v>
      </c>
      <c r="AF149" s="2" t="inlineStr">
        <is>
          <t>standard of reciprocity</t>
        </is>
      </c>
      <c r="AG149" s="2" t="inlineStr">
        <is>
          <t>boundary enforcer</t>
        </is>
      </c>
      <c r="AH149" s="2" t="n">
        <v>0</v>
      </c>
      <c r="AI149" s="2" t="inlineStr">
        <is>
          <t>no</t>
        </is>
      </c>
      <c r="AJ149" s="2" t="inlineStr">
        <is>
          <t>no</t>
        </is>
      </c>
      <c r="AK149" s="2" t="inlineStr">
        <is>
          <t>no</t>
        </is>
      </c>
      <c r="AL149" s="2" t="inlineStr">
        <is>
          <t>no</t>
        </is>
      </c>
      <c r="AM149" s="2" t="n"/>
      <c r="AN149" s="2" t="n"/>
      <c r="AO149" s="2" t="n"/>
      <c r="AP149" s="2" t="inlineStr">
        <is>
          <t>v3_2026-03-19</t>
        </is>
      </c>
      <c r="AQ149">
        <f>(L149-Schema_v5!$C2)/(Schema_v5!$C3-Schema_v5!$C2)</f>
        <v/>
      </c>
      <c r="AR149">
        <f>(M149-Schema_v5!$C4)/(Schema_v5!$C5-Schema_v5!$C4)</f>
        <v/>
      </c>
      <c r="AS149">
        <f>N149/Schema_v5!$C6</f>
        <v/>
      </c>
      <c r="AT149">
        <f>O149/Schema_v5!$C7</f>
        <v/>
      </c>
      <c r="AU149">
        <f>P149/Schema_v5!$C8</f>
        <v/>
      </c>
      <c r="AV149">
        <f>IF(Schema_v5!$C9=0,0,AH149/Schema_v5!$C9)</f>
        <v/>
      </c>
      <c r="AW149">
        <f>IF(Schema_v5!$C10=0,0,AE149/Schema_v5!$C10)</f>
        <v/>
      </c>
      <c r="AX149">
        <f>(W149-Schema_v5!$C11)/(Schema_v5!$C12-Schema_v5!$C11)</f>
        <v/>
      </c>
      <c r="AY149">
        <f>(X149-Schema_v5!$C13)/(Schema_v5!$C14-Schema_v5!$C13)</f>
        <v/>
      </c>
    </row>
    <row r="150" ht="148.5" customHeight="1" s="10">
      <c r="A150" s="2" t="inlineStr">
        <is>
          <t>Q30_D</t>
        </is>
      </c>
      <c r="B150" s="2" t="n">
        <v>30</v>
      </c>
      <c r="C150" s="2" t="n">
        <v>30</v>
      </c>
      <c r="D150" s="2" t="inlineStr">
        <is>
          <t>Core</t>
        </is>
      </c>
      <c r="E150" s="2" t="n">
        <v>1.15</v>
      </c>
      <c r="F150" s="2" t="inlineStr">
        <is>
          <t>ValuesLifestyle</t>
        </is>
      </c>
      <c r="G150" s="2" t="inlineStr">
        <is>
          <t>IntentAlignment</t>
        </is>
      </c>
      <c r="H150" s="2" t="n"/>
      <c r="I150" s="2" t="inlineStr">
        <is>
          <t>D</t>
        </is>
      </c>
      <c r="J150" s="2" t="inlineStr">
        <is>
          <t>D</t>
        </is>
      </c>
      <c r="K150" s="2" t="inlineStr">
        <is>
          <t>I flip the energy fast. I shift into playful or sarcastic too. It's easier to hide behind the bit than stay vulnerable alone.</t>
        </is>
      </c>
      <c r="L150" s="2" t="n">
        <v>6</v>
      </c>
      <c r="M150" s="2" t="n">
        <v>7</v>
      </c>
      <c r="N150" s="2" t="n">
        <v>2</v>
      </c>
      <c r="O150" s="2" t="n">
        <v>4</v>
      </c>
      <c r="P150" s="2" t="n">
        <v>0</v>
      </c>
      <c r="Q150" s="2" t="inlineStr">
        <is>
          <t>Performer</t>
        </is>
      </c>
      <c r="R150" s="2" t="n">
        <v>7</v>
      </c>
      <c r="S150" s="2" t="n"/>
      <c r="T150" s="2" t="n"/>
      <c r="U150" s="2" t="n">
        <v>0</v>
      </c>
      <c r="V150" s="2" t="inlineStr">
        <is>
          <t>masc:0.3;fem:0.5</t>
        </is>
      </c>
      <c r="W150" s="2" t="n">
        <v>0.3</v>
      </c>
      <c r="X150" s="2" t="n">
        <v>0.5</v>
      </c>
      <c r="Y150" s="2" t="inlineStr">
        <is>
          <t>COMM_Indirect</t>
        </is>
      </c>
      <c r="Z150" s="2" t="inlineStr">
        <is>
          <t>REG_Distractor</t>
        </is>
      </c>
      <c r="AA150" s="2" t="inlineStr">
        <is>
          <t>LANG_Gifts</t>
        </is>
      </c>
      <c r="AB150" s="2" t="inlineStr">
        <is>
          <t>Vulnerability_Loop</t>
        </is>
      </c>
      <c r="AC150" s="2" t="inlineStr">
        <is>
          <t>Vulnerability_Loop</t>
        </is>
      </c>
      <c r="AD150" s="2" t="n"/>
      <c r="AE150" s="2" t="n">
        <v>5</v>
      </c>
      <c r="AF150" s="2" t="inlineStr">
        <is>
          <t>humorous armor deployment</t>
        </is>
      </c>
      <c r="AG150" s="2" t="inlineStr">
        <is>
          <t>deflection player</t>
        </is>
      </c>
      <c r="AH150" s="2" t="n">
        <v>0.6</v>
      </c>
      <c r="AI150" s="2" t="inlineStr">
        <is>
          <t>yes</t>
        </is>
      </c>
      <c r="AJ150" s="2" t="inlineStr">
        <is>
          <t>no</t>
        </is>
      </c>
      <c r="AK150" s="2" t="inlineStr">
        <is>
          <t>no</t>
        </is>
      </c>
      <c r="AL150" s="2" t="inlineStr">
        <is>
          <t>no</t>
        </is>
      </c>
      <c r="AM150" s="2" t="n"/>
      <c r="AN150" s="2" t="n"/>
      <c r="AO150" s="2" t="n"/>
      <c r="AP150" s="2" t="inlineStr">
        <is>
          <t>v3_2026-03-19</t>
        </is>
      </c>
      <c r="AQ150">
        <f>(L150-Schema_v5!$C2)/(Schema_v5!$C3-Schema_v5!$C2)</f>
        <v/>
      </c>
      <c r="AR150">
        <f>(M150-Schema_v5!$C4)/(Schema_v5!$C5-Schema_v5!$C4)</f>
        <v/>
      </c>
      <c r="AS150">
        <f>N150/Schema_v5!$C6</f>
        <v/>
      </c>
      <c r="AT150">
        <f>O150/Schema_v5!$C7</f>
        <v/>
      </c>
      <c r="AU150">
        <f>P150/Schema_v5!$C8</f>
        <v/>
      </c>
      <c r="AV150">
        <f>IF(Schema_v5!$C9=0,0,AH150/Schema_v5!$C9)</f>
        <v/>
      </c>
      <c r="AW150">
        <f>IF(Schema_v5!$C10=0,0,AE150/Schema_v5!$C10)</f>
        <v/>
      </c>
      <c r="AX150">
        <f>(W150-Schema_v5!$C11)/(Schema_v5!$C12-Schema_v5!$C11)</f>
        <v/>
      </c>
      <c r="AY150">
        <f>(X150-Schema_v5!$C13)/(Schema_v5!$C14-Schema_v5!$C13)</f>
        <v/>
      </c>
    </row>
    <row r="151" ht="135" customHeight="1" s="10">
      <c r="A151" s="2" t="inlineStr">
        <is>
          <t>Q30_E</t>
        </is>
      </c>
      <c r="B151" s="2" t="n">
        <v>30</v>
      </c>
      <c r="C151" s="2" t="n">
        <v>30</v>
      </c>
      <c r="D151" s="2" t="inlineStr">
        <is>
          <t>Core</t>
        </is>
      </c>
      <c r="E151" s="2" t="n">
        <v>1.15</v>
      </c>
      <c r="F151" s="2" t="inlineStr">
        <is>
          <t>ValuesLifestyle</t>
        </is>
      </c>
      <c r="G151" s="2" t="inlineStr">
        <is>
          <t>IntentAlignment</t>
        </is>
      </c>
      <c r="H151" s="2" t="n"/>
      <c r="I151" s="2" t="inlineStr">
        <is>
          <t>E</t>
        </is>
      </c>
      <c r="J151" s="2" t="inlineStr">
        <is>
          <t>E</t>
        </is>
      </c>
      <c r="K151" s="2" t="inlineStr">
        <is>
          <t>I retreat a little, but I take note. That kind of reaction stings more than I'll admit, and I don't forget it.</t>
        </is>
      </c>
      <c r="L151" s="2" t="n">
        <v>7</v>
      </c>
      <c r="M151" s="2" t="n">
        <v>8</v>
      </c>
      <c r="N151" s="2" t="n">
        <v>4</v>
      </c>
      <c r="O151" s="2" t="n">
        <v>4</v>
      </c>
      <c r="P151" s="2" t="n">
        <v>0</v>
      </c>
      <c r="Q151" s="2" t="inlineStr">
        <is>
          <t>Quiet Exit</t>
        </is>
      </c>
      <c r="R151" s="2" t="n">
        <v>4</v>
      </c>
      <c r="S151" s="2" t="n"/>
      <c r="T151" s="2" t="n"/>
      <c r="U151" s="2" t="n">
        <v>0</v>
      </c>
      <c r="V151" s="2" t="inlineStr">
        <is>
          <t>masc:1.4;fem:-1.3</t>
        </is>
      </c>
      <c r="W151" s="2" t="n">
        <v>1.4</v>
      </c>
      <c r="X151" s="2" t="n">
        <v>-1.3</v>
      </c>
      <c r="Y151" s="2" t="inlineStr">
        <is>
          <t>COMM_Avoidant</t>
        </is>
      </c>
      <c r="Z151" s="2" t="inlineStr">
        <is>
          <t>REG_Suppressor</t>
        </is>
      </c>
      <c r="AA151" s="2" t="inlineStr">
        <is>
          <t>LANG_Time</t>
        </is>
      </c>
      <c r="AB151" s="2" t="n"/>
      <c r="AC151" s="2" t="n"/>
      <c r="AD151" s="2" t="n"/>
      <c r="AE151" s="2" t="n">
        <v>0</v>
      </c>
      <c r="AF151" s="2" t="inlineStr">
        <is>
          <t>subtle hurt long memory</t>
        </is>
      </c>
      <c r="AG151" s="2" t="inlineStr">
        <is>
          <t>quiet recorder</t>
        </is>
      </c>
      <c r="AH151" s="2" t="n">
        <v>0</v>
      </c>
      <c r="AI151" s="2" t="inlineStr">
        <is>
          <t>no</t>
        </is>
      </c>
      <c r="AJ151" s="2" t="inlineStr">
        <is>
          <t>no</t>
        </is>
      </c>
      <c r="AK151" s="2" t="inlineStr">
        <is>
          <t>no</t>
        </is>
      </c>
      <c r="AL151" s="2" t="inlineStr">
        <is>
          <t>no</t>
        </is>
      </c>
      <c r="AM151" s="2" t="n"/>
      <c r="AN151" s="2" t="n"/>
      <c r="AO151" s="2" t="n"/>
      <c r="AP151" s="2" t="inlineStr">
        <is>
          <t>v3_2026-03-19</t>
        </is>
      </c>
      <c r="AQ151">
        <f>(L151-Schema_v5!$C2)/(Schema_v5!$C3-Schema_v5!$C2)</f>
        <v/>
      </c>
      <c r="AR151">
        <f>(M151-Schema_v5!$C4)/(Schema_v5!$C5-Schema_v5!$C4)</f>
        <v/>
      </c>
      <c r="AS151">
        <f>N151/Schema_v5!$C6</f>
        <v/>
      </c>
      <c r="AT151">
        <f>O151/Schema_v5!$C7</f>
        <v/>
      </c>
      <c r="AU151">
        <f>P151/Schema_v5!$C8</f>
        <v/>
      </c>
      <c r="AV151">
        <f>IF(Schema_v5!$C9=0,0,AH151/Schema_v5!$C9)</f>
        <v/>
      </c>
      <c r="AW151">
        <f>IF(Schema_v5!$C10=0,0,AE151/Schema_v5!$C10)</f>
        <v/>
      </c>
      <c r="AX151">
        <f>(W151-Schema_v5!$C11)/(Schema_v5!$C12-Schema_v5!$C11)</f>
        <v/>
      </c>
      <c r="AY151">
        <f>(X151-Schema_v5!$C13)/(Schema_v5!$C14-Schema_v5!$C13)</f>
        <v/>
      </c>
    </row>
    <row r="152" ht="121.5" customHeight="1" s="10">
      <c r="A152" s="2" t="inlineStr">
        <is>
          <t>Q31_A</t>
        </is>
      </c>
      <c r="B152" s="2" t="n">
        <v>31</v>
      </c>
      <c r="C152" s="2" t="n">
        <v>31</v>
      </c>
      <c r="D152" s="2" t="inlineStr">
        <is>
          <t>Core</t>
        </is>
      </c>
      <c r="E152" s="2" t="n">
        <v>1.15</v>
      </c>
      <c r="F152" s="2" t="inlineStr">
        <is>
          <t>ValuesLifestyle</t>
        </is>
      </c>
      <c r="G152" s="2" t="inlineStr">
        <is>
          <t>IntentAlignment</t>
        </is>
      </c>
      <c r="H152" s="2" t="inlineStr">
        <is>
          <t>You realize you said or did something that might've hurt them. They haven't brought it up. How do you usually handle it?</t>
        </is>
      </c>
      <c r="I152" s="2" t="inlineStr">
        <is>
          <t>A</t>
        </is>
      </c>
      <c r="J152" s="2" t="inlineStr">
        <is>
          <t>A</t>
        </is>
      </c>
      <c r="K152" s="2" t="inlineStr">
        <is>
          <t>I let it pass. If they're not saying anything, maybe it wasn't that deep.</t>
        </is>
      </c>
      <c r="L152" s="2" t="n">
        <v>8</v>
      </c>
      <c r="M152" s="2" t="n">
        <v>8</v>
      </c>
      <c r="N152" s="2" t="n">
        <v>4</v>
      </c>
      <c r="O152" s="2" t="n">
        <v>4</v>
      </c>
      <c r="P152" s="2" t="n">
        <v>2</v>
      </c>
      <c r="Q152" s="2" t="inlineStr">
        <is>
          <t>Icebox</t>
        </is>
      </c>
      <c r="R152" s="2" t="n">
        <v>1</v>
      </c>
      <c r="S152" s="2" t="n"/>
      <c r="T152" s="2" t="n"/>
      <c r="U152" s="2" t="n">
        <v>0</v>
      </c>
      <c r="V152" s="2" t="inlineStr">
        <is>
          <t>masc:1.8;fem:-1.6</t>
        </is>
      </c>
      <c r="W152" s="2" t="n">
        <v>1.8</v>
      </c>
      <c r="X152" s="2" t="n">
        <v>-1.6</v>
      </c>
      <c r="Y152" s="2" t="inlineStr">
        <is>
          <t>COMM_Avoidant</t>
        </is>
      </c>
      <c r="Z152" s="2" t="inlineStr">
        <is>
          <t>REG_Suppressor</t>
        </is>
      </c>
      <c r="AA152" s="2" t="inlineStr">
        <is>
          <t>LANG_Time</t>
        </is>
      </c>
      <c r="AB152" s="2" t="n"/>
      <c r="AC152" s="2" t="n"/>
      <c r="AD152" s="2" t="n"/>
      <c r="AE152" s="2" t="n">
        <v>0</v>
      </c>
      <c r="AF152" s="2" t="inlineStr">
        <is>
          <t>let it die in silence</t>
        </is>
      </c>
      <c r="AG152" s="2" t="inlineStr">
        <is>
          <t>passive resolver</t>
        </is>
      </c>
      <c r="AH152" s="2" t="n">
        <v>0</v>
      </c>
      <c r="AI152" s="2" t="inlineStr">
        <is>
          <t>no</t>
        </is>
      </c>
      <c r="AJ152" s="2" t="inlineStr">
        <is>
          <t>no</t>
        </is>
      </c>
      <c r="AK152" s="2" t="inlineStr">
        <is>
          <t>no</t>
        </is>
      </c>
      <c r="AL152" s="2" t="inlineStr">
        <is>
          <t>no</t>
        </is>
      </c>
      <c r="AM152" s="2" t="n"/>
      <c r="AN152" s="2" t="n"/>
      <c r="AO152" s="2" t="n"/>
      <c r="AP152" s="2" t="inlineStr">
        <is>
          <t>v3_2026-03-19</t>
        </is>
      </c>
      <c r="AQ152">
        <f>(L152-Schema_v5!$C2)/(Schema_v5!$C3-Schema_v5!$C2)</f>
        <v/>
      </c>
      <c r="AR152">
        <f>(M152-Schema_v5!$C4)/(Schema_v5!$C5-Schema_v5!$C4)</f>
        <v/>
      </c>
      <c r="AS152">
        <f>N152/Schema_v5!$C6</f>
        <v/>
      </c>
      <c r="AT152">
        <f>O152/Schema_v5!$C7</f>
        <v/>
      </c>
      <c r="AU152">
        <f>P152/Schema_v5!$C8</f>
        <v/>
      </c>
      <c r="AV152">
        <f>IF(Schema_v5!$C9=0,0,AH152/Schema_v5!$C9)</f>
        <v/>
      </c>
      <c r="AW152">
        <f>IF(Schema_v5!$C10=0,0,AE152/Schema_v5!$C10)</f>
        <v/>
      </c>
      <c r="AX152">
        <f>(W152-Schema_v5!$C11)/(Schema_v5!$C12-Schema_v5!$C11)</f>
        <v/>
      </c>
      <c r="AY152">
        <f>(X152-Schema_v5!$C13)/(Schema_v5!$C14-Schema_v5!$C13)</f>
        <v/>
      </c>
    </row>
    <row r="153" ht="135" customHeight="1" s="10">
      <c r="A153" s="2" t="inlineStr">
        <is>
          <t>Q31_B</t>
        </is>
      </c>
      <c r="B153" s="2" t="n">
        <v>31</v>
      </c>
      <c r="C153" s="2" t="n">
        <v>31</v>
      </c>
      <c r="D153" s="2" t="inlineStr">
        <is>
          <t>Core</t>
        </is>
      </c>
      <c r="E153" s="2" t="n">
        <v>1.15</v>
      </c>
      <c r="F153" s="2" t="inlineStr">
        <is>
          <t>ValuesLifestyle</t>
        </is>
      </c>
      <c r="G153" s="2" t="inlineStr">
        <is>
          <t>IntentAlignment</t>
        </is>
      </c>
      <c r="H153" s="2" t="n"/>
      <c r="I153" s="2" t="inlineStr">
        <is>
          <t>B</t>
        </is>
      </c>
      <c r="J153" s="2" t="inlineStr">
        <is>
          <t>B</t>
        </is>
      </c>
      <c r="K153" s="2" t="inlineStr">
        <is>
          <t>I sit with it for a while, overthinking every part. I want to apologize, but I'm scared it'll make it worse.</t>
        </is>
      </c>
      <c r="L153" s="2" t="n">
        <v>4</v>
      </c>
      <c r="M153" s="2" t="n">
        <v>5</v>
      </c>
      <c r="N153" s="2" t="n">
        <v>2</v>
      </c>
      <c r="O153" s="2" t="n">
        <v>2</v>
      </c>
      <c r="P153" s="2" t="n">
        <v>0</v>
      </c>
      <c r="Q153" s="2" t="inlineStr">
        <is>
          <t>Phantom Seeker</t>
        </is>
      </c>
      <c r="R153" s="2" t="n">
        <v>10</v>
      </c>
      <c r="S153" s="2" t="n"/>
      <c r="T153" s="2" t="n"/>
      <c r="U153" s="2" t="n">
        <v>0</v>
      </c>
      <c r="V153" s="2" t="inlineStr">
        <is>
          <t>masc:-0.2;fem:1.5</t>
        </is>
      </c>
      <c r="W153" s="2" t="n">
        <v>-0.2</v>
      </c>
      <c r="X153" s="2" t="n">
        <v>1.5</v>
      </c>
      <c r="Y153" s="2" t="inlineStr">
        <is>
          <t>COMM_Emotional</t>
        </is>
      </c>
      <c r="Z153" s="2" t="inlineStr">
        <is>
          <t>REG_SelfSoother</t>
        </is>
      </c>
      <c r="AA153" s="2" t="inlineStr">
        <is>
          <t>LANG_Touch</t>
        </is>
      </c>
      <c r="AB153" s="2" t="inlineStr">
        <is>
          <t>Vulnerability_Loop</t>
        </is>
      </c>
      <c r="AC153" s="2" t="inlineStr">
        <is>
          <t>Vulnerability_Loop</t>
        </is>
      </c>
      <c r="AD153" s="2" t="n"/>
      <c r="AE153" s="2" t="n">
        <v>5</v>
      </c>
      <c r="AF153" s="2" t="inlineStr">
        <is>
          <t>shame paralysis</t>
        </is>
      </c>
      <c r="AG153" s="2" t="inlineStr">
        <is>
          <t>anxious holder</t>
        </is>
      </c>
      <c r="AH153" s="2" t="n">
        <v>0</v>
      </c>
      <c r="AI153" s="2" t="inlineStr">
        <is>
          <t>yes</t>
        </is>
      </c>
      <c r="AJ153" s="2" t="inlineStr">
        <is>
          <t>no</t>
        </is>
      </c>
      <c r="AK153" s="2" t="inlineStr">
        <is>
          <t>no</t>
        </is>
      </c>
      <c r="AL153" s="2" t="inlineStr">
        <is>
          <t>no</t>
        </is>
      </c>
      <c r="AM153" s="2" t="n"/>
      <c r="AN153" s="2" t="n"/>
      <c r="AO153" s="2" t="n"/>
      <c r="AP153" s="2" t="inlineStr">
        <is>
          <t>v3_2026-03-19</t>
        </is>
      </c>
      <c r="AQ153">
        <f>(L153-Schema_v5!$C2)/(Schema_v5!$C3-Schema_v5!$C2)</f>
        <v/>
      </c>
      <c r="AR153">
        <f>(M153-Schema_v5!$C4)/(Schema_v5!$C5-Schema_v5!$C4)</f>
        <v/>
      </c>
      <c r="AS153">
        <f>N153/Schema_v5!$C6</f>
        <v/>
      </c>
      <c r="AT153">
        <f>O153/Schema_v5!$C7</f>
        <v/>
      </c>
      <c r="AU153">
        <f>P153/Schema_v5!$C8</f>
        <v/>
      </c>
      <c r="AV153">
        <f>IF(Schema_v5!$C9=0,0,AH153/Schema_v5!$C9)</f>
        <v/>
      </c>
      <c r="AW153">
        <f>IF(Schema_v5!$C10=0,0,AE153/Schema_v5!$C10)</f>
        <v/>
      </c>
      <c r="AX153">
        <f>(W153-Schema_v5!$C11)/(Schema_v5!$C12-Schema_v5!$C11)</f>
        <v/>
      </c>
      <c r="AY153">
        <f>(X153-Schema_v5!$C13)/(Schema_v5!$C14-Schema_v5!$C13)</f>
        <v/>
      </c>
    </row>
    <row r="154" ht="81" customHeight="1" s="10">
      <c r="A154" s="2" t="inlineStr">
        <is>
          <t>Q31_C</t>
        </is>
      </c>
      <c r="B154" s="2" t="n">
        <v>31</v>
      </c>
      <c r="C154" s="2" t="n">
        <v>31</v>
      </c>
      <c r="D154" s="2" t="inlineStr">
        <is>
          <t>Core</t>
        </is>
      </c>
      <c r="E154" s="2" t="n">
        <v>1.15</v>
      </c>
      <c r="F154" s="2" t="inlineStr">
        <is>
          <t>ValuesLifestyle</t>
        </is>
      </c>
      <c r="G154" s="2" t="inlineStr">
        <is>
          <t>IntentAlignment</t>
        </is>
      </c>
      <c r="H154" s="2" t="n"/>
      <c r="I154" s="2" t="inlineStr">
        <is>
          <t>C</t>
        </is>
      </c>
      <c r="J154" s="2" t="inlineStr">
        <is>
          <t>C</t>
        </is>
      </c>
      <c r="K154" s="2" t="inlineStr">
        <is>
          <t>I bring it up myself. Even if they say it's fine, I want them to know I saw it.</t>
        </is>
      </c>
      <c r="L154" s="2" t="n">
        <v>9</v>
      </c>
      <c r="M154" s="2" t="n">
        <v>9</v>
      </c>
      <c r="N154" s="2" t="n">
        <v>10</v>
      </c>
      <c r="O154" s="2" t="n">
        <v>10</v>
      </c>
      <c r="P154" s="2" t="n">
        <v>10</v>
      </c>
      <c r="Q154" s="2" t="inlineStr">
        <is>
          <t>Regulated Grown-Up</t>
        </is>
      </c>
      <c r="R154" s="2" t="n">
        <v>9</v>
      </c>
      <c r="S154" s="2" t="n"/>
      <c r="T154" s="2" t="n"/>
      <c r="U154" s="2" t="n">
        <v>0</v>
      </c>
      <c r="V154" s="2" t="inlineStr">
        <is>
          <t>masc:1.1;fem:0.9</t>
        </is>
      </c>
      <c r="W154" s="2" t="n">
        <v>1.1</v>
      </c>
      <c r="X154" s="2" t="n">
        <v>0.9</v>
      </c>
      <c r="Y154" s="2" t="inlineStr">
        <is>
          <t>COMM_Direct</t>
        </is>
      </c>
      <c r="Z154" s="2" t="inlineStr">
        <is>
          <t>REG_CoRegulator</t>
        </is>
      </c>
      <c r="AA154" s="2" t="inlineStr">
        <is>
          <t>LANG_Words</t>
        </is>
      </c>
      <c r="AB154" s="2" t="n"/>
      <c r="AC154" s="2" t="n"/>
      <c r="AD154" s="2" t="n"/>
      <c r="AE154" s="2" t="n">
        <v>0</v>
      </c>
      <c r="AF154" s="2" t="inlineStr">
        <is>
          <t>proactive accountability</t>
        </is>
      </c>
      <c r="AG154" s="2" t="inlineStr">
        <is>
          <t>direct repairer</t>
        </is>
      </c>
      <c r="AH154" s="2" t="n">
        <v>0</v>
      </c>
      <c r="AI154" s="2" t="inlineStr">
        <is>
          <t>no</t>
        </is>
      </c>
      <c r="AJ154" s="2" t="inlineStr">
        <is>
          <t>no</t>
        </is>
      </c>
      <c r="AK154" s="2" t="inlineStr">
        <is>
          <t>no</t>
        </is>
      </c>
      <c r="AL154" s="2" t="inlineStr">
        <is>
          <t>no</t>
        </is>
      </c>
      <c r="AM154" s="2" t="n"/>
      <c r="AN154" s="2" t="n"/>
      <c r="AO154" s="2" t="n"/>
      <c r="AP154" s="2" t="inlineStr">
        <is>
          <t>v3_2026-03-19</t>
        </is>
      </c>
      <c r="AQ154">
        <f>(L154-Schema_v5!$C2)/(Schema_v5!$C3-Schema_v5!$C2)</f>
        <v/>
      </c>
      <c r="AR154">
        <f>(M154-Schema_v5!$C4)/(Schema_v5!$C5-Schema_v5!$C4)</f>
        <v/>
      </c>
      <c r="AS154">
        <f>N154/Schema_v5!$C6</f>
        <v/>
      </c>
      <c r="AT154">
        <f>O154/Schema_v5!$C7</f>
        <v/>
      </c>
      <c r="AU154">
        <f>P154/Schema_v5!$C8</f>
        <v/>
      </c>
      <c r="AV154">
        <f>IF(Schema_v5!$C9=0,0,AH154/Schema_v5!$C9)</f>
        <v/>
      </c>
      <c r="AW154">
        <f>IF(Schema_v5!$C10=0,0,AE154/Schema_v5!$C10)</f>
        <v/>
      </c>
      <c r="AX154">
        <f>(W154-Schema_v5!$C11)/(Schema_v5!$C12-Schema_v5!$C11)</f>
        <v/>
      </c>
      <c r="AY154">
        <f>(X154-Schema_v5!$C13)/(Schema_v5!$C14-Schema_v5!$C13)</f>
        <v/>
      </c>
    </row>
    <row r="155" ht="121.5" customHeight="1" s="10">
      <c r="A155" s="2" t="inlineStr">
        <is>
          <t>Q31_D</t>
        </is>
      </c>
      <c r="B155" s="2" t="n">
        <v>31</v>
      </c>
      <c r="C155" s="2" t="n">
        <v>31</v>
      </c>
      <c r="D155" s="2" t="inlineStr">
        <is>
          <t>Core</t>
        </is>
      </c>
      <c r="E155" s="2" t="n">
        <v>1.15</v>
      </c>
      <c r="F155" s="2" t="inlineStr">
        <is>
          <t>ValuesLifestyle</t>
        </is>
      </c>
      <c r="G155" s="2" t="inlineStr">
        <is>
          <t>IntentAlignment</t>
        </is>
      </c>
      <c r="H155" s="2" t="n"/>
      <c r="I155" s="2" t="inlineStr">
        <is>
          <t>D</t>
        </is>
      </c>
      <c r="J155" s="2" t="inlineStr">
        <is>
          <t>D</t>
        </is>
      </c>
      <c r="K155" s="2" t="inlineStr">
        <is>
          <t>I drop hints that I noticed, like being extra nice or saying, "You good?" Hoping they'll give me a way back in.</t>
        </is>
      </c>
      <c r="L155" s="2" t="n">
        <v>6</v>
      </c>
      <c r="M155" s="2" t="n">
        <v>7</v>
      </c>
      <c r="N155" s="2" t="n">
        <v>4</v>
      </c>
      <c r="O155" s="2" t="n">
        <v>4</v>
      </c>
      <c r="P155" s="2" t="n">
        <v>2</v>
      </c>
      <c r="Q155" s="2" t="inlineStr">
        <is>
          <t>Performer</t>
        </is>
      </c>
      <c r="R155" s="2" t="n">
        <v>7</v>
      </c>
      <c r="S155" s="2" t="n"/>
      <c r="T155" s="2" t="n"/>
      <c r="U155" s="2" t="n">
        <v>0</v>
      </c>
      <c r="V155" s="2" t="inlineStr">
        <is>
          <t>masc:0.3;fem:0.5</t>
        </is>
      </c>
      <c r="W155" s="2" t="n">
        <v>0.3</v>
      </c>
      <c r="X155" s="2" t="n">
        <v>0.5</v>
      </c>
      <c r="Y155" s="2" t="inlineStr">
        <is>
          <t>COMM_Indirect</t>
        </is>
      </c>
      <c r="Z155" s="2" t="inlineStr">
        <is>
          <t>REG_Distractor</t>
        </is>
      </c>
      <c r="AA155" s="2" t="inlineStr">
        <is>
          <t>LANG_Gifts</t>
        </is>
      </c>
      <c r="AB155" s="2" t="inlineStr">
        <is>
          <t>Vulnerability_Loop</t>
        </is>
      </c>
      <c r="AC155" s="2" t="inlineStr">
        <is>
          <t>Vulnerability_Loop</t>
        </is>
      </c>
      <c r="AD155" s="2" t="n"/>
      <c r="AE155" s="2" t="n">
        <v>5</v>
      </c>
      <c r="AF155" s="2" t="inlineStr">
        <is>
          <t>indirect repair attempt</t>
        </is>
      </c>
      <c r="AG155" s="2" t="inlineStr">
        <is>
          <t>soft restorer</t>
        </is>
      </c>
      <c r="AH155" s="2" t="n">
        <v>0</v>
      </c>
      <c r="AI155" s="2" t="inlineStr">
        <is>
          <t>yes</t>
        </is>
      </c>
      <c r="AJ155" s="2" t="inlineStr">
        <is>
          <t>no</t>
        </is>
      </c>
      <c r="AK155" s="2" t="inlineStr">
        <is>
          <t>no</t>
        </is>
      </c>
      <c r="AL155" s="2" t="inlineStr">
        <is>
          <t>no</t>
        </is>
      </c>
      <c r="AM155" s="2" t="n"/>
      <c r="AN155" s="2" t="n"/>
      <c r="AO155" s="2" t="n"/>
      <c r="AP155" s="2" t="inlineStr">
        <is>
          <t>v3_2026-03-19</t>
        </is>
      </c>
      <c r="AQ155">
        <f>(L155-Schema_v5!$C2)/(Schema_v5!$C3-Schema_v5!$C2)</f>
        <v/>
      </c>
      <c r="AR155">
        <f>(M155-Schema_v5!$C4)/(Schema_v5!$C5-Schema_v5!$C4)</f>
        <v/>
      </c>
      <c r="AS155">
        <f>N155/Schema_v5!$C6</f>
        <v/>
      </c>
      <c r="AT155">
        <f>O155/Schema_v5!$C7</f>
        <v/>
      </c>
      <c r="AU155">
        <f>P155/Schema_v5!$C8</f>
        <v/>
      </c>
      <c r="AV155">
        <f>IF(Schema_v5!$C9=0,0,AH155/Schema_v5!$C9)</f>
        <v/>
      </c>
      <c r="AW155">
        <f>IF(Schema_v5!$C10=0,0,AE155/Schema_v5!$C10)</f>
        <v/>
      </c>
      <c r="AX155">
        <f>(W155-Schema_v5!$C11)/(Schema_v5!$C12-Schema_v5!$C11)</f>
        <v/>
      </c>
      <c r="AY155">
        <f>(X155-Schema_v5!$C13)/(Schema_v5!$C14-Schema_v5!$C13)</f>
        <v/>
      </c>
    </row>
    <row r="156" ht="108" customHeight="1" s="10">
      <c r="A156" s="2" t="inlineStr">
        <is>
          <t>Q31_E</t>
        </is>
      </c>
      <c r="B156" s="2" t="n">
        <v>31</v>
      </c>
      <c r="C156" s="2" t="n">
        <v>31</v>
      </c>
      <c r="D156" s="2" t="inlineStr">
        <is>
          <t>Core</t>
        </is>
      </c>
      <c r="E156" s="2" t="n">
        <v>1.15</v>
      </c>
      <c r="F156" s="2" t="inlineStr">
        <is>
          <t>ValuesLifestyle</t>
        </is>
      </c>
      <c r="G156" s="2" t="inlineStr">
        <is>
          <t>IntentAlignment</t>
        </is>
      </c>
      <c r="H156" s="2" t="n"/>
      <c r="I156" s="2" t="inlineStr">
        <is>
          <t>E</t>
        </is>
      </c>
      <c r="J156" s="2" t="inlineStr">
        <is>
          <t>E</t>
        </is>
      </c>
      <c r="K156" s="2" t="inlineStr">
        <is>
          <t>I kind of punish myself internally. I tell myself this is why people pull away from me.</t>
        </is>
      </c>
      <c r="L156" s="2" t="n">
        <v>4</v>
      </c>
      <c r="M156" s="2" t="n">
        <v>5</v>
      </c>
      <c r="N156" s="2" t="n">
        <v>2</v>
      </c>
      <c r="O156" s="2" t="n">
        <v>2</v>
      </c>
      <c r="P156" s="2" t="n">
        <v>2</v>
      </c>
      <c r="Q156" s="2" t="inlineStr">
        <is>
          <t>Survivor</t>
        </is>
      </c>
      <c r="R156" s="2" t="n">
        <v>8</v>
      </c>
      <c r="S156" s="2" t="n"/>
      <c r="T156" s="2" t="n"/>
      <c r="U156" s="2" t="n">
        <v>0</v>
      </c>
      <c r="V156" s="2" t="inlineStr">
        <is>
          <t>masc:0.3;fem:1.3</t>
        </is>
      </c>
      <c r="W156" s="2" t="n">
        <v>0.3</v>
      </c>
      <c r="X156" s="2" t="n">
        <v>1.3</v>
      </c>
      <c r="Y156" s="2" t="inlineStr">
        <is>
          <t>COMM_Emotional</t>
        </is>
      </c>
      <c r="Z156" s="2" t="inlineStr">
        <is>
          <t>REG_SelfSoother</t>
        </is>
      </c>
      <c r="AA156" s="2" t="inlineStr">
        <is>
          <t>LANG_Service</t>
        </is>
      </c>
      <c r="AB156" s="2" t="inlineStr">
        <is>
          <t>Vulnerability_Loop</t>
        </is>
      </c>
      <c r="AC156" s="2" t="inlineStr">
        <is>
          <t>Vulnerability_Loop</t>
        </is>
      </c>
      <c r="AD156" s="2" t="n"/>
      <c r="AE156" s="2" t="n">
        <v>5</v>
      </c>
      <c r="AF156" s="2" t="inlineStr">
        <is>
          <t>internalized blame cycle</t>
        </is>
      </c>
      <c r="AG156" s="2" t="inlineStr">
        <is>
          <t>self-blamer</t>
        </is>
      </c>
      <c r="AH156" s="2" t="n">
        <v>0.6</v>
      </c>
      <c r="AI156" s="2" t="inlineStr">
        <is>
          <t>yes</t>
        </is>
      </c>
      <c r="AJ156" s="2" t="inlineStr">
        <is>
          <t>no</t>
        </is>
      </c>
      <c r="AK156" s="2" t="inlineStr">
        <is>
          <t>no</t>
        </is>
      </c>
      <c r="AL156" s="2" t="inlineStr">
        <is>
          <t>no</t>
        </is>
      </c>
      <c r="AM156" s="2" t="n"/>
      <c r="AN156" s="2" t="n"/>
      <c r="AO156" s="2" t="n"/>
      <c r="AP156" s="2" t="inlineStr">
        <is>
          <t>v3_2026-03-19</t>
        </is>
      </c>
      <c r="AQ156">
        <f>(L156-Schema_v5!$C2)/(Schema_v5!$C3-Schema_v5!$C2)</f>
        <v/>
      </c>
      <c r="AR156">
        <f>(M156-Schema_v5!$C4)/(Schema_v5!$C5-Schema_v5!$C4)</f>
        <v/>
      </c>
      <c r="AS156">
        <f>N156/Schema_v5!$C6</f>
        <v/>
      </c>
      <c r="AT156">
        <f>O156/Schema_v5!$C7</f>
        <v/>
      </c>
      <c r="AU156">
        <f>P156/Schema_v5!$C8</f>
        <v/>
      </c>
      <c r="AV156">
        <f>IF(Schema_v5!$C9=0,0,AH156/Schema_v5!$C9)</f>
        <v/>
      </c>
      <c r="AW156">
        <f>IF(Schema_v5!$C10=0,0,AE156/Schema_v5!$C10)</f>
        <v/>
      </c>
      <c r="AX156">
        <f>(W156-Schema_v5!$C11)/(Schema_v5!$C12-Schema_v5!$C11)</f>
        <v/>
      </c>
      <c r="AY156">
        <f>(X156-Schema_v5!$C13)/(Schema_v5!$C14-Schema_v5!$C13)</f>
        <v/>
      </c>
    </row>
    <row r="157" ht="121.5" customHeight="1" s="10">
      <c r="A157" s="2" t="inlineStr">
        <is>
          <t>Q32_A</t>
        </is>
      </c>
      <c r="B157" s="2" t="n">
        <v>32</v>
      </c>
      <c r="C157" s="2" t="n">
        <v>32</v>
      </c>
      <c r="D157" s="2" t="inlineStr">
        <is>
          <t>Core</t>
        </is>
      </c>
      <c r="E157" s="2" t="n">
        <v>1.15</v>
      </c>
      <c r="F157" s="2" t="inlineStr">
        <is>
          <t>ValuesLifestyle</t>
        </is>
      </c>
      <c r="G157" s="2" t="inlineStr">
        <is>
          <t>IntentAlignment</t>
        </is>
      </c>
      <c r="H157" s="2" t="inlineStr">
        <is>
          <t>You notice you've been putting in more effort-texting first, planning things, carrying the vibe. What's your response?</t>
        </is>
      </c>
      <c r="I157" s="2" t="inlineStr">
        <is>
          <t>A</t>
        </is>
      </c>
      <c r="J157" s="2" t="inlineStr">
        <is>
          <t>A</t>
        </is>
      </c>
      <c r="K157" s="2" t="inlineStr">
        <is>
          <t>I pull back immediately. If I feel one-sided energy, I shut it down without warning.</t>
        </is>
      </c>
      <c r="L157" s="2" t="n">
        <v>9</v>
      </c>
      <c r="M157" s="2" t="n">
        <v>9</v>
      </c>
      <c r="N157" s="2" t="n">
        <v>6</v>
      </c>
      <c r="O157" s="2" t="n">
        <v>6</v>
      </c>
      <c r="P157" s="2" t="n">
        <v>2</v>
      </c>
      <c r="Q157" s="2" t="inlineStr">
        <is>
          <t>Icebox</t>
        </is>
      </c>
      <c r="R157" s="2" t="n">
        <v>1</v>
      </c>
      <c r="S157" s="2" t="n"/>
      <c r="T157" s="2" t="n"/>
      <c r="U157" s="2" t="n">
        <v>0</v>
      </c>
      <c r="V157" s="2" t="inlineStr">
        <is>
          <t>masc:1.8;fem:-1.6</t>
        </is>
      </c>
      <c r="W157" s="2" t="n">
        <v>1.8</v>
      </c>
      <c r="X157" s="2" t="n">
        <v>-1.6</v>
      </c>
      <c r="Y157" s="2" t="inlineStr">
        <is>
          <t>COMM_Avoidant</t>
        </is>
      </c>
      <c r="Z157" s="2" t="inlineStr">
        <is>
          <t>REG_Suppressor</t>
        </is>
      </c>
      <c r="AA157" s="2" t="inlineStr">
        <is>
          <t>LANG_Time</t>
        </is>
      </c>
      <c r="AB157" s="2" t="n"/>
      <c r="AC157" s="2" t="n"/>
      <c r="AD157" s="2" t="n"/>
      <c r="AE157" s="2" t="n">
        <v>0</v>
      </c>
      <c r="AF157" s="2" t="inlineStr">
        <is>
          <t>cut-the-cord reflex</t>
        </is>
      </c>
      <c r="AG157" s="2" t="inlineStr">
        <is>
          <t>decisive withdrawer</t>
        </is>
      </c>
      <c r="AH157" s="2" t="n">
        <v>1.2</v>
      </c>
      <c r="AI157" s="2" t="inlineStr">
        <is>
          <t>no</t>
        </is>
      </c>
      <c r="AJ157" s="2" t="inlineStr">
        <is>
          <t>no</t>
        </is>
      </c>
      <c r="AK157" s="2" t="inlineStr">
        <is>
          <t>no</t>
        </is>
      </c>
      <c r="AL157" s="2" t="inlineStr">
        <is>
          <t>no</t>
        </is>
      </c>
      <c r="AM157" s="2" t="n"/>
      <c r="AN157" s="2" t="n"/>
      <c r="AO157" s="2" t="n"/>
      <c r="AP157" s="2" t="inlineStr">
        <is>
          <t>v3_2026-03-19</t>
        </is>
      </c>
      <c r="AQ157">
        <f>(L157-Schema_v5!$C2)/(Schema_v5!$C3-Schema_v5!$C2)</f>
        <v/>
      </c>
      <c r="AR157">
        <f>(M157-Schema_v5!$C4)/(Schema_v5!$C5-Schema_v5!$C4)</f>
        <v/>
      </c>
      <c r="AS157">
        <f>N157/Schema_v5!$C6</f>
        <v/>
      </c>
      <c r="AT157">
        <f>O157/Schema_v5!$C7</f>
        <v/>
      </c>
      <c r="AU157">
        <f>P157/Schema_v5!$C8</f>
        <v/>
      </c>
      <c r="AV157">
        <f>IF(Schema_v5!$C9=0,0,AH157/Schema_v5!$C9)</f>
        <v/>
      </c>
      <c r="AW157">
        <f>IF(Schema_v5!$C10=0,0,AE157/Schema_v5!$C10)</f>
        <v/>
      </c>
      <c r="AX157">
        <f>(W157-Schema_v5!$C11)/(Schema_v5!$C12-Schema_v5!$C11)</f>
        <v/>
      </c>
      <c r="AY157">
        <f>(X157-Schema_v5!$C13)/(Schema_v5!$C14-Schema_v5!$C13)</f>
        <v/>
      </c>
    </row>
    <row r="158" ht="135" customHeight="1" s="10">
      <c r="A158" s="2" t="inlineStr">
        <is>
          <t>Q32_B</t>
        </is>
      </c>
      <c r="B158" s="2" t="n">
        <v>32</v>
      </c>
      <c r="C158" s="2" t="n">
        <v>32</v>
      </c>
      <c r="D158" s="2" t="inlineStr">
        <is>
          <t>Core</t>
        </is>
      </c>
      <c r="E158" s="2" t="n">
        <v>1.15</v>
      </c>
      <c r="F158" s="2" t="inlineStr">
        <is>
          <t>ValuesLifestyle</t>
        </is>
      </c>
      <c r="G158" s="2" t="inlineStr">
        <is>
          <t>IntentAlignment</t>
        </is>
      </c>
      <c r="H158" s="2" t="n"/>
      <c r="I158" s="2" t="inlineStr">
        <is>
          <t>B</t>
        </is>
      </c>
      <c r="J158" s="2" t="inlineStr">
        <is>
          <t>B</t>
        </is>
      </c>
      <c r="K158" s="2" t="inlineStr">
        <is>
          <t>I start wondering what I did wrong. Maybe I'm overstepping, so I ease up and wait for them to miss me.</t>
        </is>
      </c>
      <c r="L158" s="2" t="n">
        <v>5</v>
      </c>
      <c r="M158" s="2" t="n">
        <v>6</v>
      </c>
      <c r="N158" s="2" t="n">
        <v>2</v>
      </c>
      <c r="O158" s="2" t="n">
        <v>2</v>
      </c>
      <c r="P158" s="2" t="n">
        <v>2</v>
      </c>
      <c r="Q158" s="2" t="inlineStr">
        <is>
          <t>Phantom Seeker</t>
        </is>
      </c>
      <c r="R158" s="2" t="n">
        <v>10</v>
      </c>
      <c r="S158" s="2" t="n"/>
      <c r="T158" s="2" t="n"/>
      <c r="U158" s="2" t="n">
        <v>0</v>
      </c>
      <c r="V158" s="2" t="inlineStr">
        <is>
          <t>masc:-0.2;fem:1.5</t>
        </is>
      </c>
      <c r="W158" s="2" t="n">
        <v>-0.2</v>
      </c>
      <c r="X158" s="2" t="n">
        <v>1.5</v>
      </c>
      <c r="Y158" s="2" t="inlineStr">
        <is>
          <t>COMM_Emotional</t>
        </is>
      </c>
      <c r="Z158" s="2" t="inlineStr">
        <is>
          <t>REG_SelfSoother</t>
        </is>
      </c>
      <c r="AA158" s="2" t="inlineStr">
        <is>
          <t>LANG_Touch</t>
        </is>
      </c>
      <c r="AB158" s="2" t="inlineStr">
        <is>
          <t>Commitment_Ambiguity</t>
        </is>
      </c>
      <c r="AC158" s="2" t="inlineStr">
        <is>
          <t>Commitment_Ambiguity</t>
        </is>
      </c>
      <c r="AD158" s="2" t="n"/>
      <c r="AE158" s="2" t="n">
        <v>5</v>
      </c>
      <c r="AF158" s="2" t="inlineStr">
        <is>
          <t>emotional retraction test</t>
        </is>
      </c>
      <c r="AG158" s="2" t="inlineStr">
        <is>
          <t>subtle distancer</t>
        </is>
      </c>
      <c r="AH158" s="2" t="n">
        <v>0.6</v>
      </c>
      <c r="AI158" s="2" t="inlineStr">
        <is>
          <t>yes</t>
        </is>
      </c>
      <c r="AJ158" s="2" t="inlineStr">
        <is>
          <t>no</t>
        </is>
      </c>
      <c r="AK158" s="2" t="inlineStr">
        <is>
          <t>no</t>
        </is>
      </c>
      <c r="AL158" s="2" t="inlineStr">
        <is>
          <t>no</t>
        </is>
      </c>
      <c r="AM158" s="2" t="n"/>
      <c r="AN158" s="2" t="n"/>
      <c r="AO158" s="2" t="n"/>
      <c r="AP158" s="2" t="inlineStr">
        <is>
          <t>v3_2026-03-19</t>
        </is>
      </c>
      <c r="AQ158">
        <f>(L158-Schema_v5!$C2)/(Schema_v5!$C3-Schema_v5!$C2)</f>
        <v/>
      </c>
      <c r="AR158">
        <f>(M158-Schema_v5!$C4)/(Schema_v5!$C5-Schema_v5!$C4)</f>
        <v/>
      </c>
      <c r="AS158">
        <f>N158/Schema_v5!$C6</f>
        <v/>
      </c>
      <c r="AT158">
        <f>O158/Schema_v5!$C7</f>
        <v/>
      </c>
      <c r="AU158">
        <f>P158/Schema_v5!$C8</f>
        <v/>
      </c>
      <c r="AV158">
        <f>IF(Schema_v5!$C9=0,0,AH158/Schema_v5!$C9)</f>
        <v/>
      </c>
      <c r="AW158">
        <f>IF(Schema_v5!$C10=0,0,AE158/Schema_v5!$C10)</f>
        <v/>
      </c>
      <c r="AX158">
        <f>(W158-Schema_v5!$C11)/(Schema_v5!$C12-Schema_v5!$C11)</f>
        <v/>
      </c>
      <c r="AY158">
        <f>(X158-Schema_v5!$C13)/(Schema_v5!$C14-Schema_v5!$C13)</f>
        <v/>
      </c>
    </row>
    <row r="159" ht="108" customHeight="1" s="10">
      <c r="A159" s="2" t="inlineStr">
        <is>
          <t>Q32_C</t>
        </is>
      </c>
      <c r="B159" s="2" t="n">
        <v>32</v>
      </c>
      <c r="C159" s="2" t="n">
        <v>32</v>
      </c>
      <c r="D159" s="2" t="inlineStr">
        <is>
          <t>Core</t>
        </is>
      </c>
      <c r="E159" s="2" t="n">
        <v>1.15</v>
      </c>
      <c r="F159" s="2" t="inlineStr">
        <is>
          <t>ValuesLifestyle</t>
        </is>
      </c>
      <c r="G159" s="2" t="inlineStr">
        <is>
          <t>IntentAlignment</t>
        </is>
      </c>
      <c r="H159" s="2" t="n"/>
      <c r="I159" s="2" t="inlineStr">
        <is>
          <t>C</t>
        </is>
      </c>
      <c r="J159" s="2" t="inlineStr">
        <is>
          <t>C</t>
        </is>
      </c>
      <c r="K159" s="2" t="inlineStr">
        <is>
          <t>I bring it up casually "Hey, I've been doing a lot of the reaching out lately. Everything good?"</t>
        </is>
      </c>
      <c r="L159" s="2" t="n">
        <v>9</v>
      </c>
      <c r="M159" s="2" t="n">
        <v>9</v>
      </c>
      <c r="N159" s="2" t="n">
        <v>10</v>
      </c>
      <c r="O159" s="2" t="n">
        <v>10</v>
      </c>
      <c r="P159" s="2" t="n">
        <v>10</v>
      </c>
      <c r="Q159" s="2" t="inlineStr">
        <is>
          <t>Regulated Grown-Up</t>
        </is>
      </c>
      <c r="R159" s="2" t="n">
        <v>9</v>
      </c>
      <c r="S159" s="2" t="n"/>
      <c r="T159" s="2" t="n"/>
      <c r="U159" s="2" t="n">
        <v>0</v>
      </c>
      <c r="V159" s="2" t="inlineStr">
        <is>
          <t>masc:1.1;fem:0.9</t>
        </is>
      </c>
      <c r="W159" s="2" t="n">
        <v>1.1</v>
      </c>
      <c r="X159" s="2" t="n">
        <v>0.9</v>
      </c>
      <c r="Y159" s="2" t="inlineStr">
        <is>
          <t>COMM_Direct</t>
        </is>
      </c>
      <c r="Z159" s="2" t="inlineStr">
        <is>
          <t>REG_CoRegulator</t>
        </is>
      </c>
      <c r="AA159" s="2" t="inlineStr">
        <is>
          <t>LANG_Words</t>
        </is>
      </c>
      <c r="AB159" s="2" t="n"/>
      <c r="AC159" s="2" t="n"/>
      <c r="AD159" s="2" t="n"/>
      <c r="AE159" s="2" t="n">
        <v>0</v>
      </c>
      <c r="AF159" s="2" t="inlineStr">
        <is>
          <t>balance check</t>
        </is>
      </c>
      <c r="AG159" s="2" t="inlineStr">
        <is>
          <t>direct communicator</t>
        </is>
      </c>
      <c r="AH159" s="2" t="n">
        <v>0</v>
      </c>
      <c r="AI159" s="2" t="inlineStr">
        <is>
          <t>no</t>
        </is>
      </c>
      <c r="AJ159" s="2" t="inlineStr">
        <is>
          <t>no</t>
        </is>
      </c>
      <c r="AK159" s="2" t="inlineStr">
        <is>
          <t>no</t>
        </is>
      </c>
      <c r="AL159" s="2" t="inlineStr">
        <is>
          <t>no</t>
        </is>
      </c>
      <c r="AM159" s="2" t="n"/>
      <c r="AN159" s="2" t="n"/>
      <c r="AO159" s="2" t="n"/>
      <c r="AP159" s="2" t="inlineStr">
        <is>
          <t>v3_2026-03-19</t>
        </is>
      </c>
      <c r="AQ159">
        <f>(L159-Schema_v5!$C2)/(Schema_v5!$C3-Schema_v5!$C2)</f>
        <v/>
      </c>
      <c r="AR159">
        <f>(M159-Schema_v5!$C4)/(Schema_v5!$C5-Schema_v5!$C4)</f>
        <v/>
      </c>
      <c r="AS159">
        <f>N159/Schema_v5!$C6</f>
        <v/>
      </c>
      <c r="AT159">
        <f>O159/Schema_v5!$C7</f>
        <v/>
      </c>
      <c r="AU159">
        <f>P159/Schema_v5!$C8</f>
        <v/>
      </c>
      <c r="AV159">
        <f>IF(Schema_v5!$C9=0,0,AH159/Schema_v5!$C9)</f>
        <v/>
      </c>
      <c r="AW159">
        <f>IF(Schema_v5!$C10=0,0,AE159/Schema_v5!$C10)</f>
        <v/>
      </c>
      <c r="AX159">
        <f>(W159-Schema_v5!$C11)/(Schema_v5!$C12-Schema_v5!$C11)</f>
        <v/>
      </c>
      <c r="AY159">
        <f>(X159-Schema_v5!$C13)/(Schema_v5!$C14-Schema_v5!$C13)</f>
        <v/>
      </c>
    </row>
    <row r="160" ht="94.5" customHeight="1" s="10">
      <c r="A160" s="2" t="inlineStr">
        <is>
          <t>Q32_D</t>
        </is>
      </c>
      <c r="B160" s="2" t="n">
        <v>32</v>
      </c>
      <c r="C160" s="2" t="n">
        <v>32</v>
      </c>
      <c r="D160" s="2" t="inlineStr">
        <is>
          <t>Core</t>
        </is>
      </c>
      <c r="E160" s="2" t="n">
        <v>1.15</v>
      </c>
      <c r="F160" s="2" t="inlineStr">
        <is>
          <t>ValuesLifestyle</t>
        </is>
      </c>
      <c r="G160" s="2" t="inlineStr">
        <is>
          <t>IntentAlignment</t>
        </is>
      </c>
      <c r="H160" s="2" t="n"/>
      <c r="I160" s="2" t="inlineStr">
        <is>
          <t>D</t>
        </is>
      </c>
      <c r="J160" s="2" t="inlineStr">
        <is>
          <t>D</t>
        </is>
      </c>
      <c r="K160" s="2" t="inlineStr">
        <is>
          <t>I keep doing it, honestly. If I care, I'd rather carry it than risk the connection falling off.</t>
        </is>
      </c>
      <c r="L160" s="2" t="n">
        <v>4</v>
      </c>
      <c r="M160" s="2" t="n">
        <v>5</v>
      </c>
      <c r="N160" s="2" t="n">
        <v>2</v>
      </c>
      <c r="O160" s="2" t="n">
        <v>2</v>
      </c>
      <c r="P160" s="2" t="n">
        <v>2</v>
      </c>
      <c r="Q160" s="2" t="inlineStr">
        <is>
          <t>Fixer</t>
        </is>
      </c>
      <c r="R160" s="2" t="n">
        <v>5</v>
      </c>
      <c r="S160" s="2" t="n"/>
      <c r="T160" s="2" t="n"/>
      <c r="U160" s="2" t="n">
        <v>0</v>
      </c>
      <c r="V160" s="2" t="inlineStr">
        <is>
          <t>masc:-0.2;fem:1.7</t>
        </is>
      </c>
      <c r="W160" s="2" t="n">
        <v>-0.2</v>
      </c>
      <c r="X160" s="2" t="n">
        <v>1.7</v>
      </c>
      <c r="Y160" s="2" t="inlineStr">
        <is>
          <t>COMM_Emotional</t>
        </is>
      </c>
      <c r="Z160" s="2" t="inlineStr">
        <is>
          <t>REG_SelfSoother</t>
        </is>
      </c>
      <c r="AA160" s="2" t="inlineStr">
        <is>
          <t>LANG_Service</t>
        </is>
      </c>
      <c r="AB160" s="2" t="inlineStr">
        <is>
          <t>Vulnerability_Loop</t>
        </is>
      </c>
      <c r="AC160" s="2" t="inlineStr">
        <is>
          <t>Vulnerability_Loop</t>
        </is>
      </c>
      <c r="AD160" s="2" t="n"/>
      <c r="AE160" s="2" t="n">
        <v>5</v>
      </c>
      <c r="AF160" s="2" t="inlineStr">
        <is>
          <t>emotional weight-lifter</t>
        </is>
      </c>
      <c r="AG160" s="2" t="inlineStr">
        <is>
          <t>overfunctioner</t>
        </is>
      </c>
      <c r="AH160" s="2" t="n">
        <v>0</v>
      </c>
      <c r="AI160" s="2" t="inlineStr">
        <is>
          <t>yes</t>
        </is>
      </c>
      <c r="AJ160" s="2" t="inlineStr">
        <is>
          <t>no</t>
        </is>
      </c>
      <c r="AK160" s="2" t="inlineStr">
        <is>
          <t>no</t>
        </is>
      </c>
      <c r="AL160" s="2" t="inlineStr">
        <is>
          <t>no</t>
        </is>
      </c>
      <c r="AM160" s="2" t="n"/>
      <c r="AN160" s="2" t="n"/>
      <c r="AO160" s="2" t="n"/>
      <c r="AP160" s="2" t="inlineStr">
        <is>
          <t>v3_2026-03-19</t>
        </is>
      </c>
      <c r="AQ160">
        <f>(L160-Schema_v5!$C2)/(Schema_v5!$C3-Schema_v5!$C2)</f>
        <v/>
      </c>
      <c r="AR160">
        <f>(M160-Schema_v5!$C4)/(Schema_v5!$C5-Schema_v5!$C4)</f>
        <v/>
      </c>
      <c r="AS160">
        <f>N160/Schema_v5!$C6</f>
        <v/>
      </c>
      <c r="AT160">
        <f>O160/Schema_v5!$C7</f>
        <v/>
      </c>
      <c r="AU160">
        <f>P160/Schema_v5!$C8</f>
        <v/>
      </c>
      <c r="AV160">
        <f>IF(Schema_v5!$C9=0,0,AH160/Schema_v5!$C9)</f>
        <v/>
      </c>
      <c r="AW160">
        <f>IF(Schema_v5!$C10=0,0,AE160/Schema_v5!$C10)</f>
        <v/>
      </c>
      <c r="AX160">
        <f>(W160-Schema_v5!$C11)/(Schema_v5!$C12-Schema_v5!$C11)</f>
        <v/>
      </c>
      <c r="AY160">
        <f>(X160-Schema_v5!$C13)/(Schema_v5!$C14-Schema_v5!$C13)</f>
        <v/>
      </c>
    </row>
    <row r="161" ht="108" customHeight="1" s="10">
      <c r="A161" s="2" t="inlineStr">
        <is>
          <t>Q32_E</t>
        </is>
      </c>
      <c r="B161" s="2" t="n">
        <v>32</v>
      </c>
      <c r="C161" s="2" t="n">
        <v>32</v>
      </c>
      <c r="D161" s="2" t="inlineStr">
        <is>
          <t>Core</t>
        </is>
      </c>
      <c r="E161" s="2" t="n">
        <v>1.15</v>
      </c>
      <c r="F161" s="2" t="inlineStr">
        <is>
          <t>ValuesLifestyle</t>
        </is>
      </c>
      <c r="G161" s="2" t="inlineStr">
        <is>
          <t>IntentAlignment</t>
        </is>
      </c>
      <c r="H161" s="2" t="n"/>
      <c r="I161" s="2" t="inlineStr">
        <is>
          <t>E</t>
        </is>
      </c>
      <c r="J161" s="2" t="inlineStr">
        <is>
          <t>E</t>
        </is>
      </c>
      <c r="K161" s="2" t="inlineStr">
        <is>
          <t>I start getting passive-aggressive, short replies, less effort, hoping they'll notice and step up.</t>
        </is>
      </c>
      <c r="L161" s="2" t="n">
        <v>5</v>
      </c>
      <c r="M161" s="2" t="n">
        <v>6</v>
      </c>
      <c r="N161" s="2" t="n">
        <v>0</v>
      </c>
      <c r="O161" s="2" t="n">
        <v>2</v>
      </c>
      <c r="P161" s="2" t="n">
        <v>0</v>
      </c>
      <c r="Q161" s="2" t="inlineStr">
        <is>
          <t>Performer</t>
        </is>
      </c>
      <c r="R161" s="2" t="n">
        <v>7</v>
      </c>
      <c r="S161" s="2" t="n"/>
      <c r="T161" s="2" t="n"/>
      <c r="U161" s="2" t="n">
        <v>0</v>
      </c>
      <c r="V161" s="2" t="inlineStr">
        <is>
          <t>masc:0.3;fem:0.5</t>
        </is>
      </c>
      <c r="W161" s="2" t="n">
        <v>0.3</v>
      </c>
      <c r="X161" s="2" t="n">
        <v>0.5</v>
      </c>
      <c r="Y161" s="2" t="inlineStr">
        <is>
          <t>COMM_Indirect</t>
        </is>
      </c>
      <c r="Z161" s="2" t="inlineStr">
        <is>
          <t>REG_Distractor</t>
        </is>
      </c>
      <c r="AA161" s="2" t="inlineStr">
        <is>
          <t>LANG_Gifts</t>
        </is>
      </c>
      <c r="AB161" s="2" t="inlineStr">
        <is>
          <t>Scorekeeping_Echo</t>
        </is>
      </c>
      <c r="AC161" s="2" t="inlineStr">
        <is>
          <t>Scorekeeping_Echo</t>
        </is>
      </c>
      <c r="AD161" s="2" t="n"/>
      <c r="AE161" s="2" t="n">
        <v>8</v>
      </c>
      <c r="AF161" s="2" t="inlineStr">
        <is>
          <t>withdrawal performance</t>
        </is>
      </c>
      <c r="AG161" s="2" t="inlineStr">
        <is>
          <t>subtle protester</t>
        </is>
      </c>
      <c r="AH161" s="2" t="n">
        <v>1.2</v>
      </c>
      <c r="AI161" s="2" t="inlineStr">
        <is>
          <t>yes</t>
        </is>
      </c>
      <c r="AJ161" s="2" t="inlineStr">
        <is>
          <t>no</t>
        </is>
      </c>
      <c r="AK161" s="2" t="inlineStr">
        <is>
          <t>no</t>
        </is>
      </c>
      <c r="AL161" s="2" t="inlineStr">
        <is>
          <t>no</t>
        </is>
      </c>
      <c r="AM161" s="2" t="n"/>
      <c r="AN161" s="2" t="n"/>
      <c r="AO161" s="2" t="n"/>
      <c r="AP161" s="2" t="inlineStr">
        <is>
          <t>v3_2026-03-19</t>
        </is>
      </c>
      <c r="AQ161">
        <f>(L161-Schema_v5!$C2)/(Schema_v5!$C3-Schema_v5!$C2)</f>
        <v/>
      </c>
      <c r="AR161">
        <f>(M161-Schema_v5!$C4)/(Schema_v5!$C5-Schema_v5!$C4)</f>
        <v/>
      </c>
      <c r="AS161">
        <f>N161/Schema_v5!$C6</f>
        <v/>
      </c>
      <c r="AT161">
        <f>O161/Schema_v5!$C7</f>
        <v/>
      </c>
      <c r="AU161">
        <f>P161/Schema_v5!$C8</f>
        <v/>
      </c>
      <c r="AV161">
        <f>IF(Schema_v5!$C9=0,0,AH161/Schema_v5!$C9)</f>
        <v/>
      </c>
      <c r="AW161">
        <f>IF(Schema_v5!$C10=0,0,AE161/Schema_v5!$C10)</f>
        <v/>
      </c>
      <c r="AX161">
        <f>(W161-Schema_v5!$C11)/(Schema_v5!$C12-Schema_v5!$C11)</f>
        <v/>
      </c>
      <c r="AY161">
        <f>(X161-Schema_v5!$C13)/(Schema_v5!$C14-Schema_v5!$C13)</f>
        <v/>
      </c>
    </row>
    <row r="162" ht="108" customHeight="1" s="10">
      <c r="A162" s="2" t="inlineStr">
        <is>
          <t>Q33_A</t>
        </is>
      </c>
      <c r="B162" s="2" t="n">
        <v>33</v>
      </c>
      <c r="C162" s="2" t="n">
        <v>33</v>
      </c>
      <c r="D162" s="2" t="inlineStr">
        <is>
          <t>Core</t>
        </is>
      </c>
      <c r="E162" s="2" t="n">
        <v>1.15</v>
      </c>
      <c r="F162" s="2" t="inlineStr">
        <is>
          <t>CommitmentPace</t>
        </is>
      </c>
      <c r="G162" s="2" t="inlineStr">
        <is>
          <t>IntentAlignment</t>
        </is>
      </c>
      <c r="H162" s="2" t="inlineStr">
        <is>
          <t>You realize you're not feeling it with someone-but they clearly are. How do you usually pull back?</t>
        </is>
      </c>
      <c r="I162" s="2" t="inlineStr">
        <is>
          <t>A</t>
        </is>
      </c>
      <c r="J162" s="2" t="inlineStr">
        <is>
          <t>A</t>
        </is>
      </c>
      <c r="K162" s="2" t="inlineStr">
        <is>
          <t>I slowly drift. Less texts, less talk, hoping they get the hint without me having to say it</t>
        </is>
      </c>
      <c r="L162" s="2" t="n">
        <v>8</v>
      </c>
      <c r="M162" s="2" t="n">
        <v>8</v>
      </c>
      <c r="N162" s="2" t="n">
        <v>4</v>
      </c>
      <c r="O162" s="2" t="n">
        <v>4</v>
      </c>
      <c r="P162" s="2" t="n">
        <v>2</v>
      </c>
      <c r="Q162" s="2" t="inlineStr">
        <is>
          <t>Quiet Exit</t>
        </is>
      </c>
      <c r="R162" s="2" t="n">
        <v>4</v>
      </c>
      <c r="S162" s="2" t="n"/>
      <c r="T162" s="2" t="n"/>
      <c r="U162" s="2" t="n">
        <v>0</v>
      </c>
      <c r="V162" s="2" t="inlineStr">
        <is>
          <t>masc:1.4;fem:-1.3</t>
        </is>
      </c>
      <c r="W162" s="2" t="n">
        <v>1.4</v>
      </c>
      <c r="X162" s="2" t="n">
        <v>-1.3</v>
      </c>
      <c r="Y162" s="2" t="inlineStr">
        <is>
          <t>COMM_Avoidant</t>
        </is>
      </c>
      <c r="Z162" s="2" t="inlineStr">
        <is>
          <t>REG_Suppressor</t>
        </is>
      </c>
      <c r="AA162" s="2" t="inlineStr">
        <is>
          <t>LANG_Time</t>
        </is>
      </c>
      <c r="AB162" s="2" t="n"/>
      <c r="AC162" s="2" t="n"/>
      <c r="AD162" s="2" t="n"/>
      <c r="AE162" s="2" t="n">
        <v>0</v>
      </c>
      <c r="AF162" s="2" t="inlineStr">
        <is>
          <t>emotional phase-out</t>
        </is>
      </c>
      <c r="AG162" s="2" t="inlineStr">
        <is>
          <t>quiet exiter</t>
        </is>
      </c>
      <c r="AH162" s="2" t="n">
        <v>0</v>
      </c>
      <c r="AI162" s="2" t="inlineStr">
        <is>
          <t>no</t>
        </is>
      </c>
      <c r="AJ162" s="2" t="inlineStr">
        <is>
          <t>no</t>
        </is>
      </c>
      <c r="AK162" s="2" t="inlineStr">
        <is>
          <t>yes</t>
        </is>
      </c>
      <c r="AL162" s="2" t="inlineStr">
        <is>
          <t>yes</t>
        </is>
      </c>
      <c r="AM162" s="2" t="n"/>
      <c r="AN162" s="2" t="n"/>
      <c r="AO162" s="2" t="n"/>
      <c r="AP162" s="2" t="inlineStr">
        <is>
          <t>v3_2026-03-19</t>
        </is>
      </c>
      <c r="AQ162">
        <f>(L162-Schema_v5!$C2)/(Schema_v5!$C3-Schema_v5!$C2)</f>
        <v/>
      </c>
      <c r="AR162">
        <f>(M162-Schema_v5!$C4)/(Schema_v5!$C5-Schema_v5!$C4)</f>
        <v/>
      </c>
      <c r="AS162">
        <f>N162/Schema_v5!$C6</f>
        <v/>
      </c>
      <c r="AT162">
        <f>O162/Schema_v5!$C7</f>
        <v/>
      </c>
      <c r="AU162">
        <f>P162/Schema_v5!$C8</f>
        <v/>
      </c>
      <c r="AV162">
        <f>IF(Schema_v5!$C9=0,0,AH162/Schema_v5!$C9)</f>
        <v/>
      </c>
      <c r="AW162">
        <f>IF(Schema_v5!$C10=0,0,AE162/Schema_v5!$C10)</f>
        <v/>
      </c>
      <c r="AX162">
        <f>(W162-Schema_v5!$C11)/(Schema_v5!$C12-Schema_v5!$C11)</f>
        <v/>
      </c>
      <c r="AY162">
        <f>(X162-Schema_v5!$C13)/(Schema_v5!$C14-Schema_v5!$C13)</f>
        <v/>
      </c>
    </row>
    <row r="163" ht="94.5" customHeight="1" s="10">
      <c r="A163" s="2" t="inlineStr">
        <is>
          <t>Q33_B</t>
        </is>
      </c>
      <c r="B163" s="2" t="n">
        <v>33</v>
      </c>
      <c r="C163" s="2" t="n">
        <v>33</v>
      </c>
      <c r="D163" s="2" t="inlineStr">
        <is>
          <t>Core</t>
        </is>
      </c>
      <c r="E163" s="2" t="n">
        <v>1.15</v>
      </c>
      <c r="F163" s="2" t="inlineStr">
        <is>
          <t>CommitmentPace</t>
        </is>
      </c>
      <c r="G163" s="2" t="inlineStr">
        <is>
          <t>IntentAlignment</t>
        </is>
      </c>
      <c r="H163" s="2" t="n"/>
      <c r="I163" s="2" t="inlineStr">
        <is>
          <t>B</t>
        </is>
      </c>
      <c r="J163" s="2" t="inlineStr">
        <is>
          <t>B</t>
        </is>
      </c>
      <c r="K163" s="2" t="inlineStr">
        <is>
          <t>I still show up, but colder. I make it easier for them to walk away first.</t>
        </is>
      </c>
      <c r="L163" s="2" t="n">
        <v>7</v>
      </c>
      <c r="M163" s="2" t="n">
        <v>8</v>
      </c>
      <c r="N163" s="2" t="n">
        <v>4</v>
      </c>
      <c r="O163" s="2" t="n">
        <v>4</v>
      </c>
      <c r="P163" s="2" t="n">
        <v>0</v>
      </c>
      <c r="Q163" s="2" t="inlineStr">
        <is>
          <t>Icebox</t>
        </is>
      </c>
      <c r="R163" s="2" t="n">
        <v>1</v>
      </c>
      <c r="S163" s="2" t="n"/>
      <c r="T163" s="2" t="n"/>
      <c r="U163" s="2" t="n">
        <v>0</v>
      </c>
      <c r="V163" s="2" t="inlineStr">
        <is>
          <t>masc:1.8;fem:-1.6</t>
        </is>
      </c>
      <c r="W163" s="2" t="n">
        <v>1.8</v>
      </c>
      <c r="X163" s="2" t="n">
        <v>-1.6</v>
      </c>
      <c r="Y163" s="2" t="inlineStr">
        <is>
          <t>COMM_Avoidant</t>
        </is>
      </c>
      <c r="Z163" s="2" t="inlineStr">
        <is>
          <t>REG_Suppressor</t>
        </is>
      </c>
      <c r="AA163" s="2" t="inlineStr">
        <is>
          <t>LANG_Time</t>
        </is>
      </c>
      <c r="AB163" s="2" t="n"/>
      <c r="AC163" s="2" t="n"/>
      <c r="AD163" s="2" t="n"/>
      <c r="AE163" s="2" t="n">
        <v>0</v>
      </c>
      <c r="AF163" s="2" t="inlineStr">
        <is>
          <t>indirect push-away</t>
        </is>
      </c>
      <c r="AG163" s="2" t="inlineStr">
        <is>
          <t>soft detacher</t>
        </is>
      </c>
      <c r="AH163" s="2" t="n">
        <v>0.8</v>
      </c>
      <c r="AI163" s="2" t="inlineStr">
        <is>
          <t>no</t>
        </is>
      </c>
      <c r="AJ163" s="2" t="inlineStr">
        <is>
          <t>no</t>
        </is>
      </c>
      <c r="AK163" s="2" t="inlineStr">
        <is>
          <t>yes</t>
        </is>
      </c>
      <c r="AL163" s="2" t="inlineStr">
        <is>
          <t>yes</t>
        </is>
      </c>
      <c r="AM163" s="2" t="n"/>
      <c r="AN163" s="2" t="n"/>
      <c r="AO163" s="2" t="n"/>
      <c r="AP163" s="2" t="inlineStr">
        <is>
          <t>v3_2026-03-19</t>
        </is>
      </c>
      <c r="AQ163">
        <f>(L163-Schema_v5!$C2)/(Schema_v5!$C3-Schema_v5!$C2)</f>
        <v/>
      </c>
      <c r="AR163">
        <f>(M163-Schema_v5!$C4)/(Schema_v5!$C5-Schema_v5!$C4)</f>
        <v/>
      </c>
      <c r="AS163">
        <f>N163/Schema_v5!$C6</f>
        <v/>
      </c>
      <c r="AT163">
        <f>O163/Schema_v5!$C7</f>
        <v/>
      </c>
      <c r="AU163">
        <f>P163/Schema_v5!$C8</f>
        <v/>
      </c>
      <c r="AV163">
        <f>IF(Schema_v5!$C9=0,0,AH163/Schema_v5!$C9)</f>
        <v/>
      </c>
      <c r="AW163">
        <f>IF(Schema_v5!$C10=0,0,AE163/Schema_v5!$C10)</f>
        <v/>
      </c>
      <c r="AX163">
        <f>(W163-Schema_v5!$C11)/(Schema_v5!$C12-Schema_v5!$C11)</f>
        <v/>
      </c>
      <c r="AY163">
        <f>(X163-Schema_v5!$C13)/(Schema_v5!$C14-Schema_v5!$C13)</f>
        <v/>
      </c>
    </row>
    <row r="164" ht="135" customHeight="1" s="10">
      <c r="A164" s="2" t="inlineStr">
        <is>
          <t>Q33_C</t>
        </is>
      </c>
      <c r="B164" s="2" t="n">
        <v>33</v>
      </c>
      <c r="C164" s="2" t="n">
        <v>33</v>
      </c>
      <c r="D164" s="2" t="inlineStr">
        <is>
          <t>Core</t>
        </is>
      </c>
      <c r="E164" s="2" t="n">
        <v>1.15</v>
      </c>
      <c r="F164" s="2" t="inlineStr">
        <is>
          <t>CommitmentPace</t>
        </is>
      </c>
      <c r="G164" s="2" t="inlineStr">
        <is>
          <t>IntentAlignment</t>
        </is>
      </c>
      <c r="H164" s="2" t="n"/>
      <c r="I164" s="2" t="inlineStr">
        <is>
          <t>C</t>
        </is>
      </c>
      <c r="J164" s="2" t="inlineStr">
        <is>
          <t>C</t>
        </is>
      </c>
      <c r="K164" s="2" t="inlineStr">
        <is>
          <t>I stay a little longer than I mean to. I don't want to hurt them, and part of me feels responsible for how they feel.</t>
        </is>
      </c>
      <c r="L164" s="2" t="n">
        <v>5</v>
      </c>
      <c r="M164" s="2" t="n">
        <v>6</v>
      </c>
      <c r="N164" s="2" t="n">
        <v>4</v>
      </c>
      <c r="O164" s="2" t="n">
        <v>4</v>
      </c>
      <c r="P164" s="2" t="n">
        <v>4</v>
      </c>
      <c r="Q164" s="2" t="inlineStr">
        <is>
          <t>Fixer</t>
        </is>
      </c>
      <c r="R164" s="2" t="n">
        <v>5</v>
      </c>
      <c r="S164" s="2" t="n"/>
      <c r="T164" s="2" t="n"/>
      <c r="U164" s="2" t="n">
        <v>0</v>
      </c>
      <c r="V164" s="2" t="inlineStr">
        <is>
          <t>masc:-0.4;fem:2.0</t>
        </is>
      </c>
      <c r="W164" s="2" t="n">
        <v>-0.4</v>
      </c>
      <c r="X164" s="2" t="n">
        <v>2</v>
      </c>
      <c r="Y164" s="2" t="inlineStr">
        <is>
          <t>COMM_Emotional</t>
        </is>
      </c>
      <c r="Z164" s="2" t="inlineStr">
        <is>
          <t>REG_CoRegulator</t>
        </is>
      </c>
      <c r="AA164" s="2" t="inlineStr">
        <is>
          <t>LANG_Service</t>
        </is>
      </c>
      <c r="AB164" s="2" t="inlineStr">
        <is>
          <t>Vulnerability_Loop</t>
        </is>
      </c>
      <c r="AC164" s="2" t="inlineStr">
        <is>
          <t>Vulnerability_Loop</t>
        </is>
      </c>
      <c r="AD164" s="2" t="n"/>
      <c r="AE164" s="2" t="n">
        <v>5</v>
      </c>
      <c r="AF164" s="2" t="inlineStr">
        <is>
          <t>guilt-fueled delay</t>
        </is>
      </c>
      <c r="AG164" s="2" t="inlineStr">
        <is>
          <t>hesitant leaver</t>
        </is>
      </c>
      <c r="AH164" s="2" t="n">
        <v>0.2</v>
      </c>
      <c r="AI164" s="2" t="inlineStr">
        <is>
          <t>yes</t>
        </is>
      </c>
      <c r="AJ164" s="2" t="inlineStr">
        <is>
          <t>no</t>
        </is>
      </c>
      <c r="AK164" s="2" t="inlineStr">
        <is>
          <t>yes</t>
        </is>
      </c>
      <c r="AL164" s="2" t="inlineStr">
        <is>
          <t>yes</t>
        </is>
      </c>
      <c r="AM164" s="2" t="n"/>
      <c r="AN164" s="2" t="n"/>
      <c r="AO164" s="2" t="n"/>
      <c r="AP164" s="2" t="inlineStr">
        <is>
          <t>v3_2026-03-19</t>
        </is>
      </c>
      <c r="AQ164">
        <f>(L164-Schema_v5!$C2)/(Schema_v5!$C3-Schema_v5!$C2)</f>
        <v/>
      </c>
      <c r="AR164">
        <f>(M164-Schema_v5!$C4)/(Schema_v5!$C5-Schema_v5!$C4)</f>
        <v/>
      </c>
      <c r="AS164">
        <f>N164/Schema_v5!$C6</f>
        <v/>
      </c>
      <c r="AT164">
        <f>O164/Schema_v5!$C7</f>
        <v/>
      </c>
      <c r="AU164">
        <f>P164/Schema_v5!$C8</f>
        <v/>
      </c>
      <c r="AV164">
        <f>IF(Schema_v5!$C9=0,0,AH164/Schema_v5!$C9)</f>
        <v/>
      </c>
      <c r="AW164">
        <f>IF(Schema_v5!$C10=0,0,AE164/Schema_v5!$C10)</f>
        <v/>
      </c>
      <c r="AX164">
        <f>(W164-Schema_v5!$C11)/(Schema_v5!$C12-Schema_v5!$C11)</f>
        <v/>
      </c>
      <c r="AY164">
        <f>(X164-Schema_v5!$C13)/(Schema_v5!$C14-Schema_v5!$C13)</f>
        <v/>
      </c>
    </row>
    <row r="165" ht="148.5" customHeight="1" s="10">
      <c r="A165" s="2" t="inlineStr">
        <is>
          <t>Q33_D</t>
        </is>
      </c>
      <c r="B165" s="2" t="n">
        <v>33</v>
      </c>
      <c r="C165" s="2" t="n">
        <v>33</v>
      </c>
      <c r="D165" s="2" t="inlineStr">
        <is>
          <t>Core</t>
        </is>
      </c>
      <c r="E165" s="2" t="n">
        <v>1.15</v>
      </c>
      <c r="F165" s="2" t="inlineStr">
        <is>
          <t>CommitmentPace</t>
        </is>
      </c>
      <c r="G165" s="2" t="inlineStr">
        <is>
          <t>IntentAlignment</t>
        </is>
      </c>
      <c r="H165" s="2" t="n"/>
      <c r="I165" s="2" t="inlineStr">
        <is>
          <t>D</t>
        </is>
      </c>
      <c r="J165" s="2" t="inlineStr">
        <is>
          <t>D</t>
        </is>
      </c>
      <c r="K165" s="2" t="inlineStr">
        <is>
          <t>I avoid the conversation by blaming timing or saying "I'm just not in the right headspace," even if that's not the full truth.</t>
        </is>
      </c>
      <c r="L165" s="2" t="n">
        <v>5</v>
      </c>
      <c r="M165" s="2" t="n">
        <v>6</v>
      </c>
      <c r="N165" s="2" t="n">
        <v>2</v>
      </c>
      <c r="O165" s="2" t="n">
        <v>2</v>
      </c>
      <c r="P165" s="2" t="n">
        <v>0</v>
      </c>
      <c r="Q165" s="2" t="inlineStr">
        <is>
          <t>Performer</t>
        </is>
      </c>
      <c r="R165" s="2" t="n">
        <v>7</v>
      </c>
      <c r="S165" s="2" t="n"/>
      <c r="T165" s="2" t="n"/>
      <c r="U165" s="2" t="n">
        <v>0</v>
      </c>
      <c r="V165" s="2" t="inlineStr">
        <is>
          <t>masc:0.3;fem:0.5</t>
        </is>
      </c>
      <c r="W165" s="2" t="n">
        <v>0.3</v>
      </c>
      <c r="X165" s="2" t="n">
        <v>0.5</v>
      </c>
      <c r="Y165" s="2" t="inlineStr">
        <is>
          <t>COMM_Indirect</t>
        </is>
      </c>
      <c r="Z165" s="2" t="inlineStr">
        <is>
          <t>REG_Distractor</t>
        </is>
      </c>
      <c r="AA165" s="2" t="inlineStr">
        <is>
          <t>LANG_Gifts</t>
        </is>
      </c>
      <c r="AB165" s="2" t="inlineStr">
        <is>
          <t>Vulnerability_Loop</t>
        </is>
      </c>
      <c r="AC165" s="2" t="inlineStr">
        <is>
          <t>Vulnerability_Loop</t>
        </is>
      </c>
      <c r="AD165" s="2" t="n"/>
      <c r="AE165" s="2" t="n">
        <v>5</v>
      </c>
      <c r="AF165" s="2" t="inlineStr">
        <is>
          <t>exit with surface excuse</t>
        </is>
      </c>
      <c r="AG165" s="2" t="inlineStr">
        <is>
          <t>impression manager</t>
        </is>
      </c>
      <c r="AH165" s="2" t="n">
        <v>0.6</v>
      </c>
      <c r="AI165" s="2" t="inlineStr">
        <is>
          <t>yes</t>
        </is>
      </c>
      <c r="AJ165" s="2" t="inlineStr">
        <is>
          <t>no</t>
        </is>
      </c>
      <c r="AK165" s="2" t="inlineStr">
        <is>
          <t>yes</t>
        </is>
      </c>
      <c r="AL165" s="2" t="inlineStr">
        <is>
          <t>yes</t>
        </is>
      </c>
      <c r="AM165" s="2" t="n"/>
      <c r="AN165" s="2" t="n"/>
      <c r="AO165" s="2" t="n"/>
      <c r="AP165" s="2" t="inlineStr">
        <is>
          <t>v3_2026-03-19</t>
        </is>
      </c>
      <c r="AQ165">
        <f>(L165-Schema_v5!$C2)/(Schema_v5!$C3-Schema_v5!$C2)</f>
        <v/>
      </c>
      <c r="AR165">
        <f>(M165-Schema_v5!$C4)/(Schema_v5!$C5-Schema_v5!$C4)</f>
        <v/>
      </c>
      <c r="AS165">
        <f>N165/Schema_v5!$C6</f>
        <v/>
      </c>
      <c r="AT165">
        <f>O165/Schema_v5!$C7</f>
        <v/>
      </c>
      <c r="AU165">
        <f>P165/Schema_v5!$C8</f>
        <v/>
      </c>
      <c r="AV165">
        <f>IF(Schema_v5!$C9=0,0,AH165/Schema_v5!$C9)</f>
        <v/>
      </c>
      <c r="AW165">
        <f>IF(Schema_v5!$C10=0,0,AE165/Schema_v5!$C10)</f>
        <v/>
      </c>
      <c r="AX165">
        <f>(W165-Schema_v5!$C11)/(Schema_v5!$C12-Schema_v5!$C11)</f>
        <v/>
      </c>
      <c r="AY165">
        <f>(X165-Schema_v5!$C13)/(Schema_v5!$C14-Schema_v5!$C13)</f>
        <v/>
      </c>
    </row>
    <row r="166" ht="108" customHeight="1" s="10">
      <c r="A166" s="2" t="inlineStr">
        <is>
          <t>Q33_E</t>
        </is>
      </c>
      <c r="B166" s="2" t="n">
        <v>33</v>
      </c>
      <c r="C166" s="2" t="n">
        <v>33</v>
      </c>
      <c r="D166" s="2" t="inlineStr">
        <is>
          <t>Core</t>
        </is>
      </c>
      <c r="E166" s="2" t="n">
        <v>1.15</v>
      </c>
      <c r="F166" s="2" t="inlineStr">
        <is>
          <t>CommitmentPace</t>
        </is>
      </c>
      <c r="G166" s="2" t="inlineStr">
        <is>
          <t>IntentAlignment</t>
        </is>
      </c>
      <c r="H166" s="2" t="n"/>
      <c r="I166" s="2" t="inlineStr">
        <is>
          <t>E</t>
        </is>
      </c>
      <c r="J166" s="2" t="inlineStr">
        <is>
          <t>E</t>
        </is>
      </c>
      <c r="K166" s="2" t="inlineStr">
        <is>
          <t>I act casual, like we're just vibing, but inside I'm already out. I don't like being the one to say it.</t>
        </is>
      </c>
      <c r="L166" s="2" t="n">
        <v>4</v>
      </c>
      <c r="M166" s="2" t="n">
        <v>5</v>
      </c>
      <c r="N166" s="2" t="n">
        <v>0</v>
      </c>
      <c r="O166" s="2" t="n">
        <v>2</v>
      </c>
      <c r="P166" s="2" t="n">
        <v>0</v>
      </c>
      <c r="Q166" s="2" t="inlineStr">
        <is>
          <t>Phantom Seeker</t>
        </is>
      </c>
      <c r="R166" s="2" t="n">
        <v>10</v>
      </c>
      <c r="S166" s="2" t="n"/>
      <c r="T166" s="2" t="n"/>
      <c r="U166" s="2" t="n">
        <v>0</v>
      </c>
      <c r="V166" s="2" t="inlineStr">
        <is>
          <t>masc:-0.2;fem:1.5</t>
        </is>
      </c>
      <c r="W166" s="2" t="n">
        <v>-0.2</v>
      </c>
      <c r="X166" s="2" t="n">
        <v>1.5</v>
      </c>
      <c r="Y166" s="2" t="inlineStr">
        <is>
          <t>COMM_Emotional</t>
        </is>
      </c>
      <c r="Z166" s="2" t="inlineStr">
        <is>
          <t>REG_SelfSoother</t>
        </is>
      </c>
      <c r="AA166" s="2" t="inlineStr">
        <is>
          <t>LANG_Touch</t>
        </is>
      </c>
      <c r="AB166" s="2" t="inlineStr">
        <is>
          <t>Vulnerability_Loop</t>
        </is>
      </c>
      <c r="AC166" s="2" t="inlineStr">
        <is>
          <t>Vulnerability_Loop</t>
        </is>
      </c>
      <c r="AD166" s="2" t="n"/>
      <c r="AE166" s="2" t="n">
        <v>5</v>
      </c>
      <c r="AF166" s="2" t="inlineStr">
        <is>
          <t>discomfort avoidance</t>
        </is>
      </c>
      <c r="AG166" s="2" t="inlineStr">
        <is>
          <t>quiet escape</t>
        </is>
      </c>
      <c r="AH166" s="2" t="n">
        <v>0.6</v>
      </c>
      <c r="AI166" s="2" t="inlineStr">
        <is>
          <t>yes</t>
        </is>
      </c>
      <c r="AJ166" s="2" t="inlineStr">
        <is>
          <t>no</t>
        </is>
      </c>
      <c r="AK166" s="2" t="inlineStr">
        <is>
          <t>yes</t>
        </is>
      </c>
      <c r="AL166" s="2" t="inlineStr">
        <is>
          <t>yes</t>
        </is>
      </c>
      <c r="AM166" s="2" t="n"/>
      <c r="AN166" s="2" t="n"/>
      <c r="AO166" s="2" t="n"/>
      <c r="AP166" s="2" t="inlineStr">
        <is>
          <t>v3_2026-03-19</t>
        </is>
      </c>
      <c r="AQ166">
        <f>(L166-Schema_v5!$C2)/(Schema_v5!$C3-Schema_v5!$C2)</f>
        <v/>
      </c>
      <c r="AR166">
        <f>(M166-Schema_v5!$C4)/(Schema_v5!$C5-Schema_v5!$C4)</f>
        <v/>
      </c>
      <c r="AS166">
        <f>N166/Schema_v5!$C6</f>
        <v/>
      </c>
      <c r="AT166">
        <f>O166/Schema_v5!$C7</f>
        <v/>
      </c>
      <c r="AU166">
        <f>P166/Schema_v5!$C8</f>
        <v/>
      </c>
      <c r="AV166">
        <f>IF(Schema_v5!$C9=0,0,AH166/Schema_v5!$C9)</f>
        <v/>
      </c>
      <c r="AW166">
        <f>IF(Schema_v5!$C10=0,0,AE166/Schema_v5!$C10)</f>
        <v/>
      </c>
      <c r="AX166">
        <f>(W166-Schema_v5!$C11)/(Schema_v5!$C12-Schema_v5!$C11)</f>
        <v/>
      </c>
      <c r="AY166">
        <f>(X166-Schema_v5!$C13)/(Schema_v5!$C14-Schema_v5!$C13)</f>
        <v/>
      </c>
    </row>
    <row r="167" ht="135" customHeight="1" s="10">
      <c r="A167" s="2" t="inlineStr">
        <is>
          <t>Q34_A</t>
        </is>
      </c>
      <c r="B167" s="2" t="n">
        <v>34</v>
      </c>
      <c r="C167" s="2" t="n">
        <v>34</v>
      </c>
      <c r="D167" s="2" t="inlineStr">
        <is>
          <t>Core</t>
        </is>
      </c>
      <c r="E167" s="2" t="n">
        <v>1.15</v>
      </c>
      <c r="F167" s="2" t="inlineStr">
        <is>
          <t>CommitmentPace</t>
        </is>
      </c>
      <c r="G167" s="2" t="inlineStr">
        <is>
          <t>IntentAlignment</t>
        </is>
      </c>
      <c r="H167" s="2" t="inlineStr">
        <is>
          <t>You start noticing they only really show up when it benefits them-emotionally or otherwise. What's your instinct?</t>
        </is>
      </c>
      <c r="I167" s="2" t="inlineStr">
        <is>
          <t>A</t>
        </is>
      </c>
      <c r="J167" s="2" t="inlineStr">
        <is>
          <t>A</t>
        </is>
      </c>
      <c r="K167" s="2" t="inlineStr">
        <is>
          <t>I don't say a word. I just clock it and start shifting out. I don't play loyalty with users.</t>
        </is>
      </c>
      <c r="L167" s="2" t="n">
        <v>9</v>
      </c>
      <c r="M167" s="2" t="n">
        <v>9</v>
      </c>
      <c r="N167" s="2" t="n">
        <v>6</v>
      </c>
      <c r="O167" s="2" t="n">
        <v>6</v>
      </c>
      <c r="P167" s="2" t="n">
        <v>2</v>
      </c>
      <c r="Q167" s="2" t="inlineStr">
        <is>
          <t>Icebox</t>
        </is>
      </c>
      <c r="R167" s="2" t="n">
        <v>1</v>
      </c>
      <c r="S167" s="2" t="n"/>
      <c r="T167" s="2" t="n"/>
      <c r="U167" s="2" t="n">
        <v>0</v>
      </c>
      <c r="V167" s="2" t="inlineStr">
        <is>
          <t>masc:1.8;fem:-1.6</t>
        </is>
      </c>
      <c r="W167" s="2" t="n">
        <v>1.8</v>
      </c>
      <c r="X167" s="2" t="n">
        <v>-1.6</v>
      </c>
      <c r="Y167" s="2" t="inlineStr">
        <is>
          <t>COMM_Avoidant</t>
        </is>
      </c>
      <c r="Z167" s="2" t="inlineStr">
        <is>
          <t>REG_Suppressor</t>
        </is>
      </c>
      <c r="AA167" s="2" t="inlineStr">
        <is>
          <t>LANG_Time</t>
        </is>
      </c>
      <c r="AB167" s="2" t="n"/>
      <c r="AC167" s="2" t="n"/>
      <c r="AD167" s="2" t="n"/>
      <c r="AE167" s="2" t="n">
        <v>0</v>
      </c>
      <c r="AF167" s="2" t="inlineStr">
        <is>
          <t>silent pattern cut-off</t>
        </is>
      </c>
      <c r="AG167" s="2" t="inlineStr">
        <is>
          <t>boundary enforcer</t>
        </is>
      </c>
      <c r="AH167" s="2" t="n">
        <v>0.2</v>
      </c>
      <c r="AI167" s="2" t="inlineStr">
        <is>
          <t>no</t>
        </is>
      </c>
      <c r="AJ167" s="2" t="inlineStr">
        <is>
          <t>no</t>
        </is>
      </c>
      <c r="AK167" s="2" t="inlineStr">
        <is>
          <t>yes</t>
        </is>
      </c>
      <c r="AL167" s="2" t="inlineStr">
        <is>
          <t>yes</t>
        </is>
      </c>
      <c r="AM167" s="2" t="n"/>
      <c r="AN167" s="2" t="n"/>
      <c r="AO167" s="2" t="n"/>
      <c r="AP167" s="2" t="inlineStr">
        <is>
          <t>v3_2026-03-19</t>
        </is>
      </c>
      <c r="AQ167">
        <f>(L167-Schema_v5!$C2)/(Schema_v5!$C3-Schema_v5!$C2)</f>
        <v/>
      </c>
      <c r="AR167">
        <f>(M167-Schema_v5!$C4)/(Schema_v5!$C5-Schema_v5!$C4)</f>
        <v/>
      </c>
      <c r="AS167">
        <f>N167/Schema_v5!$C6</f>
        <v/>
      </c>
      <c r="AT167">
        <f>O167/Schema_v5!$C7</f>
        <v/>
      </c>
      <c r="AU167">
        <f>P167/Schema_v5!$C8</f>
        <v/>
      </c>
      <c r="AV167">
        <f>IF(Schema_v5!$C9=0,0,AH167/Schema_v5!$C9)</f>
        <v/>
      </c>
      <c r="AW167">
        <f>IF(Schema_v5!$C10=0,0,AE167/Schema_v5!$C10)</f>
        <v/>
      </c>
      <c r="AX167">
        <f>(W167-Schema_v5!$C11)/(Schema_v5!$C12-Schema_v5!$C11)</f>
        <v/>
      </c>
      <c r="AY167">
        <f>(X167-Schema_v5!$C13)/(Schema_v5!$C14-Schema_v5!$C13)</f>
        <v/>
      </c>
    </row>
    <row r="168" ht="121.5" customHeight="1" s="10">
      <c r="A168" s="2" t="inlineStr">
        <is>
          <t>Q34_B</t>
        </is>
      </c>
      <c r="B168" s="2" t="n">
        <v>34</v>
      </c>
      <c r="C168" s="2" t="n">
        <v>34</v>
      </c>
      <c r="D168" s="2" t="inlineStr">
        <is>
          <t>Core</t>
        </is>
      </c>
      <c r="E168" s="2" t="n">
        <v>1.15</v>
      </c>
      <c r="F168" s="2" t="inlineStr">
        <is>
          <t>CommitmentPace</t>
        </is>
      </c>
      <c r="G168" s="2" t="inlineStr">
        <is>
          <t>IntentAlignment</t>
        </is>
      </c>
      <c r="H168" s="2" t="n"/>
      <c r="I168" s="2" t="inlineStr">
        <is>
          <t>B</t>
        </is>
      </c>
      <c r="J168" s="2" t="inlineStr">
        <is>
          <t>B</t>
        </is>
      </c>
      <c r="K168" s="2" t="inlineStr">
        <is>
          <t>I try to be okay with it, but it messes with my head. I keep wondering if I'm reading too much into it.</t>
        </is>
      </c>
      <c r="L168" s="2" t="n">
        <v>5</v>
      </c>
      <c r="M168" s="2" t="n">
        <v>6</v>
      </c>
      <c r="N168" s="2" t="n">
        <v>2</v>
      </c>
      <c r="O168" s="2" t="n">
        <v>4</v>
      </c>
      <c r="P168" s="2" t="n">
        <v>2</v>
      </c>
      <c r="Q168" s="2" t="inlineStr">
        <is>
          <t>Phantom Seeker</t>
        </is>
      </c>
      <c r="R168" s="2" t="n">
        <v>10</v>
      </c>
      <c r="S168" s="2" t="n"/>
      <c r="T168" s="2" t="n"/>
      <c r="U168" s="2" t="n">
        <v>0</v>
      </c>
      <c r="V168" s="2" t="inlineStr">
        <is>
          <t>masc:-0.2;fem:1.5</t>
        </is>
      </c>
      <c r="W168" s="2" t="n">
        <v>-0.2</v>
      </c>
      <c r="X168" s="2" t="n">
        <v>1.5</v>
      </c>
      <c r="Y168" s="2" t="inlineStr">
        <is>
          <t>COMM_Emotional</t>
        </is>
      </c>
      <c r="Z168" s="2" t="inlineStr">
        <is>
          <t>REG_SelfSoother</t>
        </is>
      </c>
      <c r="AA168" s="2" t="inlineStr">
        <is>
          <t>LANG_Touch</t>
        </is>
      </c>
      <c r="AB168" s="2" t="inlineStr">
        <is>
          <t>Vulnerability_Loop</t>
        </is>
      </c>
      <c r="AC168" s="2" t="inlineStr">
        <is>
          <t>Vulnerability_Loop</t>
        </is>
      </c>
      <c r="AD168" s="2" t="n"/>
      <c r="AE168" s="2" t="n">
        <v>5</v>
      </c>
      <c r="AF168" s="2" t="inlineStr">
        <is>
          <t>self-doubt spiral</t>
        </is>
      </c>
      <c r="AG168" s="2" t="inlineStr">
        <is>
          <t>uncertain assessor</t>
        </is>
      </c>
      <c r="AH168" s="2" t="n">
        <v>0</v>
      </c>
      <c r="AI168" s="2" t="inlineStr">
        <is>
          <t>yes</t>
        </is>
      </c>
      <c r="AJ168" s="2" t="inlineStr">
        <is>
          <t>no</t>
        </is>
      </c>
      <c r="AK168" s="2" t="inlineStr">
        <is>
          <t>yes</t>
        </is>
      </c>
      <c r="AL168" s="2" t="inlineStr">
        <is>
          <t>yes</t>
        </is>
      </c>
      <c r="AM168" s="2" t="n"/>
      <c r="AN168" s="2" t="n"/>
      <c r="AO168" s="2" t="n"/>
      <c r="AP168" s="2" t="inlineStr">
        <is>
          <t>v3_2026-03-19</t>
        </is>
      </c>
      <c r="AQ168">
        <f>(L168-Schema_v5!$C2)/(Schema_v5!$C3-Schema_v5!$C2)</f>
        <v/>
      </c>
      <c r="AR168">
        <f>(M168-Schema_v5!$C4)/(Schema_v5!$C5-Schema_v5!$C4)</f>
        <v/>
      </c>
      <c r="AS168">
        <f>N168/Schema_v5!$C6</f>
        <v/>
      </c>
      <c r="AT168">
        <f>O168/Schema_v5!$C7</f>
        <v/>
      </c>
      <c r="AU168">
        <f>P168/Schema_v5!$C8</f>
        <v/>
      </c>
      <c r="AV168">
        <f>IF(Schema_v5!$C9=0,0,AH168/Schema_v5!$C9)</f>
        <v/>
      </c>
      <c r="AW168">
        <f>IF(Schema_v5!$C10=0,0,AE168/Schema_v5!$C10)</f>
        <v/>
      </c>
      <c r="AX168">
        <f>(W168-Schema_v5!$C11)/(Schema_v5!$C12-Schema_v5!$C11)</f>
        <v/>
      </c>
      <c r="AY168">
        <f>(X168-Schema_v5!$C13)/(Schema_v5!$C14-Schema_v5!$C13)</f>
        <v/>
      </c>
    </row>
    <row r="169" ht="94.5" customHeight="1" s="10">
      <c r="A169" s="2" t="inlineStr">
        <is>
          <t>Q34_C</t>
        </is>
      </c>
      <c r="B169" s="2" t="n">
        <v>34</v>
      </c>
      <c r="C169" s="2" t="n">
        <v>34</v>
      </c>
      <c r="D169" s="2" t="inlineStr">
        <is>
          <t>Core</t>
        </is>
      </c>
      <c r="E169" s="2" t="n">
        <v>1.15</v>
      </c>
      <c r="F169" s="2" t="inlineStr">
        <is>
          <t>CommitmentPace</t>
        </is>
      </c>
      <c r="G169" s="2" t="inlineStr">
        <is>
          <t>IntentAlignment</t>
        </is>
      </c>
      <c r="H169" s="2" t="n"/>
      <c r="I169" s="2" t="inlineStr">
        <is>
          <t>C</t>
        </is>
      </c>
      <c r="J169" s="2" t="inlineStr">
        <is>
          <t>C</t>
        </is>
      </c>
      <c r="K169" s="2" t="inlineStr">
        <is>
          <t>I adjust. If they only come around for certain things, I act like that's all I want too.</t>
        </is>
      </c>
      <c r="L169" s="2" t="n">
        <v>5</v>
      </c>
      <c r="M169" s="2" t="n">
        <v>6</v>
      </c>
      <c r="N169" s="2" t="n">
        <v>2</v>
      </c>
      <c r="O169" s="2" t="n">
        <v>2</v>
      </c>
      <c r="P169" s="2" t="n">
        <v>0</v>
      </c>
      <c r="Q169" s="2" t="inlineStr">
        <is>
          <t>Performer</t>
        </is>
      </c>
      <c r="R169" s="2" t="n">
        <v>7</v>
      </c>
      <c r="S169" s="2" t="n"/>
      <c r="T169" s="2" t="n"/>
      <c r="U169" s="2" t="n">
        <v>0</v>
      </c>
      <c r="V169" s="2" t="inlineStr">
        <is>
          <t>masc:0.3;fem:0.5</t>
        </is>
      </c>
      <c r="W169" s="2" t="n">
        <v>0.3</v>
      </c>
      <c r="X169" s="2" t="n">
        <v>0.5</v>
      </c>
      <c r="Y169" s="2" t="inlineStr">
        <is>
          <t>COMM_Indirect</t>
        </is>
      </c>
      <c r="Z169" s="2" t="inlineStr">
        <is>
          <t>REG_Distractor</t>
        </is>
      </c>
      <c r="AA169" s="2" t="inlineStr">
        <is>
          <t>LANG_Gifts</t>
        </is>
      </c>
      <c r="AB169" s="2" t="inlineStr">
        <is>
          <t>Vulnerability_Loop</t>
        </is>
      </c>
      <c r="AC169" s="2" t="inlineStr">
        <is>
          <t>Vulnerability_Loop</t>
        </is>
      </c>
      <c r="AD169" s="2" t="n"/>
      <c r="AE169" s="2" t="n">
        <v>5</v>
      </c>
      <c r="AF169" s="2" t="inlineStr">
        <is>
          <t>emotional roleplay reflex</t>
        </is>
      </c>
      <c r="AG169" s="2" t="inlineStr">
        <is>
          <t>adaptive masker</t>
        </is>
      </c>
      <c r="AH169" s="2" t="n">
        <v>0.6</v>
      </c>
      <c r="AI169" s="2" t="inlineStr">
        <is>
          <t>yes</t>
        </is>
      </c>
      <c r="AJ169" s="2" t="inlineStr">
        <is>
          <t>no</t>
        </is>
      </c>
      <c r="AK169" s="2" t="inlineStr">
        <is>
          <t>yes</t>
        </is>
      </c>
      <c r="AL169" s="2" t="inlineStr">
        <is>
          <t>yes</t>
        </is>
      </c>
      <c r="AM169" s="2" t="n"/>
      <c r="AN169" s="2" t="n"/>
      <c r="AO169" s="2" t="n"/>
      <c r="AP169" s="2" t="inlineStr">
        <is>
          <t>v3_2026-03-19</t>
        </is>
      </c>
      <c r="AQ169">
        <f>(L169-Schema_v5!$C2)/(Schema_v5!$C3-Schema_v5!$C2)</f>
        <v/>
      </c>
      <c r="AR169">
        <f>(M169-Schema_v5!$C4)/(Schema_v5!$C5-Schema_v5!$C4)</f>
        <v/>
      </c>
      <c r="AS169">
        <f>N169/Schema_v5!$C6</f>
        <v/>
      </c>
      <c r="AT169">
        <f>O169/Schema_v5!$C7</f>
        <v/>
      </c>
      <c r="AU169">
        <f>P169/Schema_v5!$C8</f>
        <v/>
      </c>
      <c r="AV169">
        <f>IF(Schema_v5!$C9=0,0,AH169/Schema_v5!$C9)</f>
        <v/>
      </c>
      <c r="AW169">
        <f>IF(Schema_v5!$C10=0,0,AE169/Schema_v5!$C10)</f>
        <v/>
      </c>
      <c r="AX169">
        <f>(W169-Schema_v5!$C11)/(Schema_v5!$C12-Schema_v5!$C11)</f>
        <v/>
      </c>
      <c r="AY169">
        <f>(X169-Schema_v5!$C13)/(Schema_v5!$C14-Schema_v5!$C13)</f>
        <v/>
      </c>
    </row>
    <row r="170" ht="148.5" customHeight="1" s="10">
      <c r="A170" s="2" t="inlineStr">
        <is>
          <t>Q34_D</t>
        </is>
      </c>
      <c r="B170" s="2" t="n">
        <v>34</v>
      </c>
      <c r="C170" s="2" t="n">
        <v>34</v>
      </c>
      <c r="D170" s="2" t="inlineStr">
        <is>
          <t>Core</t>
        </is>
      </c>
      <c r="E170" s="2" t="n">
        <v>1.15</v>
      </c>
      <c r="F170" s="2" t="inlineStr">
        <is>
          <t>CommitmentPace</t>
        </is>
      </c>
      <c r="G170" s="2" t="inlineStr">
        <is>
          <t>IntentAlignment</t>
        </is>
      </c>
      <c r="H170" s="2" t="n"/>
      <c r="I170" s="2" t="inlineStr">
        <is>
          <t>D</t>
        </is>
      </c>
      <c r="J170" s="2" t="inlineStr">
        <is>
          <t>D</t>
        </is>
      </c>
      <c r="K170" s="2" t="inlineStr">
        <is>
          <t>I make excuses for them. Maybe they're going through something. Maybe they don't even realize they're doing it.</t>
        </is>
      </c>
      <c r="L170" s="2" t="n">
        <v>4</v>
      </c>
      <c r="M170" s="2" t="n">
        <v>5</v>
      </c>
      <c r="N170" s="2" t="n">
        <v>2</v>
      </c>
      <c r="O170" s="2" t="n">
        <v>2</v>
      </c>
      <c r="P170" s="2" t="n">
        <v>2</v>
      </c>
      <c r="Q170" s="2" t="inlineStr">
        <is>
          <t>Fixer</t>
        </is>
      </c>
      <c r="R170" s="2" t="n">
        <v>5</v>
      </c>
      <c r="S170" s="2" t="n"/>
      <c r="T170" s="2" t="n"/>
      <c r="U170" s="2" t="n">
        <v>0</v>
      </c>
      <c r="V170" s="2" t="inlineStr">
        <is>
          <t>masc:-0.4;fem:2.0</t>
        </is>
      </c>
      <c r="W170" s="2" t="n">
        <v>-0.4</v>
      </c>
      <c r="X170" s="2" t="n">
        <v>2</v>
      </c>
      <c r="Y170" s="2" t="inlineStr">
        <is>
          <t>COMM_Emotional</t>
        </is>
      </c>
      <c r="Z170" s="2" t="inlineStr">
        <is>
          <t>REG_CoRegulator</t>
        </is>
      </c>
      <c r="AA170" s="2" t="inlineStr">
        <is>
          <t>LANG_Service</t>
        </is>
      </c>
      <c r="AB170" s="2" t="inlineStr">
        <is>
          <t>Commitment_Ambiguity</t>
        </is>
      </c>
      <c r="AC170" s="2" t="inlineStr">
        <is>
          <t>Commitment_Ambiguity</t>
        </is>
      </c>
      <c r="AD170" s="2" t="n"/>
      <c r="AE170" s="2" t="n">
        <v>5</v>
      </c>
      <c r="AF170" s="2" t="inlineStr">
        <is>
          <t>justification loop</t>
        </is>
      </c>
      <c r="AG170" s="2" t="inlineStr">
        <is>
          <t>excuse maker</t>
        </is>
      </c>
      <c r="AH170" s="2" t="n">
        <v>0</v>
      </c>
      <c r="AI170" s="2" t="inlineStr">
        <is>
          <t>yes</t>
        </is>
      </c>
      <c r="AJ170" s="2" t="inlineStr">
        <is>
          <t>no</t>
        </is>
      </c>
      <c r="AK170" s="2" t="inlineStr">
        <is>
          <t>yes</t>
        </is>
      </c>
      <c r="AL170" s="2" t="inlineStr">
        <is>
          <t>yes</t>
        </is>
      </c>
      <c r="AM170" s="2" t="n"/>
      <c r="AN170" s="2" t="n"/>
      <c r="AO170" s="2" t="n"/>
      <c r="AP170" s="2" t="inlineStr">
        <is>
          <t>v3_2026-03-19</t>
        </is>
      </c>
      <c r="AQ170">
        <f>(L170-Schema_v5!$C2)/(Schema_v5!$C3-Schema_v5!$C2)</f>
        <v/>
      </c>
      <c r="AR170">
        <f>(M170-Schema_v5!$C4)/(Schema_v5!$C5-Schema_v5!$C4)</f>
        <v/>
      </c>
      <c r="AS170">
        <f>N170/Schema_v5!$C6</f>
        <v/>
      </c>
      <c r="AT170">
        <f>O170/Schema_v5!$C7</f>
        <v/>
      </c>
      <c r="AU170">
        <f>P170/Schema_v5!$C8</f>
        <v/>
      </c>
      <c r="AV170">
        <f>IF(Schema_v5!$C9=0,0,AH170/Schema_v5!$C9)</f>
        <v/>
      </c>
      <c r="AW170">
        <f>IF(Schema_v5!$C10=0,0,AE170/Schema_v5!$C10)</f>
        <v/>
      </c>
      <c r="AX170">
        <f>(W170-Schema_v5!$C11)/(Schema_v5!$C12-Schema_v5!$C11)</f>
        <v/>
      </c>
      <c r="AY170">
        <f>(X170-Schema_v5!$C13)/(Schema_v5!$C14-Schema_v5!$C13)</f>
        <v/>
      </c>
    </row>
    <row r="171" ht="94.5" customHeight="1" s="10">
      <c r="A171" s="2" t="inlineStr">
        <is>
          <t>Q34_E</t>
        </is>
      </c>
      <c r="B171" s="2" t="n">
        <v>34</v>
      </c>
      <c r="C171" s="2" t="n">
        <v>34</v>
      </c>
      <c r="D171" s="2" t="inlineStr">
        <is>
          <t>Core</t>
        </is>
      </c>
      <c r="E171" s="2" t="n">
        <v>1.15</v>
      </c>
      <c r="F171" s="2" t="inlineStr">
        <is>
          <t>CommitmentPace</t>
        </is>
      </c>
      <c r="G171" s="2" t="inlineStr">
        <is>
          <t>IntentAlignment</t>
        </is>
      </c>
      <c r="H171" s="2" t="n"/>
      <c r="I171" s="2" t="inlineStr">
        <is>
          <t>E</t>
        </is>
      </c>
      <c r="J171" s="2" t="inlineStr">
        <is>
          <t>E</t>
        </is>
      </c>
      <c r="K171" s="2" t="inlineStr">
        <is>
          <t>I start testing it, pull back on what I give and see how long it takes for them to disappear.</t>
        </is>
      </c>
      <c r="L171" s="2" t="n">
        <v>8</v>
      </c>
      <c r="M171" s="2" t="n">
        <v>9</v>
      </c>
      <c r="N171" s="2" t="n">
        <v>8</v>
      </c>
      <c r="O171" s="2" t="n">
        <v>8</v>
      </c>
      <c r="P171" s="2" t="n">
        <v>6</v>
      </c>
      <c r="Q171" s="2" t="inlineStr">
        <is>
          <t>Analyzer</t>
        </is>
      </c>
      <c r="R171" s="2" t="n">
        <v>2</v>
      </c>
      <c r="S171" s="2" t="n"/>
      <c r="T171" s="2" t="n"/>
      <c r="U171" s="2" t="n">
        <v>0</v>
      </c>
      <c r="V171" s="2" t="inlineStr">
        <is>
          <t>masc:1.4;fem:0.1</t>
        </is>
      </c>
      <c r="W171" s="2" t="n">
        <v>1.4</v>
      </c>
      <c r="X171" s="2" t="n">
        <v>0.1</v>
      </c>
      <c r="Y171" s="2" t="inlineStr">
        <is>
          <t>COMM_Logical</t>
        </is>
      </c>
      <c r="Z171" s="2" t="inlineStr">
        <is>
          <t>REG_SelfSoother</t>
        </is>
      </c>
      <c r="AA171" s="2" t="inlineStr">
        <is>
          <t>LANG_Service</t>
        </is>
      </c>
      <c r="AB171" s="2" t="n"/>
      <c r="AC171" s="2" t="n"/>
      <c r="AD171" s="2" t="n"/>
      <c r="AE171" s="2" t="n">
        <v>0</v>
      </c>
      <c r="AF171" s="2" t="inlineStr">
        <is>
          <t>value-to-effort gauge</t>
        </is>
      </c>
      <c r="AG171" s="2" t="inlineStr">
        <is>
          <t>behavioral tester</t>
        </is>
      </c>
      <c r="AH171" s="2" t="n">
        <v>1.8</v>
      </c>
      <c r="AI171" s="2" t="inlineStr">
        <is>
          <t>no</t>
        </is>
      </c>
      <c r="AJ171" s="2" t="inlineStr">
        <is>
          <t>no</t>
        </is>
      </c>
      <c r="AK171" s="2" t="inlineStr">
        <is>
          <t>yes</t>
        </is>
      </c>
      <c r="AL171" s="2" t="inlineStr">
        <is>
          <t>yes</t>
        </is>
      </c>
      <c r="AM171" s="2" t="n"/>
      <c r="AN171" s="2" t="n"/>
      <c r="AO171" s="2" t="n"/>
      <c r="AP171" s="2" t="inlineStr">
        <is>
          <t>v3_2026-03-19</t>
        </is>
      </c>
      <c r="AQ171">
        <f>(L171-Schema_v5!$C2)/(Schema_v5!$C3-Schema_v5!$C2)</f>
        <v/>
      </c>
      <c r="AR171">
        <f>(M171-Schema_v5!$C4)/(Schema_v5!$C5-Schema_v5!$C4)</f>
        <v/>
      </c>
      <c r="AS171">
        <f>N171/Schema_v5!$C6</f>
        <v/>
      </c>
      <c r="AT171">
        <f>O171/Schema_v5!$C7</f>
        <v/>
      </c>
      <c r="AU171">
        <f>P171/Schema_v5!$C8</f>
        <v/>
      </c>
      <c r="AV171">
        <f>IF(Schema_v5!$C9=0,0,AH171/Schema_v5!$C9)</f>
        <v/>
      </c>
      <c r="AW171">
        <f>IF(Schema_v5!$C10=0,0,AE171/Schema_v5!$C10)</f>
        <v/>
      </c>
      <c r="AX171">
        <f>(W171-Schema_v5!$C11)/(Schema_v5!$C12-Schema_v5!$C11)</f>
        <v/>
      </c>
      <c r="AY171">
        <f>(X171-Schema_v5!$C13)/(Schema_v5!$C14-Schema_v5!$C13)</f>
        <v/>
      </c>
    </row>
    <row r="172" ht="135" customHeight="1" s="10">
      <c r="A172" s="2" t="inlineStr">
        <is>
          <t>Q35_A</t>
        </is>
      </c>
      <c r="B172" s="2" t="n">
        <v>35</v>
      </c>
      <c r="C172" s="2" t="n">
        <v>35</v>
      </c>
      <c r="D172" s="2" t="inlineStr">
        <is>
          <t>Core</t>
        </is>
      </c>
      <c r="E172" s="2" t="n">
        <v>1.15</v>
      </c>
      <c r="F172" s="2" t="inlineStr">
        <is>
          <t>CommitmentPace</t>
        </is>
      </c>
      <c r="G172" s="2" t="inlineStr">
        <is>
          <t>IntentAlignment</t>
        </is>
      </c>
      <c r="H172" s="2" t="inlineStr">
        <is>
          <t>Someone calls you out-not mean, but honest. Says you hurt them or dropped the ball emotionally. What's your first reaction?</t>
        </is>
      </c>
      <c r="I172" s="2" t="inlineStr">
        <is>
          <t>A</t>
        </is>
      </c>
      <c r="J172" s="2" t="inlineStr">
        <is>
          <t>A</t>
        </is>
      </c>
      <c r="K172" s="2" t="inlineStr">
        <is>
          <t>I get quiet. My instinct is to pull away until I can think through what they said.</t>
        </is>
      </c>
      <c r="L172" s="2" t="n">
        <v>8</v>
      </c>
      <c r="M172" s="2" t="n">
        <v>8</v>
      </c>
      <c r="N172" s="2" t="n">
        <v>4</v>
      </c>
      <c r="O172" s="2" t="n">
        <v>4</v>
      </c>
      <c r="P172" s="2" t="n">
        <v>2</v>
      </c>
      <c r="Q172" s="2" t="inlineStr">
        <is>
          <t>Icebox</t>
        </is>
      </c>
      <c r="R172" s="2" t="n">
        <v>1</v>
      </c>
      <c r="S172" s="2" t="n"/>
      <c r="T172" s="2" t="n"/>
      <c r="U172" s="2" t="n">
        <v>0</v>
      </c>
      <c r="V172" s="2" t="inlineStr">
        <is>
          <t>masc:1.8;fem:-1.6</t>
        </is>
      </c>
      <c r="W172" s="2" t="n">
        <v>1.8</v>
      </c>
      <c r="X172" s="2" t="n">
        <v>-1.6</v>
      </c>
      <c r="Y172" s="2" t="inlineStr">
        <is>
          <t>COMM_Avoidant</t>
        </is>
      </c>
      <c r="Z172" s="2" t="inlineStr">
        <is>
          <t>REG_Suppressor</t>
        </is>
      </c>
      <c r="AA172" s="2" t="inlineStr">
        <is>
          <t>LANG_Time</t>
        </is>
      </c>
      <c r="AB172" s="2" t="n"/>
      <c r="AC172" s="2" t="n"/>
      <c r="AD172" s="2" t="n"/>
      <c r="AE172" s="2" t="n">
        <v>0</v>
      </c>
      <c r="AF172" s="2" t="inlineStr">
        <is>
          <t>internal processing lockdown</t>
        </is>
      </c>
      <c r="AG172" s="2" t="inlineStr">
        <is>
          <t>space taker</t>
        </is>
      </c>
      <c r="AH172" s="2" t="n">
        <v>0</v>
      </c>
      <c r="AI172" s="2" t="inlineStr">
        <is>
          <t>no</t>
        </is>
      </c>
      <c r="AJ172" s="2" t="inlineStr">
        <is>
          <t>no</t>
        </is>
      </c>
      <c r="AK172" s="2" t="inlineStr">
        <is>
          <t>yes</t>
        </is>
      </c>
      <c r="AL172" s="2" t="inlineStr">
        <is>
          <t>yes</t>
        </is>
      </c>
      <c r="AM172" s="2" t="n"/>
      <c r="AN172" s="2" t="n"/>
      <c r="AO172" s="2" t="n"/>
      <c r="AP172" s="2" t="inlineStr">
        <is>
          <t>v3_2026-03-19</t>
        </is>
      </c>
      <c r="AQ172">
        <f>(L172-Schema_v5!$C2)/(Schema_v5!$C3-Schema_v5!$C2)</f>
        <v/>
      </c>
      <c r="AR172">
        <f>(M172-Schema_v5!$C4)/(Schema_v5!$C5-Schema_v5!$C4)</f>
        <v/>
      </c>
      <c r="AS172">
        <f>N172/Schema_v5!$C6</f>
        <v/>
      </c>
      <c r="AT172">
        <f>O172/Schema_v5!$C7</f>
        <v/>
      </c>
      <c r="AU172">
        <f>P172/Schema_v5!$C8</f>
        <v/>
      </c>
      <c r="AV172">
        <f>IF(Schema_v5!$C9=0,0,AH172/Schema_v5!$C9)</f>
        <v/>
      </c>
      <c r="AW172">
        <f>IF(Schema_v5!$C10=0,0,AE172/Schema_v5!$C10)</f>
        <v/>
      </c>
      <c r="AX172">
        <f>(W172-Schema_v5!$C11)/(Schema_v5!$C12-Schema_v5!$C11)</f>
        <v/>
      </c>
      <c r="AY172">
        <f>(X172-Schema_v5!$C13)/(Schema_v5!$C14-Schema_v5!$C13)</f>
        <v/>
      </c>
    </row>
    <row r="173" ht="108" customHeight="1" s="10">
      <c r="A173" s="2" t="inlineStr">
        <is>
          <t>Q35_B</t>
        </is>
      </c>
      <c r="B173" s="2" t="n">
        <v>35</v>
      </c>
      <c r="C173" s="2" t="n">
        <v>35</v>
      </c>
      <c r="D173" s="2" t="inlineStr">
        <is>
          <t>Core</t>
        </is>
      </c>
      <c r="E173" s="2" t="n">
        <v>1.15</v>
      </c>
      <c r="F173" s="2" t="inlineStr">
        <is>
          <t>CommitmentPace</t>
        </is>
      </c>
      <c r="G173" s="2" t="inlineStr">
        <is>
          <t>IntentAlignment</t>
        </is>
      </c>
      <c r="H173" s="2" t="n"/>
      <c r="I173" s="2" t="inlineStr">
        <is>
          <t>B</t>
        </is>
      </c>
      <c r="J173" s="2" t="inlineStr">
        <is>
          <t>B</t>
        </is>
      </c>
      <c r="K173" s="2" t="inlineStr">
        <is>
          <t>I feel awful. I start apologizing right away, even if I don't fully understand it yet.</t>
        </is>
      </c>
      <c r="L173" s="2" t="n">
        <v>6</v>
      </c>
      <c r="M173" s="2" t="n">
        <v>7</v>
      </c>
      <c r="N173" s="2" t="n">
        <v>4</v>
      </c>
      <c r="O173" s="2" t="n">
        <v>4</v>
      </c>
      <c r="P173" s="2" t="n">
        <v>2</v>
      </c>
      <c r="Q173" s="2" t="inlineStr">
        <is>
          <t>Phantom Seeker</t>
        </is>
      </c>
      <c r="R173" s="2" t="n">
        <v>10</v>
      </c>
      <c r="S173" s="2" t="n"/>
      <c r="T173" s="2" t="n"/>
      <c r="U173" s="2" t="n">
        <v>0</v>
      </c>
      <c r="V173" s="2" t="inlineStr">
        <is>
          <t>masc:-0.2;fem:1.5</t>
        </is>
      </c>
      <c r="W173" s="2" t="n">
        <v>-0.2</v>
      </c>
      <c r="X173" s="2" t="n">
        <v>1.5</v>
      </c>
      <c r="Y173" s="2" t="inlineStr">
        <is>
          <t>COMM_Emotional</t>
        </is>
      </c>
      <c r="Z173" s="2" t="inlineStr">
        <is>
          <t>REG_SelfSoother</t>
        </is>
      </c>
      <c r="AA173" s="2" t="inlineStr">
        <is>
          <t>LANG_Touch</t>
        </is>
      </c>
      <c r="AB173" s="2" t="inlineStr">
        <is>
          <t>Vulnerability_Loop</t>
        </is>
      </c>
      <c r="AC173" s="2" t="inlineStr">
        <is>
          <t>Vulnerability_Loop</t>
        </is>
      </c>
      <c r="AD173" s="2" t="n"/>
      <c r="AE173" s="2" t="n">
        <v>5</v>
      </c>
      <c r="AF173" s="2" t="inlineStr">
        <is>
          <t>guilt-fueled repair attempt</t>
        </is>
      </c>
      <c r="AG173" s="2" t="inlineStr">
        <is>
          <t>quick apologizer</t>
        </is>
      </c>
      <c r="AH173" s="2" t="n">
        <v>0.2</v>
      </c>
      <c r="AI173" s="2" t="inlineStr">
        <is>
          <t>yes</t>
        </is>
      </c>
      <c r="AJ173" s="2" t="inlineStr">
        <is>
          <t>no</t>
        </is>
      </c>
      <c r="AK173" s="2" t="inlineStr">
        <is>
          <t>yes</t>
        </is>
      </c>
      <c r="AL173" s="2" t="inlineStr">
        <is>
          <t>yes</t>
        </is>
      </c>
      <c r="AM173" s="2" t="n"/>
      <c r="AN173" s="2" t="n"/>
      <c r="AO173" s="2" t="n"/>
      <c r="AP173" s="2" t="inlineStr">
        <is>
          <t>v3_2026-03-19</t>
        </is>
      </c>
      <c r="AQ173">
        <f>(L173-Schema_v5!$C2)/(Schema_v5!$C3-Schema_v5!$C2)</f>
        <v/>
      </c>
      <c r="AR173">
        <f>(M173-Schema_v5!$C4)/(Schema_v5!$C5-Schema_v5!$C4)</f>
        <v/>
      </c>
      <c r="AS173">
        <f>N173/Schema_v5!$C6</f>
        <v/>
      </c>
      <c r="AT173">
        <f>O173/Schema_v5!$C7</f>
        <v/>
      </c>
      <c r="AU173">
        <f>P173/Schema_v5!$C8</f>
        <v/>
      </c>
      <c r="AV173">
        <f>IF(Schema_v5!$C9=0,0,AH173/Schema_v5!$C9)</f>
        <v/>
      </c>
      <c r="AW173">
        <f>IF(Schema_v5!$C10=0,0,AE173/Schema_v5!$C10)</f>
        <v/>
      </c>
      <c r="AX173">
        <f>(W173-Schema_v5!$C11)/(Schema_v5!$C12-Schema_v5!$C11)</f>
        <v/>
      </c>
      <c r="AY173">
        <f>(X173-Schema_v5!$C13)/(Schema_v5!$C14-Schema_v5!$C13)</f>
        <v/>
      </c>
    </row>
    <row r="174" ht="108" customHeight="1" s="10">
      <c r="A174" s="2" t="inlineStr">
        <is>
          <t>Q35_C</t>
        </is>
      </c>
      <c r="B174" s="2" t="n">
        <v>35</v>
      </c>
      <c r="C174" s="2" t="n">
        <v>35</v>
      </c>
      <c r="D174" s="2" t="inlineStr">
        <is>
          <t>Core</t>
        </is>
      </c>
      <c r="E174" s="2" t="n">
        <v>1.15</v>
      </c>
      <c r="F174" s="2" t="inlineStr">
        <is>
          <t>CommitmentPace</t>
        </is>
      </c>
      <c r="G174" s="2" t="inlineStr">
        <is>
          <t>IntentAlignment</t>
        </is>
      </c>
      <c r="H174" s="2" t="n"/>
      <c r="I174" s="2" t="inlineStr">
        <is>
          <t>C</t>
        </is>
      </c>
      <c r="J174" s="2" t="inlineStr">
        <is>
          <t>C</t>
        </is>
      </c>
      <c r="K174" s="2" t="inlineStr">
        <is>
          <t>I get defensive at first. Then I think about it later, sometimes for way too long.</t>
        </is>
      </c>
      <c r="L174" s="2" t="n">
        <v>6</v>
      </c>
      <c r="M174" s="2" t="n">
        <v>7</v>
      </c>
      <c r="N174" s="2" t="n">
        <v>4</v>
      </c>
      <c r="O174" s="2" t="n">
        <v>6</v>
      </c>
      <c r="P174" s="2" t="n">
        <v>4</v>
      </c>
      <c r="Q174" s="2" t="inlineStr">
        <is>
          <t>Analyzer</t>
        </is>
      </c>
      <c r="R174" s="2" t="n">
        <v>2</v>
      </c>
      <c r="S174" s="2" t="n"/>
      <c r="T174" s="2" t="n"/>
      <c r="U174" s="2" t="n">
        <v>0</v>
      </c>
      <c r="V174" s="2" t="inlineStr">
        <is>
          <t>masc:1.4;fem:0.1</t>
        </is>
      </c>
      <c r="W174" s="2" t="n">
        <v>1.4</v>
      </c>
      <c r="X174" s="2" t="n">
        <v>0.1</v>
      </c>
      <c r="Y174" s="2" t="inlineStr">
        <is>
          <t>COMM_Logical</t>
        </is>
      </c>
      <c r="Z174" s="2" t="inlineStr">
        <is>
          <t>REG_SelfSoother</t>
        </is>
      </c>
      <c r="AA174" s="2" t="inlineStr">
        <is>
          <t>LANG_Service</t>
        </is>
      </c>
      <c r="AB174" s="2" t="inlineStr">
        <is>
          <t>Commitment_Ambiguity</t>
        </is>
      </c>
      <c r="AC174" s="2" t="inlineStr">
        <is>
          <t>Commitment_Ambiguity</t>
        </is>
      </c>
      <c r="AD174" s="2" t="n"/>
      <c r="AE174" s="2" t="n">
        <v>5</v>
      </c>
      <c r="AF174" s="2" t="inlineStr">
        <is>
          <t>delayed accountability</t>
        </is>
      </c>
      <c r="AG174" s="2" t="inlineStr">
        <is>
          <t>defensive processor</t>
        </is>
      </c>
      <c r="AH174" s="2" t="n">
        <v>0</v>
      </c>
      <c r="AI174" s="2" t="inlineStr">
        <is>
          <t>yes</t>
        </is>
      </c>
      <c r="AJ174" s="2" t="inlineStr">
        <is>
          <t>no</t>
        </is>
      </c>
      <c r="AK174" s="2" t="inlineStr">
        <is>
          <t>yes</t>
        </is>
      </c>
      <c r="AL174" s="2" t="inlineStr">
        <is>
          <t>yes</t>
        </is>
      </c>
      <c r="AM174" s="2" t="n"/>
      <c r="AN174" s="2" t="n"/>
      <c r="AO174" s="2" t="n"/>
      <c r="AP174" s="2" t="inlineStr">
        <is>
          <t>v3_2026-03-19</t>
        </is>
      </c>
      <c r="AQ174">
        <f>(L174-Schema_v5!$C2)/(Schema_v5!$C3-Schema_v5!$C2)</f>
        <v/>
      </c>
      <c r="AR174">
        <f>(M174-Schema_v5!$C4)/(Schema_v5!$C5-Schema_v5!$C4)</f>
        <v/>
      </c>
      <c r="AS174">
        <f>N174/Schema_v5!$C6</f>
        <v/>
      </c>
      <c r="AT174">
        <f>O174/Schema_v5!$C7</f>
        <v/>
      </c>
      <c r="AU174">
        <f>P174/Schema_v5!$C8</f>
        <v/>
      </c>
      <c r="AV174">
        <f>IF(Schema_v5!$C9=0,0,AH174/Schema_v5!$C9)</f>
        <v/>
      </c>
      <c r="AW174">
        <f>IF(Schema_v5!$C10=0,0,AE174/Schema_v5!$C10)</f>
        <v/>
      </c>
      <c r="AX174">
        <f>(W174-Schema_v5!$C11)/(Schema_v5!$C12-Schema_v5!$C11)</f>
        <v/>
      </c>
      <c r="AY174">
        <f>(X174-Schema_v5!$C13)/(Schema_v5!$C14-Schema_v5!$C13)</f>
        <v/>
      </c>
    </row>
    <row r="175" ht="121.5" customHeight="1" s="10">
      <c r="A175" s="2" t="inlineStr">
        <is>
          <t>Q35_D</t>
        </is>
      </c>
      <c r="B175" s="2" t="n">
        <v>35</v>
      </c>
      <c r="C175" s="2" t="n">
        <v>35</v>
      </c>
      <c r="D175" s="2" t="inlineStr">
        <is>
          <t>Core</t>
        </is>
      </c>
      <c r="E175" s="2" t="n">
        <v>1.15</v>
      </c>
      <c r="F175" s="2" t="inlineStr">
        <is>
          <t>CommitmentPace</t>
        </is>
      </c>
      <c r="G175" s="2" t="inlineStr">
        <is>
          <t>IntentAlignment</t>
        </is>
      </c>
      <c r="H175" s="2" t="n"/>
      <c r="I175" s="2" t="inlineStr">
        <is>
          <t>D</t>
        </is>
      </c>
      <c r="J175" s="2" t="inlineStr">
        <is>
          <t>D</t>
        </is>
      </c>
      <c r="K175" s="2" t="inlineStr">
        <is>
          <t>I try to fix it immediately, ask what they need, how I can make it right. I don't want them sitting in pain.</t>
        </is>
      </c>
      <c r="L175" s="2" t="n">
        <v>9</v>
      </c>
      <c r="M175" s="2" t="n">
        <v>9</v>
      </c>
      <c r="N175" s="2" t="n">
        <v>10</v>
      </c>
      <c r="O175" s="2" t="n">
        <v>10</v>
      </c>
      <c r="P175" s="2" t="n">
        <v>10</v>
      </c>
      <c r="Q175" s="2" t="inlineStr">
        <is>
          <t>Fixer</t>
        </is>
      </c>
      <c r="R175" s="2" t="n">
        <v>5</v>
      </c>
      <c r="S175" s="2" t="n"/>
      <c r="T175" s="2" t="n"/>
      <c r="U175" s="2" t="n">
        <v>0</v>
      </c>
      <c r="V175" s="2" t="inlineStr">
        <is>
          <t>masc:-0.4;fem:2.0</t>
        </is>
      </c>
      <c r="W175" s="2" t="n">
        <v>-0.4</v>
      </c>
      <c r="X175" s="2" t="n">
        <v>2</v>
      </c>
      <c r="Y175" s="2" t="inlineStr">
        <is>
          <t>COMM_Emotional</t>
        </is>
      </c>
      <c r="Z175" s="2" t="inlineStr">
        <is>
          <t>REG_CoRegulator</t>
        </is>
      </c>
      <c r="AA175" s="2" t="inlineStr">
        <is>
          <t>LANG_Service</t>
        </is>
      </c>
      <c r="AB175" s="2" t="n"/>
      <c r="AC175" s="2" t="n"/>
      <c r="AD175" s="2" t="n"/>
      <c r="AE175" s="2" t="n">
        <v>0</v>
      </c>
      <c r="AF175" s="2" t="inlineStr">
        <is>
          <t>urgent repair mode</t>
        </is>
      </c>
      <c r="AG175" s="2" t="inlineStr">
        <is>
          <t>immediate fixer</t>
        </is>
      </c>
      <c r="AH175" s="2" t="n">
        <v>0</v>
      </c>
      <c r="AI175" s="2" t="inlineStr">
        <is>
          <t>no</t>
        </is>
      </c>
      <c r="AJ175" s="2" t="inlineStr">
        <is>
          <t>no</t>
        </is>
      </c>
      <c r="AK175" s="2" t="inlineStr">
        <is>
          <t>yes</t>
        </is>
      </c>
      <c r="AL175" s="2" t="inlineStr">
        <is>
          <t>yes</t>
        </is>
      </c>
      <c r="AM175" s="2" t="n"/>
      <c r="AN175" s="2" t="n"/>
      <c r="AO175" s="2" t="n"/>
      <c r="AP175" s="2" t="inlineStr">
        <is>
          <t>v3_2026-03-19</t>
        </is>
      </c>
      <c r="AQ175">
        <f>(L175-Schema_v5!$C2)/(Schema_v5!$C3-Schema_v5!$C2)</f>
        <v/>
      </c>
      <c r="AR175">
        <f>(M175-Schema_v5!$C4)/(Schema_v5!$C5-Schema_v5!$C4)</f>
        <v/>
      </c>
      <c r="AS175">
        <f>N175/Schema_v5!$C6</f>
        <v/>
      </c>
      <c r="AT175">
        <f>O175/Schema_v5!$C7</f>
        <v/>
      </c>
      <c r="AU175">
        <f>P175/Schema_v5!$C8</f>
        <v/>
      </c>
      <c r="AV175">
        <f>IF(Schema_v5!$C9=0,0,AH175/Schema_v5!$C9)</f>
        <v/>
      </c>
      <c r="AW175">
        <f>IF(Schema_v5!$C10=0,0,AE175/Schema_v5!$C10)</f>
        <v/>
      </c>
      <c r="AX175">
        <f>(W175-Schema_v5!$C11)/(Schema_v5!$C12-Schema_v5!$C11)</f>
        <v/>
      </c>
      <c r="AY175">
        <f>(X175-Schema_v5!$C13)/(Schema_v5!$C14-Schema_v5!$C13)</f>
        <v/>
      </c>
    </row>
    <row r="176" ht="94.5" customHeight="1" s="10">
      <c r="A176" s="2" t="inlineStr">
        <is>
          <t>Q35_E</t>
        </is>
      </c>
      <c r="B176" s="2" t="n">
        <v>35</v>
      </c>
      <c r="C176" s="2" t="n">
        <v>35</v>
      </c>
      <c r="D176" s="2" t="inlineStr">
        <is>
          <t>Core</t>
        </is>
      </c>
      <c r="E176" s="2" t="n">
        <v>1.15</v>
      </c>
      <c r="F176" s="2" t="inlineStr">
        <is>
          <t>CommitmentPace</t>
        </is>
      </c>
      <c r="G176" s="2" t="inlineStr">
        <is>
          <t>IntentAlignment</t>
        </is>
      </c>
      <c r="H176" s="2" t="n"/>
      <c r="I176" s="2" t="inlineStr">
        <is>
          <t>E</t>
        </is>
      </c>
      <c r="J176" s="2" t="inlineStr">
        <is>
          <t>E</t>
        </is>
      </c>
      <c r="K176" s="2" t="inlineStr">
        <is>
          <t>I make a joke or shift the vibe. I hate heavy stuff, so I try to steer it back to calm</t>
        </is>
      </c>
      <c r="L176" s="2" t="n">
        <v>5</v>
      </c>
      <c r="M176" s="2" t="n">
        <v>6</v>
      </c>
      <c r="N176" s="2" t="n">
        <v>2</v>
      </c>
      <c r="O176" s="2" t="n">
        <v>2</v>
      </c>
      <c r="P176" s="2" t="n">
        <v>0</v>
      </c>
      <c r="Q176" s="2" t="inlineStr">
        <is>
          <t>Performer</t>
        </is>
      </c>
      <c r="R176" s="2" t="n">
        <v>7</v>
      </c>
      <c r="S176" s="2" t="n"/>
      <c r="T176" s="2" t="n"/>
      <c r="U176" s="2" t="n">
        <v>0</v>
      </c>
      <c r="V176" s="2" t="inlineStr">
        <is>
          <t>masc:0.3;fem:0.5</t>
        </is>
      </c>
      <c r="W176" s="2" t="n">
        <v>0.3</v>
      </c>
      <c r="X176" s="2" t="n">
        <v>0.5</v>
      </c>
      <c r="Y176" s="2" t="inlineStr">
        <is>
          <t>COMM_Indirect</t>
        </is>
      </c>
      <c r="Z176" s="2" t="inlineStr">
        <is>
          <t>REG_Distractor</t>
        </is>
      </c>
      <c r="AA176" s="2" t="inlineStr">
        <is>
          <t>LANG_Gifts</t>
        </is>
      </c>
      <c r="AB176" s="2" t="inlineStr">
        <is>
          <t>Humor_Shield</t>
        </is>
      </c>
      <c r="AC176" s="2" t="inlineStr">
        <is>
          <t>Humor_Shield</t>
        </is>
      </c>
      <c r="AD176" s="2" t="n"/>
      <c r="AE176" s="2" t="n">
        <v>3</v>
      </c>
      <c r="AF176" s="2" t="inlineStr">
        <is>
          <t>emotional re-route reflex</t>
        </is>
      </c>
      <c r="AG176" s="2" t="inlineStr">
        <is>
          <t>mood deflector</t>
        </is>
      </c>
      <c r="AH176" s="2" t="n">
        <v>0.2</v>
      </c>
      <c r="AI176" s="2" t="inlineStr">
        <is>
          <t>yes</t>
        </is>
      </c>
      <c r="AJ176" s="2" t="inlineStr">
        <is>
          <t>no</t>
        </is>
      </c>
      <c r="AK176" s="2" t="inlineStr">
        <is>
          <t>yes</t>
        </is>
      </c>
      <c r="AL176" s="2" t="inlineStr">
        <is>
          <t>yes</t>
        </is>
      </c>
      <c r="AM176" s="2" t="n"/>
      <c r="AN176" s="2" t="n"/>
      <c r="AO176" s="2" t="n"/>
      <c r="AP176" s="2" t="inlineStr">
        <is>
          <t>v3_2026-03-19</t>
        </is>
      </c>
      <c r="AQ176">
        <f>(L176-Schema_v5!$C2)/(Schema_v5!$C3-Schema_v5!$C2)</f>
        <v/>
      </c>
      <c r="AR176">
        <f>(M176-Schema_v5!$C4)/(Schema_v5!$C5-Schema_v5!$C4)</f>
        <v/>
      </c>
      <c r="AS176">
        <f>N176/Schema_v5!$C6</f>
        <v/>
      </c>
      <c r="AT176">
        <f>O176/Schema_v5!$C7</f>
        <v/>
      </c>
      <c r="AU176">
        <f>P176/Schema_v5!$C8</f>
        <v/>
      </c>
      <c r="AV176">
        <f>IF(Schema_v5!$C9=0,0,AH176/Schema_v5!$C9)</f>
        <v/>
      </c>
      <c r="AW176">
        <f>IF(Schema_v5!$C10=0,0,AE176/Schema_v5!$C10)</f>
        <v/>
      </c>
      <c r="AX176">
        <f>(W176-Schema_v5!$C11)/(Schema_v5!$C12-Schema_v5!$C11)</f>
        <v/>
      </c>
      <c r="AY176">
        <f>(X176-Schema_v5!$C13)/(Schema_v5!$C14-Schema_v5!$C13)</f>
        <v/>
      </c>
    </row>
    <row r="177" ht="135" customHeight="1" s="10">
      <c r="A177" s="2" t="inlineStr">
        <is>
          <t>Q36_A</t>
        </is>
      </c>
      <c r="B177" s="2" t="n">
        <v>36</v>
      </c>
      <c r="C177" s="2" t="n">
        <v>36</v>
      </c>
      <c r="D177" s="2" t="inlineStr">
        <is>
          <t>Core</t>
        </is>
      </c>
      <c r="E177" s="2" t="n">
        <v>1.15</v>
      </c>
      <c r="F177" s="2" t="inlineStr">
        <is>
          <t>CommitmentPace</t>
        </is>
      </c>
      <c r="G177" s="2" t="inlineStr">
        <is>
          <t>IntentAlignment</t>
        </is>
      </c>
      <c r="H177" s="2" t="inlineStr">
        <is>
          <t>You were consistent, showed up, and stayed real-but they still chose someone else. What's your honest reaction?</t>
        </is>
      </c>
      <c r="I177" s="2" t="inlineStr">
        <is>
          <t>A</t>
        </is>
      </c>
      <c r="J177" s="2" t="inlineStr">
        <is>
          <t>A</t>
        </is>
      </c>
      <c r="K177" s="2" t="inlineStr">
        <is>
          <t>I start comparing myself to the person they picked, quietly trying to figure out what they had that I didn't.</t>
        </is>
      </c>
      <c r="L177" s="2" t="n">
        <v>5</v>
      </c>
      <c r="M177" s="2" t="n">
        <v>6</v>
      </c>
      <c r="N177" s="2" t="n">
        <v>4</v>
      </c>
      <c r="O177" s="2" t="n">
        <v>4</v>
      </c>
      <c r="P177" s="2" t="n">
        <v>2</v>
      </c>
      <c r="Q177" s="2" t="inlineStr">
        <is>
          <t>Analyzer</t>
        </is>
      </c>
      <c r="R177" s="2" t="n">
        <v>2</v>
      </c>
      <c r="S177" s="2" t="n"/>
      <c r="T177" s="2" t="n"/>
      <c r="U177" s="2" t="n">
        <v>0</v>
      </c>
      <c r="V177" s="2" t="inlineStr">
        <is>
          <t>masc:1.4;fem:0.1</t>
        </is>
      </c>
      <c r="W177" s="2" t="n">
        <v>1.4</v>
      </c>
      <c r="X177" s="2" t="n">
        <v>0.1</v>
      </c>
      <c r="Y177" s="2" t="inlineStr">
        <is>
          <t>COMM_Logical</t>
        </is>
      </c>
      <c r="Z177" s="2" t="inlineStr">
        <is>
          <t>REG_SelfSoother</t>
        </is>
      </c>
      <c r="AA177" s="2" t="inlineStr">
        <is>
          <t>LANG_Service</t>
        </is>
      </c>
      <c r="AB177" s="2" t="inlineStr">
        <is>
          <t>Vulnerability_Loop</t>
        </is>
      </c>
      <c r="AC177" s="2" t="inlineStr">
        <is>
          <t>Vulnerability_Loop</t>
        </is>
      </c>
      <c r="AD177" s="2" t="n"/>
      <c r="AE177" s="2" t="n">
        <v>5</v>
      </c>
      <c r="AF177" s="2" t="inlineStr">
        <is>
          <t>post-rejection audit</t>
        </is>
      </c>
      <c r="AG177" s="2" t="inlineStr">
        <is>
          <t>comparison seeker</t>
        </is>
      </c>
      <c r="AH177" s="2" t="n">
        <v>0</v>
      </c>
      <c r="AI177" s="2" t="inlineStr">
        <is>
          <t>yes</t>
        </is>
      </c>
      <c r="AJ177" s="2" t="inlineStr">
        <is>
          <t>no</t>
        </is>
      </c>
      <c r="AK177" s="2" t="inlineStr">
        <is>
          <t>yes</t>
        </is>
      </c>
      <c r="AL177" s="2" t="inlineStr">
        <is>
          <t>yes</t>
        </is>
      </c>
      <c r="AM177" s="2" t="n"/>
      <c r="AN177" s="2" t="n"/>
      <c r="AO177" s="2" t="n"/>
      <c r="AP177" s="2" t="inlineStr">
        <is>
          <t>v3_2026-03-19</t>
        </is>
      </c>
      <c r="AQ177">
        <f>(L177-Schema_v5!$C2)/(Schema_v5!$C3-Schema_v5!$C2)</f>
        <v/>
      </c>
      <c r="AR177">
        <f>(M177-Schema_v5!$C4)/(Schema_v5!$C5-Schema_v5!$C4)</f>
        <v/>
      </c>
      <c r="AS177">
        <f>N177/Schema_v5!$C6</f>
        <v/>
      </c>
      <c r="AT177">
        <f>O177/Schema_v5!$C7</f>
        <v/>
      </c>
      <c r="AU177">
        <f>P177/Schema_v5!$C8</f>
        <v/>
      </c>
      <c r="AV177">
        <f>IF(Schema_v5!$C9=0,0,AH177/Schema_v5!$C9)</f>
        <v/>
      </c>
      <c r="AW177">
        <f>IF(Schema_v5!$C10=0,0,AE177/Schema_v5!$C10)</f>
        <v/>
      </c>
      <c r="AX177">
        <f>(W177-Schema_v5!$C11)/(Schema_v5!$C12-Schema_v5!$C11)</f>
        <v/>
      </c>
      <c r="AY177">
        <f>(X177-Schema_v5!$C13)/(Schema_v5!$C14-Schema_v5!$C13)</f>
        <v/>
      </c>
    </row>
    <row r="178" ht="81" customHeight="1" s="10">
      <c r="A178" s="2" t="inlineStr">
        <is>
          <t>Q36_B</t>
        </is>
      </c>
      <c r="B178" s="2" t="n">
        <v>36</v>
      </c>
      <c r="C178" s="2" t="n">
        <v>36</v>
      </c>
      <c r="D178" s="2" t="inlineStr">
        <is>
          <t>Core</t>
        </is>
      </c>
      <c r="E178" s="2" t="n">
        <v>1.15</v>
      </c>
      <c r="F178" s="2" t="inlineStr">
        <is>
          <t>CommitmentPace</t>
        </is>
      </c>
      <c r="G178" s="2" t="inlineStr">
        <is>
          <t>IntentAlignment</t>
        </is>
      </c>
      <c r="H178" s="2" t="n"/>
      <c r="I178" s="2" t="inlineStr">
        <is>
          <t>B</t>
        </is>
      </c>
      <c r="J178" s="2" t="inlineStr">
        <is>
          <t>B</t>
        </is>
      </c>
      <c r="K178" s="2" t="inlineStr">
        <is>
          <t>I shut down emotionally. If that wasn't enough, then nothing will be.</t>
        </is>
      </c>
      <c r="L178" s="2" t="n">
        <v>4</v>
      </c>
      <c r="M178" s="2" t="n">
        <v>5</v>
      </c>
      <c r="N178" s="2" t="n">
        <v>0</v>
      </c>
      <c r="O178" s="2" t="n">
        <v>0</v>
      </c>
      <c r="P178" s="2" t="n">
        <v>0</v>
      </c>
      <c r="Q178" s="2" t="inlineStr">
        <is>
          <t>Icebox</t>
        </is>
      </c>
      <c r="R178" s="2" t="n">
        <v>1</v>
      </c>
      <c r="S178" s="2" t="n"/>
      <c r="T178" s="2" t="n"/>
      <c r="U178" s="2" t="n">
        <v>0</v>
      </c>
      <c r="V178" s="2" t="inlineStr">
        <is>
          <t>masc:1.8;fem:-1.6</t>
        </is>
      </c>
      <c r="W178" s="2" t="n">
        <v>1.8</v>
      </c>
      <c r="X178" s="2" t="n">
        <v>-1.6</v>
      </c>
      <c r="Y178" s="2" t="inlineStr">
        <is>
          <t>COMM_Avoidant</t>
        </is>
      </c>
      <c r="Z178" s="2" t="inlineStr">
        <is>
          <t>REG_Suppressor</t>
        </is>
      </c>
      <c r="AA178" s="2" t="inlineStr">
        <is>
          <t>LANG_Time</t>
        </is>
      </c>
      <c r="AB178" s="2" t="inlineStr">
        <is>
          <t>Vulnerability_Loop , Pursuer_Distancer</t>
        </is>
      </c>
      <c r="AC178" s="2" t="inlineStr">
        <is>
          <t>Vulnerability_Loop</t>
        </is>
      </c>
      <c r="AD178" s="2" t="inlineStr">
        <is>
          <t>Pursuer_Distancer</t>
        </is>
      </c>
      <c r="AE178" s="2" t="n">
        <v>11</v>
      </c>
      <c r="AF178" s="2" t="inlineStr">
        <is>
          <t>proof of unlovability</t>
        </is>
      </c>
      <c r="AG178" s="2" t="inlineStr">
        <is>
          <t>emotional closer</t>
        </is>
      </c>
      <c r="AH178" s="2" t="n">
        <v>0</v>
      </c>
      <c r="AI178" s="2" t="inlineStr">
        <is>
          <t>yes</t>
        </is>
      </c>
      <c r="AJ178" s="2" t="inlineStr">
        <is>
          <t>no</t>
        </is>
      </c>
      <c r="AK178" s="2" t="inlineStr">
        <is>
          <t>yes</t>
        </is>
      </c>
      <c r="AL178" s="2" t="inlineStr">
        <is>
          <t>yes</t>
        </is>
      </c>
      <c r="AM178" s="2" t="n"/>
      <c r="AN178" s="2" t="n"/>
      <c r="AO178" s="2" t="n"/>
      <c r="AP178" s="2" t="inlineStr">
        <is>
          <t>v3_2026-03-19</t>
        </is>
      </c>
      <c r="AQ178">
        <f>(L178-Schema_v5!$C2)/(Schema_v5!$C3-Schema_v5!$C2)</f>
        <v/>
      </c>
      <c r="AR178">
        <f>(M178-Schema_v5!$C4)/(Schema_v5!$C5-Schema_v5!$C4)</f>
        <v/>
      </c>
      <c r="AS178">
        <f>N178/Schema_v5!$C6</f>
        <v/>
      </c>
      <c r="AT178">
        <f>O178/Schema_v5!$C7</f>
        <v/>
      </c>
      <c r="AU178">
        <f>P178/Schema_v5!$C8</f>
        <v/>
      </c>
      <c r="AV178">
        <f>IF(Schema_v5!$C9=0,0,AH178/Schema_v5!$C9)</f>
        <v/>
      </c>
      <c r="AW178">
        <f>IF(Schema_v5!$C10=0,0,AE178/Schema_v5!$C10)</f>
        <v/>
      </c>
      <c r="AX178">
        <f>(W178-Schema_v5!$C11)/(Schema_v5!$C12-Schema_v5!$C11)</f>
        <v/>
      </c>
      <c r="AY178">
        <f>(X178-Schema_v5!$C13)/(Schema_v5!$C14-Schema_v5!$C13)</f>
        <v/>
      </c>
    </row>
    <row r="179" ht="108" customHeight="1" s="10">
      <c r="A179" s="2" t="inlineStr">
        <is>
          <t>Q36_C</t>
        </is>
      </c>
      <c r="B179" s="2" t="n">
        <v>36</v>
      </c>
      <c r="C179" s="2" t="n">
        <v>36</v>
      </c>
      <c r="D179" s="2" t="inlineStr">
        <is>
          <t>Core</t>
        </is>
      </c>
      <c r="E179" s="2" t="n">
        <v>1.15</v>
      </c>
      <c r="F179" s="2" t="inlineStr">
        <is>
          <t>CommitmentPace</t>
        </is>
      </c>
      <c r="G179" s="2" t="inlineStr">
        <is>
          <t>IntentAlignment</t>
        </is>
      </c>
      <c r="H179" s="2" t="n"/>
      <c r="I179" s="2" t="inlineStr">
        <is>
          <t>C</t>
        </is>
      </c>
      <c r="J179" s="2" t="inlineStr">
        <is>
          <t>C</t>
        </is>
      </c>
      <c r="K179" s="2" t="inlineStr">
        <is>
          <t>I act like I'm fine, but I replay everything. I wonder if I was too much or not enough.</t>
        </is>
      </c>
      <c r="L179" s="2" t="n">
        <v>5</v>
      </c>
      <c r="M179" s="2" t="n">
        <v>6</v>
      </c>
      <c r="N179" s="2" t="n">
        <v>2</v>
      </c>
      <c r="O179" s="2" t="n">
        <v>4</v>
      </c>
      <c r="P179" s="2" t="n">
        <v>2</v>
      </c>
      <c r="Q179" s="2" t="inlineStr">
        <is>
          <t>Phantom Seeker</t>
        </is>
      </c>
      <c r="R179" s="2" t="n">
        <v>10</v>
      </c>
      <c r="S179" s="2" t="n"/>
      <c r="T179" s="2" t="n"/>
      <c r="U179" s="2" t="n">
        <v>0</v>
      </c>
      <c r="V179" s="2" t="inlineStr">
        <is>
          <t>masc:-0.2;fem:1.5</t>
        </is>
      </c>
      <c r="W179" s="2" t="n">
        <v>-0.2</v>
      </c>
      <c r="X179" s="2" t="n">
        <v>1.5</v>
      </c>
      <c r="Y179" s="2" t="inlineStr">
        <is>
          <t>COMM_Emotional</t>
        </is>
      </c>
      <c r="Z179" s="2" t="inlineStr">
        <is>
          <t>REG_SelfSoother</t>
        </is>
      </c>
      <c r="AA179" s="2" t="inlineStr">
        <is>
          <t>LANG_Touch</t>
        </is>
      </c>
      <c r="AB179" s="2" t="inlineStr">
        <is>
          <t>Vulnerability_Loop</t>
        </is>
      </c>
      <c r="AC179" s="2" t="inlineStr">
        <is>
          <t>Vulnerability_Loop</t>
        </is>
      </c>
      <c r="AD179" s="2" t="n"/>
      <c r="AE179" s="2" t="n">
        <v>5</v>
      </c>
      <c r="AF179" s="2" t="inlineStr">
        <is>
          <t>internal replay loop</t>
        </is>
      </c>
      <c r="AG179" s="2" t="inlineStr">
        <is>
          <t>self-doubter</t>
        </is>
      </c>
      <c r="AH179" s="2" t="n">
        <v>0</v>
      </c>
      <c r="AI179" s="2" t="inlineStr">
        <is>
          <t>yes</t>
        </is>
      </c>
      <c r="AJ179" s="2" t="inlineStr">
        <is>
          <t>no</t>
        </is>
      </c>
      <c r="AK179" s="2" t="inlineStr">
        <is>
          <t>yes</t>
        </is>
      </c>
      <c r="AL179" s="2" t="inlineStr">
        <is>
          <t>yes</t>
        </is>
      </c>
      <c r="AM179" s="2" t="n"/>
      <c r="AN179" s="2" t="n"/>
      <c r="AO179" s="2" t="n"/>
      <c r="AP179" s="2" t="inlineStr">
        <is>
          <t>v3_2026-03-19</t>
        </is>
      </c>
      <c r="AQ179">
        <f>(L179-Schema_v5!$C2)/(Schema_v5!$C3-Schema_v5!$C2)</f>
        <v/>
      </c>
      <c r="AR179">
        <f>(M179-Schema_v5!$C4)/(Schema_v5!$C5-Schema_v5!$C4)</f>
        <v/>
      </c>
      <c r="AS179">
        <f>N179/Schema_v5!$C6</f>
        <v/>
      </c>
      <c r="AT179">
        <f>O179/Schema_v5!$C7</f>
        <v/>
      </c>
      <c r="AU179">
        <f>P179/Schema_v5!$C8</f>
        <v/>
      </c>
      <c r="AV179">
        <f>IF(Schema_v5!$C9=0,0,AH179/Schema_v5!$C9)</f>
        <v/>
      </c>
      <c r="AW179">
        <f>IF(Schema_v5!$C10=0,0,AE179/Schema_v5!$C10)</f>
        <v/>
      </c>
      <c r="AX179">
        <f>(W179-Schema_v5!$C11)/(Schema_v5!$C12-Schema_v5!$C11)</f>
        <v/>
      </c>
      <c r="AY179">
        <f>(X179-Schema_v5!$C13)/(Schema_v5!$C14-Schema_v5!$C13)</f>
        <v/>
      </c>
    </row>
    <row r="180" ht="108" customHeight="1" s="10">
      <c r="A180" s="2" t="inlineStr">
        <is>
          <t>Q36_D</t>
        </is>
      </c>
      <c r="B180" s="2" t="n">
        <v>36</v>
      </c>
      <c r="C180" s="2" t="n">
        <v>36</v>
      </c>
      <c r="D180" s="2" t="inlineStr">
        <is>
          <t>Core</t>
        </is>
      </c>
      <c r="E180" s="2" t="n">
        <v>1.15</v>
      </c>
      <c r="F180" s="2" t="inlineStr">
        <is>
          <t>CommitmentPace</t>
        </is>
      </c>
      <c r="G180" s="2" t="inlineStr">
        <is>
          <t>IntentAlignment</t>
        </is>
      </c>
      <c r="H180" s="2" t="n"/>
      <c r="I180" s="2" t="inlineStr">
        <is>
          <t>D</t>
        </is>
      </c>
      <c r="J180" s="2" t="inlineStr">
        <is>
          <t>D</t>
        </is>
      </c>
      <c r="K180" s="2" t="inlineStr">
        <is>
          <t>I make a joke about it or post something slick. If I'm gonna lose, I'm losing with style</t>
        </is>
      </c>
      <c r="L180" s="2" t="n">
        <v>6</v>
      </c>
      <c r="M180" s="2" t="n">
        <v>7</v>
      </c>
      <c r="N180" s="2" t="n">
        <v>2</v>
      </c>
      <c r="O180" s="2" t="n">
        <v>4</v>
      </c>
      <c r="P180" s="2" t="n">
        <v>2</v>
      </c>
      <c r="Q180" s="2" t="inlineStr">
        <is>
          <t>Performer</t>
        </is>
      </c>
      <c r="R180" s="2" t="n">
        <v>7</v>
      </c>
      <c r="S180" s="2" t="n"/>
      <c r="T180" s="2" t="n"/>
      <c r="U180" s="2" t="n">
        <v>0</v>
      </c>
      <c r="V180" s="2" t="inlineStr">
        <is>
          <t>masc:0.3;fem:0.5</t>
        </is>
      </c>
      <c r="W180" s="2" t="n">
        <v>0.3</v>
      </c>
      <c r="X180" s="2" t="n">
        <v>0.5</v>
      </c>
      <c r="Y180" s="2" t="inlineStr">
        <is>
          <t>COMM_Indirect</t>
        </is>
      </c>
      <c r="Z180" s="2" t="inlineStr">
        <is>
          <t>REG_Distractor</t>
        </is>
      </c>
      <c r="AA180" s="2" t="inlineStr">
        <is>
          <t>LANG_Gifts</t>
        </is>
      </c>
      <c r="AB180" s="2" t="n"/>
      <c r="AC180" s="2" t="n"/>
      <c r="AD180" s="2" t="n"/>
      <c r="AE180" s="2" t="n">
        <v>0</v>
      </c>
      <c r="AF180" s="2" t="inlineStr">
        <is>
          <t>deflect with cool</t>
        </is>
      </c>
      <c r="AG180" s="2" t="inlineStr">
        <is>
          <t>image protector</t>
        </is>
      </c>
      <c r="AH180" s="2" t="n">
        <v>0.6</v>
      </c>
      <c r="AI180" s="2" t="inlineStr">
        <is>
          <t>no</t>
        </is>
      </c>
      <c r="AJ180" s="2" t="inlineStr">
        <is>
          <t>no</t>
        </is>
      </c>
      <c r="AK180" s="2" t="inlineStr">
        <is>
          <t>yes</t>
        </is>
      </c>
      <c r="AL180" s="2" t="inlineStr">
        <is>
          <t>yes</t>
        </is>
      </c>
      <c r="AM180" s="2" t="n"/>
      <c r="AN180" s="2" t="n"/>
      <c r="AO180" s="2" t="n"/>
      <c r="AP180" s="2" t="inlineStr">
        <is>
          <t>v3_2026-03-19</t>
        </is>
      </c>
      <c r="AQ180">
        <f>(L180-Schema_v5!$C2)/(Schema_v5!$C3-Schema_v5!$C2)</f>
        <v/>
      </c>
      <c r="AR180">
        <f>(M180-Schema_v5!$C4)/(Schema_v5!$C5-Schema_v5!$C4)</f>
        <v/>
      </c>
      <c r="AS180">
        <f>N180/Schema_v5!$C6</f>
        <v/>
      </c>
      <c r="AT180">
        <f>O180/Schema_v5!$C7</f>
        <v/>
      </c>
      <c r="AU180">
        <f>P180/Schema_v5!$C8</f>
        <v/>
      </c>
      <c r="AV180">
        <f>IF(Schema_v5!$C9=0,0,AH180/Schema_v5!$C9)</f>
        <v/>
      </c>
      <c r="AW180">
        <f>IF(Schema_v5!$C10=0,0,AE180/Schema_v5!$C10)</f>
        <v/>
      </c>
      <c r="AX180">
        <f>(W180-Schema_v5!$C11)/(Schema_v5!$C12-Schema_v5!$C11)</f>
        <v/>
      </c>
      <c r="AY180">
        <f>(X180-Schema_v5!$C13)/(Schema_v5!$C14-Schema_v5!$C13)</f>
        <v/>
      </c>
    </row>
    <row r="181" ht="94.5" customHeight="1" s="10">
      <c r="A181" s="2" t="inlineStr">
        <is>
          <t>Q36_E</t>
        </is>
      </c>
      <c r="B181" s="2" t="n">
        <v>36</v>
      </c>
      <c r="C181" s="2" t="n">
        <v>36</v>
      </c>
      <c r="D181" s="2" t="inlineStr">
        <is>
          <t>Core</t>
        </is>
      </c>
      <c r="E181" s="2" t="n">
        <v>1.15</v>
      </c>
      <c r="F181" s="2" t="inlineStr">
        <is>
          <t>CommitmentPace</t>
        </is>
      </c>
      <c r="G181" s="2" t="inlineStr">
        <is>
          <t>IntentAlignment</t>
        </is>
      </c>
      <c r="H181" s="2" t="n"/>
      <c r="I181" s="2" t="inlineStr">
        <is>
          <t>E</t>
        </is>
      </c>
      <c r="J181" s="2" t="inlineStr">
        <is>
          <t>E</t>
        </is>
      </c>
      <c r="K181" s="2" t="inlineStr">
        <is>
          <t>I convince myself it was never real to begin with. If it was, they wouldn't have left.</t>
        </is>
      </c>
      <c r="L181" s="2" t="n">
        <v>6</v>
      </c>
      <c r="M181" s="2" t="n">
        <v>7</v>
      </c>
      <c r="N181" s="2" t="n">
        <v>4</v>
      </c>
      <c r="O181" s="2" t="n">
        <v>6</v>
      </c>
      <c r="P181" s="2" t="n">
        <v>6</v>
      </c>
      <c r="Q181" s="2" t="inlineStr">
        <is>
          <t>Survivor</t>
        </is>
      </c>
      <c r="R181" s="2" t="n">
        <v>8</v>
      </c>
      <c r="S181" s="2" t="n"/>
      <c r="T181" s="2" t="n"/>
      <c r="U181" s="2" t="n">
        <v>0</v>
      </c>
      <c r="V181" s="2" t="inlineStr">
        <is>
          <t>masc:0.3;fem:1.3</t>
        </is>
      </c>
      <c r="W181" s="2" t="n">
        <v>0.3</v>
      </c>
      <c r="X181" s="2" t="n">
        <v>1.3</v>
      </c>
      <c r="Y181" s="2" t="inlineStr">
        <is>
          <t>COMM_Emotional</t>
        </is>
      </c>
      <c r="Z181" s="2" t="inlineStr">
        <is>
          <t>REG_SelfSoother</t>
        </is>
      </c>
      <c r="AA181" s="2" t="inlineStr">
        <is>
          <t>LANG_Service</t>
        </is>
      </c>
      <c r="AB181" s="2" t="n"/>
      <c r="AC181" s="2" t="n"/>
      <c r="AD181" s="2" t="n"/>
      <c r="AE181" s="2" t="n">
        <v>0</v>
      </c>
      <c r="AF181" s="2" t="inlineStr">
        <is>
          <t>protective rewrite</t>
        </is>
      </c>
      <c r="AG181" s="2" t="inlineStr">
        <is>
          <t>narrative reframer</t>
        </is>
      </c>
      <c r="AH181" s="2" t="n">
        <v>0</v>
      </c>
      <c r="AI181" s="2" t="inlineStr">
        <is>
          <t>no</t>
        </is>
      </c>
      <c r="AJ181" s="2" t="inlineStr">
        <is>
          <t>no</t>
        </is>
      </c>
      <c r="AK181" s="2" t="inlineStr">
        <is>
          <t>yes</t>
        </is>
      </c>
      <c r="AL181" s="2" t="inlineStr">
        <is>
          <t>yes</t>
        </is>
      </c>
      <c r="AM181" s="2" t="n"/>
      <c r="AN181" s="2" t="n"/>
      <c r="AO181" s="2" t="n"/>
      <c r="AP181" s="2" t="inlineStr">
        <is>
          <t>v3_2026-03-19</t>
        </is>
      </c>
      <c r="AQ181">
        <f>(L181-Schema_v5!$C2)/(Schema_v5!$C3-Schema_v5!$C2)</f>
        <v/>
      </c>
      <c r="AR181">
        <f>(M181-Schema_v5!$C4)/(Schema_v5!$C5-Schema_v5!$C4)</f>
        <v/>
      </c>
      <c r="AS181">
        <f>N181/Schema_v5!$C6</f>
        <v/>
      </c>
      <c r="AT181">
        <f>O181/Schema_v5!$C7</f>
        <v/>
      </c>
      <c r="AU181">
        <f>P181/Schema_v5!$C8</f>
        <v/>
      </c>
      <c r="AV181">
        <f>IF(Schema_v5!$C9=0,0,AH181/Schema_v5!$C9)</f>
        <v/>
      </c>
      <c r="AW181">
        <f>IF(Schema_v5!$C10=0,0,AE181/Schema_v5!$C10)</f>
        <v/>
      </c>
      <c r="AX181">
        <f>(W181-Schema_v5!$C11)/(Schema_v5!$C12-Schema_v5!$C11)</f>
        <v/>
      </c>
      <c r="AY181">
        <f>(X181-Schema_v5!$C13)/(Schema_v5!$C14-Schema_v5!$C13)</f>
        <v/>
      </c>
    </row>
    <row r="182" ht="121.5" customHeight="1" s="10">
      <c r="A182" s="2" t="inlineStr">
        <is>
          <t>Q37_A</t>
        </is>
      </c>
      <c r="B182" s="2" t="n">
        <v>37</v>
      </c>
      <c r="C182" s="2" t="n">
        <v>37</v>
      </c>
      <c r="D182" s="2" t="inlineStr">
        <is>
          <t>Core</t>
        </is>
      </c>
      <c r="E182" s="2" t="n">
        <v>1.2</v>
      </c>
      <c r="F182" s="2" t="inlineStr">
        <is>
          <t>CommitmentPace</t>
        </is>
      </c>
      <c r="G182" s="2" t="inlineStr">
        <is>
          <t>IntentAlignment</t>
        </is>
      </c>
      <c r="H182" s="2" t="inlineStr">
        <is>
          <t>You feel emotionally overloaded-something triggered you, but you don't want to show it. What usually happens next?</t>
        </is>
      </c>
      <c r="I182" s="2" t="inlineStr">
        <is>
          <t>A</t>
        </is>
      </c>
      <c r="J182" s="2" t="inlineStr">
        <is>
          <t>A</t>
        </is>
      </c>
      <c r="K182" s="2" t="inlineStr">
        <is>
          <t>I analyze it in my head, trying to figure out if I even should be this upset. I don't trust my first reaction.</t>
        </is>
      </c>
      <c r="L182" s="2" t="n">
        <v>7</v>
      </c>
      <c r="M182" s="2" t="n">
        <v>8</v>
      </c>
      <c r="N182" s="2" t="n">
        <v>6</v>
      </c>
      <c r="O182" s="2" t="n">
        <v>8</v>
      </c>
      <c r="P182" s="2" t="n">
        <v>6</v>
      </c>
      <c r="Q182" s="2" t="inlineStr">
        <is>
          <t>Analyzer</t>
        </is>
      </c>
      <c r="R182" s="2" t="n">
        <v>2</v>
      </c>
      <c r="S182" s="2" t="n"/>
      <c r="T182" s="2" t="n"/>
      <c r="U182" s="2" t="n">
        <v>0</v>
      </c>
      <c r="V182" s="2" t="inlineStr">
        <is>
          <t>masc:1.4;fem:0.1</t>
        </is>
      </c>
      <c r="W182" s="2" t="n">
        <v>1.4</v>
      </c>
      <c r="X182" s="2" t="n">
        <v>0.1</v>
      </c>
      <c r="Y182" s="2" t="inlineStr">
        <is>
          <t>COMM_Logical</t>
        </is>
      </c>
      <c r="Z182" s="2" t="inlineStr">
        <is>
          <t>REG_SelfSoother</t>
        </is>
      </c>
      <c r="AA182" s="2" t="inlineStr">
        <is>
          <t>LANG_Service</t>
        </is>
      </c>
      <c r="AB182" s="2" t="n"/>
      <c r="AC182" s="2" t="n"/>
      <c r="AD182" s="2" t="n"/>
      <c r="AE182" s="2" t="n">
        <v>0</v>
      </c>
      <c r="AF182" s="2" t="inlineStr">
        <is>
          <t>internal emotional filter</t>
        </is>
      </c>
      <c r="AG182" s="2" t="inlineStr">
        <is>
          <t>reaction assessor</t>
        </is>
      </c>
      <c r="AH182" s="2" t="n">
        <v>0</v>
      </c>
      <c r="AI182" s="2" t="inlineStr">
        <is>
          <t>no</t>
        </is>
      </c>
      <c r="AJ182" s="2" t="inlineStr">
        <is>
          <t>no</t>
        </is>
      </c>
      <c r="AK182" s="2" t="inlineStr">
        <is>
          <t>yes</t>
        </is>
      </c>
      <c r="AL182" s="2" t="inlineStr">
        <is>
          <t>yes</t>
        </is>
      </c>
      <c r="AM182" s="2" t="n"/>
      <c r="AN182" s="2" t="n"/>
      <c r="AO182" s="2" t="n"/>
      <c r="AP182" s="2" t="inlineStr">
        <is>
          <t>v3_2026-03-19</t>
        </is>
      </c>
      <c r="AQ182">
        <f>(L182-Schema_v5!$C2)/(Schema_v5!$C3-Schema_v5!$C2)</f>
        <v/>
      </c>
      <c r="AR182">
        <f>(M182-Schema_v5!$C4)/(Schema_v5!$C5-Schema_v5!$C4)</f>
        <v/>
      </c>
      <c r="AS182">
        <f>N182/Schema_v5!$C6</f>
        <v/>
      </c>
      <c r="AT182">
        <f>O182/Schema_v5!$C7</f>
        <v/>
      </c>
      <c r="AU182">
        <f>P182/Schema_v5!$C8</f>
        <v/>
      </c>
      <c r="AV182">
        <f>IF(Schema_v5!$C9=0,0,AH182/Schema_v5!$C9)</f>
        <v/>
      </c>
      <c r="AW182">
        <f>IF(Schema_v5!$C10=0,0,AE182/Schema_v5!$C10)</f>
        <v/>
      </c>
      <c r="AX182">
        <f>(W182-Schema_v5!$C11)/(Schema_v5!$C12-Schema_v5!$C11)</f>
        <v/>
      </c>
      <c r="AY182">
        <f>(X182-Schema_v5!$C13)/(Schema_v5!$C14-Schema_v5!$C13)</f>
        <v/>
      </c>
    </row>
    <row r="183" ht="162" customHeight="1" s="10">
      <c r="A183" s="2" t="inlineStr">
        <is>
          <t>Q37_B</t>
        </is>
      </c>
      <c r="B183" s="2" t="n">
        <v>37</v>
      </c>
      <c r="C183" s="2" t="n">
        <v>37</v>
      </c>
      <c r="D183" s="2" t="inlineStr">
        <is>
          <t>Core</t>
        </is>
      </c>
      <c r="E183" s="2" t="n">
        <v>1.2</v>
      </c>
      <c r="F183" s="2" t="inlineStr">
        <is>
          <t>CommitmentPace</t>
        </is>
      </c>
      <c r="G183" s="2" t="inlineStr">
        <is>
          <t>IntentAlignment</t>
        </is>
      </c>
      <c r="H183" s="2" t="n"/>
      <c r="I183" s="2" t="inlineStr">
        <is>
          <t>B</t>
        </is>
      </c>
      <c r="J183" s="2" t="inlineStr">
        <is>
          <t>B</t>
        </is>
      </c>
      <c r="K183" s="2" t="inlineStr">
        <is>
          <t>I shift the conversation fast or start asking questions about them. I'd rather be in control of the vibe than risk them seeing me spiral.</t>
        </is>
      </c>
      <c r="L183" s="2" t="n">
        <v>6</v>
      </c>
      <c r="M183" s="2" t="n">
        <v>7</v>
      </c>
      <c r="N183" s="2" t="n">
        <v>2</v>
      </c>
      <c r="O183" s="2" t="n">
        <v>4</v>
      </c>
      <c r="P183" s="2" t="n">
        <v>0</v>
      </c>
      <c r="Q183" s="2" t="inlineStr">
        <is>
          <t>Performer</t>
        </is>
      </c>
      <c r="R183" s="2" t="n">
        <v>7</v>
      </c>
      <c r="S183" s="2" t="n"/>
      <c r="T183" s="2" t="n"/>
      <c r="U183" s="2" t="n">
        <v>0</v>
      </c>
      <c r="V183" s="2" t="inlineStr">
        <is>
          <t>masc:0.3;fem:0.5</t>
        </is>
      </c>
      <c r="W183" s="2" t="n">
        <v>0.3</v>
      </c>
      <c r="X183" s="2" t="n">
        <v>0.5</v>
      </c>
      <c r="Y183" s="2" t="inlineStr">
        <is>
          <t>COMM_Indirect</t>
        </is>
      </c>
      <c r="Z183" s="2" t="inlineStr">
        <is>
          <t>REG_Distractor</t>
        </is>
      </c>
      <c r="AA183" s="2" t="inlineStr">
        <is>
          <t>LANG_Gifts</t>
        </is>
      </c>
      <c r="AB183" s="2" t="inlineStr">
        <is>
          <t>Control_Avoidance</t>
        </is>
      </c>
      <c r="AC183" s="2" t="inlineStr">
        <is>
          <t>Control_Avoidance</t>
        </is>
      </c>
      <c r="AD183" s="2" t="n"/>
      <c r="AE183" s="2" t="n">
        <v>6</v>
      </c>
      <c r="AF183" s="2" t="inlineStr">
        <is>
          <t>vibe manager reflex</t>
        </is>
      </c>
      <c r="AG183" s="2" t="inlineStr">
        <is>
          <t>tone shifter</t>
        </is>
      </c>
      <c r="AH183" s="2" t="n">
        <v>0</v>
      </c>
      <c r="AI183" s="2" t="inlineStr">
        <is>
          <t>yes</t>
        </is>
      </c>
      <c r="AJ183" s="2" t="inlineStr">
        <is>
          <t>no</t>
        </is>
      </c>
      <c r="AK183" s="2" t="inlineStr">
        <is>
          <t>yes</t>
        </is>
      </c>
      <c r="AL183" s="2" t="inlineStr">
        <is>
          <t>yes</t>
        </is>
      </c>
      <c r="AM183" s="2" t="n"/>
      <c r="AN183" s="2" t="n"/>
      <c r="AO183" s="2" t="n"/>
      <c r="AP183" s="2" t="inlineStr">
        <is>
          <t>v3_2026-03-19</t>
        </is>
      </c>
      <c r="AQ183">
        <f>(L183-Schema_v5!$C2)/(Schema_v5!$C3-Schema_v5!$C2)</f>
        <v/>
      </c>
      <c r="AR183">
        <f>(M183-Schema_v5!$C4)/(Schema_v5!$C5-Schema_v5!$C4)</f>
        <v/>
      </c>
      <c r="AS183">
        <f>N183/Schema_v5!$C6</f>
        <v/>
      </c>
      <c r="AT183">
        <f>O183/Schema_v5!$C7</f>
        <v/>
      </c>
      <c r="AU183">
        <f>P183/Schema_v5!$C8</f>
        <v/>
      </c>
      <c r="AV183">
        <f>IF(Schema_v5!$C9=0,0,AH183/Schema_v5!$C9)</f>
        <v/>
      </c>
      <c r="AW183">
        <f>IF(Schema_v5!$C10=0,0,AE183/Schema_v5!$C10)</f>
        <v/>
      </c>
      <c r="AX183">
        <f>(W183-Schema_v5!$C11)/(Schema_v5!$C12-Schema_v5!$C11)</f>
        <v/>
      </c>
      <c r="AY183">
        <f>(X183-Schema_v5!$C13)/(Schema_v5!$C14-Schema_v5!$C13)</f>
        <v/>
      </c>
    </row>
    <row r="184" ht="108" customHeight="1" s="10">
      <c r="A184" s="2" t="inlineStr">
        <is>
          <t>Q37_C</t>
        </is>
      </c>
      <c r="B184" s="2" t="n">
        <v>37</v>
      </c>
      <c r="C184" s="2" t="n">
        <v>37</v>
      </c>
      <c r="D184" s="2" t="inlineStr">
        <is>
          <t>Core</t>
        </is>
      </c>
      <c r="E184" s="2" t="n">
        <v>1.2</v>
      </c>
      <c r="F184" s="2" t="inlineStr">
        <is>
          <t>CommitmentPace</t>
        </is>
      </c>
      <c r="G184" s="2" t="inlineStr">
        <is>
          <t>IntentAlignment</t>
        </is>
      </c>
      <c r="H184" s="2" t="n"/>
      <c r="I184" s="2" t="inlineStr">
        <is>
          <t>C</t>
        </is>
      </c>
      <c r="J184" s="2" t="inlineStr">
        <is>
          <t>C</t>
        </is>
      </c>
      <c r="K184" s="2" t="inlineStr">
        <is>
          <t>I act extra calm or even helpful. I overcorrect so no one sees the mess I'm carrying underneath.</t>
        </is>
      </c>
      <c r="L184" s="2" t="n">
        <v>6</v>
      </c>
      <c r="M184" s="2" t="n">
        <v>7</v>
      </c>
      <c r="N184" s="2" t="n">
        <v>4</v>
      </c>
      <c r="O184" s="2" t="n">
        <v>6</v>
      </c>
      <c r="P184" s="2" t="n">
        <v>4</v>
      </c>
      <c r="Q184" s="2" t="inlineStr">
        <is>
          <t>Fixer</t>
        </is>
      </c>
      <c r="R184" s="2" t="n">
        <v>5</v>
      </c>
      <c r="S184" s="2" t="n"/>
      <c r="T184" s="2" t="n"/>
      <c r="U184" s="2" t="n">
        <v>0</v>
      </c>
      <c r="V184" s="2" t="inlineStr">
        <is>
          <t>masc:-0.4;fem:2.0</t>
        </is>
      </c>
      <c r="W184" s="2" t="n">
        <v>-0.4</v>
      </c>
      <c r="X184" s="2" t="n">
        <v>2</v>
      </c>
      <c r="Y184" s="2" t="inlineStr">
        <is>
          <t>COMM_Emotional</t>
        </is>
      </c>
      <c r="Z184" s="2" t="inlineStr">
        <is>
          <t>REG_CoRegulator</t>
        </is>
      </c>
      <c r="AA184" s="2" t="inlineStr">
        <is>
          <t>LANG_Service</t>
        </is>
      </c>
      <c r="AB184" s="2" t="inlineStr">
        <is>
          <t>Vulnerability_Loop</t>
        </is>
      </c>
      <c r="AC184" s="2" t="inlineStr">
        <is>
          <t>Vulnerability_Loop</t>
        </is>
      </c>
      <c r="AD184" s="2" t="n"/>
      <c r="AE184" s="2" t="n">
        <v>5</v>
      </c>
      <c r="AF184" s="2" t="inlineStr">
        <is>
          <t>composed but cracked</t>
        </is>
      </c>
      <c r="AG184" s="2" t="inlineStr">
        <is>
          <t>appearance keeper</t>
        </is>
      </c>
      <c r="AH184" s="2" t="n">
        <v>0</v>
      </c>
      <c r="AI184" s="2" t="inlineStr">
        <is>
          <t>yes</t>
        </is>
      </c>
      <c r="AJ184" s="2" t="inlineStr">
        <is>
          <t>no</t>
        </is>
      </c>
      <c r="AK184" s="2" t="inlineStr">
        <is>
          <t>yes</t>
        </is>
      </c>
      <c r="AL184" s="2" t="inlineStr">
        <is>
          <t>yes</t>
        </is>
      </c>
      <c r="AM184" s="2" t="n"/>
      <c r="AN184" s="2" t="n"/>
      <c r="AO184" s="2" t="n"/>
      <c r="AP184" s="2" t="inlineStr">
        <is>
          <t>v3_2026-03-19</t>
        </is>
      </c>
      <c r="AQ184">
        <f>(L184-Schema_v5!$C2)/(Schema_v5!$C3-Schema_v5!$C2)</f>
        <v/>
      </c>
      <c r="AR184">
        <f>(M184-Schema_v5!$C4)/(Schema_v5!$C5-Schema_v5!$C4)</f>
        <v/>
      </c>
      <c r="AS184">
        <f>N184/Schema_v5!$C6</f>
        <v/>
      </c>
      <c r="AT184">
        <f>O184/Schema_v5!$C7</f>
        <v/>
      </c>
      <c r="AU184">
        <f>P184/Schema_v5!$C8</f>
        <v/>
      </c>
      <c r="AV184">
        <f>IF(Schema_v5!$C9=0,0,AH184/Schema_v5!$C9)</f>
        <v/>
      </c>
      <c r="AW184">
        <f>IF(Schema_v5!$C10=0,0,AE184/Schema_v5!$C10)</f>
        <v/>
      </c>
      <c r="AX184">
        <f>(W184-Schema_v5!$C11)/(Schema_v5!$C12-Schema_v5!$C11)</f>
        <v/>
      </c>
      <c r="AY184">
        <f>(X184-Schema_v5!$C13)/(Schema_v5!$C14-Schema_v5!$C13)</f>
        <v/>
      </c>
    </row>
    <row r="185" ht="121.5" customHeight="1" s="10">
      <c r="A185" s="2" t="inlineStr">
        <is>
          <t>Q37_D</t>
        </is>
      </c>
      <c r="B185" s="2" t="n">
        <v>37</v>
      </c>
      <c r="C185" s="2" t="n">
        <v>37</v>
      </c>
      <c r="D185" s="2" t="inlineStr">
        <is>
          <t>Core</t>
        </is>
      </c>
      <c r="E185" s="2" t="n">
        <v>1.2</v>
      </c>
      <c r="F185" s="2" t="inlineStr">
        <is>
          <t>CommitmentPace</t>
        </is>
      </c>
      <c r="G185" s="2" t="inlineStr">
        <is>
          <t>IntentAlignment</t>
        </is>
      </c>
      <c r="H185" s="2" t="n"/>
      <c r="I185" s="2" t="inlineStr">
        <is>
          <t>D</t>
        </is>
      </c>
      <c r="J185" s="2" t="inlineStr">
        <is>
          <t>D</t>
        </is>
      </c>
      <c r="K185" s="2" t="inlineStr">
        <is>
          <t>I pretend I'm fine, but inside I'm spiraling. I don't say anything, just shut down and let it fester.</t>
        </is>
      </c>
      <c r="L185" s="2" t="n">
        <v>4</v>
      </c>
      <c r="M185" s="2" t="n">
        <v>5</v>
      </c>
      <c r="N185" s="2" t="n">
        <v>0</v>
      </c>
      <c r="O185" s="2" t="n">
        <v>0</v>
      </c>
      <c r="P185" s="2" t="n">
        <v>0</v>
      </c>
      <c r="Q185" s="2" t="inlineStr">
        <is>
          <t>Phantom Seeker</t>
        </is>
      </c>
      <c r="R185" s="2" t="n">
        <v>10</v>
      </c>
      <c r="S185" s="2" t="n"/>
      <c r="T185" s="2" t="n"/>
      <c r="U185" s="2" t="n">
        <v>0</v>
      </c>
      <c r="V185" s="2" t="inlineStr">
        <is>
          <t>masc:-0.2;fem:1.5</t>
        </is>
      </c>
      <c r="W185" s="2" t="n">
        <v>-0.2</v>
      </c>
      <c r="X185" s="2" t="n">
        <v>1.5</v>
      </c>
      <c r="Y185" s="2" t="inlineStr">
        <is>
          <t>COMM_Emotional</t>
        </is>
      </c>
      <c r="Z185" s="2" t="inlineStr">
        <is>
          <t>REG_SelfSoother</t>
        </is>
      </c>
      <c r="AA185" s="2" t="inlineStr">
        <is>
          <t>LANG_Touch</t>
        </is>
      </c>
      <c r="AB185" s="2" t="inlineStr">
        <is>
          <t>Vulnerability_Loop , Pursuer_Distancer</t>
        </is>
      </c>
      <c r="AC185" s="2" t="inlineStr">
        <is>
          <t>Vulnerability_Loop</t>
        </is>
      </c>
      <c r="AD185" s="2" t="inlineStr">
        <is>
          <t>Pursuer_Distancer</t>
        </is>
      </c>
      <c r="AE185" s="2" t="n">
        <v>11</v>
      </c>
      <c r="AF185" s="2" t="inlineStr">
        <is>
          <t>silent sufferer reflex</t>
        </is>
      </c>
      <c r="AG185" s="2" t="inlineStr">
        <is>
          <t>internalizer</t>
        </is>
      </c>
      <c r="AH185" s="2" t="n">
        <v>0.6</v>
      </c>
      <c r="AI185" s="2" t="inlineStr">
        <is>
          <t>yes</t>
        </is>
      </c>
      <c r="AJ185" s="2" t="inlineStr">
        <is>
          <t>no</t>
        </is>
      </c>
      <c r="AK185" s="2" t="inlineStr">
        <is>
          <t>yes</t>
        </is>
      </c>
      <c r="AL185" s="2" t="inlineStr">
        <is>
          <t>yes</t>
        </is>
      </c>
      <c r="AM185" s="2" t="n"/>
      <c r="AN185" s="2" t="n"/>
      <c r="AO185" s="2" t="n"/>
      <c r="AP185" s="2" t="inlineStr">
        <is>
          <t>v3_2026-03-19</t>
        </is>
      </c>
      <c r="AQ185">
        <f>(L185-Schema_v5!$C2)/(Schema_v5!$C3-Schema_v5!$C2)</f>
        <v/>
      </c>
      <c r="AR185">
        <f>(M185-Schema_v5!$C4)/(Schema_v5!$C5-Schema_v5!$C4)</f>
        <v/>
      </c>
      <c r="AS185">
        <f>N185/Schema_v5!$C6</f>
        <v/>
      </c>
      <c r="AT185">
        <f>O185/Schema_v5!$C7</f>
        <v/>
      </c>
      <c r="AU185">
        <f>P185/Schema_v5!$C8</f>
        <v/>
      </c>
      <c r="AV185">
        <f>IF(Schema_v5!$C9=0,0,AH185/Schema_v5!$C9)</f>
        <v/>
      </c>
      <c r="AW185">
        <f>IF(Schema_v5!$C10=0,0,AE185/Schema_v5!$C10)</f>
        <v/>
      </c>
      <c r="AX185">
        <f>(W185-Schema_v5!$C11)/(Schema_v5!$C12-Schema_v5!$C11)</f>
        <v/>
      </c>
      <c r="AY185">
        <f>(X185-Schema_v5!$C13)/(Schema_v5!$C14-Schema_v5!$C13)</f>
        <v/>
      </c>
    </row>
    <row r="186" ht="81" customHeight="1" s="10">
      <c r="A186" s="2" t="inlineStr">
        <is>
          <t>Q37_E</t>
        </is>
      </c>
      <c r="B186" s="2" t="n">
        <v>37</v>
      </c>
      <c r="C186" s="2" t="n">
        <v>37</v>
      </c>
      <c r="D186" s="2" t="inlineStr">
        <is>
          <t>Core</t>
        </is>
      </c>
      <c r="E186" s="2" t="n">
        <v>1.2</v>
      </c>
      <c r="F186" s="2" t="inlineStr">
        <is>
          <t>CommitmentPace</t>
        </is>
      </c>
      <c r="G186" s="2" t="inlineStr">
        <is>
          <t>IntentAlignment</t>
        </is>
      </c>
      <c r="H186" s="2" t="n"/>
      <c r="I186" s="2" t="inlineStr">
        <is>
          <t>E</t>
        </is>
      </c>
      <c r="J186" s="2" t="inlineStr">
        <is>
          <t>E</t>
        </is>
      </c>
      <c r="K186" s="2" t="inlineStr">
        <is>
          <t>I go cold. I don't mean to, but I get short or distant until I can reset.</t>
        </is>
      </c>
      <c r="L186" s="2" t="n">
        <v>6</v>
      </c>
      <c r="M186" s="2" t="n">
        <v>7</v>
      </c>
      <c r="N186" s="2" t="n">
        <v>2</v>
      </c>
      <c r="O186" s="2" t="n">
        <v>2</v>
      </c>
      <c r="P186" s="2" t="n">
        <v>0</v>
      </c>
      <c r="Q186" s="2" t="inlineStr">
        <is>
          <t>Icebox</t>
        </is>
      </c>
      <c r="R186" s="2" t="n">
        <v>1</v>
      </c>
      <c r="S186" s="2" t="n"/>
      <c r="T186" s="2" t="n"/>
      <c r="U186" s="2" t="n">
        <v>0</v>
      </c>
      <c r="V186" s="2" t="inlineStr">
        <is>
          <t>masc:1.8;fem:-1.6</t>
        </is>
      </c>
      <c r="W186" s="2" t="n">
        <v>1.8</v>
      </c>
      <c r="X186" s="2" t="n">
        <v>-1.6</v>
      </c>
      <c r="Y186" s="2" t="inlineStr">
        <is>
          <t>COMM_Avoidant</t>
        </is>
      </c>
      <c r="Z186" s="2" t="inlineStr">
        <is>
          <t>REG_Suppressor</t>
        </is>
      </c>
      <c r="AA186" s="2" t="inlineStr">
        <is>
          <t>LANG_Time</t>
        </is>
      </c>
      <c r="AB186" s="2" t="inlineStr">
        <is>
          <t>Vulnerability_Loop , Affection_Mismatch</t>
        </is>
      </c>
      <c r="AC186" s="2" t="inlineStr">
        <is>
          <t>Vulnerability_Loop</t>
        </is>
      </c>
      <c r="AD186" s="2" t="inlineStr">
        <is>
          <t>Affection_Mismatch</t>
        </is>
      </c>
      <c r="AE186" s="2" t="n">
        <v>9</v>
      </c>
      <c r="AF186" s="2" t="inlineStr">
        <is>
          <t>emotional lockdown</t>
        </is>
      </c>
      <c r="AG186" s="2" t="inlineStr">
        <is>
          <t>space taker</t>
        </is>
      </c>
      <c r="AH186" s="2" t="n">
        <v>0.6</v>
      </c>
      <c r="AI186" s="2" t="inlineStr">
        <is>
          <t>yes</t>
        </is>
      </c>
      <c r="AJ186" s="2" t="inlineStr">
        <is>
          <t>no</t>
        </is>
      </c>
      <c r="AK186" s="2" t="inlineStr">
        <is>
          <t>yes</t>
        </is>
      </c>
      <c r="AL186" s="2" t="inlineStr">
        <is>
          <t>yes</t>
        </is>
      </c>
      <c r="AM186" s="2" t="n"/>
      <c r="AN186" s="2" t="n"/>
      <c r="AO186" s="2" t="n"/>
      <c r="AP186" s="2" t="inlineStr">
        <is>
          <t>v3_2026-03-19</t>
        </is>
      </c>
      <c r="AQ186">
        <f>(L186-Schema_v5!$C2)/(Schema_v5!$C3-Schema_v5!$C2)</f>
        <v/>
      </c>
      <c r="AR186">
        <f>(M186-Schema_v5!$C4)/(Schema_v5!$C5-Schema_v5!$C4)</f>
        <v/>
      </c>
      <c r="AS186">
        <f>N186/Schema_v5!$C6</f>
        <v/>
      </c>
      <c r="AT186">
        <f>O186/Schema_v5!$C7</f>
        <v/>
      </c>
      <c r="AU186">
        <f>P186/Schema_v5!$C8</f>
        <v/>
      </c>
      <c r="AV186">
        <f>IF(Schema_v5!$C9=0,0,AH186/Schema_v5!$C9)</f>
        <v/>
      </c>
      <c r="AW186">
        <f>IF(Schema_v5!$C10=0,0,AE186/Schema_v5!$C10)</f>
        <v/>
      </c>
      <c r="AX186">
        <f>(W186-Schema_v5!$C11)/(Schema_v5!$C12-Schema_v5!$C11)</f>
        <v/>
      </c>
      <c r="AY186">
        <f>(X186-Schema_v5!$C13)/(Schema_v5!$C14-Schema_v5!$C13)</f>
        <v/>
      </c>
    </row>
    <row r="187" ht="121.5" customHeight="1" s="10">
      <c r="A187" s="2" t="inlineStr">
        <is>
          <t>Q38_A</t>
        </is>
      </c>
      <c r="B187" s="2" t="n">
        <v>38</v>
      </c>
      <c r="C187" s="2" t="n">
        <v>38</v>
      </c>
      <c r="D187" s="2" t="inlineStr">
        <is>
          <t>Core</t>
        </is>
      </c>
      <c r="E187" s="2" t="n">
        <v>1.2</v>
      </c>
      <c r="F187" s="2" t="inlineStr">
        <is>
          <t>CommitmentPace</t>
        </is>
      </c>
      <c r="G187" s="2" t="inlineStr">
        <is>
          <t>IntentAlignment</t>
        </is>
      </c>
      <c r="H187" s="2" t="inlineStr">
        <is>
          <t>Someone starts seeing the real you-your fears, flaws, the stuff you don't usually show. What happens next?</t>
        </is>
      </c>
      <c r="I187" s="2" t="inlineStr">
        <is>
          <t>A</t>
        </is>
      </c>
      <c r="J187" s="2" t="inlineStr">
        <is>
          <t>A</t>
        </is>
      </c>
      <c r="K187" s="2" t="inlineStr">
        <is>
          <t>I act normal on the surface, but I start scanning everything they say after that, looking for proof they meant it.</t>
        </is>
      </c>
      <c r="L187" s="2" t="n">
        <v>7</v>
      </c>
      <c r="M187" s="2" t="n">
        <v>8</v>
      </c>
      <c r="N187" s="2" t="n">
        <v>6</v>
      </c>
      <c r="O187" s="2" t="n">
        <v>8</v>
      </c>
      <c r="P187" s="2" t="n">
        <v>6</v>
      </c>
      <c r="Q187" s="2" t="inlineStr">
        <is>
          <t>Analyzer</t>
        </is>
      </c>
      <c r="R187" s="2" t="n">
        <v>2</v>
      </c>
      <c r="S187" s="2" t="n"/>
      <c r="T187" s="2" t="n"/>
      <c r="U187" s="2" t="n">
        <v>0</v>
      </c>
      <c r="V187" s="2" t="inlineStr">
        <is>
          <t>masc:1.4;fem:0.1</t>
        </is>
      </c>
      <c r="W187" s="2" t="n">
        <v>1.4</v>
      </c>
      <c r="X187" s="2" t="n">
        <v>0.1</v>
      </c>
      <c r="Y187" s="2" t="inlineStr">
        <is>
          <t>COMM_Logical</t>
        </is>
      </c>
      <c r="Z187" s="2" t="inlineStr">
        <is>
          <t>REG_SelfSoother</t>
        </is>
      </c>
      <c r="AA187" s="2" t="inlineStr">
        <is>
          <t>LANG_Service</t>
        </is>
      </c>
      <c r="AB187" s="2" t="n"/>
      <c r="AC187" s="2" t="n"/>
      <c r="AD187" s="2" t="n"/>
      <c r="AE187" s="2" t="n">
        <v>0</v>
      </c>
      <c r="AF187" s="2" t="inlineStr">
        <is>
          <t>authenticity investigator</t>
        </is>
      </c>
      <c r="AG187" s="2" t="inlineStr">
        <is>
          <t>intent checker</t>
        </is>
      </c>
      <c r="AH187" s="2" t="n">
        <v>0</v>
      </c>
      <c r="AI187" s="2" t="inlineStr">
        <is>
          <t>no</t>
        </is>
      </c>
      <c r="AJ187" s="2" t="inlineStr">
        <is>
          <t>no</t>
        </is>
      </c>
      <c r="AK187" s="2" t="inlineStr">
        <is>
          <t>yes</t>
        </is>
      </c>
      <c r="AL187" s="2" t="inlineStr">
        <is>
          <t>yes</t>
        </is>
      </c>
      <c r="AM187" s="2" t="n"/>
      <c r="AN187" s="2" t="n"/>
      <c r="AO187" s="2" t="n"/>
      <c r="AP187" s="2" t="inlineStr">
        <is>
          <t>v3_2026-03-19</t>
        </is>
      </c>
      <c r="AQ187">
        <f>(L187-Schema_v5!$C2)/(Schema_v5!$C3-Schema_v5!$C2)</f>
        <v/>
      </c>
      <c r="AR187">
        <f>(M187-Schema_v5!$C4)/(Schema_v5!$C5-Schema_v5!$C4)</f>
        <v/>
      </c>
      <c r="AS187">
        <f>N187/Schema_v5!$C6</f>
        <v/>
      </c>
      <c r="AT187">
        <f>O187/Schema_v5!$C7</f>
        <v/>
      </c>
      <c r="AU187">
        <f>P187/Schema_v5!$C8</f>
        <v/>
      </c>
      <c r="AV187">
        <f>IF(Schema_v5!$C9=0,0,AH187/Schema_v5!$C9)</f>
        <v/>
      </c>
      <c r="AW187">
        <f>IF(Schema_v5!$C10=0,0,AE187/Schema_v5!$C10)</f>
        <v/>
      </c>
      <c r="AX187">
        <f>(W187-Schema_v5!$C11)/(Schema_v5!$C12-Schema_v5!$C11)</f>
        <v/>
      </c>
      <c r="AY187">
        <f>(X187-Schema_v5!$C13)/(Schema_v5!$C14-Schema_v5!$C13)</f>
        <v/>
      </c>
    </row>
    <row r="188" ht="94.5" customHeight="1" s="10">
      <c r="A188" s="2" t="inlineStr">
        <is>
          <t>Q38_B</t>
        </is>
      </c>
      <c r="B188" s="2" t="n">
        <v>38</v>
      </c>
      <c r="C188" s="2" t="n">
        <v>38</v>
      </c>
      <c r="D188" s="2" t="inlineStr">
        <is>
          <t>Core</t>
        </is>
      </c>
      <c r="E188" s="2" t="n">
        <v>1.2</v>
      </c>
      <c r="F188" s="2" t="inlineStr">
        <is>
          <t>CommitmentPace</t>
        </is>
      </c>
      <c r="G188" s="2" t="inlineStr">
        <is>
          <t>IntentAlignment</t>
        </is>
      </c>
      <c r="H188" s="2" t="n"/>
      <c r="I188" s="2" t="inlineStr">
        <is>
          <t>B</t>
        </is>
      </c>
      <c r="J188" s="2" t="inlineStr">
        <is>
          <t>B</t>
        </is>
      </c>
      <c r="K188" s="2" t="inlineStr">
        <is>
          <t>I keep it light. They think they're seeing the real me, but I know what I hold back.</t>
        </is>
      </c>
      <c r="L188" s="2" t="n">
        <v>6</v>
      </c>
      <c r="M188" s="2" t="n">
        <v>7</v>
      </c>
      <c r="N188" s="2" t="n">
        <v>4</v>
      </c>
      <c r="O188" s="2" t="n">
        <v>4</v>
      </c>
      <c r="P188" s="2" t="n">
        <v>2</v>
      </c>
      <c r="Q188" s="2" t="inlineStr">
        <is>
          <t>Performer</t>
        </is>
      </c>
      <c r="R188" s="2" t="n">
        <v>7</v>
      </c>
      <c r="S188" s="2" t="n"/>
      <c r="T188" s="2" t="n"/>
      <c r="U188" s="2" t="n">
        <v>0</v>
      </c>
      <c r="V188" s="2" t="inlineStr">
        <is>
          <t>masc:0.3;fem:0.5</t>
        </is>
      </c>
      <c r="W188" s="2" t="n">
        <v>0.3</v>
      </c>
      <c r="X188" s="2" t="n">
        <v>0.5</v>
      </c>
      <c r="Y188" s="2" t="inlineStr">
        <is>
          <t>COMM_Indirect</t>
        </is>
      </c>
      <c r="Z188" s="2" t="inlineStr">
        <is>
          <t>REG_Distractor</t>
        </is>
      </c>
      <c r="AA188" s="2" t="inlineStr">
        <is>
          <t>LANG_Gifts</t>
        </is>
      </c>
      <c r="AB188" s="2" t="inlineStr">
        <is>
          <t>Conflict_Flip</t>
        </is>
      </c>
      <c r="AC188" s="2" t="inlineStr">
        <is>
          <t>Conflict_Flip</t>
        </is>
      </c>
      <c r="AD188" s="2" t="n"/>
      <c r="AE188" s="2" t="n">
        <v>4</v>
      </c>
      <c r="AF188" s="2" t="inlineStr">
        <is>
          <t>strategic revelation</t>
        </is>
      </c>
      <c r="AG188" s="2" t="inlineStr">
        <is>
          <t>controlled sharer</t>
        </is>
      </c>
      <c r="AH188" s="2" t="n">
        <v>0</v>
      </c>
      <c r="AI188" s="2" t="inlineStr">
        <is>
          <t>yes</t>
        </is>
      </c>
      <c r="AJ188" s="2" t="inlineStr">
        <is>
          <t>no</t>
        </is>
      </c>
      <c r="AK188" s="2" t="inlineStr">
        <is>
          <t>yes</t>
        </is>
      </c>
      <c r="AL188" s="2" t="inlineStr">
        <is>
          <t>yes</t>
        </is>
      </c>
      <c r="AM188" s="2" t="n"/>
      <c r="AN188" s="2" t="n"/>
      <c r="AO188" s="2" t="n"/>
      <c r="AP188" s="2" t="inlineStr">
        <is>
          <t>v3_2026-03-19</t>
        </is>
      </c>
      <c r="AQ188">
        <f>(L188-Schema_v5!$C2)/(Schema_v5!$C3-Schema_v5!$C2)</f>
        <v/>
      </c>
      <c r="AR188">
        <f>(M188-Schema_v5!$C4)/(Schema_v5!$C5-Schema_v5!$C4)</f>
        <v/>
      </c>
      <c r="AS188">
        <f>N188/Schema_v5!$C6</f>
        <v/>
      </c>
      <c r="AT188">
        <f>O188/Schema_v5!$C7</f>
        <v/>
      </c>
      <c r="AU188">
        <f>P188/Schema_v5!$C8</f>
        <v/>
      </c>
      <c r="AV188">
        <f>IF(Schema_v5!$C9=0,0,AH188/Schema_v5!$C9)</f>
        <v/>
      </c>
      <c r="AW188">
        <f>IF(Schema_v5!$C10=0,0,AE188/Schema_v5!$C10)</f>
        <v/>
      </c>
      <c r="AX188">
        <f>(W188-Schema_v5!$C11)/(Schema_v5!$C12-Schema_v5!$C11)</f>
        <v/>
      </c>
      <c r="AY188">
        <f>(X188-Schema_v5!$C13)/(Schema_v5!$C14-Schema_v5!$C13)</f>
        <v/>
      </c>
    </row>
    <row r="189" ht="108" customHeight="1" s="10">
      <c r="A189" s="2" t="inlineStr">
        <is>
          <t>Q38_C</t>
        </is>
      </c>
      <c r="B189" s="2" t="n">
        <v>38</v>
      </c>
      <c r="C189" s="2" t="n">
        <v>38</v>
      </c>
      <c r="D189" s="2" t="inlineStr">
        <is>
          <t>Core</t>
        </is>
      </c>
      <c r="E189" s="2" t="n">
        <v>1.2</v>
      </c>
      <c r="F189" s="2" t="inlineStr">
        <is>
          <t>CommitmentPace</t>
        </is>
      </c>
      <c r="G189" s="2" t="inlineStr">
        <is>
          <t>IntentAlignment</t>
        </is>
      </c>
      <c r="H189" s="2" t="n"/>
      <c r="I189" s="2" t="inlineStr">
        <is>
          <t>C</t>
        </is>
      </c>
      <c r="J189" s="2" t="inlineStr">
        <is>
          <t>C</t>
        </is>
      </c>
      <c r="K189" s="2" t="inlineStr">
        <is>
          <t>I pull back a little. It's not that I don't want to be seen, it's that I don't trust what they'll do with it.</t>
        </is>
      </c>
      <c r="L189" s="2" t="n">
        <v>7</v>
      </c>
      <c r="M189" s="2" t="n">
        <v>8</v>
      </c>
      <c r="N189" s="2" t="n">
        <v>4</v>
      </c>
      <c r="O189" s="2" t="n">
        <v>4</v>
      </c>
      <c r="P189" s="2" t="n">
        <v>0</v>
      </c>
      <c r="Q189" s="2" t="inlineStr">
        <is>
          <t>Icebox</t>
        </is>
      </c>
      <c r="R189" s="2" t="n">
        <v>1</v>
      </c>
      <c r="S189" s="2" t="n"/>
      <c r="T189" s="2" t="n"/>
      <c r="U189" s="2" t="n">
        <v>0</v>
      </c>
      <c r="V189" s="2" t="inlineStr">
        <is>
          <t>masc:1.8;fem:-1.6</t>
        </is>
      </c>
      <c r="W189" s="2" t="n">
        <v>1.8</v>
      </c>
      <c r="X189" s="2" t="n">
        <v>-1.6</v>
      </c>
      <c r="Y189" s="2" t="inlineStr">
        <is>
          <t>COMM_Avoidant</t>
        </is>
      </c>
      <c r="Z189" s="2" t="inlineStr">
        <is>
          <t>REG_Suppressor</t>
        </is>
      </c>
      <c r="AA189" s="2" t="inlineStr">
        <is>
          <t>LANG_Time</t>
        </is>
      </c>
      <c r="AB189" s="2" t="n"/>
      <c r="AC189" s="2" t="n"/>
      <c r="AD189" s="2" t="n"/>
      <c r="AE189" s="2" t="n">
        <v>0</v>
      </c>
      <c r="AF189" s="2" t="inlineStr">
        <is>
          <t>defensive vulnerability delay</t>
        </is>
      </c>
      <c r="AG189" s="2" t="inlineStr">
        <is>
          <t>cautious opener</t>
        </is>
      </c>
      <c r="AH189" s="2" t="n">
        <v>0.6</v>
      </c>
      <c r="AI189" s="2" t="inlineStr">
        <is>
          <t>no</t>
        </is>
      </c>
      <c r="AJ189" s="2" t="inlineStr">
        <is>
          <t>no</t>
        </is>
      </c>
      <c r="AK189" s="2" t="inlineStr">
        <is>
          <t>yes</t>
        </is>
      </c>
      <c r="AL189" s="2" t="inlineStr">
        <is>
          <t>yes</t>
        </is>
      </c>
      <c r="AM189" s="2" t="n"/>
      <c r="AN189" s="2" t="n"/>
      <c r="AO189" s="2" t="n"/>
      <c r="AP189" s="2" t="inlineStr">
        <is>
          <t>v3_2026-03-19</t>
        </is>
      </c>
      <c r="AQ189">
        <f>(L189-Schema_v5!$C2)/(Schema_v5!$C3-Schema_v5!$C2)</f>
        <v/>
      </c>
      <c r="AR189">
        <f>(M189-Schema_v5!$C4)/(Schema_v5!$C5-Schema_v5!$C4)</f>
        <v/>
      </c>
      <c r="AS189">
        <f>N189/Schema_v5!$C6</f>
        <v/>
      </c>
      <c r="AT189">
        <f>O189/Schema_v5!$C7</f>
        <v/>
      </c>
      <c r="AU189">
        <f>P189/Schema_v5!$C8</f>
        <v/>
      </c>
      <c r="AV189">
        <f>IF(Schema_v5!$C9=0,0,AH189/Schema_v5!$C9)</f>
        <v/>
      </c>
      <c r="AW189">
        <f>IF(Schema_v5!$C10=0,0,AE189/Schema_v5!$C10)</f>
        <v/>
      </c>
      <c r="AX189">
        <f>(W189-Schema_v5!$C11)/(Schema_v5!$C12-Schema_v5!$C11)</f>
        <v/>
      </c>
      <c r="AY189">
        <f>(X189-Schema_v5!$C13)/(Schema_v5!$C14-Schema_v5!$C13)</f>
        <v/>
      </c>
    </row>
    <row r="190" ht="121.5" customHeight="1" s="10">
      <c r="A190" s="2" t="inlineStr">
        <is>
          <t>Q38_D</t>
        </is>
      </c>
      <c r="B190" s="2" t="n">
        <v>38</v>
      </c>
      <c r="C190" s="2" t="n">
        <v>38</v>
      </c>
      <c r="D190" s="2" t="inlineStr">
        <is>
          <t>Core</t>
        </is>
      </c>
      <c r="E190" s="2" t="n">
        <v>1.2</v>
      </c>
      <c r="F190" s="2" t="inlineStr">
        <is>
          <t>CommitmentPace</t>
        </is>
      </c>
      <c r="G190" s="2" t="inlineStr">
        <is>
          <t>IntentAlignment</t>
        </is>
      </c>
      <c r="H190" s="2" t="n"/>
      <c r="I190" s="2" t="inlineStr">
        <is>
          <t>D</t>
        </is>
      </c>
      <c r="J190" s="2" t="inlineStr">
        <is>
          <t>D</t>
        </is>
      </c>
      <c r="K190" s="2" t="inlineStr">
        <is>
          <t>I start thinking it's too good to be true. I wonder how long until they get tired of the real me.</t>
        </is>
      </c>
      <c r="L190" s="2" t="n">
        <v>5</v>
      </c>
      <c r="M190" s="2" t="n">
        <v>6</v>
      </c>
      <c r="N190" s="2" t="n">
        <v>2</v>
      </c>
      <c r="O190" s="2" t="n">
        <v>4</v>
      </c>
      <c r="P190" s="2" t="n">
        <v>2</v>
      </c>
      <c r="Q190" s="2" t="inlineStr">
        <is>
          <t>Phantom Seeker</t>
        </is>
      </c>
      <c r="R190" s="2" t="n">
        <v>10</v>
      </c>
      <c r="S190" s="2" t="n"/>
      <c r="T190" s="2" t="n"/>
      <c r="U190" s="2" t="n">
        <v>0</v>
      </c>
      <c r="V190" s="2" t="inlineStr">
        <is>
          <t>masc:-0.2;fem:1.5</t>
        </is>
      </c>
      <c r="W190" s="2" t="n">
        <v>-0.2</v>
      </c>
      <c r="X190" s="2" t="n">
        <v>1.5</v>
      </c>
      <c r="Y190" s="2" t="inlineStr">
        <is>
          <t>COMM_Emotional</t>
        </is>
      </c>
      <c r="Z190" s="2" t="inlineStr">
        <is>
          <t>REG_SelfSoother</t>
        </is>
      </c>
      <c r="AA190" s="2" t="inlineStr">
        <is>
          <t>LANG_Touch</t>
        </is>
      </c>
      <c r="AB190" s="2" t="inlineStr">
        <is>
          <t>Vulnerability_Loop</t>
        </is>
      </c>
      <c r="AC190" s="2" t="inlineStr">
        <is>
          <t>Vulnerability_Loop</t>
        </is>
      </c>
      <c r="AD190" s="2" t="n"/>
      <c r="AE190" s="2" t="n">
        <v>5</v>
      </c>
      <c r="AF190" s="2" t="inlineStr">
        <is>
          <t>impostor attachment</t>
        </is>
      </c>
      <c r="AG190" s="2" t="inlineStr">
        <is>
          <t>doubtful connector</t>
        </is>
      </c>
      <c r="AH190" s="2" t="n">
        <v>0</v>
      </c>
      <c r="AI190" s="2" t="inlineStr">
        <is>
          <t>yes</t>
        </is>
      </c>
      <c r="AJ190" s="2" t="inlineStr">
        <is>
          <t>no</t>
        </is>
      </c>
      <c r="AK190" s="2" t="inlineStr">
        <is>
          <t>yes</t>
        </is>
      </c>
      <c r="AL190" s="2" t="inlineStr">
        <is>
          <t>yes</t>
        </is>
      </c>
      <c r="AM190" s="2" t="n"/>
      <c r="AN190" s="2" t="n"/>
      <c r="AO190" s="2" t="n"/>
      <c r="AP190" s="2" t="inlineStr">
        <is>
          <t>v3_2026-03-19</t>
        </is>
      </c>
      <c r="AQ190">
        <f>(L190-Schema_v5!$C2)/(Schema_v5!$C3-Schema_v5!$C2)</f>
        <v/>
      </c>
      <c r="AR190">
        <f>(M190-Schema_v5!$C4)/(Schema_v5!$C5-Schema_v5!$C4)</f>
        <v/>
      </c>
      <c r="AS190">
        <f>N190/Schema_v5!$C6</f>
        <v/>
      </c>
      <c r="AT190">
        <f>O190/Schema_v5!$C7</f>
        <v/>
      </c>
      <c r="AU190">
        <f>P190/Schema_v5!$C8</f>
        <v/>
      </c>
      <c r="AV190">
        <f>IF(Schema_v5!$C9=0,0,AH190/Schema_v5!$C9)</f>
        <v/>
      </c>
      <c r="AW190">
        <f>IF(Schema_v5!$C10=0,0,AE190/Schema_v5!$C10)</f>
        <v/>
      </c>
      <c r="AX190">
        <f>(W190-Schema_v5!$C11)/(Schema_v5!$C12-Schema_v5!$C11)</f>
        <v/>
      </c>
      <c r="AY190">
        <f>(X190-Schema_v5!$C13)/(Schema_v5!$C14-Schema_v5!$C13)</f>
        <v/>
      </c>
    </row>
    <row r="191" ht="121.5" customHeight="1" s="10">
      <c r="A191" s="2" t="inlineStr">
        <is>
          <t>Q38_E</t>
        </is>
      </c>
      <c r="B191" s="2" t="n">
        <v>38</v>
      </c>
      <c r="C191" s="2" t="n">
        <v>38</v>
      </c>
      <c r="D191" s="2" t="inlineStr">
        <is>
          <t>Core</t>
        </is>
      </c>
      <c r="E191" s="2" t="n">
        <v>1.2</v>
      </c>
      <c r="F191" s="2" t="inlineStr">
        <is>
          <t>CommitmentPace</t>
        </is>
      </c>
      <c r="G191" s="2" t="inlineStr">
        <is>
          <t>IntentAlignment</t>
        </is>
      </c>
      <c r="H191" s="2" t="n"/>
      <c r="I191" s="2" t="inlineStr">
        <is>
          <t>E</t>
        </is>
      </c>
      <c r="J191" s="2" t="inlineStr">
        <is>
          <t>E</t>
        </is>
      </c>
      <c r="K191" s="2" t="inlineStr">
        <is>
          <t>I try to prove I'm worth staying for-get more helpful, more thoughtful, like I need to earn that kind of care.</t>
        </is>
      </c>
      <c r="L191" s="2" t="n">
        <v>5</v>
      </c>
      <c r="M191" s="2" t="n">
        <v>6</v>
      </c>
      <c r="N191" s="2" t="n">
        <v>4</v>
      </c>
      <c r="O191" s="2" t="n">
        <v>4</v>
      </c>
      <c r="P191" s="2" t="n">
        <v>4</v>
      </c>
      <c r="Q191" s="2" t="inlineStr">
        <is>
          <t>Fixer</t>
        </is>
      </c>
      <c r="R191" s="2" t="n">
        <v>5</v>
      </c>
      <c r="S191" s="2" t="n"/>
      <c r="T191" s="2" t="n"/>
      <c r="U191" s="2" t="n">
        <v>0</v>
      </c>
      <c r="V191" s="2" t="inlineStr">
        <is>
          <t>masc:-0.4;fem:2.0</t>
        </is>
      </c>
      <c r="W191" s="2" t="n">
        <v>-0.4</v>
      </c>
      <c r="X191" s="2" t="n">
        <v>2</v>
      </c>
      <c r="Y191" s="2" t="inlineStr">
        <is>
          <t>COMM_Emotional</t>
        </is>
      </c>
      <c r="Z191" s="2" t="inlineStr">
        <is>
          <t>REG_CoRegulator</t>
        </is>
      </c>
      <c r="AA191" s="2" t="inlineStr">
        <is>
          <t>LANG_Service</t>
        </is>
      </c>
      <c r="AB191" s="2" t="inlineStr">
        <is>
          <t>Vulnerability_Loop</t>
        </is>
      </c>
      <c r="AC191" s="2" t="inlineStr">
        <is>
          <t>Vulnerability_Loop</t>
        </is>
      </c>
      <c r="AD191" s="2" t="n"/>
      <c r="AE191" s="2" t="n">
        <v>5</v>
      </c>
      <c r="AF191" s="2" t="inlineStr">
        <is>
          <t>worth-proving reflex</t>
        </is>
      </c>
      <c r="AG191" s="2" t="inlineStr">
        <is>
          <t>service justifier</t>
        </is>
      </c>
      <c r="AH191" s="2" t="n">
        <v>0</v>
      </c>
      <c r="AI191" s="2" t="inlineStr">
        <is>
          <t>yes</t>
        </is>
      </c>
      <c r="AJ191" s="2" t="inlineStr">
        <is>
          <t>no</t>
        </is>
      </c>
      <c r="AK191" s="2" t="inlineStr">
        <is>
          <t>yes</t>
        </is>
      </c>
      <c r="AL191" s="2" t="inlineStr">
        <is>
          <t>yes</t>
        </is>
      </c>
      <c r="AM191" s="2" t="n"/>
      <c r="AN191" s="2" t="n"/>
      <c r="AO191" s="2" t="n"/>
      <c r="AP191" s="2" t="inlineStr">
        <is>
          <t>v3_2026-03-19</t>
        </is>
      </c>
      <c r="AQ191">
        <f>(L191-Schema_v5!$C2)/(Schema_v5!$C3-Schema_v5!$C2)</f>
        <v/>
      </c>
      <c r="AR191">
        <f>(M191-Schema_v5!$C4)/(Schema_v5!$C5-Schema_v5!$C4)</f>
        <v/>
      </c>
      <c r="AS191">
        <f>N191/Schema_v5!$C6</f>
        <v/>
      </c>
      <c r="AT191">
        <f>O191/Schema_v5!$C7</f>
        <v/>
      </c>
      <c r="AU191">
        <f>P191/Schema_v5!$C8</f>
        <v/>
      </c>
      <c r="AV191">
        <f>IF(Schema_v5!$C9=0,0,AH191/Schema_v5!$C9)</f>
        <v/>
      </c>
      <c r="AW191">
        <f>IF(Schema_v5!$C10=0,0,AE191/Schema_v5!$C10)</f>
        <v/>
      </c>
      <c r="AX191">
        <f>(W191-Schema_v5!$C11)/(Schema_v5!$C12-Schema_v5!$C11)</f>
        <v/>
      </c>
      <c r="AY191">
        <f>(X191-Schema_v5!$C13)/(Schema_v5!$C14-Schema_v5!$C13)</f>
        <v/>
      </c>
    </row>
    <row r="192" ht="135" customHeight="1" s="10">
      <c r="A192" s="2" t="inlineStr">
        <is>
          <t>Q39_A</t>
        </is>
      </c>
      <c r="B192" s="2" t="n">
        <v>39</v>
      </c>
      <c r="C192" s="2" t="n">
        <v>39</v>
      </c>
      <c r="D192" s="2" t="inlineStr">
        <is>
          <t>Core</t>
        </is>
      </c>
      <c r="E192" s="2" t="n">
        <v>1.2</v>
      </c>
      <c r="F192" s="2" t="inlineStr">
        <is>
          <t>CommitmentPace</t>
        </is>
      </c>
      <c r="G192" s="2" t="inlineStr">
        <is>
          <t>IntentAlignment</t>
        </is>
      </c>
      <c r="H192" s="2" t="inlineStr">
        <is>
          <t>Someone you care about starts spiraling emotionally-maybe crying, venting, or breaking down. What's your honest first instinct?</t>
        </is>
      </c>
      <c r="I192" s="2" t="inlineStr">
        <is>
          <t>A</t>
        </is>
      </c>
      <c r="J192" s="2" t="inlineStr">
        <is>
          <t>A</t>
        </is>
      </c>
      <c r="K192" s="2" t="inlineStr">
        <is>
          <t>I freeze a little. I care, but I don't always know what to do when it gets intense.</t>
        </is>
      </c>
      <c r="L192" s="2" t="n">
        <v>6</v>
      </c>
      <c r="M192" s="2" t="n">
        <v>7</v>
      </c>
      <c r="N192" s="2" t="n">
        <v>2</v>
      </c>
      <c r="O192" s="2" t="n">
        <v>2</v>
      </c>
      <c r="P192" s="2" t="n">
        <v>0</v>
      </c>
      <c r="Q192" s="2" t="inlineStr">
        <is>
          <t>Icebox</t>
        </is>
      </c>
      <c r="R192" s="2" t="n">
        <v>1</v>
      </c>
      <c r="S192" s="2" t="n"/>
      <c r="T192" s="2" t="n"/>
      <c r="U192" s="2" t="n">
        <v>0</v>
      </c>
      <c r="V192" s="2" t="inlineStr">
        <is>
          <t>masc:1.8;fem:-1.6</t>
        </is>
      </c>
      <c r="W192" s="2" t="n">
        <v>1.8</v>
      </c>
      <c r="X192" s="2" t="n">
        <v>-1.6</v>
      </c>
      <c r="Y192" s="2" t="inlineStr">
        <is>
          <t>COMM_Avoidant</t>
        </is>
      </c>
      <c r="Z192" s="2" t="inlineStr">
        <is>
          <t>REG_Suppressor</t>
        </is>
      </c>
      <c r="AA192" s="2" t="inlineStr">
        <is>
          <t>LANG_Time</t>
        </is>
      </c>
      <c r="AB192" s="2" t="inlineStr">
        <is>
          <t>Vulnerability_Loop</t>
        </is>
      </c>
      <c r="AC192" s="2" t="inlineStr">
        <is>
          <t>Vulnerability_Loop</t>
        </is>
      </c>
      <c r="AD192" s="2" t="n"/>
      <c r="AE192" s="2" t="n">
        <v>5</v>
      </c>
      <c r="AF192" s="2" t="inlineStr">
        <is>
          <t>empathic freeze response</t>
        </is>
      </c>
      <c r="AG192" s="2" t="inlineStr">
        <is>
          <t>unsure supporter</t>
        </is>
      </c>
      <c r="AH192" s="2" t="n">
        <v>0</v>
      </c>
      <c r="AI192" s="2" t="inlineStr">
        <is>
          <t>yes</t>
        </is>
      </c>
      <c r="AJ192" s="2" t="inlineStr">
        <is>
          <t>no</t>
        </is>
      </c>
      <c r="AK192" s="2" t="inlineStr">
        <is>
          <t>yes</t>
        </is>
      </c>
      <c r="AL192" s="2" t="inlineStr">
        <is>
          <t>yes</t>
        </is>
      </c>
      <c r="AM192" s="2" t="n"/>
      <c r="AN192" s="2" t="n"/>
      <c r="AO192" s="2" t="n"/>
      <c r="AP192" s="2" t="inlineStr">
        <is>
          <t>v3_2026-03-19</t>
        </is>
      </c>
      <c r="AQ192">
        <f>(L192-Schema_v5!$C2)/(Schema_v5!$C3-Schema_v5!$C2)</f>
        <v/>
      </c>
      <c r="AR192">
        <f>(M192-Schema_v5!$C4)/(Schema_v5!$C5-Schema_v5!$C4)</f>
        <v/>
      </c>
      <c r="AS192">
        <f>N192/Schema_v5!$C6</f>
        <v/>
      </c>
      <c r="AT192">
        <f>O192/Schema_v5!$C7</f>
        <v/>
      </c>
      <c r="AU192">
        <f>P192/Schema_v5!$C8</f>
        <v/>
      </c>
      <c r="AV192">
        <f>IF(Schema_v5!$C9=0,0,AH192/Schema_v5!$C9)</f>
        <v/>
      </c>
      <c r="AW192">
        <f>IF(Schema_v5!$C10=0,0,AE192/Schema_v5!$C10)</f>
        <v/>
      </c>
      <c r="AX192">
        <f>(W192-Schema_v5!$C11)/(Schema_v5!$C12-Schema_v5!$C11)</f>
        <v/>
      </c>
      <c r="AY192">
        <f>(X192-Schema_v5!$C13)/(Schema_v5!$C14-Schema_v5!$C13)</f>
        <v/>
      </c>
    </row>
    <row r="193" ht="108" customHeight="1" s="10">
      <c r="A193" s="2" t="inlineStr">
        <is>
          <t>Q39_B</t>
        </is>
      </c>
      <c r="B193" s="2" t="n">
        <v>39</v>
      </c>
      <c r="C193" s="2" t="n">
        <v>39</v>
      </c>
      <c r="D193" s="2" t="inlineStr">
        <is>
          <t>Core</t>
        </is>
      </c>
      <c r="E193" s="2" t="n">
        <v>1.2</v>
      </c>
      <c r="F193" s="2" t="inlineStr">
        <is>
          <t>CommitmentPace</t>
        </is>
      </c>
      <c r="G193" s="2" t="inlineStr">
        <is>
          <t>IntentAlignment</t>
        </is>
      </c>
      <c r="H193" s="2" t="n"/>
      <c r="I193" s="2" t="inlineStr">
        <is>
          <t>B</t>
        </is>
      </c>
      <c r="J193" s="2" t="inlineStr">
        <is>
          <t>B</t>
        </is>
      </c>
      <c r="K193" s="2" t="inlineStr">
        <is>
          <t>I jump into soothe mode-even if I'm overwhelmed too. I just want to make it stop for them.</t>
        </is>
      </c>
      <c r="L193" s="2" t="n">
        <v>8</v>
      </c>
      <c r="M193" s="2" t="n">
        <v>9</v>
      </c>
      <c r="N193" s="2" t="n">
        <v>8</v>
      </c>
      <c r="O193" s="2" t="n">
        <v>10</v>
      </c>
      <c r="P193" s="2" t="n">
        <v>8</v>
      </c>
      <c r="Q193" s="2" t="inlineStr">
        <is>
          <t>Fixer</t>
        </is>
      </c>
      <c r="R193" s="2" t="n">
        <v>5</v>
      </c>
      <c r="S193" s="2" t="n"/>
      <c r="T193" s="2" t="n"/>
      <c r="U193" s="2" t="n">
        <v>0</v>
      </c>
      <c r="V193" s="2" t="inlineStr">
        <is>
          <t>masc:-0.4;fem:2.0</t>
        </is>
      </c>
      <c r="W193" s="2" t="n">
        <v>-0.4</v>
      </c>
      <c r="X193" s="2" t="n">
        <v>2</v>
      </c>
      <c r="Y193" s="2" t="inlineStr">
        <is>
          <t>COMM_Emotional</t>
        </is>
      </c>
      <c r="Z193" s="2" t="inlineStr">
        <is>
          <t>REG_CoRegulator</t>
        </is>
      </c>
      <c r="AA193" s="2" t="inlineStr">
        <is>
          <t>LANG_Service</t>
        </is>
      </c>
      <c r="AB193" s="2" t="n"/>
      <c r="AC193" s="2" t="n"/>
      <c r="AD193" s="2" t="n"/>
      <c r="AE193" s="2" t="n">
        <v>0</v>
      </c>
      <c r="AF193" s="2" t="inlineStr">
        <is>
          <t>emotional rescue reflex</t>
        </is>
      </c>
      <c r="AG193" s="2" t="inlineStr">
        <is>
          <t>active comforter</t>
        </is>
      </c>
      <c r="AH193" s="2" t="n">
        <v>0</v>
      </c>
      <c r="AI193" s="2" t="inlineStr">
        <is>
          <t>no</t>
        </is>
      </c>
      <c r="AJ193" s="2" t="inlineStr">
        <is>
          <t>no</t>
        </is>
      </c>
      <c r="AK193" s="2" t="inlineStr">
        <is>
          <t>yes</t>
        </is>
      </c>
      <c r="AL193" s="2" t="inlineStr">
        <is>
          <t>yes</t>
        </is>
      </c>
      <c r="AM193" s="2" t="n"/>
      <c r="AN193" s="2" t="n"/>
      <c r="AO193" s="2" t="n"/>
      <c r="AP193" s="2" t="inlineStr">
        <is>
          <t>v3_2026-03-19</t>
        </is>
      </c>
      <c r="AQ193">
        <f>(L193-Schema_v5!$C2)/(Schema_v5!$C3-Schema_v5!$C2)</f>
        <v/>
      </c>
      <c r="AR193">
        <f>(M193-Schema_v5!$C4)/(Schema_v5!$C5-Schema_v5!$C4)</f>
        <v/>
      </c>
      <c r="AS193">
        <f>N193/Schema_v5!$C6</f>
        <v/>
      </c>
      <c r="AT193">
        <f>O193/Schema_v5!$C7</f>
        <v/>
      </c>
      <c r="AU193">
        <f>P193/Schema_v5!$C8</f>
        <v/>
      </c>
      <c r="AV193">
        <f>IF(Schema_v5!$C9=0,0,AH193/Schema_v5!$C9)</f>
        <v/>
      </c>
      <c r="AW193">
        <f>IF(Schema_v5!$C10=0,0,AE193/Schema_v5!$C10)</f>
        <v/>
      </c>
      <c r="AX193">
        <f>(W193-Schema_v5!$C11)/(Schema_v5!$C12-Schema_v5!$C11)</f>
        <v/>
      </c>
      <c r="AY193">
        <f>(X193-Schema_v5!$C13)/(Schema_v5!$C14-Schema_v5!$C13)</f>
        <v/>
      </c>
    </row>
    <row r="194" ht="148.5" customHeight="1" s="10">
      <c r="A194" s="2" t="inlineStr">
        <is>
          <t>Q39_C</t>
        </is>
      </c>
      <c r="B194" s="2" t="n">
        <v>39</v>
      </c>
      <c r="C194" s="2" t="n">
        <v>39</v>
      </c>
      <c r="D194" s="2" t="inlineStr">
        <is>
          <t>Core</t>
        </is>
      </c>
      <c r="E194" s="2" t="n">
        <v>1.2</v>
      </c>
      <c r="F194" s="2" t="inlineStr">
        <is>
          <t>CommitmentPace</t>
        </is>
      </c>
      <c r="G194" s="2" t="inlineStr">
        <is>
          <t>IntentAlignment</t>
        </is>
      </c>
      <c r="H194" s="2" t="n"/>
      <c r="I194" s="2" t="inlineStr">
        <is>
          <t>C</t>
        </is>
      </c>
      <c r="J194" s="2" t="inlineStr">
        <is>
          <t>C</t>
        </is>
      </c>
      <c r="K194" s="2" t="inlineStr">
        <is>
          <t>I try to keep my face calm while scanning for the root of what triggered it. I want to understand more than react.</t>
        </is>
      </c>
      <c r="L194" s="2" t="n">
        <v>8</v>
      </c>
      <c r="M194" s="2" t="n">
        <v>9</v>
      </c>
      <c r="N194" s="2" t="n">
        <v>8</v>
      </c>
      <c r="O194" s="2" t="n">
        <v>8</v>
      </c>
      <c r="P194" s="2" t="n">
        <v>8</v>
      </c>
      <c r="Q194" s="2" t="inlineStr">
        <is>
          <t>Analyzer</t>
        </is>
      </c>
      <c r="R194" s="2" t="n">
        <v>2</v>
      </c>
      <c r="S194" s="2" t="n"/>
      <c r="T194" s="2" t="n"/>
      <c r="U194" s="2" t="n">
        <v>0</v>
      </c>
      <c r="V194" s="2" t="inlineStr">
        <is>
          <t>masc:1.4;fem:0.1</t>
        </is>
      </c>
      <c r="W194" s="2" t="n">
        <v>1.4</v>
      </c>
      <c r="X194" s="2" t="n">
        <v>0.1</v>
      </c>
      <c r="Y194" s="2" t="inlineStr">
        <is>
          <t>COMM_Logical</t>
        </is>
      </c>
      <c r="Z194" s="2" t="inlineStr">
        <is>
          <t>REG_SelfSoother</t>
        </is>
      </c>
      <c r="AA194" s="2" t="inlineStr">
        <is>
          <t>LANG_Service</t>
        </is>
      </c>
      <c r="AB194" s="2" t="n"/>
      <c r="AC194" s="2" t="n"/>
      <c r="AD194" s="2" t="n"/>
      <c r="AE194" s="2" t="n">
        <v>0</v>
      </c>
      <c r="AF194" s="2" t="inlineStr">
        <is>
          <t>real-time emotional investigator</t>
        </is>
      </c>
      <c r="AG194" s="2" t="inlineStr">
        <is>
          <t>cause finder</t>
        </is>
      </c>
      <c r="AH194" s="2" t="n">
        <v>0</v>
      </c>
      <c r="AI194" s="2" t="inlineStr">
        <is>
          <t>no</t>
        </is>
      </c>
      <c r="AJ194" s="2" t="inlineStr">
        <is>
          <t>no</t>
        </is>
      </c>
      <c r="AK194" s="2" t="inlineStr">
        <is>
          <t>yes</t>
        </is>
      </c>
      <c r="AL194" s="2" t="inlineStr">
        <is>
          <t>yes</t>
        </is>
      </c>
      <c r="AM194" s="2" t="n"/>
      <c r="AN194" s="2" t="n"/>
      <c r="AO194" s="2" t="n"/>
      <c r="AP194" s="2" t="inlineStr">
        <is>
          <t>v3_2026-03-19</t>
        </is>
      </c>
      <c r="AQ194">
        <f>(L194-Schema_v5!$C2)/(Schema_v5!$C3-Schema_v5!$C2)</f>
        <v/>
      </c>
      <c r="AR194">
        <f>(M194-Schema_v5!$C4)/(Schema_v5!$C5-Schema_v5!$C4)</f>
        <v/>
      </c>
      <c r="AS194">
        <f>N194/Schema_v5!$C6</f>
        <v/>
      </c>
      <c r="AT194">
        <f>O194/Schema_v5!$C7</f>
        <v/>
      </c>
      <c r="AU194">
        <f>P194/Schema_v5!$C8</f>
        <v/>
      </c>
      <c r="AV194">
        <f>IF(Schema_v5!$C9=0,0,AH194/Schema_v5!$C9)</f>
        <v/>
      </c>
      <c r="AW194">
        <f>IF(Schema_v5!$C10=0,0,AE194/Schema_v5!$C10)</f>
        <v/>
      </c>
      <c r="AX194">
        <f>(W194-Schema_v5!$C11)/(Schema_v5!$C12-Schema_v5!$C11)</f>
        <v/>
      </c>
      <c r="AY194">
        <f>(X194-Schema_v5!$C13)/(Schema_v5!$C14-Schema_v5!$C13)</f>
        <v/>
      </c>
    </row>
    <row r="195" ht="148.5" customHeight="1" s="10">
      <c r="A195" s="2" t="inlineStr">
        <is>
          <t>Q39_D</t>
        </is>
      </c>
      <c r="B195" s="2" t="n">
        <v>39</v>
      </c>
      <c r="C195" s="2" t="n">
        <v>39</v>
      </c>
      <c r="D195" s="2" t="inlineStr">
        <is>
          <t>Core</t>
        </is>
      </c>
      <c r="E195" s="2" t="n">
        <v>1.2</v>
      </c>
      <c r="F195" s="2" t="inlineStr">
        <is>
          <t>CommitmentPace</t>
        </is>
      </c>
      <c r="G195" s="2" t="inlineStr">
        <is>
          <t>IntentAlignment</t>
        </is>
      </c>
      <c r="H195" s="2" t="n"/>
      <c r="I195" s="2" t="inlineStr">
        <is>
          <t>D</t>
        </is>
      </c>
      <c r="J195" s="2" t="inlineStr">
        <is>
          <t>D</t>
        </is>
      </c>
      <c r="K195" s="2" t="inlineStr">
        <is>
          <t>I stay with them, but I don't say much. I figure they'll talk when they're ready-I just try to hold space without pressure.</t>
        </is>
      </c>
      <c r="L195" s="2" t="n">
        <v>8</v>
      </c>
      <c r="M195" s="2" t="n">
        <v>9</v>
      </c>
      <c r="N195" s="2" t="n">
        <v>8</v>
      </c>
      <c r="O195" s="2" t="n">
        <v>8</v>
      </c>
      <c r="P195" s="2" t="n">
        <v>8</v>
      </c>
      <c r="Q195" s="2" t="inlineStr">
        <is>
          <t>Survivor</t>
        </is>
      </c>
      <c r="R195" s="2" t="n">
        <v>8</v>
      </c>
      <c r="S195" s="2" t="n"/>
      <c r="T195" s="2" t="n"/>
      <c r="U195" s="2" t="n">
        <v>0</v>
      </c>
      <c r="V195" s="2" t="inlineStr">
        <is>
          <t>masc:0.3;fem:1.3</t>
        </is>
      </c>
      <c r="W195" s="2" t="n">
        <v>0.3</v>
      </c>
      <c r="X195" s="2" t="n">
        <v>1.3</v>
      </c>
      <c r="Y195" s="2" t="inlineStr">
        <is>
          <t>COMM_Emotional</t>
        </is>
      </c>
      <c r="Z195" s="2" t="inlineStr">
        <is>
          <t>REG_SelfSoother</t>
        </is>
      </c>
      <c r="AA195" s="2" t="inlineStr">
        <is>
          <t>LANG_Service</t>
        </is>
      </c>
      <c r="AB195" s="2" t="n"/>
      <c r="AC195" s="2" t="n"/>
      <c r="AD195" s="2" t="n"/>
      <c r="AE195" s="2" t="n">
        <v>0</v>
      </c>
      <c r="AF195" s="2" t="inlineStr">
        <is>
          <t>quiet steady presence</t>
        </is>
      </c>
      <c r="AG195" s="2" t="inlineStr">
        <is>
          <t>silent anchor</t>
        </is>
      </c>
      <c r="AH195" s="2" t="n">
        <v>0.6</v>
      </c>
      <c r="AI195" s="2" t="inlineStr">
        <is>
          <t>no</t>
        </is>
      </c>
      <c r="AJ195" s="2" t="inlineStr">
        <is>
          <t>no</t>
        </is>
      </c>
      <c r="AK195" s="2" t="inlineStr">
        <is>
          <t>yes</t>
        </is>
      </c>
      <c r="AL195" s="2" t="inlineStr">
        <is>
          <t>yes</t>
        </is>
      </c>
      <c r="AM195" s="2" t="n"/>
      <c r="AN195" s="2" t="n"/>
      <c r="AO195" s="2" t="n"/>
      <c r="AP195" s="2" t="inlineStr">
        <is>
          <t>v3_2026-03-19</t>
        </is>
      </c>
      <c r="AQ195">
        <f>(L195-Schema_v5!$C2)/(Schema_v5!$C3-Schema_v5!$C2)</f>
        <v/>
      </c>
      <c r="AR195">
        <f>(M195-Schema_v5!$C4)/(Schema_v5!$C5-Schema_v5!$C4)</f>
        <v/>
      </c>
      <c r="AS195">
        <f>N195/Schema_v5!$C6</f>
        <v/>
      </c>
      <c r="AT195">
        <f>O195/Schema_v5!$C7</f>
        <v/>
      </c>
      <c r="AU195">
        <f>P195/Schema_v5!$C8</f>
        <v/>
      </c>
      <c r="AV195">
        <f>IF(Schema_v5!$C9=0,0,AH195/Schema_v5!$C9)</f>
        <v/>
      </c>
      <c r="AW195">
        <f>IF(Schema_v5!$C10=0,0,AE195/Schema_v5!$C10)</f>
        <v/>
      </c>
      <c r="AX195">
        <f>(W195-Schema_v5!$C11)/(Schema_v5!$C12-Schema_v5!$C11)</f>
        <v/>
      </c>
      <c r="AY195">
        <f>(X195-Schema_v5!$C13)/(Schema_v5!$C14-Schema_v5!$C13)</f>
        <v/>
      </c>
    </row>
    <row r="196" ht="121.5" customHeight="1" s="10">
      <c r="A196" s="2" t="inlineStr">
        <is>
          <t>Q39_E</t>
        </is>
      </c>
      <c r="B196" s="2" t="n">
        <v>39</v>
      </c>
      <c r="C196" s="2" t="n">
        <v>39</v>
      </c>
      <c r="D196" s="2" t="inlineStr">
        <is>
          <t>Core</t>
        </is>
      </c>
      <c r="E196" s="2" t="n">
        <v>1.2</v>
      </c>
      <c r="F196" s="2" t="inlineStr">
        <is>
          <t>CommitmentPace</t>
        </is>
      </c>
      <c r="G196" s="2" t="inlineStr">
        <is>
          <t>IntentAlignment</t>
        </is>
      </c>
      <c r="H196" s="2" t="n"/>
      <c r="I196" s="2" t="inlineStr">
        <is>
          <t>E</t>
        </is>
      </c>
      <c r="J196" s="2" t="inlineStr">
        <is>
          <t>E</t>
        </is>
      </c>
      <c r="K196" s="2" t="inlineStr">
        <is>
          <t>I redirect. Ask if they wanna get food or watch something-anything to ground them and shift the energy.</t>
        </is>
      </c>
      <c r="L196" s="2" t="n">
        <v>6</v>
      </c>
      <c r="M196" s="2" t="n">
        <v>7</v>
      </c>
      <c r="N196" s="2" t="n">
        <v>4</v>
      </c>
      <c r="O196" s="2" t="n">
        <v>4</v>
      </c>
      <c r="P196" s="2" t="n">
        <v>2</v>
      </c>
      <c r="Q196" s="2" t="inlineStr">
        <is>
          <t>Performer</t>
        </is>
      </c>
      <c r="R196" s="2" t="n">
        <v>7</v>
      </c>
      <c r="S196" s="2" t="n"/>
      <c r="T196" s="2" t="n"/>
      <c r="U196" s="2" t="n">
        <v>0</v>
      </c>
      <c r="V196" s="2" t="inlineStr">
        <is>
          <t>masc:0.3;fem:0.5</t>
        </is>
      </c>
      <c r="W196" s="2" t="n">
        <v>0.3</v>
      </c>
      <c r="X196" s="2" t="n">
        <v>0.5</v>
      </c>
      <c r="Y196" s="2" t="inlineStr">
        <is>
          <t>COMM_Indirect</t>
        </is>
      </c>
      <c r="Z196" s="2" t="inlineStr">
        <is>
          <t>REG_Distractor</t>
        </is>
      </c>
      <c r="AA196" s="2" t="inlineStr">
        <is>
          <t>LANG_Gifts</t>
        </is>
      </c>
      <c r="AB196" s="2" t="inlineStr">
        <is>
          <t>Conflict_Flip</t>
        </is>
      </c>
      <c r="AC196" s="2" t="inlineStr">
        <is>
          <t>Conflict_Flip</t>
        </is>
      </c>
      <c r="AD196" s="2" t="n"/>
      <c r="AE196" s="2" t="n">
        <v>4</v>
      </c>
      <c r="AF196" s="2" t="inlineStr">
        <is>
          <t>soothing through distraction</t>
        </is>
      </c>
      <c r="AG196" s="2" t="inlineStr">
        <is>
          <t>light energy shifter</t>
        </is>
      </c>
      <c r="AH196" s="2" t="n">
        <v>0</v>
      </c>
      <c r="AI196" s="2" t="inlineStr">
        <is>
          <t>yes</t>
        </is>
      </c>
      <c r="AJ196" s="2" t="inlineStr">
        <is>
          <t>no</t>
        </is>
      </c>
      <c r="AK196" s="2" t="inlineStr">
        <is>
          <t>yes</t>
        </is>
      </c>
      <c r="AL196" s="2" t="inlineStr">
        <is>
          <t>yes</t>
        </is>
      </c>
      <c r="AM196" s="2" t="n"/>
      <c r="AN196" s="2" t="n"/>
      <c r="AO196" s="2" t="n"/>
      <c r="AP196" s="2" t="inlineStr">
        <is>
          <t>v3_2026-03-19</t>
        </is>
      </c>
      <c r="AQ196">
        <f>(L196-Schema_v5!$C2)/(Schema_v5!$C3-Schema_v5!$C2)</f>
        <v/>
      </c>
      <c r="AR196">
        <f>(M196-Schema_v5!$C4)/(Schema_v5!$C5-Schema_v5!$C4)</f>
        <v/>
      </c>
      <c r="AS196">
        <f>N196/Schema_v5!$C6</f>
        <v/>
      </c>
      <c r="AT196">
        <f>O196/Schema_v5!$C7</f>
        <v/>
      </c>
      <c r="AU196">
        <f>P196/Schema_v5!$C8</f>
        <v/>
      </c>
      <c r="AV196">
        <f>IF(Schema_v5!$C9=0,0,AH196/Schema_v5!$C9)</f>
        <v/>
      </c>
      <c r="AW196">
        <f>IF(Schema_v5!$C10=0,0,AE196/Schema_v5!$C10)</f>
        <v/>
      </c>
      <c r="AX196">
        <f>(W196-Schema_v5!$C11)/(Schema_v5!$C12-Schema_v5!$C11)</f>
        <v/>
      </c>
      <c r="AY196">
        <f>(X196-Schema_v5!$C13)/(Schema_v5!$C14-Schema_v5!$C13)</f>
        <v/>
      </c>
    </row>
    <row r="197" ht="94.5" customHeight="1" s="10">
      <c r="A197" s="2" t="inlineStr">
        <is>
          <t>Q40_A</t>
        </is>
      </c>
      <c r="B197" s="2" t="n">
        <v>40</v>
      </c>
      <c r="C197" s="2" t="n">
        <v>40</v>
      </c>
      <c r="D197" s="2" t="inlineStr">
        <is>
          <t>Core</t>
        </is>
      </c>
      <c r="E197" s="2" t="n">
        <v>1.2</v>
      </c>
      <c r="F197" s="2" t="inlineStr">
        <is>
          <t>CommitmentPace</t>
        </is>
      </c>
      <c r="G197" s="2" t="inlineStr">
        <is>
          <t>IntentAlignment</t>
        </is>
      </c>
      <c r="H197" s="2" t="inlineStr">
        <is>
          <t>If you're being honest-what's usually the real reason you try to win someone over?</t>
        </is>
      </c>
      <c r="I197" s="2" t="inlineStr">
        <is>
          <t>A</t>
        </is>
      </c>
      <c r="J197" s="2" t="inlineStr">
        <is>
          <t>A</t>
        </is>
      </c>
      <c r="K197" s="2" t="inlineStr">
        <is>
          <t>To prove I'm wanted. If I'm chosen, it means I'm not as forgettable as I feel.</t>
        </is>
      </c>
      <c r="L197" s="2" t="n">
        <v>4</v>
      </c>
      <c r="M197" s="2" t="n">
        <v>5</v>
      </c>
      <c r="N197" s="2" t="n">
        <v>2</v>
      </c>
      <c r="O197" s="2" t="n">
        <v>2</v>
      </c>
      <c r="P197" s="2" t="n">
        <v>0</v>
      </c>
      <c r="Q197" s="2" t="inlineStr">
        <is>
          <t>Phantom Seeker</t>
        </is>
      </c>
      <c r="R197" s="2" t="n">
        <v>10</v>
      </c>
      <c r="S197" s="2" t="n"/>
      <c r="T197" s="2" t="n"/>
      <c r="U197" s="2" t="n">
        <v>0</v>
      </c>
      <c r="V197" s="2" t="inlineStr">
        <is>
          <t>masc:-0.2;fem:1.5</t>
        </is>
      </c>
      <c r="W197" s="2" t="n">
        <v>-0.2</v>
      </c>
      <c r="X197" s="2" t="n">
        <v>1.5</v>
      </c>
      <c r="Y197" s="2" t="inlineStr">
        <is>
          <t>COMM_Emotional</t>
        </is>
      </c>
      <c r="Z197" s="2" t="inlineStr">
        <is>
          <t>REG_SelfSoother</t>
        </is>
      </c>
      <c r="AA197" s="2" t="inlineStr">
        <is>
          <t>LANG_Touch</t>
        </is>
      </c>
      <c r="AB197" s="2" t="inlineStr">
        <is>
          <t>Vulnerability_Loop</t>
        </is>
      </c>
      <c r="AC197" s="2" t="inlineStr">
        <is>
          <t>Vulnerability_Loop</t>
        </is>
      </c>
      <c r="AD197" s="2" t="n"/>
      <c r="AE197" s="2" t="n">
        <v>5</v>
      </c>
      <c r="AF197" s="2" t="inlineStr">
        <is>
          <t>longing for proof</t>
        </is>
      </c>
      <c r="AG197" s="2" t="inlineStr">
        <is>
          <t>validation seeker</t>
        </is>
      </c>
      <c r="AH197" s="2" t="n">
        <v>0</v>
      </c>
      <c r="AI197" s="2" t="inlineStr">
        <is>
          <t>yes</t>
        </is>
      </c>
      <c r="AJ197" s="2" t="inlineStr">
        <is>
          <t>no</t>
        </is>
      </c>
      <c r="AK197" s="2" t="inlineStr">
        <is>
          <t>yes</t>
        </is>
      </c>
      <c r="AL197" s="2" t="inlineStr">
        <is>
          <t>yes</t>
        </is>
      </c>
      <c r="AM197" s="2" t="n"/>
      <c r="AN197" s="2" t="n"/>
      <c r="AO197" s="2" t="n"/>
      <c r="AP197" s="2" t="inlineStr">
        <is>
          <t>v3_2026-03-19</t>
        </is>
      </c>
      <c r="AQ197">
        <f>(L197-Schema_v5!$C2)/(Schema_v5!$C3-Schema_v5!$C2)</f>
        <v/>
      </c>
      <c r="AR197">
        <f>(M197-Schema_v5!$C4)/(Schema_v5!$C5-Schema_v5!$C4)</f>
        <v/>
      </c>
      <c r="AS197">
        <f>N197/Schema_v5!$C6</f>
        <v/>
      </c>
      <c r="AT197">
        <f>O197/Schema_v5!$C7</f>
        <v/>
      </c>
      <c r="AU197">
        <f>P197/Schema_v5!$C8</f>
        <v/>
      </c>
      <c r="AV197">
        <f>IF(Schema_v5!$C9=0,0,AH197/Schema_v5!$C9)</f>
        <v/>
      </c>
      <c r="AW197">
        <f>IF(Schema_v5!$C10=0,0,AE197/Schema_v5!$C10)</f>
        <v/>
      </c>
      <c r="AX197">
        <f>(W197-Schema_v5!$C11)/(Schema_v5!$C12-Schema_v5!$C11)</f>
        <v/>
      </c>
      <c r="AY197">
        <f>(X197-Schema_v5!$C13)/(Schema_v5!$C14-Schema_v5!$C13)</f>
        <v/>
      </c>
    </row>
    <row r="198" ht="94.5" customHeight="1" s="10">
      <c r="A198" s="2" t="inlineStr">
        <is>
          <t>Q40_B</t>
        </is>
      </c>
      <c r="B198" s="2" t="n">
        <v>40</v>
      </c>
      <c r="C198" s="2" t="n">
        <v>40</v>
      </c>
      <c r="D198" s="2" t="inlineStr">
        <is>
          <t>Core</t>
        </is>
      </c>
      <c r="E198" s="2" t="n">
        <v>1.2</v>
      </c>
      <c r="F198" s="2" t="inlineStr">
        <is>
          <t>CommitmentPace</t>
        </is>
      </c>
      <c r="G198" s="2" t="inlineStr">
        <is>
          <t>IntentAlignment</t>
        </is>
      </c>
      <c r="H198" s="2" t="n"/>
      <c r="I198" s="2" t="inlineStr">
        <is>
          <t>B</t>
        </is>
      </c>
      <c r="J198" s="2" t="inlineStr">
        <is>
          <t>B</t>
        </is>
      </c>
      <c r="K198" s="2" t="inlineStr">
        <is>
          <t>To stay in control. If I keep the upper hand, I can leave before I get left.</t>
        </is>
      </c>
      <c r="L198" s="2" t="n">
        <v>6</v>
      </c>
      <c r="M198" s="2" t="n">
        <v>7</v>
      </c>
      <c r="N198" s="2" t="n">
        <v>2</v>
      </c>
      <c r="O198" s="2" t="n">
        <v>2</v>
      </c>
      <c r="P198" s="2" t="n">
        <v>0</v>
      </c>
      <c r="Q198" s="2" t="inlineStr">
        <is>
          <t>Icebox</t>
        </is>
      </c>
      <c r="R198" s="2" t="n">
        <v>1</v>
      </c>
      <c r="S198" s="2" t="n"/>
      <c r="T198" s="2" t="n"/>
      <c r="U198" s="2" t="n">
        <v>0</v>
      </c>
      <c r="V198" s="2" t="inlineStr">
        <is>
          <t>masc:1.8;fem:-1.6</t>
        </is>
      </c>
      <c r="W198" s="2" t="n">
        <v>1.8</v>
      </c>
      <c r="X198" s="2" t="n">
        <v>-1.6</v>
      </c>
      <c r="Y198" s="2" t="inlineStr">
        <is>
          <t>COMM_Avoidant</t>
        </is>
      </c>
      <c r="Z198" s="2" t="inlineStr">
        <is>
          <t>REG_Suppressor</t>
        </is>
      </c>
      <c r="AA198" s="2" t="inlineStr">
        <is>
          <t>LANG_Time</t>
        </is>
      </c>
      <c r="AB198" s="2" t="inlineStr">
        <is>
          <t>Control_Avoidance</t>
        </is>
      </c>
      <c r="AC198" s="2" t="inlineStr">
        <is>
          <t>Control_Avoidance</t>
        </is>
      </c>
      <c r="AD198" s="2" t="n"/>
      <c r="AE198" s="2" t="n">
        <v>6</v>
      </c>
      <c r="AF198" s="2" t="inlineStr">
        <is>
          <t>power preservation pattern</t>
        </is>
      </c>
      <c r="AG198" s="2" t="inlineStr">
        <is>
          <t>emotional guard</t>
        </is>
      </c>
      <c r="AH198" s="2" t="n">
        <v>0</v>
      </c>
      <c r="AI198" s="2" t="inlineStr">
        <is>
          <t>yes</t>
        </is>
      </c>
      <c r="AJ198" s="2" t="inlineStr">
        <is>
          <t>no</t>
        </is>
      </c>
      <c r="AK198" s="2" t="inlineStr">
        <is>
          <t>yes</t>
        </is>
      </c>
      <c r="AL198" s="2" t="inlineStr">
        <is>
          <t>yes</t>
        </is>
      </c>
      <c r="AM198" s="2" t="n"/>
      <c r="AN198" s="2" t="n"/>
      <c r="AO198" s="2" t="n"/>
      <c r="AP198" s="2" t="inlineStr">
        <is>
          <t>v3_2026-03-19</t>
        </is>
      </c>
      <c r="AQ198">
        <f>(L198-Schema_v5!$C2)/(Schema_v5!$C3-Schema_v5!$C2)</f>
        <v/>
      </c>
      <c r="AR198">
        <f>(M198-Schema_v5!$C4)/(Schema_v5!$C5-Schema_v5!$C4)</f>
        <v/>
      </c>
      <c r="AS198">
        <f>N198/Schema_v5!$C6</f>
        <v/>
      </c>
      <c r="AT198">
        <f>O198/Schema_v5!$C7</f>
        <v/>
      </c>
      <c r="AU198">
        <f>P198/Schema_v5!$C8</f>
        <v/>
      </c>
      <c r="AV198">
        <f>IF(Schema_v5!$C9=0,0,AH198/Schema_v5!$C9)</f>
        <v/>
      </c>
      <c r="AW198">
        <f>IF(Schema_v5!$C10=0,0,AE198/Schema_v5!$C10)</f>
        <v/>
      </c>
      <c r="AX198">
        <f>(W198-Schema_v5!$C11)/(Schema_v5!$C12-Schema_v5!$C11)</f>
        <v/>
      </c>
      <c r="AY198">
        <f>(X198-Schema_v5!$C13)/(Schema_v5!$C14-Schema_v5!$C13)</f>
        <v/>
      </c>
    </row>
    <row r="199" ht="81" customHeight="1" s="10">
      <c r="A199" s="2" t="inlineStr">
        <is>
          <t>Q40_C</t>
        </is>
      </c>
      <c r="B199" s="2" t="n">
        <v>40</v>
      </c>
      <c r="C199" s="2" t="n">
        <v>40</v>
      </c>
      <c r="D199" s="2" t="inlineStr">
        <is>
          <t>Core</t>
        </is>
      </c>
      <c r="E199" s="2" t="n">
        <v>1.2</v>
      </c>
      <c r="F199" s="2" t="inlineStr">
        <is>
          <t>CommitmentPace</t>
        </is>
      </c>
      <c r="G199" s="2" t="inlineStr">
        <is>
          <t>IntentAlignment</t>
        </is>
      </c>
      <c r="H199" s="2" t="n"/>
      <c r="I199" s="2" t="inlineStr">
        <is>
          <t>C</t>
        </is>
      </c>
      <c r="J199" s="2" t="inlineStr">
        <is>
          <t>C</t>
        </is>
      </c>
      <c r="K199" s="2" t="inlineStr">
        <is>
          <t>To matter. If I'm helpful or healing, it gives me a reason to be kept around.</t>
        </is>
      </c>
      <c r="L199" s="2" t="n">
        <v>8</v>
      </c>
      <c r="M199" s="2" t="n">
        <v>9</v>
      </c>
      <c r="N199" s="2" t="n">
        <v>8</v>
      </c>
      <c r="O199" s="2" t="n">
        <v>10</v>
      </c>
      <c r="P199" s="2" t="n">
        <v>8</v>
      </c>
      <c r="Q199" s="2" t="inlineStr">
        <is>
          <t>Fixer</t>
        </is>
      </c>
      <c r="R199" s="2" t="n">
        <v>5</v>
      </c>
      <c r="S199" s="2" t="n"/>
      <c r="T199" s="2" t="n"/>
      <c r="U199" s="2" t="n">
        <v>0</v>
      </c>
      <c r="V199" s="2" t="inlineStr">
        <is>
          <t>masc:-0.4;fem:2.0</t>
        </is>
      </c>
      <c r="W199" s="2" t="n">
        <v>-0.4</v>
      </c>
      <c r="X199" s="2" t="n">
        <v>2</v>
      </c>
      <c r="Y199" s="2" t="inlineStr">
        <is>
          <t>COMM_Emotional</t>
        </is>
      </c>
      <c r="Z199" s="2" t="inlineStr">
        <is>
          <t>REG_CoRegulator</t>
        </is>
      </c>
      <c r="AA199" s="2" t="inlineStr">
        <is>
          <t>LANG_Service</t>
        </is>
      </c>
      <c r="AB199" s="2" t="n"/>
      <c r="AC199" s="2" t="n"/>
      <c r="AD199" s="2" t="n"/>
      <c r="AE199" s="2" t="n">
        <v>0</v>
      </c>
      <c r="AF199" s="2" t="inlineStr">
        <is>
          <t>value-by-function reflex</t>
        </is>
      </c>
      <c r="AG199" s="2" t="inlineStr">
        <is>
          <t>role fulfiller</t>
        </is>
      </c>
      <c r="AH199" s="2" t="n">
        <v>0</v>
      </c>
      <c r="AI199" s="2" t="inlineStr">
        <is>
          <t>no</t>
        </is>
      </c>
      <c r="AJ199" s="2" t="inlineStr">
        <is>
          <t>no</t>
        </is>
      </c>
      <c r="AK199" s="2" t="inlineStr">
        <is>
          <t>yes</t>
        </is>
      </c>
      <c r="AL199" s="2" t="inlineStr">
        <is>
          <t>yes</t>
        </is>
      </c>
      <c r="AM199" s="2" t="n"/>
      <c r="AN199" s="2" t="n"/>
      <c r="AO199" s="2" t="n"/>
      <c r="AP199" s="2" t="inlineStr">
        <is>
          <t>v3_2026-03-19</t>
        </is>
      </c>
      <c r="AQ199">
        <f>(L199-Schema_v5!$C2)/(Schema_v5!$C3-Schema_v5!$C2)</f>
        <v/>
      </c>
      <c r="AR199">
        <f>(M199-Schema_v5!$C4)/(Schema_v5!$C5-Schema_v5!$C4)</f>
        <v/>
      </c>
      <c r="AS199">
        <f>N199/Schema_v5!$C6</f>
        <v/>
      </c>
      <c r="AT199">
        <f>O199/Schema_v5!$C7</f>
        <v/>
      </c>
      <c r="AU199">
        <f>P199/Schema_v5!$C8</f>
        <v/>
      </c>
      <c r="AV199">
        <f>IF(Schema_v5!$C9=0,0,AH199/Schema_v5!$C9)</f>
        <v/>
      </c>
      <c r="AW199">
        <f>IF(Schema_v5!$C10=0,0,AE199/Schema_v5!$C10)</f>
        <v/>
      </c>
      <c r="AX199">
        <f>(W199-Schema_v5!$C11)/(Schema_v5!$C12-Schema_v5!$C11)</f>
        <v/>
      </c>
      <c r="AY199">
        <f>(X199-Schema_v5!$C13)/(Schema_v5!$C14-Schema_v5!$C13)</f>
        <v/>
      </c>
    </row>
    <row r="200" ht="94.5" customHeight="1" s="10">
      <c r="A200" s="2" t="inlineStr">
        <is>
          <t>Q40_D</t>
        </is>
      </c>
      <c r="B200" s="2" t="n">
        <v>40</v>
      </c>
      <c r="C200" s="2" t="n">
        <v>40</v>
      </c>
      <c r="D200" s="2" t="inlineStr">
        <is>
          <t>Core</t>
        </is>
      </c>
      <c r="E200" s="2" t="n">
        <v>1.2</v>
      </c>
      <c r="F200" s="2" t="inlineStr">
        <is>
          <t>CommitmentPace</t>
        </is>
      </c>
      <c r="G200" s="2" t="inlineStr">
        <is>
          <t>IntentAlignment</t>
        </is>
      </c>
      <c r="H200" s="2" t="n"/>
      <c r="I200" s="2" t="inlineStr">
        <is>
          <t>D</t>
        </is>
      </c>
      <c r="J200" s="2" t="inlineStr">
        <is>
          <t>D</t>
        </is>
      </c>
      <c r="K200" s="2" t="inlineStr">
        <is>
          <t>To finally feel safe. If someone sees me fully and stays, that rewrites everything.</t>
        </is>
      </c>
      <c r="L200" s="2" t="n">
        <v>9</v>
      </c>
      <c r="M200" s="2" t="n">
        <v>9</v>
      </c>
      <c r="N200" s="2" t="n">
        <v>8</v>
      </c>
      <c r="O200" s="2" t="n">
        <v>8</v>
      </c>
      <c r="P200" s="2" t="n">
        <v>6</v>
      </c>
      <c r="Q200" s="2" t="inlineStr">
        <is>
          <t>Romantic Idealist</t>
        </is>
      </c>
      <c r="R200" s="2" t="n">
        <v>6</v>
      </c>
      <c r="S200" s="2" t="n"/>
      <c r="T200" s="2" t="n"/>
      <c r="U200" s="2" t="n">
        <v>0</v>
      </c>
      <c r="V200" s="2" t="inlineStr">
        <is>
          <t>masc:-0.4;fem:1.5</t>
        </is>
      </c>
      <c r="W200" s="2" t="n">
        <v>-0.4</v>
      </c>
      <c r="X200" s="2" t="n">
        <v>1.5</v>
      </c>
      <c r="Y200" s="2" t="inlineStr">
        <is>
          <t>COMM_Emotional</t>
        </is>
      </c>
      <c r="Z200" s="2" t="inlineStr">
        <is>
          <t>REG_Distractor</t>
        </is>
      </c>
      <c r="AA200" s="2" t="inlineStr">
        <is>
          <t>LANG_Gifts</t>
        </is>
      </c>
      <c r="AB200" s="2" t="n"/>
      <c r="AC200" s="2" t="n"/>
      <c r="AD200" s="2" t="n"/>
      <c r="AE200" s="2" t="n">
        <v>0</v>
      </c>
      <c r="AF200" s="2" t="inlineStr">
        <is>
          <t>redemption arc seeker</t>
        </is>
      </c>
      <c r="AG200" s="2" t="inlineStr">
        <is>
          <t>trust rebuilder</t>
        </is>
      </c>
      <c r="AH200" s="2" t="n">
        <v>0</v>
      </c>
      <c r="AI200" s="2" t="inlineStr">
        <is>
          <t>no</t>
        </is>
      </c>
      <c r="AJ200" s="2" t="inlineStr">
        <is>
          <t>no</t>
        </is>
      </c>
      <c r="AK200" s="2" t="inlineStr">
        <is>
          <t>yes</t>
        </is>
      </c>
      <c r="AL200" s="2" t="inlineStr">
        <is>
          <t>yes</t>
        </is>
      </c>
      <c r="AM200" s="2" t="n"/>
      <c r="AN200" s="2" t="n"/>
      <c r="AO200" s="2" t="n"/>
      <c r="AP200" s="2" t="inlineStr">
        <is>
          <t>v3_2026-03-19</t>
        </is>
      </c>
      <c r="AQ200">
        <f>(L200-Schema_v5!$C2)/(Schema_v5!$C3-Schema_v5!$C2)</f>
        <v/>
      </c>
      <c r="AR200">
        <f>(M200-Schema_v5!$C4)/(Schema_v5!$C5-Schema_v5!$C4)</f>
        <v/>
      </c>
      <c r="AS200">
        <f>N200/Schema_v5!$C6</f>
        <v/>
      </c>
      <c r="AT200">
        <f>O200/Schema_v5!$C7</f>
        <v/>
      </c>
      <c r="AU200">
        <f>P200/Schema_v5!$C8</f>
        <v/>
      </c>
      <c r="AV200">
        <f>IF(Schema_v5!$C9=0,0,AH200/Schema_v5!$C9)</f>
        <v/>
      </c>
      <c r="AW200">
        <f>IF(Schema_v5!$C10=0,0,AE200/Schema_v5!$C10)</f>
        <v/>
      </c>
      <c r="AX200">
        <f>(W200-Schema_v5!$C11)/(Schema_v5!$C12-Schema_v5!$C11)</f>
        <v/>
      </c>
      <c r="AY200">
        <f>(X200-Schema_v5!$C13)/(Schema_v5!$C14-Schema_v5!$C13)</f>
        <v/>
      </c>
    </row>
    <row r="201" ht="121.5" customHeight="1" s="10">
      <c r="A201" s="2" t="inlineStr">
        <is>
          <t>Q40_E</t>
        </is>
      </c>
      <c r="B201" s="2" t="n">
        <v>40</v>
      </c>
      <c r="C201" s="2" t="n">
        <v>40</v>
      </c>
      <c r="D201" s="2" t="inlineStr">
        <is>
          <t>Core</t>
        </is>
      </c>
      <c r="E201" s="2" t="n">
        <v>1.2</v>
      </c>
      <c r="F201" s="2" t="inlineStr">
        <is>
          <t>CommitmentPace</t>
        </is>
      </c>
      <c r="G201" s="2" t="inlineStr">
        <is>
          <t>IntentAlignment</t>
        </is>
      </c>
      <c r="H201" s="2" t="n"/>
      <c r="I201" s="2" t="inlineStr">
        <is>
          <t>E</t>
        </is>
      </c>
      <c r="J201" s="2" t="inlineStr">
        <is>
          <t>E</t>
        </is>
      </c>
      <c r="K201" s="2" t="inlineStr">
        <is>
          <t>To be mirrored. If someone gets me and reflects me back clearly, that's where I feel most alive</t>
        </is>
      </c>
      <c r="L201" s="2" t="n">
        <v>9</v>
      </c>
      <c r="M201" s="2" t="n">
        <v>9</v>
      </c>
      <c r="N201" s="2" t="n">
        <v>10</v>
      </c>
      <c r="O201" s="2" t="n">
        <v>8</v>
      </c>
      <c r="P201" s="2" t="n">
        <v>8</v>
      </c>
      <c r="Q201" s="2" t="inlineStr">
        <is>
          <t>Analyzer</t>
        </is>
      </c>
      <c r="R201" s="2" t="n">
        <v>2</v>
      </c>
      <c r="S201" s="2" t="n"/>
      <c r="T201" s="2" t="n"/>
      <c r="U201" s="2" t="n">
        <v>0</v>
      </c>
      <c r="V201" s="2" t="inlineStr">
        <is>
          <t>masc:1.4;fem:0.1</t>
        </is>
      </c>
      <c r="W201" s="2" t="n">
        <v>1.4</v>
      </c>
      <c r="X201" s="2" t="n">
        <v>0.1</v>
      </c>
      <c r="Y201" s="2" t="inlineStr">
        <is>
          <t>COMM_Logical</t>
        </is>
      </c>
      <c r="Z201" s="2" t="inlineStr">
        <is>
          <t>REG_SelfSoother</t>
        </is>
      </c>
      <c r="AA201" s="2" t="inlineStr">
        <is>
          <t>LANG_Service</t>
        </is>
      </c>
      <c r="AB201" s="2" t="n"/>
      <c r="AC201" s="2" t="n"/>
      <c r="AD201" s="2" t="n"/>
      <c r="AE201" s="2" t="n">
        <v>0</v>
      </c>
      <c r="AF201" s="2" t="inlineStr">
        <is>
          <t>emotional validation logic</t>
        </is>
      </c>
      <c r="AG201" s="2" t="inlineStr">
        <is>
          <t>reflective bond seeker</t>
        </is>
      </c>
      <c r="AH201" s="2" t="n">
        <v>0</v>
      </c>
      <c r="AI201" s="2" t="inlineStr">
        <is>
          <t>no</t>
        </is>
      </c>
      <c r="AJ201" s="2" t="inlineStr">
        <is>
          <t>no</t>
        </is>
      </c>
      <c r="AK201" s="2" t="inlineStr">
        <is>
          <t>yes</t>
        </is>
      </c>
      <c r="AL201" s="2" t="inlineStr">
        <is>
          <t>yes</t>
        </is>
      </c>
      <c r="AM201" s="2" t="n"/>
      <c r="AN201" s="2" t="n"/>
      <c r="AO201" s="2" t="n"/>
      <c r="AP201" s="2" t="inlineStr">
        <is>
          <t>v3_2026-03-19</t>
        </is>
      </c>
      <c r="AQ201">
        <f>(L201-Schema_v5!$C2)/(Schema_v5!$C3-Schema_v5!$C2)</f>
        <v/>
      </c>
      <c r="AR201">
        <f>(M201-Schema_v5!$C4)/(Schema_v5!$C5-Schema_v5!$C4)</f>
        <v/>
      </c>
      <c r="AS201">
        <f>N201/Schema_v5!$C6</f>
        <v/>
      </c>
      <c r="AT201">
        <f>O201/Schema_v5!$C7</f>
        <v/>
      </c>
      <c r="AU201">
        <f>P201/Schema_v5!$C8</f>
        <v/>
      </c>
      <c r="AV201">
        <f>IF(Schema_v5!$C9=0,0,AH201/Schema_v5!$C9)</f>
        <v/>
      </c>
      <c r="AW201">
        <f>IF(Schema_v5!$C10=0,0,AE201/Schema_v5!$C10)</f>
        <v/>
      </c>
      <c r="AX201">
        <f>(W201-Schema_v5!$C11)/(Schema_v5!$C12-Schema_v5!$C11)</f>
        <v/>
      </c>
      <c r="AY201">
        <f>(X201-Schema_v5!$C13)/(Schema_v5!$C14-Schema_v5!$C13)</f>
        <v/>
      </c>
    </row>
    <row r="202" ht="94.5" customHeight="1" s="10">
      <c r="A202" s="2" t="inlineStr">
        <is>
          <t>Q41_A</t>
        </is>
      </c>
      <c r="B202" s="2" t="n">
        <v>41</v>
      </c>
      <c r="C202" s="2" t="n">
        <v>41</v>
      </c>
      <c r="D202" s="2" t="inlineStr">
        <is>
          <t>Core</t>
        </is>
      </c>
      <c r="E202" s="2" t="n">
        <v>1.3</v>
      </c>
      <c r="F202" s="2" t="inlineStr">
        <is>
          <t>EmotionalNeeds</t>
        </is>
      </c>
      <c r="G202" s="2" t="inlineStr">
        <is>
          <t>IntimacyThreshold</t>
        </is>
      </c>
      <c r="H202" s="2" t="inlineStr">
        <is>
          <t>You say you want connection, but what do you actually chase without realizing it?</t>
        </is>
      </c>
      <c r="I202" s="2" t="inlineStr">
        <is>
          <t>A</t>
        </is>
      </c>
      <c r="J202" s="2" t="inlineStr">
        <is>
          <t>A</t>
        </is>
      </c>
      <c r="K202" s="2" t="inlineStr">
        <is>
          <t>People who feel just out of reach. If it's too easy, I question it.</t>
        </is>
      </c>
      <c r="L202" s="2" t="n">
        <v>5</v>
      </c>
      <c r="M202" s="2" t="n">
        <v>6</v>
      </c>
      <c r="N202" s="2" t="n">
        <v>2</v>
      </c>
      <c r="O202" s="2" t="n">
        <v>4</v>
      </c>
      <c r="P202" s="2" t="n">
        <v>2</v>
      </c>
      <c r="Q202" s="2" t="inlineStr">
        <is>
          <t>Phantom Seeker</t>
        </is>
      </c>
      <c r="R202" s="2" t="n">
        <v>10</v>
      </c>
      <c r="S202" s="2" t="n"/>
      <c r="T202" s="2" t="n"/>
      <c r="U202" s="2" t="n">
        <v>0</v>
      </c>
      <c r="V202" s="2" t="inlineStr">
        <is>
          <t>masc:-0.2;fem:1.5</t>
        </is>
      </c>
      <c r="W202" s="2" t="n">
        <v>-0.2</v>
      </c>
      <c r="X202" s="2" t="n">
        <v>1.5</v>
      </c>
      <c r="Y202" s="2" t="inlineStr">
        <is>
          <t>COMM_Emotional</t>
        </is>
      </c>
      <c r="Z202" s="2" t="inlineStr">
        <is>
          <t>REG_SelfSoother</t>
        </is>
      </c>
      <c r="AA202" s="2" t="inlineStr">
        <is>
          <t>LANG_Touch</t>
        </is>
      </c>
      <c r="AB202" s="2" t="inlineStr">
        <is>
          <t>Vulnerability_Loop</t>
        </is>
      </c>
      <c r="AC202" s="2" t="inlineStr">
        <is>
          <t>Vulnerability_Loop</t>
        </is>
      </c>
      <c r="AD202" s="2" t="n"/>
      <c r="AE202" s="2" t="n">
        <v>5</v>
      </c>
      <c r="AF202" s="2" t="inlineStr">
        <is>
          <t>familiar distance</t>
        </is>
      </c>
      <c r="AG202" s="2" t="inlineStr">
        <is>
          <t>unattainable chaser</t>
        </is>
      </c>
      <c r="AH202" s="2" t="n">
        <v>0</v>
      </c>
      <c r="AI202" s="2" t="inlineStr">
        <is>
          <t>yes</t>
        </is>
      </c>
      <c r="AJ202" s="2" t="inlineStr">
        <is>
          <t>no</t>
        </is>
      </c>
      <c r="AK202" s="2" t="inlineStr">
        <is>
          <t>no</t>
        </is>
      </c>
      <c r="AL202" s="2" t="inlineStr">
        <is>
          <t>no</t>
        </is>
      </c>
      <c r="AM202" s="2" t="n"/>
      <c r="AN202" s="2" t="n"/>
      <c r="AO202" s="2" t="n"/>
      <c r="AP202" s="2" t="inlineStr">
        <is>
          <t>v3_2026-03-19</t>
        </is>
      </c>
      <c r="AQ202">
        <f>(L202-Schema_v5!$C2)/(Schema_v5!$C3-Schema_v5!$C2)</f>
        <v/>
      </c>
      <c r="AR202">
        <f>(M202-Schema_v5!$C4)/(Schema_v5!$C5-Schema_v5!$C4)</f>
        <v/>
      </c>
      <c r="AS202">
        <f>N202/Schema_v5!$C6</f>
        <v/>
      </c>
      <c r="AT202">
        <f>O202/Schema_v5!$C7</f>
        <v/>
      </c>
      <c r="AU202">
        <f>P202/Schema_v5!$C8</f>
        <v/>
      </c>
      <c r="AV202">
        <f>IF(Schema_v5!$C9=0,0,AH202/Schema_v5!$C9)</f>
        <v/>
      </c>
      <c r="AW202">
        <f>IF(Schema_v5!$C10=0,0,AE202/Schema_v5!$C10)</f>
        <v/>
      </c>
      <c r="AX202">
        <f>(W202-Schema_v5!$C11)/(Schema_v5!$C12-Schema_v5!$C11)</f>
        <v/>
      </c>
      <c r="AY202">
        <f>(X202-Schema_v5!$C13)/(Schema_v5!$C14-Schema_v5!$C13)</f>
        <v/>
      </c>
    </row>
    <row r="203" ht="108" customHeight="1" s="10">
      <c r="A203" s="2" t="inlineStr">
        <is>
          <t>Q41_B</t>
        </is>
      </c>
      <c r="B203" s="2" t="n">
        <v>41</v>
      </c>
      <c r="C203" s="2" t="n">
        <v>41</v>
      </c>
      <c r="D203" s="2" t="inlineStr">
        <is>
          <t>Core</t>
        </is>
      </c>
      <c r="E203" s="2" t="n">
        <v>1.3</v>
      </c>
      <c r="F203" s="2" t="inlineStr">
        <is>
          <t>EmotionalNeeds</t>
        </is>
      </c>
      <c r="G203" s="2" t="inlineStr">
        <is>
          <t>IntimacyThreshold</t>
        </is>
      </c>
      <c r="H203" s="2" t="n"/>
      <c r="I203" s="2" t="inlineStr">
        <is>
          <t>B</t>
        </is>
      </c>
      <c r="J203" s="2" t="inlineStr">
        <is>
          <t>B</t>
        </is>
      </c>
      <c r="K203" s="2" t="inlineStr">
        <is>
          <t>The ones who don't really need me. If I win them over, it means I'm finally enough.</t>
        </is>
      </c>
      <c r="L203" s="2" t="n">
        <v>6</v>
      </c>
      <c r="M203" s="2" t="n">
        <v>7</v>
      </c>
      <c r="N203" s="2" t="n">
        <v>4</v>
      </c>
      <c r="O203" s="2" t="n">
        <v>6</v>
      </c>
      <c r="P203" s="2" t="n">
        <v>4</v>
      </c>
      <c r="Q203" s="2" t="inlineStr">
        <is>
          <t>Fixer</t>
        </is>
      </c>
      <c r="R203" s="2" t="n">
        <v>5</v>
      </c>
      <c r="S203" s="2" t="n"/>
      <c r="T203" s="2" t="n"/>
      <c r="U203" s="2" t="n">
        <v>0</v>
      </c>
      <c r="V203" s="2" t="inlineStr">
        <is>
          <t>masc:-0.4;fem:2.0</t>
        </is>
      </c>
      <c r="W203" s="2" t="n">
        <v>-0.4</v>
      </c>
      <c r="X203" s="2" t="n">
        <v>2</v>
      </c>
      <c r="Y203" s="2" t="inlineStr">
        <is>
          <t>COMM_Emotional</t>
        </is>
      </c>
      <c r="Z203" s="2" t="inlineStr">
        <is>
          <t>REG_CoRegulator</t>
        </is>
      </c>
      <c r="AA203" s="2" t="inlineStr">
        <is>
          <t>LANG_Service</t>
        </is>
      </c>
      <c r="AB203" s="2" t="inlineStr">
        <is>
          <t>Vulnerability_Loop</t>
        </is>
      </c>
      <c r="AC203" s="2" t="inlineStr">
        <is>
          <t>Vulnerability_Loop</t>
        </is>
      </c>
      <c r="AD203" s="2" t="n"/>
      <c r="AE203" s="2" t="n">
        <v>5</v>
      </c>
      <c r="AF203" s="2" t="inlineStr">
        <is>
          <t>approval through resistance</t>
        </is>
      </c>
      <c r="AG203" s="2" t="inlineStr">
        <is>
          <t>fixer targeter</t>
        </is>
      </c>
      <c r="AH203" s="2" t="n">
        <v>0</v>
      </c>
      <c r="AI203" s="2" t="inlineStr">
        <is>
          <t>yes</t>
        </is>
      </c>
      <c r="AJ203" s="2" t="inlineStr">
        <is>
          <t>no</t>
        </is>
      </c>
      <c r="AK203" s="2" t="inlineStr">
        <is>
          <t>no</t>
        </is>
      </c>
      <c r="AL203" s="2" t="inlineStr">
        <is>
          <t>no</t>
        </is>
      </c>
      <c r="AM203" s="2" t="n"/>
      <c r="AN203" s="2" t="n"/>
      <c r="AO203" s="2" t="n"/>
      <c r="AP203" s="2" t="inlineStr">
        <is>
          <t>v3_2026-03-19</t>
        </is>
      </c>
      <c r="AQ203">
        <f>(L203-Schema_v5!$C2)/(Schema_v5!$C3-Schema_v5!$C2)</f>
        <v/>
      </c>
      <c r="AR203">
        <f>(M203-Schema_v5!$C4)/(Schema_v5!$C5-Schema_v5!$C4)</f>
        <v/>
      </c>
      <c r="AS203">
        <f>N203/Schema_v5!$C6</f>
        <v/>
      </c>
      <c r="AT203">
        <f>O203/Schema_v5!$C7</f>
        <v/>
      </c>
      <c r="AU203">
        <f>P203/Schema_v5!$C8</f>
        <v/>
      </c>
      <c r="AV203">
        <f>IF(Schema_v5!$C9=0,0,AH203/Schema_v5!$C9)</f>
        <v/>
      </c>
      <c r="AW203">
        <f>IF(Schema_v5!$C10=0,0,AE203/Schema_v5!$C10)</f>
        <v/>
      </c>
      <c r="AX203">
        <f>(W203-Schema_v5!$C11)/(Schema_v5!$C12-Schema_v5!$C11)</f>
        <v/>
      </c>
      <c r="AY203">
        <f>(X203-Schema_v5!$C13)/(Schema_v5!$C14-Schema_v5!$C13)</f>
        <v/>
      </c>
    </row>
    <row r="204" ht="94.5" customHeight="1" s="10">
      <c r="A204" s="2" t="inlineStr">
        <is>
          <t>Q41_C</t>
        </is>
      </c>
      <c r="B204" s="2" t="n">
        <v>41</v>
      </c>
      <c r="C204" s="2" t="n">
        <v>41</v>
      </c>
      <c r="D204" s="2" t="inlineStr">
        <is>
          <t>Core</t>
        </is>
      </c>
      <c r="E204" s="2" t="n">
        <v>1.3</v>
      </c>
      <c r="F204" s="2" t="inlineStr">
        <is>
          <t>EmotionalNeeds</t>
        </is>
      </c>
      <c r="G204" s="2" t="inlineStr">
        <is>
          <t>IntimacyThreshold</t>
        </is>
      </c>
      <c r="H204" s="2" t="n"/>
      <c r="I204" s="2" t="inlineStr">
        <is>
          <t>C</t>
        </is>
      </c>
      <c r="J204" s="2" t="inlineStr">
        <is>
          <t>C</t>
        </is>
      </c>
      <c r="K204" s="2" t="inlineStr">
        <is>
          <t>People who match my energy but not my depth. It lets me stay in control.</t>
        </is>
      </c>
      <c r="L204" s="2" t="n">
        <v>5</v>
      </c>
      <c r="M204" s="2" t="n">
        <v>6</v>
      </c>
      <c r="N204" s="2" t="n">
        <v>2</v>
      </c>
      <c r="O204" s="2" t="n">
        <v>2</v>
      </c>
      <c r="P204" s="2" t="n">
        <v>0</v>
      </c>
      <c r="Q204" s="2" t="inlineStr">
        <is>
          <t>Performer</t>
        </is>
      </c>
      <c r="R204" s="2" t="n">
        <v>7</v>
      </c>
      <c r="S204" s="2" t="n"/>
      <c r="T204" s="2" t="n"/>
      <c r="U204" s="2" t="n">
        <v>0</v>
      </c>
      <c r="V204" s="2" t="inlineStr">
        <is>
          <t>masc:0.3;fem:0.5</t>
        </is>
      </c>
      <c r="W204" s="2" t="n">
        <v>0.3</v>
      </c>
      <c r="X204" s="2" t="n">
        <v>0.5</v>
      </c>
      <c r="Y204" s="2" t="inlineStr">
        <is>
          <t>COMM_Indirect</t>
        </is>
      </c>
      <c r="Z204" s="2" t="inlineStr">
        <is>
          <t>REG_Distractor</t>
        </is>
      </c>
      <c r="AA204" s="2" t="inlineStr">
        <is>
          <t>LANG_Gifts</t>
        </is>
      </c>
      <c r="AB204" s="2" t="inlineStr">
        <is>
          <t>Control_Avoidance</t>
        </is>
      </c>
      <c r="AC204" s="2" t="inlineStr">
        <is>
          <t>Control_Avoidance</t>
        </is>
      </c>
      <c r="AD204" s="2" t="n"/>
      <c r="AE204" s="2" t="n">
        <v>6</v>
      </c>
      <c r="AF204" s="2" t="inlineStr">
        <is>
          <t>surface compatibility loop</t>
        </is>
      </c>
      <c r="AG204" s="2" t="inlineStr">
        <is>
          <t>vibe manager</t>
        </is>
      </c>
      <c r="AH204" s="2" t="n">
        <v>0</v>
      </c>
      <c r="AI204" s="2" t="inlineStr">
        <is>
          <t>yes</t>
        </is>
      </c>
      <c r="AJ204" s="2" t="inlineStr">
        <is>
          <t>no</t>
        </is>
      </c>
      <c r="AK204" s="2" t="inlineStr">
        <is>
          <t>no</t>
        </is>
      </c>
      <c r="AL204" s="2" t="inlineStr">
        <is>
          <t>no</t>
        </is>
      </c>
      <c r="AM204" s="2" t="n"/>
      <c r="AN204" s="2" t="n"/>
      <c r="AO204" s="2" t="n"/>
      <c r="AP204" s="2" t="inlineStr">
        <is>
          <t>v3_2026-03-19</t>
        </is>
      </c>
      <c r="AQ204">
        <f>(L204-Schema_v5!$C2)/(Schema_v5!$C3-Schema_v5!$C2)</f>
        <v/>
      </c>
      <c r="AR204">
        <f>(M204-Schema_v5!$C4)/(Schema_v5!$C5-Schema_v5!$C4)</f>
        <v/>
      </c>
      <c r="AS204">
        <f>N204/Schema_v5!$C6</f>
        <v/>
      </c>
      <c r="AT204">
        <f>O204/Schema_v5!$C7</f>
        <v/>
      </c>
      <c r="AU204">
        <f>P204/Schema_v5!$C8</f>
        <v/>
      </c>
      <c r="AV204">
        <f>IF(Schema_v5!$C9=0,0,AH204/Schema_v5!$C9)</f>
        <v/>
      </c>
      <c r="AW204">
        <f>IF(Schema_v5!$C10=0,0,AE204/Schema_v5!$C10)</f>
        <v/>
      </c>
      <c r="AX204">
        <f>(W204-Schema_v5!$C11)/(Schema_v5!$C12-Schema_v5!$C11)</f>
        <v/>
      </c>
      <c r="AY204">
        <f>(X204-Schema_v5!$C13)/(Schema_v5!$C14-Schema_v5!$C13)</f>
        <v/>
      </c>
    </row>
    <row r="205" ht="81" customHeight="1" s="10">
      <c r="A205" s="2" t="inlineStr">
        <is>
          <t>Q41_D</t>
        </is>
      </c>
      <c r="B205" s="2" t="n">
        <v>41</v>
      </c>
      <c r="C205" s="2" t="n">
        <v>41</v>
      </c>
      <c r="D205" s="2" t="inlineStr">
        <is>
          <t>Core</t>
        </is>
      </c>
      <c r="E205" s="2" t="n">
        <v>1.3</v>
      </c>
      <c r="F205" s="2" t="inlineStr">
        <is>
          <t>EmotionalNeeds</t>
        </is>
      </c>
      <c r="G205" s="2" t="inlineStr">
        <is>
          <t>IntimacyThreshold</t>
        </is>
      </c>
      <c r="H205" s="2" t="n"/>
      <c r="I205" s="2" t="inlineStr">
        <is>
          <t>D</t>
        </is>
      </c>
      <c r="J205" s="2" t="inlineStr">
        <is>
          <t>D</t>
        </is>
      </c>
      <c r="K205" s="2" t="inlineStr">
        <is>
          <t>Intellectual equals. If they can't meet me mentally, I lose interest, fast.</t>
        </is>
      </c>
      <c r="L205" s="2" t="n">
        <v>9</v>
      </c>
      <c r="M205" s="2" t="n">
        <v>9</v>
      </c>
      <c r="N205" s="2" t="n">
        <v>10</v>
      </c>
      <c r="O205" s="2" t="n">
        <v>8</v>
      </c>
      <c r="P205" s="2" t="n">
        <v>8</v>
      </c>
      <c r="Q205" s="2" t="inlineStr">
        <is>
          <t>Analyzer</t>
        </is>
      </c>
      <c r="R205" s="2" t="n">
        <v>2</v>
      </c>
      <c r="S205" s="2" t="n"/>
      <c r="T205" s="2" t="n"/>
      <c r="U205" s="2" t="n">
        <v>0</v>
      </c>
      <c r="V205" s="2" t="inlineStr">
        <is>
          <t>masc:1.4;fem:0.1</t>
        </is>
      </c>
      <c r="W205" s="2" t="n">
        <v>1.4</v>
      </c>
      <c r="X205" s="2" t="n">
        <v>0.1</v>
      </c>
      <c r="Y205" s="2" t="inlineStr">
        <is>
          <t>COMM_Logical</t>
        </is>
      </c>
      <c r="Z205" s="2" t="inlineStr">
        <is>
          <t>REG_SelfSoother</t>
        </is>
      </c>
      <c r="AA205" s="2" t="inlineStr">
        <is>
          <t>LANG_Service</t>
        </is>
      </c>
      <c r="AB205" s="2" t="n"/>
      <c r="AC205" s="2" t="n"/>
      <c r="AD205" s="2" t="n"/>
      <c r="AE205" s="2" t="n">
        <v>0</v>
      </c>
      <c r="AF205" s="2" t="inlineStr">
        <is>
          <t>mind-first filtering</t>
        </is>
      </c>
      <c r="AG205" s="2" t="inlineStr">
        <is>
          <t>cerebral matcher</t>
        </is>
      </c>
      <c r="AH205" s="2" t="n">
        <v>0</v>
      </c>
      <c r="AI205" s="2" t="inlineStr">
        <is>
          <t>no</t>
        </is>
      </c>
      <c r="AJ205" s="2" t="inlineStr">
        <is>
          <t>no</t>
        </is>
      </c>
      <c r="AK205" s="2" t="inlineStr">
        <is>
          <t>no</t>
        </is>
      </c>
      <c r="AL205" s="2" t="inlineStr">
        <is>
          <t>no</t>
        </is>
      </c>
      <c r="AM205" s="2" t="n"/>
      <c r="AN205" s="2" t="n"/>
      <c r="AO205" s="2" t="n"/>
      <c r="AP205" s="2" t="inlineStr">
        <is>
          <t>v3_2026-03-19</t>
        </is>
      </c>
      <c r="AQ205">
        <f>(L205-Schema_v5!$C2)/(Schema_v5!$C3-Schema_v5!$C2)</f>
        <v/>
      </c>
      <c r="AR205">
        <f>(M205-Schema_v5!$C4)/(Schema_v5!$C5-Schema_v5!$C4)</f>
        <v/>
      </c>
      <c r="AS205">
        <f>N205/Schema_v5!$C6</f>
        <v/>
      </c>
      <c r="AT205">
        <f>O205/Schema_v5!$C7</f>
        <v/>
      </c>
      <c r="AU205">
        <f>P205/Schema_v5!$C8</f>
        <v/>
      </c>
      <c r="AV205">
        <f>IF(Schema_v5!$C9=0,0,AH205/Schema_v5!$C9)</f>
        <v/>
      </c>
      <c r="AW205">
        <f>IF(Schema_v5!$C10=0,0,AE205/Schema_v5!$C10)</f>
        <v/>
      </c>
      <c r="AX205">
        <f>(W205-Schema_v5!$C11)/(Schema_v5!$C12-Schema_v5!$C11)</f>
        <v/>
      </c>
      <c r="AY205">
        <f>(X205-Schema_v5!$C13)/(Schema_v5!$C14-Schema_v5!$C13)</f>
        <v/>
      </c>
    </row>
    <row r="206" ht="108" customHeight="1" s="10">
      <c r="A206" s="2" t="inlineStr">
        <is>
          <t>Q41_E</t>
        </is>
      </c>
      <c r="B206" s="2" t="n">
        <v>41</v>
      </c>
      <c r="C206" s="2" t="n">
        <v>41</v>
      </c>
      <c r="D206" s="2" t="inlineStr">
        <is>
          <t>Core</t>
        </is>
      </c>
      <c r="E206" s="2" t="n">
        <v>1.3</v>
      </c>
      <c r="F206" s="2" t="inlineStr">
        <is>
          <t>EmotionalNeeds</t>
        </is>
      </c>
      <c r="G206" s="2" t="inlineStr">
        <is>
          <t>IntimacyThreshold</t>
        </is>
      </c>
      <c r="H206" s="2" t="n"/>
      <c r="I206" s="2" t="inlineStr">
        <is>
          <t>E</t>
        </is>
      </c>
      <c r="J206" s="2" t="inlineStr">
        <is>
          <t>E</t>
        </is>
      </c>
      <c r="K206" s="2" t="inlineStr">
        <is>
          <t>Safe people I don't fully open up to. That way, if they leave, they never really had me.</t>
        </is>
      </c>
      <c r="L206" s="2" t="n">
        <v>8</v>
      </c>
      <c r="M206" s="2" t="n">
        <v>8</v>
      </c>
      <c r="N206" s="2" t="n">
        <v>4</v>
      </c>
      <c r="O206" s="2" t="n">
        <v>4</v>
      </c>
      <c r="P206" s="2" t="n">
        <v>2</v>
      </c>
      <c r="Q206" s="2" t="inlineStr">
        <is>
          <t>Icebox</t>
        </is>
      </c>
      <c r="R206" s="2" t="n">
        <v>1</v>
      </c>
      <c r="S206" s="2" t="n"/>
      <c r="T206" s="2" t="n"/>
      <c r="U206" s="2" t="n">
        <v>0</v>
      </c>
      <c r="V206" s="2" t="inlineStr">
        <is>
          <t>masc:1.8;fem:-1.6</t>
        </is>
      </c>
      <c r="W206" s="2" t="n">
        <v>1.8</v>
      </c>
      <c r="X206" s="2" t="n">
        <v>-1.6</v>
      </c>
      <c r="Y206" s="2" t="inlineStr">
        <is>
          <t>COMM_Avoidant</t>
        </is>
      </c>
      <c r="Z206" s="2" t="inlineStr">
        <is>
          <t>REG_Suppressor</t>
        </is>
      </c>
      <c r="AA206" s="2" t="inlineStr">
        <is>
          <t>LANG_Time</t>
        </is>
      </c>
      <c r="AB206" s="2" t="n"/>
      <c r="AC206" s="2" t="n"/>
      <c r="AD206" s="2" t="n"/>
      <c r="AE206" s="2" t="n">
        <v>0</v>
      </c>
      <c r="AF206" s="2" t="inlineStr">
        <is>
          <t>emotional exit strategy</t>
        </is>
      </c>
      <c r="AG206" s="2" t="inlineStr">
        <is>
          <t>risk avoider</t>
        </is>
      </c>
      <c r="AH206" s="2" t="n">
        <v>0.2</v>
      </c>
      <c r="AI206" s="2" t="inlineStr">
        <is>
          <t>no</t>
        </is>
      </c>
      <c r="AJ206" s="2" t="inlineStr">
        <is>
          <t>no</t>
        </is>
      </c>
      <c r="AK206" s="2" t="inlineStr">
        <is>
          <t>no</t>
        </is>
      </c>
      <c r="AL206" s="2" t="inlineStr">
        <is>
          <t>no</t>
        </is>
      </c>
      <c r="AM206" s="2" t="n"/>
      <c r="AN206" s="2" t="n"/>
      <c r="AO206" s="2" t="n"/>
      <c r="AP206" s="2" t="inlineStr">
        <is>
          <t>v3_2026-03-19</t>
        </is>
      </c>
      <c r="AQ206">
        <f>(L206-Schema_v5!$C2)/(Schema_v5!$C3-Schema_v5!$C2)</f>
        <v/>
      </c>
      <c r="AR206">
        <f>(M206-Schema_v5!$C4)/(Schema_v5!$C5-Schema_v5!$C4)</f>
        <v/>
      </c>
      <c r="AS206">
        <f>N206/Schema_v5!$C6</f>
        <v/>
      </c>
      <c r="AT206">
        <f>O206/Schema_v5!$C7</f>
        <v/>
      </c>
      <c r="AU206">
        <f>P206/Schema_v5!$C8</f>
        <v/>
      </c>
      <c r="AV206">
        <f>IF(Schema_v5!$C9=0,0,AH206/Schema_v5!$C9)</f>
        <v/>
      </c>
      <c r="AW206">
        <f>IF(Schema_v5!$C10=0,0,AE206/Schema_v5!$C10)</f>
        <v/>
      </c>
      <c r="AX206">
        <f>(W206-Schema_v5!$C11)/(Schema_v5!$C12-Schema_v5!$C11)</f>
        <v/>
      </c>
      <c r="AY206">
        <f>(X206-Schema_v5!$C13)/(Schema_v5!$C14-Schema_v5!$C13)</f>
        <v/>
      </c>
    </row>
    <row r="207" ht="94.5" customHeight="1" s="10">
      <c r="A207" s="2" t="inlineStr">
        <is>
          <t>Q42_A</t>
        </is>
      </c>
      <c r="B207" s="2" t="n">
        <v>42</v>
      </c>
      <c r="C207" s="2" t="n">
        <v>42</v>
      </c>
      <c r="D207" s="2" t="inlineStr">
        <is>
          <t>Core</t>
        </is>
      </c>
      <c r="E207" s="2" t="n">
        <v>1.3</v>
      </c>
      <c r="F207" s="2" t="inlineStr">
        <is>
          <t>EmotionalNeeds</t>
        </is>
      </c>
      <c r="G207" s="2" t="inlineStr">
        <is>
          <t>IntimacyThreshold</t>
        </is>
      </c>
      <c r="H207" s="2" t="inlineStr">
        <is>
          <t>What part of your personality do you secretly think makes you harder to love?</t>
        </is>
      </c>
      <c r="I207" s="2" t="inlineStr">
        <is>
          <t>A</t>
        </is>
      </c>
      <c r="J207" s="2" t="inlineStr">
        <is>
          <t>A</t>
        </is>
      </c>
      <c r="K207" s="2" t="inlineStr">
        <is>
          <t>I don't let people in all the way. Even when I care, I keep a part of me tucked away.</t>
        </is>
      </c>
      <c r="L207" s="2" t="n">
        <v>7</v>
      </c>
      <c r="M207" s="2" t="n">
        <v>8</v>
      </c>
      <c r="N207" s="2" t="n">
        <v>4</v>
      </c>
      <c r="O207" s="2" t="n">
        <v>4</v>
      </c>
      <c r="P207" s="2" t="n">
        <v>0</v>
      </c>
      <c r="Q207" s="2" t="inlineStr">
        <is>
          <t>Icebox</t>
        </is>
      </c>
      <c r="R207" s="2" t="n">
        <v>1</v>
      </c>
      <c r="S207" s="2" t="n"/>
      <c r="T207" s="2" t="n"/>
      <c r="U207" s="2" t="n">
        <v>0</v>
      </c>
      <c r="V207" s="2" t="inlineStr">
        <is>
          <t>masc:1.8;fem:-1.6</t>
        </is>
      </c>
      <c r="W207" s="2" t="n">
        <v>1.8</v>
      </c>
      <c r="X207" s="2" t="n">
        <v>-1.6</v>
      </c>
      <c r="Y207" s="2" t="inlineStr">
        <is>
          <t>COMM_Avoidant</t>
        </is>
      </c>
      <c r="Z207" s="2" t="inlineStr">
        <is>
          <t>REG_Suppressor</t>
        </is>
      </c>
      <c r="AA207" s="2" t="inlineStr">
        <is>
          <t>LANG_Time</t>
        </is>
      </c>
      <c r="AB207" s="2" t="n"/>
      <c r="AC207" s="2" t="n"/>
      <c r="AD207" s="2" t="n"/>
      <c r="AE207" s="2" t="n">
        <v>0</v>
      </c>
      <c r="AF207" s="2" t="inlineStr">
        <is>
          <t>controlled vulnerability</t>
        </is>
      </c>
      <c r="AG207" s="2" t="inlineStr">
        <is>
          <t>emotional protector</t>
        </is>
      </c>
      <c r="AH207" s="2" t="n">
        <v>0</v>
      </c>
      <c r="AI207" s="2" t="inlineStr">
        <is>
          <t>no</t>
        </is>
      </c>
      <c r="AJ207" s="2" t="inlineStr">
        <is>
          <t>no</t>
        </is>
      </c>
      <c r="AK207" s="2" t="inlineStr">
        <is>
          <t>no</t>
        </is>
      </c>
      <c r="AL207" s="2" t="inlineStr">
        <is>
          <t>no</t>
        </is>
      </c>
      <c r="AM207" s="2" t="n"/>
      <c r="AN207" s="2" t="n"/>
      <c r="AO207" s="2" t="n"/>
      <c r="AP207" s="2" t="inlineStr">
        <is>
          <t>v3_2026-03-19</t>
        </is>
      </c>
      <c r="AQ207">
        <f>(L207-Schema_v5!$C2)/(Schema_v5!$C3-Schema_v5!$C2)</f>
        <v/>
      </c>
      <c r="AR207">
        <f>(M207-Schema_v5!$C4)/(Schema_v5!$C5-Schema_v5!$C4)</f>
        <v/>
      </c>
      <c r="AS207">
        <f>N207/Schema_v5!$C6</f>
        <v/>
      </c>
      <c r="AT207">
        <f>O207/Schema_v5!$C7</f>
        <v/>
      </c>
      <c r="AU207">
        <f>P207/Schema_v5!$C8</f>
        <v/>
      </c>
      <c r="AV207">
        <f>IF(Schema_v5!$C9=0,0,AH207/Schema_v5!$C9)</f>
        <v/>
      </c>
      <c r="AW207">
        <f>IF(Schema_v5!$C10=0,0,AE207/Schema_v5!$C10)</f>
        <v/>
      </c>
      <c r="AX207">
        <f>(W207-Schema_v5!$C11)/(Schema_v5!$C12-Schema_v5!$C11)</f>
        <v/>
      </c>
      <c r="AY207">
        <f>(X207-Schema_v5!$C13)/(Schema_v5!$C14-Schema_v5!$C13)</f>
        <v/>
      </c>
    </row>
    <row r="208" ht="94.5" customHeight="1" s="10">
      <c r="A208" s="2" t="inlineStr">
        <is>
          <t>Q42_B</t>
        </is>
      </c>
      <c r="B208" s="2" t="n">
        <v>42</v>
      </c>
      <c r="C208" s="2" t="n">
        <v>42</v>
      </c>
      <c r="D208" s="2" t="inlineStr">
        <is>
          <t>Core</t>
        </is>
      </c>
      <c r="E208" s="2" t="n">
        <v>1.3</v>
      </c>
      <c r="F208" s="2" t="inlineStr">
        <is>
          <t>EmotionalNeeds</t>
        </is>
      </c>
      <c r="G208" s="2" t="inlineStr">
        <is>
          <t>IntimacyThreshold</t>
        </is>
      </c>
      <c r="H208" s="2" t="n"/>
      <c r="I208" s="2" t="inlineStr">
        <is>
          <t>B</t>
        </is>
      </c>
      <c r="J208" s="2" t="inlineStr">
        <is>
          <t>B</t>
        </is>
      </c>
      <c r="K208" s="2" t="inlineStr">
        <is>
          <t>I overthink everything. Even when things are good, my mind finds the cracks.</t>
        </is>
      </c>
      <c r="L208" s="2" t="n">
        <v>6</v>
      </c>
      <c r="M208" s="2" t="n">
        <v>7</v>
      </c>
      <c r="N208" s="2" t="n">
        <v>4</v>
      </c>
      <c r="O208" s="2" t="n">
        <v>6</v>
      </c>
      <c r="P208" s="2" t="n">
        <v>4</v>
      </c>
      <c r="Q208" s="2" t="inlineStr">
        <is>
          <t>Analyzer</t>
        </is>
      </c>
      <c r="R208" s="2" t="n">
        <v>2</v>
      </c>
      <c r="S208" s="2" t="n"/>
      <c r="T208" s="2" t="n"/>
      <c r="U208" s="2" t="n">
        <v>0</v>
      </c>
      <c r="V208" s="2" t="inlineStr">
        <is>
          <t>masc:1.4;fem:0.1</t>
        </is>
      </c>
      <c r="W208" s="2" t="n">
        <v>1.4</v>
      </c>
      <c r="X208" s="2" t="n">
        <v>0.1</v>
      </c>
      <c r="Y208" s="2" t="inlineStr">
        <is>
          <t>COMM_Logical</t>
        </is>
      </c>
      <c r="Z208" s="2" t="inlineStr">
        <is>
          <t>REG_SelfSoother</t>
        </is>
      </c>
      <c r="AA208" s="2" t="inlineStr">
        <is>
          <t>LANG_Service</t>
        </is>
      </c>
      <c r="AB208" s="2" t="inlineStr">
        <is>
          <t>Vulnerability_Loop</t>
        </is>
      </c>
      <c r="AC208" s="2" t="inlineStr">
        <is>
          <t>Vulnerability_Loop</t>
        </is>
      </c>
      <c r="AD208" s="2" t="n"/>
      <c r="AE208" s="2" t="n">
        <v>5</v>
      </c>
      <c r="AF208" s="2" t="inlineStr">
        <is>
          <t>hyper-awareness loop</t>
        </is>
      </c>
      <c r="AG208" s="2" t="inlineStr">
        <is>
          <t>doubt scanner</t>
        </is>
      </c>
      <c r="AH208" s="2" t="n">
        <v>0</v>
      </c>
      <c r="AI208" s="2" t="inlineStr">
        <is>
          <t>yes</t>
        </is>
      </c>
      <c r="AJ208" s="2" t="inlineStr">
        <is>
          <t>no</t>
        </is>
      </c>
      <c r="AK208" s="2" t="inlineStr">
        <is>
          <t>no</t>
        </is>
      </c>
      <c r="AL208" s="2" t="inlineStr">
        <is>
          <t>no</t>
        </is>
      </c>
      <c r="AM208" s="2" t="n"/>
      <c r="AN208" s="2" t="n"/>
      <c r="AO208" s="2" t="n"/>
      <c r="AP208" s="2" t="inlineStr">
        <is>
          <t>v3_2026-03-19</t>
        </is>
      </c>
      <c r="AQ208">
        <f>(L208-Schema_v5!$C2)/(Schema_v5!$C3-Schema_v5!$C2)</f>
        <v/>
      </c>
      <c r="AR208">
        <f>(M208-Schema_v5!$C4)/(Schema_v5!$C5-Schema_v5!$C4)</f>
        <v/>
      </c>
      <c r="AS208">
        <f>N208/Schema_v5!$C6</f>
        <v/>
      </c>
      <c r="AT208">
        <f>O208/Schema_v5!$C7</f>
        <v/>
      </c>
      <c r="AU208">
        <f>P208/Schema_v5!$C8</f>
        <v/>
      </c>
      <c r="AV208">
        <f>IF(Schema_v5!$C9=0,0,AH208/Schema_v5!$C9)</f>
        <v/>
      </c>
      <c r="AW208">
        <f>IF(Schema_v5!$C10=0,0,AE208/Schema_v5!$C10)</f>
        <v/>
      </c>
      <c r="AX208">
        <f>(W208-Schema_v5!$C11)/(Schema_v5!$C12-Schema_v5!$C11)</f>
        <v/>
      </c>
      <c r="AY208">
        <f>(X208-Schema_v5!$C13)/(Schema_v5!$C14-Schema_v5!$C13)</f>
        <v/>
      </c>
    </row>
    <row r="209" ht="94.5" customHeight="1" s="10">
      <c r="A209" s="2" t="inlineStr">
        <is>
          <t>Q42_C</t>
        </is>
      </c>
      <c r="B209" s="2" t="n">
        <v>42</v>
      </c>
      <c r="C209" s="2" t="n">
        <v>42</v>
      </c>
      <c r="D209" s="2" t="inlineStr">
        <is>
          <t>Core</t>
        </is>
      </c>
      <c r="E209" s="2" t="n">
        <v>1.3</v>
      </c>
      <c r="F209" s="2" t="inlineStr">
        <is>
          <t>EmotionalNeeds</t>
        </is>
      </c>
      <c r="G209" s="2" t="inlineStr">
        <is>
          <t>IntimacyThreshold</t>
        </is>
      </c>
      <c r="H209" s="2" t="n"/>
      <c r="I209" s="2" t="inlineStr">
        <is>
          <t>C</t>
        </is>
      </c>
      <c r="J209" s="2" t="inlineStr">
        <is>
          <t>C</t>
        </is>
      </c>
      <c r="K209" s="2" t="inlineStr">
        <is>
          <t>I give too much. I show up too hard, too fast, and it never feels like it's enough.</t>
        </is>
      </c>
      <c r="L209" s="2" t="n">
        <v>6</v>
      </c>
      <c r="M209" s="2" t="n">
        <v>7</v>
      </c>
      <c r="N209" s="2" t="n">
        <v>4</v>
      </c>
      <c r="O209" s="2" t="n">
        <v>6</v>
      </c>
      <c r="P209" s="2" t="n">
        <v>4</v>
      </c>
      <c r="Q209" s="2" t="inlineStr">
        <is>
          <t>Fixer</t>
        </is>
      </c>
      <c r="R209" s="2" t="n">
        <v>5</v>
      </c>
      <c r="S209" s="2" t="n"/>
      <c r="T209" s="2" t="n"/>
      <c r="U209" s="2" t="n">
        <v>0</v>
      </c>
      <c r="V209" s="2" t="inlineStr">
        <is>
          <t>masc:-0.4;fem:2.0</t>
        </is>
      </c>
      <c r="W209" s="2" t="n">
        <v>-0.4</v>
      </c>
      <c r="X209" s="2" t="n">
        <v>2</v>
      </c>
      <c r="Y209" s="2" t="inlineStr">
        <is>
          <t>COMM_Emotional</t>
        </is>
      </c>
      <c r="Z209" s="2" t="inlineStr">
        <is>
          <t>REG_CoRegulator</t>
        </is>
      </c>
      <c r="AA209" s="2" t="inlineStr">
        <is>
          <t>LANG_Service</t>
        </is>
      </c>
      <c r="AB209" s="2" t="inlineStr">
        <is>
          <t>Vulnerability_Loop</t>
        </is>
      </c>
      <c r="AC209" s="2" t="inlineStr">
        <is>
          <t>Vulnerability_Loop</t>
        </is>
      </c>
      <c r="AD209" s="2" t="n"/>
      <c r="AE209" s="2" t="n">
        <v>5</v>
      </c>
      <c r="AF209" s="2" t="inlineStr">
        <is>
          <t>emotional overexertion</t>
        </is>
      </c>
      <c r="AG209" s="2" t="inlineStr">
        <is>
          <t>approval laborer</t>
        </is>
      </c>
      <c r="AH209" s="2" t="n">
        <v>0</v>
      </c>
      <c r="AI209" s="2" t="inlineStr">
        <is>
          <t>yes</t>
        </is>
      </c>
      <c r="AJ209" s="2" t="inlineStr">
        <is>
          <t>no</t>
        </is>
      </c>
      <c r="AK209" s="2" t="inlineStr">
        <is>
          <t>no</t>
        </is>
      </c>
      <c r="AL209" s="2" t="inlineStr">
        <is>
          <t>no</t>
        </is>
      </c>
      <c r="AM209" s="2" t="n"/>
      <c r="AN209" s="2" t="n"/>
      <c r="AO209" s="2" t="n"/>
      <c r="AP209" s="2" t="inlineStr">
        <is>
          <t>v3_2026-03-19</t>
        </is>
      </c>
      <c r="AQ209">
        <f>(L209-Schema_v5!$C2)/(Schema_v5!$C3-Schema_v5!$C2)</f>
        <v/>
      </c>
      <c r="AR209">
        <f>(M209-Schema_v5!$C4)/(Schema_v5!$C5-Schema_v5!$C4)</f>
        <v/>
      </c>
      <c r="AS209">
        <f>N209/Schema_v5!$C6</f>
        <v/>
      </c>
      <c r="AT209">
        <f>O209/Schema_v5!$C7</f>
        <v/>
      </c>
      <c r="AU209">
        <f>P209/Schema_v5!$C8</f>
        <v/>
      </c>
      <c r="AV209">
        <f>IF(Schema_v5!$C9=0,0,AH209/Schema_v5!$C9)</f>
        <v/>
      </c>
      <c r="AW209">
        <f>IF(Schema_v5!$C10=0,0,AE209/Schema_v5!$C10)</f>
        <v/>
      </c>
      <c r="AX209">
        <f>(W209-Schema_v5!$C11)/(Schema_v5!$C12-Schema_v5!$C11)</f>
        <v/>
      </c>
      <c r="AY209">
        <f>(X209-Schema_v5!$C13)/(Schema_v5!$C14-Schema_v5!$C13)</f>
        <v/>
      </c>
    </row>
    <row r="210" ht="148.5" customHeight="1" s="10">
      <c r="A210" s="2" t="inlineStr">
        <is>
          <t>Q42_D</t>
        </is>
      </c>
      <c r="B210" s="2" t="n">
        <v>42</v>
      </c>
      <c r="C210" s="2" t="n">
        <v>42</v>
      </c>
      <c r="D210" s="2" t="inlineStr">
        <is>
          <t>Core</t>
        </is>
      </c>
      <c r="E210" s="2" t="n">
        <v>1.3</v>
      </c>
      <c r="F210" s="2" t="inlineStr">
        <is>
          <t>EmotionalNeeds</t>
        </is>
      </c>
      <c r="G210" s="2" t="inlineStr">
        <is>
          <t>IntimacyThreshold</t>
        </is>
      </c>
      <c r="H210" s="2" t="n"/>
      <c r="I210" s="2" t="inlineStr">
        <is>
          <t>D</t>
        </is>
      </c>
      <c r="J210" s="2" t="inlineStr">
        <is>
          <t>D</t>
        </is>
      </c>
      <c r="K210" s="2" t="inlineStr">
        <is>
          <t>I second-guess my worth constantly. I know I come off cool, but underneath, I'm never really sure why anyone stays.</t>
        </is>
      </c>
      <c r="L210" s="2" t="n">
        <v>5</v>
      </c>
      <c r="M210" s="2" t="n">
        <v>6</v>
      </c>
      <c r="N210" s="2" t="n">
        <v>2</v>
      </c>
      <c r="O210" s="2" t="n">
        <v>4</v>
      </c>
      <c r="P210" s="2" t="n">
        <v>2</v>
      </c>
      <c r="Q210" s="2" t="inlineStr">
        <is>
          <t>Phantom Seeker</t>
        </is>
      </c>
      <c r="R210" s="2" t="n">
        <v>10</v>
      </c>
      <c r="S210" s="2" t="n"/>
      <c r="T210" s="2" t="n"/>
      <c r="U210" s="2" t="n">
        <v>0</v>
      </c>
      <c r="V210" s="2" t="inlineStr">
        <is>
          <t>masc:-0.2;fem:1.5</t>
        </is>
      </c>
      <c r="W210" s="2" t="n">
        <v>-0.2</v>
      </c>
      <c r="X210" s="2" t="n">
        <v>1.5</v>
      </c>
      <c r="Y210" s="2" t="inlineStr">
        <is>
          <t>COMM_Emotional</t>
        </is>
      </c>
      <c r="Z210" s="2" t="inlineStr">
        <is>
          <t>REG_SelfSoother</t>
        </is>
      </c>
      <c r="AA210" s="2" t="inlineStr">
        <is>
          <t>LANG_Touch</t>
        </is>
      </c>
      <c r="AB210" s="2" t="inlineStr">
        <is>
          <t>Vulnerability_Loop</t>
        </is>
      </c>
      <c r="AC210" s="2" t="inlineStr">
        <is>
          <t>Vulnerability_Loop</t>
        </is>
      </c>
      <c r="AD210" s="2" t="n"/>
      <c r="AE210" s="2" t="n">
        <v>5</v>
      </c>
      <c r="AF210" s="2" t="inlineStr">
        <is>
          <t>insecure core</t>
        </is>
      </c>
      <c r="AG210" s="2" t="inlineStr">
        <is>
          <t>internal doubter</t>
        </is>
      </c>
      <c r="AH210" s="2" t="n">
        <v>0.2</v>
      </c>
      <c r="AI210" s="2" t="inlineStr">
        <is>
          <t>yes</t>
        </is>
      </c>
      <c r="AJ210" s="2" t="inlineStr">
        <is>
          <t>no</t>
        </is>
      </c>
      <c r="AK210" s="2" t="inlineStr">
        <is>
          <t>no</t>
        </is>
      </c>
      <c r="AL210" s="2" t="inlineStr">
        <is>
          <t>no</t>
        </is>
      </c>
      <c r="AM210" s="2" t="n"/>
      <c r="AN210" s="2" t="n"/>
      <c r="AO210" s="2" t="n"/>
      <c r="AP210" s="2" t="inlineStr">
        <is>
          <t>v3_2026-03-19</t>
        </is>
      </c>
      <c r="AQ210">
        <f>(L210-Schema_v5!$C2)/(Schema_v5!$C3-Schema_v5!$C2)</f>
        <v/>
      </c>
      <c r="AR210">
        <f>(M210-Schema_v5!$C4)/(Schema_v5!$C5-Schema_v5!$C4)</f>
        <v/>
      </c>
      <c r="AS210">
        <f>N210/Schema_v5!$C6</f>
        <v/>
      </c>
      <c r="AT210">
        <f>O210/Schema_v5!$C7</f>
        <v/>
      </c>
      <c r="AU210">
        <f>P210/Schema_v5!$C8</f>
        <v/>
      </c>
      <c r="AV210">
        <f>IF(Schema_v5!$C9=0,0,AH210/Schema_v5!$C9)</f>
        <v/>
      </c>
      <c r="AW210">
        <f>IF(Schema_v5!$C10=0,0,AE210/Schema_v5!$C10)</f>
        <v/>
      </c>
      <c r="AX210">
        <f>(W210-Schema_v5!$C11)/(Schema_v5!$C12-Schema_v5!$C11)</f>
        <v/>
      </c>
      <c r="AY210">
        <f>(X210-Schema_v5!$C13)/(Schema_v5!$C14-Schema_v5!$C13)</f>
        <v/>
      </c>
    </row>
    <row r="211" ht="108" customHeight="1" s="10">
      <c r="A211" s="2" t="inlineStr">
        <is>
          <t>Q42_E</t>
        </is>
      </c>
      <c r="B211" s="2" t="n">
        <v>42</v>
      </c>
      <c r="C211" s="2" t="n">
        <v>42</v>
      </c>
      <c r="D211" s="2" t="inlineStr">
        <is>
          <t>Core</t>
        </is>
      </c>
      <c r="E211" s="2" t="n">
        <v>1.3</v>
      </c>
      <c r="F211" s="2" t="inlineStr">
        <is>
          <t>EmotionalNeeds</t>
        </is>
      </c>
      <c r="G211" s="2" t="inlineStr">
        <is>
          <t>IntimacyThreshold</t>
        </is>
      </c>
      <c r="H211" s="2" t="n"/>
      <c r="I211" s="2" t="inlineStr">
        <is>
          <t>E</t>
        </is>
      </c>
      <c r="J211" s="2" t="inlineStr">
        <is>
          <t>E</t>
        </is>
      </c>
      <c r="K211" s="2" t="inlineStr">
        <is>
          <t>I perform who I think they want, until I don't even know what the real version of me looks like</t>
        </is>
      </c>
      <c r="L211" s="2" t="n">
        <v>5</v>
      </c>
      <c r="M211" s="2" t="n">
        <v>6</v>
      </c>
      <c r="N211" s="2" t="n">
        <v>2</v>
      </c>
      <c r="O211" s="2" t="n">
        <v>2</v>
      </c>
      <c r="P211" s="2" t="n">
        <v>0</v>
      </c>
      <c r="Q211" s="2" t="inlineStr">
        <is>
          <t>Performer</t>
        </is>
      </c>
      <c r="R211" s="2" t="n">
        <v>7</v>
      </c>
      <c r="S211" s="2" t="n"/>
      <c r="T211" s="2" t="n"/>
      <c r="U211" s="2" t="n">
        <v>0</v>
      </c>
      <c r="V211" s="2" t="inlineStr">
        <is>
          <t>masc:0.3;fem:0.5</t>
        </is>
      </c>
      <c r="W211" s="2" t="n">
        <v>0.3</v>
      </c>
      <c r="X211" s="2" t="n">
        <v>0.5</v>
      </c>
      <c r="Y211" s="2" t="inlineStr">
        <is>
          <t>COMM_Indirect</t>
        </is>
      </c>
      <c r="Z211" s="2" t="inlineStr">
        <is>
          <t>REG_Distractor</t>
        </is>
      </c>
      <c r="AA211" s="2" t="inlineStr">
        <is>
          <t>LANG_Gifts</t>
        </is>
      </c>
      <c r="AB211" s="2" t="inlineStr">
        <is>
          <t>Vulnerability_Loop</t>
        </is>
      </c>
      <c r="AC211" s="2" t="inlineStr">
        <is>
          <t>Vulnerability_Loop</t>
        </is>
      </c>
      <c r="AD211" s="2" t="n"/>
      <c r="AE211" s="2" t="n">
        <v>5</v>
      </c>
      <c r="AF211" s="2" t="inlineStr">
        <is>
          <t>identity mirror complex</t>
        </is>
      </c>
      <c r="AG211" s="2" t="inlineStr">
        <is>
          <t>emotional mimic</t>
        </is>
      </c>
      <c r="AH211" s="2" t="n">
        <v>0</v>
      </c>
      <c r="AI211" s="2" t="inlineStr">
        <is>
          <t>yes</t>
        </is>
      </c>
      <c r="AJ211" s="2" t="inlineStr">
        <is>
          <t>no</t>
        </is>
      </c>
      <c r="AK211" s="2" t="inlineStr">
        <is>
          <t>no</t>
        </is>
      </c>
      <c r="AL211" s="2" t="inlineStr">
        <is>
          <t>no</t>
        </is>
      </c>
      <c r="AM211" s="2" t="n"/>
      <c r="AN211" s="2" t="n"/>
      <c r="AO211" s="2" t="n"/>
      <c r="AP211" s="2" t="inlineStr">
        <is>
          <t>v3_2026-03-19</t>
        </is>
      </c>
      <c r="AQ211">
        <f>(L211-Schema_v5!$C2)/(Schema_v5!$C3-Schema_v5!$C2)</f>
        <v/>
      </c>
      <c r="AR211">
        <f>(M211-Schema_v5!$C4)/(Schema_v5!$C5-Schema_v5!$C4)</f>
        <v/>
      </c>
      <c r="AS211">
        <f>N211/Schema_v5!$C6</f>
        <v/>
      </c>
      <c r="AT211">
        <f>O211/Schema_v5!$C7</f>
        <v/>
      </c>
      <c r="AU211">
        <f>P211/Schema_v5!$C8</f>
        <v/>
      </c>
      <c r="AV211">
        <f>IF(Schema_v5!$C9=0,0,AH211/Schema_v5!$C9)</f>
        <v/>
      </c>
      <c r="AW211">
        <f>IF(Schema_v5!$C10=0,0,AE211/Schema_v5!$C10)</f>
        <v/>
      </c>
      <c r="AX211">
        <f>(W211-Schema_v5!$C11)/(Schema_v5!$C12-Schema_v5!$C11)</f>
        <v/>
      </c>
      <c r="AY211">
        <f>(X211-Schema_v5!$C13)/(Schema_v5!$C14-Schema_v5!$C13)</f>
        <v/>
      </c>
    </row>
    <row r="212" ht="108" customHeight="1" s="10">
      <c r="A212" s="2" t="inlineStr">
        <is>
          <t>Q43_A</t>
        </is>
      </c>
      <c r="B212" s="2" t="n">
        <v>43</v>
      </c>
      <c r="C212" s="2" t="n">
        <v>43</v>
      </c>
      <c r="D212" s="2" t="inlineStr">
        <is>
          <t>Core</t>
        </is>
      </c>
      <c r="E212" s="2" t="n">
        <v>1.3</v>
      </c>
      <c r="F212" s="2" t="inlineStr">
        <is>
          <t>EmotionalNeeds</t>
        </is>
      </c>
      <c r="G212" s="2" t="inlineStr">
        <is>
          <t>IntimacyThreshold</t>
        </is>
      </c>
      <c r="H212" s="2" t="inlineStr">
        <is>
          <t>When things are actually going well with someone... what's the quiet fear you don't usually admit?</t>
        </is>
      </c>
      <c r="I212" s="2" t="inlineStr">
        <is>
          <t>A</t>
        </is>
      </c>
      <c r="J212" s="2" t="inlineStr">
        <is>
          <t>A</t>
        </is>
      </c>
      <c r="K212" s="2" t="inlineStr">
        <is>
          <t>They'll lose interest once they see the parts I keep hidden.</t>
        </is>
      </c>
      <c r="L212" s="2" t="n">
        <v>6</v>
      </c>
      <c r="M212" s="2" t="n">
        <v>7</v>
      </c>
      <c r="N212" s="2" t="n">
        <v>4</v>
      </c>
      <c r="O212" s="2" t="n">
        <v>4</v>
      </c>
      <c r="P212" s="2" t="n">
        <v>2</v>
      </c>
      <c r="Q212" s="2" t="inlineStr">
        <is>
          <t>Performer</t>
        </is>
      </c>
      <c r="R212" s="2" t="n">
        <v>7</v>
      </c>
      <c r="S212" s="2" t="n"/>
      <c r="T212" s="2" t="n"/>
      <c r="U212" s="2" t="n">
        <v>0</v>
      </c>
      <c r="V212" s="2" t="inlineStr">
        <is>
          <t>masc:0.3;fem:0.5</t>
        </is>
      </c>
      <c r="W212" s="2" t="n">
        <v>0.3</v>
      </c>
      <c r="X212" s="2" t="n">
        <v>0.5</v>
      </c>
      <c r="Y212" s="2" t="inlineStr">
        <is>
          <t>COMM_Indirect</t>
        </is>
      </c>
      <c r="Z212" s="2" t="inlineStr">
        <is>
          <t>REG_Distractor</t>
        </is>
      </c>
      <c r="AA212" s="2" t="inlineStr">
        <is>
          <t>LANG_Gifts</t>
        </is>
      </c>
      <c r="AB212" s="2" t="inlineStr">
        <is>
          <t>Vulnerability_Loop</t>
        </is>
      </c>
      <c r="AC212" s="2" t="inlineStr">
        <is>
          <t>Vulnerability_Loop</t>
        </is>
      </c>
      <c r="AD212" s="2" t="n"/>
      <c r="AE212" s="2" t="n">
        <v>5</v>
      </c>
      <c r="AF212" s="2" t="inlineStr">
        <is>
          <t>impostor connection fear</t>
        </is>
      </c>
      <c r="AG212" s="2" t="inlineStr">
        <is>
          <t>self-concealer</t>
        </is>
      </c>
      <c r="AH212" s="2" t="n">
        <v>0</v>
      </c>
      <c r="AI212" s="2" t="inlineStr">
        <is>
          <t>yes</t>
        </is>
      </c>
      <c r="AJ212" s="2" t="inlineStr">
        <is>
          <t>no</t>
        </is>
      </c>
      <c r="AK212" s="2" t="inlineStr">
        <is>
          <t>no</t>
        </is>
      </c>
      <c r="AL212" s="2" t="inlineStr">
        <is>
          <t>no</t>
        </is>
      </c>
      <c r="AM212" s="2" t="n"/>
      <c r="AN212" s="2" t="n"/>
      <c r="AO212" s="2" t="n"/>
      <c r="AP212" s="2" t="inlineStr">
        <is>
          <t>v3_2026-03-19</t>
        </is>
      </c>
      <c r="AQ212">
        <f>(L212-Schema_v5!$C2)/(Schema_v5!$C3-Schema_v5!$C2)</f>
        <v/>
      </c>
      <c r="AR212">
        <f>(M212-Schema_v5!$C4)/(Schema_v5!$C5-Schema_v5!$C4)</f>
        <v/>
      </c>
      <c r="AS212">
        <f>N212/Schema_v5!$C6</f>
        <v/>
      </c>
      <c r="AT212">
        <f>O212/Schema_v5!$C7</f>
        <v/>
      </c>
      <c r="AU212">
        <f>P212/Schema_v5!$C8</f>
        <v/>
      </c>
      <c r="AV212">
        <f>IF(Schema_v5!$C9=0,0,AH212/Schema_v5!$C9)</f>
        <v/>
      </c>
      <c r="AW212">
        <f>IF(Schema_v5!$C10=0,0,AE212/Schema_v5!$C10)</f>
        <v/>
      </c>
      <c r="AX212">
        <f>(W212-Schema_v5!$C11)/(Schema_v5!$C12-Schema_v5!$C11)</f>
        <v/>
      </c>
      <c r="AY212">
        <f>(X212-Schema_v5!$C13)/(Schema_v5!$C14-Schema_v5!$C13)</f>
        <v/>
      </c>
    </row>
    <row r="213" ht="68.25" customHeight="1" s="10">
      <c r="A213" s="2" t="inlineStr">
        <is>
          <t>Q43_B</t>
        </is>
      </c>
      <c r="B213" s="2" t="n">
        <v>43</v>
      </c>
      <c r="C213" s="2" t="n">
        <v>43</v>
      </c>
      <c r="D213" s="2" t="inlineStr">
        <is>
          <t>Core</t>
        </is>
      </c>
      <c r="E213" s="2" t="n">
        <v>1.3</v>
      </c>
      <c r="F213" s="2" t="inlineStr">
        <is>
          <t>EmotionalNeeds</t>
        </is>
      </c>
      <c r="G213" s="2" t="inlineStr">
        <is>
          <t>IntimacyThreshold</t>
        </is>
      </c>
      <c r="H213" s="2" t="n"/>
      <c r="I213" s="2" t="inlineStr">
        <is>
          <t>B</t>
        </is>
      </c>
      <c r="J213" s="2" t="inlineStr">
        <is>
          <t>B</t>
        </is>
      </c>
      <c r="K213" s="2" t="inlineStr">
        <is>
          <t>I'll mess it up by needing too much or being too sensitive.</t>
        </is>
      </c>
      <c r="L213" s="2" t="n">
        <v>5</v>
      </c>
      <c r="M213" s="2" t="n">
        <v>6</v>
      </c>
      <c r="N213" s="2" t="n">
        <v>2</v>
      </c>
      <c r="O213" s="2" t="n">
        <v>2</v>
      </c>
      <c r="P213" s="2" t="n">
        <v>2</v>
      </c>
      <c r="Q213" s="2" t="inlineStr">
        <is>
          <t>Phantom Seeker</t>
        </is>
      </c>
      <c r="R213" s="2" t="n">
        <v>10</v>
      </c>
      <c r="S213" s="2" t="n"/>
      <c r="T213" s="2" t="n"/>
      <c r="U213" s="2" t="n">
        <v>0</v>
      </c>
      <c r="V213" s="2" t="inlineStr">
        <is>
          <t>masc:-0.2;fem:1.5</t>
        </is>
      </c>
      <c r="W213" s="2" t="n">
        <v>-0.2</v>
      </c>
      <c r="X213" s="2" t="n">
        <v>1.5</v>
      </c>
      <c r="Y213" s="2" t="inlineStr">
        <is>
          <t>COMM_Emotional</t>
        </is>
      </c>
      <c r="Z213" s="2" t="inlineStr">
        <is>
          <t>REG_SelfSoother</t>
        </is>
      </c>
      <c r="AA213" s="2" t="inlineStr">
        <is>
          <t>LANG_Touch</t>
        </is>
      </c>
      <c r="AB213" s="2" t="inlineStr">
        <is>
          <t>Vulnerability_Loop</t>
        </is>
      </c>
      <c r="AC213" s="2" t="inlineStr">
        <is>
          <t>Vulnerability_Loop</t>
        </is>
      </c>
      <c r="AD213" s="2" t="n"/>
      <c r="AE213" s="2" t="n">
        <v>5</v>
      </c>
      <c r="AF213" s="2" t="inlineStr">
        <is>
          <t>shame-based worth doubt</t>
        </is>
      </c>
      <c r="AG213" s="2" t="inlineStr">
        <is>
          <t>emotional risk avoider</t>
        </is>
      </c>
      <c r="AH213" s="2" t="n">
        <v>0.6</v>
      </c>
      <c r="AI213" s="2" t="inlineStr">
        <is>
          <t>yes</t>
        </is>
      </c>
      <c r="AJ213" s="2" t="inlineStr">
        <is>
          <t>no</t>
        </is>
      </c>
      <c r="AK213" s="2" t="inlineStr">
        <is>
          <t>no</t>
        </is>
      </c>
      <c r="AL213" s="2" t="inlineStr">
        <is>
          <t>no</t>
        </is>
      </c>
      <c r="AM213" s="2" t="n"/>
      <c r="AN213" s="2" t="n"/>
      <c r="AO213" s="2" t="n"/>
      <c r="AP213" s="2" t="inlineStr">
        <is>
          <t>v3_2026-03-19</t>
        </is>
      </c>
      <c r="AQ213">
        <f>(L213-Schema_v5!$C2)/(Schema_v5!$C3-Schema_v5!$C2)</f>
        <v/>
      </c>
      <c r="AR213">
        <f>(M213-Schema_v5!$C4)/(Schema_v5!$C5-Schema_v5!$C4)</f>
        <v/>
      </c>
      <c r="AS213">
        <f>N213/Schema_v5!$C6</f>
        <v/>
      </c>
      <c r="AT213">
        <f>O213/Schema_v5!$C7</f>
        <v/>
      </c>
      <c r="AU213">
        <f>P213/Schema_v5!$C8</f>
        <v/>
      </c>
      <c r="AV213">
        <f>IF(Schema_v5!$C9=0,0,AH213/Schema_v5!$C9)</f>
        <v/>
      </c>
      <c r="AW213">
        <f>IF(Schema_v5!$C10=0,0,AE213/Schema_v5!$C10)</f>
        <v/>
      </c>
      <c r="AX213">
        <f>(W213-Schema_v5!$C11)/(Schema_v5!$C12-Schema_v5!$C11)</f>
        <v/>
      </c>
      <c r="AY213">
        <f>(X213-Schema_v5!$C13)/(Schema_v5!$C14-Schema_v5!$C13)</f>
        <v/>
      </c>
    </row>
    <row r="214" ht="81" customHeight="1" s="10">
      <c r="A214" s="2" t="inlineStr">
        <is>
          <t>Q43_C</t>
        </is>
      </c>
      <c r="B214" s="2" t="n">
        <v>43</v>
      </c>
      <c r="C214" s="2" t="n">
        <v>43</v>
      </c>
      <c r="D214" s="2" t="inlineStr">
        <is>
          <t>Core</t>
        </is>
      </c>
      <c r="E214" s="2" t="n">
        <v>1.3</v>
      </c>
      <c r="F214" s="2" t="inlineStr">
        <is>
          <t>EmotionalNeeds</t>
        </is>
      </c>
      <c r="G214" s="2" t="inlineStr">
        <is>
          <t>IntimacyThreshold</t>
        </is>
      </c>
      <c r="H214" s="2" t="n"/>
      <c r="I214" s="2" t="inlineStr">
        <is>
          <t>C</t>
        </is>
      </c>
      <c r="J214" s="2" t="inlineStr">
        <is>
          <t>C</t>
        </is>
      </c>
      <c r="K214" s="2" t="inlineStr">
        <is>
          <t>They'll depend on me too much, and I'll feel trapped again.</t>
        </is>
      </c>
      <c r="L214" s="2" t="n">
        <v>6</v>
      </c>
      <c r="M214" s="2" t="n">
        <v>7</v>
      </c>
      <c r="N214" s="2" t="n">
        <v>2</v>
      </c>
      <c r="O214" s="2" t="n">
        <v>2</v>
      </c>
      <c r="P214" s="2" t="n">
        <v>0</v>
      </c>
      <c r="Q214" s="2" t="inlineStr">
        <is>
          <t>Icebox</t>
        </is>
      </c>
      <c r="R214" s="2" t="n">
        <v>1</v>
      </c>
      <c r="S214" s="2" t="n"/>
      <c r="T214" s="2" t="n"/>
      <c r="U214" s="2" t="n">
        <v>0</v>
      </c>
      <c r="V214" s="2" t="inlineStr">
        <is>
          <t>masc:1.8;fem:-1.6</t>
        </is>
      </c>
      <c r="W214" s="2" t="n">
        <v>1.8</v>
      </c>
      <c r="X214" s="2" t="n">
        <v>-1.6</v>
      </c>
      <c r="Y214" s="2" t="inlineStr">
        <is>
          <t>COMM_Avoidant</t>
        </is>
      </c>
      <c r="Z214" s="2" t="inlineStr">
        <is>
          <t>REG_Suppressor</t>
        </is>
      </c>
      <c r="AA214" s="2" t="inlineStr">
        <is>
          <t>LANG_Time</t>
        </is>
      </c>
      <c r="AB214" s="2" t="inlineStr">
        <is>
          <t>Vulnerability_Loop</t>
        </is>
      </c>
      <c r="AC214" s="2" t="inlineStr">
        <is>
          <t>Vulnerability_Loop</t>
        </is>
      </c>
      <c r="AD214" s="2" t="n"/>
      <c r="AE214" s="2" t="n">
        <v>5</v>
      </c>
      <c r="AF214" s="2" t="inlineStr">
        <is>
          <t>fear of emotional containment</t>
        </is>
      </c>
      <c r="AG214" s="2" t="inlineStr">
        <is>
          <t>closeness resistor</t>
        </is>
      </c>
      <c r="AH214" s="2" t="n">
        <v>0</v>
      </c>
      <c r="AI214" s="2" t="inlineStr">
        <is>
          <t>yes</t>
        </is>
      </c>
      <c r="AJ214" s="2" t="inlineStr">
        <is>
          <t>no</t>
        </is>
      </c>
      <c r="AK214" s="2" t="inlineStr">
        <is>
          <t>no</t>
        </is>
      </c>
      <c r="AL214" s="2" t="inlineStr">
        <is>
          <t>no</t>
        </is>
      </c>
      <c r="AM214" s="2" t="n"/>
      <c r="AN214" s="2" t="n"/>
      <c r="AO214" s="2" t="n"/>
      <c r="AP214" s="2" t="inlineStr">
        <is>
          <t>v3_2026-03-19</t>
        </is>
      </c>
      <c r="AQ214">
        <f>(L214-Schema_v5!$C2)/(Schema_v5!$C3-Schema_v5!$C2)</f>
        <v/>
      </c>
      <c r="AR214">
        <f>(M214-Schema_v5!$C4)/(Schema_v5!$C5-Schema_v5!$C4)</f>
        <v/>
      </c>
      <c r="AS214">
        <f>N214/Schema_v5!$C6</f>
        <v/>
      </c>
      <c r="AT214">
        <f>O214/Schema_v5!$C7</f>
        <v/>
      </c>
      <c r="AU214">
        <f>P214/Schema_v5!$C8</f>
        <v/>
      </c>
      <c r="AV214">
        <f>IF(Schema_v5!$C9=0,0,AH214/Schema_v5!$C9)</f>
        <v/>
      </c>
      <c r="AW214">
        <f>IF(Schema_v5!$C10=0,0,AE214/Schema_v5!$C10)</f>
        <v/>
      </c>
      <c r="AX214">
        <f>(W214-Schema_v5!$C11)/(Schema_v5!$C12-Schema_v5!$C11)</f>
        <v/>
      </c>
      <c r="AY214">
        <f>(X214-Schema_v5!$C13)/(Schema_v5!$C14-Schema_v5!$C13)</f>
        <v/>
      </c>
    </row>
    <row r="215" ht="108" customHeight="1" s="10">
      <c r="A215" s="2" t="inlineStr">
        <is>
          <t>Q43_D</t>
        </is>
      </c>
      <c r="B215" s="2" t="n">
        <v>43</v>
      </c>
      <c r="C215" s="2" t="n">
        <v>43</v>
      </c>
      <c r="D215" s="2" t="inlineStr">
        <is>
          <t>Core</t>
        </is>
      </c>
      <c r="E215" s="2" t="n">
        <v>1.3</v>
      </c>
      <c r="F215" s="2" t="inlineStr">
        <is>
          <t>EmotionalNeeds</t>
        </is>
      </c>
      <c r="G215" s="2" t="inlineStr">
        <is>
          <t>IntimacyThreshold</t>
        </is>
      </c>
      <c r="H215" s="2" t="n"/>
      <c r="I215" s="2" t="inlineStr">
        <is>
          <t>D</t>
        </is>
      </c>
      <c r="J215" s="2" t="inlineStr">
        <is>
          <t>D</t>
        </is>
      </c>
      <c r="K215" s="2" t="inlineStr">
        <is>
          <t>It's not real. I assume it'll shift once they get comfortable. I just don't trust the early glow.</t>
        </is>
      </c>
      <c r="L215" s="2" t="n">
        <v>8</v>
      </c>
      <c r="M215" s="2" t="n">
        <v>9</v>
      </c>
      <c r="N215" s="2" t="n">
        <v>8</v>
      </c>
      <c r="O215" s="2" t="n">
        <v>8</v>
      </c>
      <c r="P215" s="2" t="n">
        <v>8</v>
      </c>
      <c r="Q215" s="2" t="inlineStr">
        <is>
          <t>Analyzer</t>
        </is>
      </c>
      <c r="R215" s="2" t="n">
        <v>2</v>
      </c>
      <c r="S215" s="2" t="n"/>
      <c r="T215" s="2" t="n"/>
      <c r="U215" s="2" t="n">
        <v>0</v>
      </c>
      <c r="V215" s="2" t="inlineStr">
        <is>
          <t>masc:1.4;fem:0.1</t>
        </is>
      </c>
      <c r="W215" s="2" t="n">
        <v>1.4</v>
      </c>
      <c r="X215" s="2" t="n">
        <v>0.1</v>
      </c>
      <c r="Y215" s="2" t="inlineStr">
        <is>
          <t>COMM_Logical</t>
        </is>
      </c>
      <c r="Z215" s="2" t="inlineStr">
        <is>
          <t>REG_SelfSoother</t>
        </is>
      </c>
      <c r="AA215" s="2" t="inlineStr">
        <is>
          <t>LANG_Service</t>
        </is>
      </c>
      <c r="AB215" s="2" t="n"/>
      <c r="AC215" s="2" t="n"/>
      <c r="AD215" s="2" t="n"/>
      <c r="AE215" s="2" t="n">
        <v>0</v>
      </c>
      <c r="AF215" s="2" t="inlineStr">
        <is>
          <t>anticipated disappointment</t>
        </is>
      </c>
      <c r="AG215" s="2" t="inlineStr">
        <is>
          <t>skepticism filter</t>
        </is>
      </c>
      <c r="AH215" s="2" t="n">
        <v>0</v>
      </c>
      <c r="AI215" s="2" t="inlineStr">
        <is>
          <t>no</t>
        </is>
      </c>
      <c r="AJ215" s="2" t="inlineStr">
        <is>
          <t>no</t>
        </is>
      </c>
      <c r="AK215" s="2" t="inlineStr">
        <is>
          <t>no</t>
        </is>
      </c>
      <c r="AL215" s="2" t="inlineStr">
        <is>
          <t>no</t>
        </is>
      </c>
      <c r="AM215" s="2" t="n"/>
      <c r="AN215" s="2" t="n"/>
      <c r="AO215" s="2" t="n"/>
      <c r="AP215" s="2" t="inlineStr">
        <is>
          <t>v3_2026-03-19</t>
        </is>
      </c>
      <c r="AQ215">
        <f>(L215-Schema_v5!$C2)/(Schema_v5!$C3-Schema_v5!$C2)</f>
        <v/>
      </c>
      <c r="AR215">
        <f>(M215-Schema_v5!$C4)/(Schema_v5!$C5-Schema_v5!$C4)</f>
        <v/>
      </c>
      <c r="AS215">
        <f>N215/Schema_v5!$C6</f>
        <v/>
      </c>
      <c r="AT215">
        <f>O215/Schema_v5!$C7</f>
        <v/>
      </c>
      <c r="AU215">
        <f>P215/Schema_v5!$C8</f>
        <v/>
      </c>
      <c r="AV215">
        <f>IF(Schema_v5!$C9=0,0,AH215/Schema_v5!$C9)</f>
        <v/>
      </c>
      <c r="AW215">
        <f>IF(Schema_v5!$C10=0,0,AE215/Schema_v5!$C10)</f>
        <v/>
      </c>
      <c r="AX215">
        <f>(W215-Schema_v5!$C11)/(Schema_v5!$C12-Schema_v5!$C11)</f>
        <v/>
      </c>
      <c r="AY215">
        <f>(X215-Schema_v5!$C13)/(Schema_v5!$C14-Schema_v5!$C13)</f>
        <v/>
      </c>
    </row>
    <row r="216" ht="121.5" customHeight="1" s="10">
      <c r="A216" s="2" t="inlineStr">
        <is>
          <t>Q43_E</t>
        </is>
      </c>
      <c r="B216" s="2" t="n">
        <v>43</v>
      </c>
      <c r="C216" s="2" t="n">
        <v>43</v>
      </c>
      <c r="D216" s="2" t="inlineStr">
        <is>
          <t>Core</t>
        </is>
      </c>
      <c r="E216" s="2" t="n">
        <v>1.3</v>
      </c>
      <c r="F216" s="2" t="inlineStr">
        <is>
          <t>EmotionalNeeds</t>
        </is>
      </c>
      <c r="G216" s="2" t="inlineStr">
        <is>
          <t>IntimacyThreshold</t>
        </is>
      </c>
      <c r="H216" s="2" t="n"/>
      <c r="I216" s="2" t="inlineStr">
        <is>
          <t>E</t>
        </is>
      </c>
      <c r="J216" s="2" t="inlineStr">
        <is>
          <t>E</t>
        </is>
      </c>
      <c r="K216" s="2" t="inlineStr">
        <is>
          <t>They'll ask me to slow down, and I won't know how. I fall hard and then wonder why they didn't catch me.</t>
        </is>
      </c>
      <c r="L216" s="2" t="n">
        <v>7</v>
      </c>
      <c r="M216" s="2" t="n">
        <v>8</v>
      </c>
      <c r="N216" s="2" t="n">
        <v>6</v>
      </c>
      <c r="O216" s="2" t="n">
        <v>8</v>
      </c>
      <c r="P216" s="2" t="n">
        <v>6</v>
      </c>
      <c r="Q216" s="2" t="inlineStr">
        <is>
          <t>Fixer</t>
        </is>
      </c>
      <c r="R216" s="2" t="n">
        <v>5</v>
      </c>
      <c r="S216" s="2" t="n"/>
      <c r="T216" s="2" t="n"/>
      <c r="U216" s="2" t="n">
        <v>0</v>
      </c>
      <c r="V216" s="2" t="inlineStr">
        <is>
          <t>masc:-0.4;fem:2.0</t>
        </is>
      </c>
      <c r="W216" s="2" t="n">
        <v>-0.4</v>
      </c>
      <c r="X216" s="2" t="n">
        <v>2</v>
      </c>
      <c r="Y216" s="2" t="inlineStr">
        <is>
          <t>COMM_Emotional</t>
        </is>
      </c>
      <c r="Z216" s="2" t="inlineStr">
        <is>
          <t>REG_CoRegulator</t>
        </is>
      </c>
      <c r="AA216" s="2" t="inlineStr">
        <is>
          <t>LANG_Service</t>
        </is>
      </c>
      <c r="AB216" s="2" t="n"/>
      <c r="AC216" s="2" t="n"/>
      <c r="AD216" s="2" t="n"/>
      <c r="AE216" s="2" t="n">
        <v>0</v>
      </c>
      <c r="AF216" s="2" t="inlineStr">
        <is>
          <t>speed of love fear</t>
        </is>
      </c>
      <c r="AG216" s="2" t="inlineStr">
        <is>
          <t>fast feeler</t>
        </is>
      </c>
      <c r="AH216" s="2" t="n">
        <v>0</v>
      </c>
      <c r="AI216" s="2" t="inlineStr">
        <is>
          <t>no</t>
        </is>
      </c>
      <c r="AJ216" s="2" t="inlineStr">
        <is>
          <t>no</t>
        </is>
      </c>
      <c r="AK216" s="2" t="inlineStr">
        <is>
          <t>no</t>
        </is>
      </c>
      <c r="AL216" s="2" t="inlineStr">
        <is>
          <t>no</t>
        </is>
      </c>
      <c r="AM216" s="2" t="n"/>
      <c r="AN216" s="2" t="n"/>
      <c r="AO216" s="2" t="n"/>
      <c r="AP216" s="2" t="inlineStr">
        <is>
          <t>v3_2026-03-19</t>
        </is>
      </c>
      <c r="AQ216">
        <f>(L216-Schema_v5!$C2)/(Schema_v5!$C3-Schema_v5!$C2)</f>
        <v/>
      </c>
      <c r="AR216">
        <f>(M216-Schema_v5!$C4)/(Schema_v5!$C5-Schema_v5!$C4)</f>
        <v/>
      </c>
      <c r="AS216">
        <f>N216/Schema_v5!$C6</f>
        <v/>
      </c>
      <c r="AT216">
        <f>O216/Schema_v5!$C7</f>
        <v/>
      </c>
      <c r="AU216">
        <f>P216/Schema_v5!$C8</f>
        <v/>
      </c>
      <c r="AV216">
        <f>IF(Schema_v5!$C9=0,0,AH216/Schema_v5!$C9)</f>
        <v/>
      </c>
      <c r="AW216">
        <f>IF(Schema_v5!$C10=0,0,AE216/Schema_v5!$C10)</f>
        <v/>
      </c>
      <c r="AX216">
        <f>(W216-Schema_v5!$C11)/(Schema_v5!$C12-Schema_v5!$C11)</f>
        <v/>
      </c>
      <c r="AY216">
        <f>(X216-Schema_v5!$C13)/(Schema_v5!$C14-Schema_v5!$C13)</f>
        <v/>
      </c>
    </row>
    <row r="217" ht="135" customHeight="1" s="10">
      <c r="A217" s="2" t="inlineStr">
        <is>
          <t>Q44_A</t>
        </is>
      </c>
      <c r="B217" s="2" t="n">
        <v>44</v>
      </c>
      <c r="C217" s="2" t="n">
        <v>44</v>
      </c>
      <c r="D217" s="2" t="inlineStr">
        <is>
          <t>Core</t>
        </is>
      </c>
      <c r="E217" s="2" t="n">
        <v>1.3</v>
      </c>
      <c r="F217" s="2" t="inlineStr">
        <is>
          <t>EmotionalNeeds</t>
        </is>
      </c>
      <c r="G217" s="2" t="inlineStr">
        <is>
          <t>IntimacyThreshold</t>
        </is>
      </c>
      <c r="H217" s="2" t="inlineStr">
        <is>
          <t>You care about someone. You're hurt by something they did. You could say something... but what usually stops you?</t>
        </is>
      </c>
      <c r="I217" s="2" t="inlineStr">
        <is>
          <t>A</t>
        </is>
      </c>
      <c r="J217" s="2" t="inlineStr">
        <is>
          <t>A</t>
        </is>
      </c>
      <c r="K217" s="2" t="inlineStr">
        <is>
          <t>I don't want to seem dramatic. I've learned silence protects me better than honesty does.</t>
        </is>
      </c>
      <c r="L217" s="2" t="n">
        <v>6</v>
      </c>
      <c r="M217" s="2" t="n">
        <v>7</v>
      </c>
      <c r="N217" s="2" t="n">
        <v>2</v>
      </c>
      <c r="O217" s="2" t="n">
        <v>2</v>
      </c>
      <c r="P217" s="2" t="n">
        <v>0</v>
      </c>
      <c r="Q217" s="2" t="inlineStr">
        <is>
          <t>Icebox</t>
        </is>
      </c>
      <c r="R217" s="2" t="n">
        <v>1</v>
      </c>
      <c r="S217" s="2" t="n"/>
      <c r="T217" s="2" t="n"/>
      <c r="U217" s="2" t="n">
        <v>0</v>
      </c>
      <c r="V217" s="2" t="inlineStr">
        <is>
          <t>masc:1.8;fem:-1.6</t>
        </is>
      </c>
      <c r="W217" s="2" t="n">
        <v>1.8</v>
      </c>
      <c r="X217" s="2" t="n">
        <v>-1.6</v>
      </c>
      <c r="Y217" s="2" t="inlineStr">
        <is>
          <t>COMM_Avoidant</t>
        </is>
      </c>
      <c r="Z217" s="2" t="inlineStr">
        <is>
          <t>REG_Suppressor</t>
        </is>
      </c>
      <c r="AA217" s="2" t="inlineStr">
        <is>
          <t>LANG_Time</t>
        </is>
      </c>
      <c r="AB217" s="2" t="inlineStr">
        <is>
          <t>Vulnerability_Loop</t>
        </is>
      </c>
      <c r="AC217" s="2" t="inlineStr">
        <is>
          <t>Vulnerability_Loop</t>
        </is>
      </c>
      <c r="AD217" s="2" t="n"/>
      <c r="AE217" s="2" t="n">
        <v>5</v>
      </c>
      <c r="AF217" s="2" t="inlineStr">
        <is>
          <t>self-protection over expression</t>
        </is>
      </c>
      <c r="AG217" s="2" t="n"/>
      <c r="AH217" s="2" t="n">
        <v>0</v>
      </c>
      <c r="AI217" s="2" t="inlineStr">
        <is>
          <t>yes</t>
        </is>
      </c>
      <c r="AJ217" s="2" t="inlineStr">
        <is>
          <t>no</t>
        </is>
      </c>
      <c r="AK217" s="2" t="inlineStr">
        <is>
          <t>no</t>
        </is>
      </c>
      <c r="AL217" s="2" t="inlineStr">
        <is>
          <t>no</t>
        </is>
      </c>
      <c r="AM217" s="2" t="n"/>
      <c r="AN217" s="2" t="n"/>
      <c r="AO217" s="2" t="n"/>
      <c r="AP217" s="2" t="inlineStr">
        <is>
          <t>v3_2026-03-19</t>
        </is>
      </c>
      <c r="AQ217">
        <f>(L217-Schema_v5!$C2)/(Schema_v5!$C3-Schema_v5!$C2)</f>
        <v/>
      </c>
      <c r="AR217">
        <f>(M217-Schema_v5!$C4)/(Schema_v5!$C5-Schema_v5!$C4)</f>
        <v/>
      </c>
      <c r="AS217">
        <f>N217/Schema_v5!$C6</f>
        <v/>
      </c>
      <c r="AT217">
        <f>O217/Schema_v5!$C7</f>
        <v/>
      </c>
      <c r="AU217">
        <f>P217/Schema_v5!$C8</f>
        <v/>
      </c>
      <c r="AV217">
        <f>IF(Schema_v5!$C9=0,0,AH217/Schema_v5!$C9)</f>
        <v/>
      </c>
      <c r="AW217">
        <f>IF(Schema_v5!$C10=0,0,AE217/Schema_v5!$C10)</f>
        <v/>
      </c>
      <c r="AX217">
        <f>(W217-Schema_v5!$C11)/(Schema_v5!$C12-Schema_v5!$C11)</f>
        <v/>
      </c>
      <c r="AY217">
        <f>(X217-Schema_v5!$C13)/(Schema_v5!$C14-Schema_v5!$C13)</f>
        <v/>
      </c>
    </row>
    <row r="218" ht="68.25" customHeight="1" s="10">
      <c r="A218" s="2" t="inlineStr">
        <is>
          <t>Q44_B</t>
        </is>
      </c>
      <c r="B218" s="2" t="n">
        <v>44</v>
      </c>
      <c r="C218" s="2" t="n">
        <v>44</v>
      </c>
      <c r="D218" s="2" t="inlineStr">
        <is>
          <t>Core</t>
        </is>
      </c>
      <c r="E218" s="2" t="n">
        <v>1.3</v>
      </c>
      <c r="F218" s="2" t="inlineStr">
        <is>
          <t>EmotionalNeeds</t>
        </is>
      </c>
      <c r="G218" s="2" t="inlineStr">
        <is>
          <t>IntimacyThreshold</t>
        </is>
      </c>
      <c r="H218" s="2" t="n"/>
      <c r="I218" s="2" t="inlineStr">
        <is>
          <t>B</t>
        </is>
      </c>
      <c r="J218" s="2" t="inlineStr">
        <is>
          <t>B</t>
        </is>
      </c>
      <c r="K218" s="2" t="inlineStr">
        <is>
          <t>I'm scared they'll think I'm too much, or worse, they'll leave.</t>
        </is>
      </c>
      <c r="L218" s="2" t="n">
        <v>5</v>
      </c>
      <c r="M218" s="2" t="n">
        <v>6</v>
      </c>
      <c r="N218" s="2" t="n">
        <v>2</v>
      </c>
      <c r="O218" s="2" t="n">
        <v>4</v>
      </c>
      <c r="P218" s="2" t="n">
        <v>2</v>
      </c>
      <c r="Q218" s="2" t="inlineStr">
        <is>
          <t>Phantom Seeker</t>
        </is>
      </c>
      <c r="R218" s="2" t="n">
        <v>10</v>
      </c>
      <c r="S218" s="2" t="n"/>
      <c r="T218" s="2" t="n"/>
      <c r="U218" s="2" t="n">
        <v>0</v>
      </c>
      <c r="V218" s="2" t="inlineStr">
        <is>
          <t>masc:-0.2;fem:1.5</t>
        </is>
      </c>
      <c r="W218" s="2" t="n">
        <v>-0.2</v>
      </c>
      <c r="X218" s="2" t="n">
        <v>1.5</v>
      </c>
      <c r="Y218" s="2" t="inlineStr">
        <is>
          <t>COMM_Emotional</t>
        </is>
      </c>
      <c r="Z218" s="2" t="inlineStr">
        <is>
          <t>REG_SelfSoother</t>
        </is>
      </c>
      <c r="AA218" s="2" t="inlineStr">
        <is>
          <t>LANG_Touch</t>
        </is>
      </c>
      <c r="AB218" s="2" t="inlineStr">
        <is>
          <t>Vulnerability_Loop</t>
        </is>
      </c>
      <c r="AC218" s="2" t="inlineStr">
        <is>
          <t>Vulnerability_Loop</t>
        </is>
      </c>
      <c r="AD218" s="2" t="n"/>
      <c r="AE218" s="2" t="n">
        <v>5</v>
      </c>
      <c r="AF218" s="2" t="inlineStr">
        <is>
          <t>fear of abandonment</t>
        </is>
      </c>
      <c r="AG218" s="2" t="inlineStr">
        <is>
          <t>hesitant truther</t>
        </is>
      </c>
      <c r="AH218" s="2" t="n">
        <v>0</v>
      </c>
      <c r="AI218" s="2" t="inlineStr">
        <is>
          <t>yes</t>
        </is>
      </c>
      <c r="AJ218" s="2" t="inlineStr">
        <is>
          <t>no</t>
        </is>
      </c>
      <c r="AK218" s="2" t="inlineStr">
        <is>
          <t>no</t>
        </is>
      </c>
      <c r="AL218" s="2" t="inlineStr">
        <is>
          <t>no</t>
        </is>
      </c>
      <c r="AM218" s="2" t="n"/>
      <c r="AN218" s="2" t="n"/>
      <c r="AO218" s="2" t="n"/>
      <c r="AP218" s="2" t="inlineStr">
        <is>
          <t>v3_2026-03-19</t>
        </is>
      </c>
      <c r="AQ218">
        <f>(L218-Schema_v5!$C2)/(Schema_v5!$C3-Schema_v5!$C2)</f>
        <v/>
      </c>
      <c r="AR218">
        <f>(M218-Schema_v5!$C4)/(Schema_v5!$C5-Schema_v5!$C4)</f>
        <v/>
      </c>
      <c r="AS218">
        <f>N218/Schema_v5!$C6</f>
        <v/>
      </c>
      <c r="AT218">
        <f>O218/Schema_v5!$C7</f>
        <v/>
      </c>
      <c r="AU218">
        <f>P218/Schema_v5!$C8</f>
        <v/>
      </c>
      <c r="AV218">
        <f>IF(Schema_v5!$C9=0,0,AH218/Schema_v5!$C9)</f>
        <v/>
      </c>
      <c r="AW218">
        <f>IF(Schema_v5!$C10=0,0,AE218/Schema_v5!$C10)</f>
        <v/>
      </c>
      <c r="AX218">
        <f>(W218-Schema_v5!$C11)/(Schema_v5!$C12-Schema_v5!$C11)</f>
        <v/>
      </c>
      <c r="AY218">
        <f>(X218-Schema_v5!$C13)/(Schema_v5!$C14-Schema_v5!$C13)</f>
        <v/>
      </c>
    </row>
    <row r="219" ht="94.5" customHeight="1" s="10">
      <c r="A219" s="2" t="inlineStr">
        <is>
          <t>Q44_C</t>
        </is>
      </c>
      <c r="B219" s="2" t="n">
        <v>44</v>
      </c>
      <c r="C219" s="2" t="n">
        <v>44</v>
      </c>
      <c r="D219" s="2" t="inlineStr">
        <is>
          <t>Core</t>
        </is>
      </c>
      <c r="E219" s="2" t="n">
        <v>1.3</v>
      </c>
      <c r="F219" s="2" t="inlineStr">
        <is>
          <t>EmotionalNeeds</t>
        </is>
      </c>
      <c r="G219" s="2" t="inlineStr">
        <is>
          <t>IntimacyThreshold</t>
        </is>
      </c>
      <c r="H219" s="2" t="n"/>
      <c r="I219" s="2" t="inlineStr">
        <is>
          <t>C</t>
        </is>
      </c>
      <c r="J219" s="2" t="inlineStr">
        <is>
          <t>C</t>
        </is>
      </c>
      <c r="K219" s="2" t="inlineStr">
        <is>
          <t>I can't always tell if I'm overreacting or just reacting late... so I keep it in.</t>
        </is>
      </c>
      <c r="L219" s="2" t="n">
        <v>6</v>
      </c>
      <c r="M219" s="2" t="n">
        <v>7</v>
      </c>
      <c r="N219" s="2" t="n">
        <v>4</v>
      </c>
      <c r="O219" s="2" t="n">
        <v>6</v>
      </c>
      <c r="P219" s="2" t="n">
        <v>4</v>
      </c>
      <c r="Q219" s="2" t="inlineStr">
        <is>
          <t>Analyzer</t>
        </is>
      </c>
      <c r="R219" s="2" t="n">
        <v>2</v>
      </c>
      <c r="S219" s="2" t="n"/>
      <c r="T219" s="2" t="n"/>
      <c r="U219" s="2" t="n">
        <v>0</v>
      </c>
      <c r="V219" s="2" t="inlineStr">
        <is>
          <t>masc:1.4;fem:0.1</t>
        </is>
      </c>
      <c r="W219" s="2" t="n">
        <v>1.4</v>
      </c>
      <c r="X219" s="2" t="n">
        <v>0.1</v>
      </c>
      <c r="Y219" s="2" t="inlineStr">
        <is>
          <t>COMM_Logical</t>
        </is>
      </c>
      <c r="Z219" s="2" t="inlineStr">
        <is>
          <t>REG_SelfSoother</t>
        </is>
      </c>
      <c r="AA219" s="2" t="inlineStr">
        <is>
          <t>LANG_Service</t>
        </is>
      </c>
      <c r="AB219" s="2" t="inlineStr">
        <is>
          <t>Vulnerability_Loop</t>
        </is>
      </c>
      <c r="AC219" s="2" t="inlineStr">
        <is>
          <t>Vulnerability_Loop</t>
        </is>
      </c>
      <c r="AD219" s="2" t="n"/>
      <c r="AE219" s="2" t="n">
        <v>5</v>
      </c>
      <c r="AF219" s="2" t="inlineStr">
        <is>
          <t>emotional validity confusion</t>
        </is>
      </c>
      <c r="AG219" s="2" t="inlineStr">
        <is>
          <t>suppressed responder</t>
        </is>
      </c>
      <c r="AH219" s="2" t="n">
        <v>0</v>
      </c>
      <c r="AI219" s="2" t="inlineStr">
        <is>
          <t>yes</t>
        </is>
      </c>
      <c r="AJ219" s="2" t="inlineStr">
        <is>
          <t>no</t>
        </is>
      </c>
      <c r="AK219" s="2" t="inlineStr">
        <is>
          <t>no</t>
        </is>
      </c>
      <c r="AL219" s="2" t="inlineStr">
        <is>
          <t>no</t>
        </is>
      </c>
      <c r="AM219" s="2" t="n"/>
      <c r="AN219" s="2" t="n"/>
      <c r="AO219" s="2" t="n"/>
      <c r="AP219" s="2" t="inlineStr">
        <is>
          <t>v3_2026-03-19</t>
        </is>
      </c>
      <c r="AQ219">
        <f>(L219-Schema_v5!$C2)/(Schema_v5!$C3-Schema_v5!$C2)</f>
        <v/>
      </c>
      <c r="AR219">
        <f>(M219-Schema_v5!$C4)/(Schema_v5!$C5-Schema_v5!$C4)</f>
        <v/>
      </c>
      <c r="AS219">
        <f>N219/Schema_v5!$C6</f>
        <v/>
      </c>
      <c r="AT219">
        <f>O219/Schema_v5!$C7</f>
        <v/>
      </c>
      <c r="AU219">
        <f>P219/Schema_v5!$C8</f>
        <v/>
      </c>
      <c r="AV219">
        <f>IF(Schema_v5!$C9=0,0,AH219/Schema_v5!$C9)</f>
        <v/>
      </c>
      <c r="AW219">
        <f>IF(Schema_v5!$C10=0,0,AE219/Schema_v5!$C10)</f>
        <v/>
      </c>
      <c r="AX219">
        <f>(W219-Schema_v5!$C11)/(Schema_v5!$C12-Schema_v5!$C11)</f>
        <v/>
      </c>
      <c r="AY219">
        <f>(X219-Schema_v5!$C13)/(Schema_v5!$C14-Schema_v5!$C13)</f>
        <v/>
      </c>
    </row>
    <row r="220" ht="135" customHeight="1" s="10">
      <c r="A220" s="2" t="inlineStr">
        <is>
          <t>Q44_D</t>
        </is>
      </c>
      <c r="B220" s="2" t="n">
        <v>44</v>
      </c>
      <c r="C220" s="2" t="n">
        <v>44</v>
      </c>
      <c r="D220" s="2" t="inlineStr">
        <is>
          <t>Core</t>
        </is>
      </c>
      <c r="E220" s="2" t="n">
        <v>1.3</v>
      </c>
      <c r="F220" s="2" t="inlineStr">
        <is>
          <t>EmotionalNeeds</t>
        </is>
      </c>
      <c r="G220" s="2" t="inlineStr">
        <is>
          <t>IntimacyThreshold</t>
        </is>
      </c>
      <c r="H220" s="2" t="n"/>
      <c r="I220" s="2" t="inlineStr">
        <is>
          <t>D</t>
        </is>
      </c>
      <c r="J220" s="2" t="inlineStr">
        <is>
          <t>D</t>
        </is>
      </c>
      <c r="K220" s="2" t="inlineStr">
        <is>
          <t>I wait for the right moment to bring it up, but that moment never comes. So I smile through it and let it fester.</t>
        </is>
      </c>
      <c r="L220" s="2" t="n">
        <v>5</v>
      </c>
      <c r="M220" s="2" t="n">
        <v>6</v>
      </c>
      <c r="N220" s="2" t="n">
        <v>2</v>
      </c>
      <c r="O220" s="2" t="n">
        <v>2</v>
      </c>
      <c r="P220" s="2" t="n">
        <v>0</v>
      </c>
      <c r="Q220" s="2" t="inlineStr">
        <is>
          <t>Performer</t>
        </is>
      </c>
      <c r="R220" s="2" t="n">
        <v>7</v>
      </c>
      <c r="S220" s="2" t="n"/>
      <c r="T220" s="2" t="n"/>
      <c r="U220" s="2" t="n">
        <v>0</v>
      </c>
      <c r="V220" s="2" t="inlineStr">
        <is>
          <t>masc:0.3;fem:0.5</t>
        </is>
      </c>
      <c r="W220" s="2" t="n">
        <v>0.3</v>
      </c>
      <c r="X220" s="2" t="n">
        <v>0.5</v>
      </c>
      <c r="Y220" s="2" t="inlineStr">
        <is>
          <t>COMM_Indirect</t>
        </is>
      </c>
      <c r="Z220" s="2" t="inlineStr">
        <is>
          <t>REG_Distractor</t>
        </is>
      </c>
      <c r="AA220" s="2" t="inlineStr">
        <is>
          <t>LANG_Gifts</t>
        </is>
      </c>
      <c r="AB220" s="2" t="inlineStr">
        <is>
          <t>Vulnerability_Loop</t>
        </is>
      </c>
      <c r="AC220" s="2" t="inlineStr">
        <is>
          <t>Vulnerability_Loop</t>
        </is>
      </c>
      <c r="AD220" s="2" t="n"/>
      <c r="AE220" s="2" t="n">
        <v>5</v>
      </c>
      <c r="AF220" s="2" t="inlineStr">
        <is>
          <t>delayed conflict avoidance</t>
        </is>
      </c>
      <c r="AG220" s="2" t="inlineStr">
        <is>
          <t>festering avoider</t>
        </is>
      </c>
      <c r="AH220" s="2" t="n">
        <v>1.2</v>
      </c>
      <c r="AI220" s="2" t="inlineStr">
        <is>
          <t>yes</t>
        </is>
      </c>
      <c r="AJ220" s="2" t="inlineStr">
        <is>
          <t>no</t>
        </is>
      </c>
      <c r="AK220" s="2" t="inlineStr">
        <is>
          <t>no</t>
        </is>
      </c>
      <c r="AL220" s="2" t="inlineStr">
        <is>
          <t>no</t>
        </is>
      </c>
      <c r="AM220" s="2" t="n"/>
      <c r="AN220" s="2" t="n"/>
      <c r="AO220" s="2" t="n"/>
      <c r="AP220" s="2" t="inlineStr">
        <is>
          <t>v3_2026-03-19</t>
        </is>
      </c>
      <c r="AQ220">
        <f>(L220-Schema_v5!$C2)/(Schema_v5!$C3-Schema_v5!$C2)</f>
        <v/>
      </c>
      <c r="AR220">
        <f>(M220-Schema_v5!$C4)/(Schema_v5!$C5-Schema_v5!$C4)</f>
        <v/>
      </c>
      <c r="AS220">
        <f>N220/Schema_v5!$C6</f>
        <v/>
      </c>
      <c r="AT220">
        <f>O220/Schema_v5!$C7</f>
        <v/>
      </c>
      <c r="AU220">
        <f>P220/Schema_v5!$C8</f>
        <v/>
      </c>
      <c r="AV220">
        <f>IF(Schema_v5!$C9=0,0,AH220/Schema_v5!$C9)</f>
        <v/>
      </c>
      <c r="AW220">
        <f>IF(Schema_v5!$C10=0,0,AE220/Schema_v5!$C10)</f>
        <v/>
      </c>
      <c r="AX220">
        <f>(W220-Schema_v5!$C11)/(Schema_v5!$C12-Schema_v5!$C11)</f>
        <v/>
      </c>
      <c r="AY220">
        <f>(X220-Schema_v5!$C13)/(Schema_v5!$C14-Schema_v5!$C13)</f>
        <v/>
      </c>
    </row>
    <row r="221" ht="121.5" customHeight="1" s="10">
      <c r="A221" s="2" t="inlineStr">
        <is>
          <t>Q44_E</t>
        </is>
      </c>
      <c r="B221" s="2" t="n">
        <v>44</v>
      </c>
      <c r="C221" s="2" t="n">
        <v>44</v>
      </c>
      <c r="D221" s="2" t="inlineStr">
        <is>
          <t>Core</t>
        </is>
      </c>
      <c r="E221" s="2" t="n">
        <v>1.3</v>
      </c>
      <c r="F221" s="2" t="inlineStr">
        <is>
          <t>EmotionalNeeds</t>
        </is>
      </c>
      <c r="G221" s="2" t="inlineStr">
        <is>
          <t>IntimacyThreshold</t>
        </is>
      </c>
      <c r="H221" s="2" t="n"/>
      <c r="I221" s="2" t="inlineStr">
        <is>
          <t>E</t>
        </is>
      </c>
      <c r="J221" s="2" t="inlineStr">
        <is>
          <t>E</t>
        </is>
      </c>
      <c r="K221" s="2" t="inlineStr">
        <is>
          <t>I try to fix it without saying anything. If I love you, I'd rather work around the pain than risk more of it.</t>
        </is>
      </c>
      <c r="L221" s="2" t="n">
        <v>8</v>
      </c>
      <c r="M221" s="2" t="n">
        <v>9</v>
      </c>
      <c r="N221" s="2" t="n">
        <v>8</v>
      </c>
      <c r="O221" s="2" t="n">
        <v>10</v>
      </c>
      <c r="P221" s="2" t="n">
        <v>8</v>
      </c>
      <c r="Q221" s="2" t="inlineStr">
        <is>
          <t>Fixer</t>
        </is>
      </c>
      <c r="R221" s="2" t="n">
        <v>5</v>
      </c>
      <c r="S221" s="2" t="n"/>
      <c r="T221" s="2" t="n"/>
      <c r="U221" s="2" t="n">
        <v>0</v>
      </c>
      <c r="V221" s="2" t="inlineStr">
        <is>
          <t>masc:-0.4;fem:2.0</t>
        </is>
      </c>
      <c r="W221" s="2" t="n">
        <v>-0.4</v>
      </c>
      <c r="X221" s="2" t="n">
        <v>2</v>
      </c>
      <c r="Y221" s="2" t="inlineStr">
        <is>
          <t>COMM_Emotional</t>
        </is>
      </c>
      <c r="Z221" s="2" t="inlineStr">
        <is>
          <t>REG_CoRegulator</t>
        </is>
      </c>
      <c r="AA221" s="2" t="inlineStr">
        <is>
          <t>LANG_Service</t>
        </is>
      </c>
      <c r="AB221" s="2" t="n"/>
      <c r="AC221" s="2" t="n"/>
      <c r="AD221" s="2" t="n"/>
      <c r="AE221" s="2" t="n">
        <v>0</v>
      </c>
      <c r="AF221" s="2" t="inlineStr">
        <is>
          <t>love through labor mechanism</t>
        </is>
      </c>
      <c r="AG221" s="2" t="inlineStr">
        <is>
          <t>invisible repairer</t>
        </is>
      </c>
      <c r="AH221" s="2" t="n">
        <v>0</v>
      </c>
      <c r="AI221" s="2" t="inlineStr">
        <is>
          <t>no</t>
        </is>
      </c>
      <c r="AJ221" s="2" t="inlineStr">
        <is>
          <t>no</t>
        </is>
      </c>
      <c r="AK221" s="2" t="inlineStr">
        <is>
          <t>no</t>
        </is>
      </c>
      <c r="AL221" s="2" t="inlineStr">
        <is>
          <t>no</t>
        </is>
      </c>
      <c r="AM221" s="2" t="n"/>
      <c r="AN221" s="2" t="n"/>
      <c r="AO221" s="2" t="n"/>
      <c r="AP221" s="2" t="inlineStr">
        <is>
          <t>v3_2026-03-19</t>
        </is>
      </c>
      <c r="AQ221">
        <f>(L221-Schema_v5!$C2)/(Schema_v5!$C3-Schema_v5!$C2)</f>
        <v/>
      </c>
      <c r="AR221">
        <f>(M221-Schema_v5!$C4)/(Schema_v5!$C5-Schema_v5!$C4)</f>
        <v/>
      </c>
      <c r="AS221">
        <f>N221/Schema_v5!$C6</f>
        <v/>
      </c>
      <c r="AT221">
        <f>O221/Schema_v5!$C7</f>
        <v/>
      </c>
      <c r="AU221">
        <f>P221/Schema_v5!$C8</f>
        <v/>
      </c>
      <c r="AV221">
        <f>IF(Schema_v5!$C9=0,0,AH221/Schema_v5!$C9)</f>
        <v/>
      </c>
      <c r="AW221">
        <f>IF(Schema_v5!$C10=0,0,AE221/Schema_v5!$C10)</f>
        <v/>
      </c>
      <c r="AX221">
        <f>(W221-Schema_v5!$C11)/(Schema_v5!$C12-Schema_v5!$C11)</f>
        <v/>
      </c>
      <c r="AY221">
        <f>(X221-Schema_v5!$C13)/(Schema_v5!$C14-Schema_v5!$C13)</f>
        <v/>
      </c>
    </row>
    <row r="222" ht="121.5" customHeight="1" s="10">
      <c r="A222" s="2" t="inlineStr">
        <is>
          <t>Q45_A</t>
        </is>
      </c>
      <c r="B222" s="2" t="n">
        <v>45</v>
      </c>
      <c r="C222" s="2" t="n">
        <v>45</v>
      </c>
      <c r="D222" s="2" t="inlineStr">
        <is>
          <t>Core</t>
        </is>
      </c>
      <c r="E222" s="2" t="n">
        <v>1.35</v>
      </c>
      <c r="F222" s="2" t="inlineStr">
        <is>
          <t>EmotionalNeeds</t>
        </is>
      </c>
      <c r="G222" s="2" t="inlineStr">
        <is>
          <t>IntimacyThreshold</t>
        </is>
      </c>
      <c r="H222" s="2" t="inlineStr">
        <is>
          <t>The vibe is off. You're quieter. Distant. But you haven't said anything yet. What would actually make you feel safe again?</t>
        </is>
      </c>
      <c r="I222" s="2" t="inlineStr">
        <is>
          <t>A</t>
        </is>
      </c>
      <c r="J222" s="2" t="inlineStr">
        <is>
          <t>A</t>
        </is>
      </c>
      <c r="K222" s="2" t="inlineStr">
        <is>
          <t>If they noticed without me having to say anything , just read me and pulled me back in.</t>
        </is>
      </c>
      <c r="L222" s="2" t="n">
        <v>5</v>
      </c>
      <c r="M222" s="2" t="n">
        <v>6</v>
      </c>
      <c r="N222" s="2" t="n">
        <v>2</v>
      </c>
      <c r="O222" s="2" t="n">
        <v>2</v>
      </c>
      <c r="P222" s="2" t="n">
        <v>2</v>
      </c>
      <c r="Q222" s="2" t="inlineStr">
        <is>
          <t>Phantom Seeker</t>
        </is>
      </c>
      <c r="R222" s="2" t="n">
        <v>10</v>
      </c>
      <c r="S222" s="2" t="n"/>
      <c r="T222" s="2" t="n"/>
      <c r="U222" s="2" t="n">
        <v>0</v>
      </c>
      <c r="V222" s="2" t="inlineStr">
        <is>
          <t>masc:-0.2;fem:1.5</t>
        </is>
      </c>
      <c r="W222" s="2" t="n">
        <v>-0.2</v>
      </c>
      <c r="X222" s="2" t="n">
        <v>1.5</v>
      </c>
      <c r="Y222" s="2" t="inlineStr">
        <is>
          <t>COMM_Emotional</t>
        </is>
      </c>
      <c r="Z222" s="2" t="inlineStr">
        <is>
          <t>REG_SelfSoother</t>
        </is>
      </c>
      <c r="AA222" s="2" t="inlineStr">
        <is>
          <t>LANG_Touch</t>
        </is>
      </c>
      <c r="AB222" s="2" t="inlineStr">
        <is>
          <t>Vulnerability_Loop</t>
        </is>
      </c>
      <c r="AC222" s="2" t="inlineStr">
        <is>
          <t>Vulnerability_Loop</t>
        </is>
      </c>
      <c r="AD222" s="2" t="n"/>
      <c r="AE222" s="2" t="n">
        <v>5</v>
      </c>
      <c r="AF222" s="2" t="inlineStr">
        <is>
          <t>unspoken rescue desire</t>
        </is>
      </c>
      <c r="AG222" s="2" t="inlineStr">
        <is>
          <t>silent hope holder</t>
        </is>
      </c>
      <c r="AH222" s="2" t="n">
        <v>0.6</v>
      </c>
      <c r="AI222" s="2" t="inlineStr">
        <is>
          <t>yes</t>
        </is>
      </c>
      <c r="AJ222" s="2" t="inlineStr">
        <is>
          <t>no</t>
        </is>
      </c>
      <c r="AK222" s="2" t="inlineStr">
        <is>
          <t>no</t>
        </is>
      </c>
      <c r="AL222" s="2" t="inlineStr">
        <is>
          <t>no</t>
        </is>
      </c>
      <c r="AM222" s="2" t="n"/>
      <c r="AN222" s="2" t="n"/>
      <c r="AO222" s="2" t="n"/>
      <c r="AP222" s="2" t="inlineStr">
        <is>
          <t>v3_2026-03-19</t>
        </is>
      </c>
      <c r="AQ222">
        <f>(L222-Schema_v5!$C2)/(Schema_v5!$C3-Schema_v5!$C2)</f>
        <v/>
      </c>
      <c r="AR222">
        <f>(M222-Schema_v5!$C4)/(Schema_v5!$C5-Schema_v5!$C4)</f>
        <v/>
      </c>
      <c r="AS222">
        <f>N222/Schema_v5!$C6</f>
        <v/>
      </c>
      <c r="AT222">
        <f>O222/Schema_v5!$C7</f>
        <v/>
      </c>
      <c r="AU222">
        <f>P222/Schema_v5!$C8</f>
        <v/>
      </c>
      <c r="AV222">
        <f>IF(Schema_v5!$C9=0,0,AH222/Schema_v5!$C9)</f>
        <v/>
      </c>
      <c r="AW222">
        <f>IF(Schema_v5!$C10=0,0,AE222/Schema_v5!$C10)</f>
        <v/>
      </c>
      <c r="AX222">
        <f>(W222-Schema_v5!$C11)/(Schema_v5!$C12-Schema_v5!$C11)</f>
        <v/>
      </c>
      <c r="AY222">
        <f>(X222-Schema_v5!$C13)/(Schema_v5!$C14-Schema_v5!$C13)</f>
        <v/>
      </c>
    </row>
    <row r="223" ht="108" customHeight="1" s="10">
      <c r="A223" s="2" t="inlineStr">
        <is>
          <t>Q45_B</t>
        </is>
      </c>
      <c r="B223" s="2" t="n">
        <v>45</v>
      </c>
      <c r="C223" s="2" t="n">
        <v>45</v>
      </c>
      <c r="D223" s="2" t="inlineStr">
        <is>
          <t>Core</t>
        </is>
      </c>
      <c r="E223" s="2" t="n">
        <v>1.35</v>
      </c>
      <c r="F223" s="2" t="inlineStr">
        <is>
          <t>EmotionalNeeds</t>
        </is>
      </c>
      <c r="G223" s="2" t="inlineStr">
        <is>
          <t>IntimacyThreshold</t>
        </is>
      </c>
      <c r="H223" s="2" t="n"/>
      <c r="I223" s="2" t="inlineStr">
        <is>
          <t>B</t>
        </is>
      </c>
      <c r="J223" s="2" t="inlineStr">
        <is>
          <t>B</t>
        </is>
      </c>
      <c r="K223" s="2" t="inlineStr">
        <is>
          <t>If they gave me space without making me feel guilty , just stayed steady in the background.</t>
        </is>
      </c>
      <c r="L223" s="2" t="n">
        <v>8</v>
      </c>
      <c r="M223" s="2" t="n">
        <v>9</v>
      </c>
      <c r="N223" s="2" t="n">
        <v>4</v>
      </c>
      <c r="O223" s="2" t="n">
        <v>6</v>
      </c>
      <c r="P223" s="2" t="n">
        <v>2</v>
      </c>
      <c r="Q223" s="2" t="inlineStr">
        <is>
          <t>Icebox</t>
        </is>
      </c>
      <c r="R223" s="2" t="n">
        <v>1</v>
      </c>
      <c r="S223" s="2" t="n"/>
      <c r="T223" s="2" t="n"/>
      <c r="U223" s="2" t="n">
        <v>0</v>
      </c>
      <c r="V223" s="2" t="inlineStr">
        <is>
          <t>masc:1.8;fem:-1.6</t>
        </is>
      </c>
      <c r="W223" s="2" t="n">
        <v>1.8</v>
      </c>
      <c r="X223" s="2" t="n">
        <v>-1.6</v>
      </c>
      <c r="Y223" s="2" t="inlineStr">
        <is>
          <t>COMM_Avoidant</t>
        </is>
      </c>
      <c r="Z223" s="2" t="inlineStr">
        <is>
          <t>REG_Suppressor</t>
        </is>
      </c>
      <c r="AA223" s="2" t="inlineStr">
        <is>
          <t>LANG_Time</t>
        </is>
      </c>
      <c r="AB223" s="2" t="n"/>
      <c r="AC223" s="2" t="n"/>
      <c r="AD223" s="2" t="n"/>
      <c r="AE223" s="2" t="n">
        <v>0</v>
      </c>
      <c r="AF223" s="2" t="inlineStr">
        <is>
          <t>stability without intrusion</t>
        </is>
      </c>
      <c r="AG223" s="2" t="inlineStr">
        <is>
          <t>distance-aware supporter</t>
        </is>
      </c>
      <c r="AH223" s="2" t="n">
        <v>0.6</v>
      </c>
      <c r="AI223" s="2" t="inlineStr">
        <is>
          <t>no</t>
        </is>
      </c>
      <c r="AJ223" s="2" t="inlineStr">
        <is>
          <t>no</t>
        </is>
      </c>
      <c r="AK223" s="2" t="inlineStr">
        <is>
          <t>no</t>
        </is>
      </c>
      <c r="AL223" s="2" t="inlineStr">
        <is>
          <t>no</t>
        </is>
      </c>
      <c r="AM223" s="2" t="n"/>
      <c r="AN223" s="2" t="n"/>
      <c r="AO223" s="2" t="n"/>
      <c r="AP223" s="2" t="inlineStr">
        <is>
          <t>v3_2026-03-19</t>
        </is>
      </c>
      <c r="AQ223">
        <f>(L223-Schema_v5!$C2)/(Schema_v5!$C3-Schema_v5!$C2)</f>
        <v/>
      </c>
      <c r="AR223">
        <f>(M223-Schema_v5!$C4)/(Schema_v5!$C5-Schema_v5!$C4)</f>
        <v/>
      </c>
      <c r="AS223">
        <f>N223/Schema_v5!$C6</f>
        <v/>
      </c>
      <c r="AT223">
        <f>O223/Schema_v5!$C7</f>
        <v/>
      </c>
      <c r="AU223">
        <f>P223/Schema_v5!$C8</f>
        <v/>
      </c>
      <c r="AV223">
        <f>IF(Schema_v5!$C9=0,0,AH223/Schema_v5!$C9)</f>
        <v/>
      </c>
      <c r="AW223">
        <f>IF(Schema_v5!$C10=0,0,AE223/Schema_v5!$C10)</f>
        <v/>
      </c>
      <c r="AX223">
        <f>(W223-Schema_v5!$C11)/(Schema_v5!$C12-Schema_v5!$C11)</f>
        <v/>
      </c>
      <c r="AY223">
        <f>(X223-Schema_v5!$C13)/(Schema_v5!$C14-Schema_v5!$C13)</f>
        <v/>
      </c>
    </row>
    <row r="224" ht="108" customHeight="1" s="10">
      <c r="A224" s="2" t="inlineStr">
        <is>
          <t>Q45_C</t>
        </is>
      </c>
      <c r="B224" s="2" t="n">
        <v>45</v>
      </c>
      <c r="C224" s="2" t="n">
        <v>45</v>
      </c>
      <c r="D224" s="2" t="inlineStr">
        <is>
          <t>Core</t>
        </is>
      </c>
      <c r="E224" s="2" t="n">
        <v>1.35</v>
      </c>
      <c r="F224" s="2" t="inlineStr">
        <is>
          <t>EmotionalNeeds</t>
        </is>
      </c>
      <c r="G224" s="2" t="inlineStr">
        <is>
          <t>IntimacyThreshold</t>
        </is>
      </c>
      <c r="H224" s="2" t="n"/>
      <c r="I224" s="2" t="inlineStr">
        <is>
          <t>C</t>
        </is>
      </c>
      <c r="J224" s="2" t="inlineStr">
        <is>
          <t>C</t>
        </is>
      </c>
      <c r="K224" s="2" t="inlineStr">
        <is>
          <t>If they directly asked, "You good?" but gently , just enough to open the door.</t>
        </is>
      </c>
      <c r="L224" s="2" t="n">
        <v>9</v>
      </c>
      <c r="M224" s="2" t="n">
        <v>9</v>
      </c>
      <c r="N224" s="2" t="n">
        <v>10</v>
      </c>
      <c r="O224" s="2" t="n">
        <v>8</v>
      </c>
      <c r="P224" s="2" t="n">
        <v>8</v>
      </c>
      <c r="Q224" s="2" t="inlineStr">
        <is>
          <t>Analyzer</t>
        </is>
      </c>
      <c r="R224" s="2" t="n">
        <v>2</v>
      </c>
      <c r="S224" s="2" t="n"/>
      <c r="T224" s="2" t="n"/>
      <c r="U224" s="2" t="n">
        <v>0</v>
      </c>
      <c r="V224" s="2" t="inlineStr">
        <is>
          <t>masc:1.4;fem:0.1</t>
        </is>
      </c>
      <c r="W224" s="2" t="n">
        <v>1.4</v>
      </c>
      <c r="X224" s="2" t="n">
        <v>0.1</v>
      </c>
      <c r="Y224" s="2" t="inlineStr">
        <is>
          <t>COMM_Logical</t>
        </is>
      </c>
      <c r="Z224" s="2" t="inlineStr">
        <is>
          <t>REG_SelfSoother</t>
        </is>
      </c>
      <c r="AA224" s="2" t="inlineStr">
        <is>
          <t>LANG_Service</t>
        </is>
      </c>
      <c r="AB224" s="2" t="n"/>
      <c r="AC224" s="2" t="n"/>
      <c r="AD224" s="2" t="n"/>
      <c r="AE224" s="2" t="n">
        <v>0</v>
      </c>
      <c r="AF224" s="2" t="inlineStr">
        <is>
          <t>soft prompt, no pressure</t>
        </is>
      </c>
      <c r="AG224" s="2" t="inlineStr">
        <is>
          <t>curious empath</t>
        </is>
      </c>
      <c r="AH224" s="2" t="n">
        <v>0</v>
      </c>
      <c r="AI224" s="2" t="inlineStr">
        <is>
          <t>no</t>
        </is>
      </c>
      <c r="AJ224" s="2" t="inlineStr">
        <is>
          <t>no</t>
        </is>
      </c>
      <c r="AK224" s="2" t="inlineStr">
        <is>
          <t>no</t>
        </is>
      </c>
      <c r="AL224" s="2" t="inlineStr">
        <is>
          <t>no</t>
        </is>
      </c>
      <c r="AM224" s="2" t="n"/>
      <c r="AN224" s="2" t="n"/>
      <c r="AO224" s="2" t="n"/>
      <c r="AP224" s="2" t="inlineStr">
        <is>
          <t>v3_2026-03-19</t>
        </is>
      </c>
      <c r="AQ224">
        <f>(L224-Schema_v5!$C2)/(Schema_v5!$C3-Schema_v5!$C2)</f>
        <v/>
      </c>
      <c r="AR224">
        <f>(M224-Schema_v5!$C4)/(Schema_v5!$C5-Schema_v5!$C4)</f>
        <v/>
      </c>
      <c r="AS224">
        <f>N224/Schema_v5!$C6</f>
        <v/>
      </c>
      <c r="AT224">
        <f>O224/Schema_v5!$C7</f>
        <v/>
      </c>
      <c r="AU224">
        <f>P224/Schema_v5!$C8</f>
        <v/>
      </c>
      <c r="AV224">
        <f>IF(Schema_v5!$C9=0,0,AH224/Schema_v5!$C9)</f>
        <v/>
      </c>
      <c r="AW224">
        <f>IF(Schema_v5!$C10=0,0,AE224/Schema_v5!$C10)</f>
        <v/>
      </c>
      <c r="AX224">
        <f>(W224-Schema_v5!$C11)/(Schema_v5!$C12-Schema_v5!$C11)</f>
        <v/>
      </c>
      <c r="AY224">
        <f>(X224-Schema_v5!$C13)/(Schema_v5!$C14-Schema_v5!$C13)</f>
        <v/>
      </c>
    </row>
    <row r="225" ht="108" customHeight="1" s="10">
      <c r="A225" s="2" t="inlineStr">
        <is>
          <t>Q45_D</t>
        </is>
      </c>
      <c r="B225" s="2" t="n">
        <v>45</v>
      </c>
      <c r="C225" s="2" t="n">
        <v>45</v>
      </c>
      <c r="D225" s="2" t="inlineStr">
        <is>
          <t>Core</t>
        </is>
      </c>
      <c r="E225" s="2" t="n">
        <v>1.35</v>
      </c>
      <c r="F225" s="2" t="inlineStr">
        <is>
          <t>EmotionalNeeds</t>
        </is>
      </c>
      <c r="G225" s="2" t="inlineStr">
        <is>
          <t>IntimacyThreshold</t>
        </is>
      </c>
      <c r="H225" s="2" t="n"/>
      <c r="I225" s="2" t="inlineStr">
        <is>
          <t>D</t>
        </is>
      </c>
      <c r="J225" s="2" t="inlineStr">
        <is>
          <t>D</t>
        </is>
      </c>
      <c r="K225" s="2" t="inlineStr">
        <is>
          <t>If they reminded me what we are , through words, effort, or energy. Something consistent.</t>
        </is>
      </c>
      <c r="L225" s="2" t="n">
        <v>9</v>
      </c>
      <c r="M225" s="2" t="n">
        <v>9</v>
      </c>
      <c r="N225" s="2" t="n">
        <v>10</v>
      </c>
      <c r="O225" s="2" t="n">
        <v>10</v>
      </c>
      <c r="P225" s="2" t="n">
        <v>10</v>
      </c>
      <c r="Q225" s="2" t="inlineStr">
        <is>
          <t>Fixer</t>
        </is>
      </c>
      <c r="R225" s="2" t="n">
        <v>5</v>
      </c>
      <c r="S225" s="2" t="n"/>
      <c r="T225" s="2" t="n"/>
      <c r="U225" s="2" t="n">
        <v>0</v>
      </c>
      <c r="V225" s="2" t="inlineStr">
        <is>
          <t>masc:-0.4;fem:2.0</t>
        </is>
      </c>
      <c r="W225" s="2" t="n">
        <v>-0.4</v>
      </c>
      <c r="X225" s="2" t="n">
        <v>2</v>
      </c>
      <c r="Y225" s="2" t="inlineStr">
        <is>
          <t>COMM_Emotional</t>
        </is>
      </c>
      <c r="Z225" s="2" t="inlineStr">
        <is>
          <t>REG_CoRegulator</t>
        </is>
      </c>
      <c r="AA225" s="2" t="inlineStr">
        <is>
          <t>LANG_Service</t>
        </is>
      </c>
      <c r="AB225" s="2" t="n"/>
      <c r="AC225" s="2" t="n"/>
      <c r="AD225" s="2" t="n"/>
      <c r="AE225" s="2" t="n">
        <v>0</v>
      </c>
      <c r="AF225" s="2" t="inlineStr">
        <is>
          <t>reassurance via reinforcement</t>
        </is>
      </c>
      <c r="AG225" s="2" t="inlineStr">
        <is>
          <t>consistent affirmer</t>
        </is>
      </c>
      <c r="AH225" s="2" t="n">
        <v>0</v>
      </c>
      <c r="AI225" s="2" t="inlineStr">
        <is>
          <t>no</t>
        </is>
      </c>
      <c r="AJ225" s="2" t="inlineStr">
        <is>
          <t>no</t>
        </is>
      </c>
      <c r="AK225" s="2" t="inlineStr">
        <is>
          <t>no</t>
        </is>
      </c>
      <c r="AL225" s="2" t="inlineStr">
        <is>
          <t>no</t>
        </is>
      </c>
      <c r="AM225" s="2" t="n"/>
      <c r="AN225" s="2" t="n"/>
      <c r="AO225" s="2" t="n"/>
      <c r="AP225" s="2" t="inlineStr">
        <is>
          <t>v3_2026-03-19</t>
        </is>
      </c>
      <c r="AQ225">
        <f>(L225-Schema_v5!$C2)/(Schema_v5!$C3-Schema_v5!$C2)</f>
        <v/>
      </c>
      <c r="AR225">
        <f>(M225-Schema_v5!$C4)/(Schema_v5!$C5-Schema_v5!$C4)</f>
        <v/>
      </c>
      <c r="AS225">
        <f>N225/Schema_v5!$C6</f>
        <v/>
      </c>
      <c r="AT225">
        <f>O225/Schema_v5!$C7</f>
        <v/>
      </c>
      <c r="AU225">
        <f>P225/Schema_v5!$C8</f>
        <v/>
      </c>
      <c r="AV225">
        <f>IF(Schema_v5!$C9=0,0,AH225/Schema_v5!$C9)</f>
        <v/>
      </c>
      <c r="AW225">
        <f>IF(Schema_v5!$C10=0,0,AE225/Schema_v5!$C10)</f>
        <v/>
      </c>
      <c r="AX225">
        <f>(W225-Schema_v5!$C11)/(Schema_v5!$C12-Schema_v5!$C11)</f>
        <v/>
      </c>
      <c r="AY225">
        <f>(X225-Schema_v5!$C13)/(Schema_v5!$C14-Schema_v5!$C13)</f>
        <v/>
      </c>
    </row>
    <row r="226" ht="121.5" customHeight="1" s="10">
      <c r="A226" s="2" t="inlineStr">
        <is>
          <t>Q45_E</t>
        </is>
      </c>
      <c r="B226" s="2" t="n">
        <v>45</v>
      </c>
      <c r="C226" s="2" t="n">
        <v>45</v>
      </c>
      <c r="D226" s="2" t="inlineStr">
        <is>
          <t>Core</t>
        </is>
      </c>
      <c r="E226" s="2" t="n">
        <v>1.35</v>
      </c>
      <c r="F226" s="2" t="inlineStr">
        <is>
          <t>EmotionalNeeds</t>
        </is>
      </c>
      <c r="G226" s="2" t="inlineStr">
        <is>
          <t>IntimacyThreshold</t>
        </is>
      </c>
      <c r="H226" s="2" t="n"/>
      <c r="I226" s="2" t="inlineStr">
        <is>
          <t>E</t>
        </is>
      </c>
      <c r="J226" s="2" t="inlineStr">
        <is>
          <t>E</t>
        </is>
      </c>
      <c r="K226" s="2" t="inlineStr">
        <is>
          <t>If they didn't try to solve it , just sat with me in it. Showed me they don't need me to be okay to stay.</t>
        </is>
      </c>
      <c r="L226" s="2" t="n">
        <v>10</v>
      </c>
      <c r="M226" s="2" t="n">
        <v>10</v>
      </c>
      <c r="N226" s="2" t="n">
        <v>10</v>
      </c>
      <c r="O226" s="2" t="n">
        <v>10</v>
      </c>
      <c r="P226" s="2" t="n">
        <v>10</v>
      </c>
      <c r="Q226" s="2" t="inlineStr">
        <is>
          <t>Regulated Grown-Up</t>
        </is>
      </c>
      <c r="R226" s="2" t="n">
        <v>9</v>
      </c>
      <c r="S226" s="2" t="n"/>
      <c r="T226" s="2" t="n"/>
      <c r="U226" s="2" t="n">
        <v>0</v>
      </c>
      <c r="V226" s="2" t="inlineStr">
        <is>
          <t>masc:1.1;fem:0.9</t>
        </is>
      </c>
      <c r="W226" s="2" t="n">
        <v>1.1</v>
      </c>
      <c r="X226" s="2" t="n">
        <v>0.9</v>
      </c>
      <c r="Y226" s="2" t="inlineStr">
        <is>
          <t>COMM_Direct</t>
        </is>
      </c>
      <c r="Z226" s="2" t="inlineStr">
        <is>
          <t>REG_CoRegulator</t>
        </is>
      </c>
      <c r="AA226" s="2" t="inlineStr">
        <is>
          <t>LANG_Words</t>
        </is>
      </c>
      <c r="AB226" s="2" t="n"/>
      <c r="AC226" s="2" t="n"/>
      <c r="AD226" s="2" t="n"/>
      <c r="AE226" s="2" t="n">
        <v>0</v>
      </c>
      <c r="AF226" s="2" t="inlineStr">
        <is>
          <t>emotional co-anchor</t>
        </is>
      </c>
      <c r="AG226" s="2" t="inlineStr">
        <is>
          <t>steady attuner</t>
        </is>
      </c>
      <c r="AH226" s="2" t="n">
        <v>0</v>
      </c>
      <c r="AI226" s="2" t="inlineStr">
        <is>
          <t>no</t>
        </is>
      </c>
      <c r="AJ226" s="2" t="inlineStr">
        <is>
          <t>no</t>
        </is>
      </c>
      <c r="AK226" s="2" t="inlineStr">
        <is>
          <t>no</t>
        </is>
      </c>
      <c r="AL226" s="2" t="inlineStr">
        <is>
          <t>no</t>
        </is>
      </c>
      <c r="AM226" s="2" t="n"/>
      <c r="AN226" s="2" t="n"/>
      <c r="AO226" s="2" t="n"/>
      <c r="AP226" s="2" t="inlineStr">
        <is>
          <t>v3_2026-03-19</t>
        </is>
      </c>
      <c r="AQ226">
        <f>(L226-Schema_v5!$C2)/(Schema_v5!$C3-Schema_v5!$C2)</f>
        <v/>
      </c>
      <c r="AR226">
        <f>(M226-Schema_v5!$C4)/(Schema_v5!$C5-Schema_v5!$C4)</f>
        <v/>
      </c>
      <c r="AS226">
        <f>N226/Schema_v5!$C6</f>
        <v/>
      </c>
      <c r="AT226">
        <f>O226/Schema_v5!$C7</f>
        <v/>
      </c>
      <c r="AU226">
        <f>P226/Schema_v5!$C8</f>
        <v/>
      </c>
      <c r="AV226">
        <f>IF(Schema_v5!$C9=0,0,AH226/Schema_v5!$C9)</f>
        <v/>
      </c>
      <c r="AW226">
        <f>IF(Schema_v5!$C10=0,0,AE226/Schema_v5!$C10)</f>
        <v/>
      </c>
      <c r="AX226">
        <f>(W226-Schema_v5!$C11)/(Schema_v5!$C12-Schema_v5!$C11)</f>
        <v/>
      </c>
      <c r="AY226">
        <f>(X226-Schema_v5!$C13)/(Schema_v5!$C14-Schema_v5!$C13)</f>
        <v/>
      </c>
    </row>
    <row r="227" ht="135" customHeight="1" s="10">
      <c r="A227" s="2" t="inlineStr">
        <is>
          <t>Q46_A</t>
        </is>
      </c>
      <c r="B227" s="2" t="n">
        <v>46</v>
      </c>
      <c r="C227" s="2" t="n">
        <v>46</v>
      </c>
      <c r="D227" s="2" t="inlineStr">
        <is>
          <t>Core</t>
        </is>
      </c>
      <c r="E227" s="2" t="n">
        <v>1.35</v>
      </c>
      <c r="F227" s="2" t="inlineStr">
        <is>
          <t>EmotionalNeeds</t>
        </is>
      </c>
      <c r="G227" s="2" t="inlineStr">
        <is>
          <t>IntimacyThreshold</t>
        </is>
      </c>
      <c r="H227" s="2" t="inlineStr">
        <is>
          <t>You've just ended something heavy , a breakup, a fallout, a disappointment. What's your first move to reset?</t>
        </is>
      </c>
      <c r="I227" s="2" t="inlineStr">
        <is>
          <t>A</t>
        </is>
      </c>
      <c r="J227" s="2" t="inlineStr">
        <is>
          <t>A</t>
        </is>
      </c>
      <c r="K227" s="2" t="inlineStr">
        <is>
          <t>I isolate. Silence helps me sort what's mine vs. what was theirs.</t>
        </is>
      </c>
      <c r="L227" s="2" t="n">
        <v>8</v>
      </c>
      <c r="M227" s="2" t="n">
        <v>8</v>
      </c>
      <c r="N227" s="2" t="n">
        <v>4</v>
      </c>
      <c r="O227" s="2" t="n">
        <v>4</v>
      </c>
      <c r="P227" s="2" t="n">
        <v>2</v>
      </c>
      <c r="Q227" s="2" t="inlineStr">
        <is>
          <t>Icebox</t>
        </is>
      </c>
      <c r="R227" s="2" t="n">
        <v>1</v>
      </c>
      <c r="S227" s="2" t="n"/>
      <c r="T227" s="2" t="n"/>
      <c r="U227" s="2" t="n">
        <v>0</v>
      </c>
      <c r="V227" s="2" t="inlineStr">
        <is>
          <t>masc:1.8;fem:-1.6</t>
        </is>
      </c>
      <c r="W227" s="2" t="n">
        <v>1.8</v>
      </c>
      <c r="X227" s="2" t="n">
        <v>-1.6</v>
      </c>
      <c r="Y227" s="2" t="inlineStr">
        <is>
          <t>COMM_Avoidant</t>
        </is>
      </c>
      <c r="Z227" s="2" t="inlineStr">
        <is>
          <t>REG_Suppressor</t>
        </is>
      </c>
      <c r="AA227" s="2" t="inlineStr">
        <is>
          <t>LANG_Time</t>
        </is>
      </c>
      <c r="AB227" s="2" t="n"/>
      <c r="AC227" s="2" t="n"/>
      <c r="AD227" s="2" t="n"/>
      <c r="AE227" s="2" t="n">
        <v>0</v>
      </c>
      <c r="AF227" s="2" t="inlineStr">
        <is>
          <t>solitary cleanse</t>
        </is>
      </c>
      <c r="AG227" s="2" t="inlineStr">
        <is>
          <t>self-resetter</t>
        </is>
      </c>
      <c r="AH227" s="2" t="n">
        <v>0</v>
      </c>
      <c r="AI227" s="2" t="inlineStr">
        <is>
          <t>no</t>
        </is>
      </c>
      <c r="AJ227" s="2" t="inlineStr">
        <is>
          <t>no</t>
        </is>
      </c>
      <c r="AK227" s="2" t="inlineStr">
        <is>
          <t>no</t>
        </is>
      </c>
      <c r="AL227" s="2" t="inlineStr">
        <is>
          <t>no</t>
        </is>
      </c>
      <c r="AM227" s="2" t="n"/>
      <c r="AN227" s="2" t="n"/>
      <c r="AO227" s="2" t="n"/>
      <c r="AP227" s="2" t="inlineStr">
        <is>
          <t>v3_2026-03-19</t>
        </is>
      </c>
      <c r="AQ227">
        <f>(L227-Schema_v5!$C2)/(Schema_v5!$C3-Schema_v5!$C2)</f>
        <v/>
      </c>
      <c r="AR227">
        <f>(M227-Schema_v5!$C4)/(Schema_v5!$C5-Schema_v5!$C4)</f>
        <v/>
      </c>
      <c r="AS227">
        <f>N227/Schema_v5!$C6</f>
        <v/>
      </c>
      <c r="AT227">
        <f>O227/Schema_v5!$C7</f>
        <v/>
      </c>
      <c r="AU227">
        <f>P227/Schema_v5!$C8</f>
        <v/>
      </c>
      <c r="AV227">
        <f>IF(Schema_v5!$C9=0,0,AH227/Schema_v5!$C9)</f>
        <v/>
      </c>
      <c r="AW227">
        <f>IF(Schema_v5!$C10=0,0,AE227/Schema_v5!$C10)</f>
        <v/>
      </c>
      <c r="AX227">
        <f>(W227-Schema_v5!$C11)/(Schema_v5!$C12-Schema_v5!$C11)</f>
        <v/>
      </c>
      <c r="AY227">
        <f>(X227-Schema_v5!$C13)/(Schema_v5!$C14-Schema_v5!$C13)</f>
        <v/>
      </c>
    </row>
    <row r="228" ht="94.5" customHeight="1" s="10">
      <c r="A228" s="2" t="inlineStr">
        <is>
          <t>Q46_B</t>
        </is>
      </c>
      <c r="B228" s="2" t="n">
        <v>46</v>
      </c>
      <c r="C228" s="2" t="n">
        <v>46</v>
      </c>
      <c r="D228" s="2" t="inlineStr">
        <is>
          <t>Core</t>
        </is>
      </c>
      <c r="E228" s="2" t="n">
        <v>1.35</v>
      </c>
      <c r="F228" s="2" t="inlineStr">
        <is>
          <t>EmotionalNeeds</t>
        </is>
      </c>
      <c r="G228" s="2" t="inlineStr">
        <is>
          <t>IntimacyThreshold</t>
        </is>
      </c>
      <c r="H228" s="2" t="n"/>
      <c r="I228" s="2" t="inlineStr">
        <is>
          <t>B</t>
        </is>
      </c>
      <c r="J228" s="2" t="inlineStr">
        <is>
          <t>B</t>
        </is>
      </c>
      <c r="K228" s="2" t="inlineStr">
        <is>
          <t>I spiral a bit, replaying everything, wondering what I could've done differently.</t>
        </is>
      </c>
      <c r="L228" s="2" t="n">
        <v>4</v>
      </c>
      <c r="M228" s="2" t="n">
        <v>5</v>
      </c>
      <c r="N228" s="2" t="n">
        <v>2</v>
      </c>
      <c r="O228" s="2" t="n">
        <v>2</v>
      </c>
      <c r="P228" s="2" t="n">
        <v>0</v>
      </c>
      <c r="Q228" s="2" t="inlineStr">
        <is>
          <t>Phantom Seeker</t>
        </is>
      </c>
      <c r="R228" s="2" t="n">
        <v>10</v>
      </c>
      <c r="S228" s="2" t="n"/>
      <c r="T228" s="2" t="n"/>
      <c r="U228" s="2" t="n">
        <v>0</v>
      </c>
      <c r="V228" s="2" t="inlineStr">
        <is>
          <t>masc:-0.2;fem:1.5</t>
        </is>
      </c>
      <c r="W228" s="2" t="n">
        <v>-0.2</v>
      </c>
      <c r="X228" s="2" t="n">
        <v>1.5</v>
      </c>
      <c r="Y228" s="2" t="inlineStr">
        <is>
          <t>COMM_Emotional</t>
        </is>
      </c>
      <c r="Z228" s="2" t="inlineStr">
        <is>
          <t>REG_SelfSoother</t>
        </is>
      </c>
      <c r="AA228" s="2" t="inlineStr">
        <is>
          <t>LANG_Touch</t>
        </is>
      </c>
      <c r="AB228" s="2" t="inlineStr">
        <is>
          <t>Vulnerability_Loop</t>
        </is>
      </c>
      <c r="AC228" s="2" t="inlineStr">
        <is>
          <t>Vulnerability_Loop</t>
        </is>
      </c>
      <c r="AD228" s="2" t="n"/>
      <c r="AE228" s="2" t="n">
        <v>5</v>
      </c>
      <c r="AF228" s="2" t="inlineStr">
        <is>
          <t>regret loop recovery</t>
        </is>
      </c>
      <c r="AG228" s="2" t="inlineStr">
        <is>
          <t>self-blamer</t>
        </is>
      </c>
      <c r="AH228" s="2" t="n">
        <v>0</v>
      </c>
      <c r="AI228" s="2" t="inlineStr">
        <is>
          <t>yes</t>
        </is>
      </c>
      <c r="AJ228" s="2" t="inlineStr">
        <is>
          <t>no</t>
        </is>
      </c>
      <c r="AK228" s="2" t="inlineStr">
        <is>
          <t>no</t>
        </is>
      </c>
      <c r="AL228" s="2" t="inlineStr">
        <is>
          <t>no</t>
        </is>
      </c>
      <c r="AM228" s="2" t="n"/>
      <c r="AN228" s="2" t="n"/>
      <c r="AO228" s="2" t="n"/>
      <c r="AP228" s="2" t="inlineStr">
        <is>
          <t>v3_2026-03-19</t>
        </is>
      </c>
      <c r="AQ228">
        <f>(L228-Schema_v5!$C2)/(Schema_v5!$C3-Schema_v5!$C2)</f>
        <v/>
      </c>
      <c r="AR228">
        <f>(M228-Schema_v5!$C4)/(Schema_v5!$C5-Schema_v5!$C4)</f>
        <v/>
      </c>
      <c r="AS228">
        <f>N228/Schema_v5!$C6</f>
        <v/>
      </c>
      <c r="AT228">
        <f>O228/Schema_v5!$C7</f>
        <v/>
      </c>
      <c r="AU228">
        <f>P228/Schema_v5!$C8</f>
        <v/>
      </c>
      <c r="AV228">
        <f>IF(Schema_v5!$C9=0,0,AH228/Schema_v5!$C9)</f>
        <v/>
      </c>
      <c r="AW228">
        <f>IF(Schema_v5!$C10=0,0,AE228/Schema_v5!$C10)</f>
        <v/>
      </c>
      <c r="AX228">
        <f>(W228-Schema_v5!$C11)/(Schema_v5!$C12-Schema_v5!$C11)</f>
        <v/>
      </c>
      <c r="AY228">
        <f>(X228-Schema_v5!$C13)/(Schema_v5!$C14-Schema_v5!$C13)</f>
        <v/>
      </c>
    </row>
    <row r="229" ht="94.5" customHeight="1" s="10">
      <c r="A229" s="2" t="inlineStr">
        <is>
          <t>Q46_C</t>
        </is>
      </c>
      <c r="B229" s="2" t="n">
        <v>46</v>
      </c>
      <c r="C229" s="2" t="n">
        <v>46</v>
      </c>
      <c r="D229" s="2" t="inlineStr">
        <is>
          <t>Core</t>
        </is>
      </c>
      <c r="E229" s="2" t="n">
        <v>1.35</v>
      </c>
      <c r="F229" s="2" t="inlineStr">
        <is>
          <t>EmotionalNeeds</t>
        </is>
      </c>
      <c r="G229" s="2" t="inlineStr">
        <is>
          <t>IntimacyThreshold</t>
        </is>
      </c>
      <c r="H229" s="2" t="n"/>
      <c r="I229" s="2" t="inlineStr">
        <is>
          <t>C</t>
        </is>
      </c>
      <c r="J229" s="2" t="inlineStr">
        <is>
          <t>C</t>
        </is>
      </c>
      <c r="K229" s="2" t="inlineStr">
        <is>
          <t>I try to understand the pattern. If I can decode it, maybe I won't repeat it.</t>
        </is>
      </c>
      <c r="L229" s="2" t="n">
        <v>9</v>
      </c>
      <c r="M229" s="2" t="n">
        <v>9</v>
      </c>
      <c r="N229" s="2" t="n">
        <v>10</v>
      </c>
      <c r="O229" s="2" t="n">
        <v>8</v>
      </c>
      <c r="P229" s="2" t="n">
        <v>8</v>
      </c>
      <c r="Q229" s="2" t="inlineStr">
        <is>
          <t>Analyzer</t>
        </is>
      </c>
      <c r="R229" s="2" t="n">
        <v>2</v>
      </c>
      <c r="S229" s="2" t="n"/>
      <c r="T229" s="2" t="n"/>
      <c r="U229" s="2" t="n">
        <v>0</v>
      </c>
      <c r="V229" s="2" t="inlineStr">
        <is>
          <t>masc:1.4;fem:0.1</t>
        </is>
      </c>
      <c r="W229" s="2" t="n">
        <v>1.4</v>
      </c>
      <c r="X229" s="2" t="n">
        <v>0.1</v>
      </c>
      <c r="Y229" s="2" t="inlineStr">
        <is>
          <t>COMM_Logical</t>
        </is>
      </c>
      <c r="Z229" s="2" t="inlineStr">
        <is>
          <t>REG_SelfSoother</t>
        </is>
      </c>
      <c r="AA229" s="2" t="inlineStr">
        <is>
          <t>LANG_Service</t>
        </is>
      </c>
      <c r="AB229" s="2" t="n"/>
      <c r="AC229" s="2" t="n"/>
      <c r="AD229" s="2" t="n"/>
      <c r="AE229" s="2" t="n">
        <v>0</v>
      </c>
      <c r="AF229" s="2" t="inlineStr">
        <is>
          <t>postmortem patterning</t>
        </is>
      </c>
      <c r="AG229" s="2" t="inlineStr">
        <is>
          <t>clarity seeker</t>
        </is>
      </c>
      <c r="AH229" s="2" t="n">
        <v>0</v>
      </c>
      <c r="AI229" s="2" t="inlineStr">
        <is>
          <t>no</t>
        </is>
      </c>
      <c r="AJ229" s="2" t="inlineStr">
        <is>
          <t>no</t>
        </is>
      </c>
      <c r="AK229" s="2" t="inlineStr">
        <is>
          <t>no</t>
        </is>
      </c>
      <c r="AL229" s="2" t="inlineStr">
        <is>
          <t>no</t>
        </is>
      </c>
      <c r="AM229" s="2" t="n"/>
      <c r="AN229" s="2" t="n"/>
      <c r="AO229" s="2" t="n"/>
      <c r="AP229" s="2" t="inlineStr">
        <is>
          <t>v3_2026-03-19</t>
        </is>
      </c>
      <c r="AQ229">
        <f>(L229-Schema_v5!$C2)/(Schema_v5!$C3-Schema_v5!$C2)</f>
        <v/>
      </c>
      <c r="AR229">
        <f>(M229-Schema_v5!$C4)/(Schema_v5!$C5-Schema_v5!$C4)</f>
        <v/>
      </c>
      <c r="AS229">
        <f>N229/Schema_v5!$C6</f>
        <v/>
      </c>
      <c r="AT229">
        <f>O229/Schema_v5!$C7</f>
        <v/>
      </c>
      <c r="AU229">
        <f>P229/Schema_v5!$C8</f>
        <v/>
      </c>
      <c r="AV229">
        <f>IF(Schema_v5!$C9=0,0,AH229/Schema_v5!$C9)</f>
        <v/>
      </c>
      <c r="AW229">
        <f>IF(Schema_v5!$C10=0,0,AE229/Schema_v5!$C10)</f>
        <v/>
      </c>
      <c r="AX229">
        <f>(W229-Schema_v5!$C11)/(Schema_v5!$C12-Schema_v5!$C11)</f>
        <v/>
      </c>
      <c r="AY229">
        <f>(X229-Schema_v5!$C13)/(Schema_v5!$C14-Schema_v5!$C13)</f>
        <v/>
      </c>
    </row>
    <row r="230" ht="81" customHeight="1" s="10">
      <c r="A230" s="2" t="inlineStr">
        <is>
          <t>Q46_D</t>
        </is>
      </c>
      <c r="B230" s="2" t="n">
        <v>46</v>
      </c>
      <c r="C230" s="2" t="n">
        <v>46</v>
      </c>
      <c r="D230" s="2" t="inlineStr">
        <is>
          <t>Core</t>
        </is>
      </c>
      <c r="E230" s="2" t="n">
        <v>1.35</v>
      </c>
      <c r="F230" s="2" t="inlineStr">
        <is>
          <t>EmotionalNeeds</t>
        </is>
      </c>
      <c r="G230" s="2" t="inlineStr">
        <is>
          <t>IntimacyThreshold</t>
        </is>
      </c>
      <c r="H230" s="2" t="n"/>
      <c r="I230" s="2" t="inlineStr">
        <is>
          <t>D</t>
        </is>
      </c>
      <c r="J230" s="2" t="inlineStr">
        <is>
          <t>D</t>
        </is>
      </c>
      <c r="K230" s="2" t="inlineStr">
        <is>
          <t>I stay in motion. Work, plans, people. Anything but stillness.</t>
        </is>
      </c>
      <c r="L230" s="2" t="n">
        <v>5</v>
      </c>
      <c r="M230" s="2" t="n">
        <v>6</v>
      </c>
      <c r="N230" s="2" t="n">
        <v>2</v>
      </c>
      <c r="O230" s="2" t="n">
        <v>2</v>
      </c>
      <c r="P230" s="2" t="n">
        <v>0</v>
      </c>
      <c r="Q230" s="2" t="inlineStr">
        <is>
          <t>Performer</t>
        </is>
      </c>
      <c r="R230" s="2" t="n">
        <v>7</v>
      </c>
      <c r="S230" s="2" t="n"/>
      <c r="T230" s="2" t="n"/>
      <c r="U230" s="2" t="n">
        <v>0</v>
      </c>
      <c r="V230" s="2" t="inlineStr">
        <is>
          <t>masc:0.3;fem:0.5</t>
        </is>
      </c>
      <c r="W230" s="2" t="n">
        <v>0.3</v>
      </c>
      <c r="X230" s="2" t="n">
        <v>0.5</v>
      </c>
      <c r="Y230" s="2" t="inlineStr">
        <is>
          <t>COMM_Indirect</t>
        </is>
      </c>
      <c r="Z230" s="2" t="inlineStr">
        <is>
          <t>REG_Distractor</t>
        </is>
      </c>
      <c r="AA230" s="2" t="inlineStr">
        <is>
          <t>LANG_Gifts</t>
        </is>
      </c>
      <c r="AB230" s="2" t="inlineStr">
        <is>
          <t>Vulnerability_Loop</t>
        </is>
      </c>
      <c r="AC230" s="2" t="inlineStr">
        <is>
          <t>Vulnerability_Loop</t>
        </is>
      </c>
      <c r="AD230" s="2" t="n"/>
      <c r="AE230" s="2" t="n">
        <v>5</v>
      </c>
      <c r="AF230" s="2" t="inlineStr">
        <is>
          <t>distraction sprint</t>
        </is>
      </c>
      <c r="AG230" s="2" t="inlineStr">
        <is>
          <t>motion masker</t>
        </is>
      </c>
      <c r="AH230" s="2" t="n">
        <v>0.6</v>
      </c>
      <c r="AI230" s="2" t="inlineStr">
        <is>
          <t>yes</t>
        </is>
      </c>
      <c r="AJ230" s="2" t="inlineStr">
        <is>
          <t>no</t>
        </is>
      </c>
      <c r="AK230" s="2" t="inlineStr">
        <is>
          <t>no</t>
        </is>
      </c>
      <c r="AL230" s="2" t="inlineStr">
        <is>
          <t>no</t>
        </is>
      </c>
      <c r="AM230" s="2" t="n"/>
      <c r="AN230" s="2" t="n"/>
      <c r="AO230" s="2" t="n"/>
      <c r="AP230" s="2" t="inlineStr">
        <is>
          <t>v3_2026-03-19</t>
        </is>
      </c>
      <c r="AQ230">
        <f>(L230-Schema_v5!$C2)/(Schema_v5!$C3-Schema_v5!$C2)</f>
        <v/>
      </c>
      <c r="AR230">
        <f>(M230-Schema_v5!$C4)/(Schema_v5!$C5-Schema_v5!$C4)</f>
        <v/>
      </c>
      <c r="AS230">
        <f>N230/Schema_v5!$C6</f>
        <v/>
      </c>
      <c r="AT230">
        <f>O230/Schema_v5!$C7</f>
        <v/>
      </c>
      <c r="AU230">
        <f>P230/Schema_v5!$C8</f>
        <v/>
      </c>
      <c r="AV230">
        <f>IF(Schema_v5!$C9=0,0,AH230/Schema_v5!$C9)</f>
        <v/>
      </c>
      <c r="AW230">
        <f>IF(Schema_v5!$C10=0,0,AE230/Schema_v5!$C10)</f>
        <v/>
      </c>
      <c r="AX230">
        <f>(W230-Schema_v5!$C11)/(Schema_v5!$C12-Schema_v5!$C11)</f>
        <v/>
      </c>
      <c r="AY230">
        <f>(X230-Schema_v5!$C13)/(Schema_v5!$C14-Schema_v5!$C13)</f>
        <v/>
      </c>
    </row>
    <row r="231" ht="68.25" customHeight="1" s="10">
      <c r="A231" s="2" t="inlineStr">
        <is>
          <t>Q46_E</t>
        </is>
      </c>
      <c r="B231" s="2" t="n">
        <v>46</v>
      </c>
      <c r="C231" s="2" t="n">
        <v>46</v>
      </c>
      <c r="D231" s="2" t="inlineStr">
        <is>
          <t>Core</t>
        </is>
      </c>
      <c r="E231" s="2" t="n">
        <v>1.35</v>
      </c>
      <c r="F231" s="2" t="inlineStr">
        <is>
          <t>EmotionalNeeds</t>
        </is>
      </c>
      <c r="G231" s="2" t="inlineStr">
        <is>
          <t>IntimacyThreshold</t>
        </is>
      </c>
      <c r="H231" s="2" t="n"/>
      <c r="I231" s="2" t="inlineStr">
        <is>
          <t>E</t>
        </is>
      </c>
      <c r="J231" s="2" t="inlineStr">
        <is>
          <t>E</t>
        </is>
      </c>
      <c r="K231" s="2" t="inlineStr">
        <is>
          <t>I sit with it. Write, reflect, pray. I don't rush the grief, I honor it.</t>
        </is>
      </c>
      <c r="L231" s="2" t="n">
        <v>10</v>
      </c>
      <c r="M231" s="2" t="n">
        <v>10</v>
      </c>
      <c r="N231" s="2" t="n">
        <v>10</v>
      </c>
      <c r="O231" s="2" t="n">
        <v>10</v>
      </c>
      <c r="P231" s="2" t="n">
        <v>10</v>
      </c>
      <c r="Q231" s="2" t="inlineStr">
        <is>
          <t>Regulated Grown-Up</t>
        </is>
      </c>
      <c r="R231" s="2" t="n">
        <v>9</v>
      </c>
      <c r="S231" s="2" t="n"/>
      <c r="T231" s="2" t="n"/>
      <c r="U231" s="2" t="n">
        <v>0</v>
      </c>
      <c r="V231" s="2" t="inlineStr">
        <is>
          <t>masc:1.1;fem:0.9</t>
        </is>
      </c>
      <c r="W231" s="2" t="n">
        <v>1.1</v>
      </c>
      <c r="X231" s="2" t="n">
        <v>0.9</v>
      </c>
      <c r="Y231" s="2" t="inlineStr">
        <is>
          <t>COMM_Direct</t>
        </is>
      </c>
      <c r="Z231" s="2" t="inlineStr">
        <is>
          <t>REG_CoRegulator</t>
        </is>
      </c>
      <c r="AA231" s="2" t="inlineStr">
        <is>
          <t>LANG_Words</t>
        </is>
      </c>
      <c r="AB231" s="2" t="n"/>
      <c r="AC231" s="2" t="n"/>
      <c r="AD231" s="2" t="n"/>
      <c r="AE231" s="2" t="n">
        <v>0</v>
      </c>
      <c r="AF231" s="2" t="inlineStr">
        <is>
          <t>intentional processing</t>
        </is>
      </c>
      <c r="AG231" s="2" t="inlineStr">
        <is>
          <t>mindful processor</t>
        </is>
      </c>
      <c r="AH231" s="2" t="n">
        <v>0</v>
      </c>
      <c r="AI231" s="2" t="inlineStr">
        <is>
          <t>no</t>
        </is>
      </c>
      <c r="AJ231" s="2" t="inlineStr">
        <is>
          <t>no</t>
        </is>
      </c>
      <c r="AK231" s="2" t="inlineStr">
        <is>
          <t>no</t>
        </is>
      </c>
      <c r="AL231" s="2" t="inlineStr">
        <is>
          <t>no</t>
        </is>
      </c>
      <c r="AM231" s="2" t="n"/>
      <c r="AN231" s="2" t="n"/>
      <c r="AO231" s="2" t="n"/>
      <c r="AP231" s="2" t="inlineStr">
        <is>
          <t>v3_2026-03-19</t>
        </is>
      </c>
      <c r="AQ231">
        <f>(L231-Schema_v5!$C2)/(Schema_v5!$C3-Schema_v5!$C2)</f>
        <v/>
      </c>
      <c r="AR231">
        <f>(M231-Schema_v5!$C4)/(Schema_v5!$C5-Schema_v5!$C4)</f>
        <v/>
      </c>
      <c r="AS231">
        <f>N231/Schema_v5!$C6</f>
        <v/>
      </c>
      <c r="AT231">
        <f>O231/Schema_v5!$C7</f>
        <v/>
      </c>
      <c r="AU231">
        <f>P231/Schema_v5!$C8</f>
        <v/>
      </c>
      <c r="AV231">
        <f>IF(Schema_v5!$C9=0,0,AH231/Schema_v5!$C9)</f>
        <v/>
      </c>
      <c r="AW231">
        <f>IF(Schema_v5!$C10=0,0,AE231/Schema_v5!$C10)</f>
        <v/>
      </c>
      <c r="AX231">
        <f>(W231-Schema_v5!$C11)/(Schema_v5!$C12-Schema_v5!$C11)</f>
        <v/>
      </c>
      <c r="AY231">
        <f>(X231-Schema_v5!$C13)/(Schema_v5!$C14-Schema_v5!$C13)</f>
        <v/>
      </c>
    </row>
    <row r="232" ht="121.5" customHeight="1" s="10">
      <c r="A232" s="2" t="inlineStr">
        <is>
          <t>Q47_A</t>
        </is>
      </c>
      <c r="B232" s="2" t="n">
        <v>47</v>
      </c>
      <c r="C232" s="2" t="n">
        <v>47</v>
      </c>
      <c r="D232" s="2" t="inlineStr">
        <is>
          <t>Core</t>
        </is>
      </c>
      <c r="E232" s="2" t="n">
        <v>1.35</v>
      </c>
      <c r="F232" s="2" t="inlineStr">
        <is>
          <t>EmotionalNeeds</t>
        </is>
      </c>
      <c r="G232" s="2" t="inlineStr">
        <is>
          <t>IntimacyThreshold</t>
        </is>
      </c>
      <c r="H232" s="2" t="inlineStr">
        <is>
          <t>When someone shows up for you without you asking, emotionally, practically, consistently, how do you usually feel?</t>
        </is>
      </c>
      <c r="I232" s="2" t="inlineStr">
        <is>
          <t>A</t>
        </is>
      </c>
      <c r="J232" s="2" t="inlineStr">
        <is>
          <t>A</t>
        </is>
      </c>
      <c r="K232" s="2" t="inlineStr">
        <is>
          <t>Guilty. I'm not used to people giving without a reason.</t>
        </is>
      </c>
      <c r="L232" s="2" t="n">
        <v>5</v>
      </c>
      <c r="M232" s="2" t="n">
        <v>6</v>
      </c>
      <c r="N232" s="2" t="n">
        <v>4</v>
      </c>
      <c r="O232" s="2" t="n">
        <v>4</v>
      </c>
      <c r="P232" s="2" t="n">
        <v>4</v>
      </c>
      <c r="Q232" s="2" t="inlineStr">
        <is>
          <t>Fixer</t>
        </is>
      </c>
      <c r="R232" s="2" t="n">
        <v>5</v>
      </c>
      <c r="S232" s="2" t="n"/>
      <c r="T232" s="2" t="n"/>
      <c r="U232" s="2" t="n">
        <v>0</v>
      </c>
      <c r="V232" s="2" t="inlineStr">
        <is>
          <t>masc:-0.4;fem:2.0</t>
        </is>
      </c>
      <c r="W232" s="2" t="n">
        <v>-0.4</v>
      </c>
      <c r="X232" s="2" t="n">
        <v>2</v>
      </c>
      <c r="Y232" s="2" t="inlineStr">
        <is>
          <t>COMM_Emotional</t>
        </is>
      </c>
      <c r="Z232" s="2" t="inlineStr">
        <is>
          <t>REG_CoRegulator</t>
        </is>
      </c>
      <c r="AA232" s="2" t="inlineStr">
        <is>
          <t>LANG_Service</t>
        </is>
      </c>
      <c r="AB232" s="2" t="inlineStr">
        <is>
          <t>Vulnerability_Loop</t>
        </is>
      </c>
      <c r="AC232" s="2" t="inlineStr">
        <is>
          <t>Vulnerability_Loop</t>
        </is>
      </c>
      <c r="AD232" s="2" t="n"/>
      <c r="AE232" s="2" t="n">
        <v>5</v>
      </c>
      <c r="AF232" s="2" t="inlineStr">
        <is>
          <t>reciprocity anxiety</t>
        </is>
      </c>
      <c r="AG232" s="2" t="inlineStr">
        <is>
          <t>uneasy receiver</t>
        </is>
      </c>
      <c r="AH232" s="2" t="n">
        <v>0.6</v>
      </c>
      <c r="AI232" s="2" t="inlineStr">
        <is>
          <t>yes</t>
        </is>
      </c>
      <c r="AJ232" s="2" t="inlineStr">
        <is>
          <t>no</t>
        </is>
      </c>
      <c r="AK232" s="2" t="inlineStr">
        <is>
          <t>no</t>
        </is>
      </c>
      <c r="AL232" s="2" t="inlineStr">
        <is>
          <t>no</t>
        </is>
      </c>
      <c r="AM232" s="2" t="n"/>
      <c r="AN232" s="2" t="n"/>
      <c r="AO232" s="2" t="n"/>
      <c r="AP232" s="2" t="inlineStr">
        <is>
          <t>v3_2026-03-19</t>
        </is>
      </c>
      <c r="AQ232">
        <f>(L232-Schema_v5!$C2)/(Schema_v5!$C3-Schema_v5!$C2)</f>
        <v/>
      </c>
      <c r="AR232">
        <f>(M232-Schema_v5!$C4)/(Schema_v5!$C5-Schema_v5!$C4)</f>
        <v/>
      </c>
      <c r="AS232">
        <f>N232/Schema_v5!$C6</f>
        <v/>
      </c>
      <c r="AT232">
        <f>O232/Schema_v5!$C7</f>
        <v/>
      </c>
      <c r="AU232">
        <f>P232/Schema_v5!$C8</f>
        <v/>
      </c>
      <c r="AV232">
        <f>IF(Schema_v5!$C9=0,0,AH232/Schema_v5!$C9)</f>
        <v/>
      </c>
      <c r="AW232">
        <f>IF(Schema_v5!$C10=0,0,AE232/Schema_v5!$C10)</f>
        <v/>
      </c>
      <c r="AX232">
        <f>(W232-Schema_v5!$C11)/(Schema_v5!$C12-Schema_v5!$C11)</f>
        <v/>
      </c>
      <c r="AY232">
        <f>(X232-Schema_v5!$C13)/(Schema_v5!$C14-Schema_v5!$C13)</f>
        <v/>
      </c>
    </row>
    <row r="233" ht="54.75" customHeight="1" s="10">
      <c r="A233" s="2" t="inlineStr">
        <is>
          <t>Q47_B</t>
        </is>
      </c>
      <c r="B233" s="2" t="n">
        <v>47</v>
      </c>
      <c r="C233" s="2" t="n">
        <v>47</v>
      </c>
      <c r="D233" s="2" t="inlineStr">
        <is>
          <t>Core</t>
        </is>
      </c>
      <c r="E233" s="2" t="n">
        <v>1.35</v>
      </c>
      <c r="F233" s="2" t="inlineStr">
        <is>
          <t>EmotionalNeeds</t>
        </is>
      </c>
      <c r="G233" s="2" t="inlineStr">
        <is>
          <t>IntimacyThreshold</t>
        </is>
      </c>
      <c r="H233" s="2" t="n"/>
      <c r="I233" s="2" t="inlineStr">
        <is>
          <t>B</t>
        </is>
      </c>
      <c r="J233" s="2" t="inlineStr">
        <is>
          <t>B</t>
        </is>
      </c>
      <c r="K233" s="2" t="inlineStr">
        <is>
          <t>Exposed. I wonder what they'll expect in return.</t>
        </is>
      </c>
      <c r="L233" s="2" t="n">
        <v>6</v>
      </c>
      <c r="M233" s="2" t="n">
        <v>7</v>
      </c>
      <c r="N233" s="2" t="n">
        <v>2</v>
      </c>
      <c r="O233" s="2" t="n">
        <v>2</v>
      </c>
      <c r="P233" s="2" t="n">
        <v>0</v>
      </c>
      <c r="Q233" s="2" t="inlineStr">
        <is>
          <t>Icebox</t>
        </is>
      </c>
      <c r="R233" s="2" t="n">
        <v>1</v>
      </c>
      <c r="S233" s="2" t="n"/>
      <c r="T233" s="2" t="n"/>
      <c r="U233" s="2" t="n">
        <v>0</v>
      </c>
      <c r="V233" s="2" t="inlineStr">
        <is>
          <t>masc:1.8;fem:-1.6</t>
        </is>
      </c>
      <c r="W233" s="2" t="n">
        <v>1.8</v>
      </c>
      <c r="X233" s="2" t="n">
        <v>-1.6</v>
      </c>
      <c r="Y233" s="2" t="inlineStr">
        <is>
          <t>COMM_Avoidant</t>
        </is>
      </c>
      <c r="Z233" s="2" t="inlineStr">
        <is>
          <t>REG_Suppressor</t>
        </is>
      </c>
      <c r="AA233" s="2" t="inlineStr">
        <is>
          <t>LANG_Time</t>
        </is>
      </c>
      <c r="AB233" s="2" t="inlineStr">
        <is>
          <t>Vulnerability_Loop</t>
        </is>
      </c>
      <c r="AC233" s="2" t="inlineStr">
        <is>
          <t>Vulnerability_Loop</t>
        </is>
      </c>
      <c r="AD233" s="2" t="n"/>
      <c r="AE233" s="2" t="n">
        <v>5</v>
      </c>
      <c r="AF233" s="2" t="inlineStr">
        <is>
          <t>transaction suspicion</t>
        </is>
      </c>
      <c r="AG233" s="2" t="inlineStr">
        <is>
          <t>guarded accepter</t>
        </is>
      </c>
      <c r="AH233" s="2" t="n">
        <v>0</v>
      </c>
      <c r="AI233" s="2" t="inlineStr">
        <is>
          <t>yes</t>
        </is>
      </c>
      <c r="AJ233" s="2" t="inlineStr">
        <is>
          <t>no</t>
        </is>
      </c>
      <c r="AK233" s="2" t="inlineStr">
        <is>
          <t>no</t>
        </is>
      </c>
      <c r="AL233" s="2" t="inlineStr">
        <is>
          <t>no</t>
        </is>
      </c>
      <c r="AM233" s="2" t="n"/>
      <c r="AN233" s="2" t="n"/>
      <c r="AO233" s="2" t="n"/>
      <c r="AP233" s="2" t="inlineStr">
        <is>
          <t>v3_2026-03-19</t>
        </is>
      </c>
      <c r="AQ233">
        <f>(L233-Schema_v5!$C2)/(Schema_v5!$C3-Schema_v5!$C2)</f>
        <v/>
      </c>
      <c r="AR233">
        <f>(M233-Schema_v5!$C4)/(Schema_v5!$C5-Schema_v5!$C4)</f>
        <v/>
      </c>
      <c r="AS233">
        <f>N233/Schema_v5!$C6</f>
        <v/>
      </c>
      <c r="AT233">
        <f>O233/Schema_v5!$C7</f>
        <v/>
      </c>
      <c r="AU233">
        <f>P233/Schema_v5!$C8</f>
        <v/>
      </c>
      <c r="AV233">
        <f>IF(Schema_v5!$C9=0,0,AH233/Schema_v5!$C9)</f>
        <v/>
      </c>
      <c r="AW233">
        <f>IF(Schema_v5!$C10=0,0,AE233/Schema_v5!$C10)</f>
        <v/>
      </c>
      <c r="AX233">
        <f>(W233-Schema_v5!$C11)/(Schema_v5!$C12-Schema_v5!$C11)</f>
        <v/>
      </c>
      <c r="AY233">
        <f>(X233-Schema_v5!$C13)/(Schema_v5!$C14-Schema_v5!$C13)</f>
        <v/>
      </c>
    </row>
    <row r="234" ht="54.75" customHeight="1" s="10">
      <c r="A234" s="2" t="inlineStr">
        <is>
          <t>Q47_C</t>
        </is>
      </c>
      <c r="B234" s="2" t="n">
        <v>47</v>
      </c>
      <c r="C234" s="2" t="n">
        <v>47</v>
      </c>
      <c r="D234" s="2" t="inlineStr">
        <is>
          <t>Core</t>
        </is>
      </c>
      <c r="E234" s="2" t="n">
        <v>1.35</v>
      </c>
      <c r="F234" s="2" t="inlineStr">
        <is>
          <t>EmotionalNeeds</t>
        </is>
      </c>
      <c r="G234" s="2" t="inlineStr">
        <is>
          <t>IntimacyThreshold</t>
        </is>
      </c>
      <c r="H234" s="2" t="n"/>
      <c r="I234" s="2" t="inlineStr">
        <is>
          <t>C</t>
        </is>
      </c>
      <c r="J234" s="2" t="inlineStr">
        <is>
          <t>C</t>
        </is>
      </c>
      <c r="K234" s="2" t="inlineStr">
        <is>
          <t>Relieved. It's rare. I try not to get too used to it.</t>
        </is>
      </c>
      <c r="L234" s="2" t="n">
        <v>7</v>
      </c>
      <c r="M234" s="2" t="n">
        <v>8</v>
      </c>
      <c r="N234" s="2" t="n">
        <v>6</v>
      </c>
      <c r="O234" s="2" t="n">
        <v>8</v>
      </c>
      <c r="P234" s="2" t="n">
        <v>6</v>
      </c>
      <c r="Q234" s="2" t="inlineStr">
        <is>
          <t>Survivor</t>
        </is>
      </c>
      <c r="R234" s="2" t="n">
        <v>8</v>
      </c>
      <c r="S234" s="2" t="n"/>
      <c r="T234" s="2" t="n"/>
      <c r="U234" s="2" t="n">
        <v>0</v>
      </c>
      <c r="V234" s="2" t="inlineStr">
        <is>
          <t>masc:0.3;fem:1.3</t>
        </is>
      </c>
      <c r="W234" s="2" t="n">
        <v>0.3</v>
      </c>
      <c r="X234" s="2" t="n">
        <v>1.3</v>
      </c>
      <c r="Y234" s="2" t="inlineStr">
        <is>
          <t>COMM_Emotional</t>
        </is>
      </c>
      <c r="Z234" s="2" t="inlineStr">
        <is>
          <t>REG_SelfSoother</t>
        </is>
      </c>
      <c r="AA234" s="2" t="inlineStr">
        <is>
          <t>LANG_Service</t>
        </is>
      </c>
      <c r="AB234" s="2" t="n"/>
      <c r="AC234" s="2" t="n"/>
      <c r="AD234" s="2" t="n"/>
      <c r="AE234" s="2" t="n">
        <v>0</v>
      </c>
      <c r="AF234" s="2" t="inlineStr">
        <is>
          <t>conditional ease</t>
        </is>
      </c>
      <c r="AG234" s="2" t="inlineStr">
        <is>
          <t>cautious truster</t>
        </is>
      </c>
      <c r="AH234" s="2" t="n">
        <v>0</v>
      </c>
      <c r="AI234" s="2" t="inlineStr">
        <is>
          <t>no</t>
        </is>
      </c>
      <c r="AJ234" s="2" t="inlineStr">
        <is>
          <t>no</t>
        </is>
      </c>
      <c r="AK234" s="2" t="inlineStr">
        <is>
          <t>no</t>
        </is>
      </c>
      <c r="AL234" s="2" t="inlineStr">
        <is>
          <t>no</t>
        </is>
      </c>
      <c r="AM234" s="2" t="n"/>
      <c r="AN234" s="2" t="n"/>
      <c r="AO234" s="2" t="n"/>
      <c r="AP234" s="2" t="inlineStr">
        <is>
          <t>v3_2026-03-19</t>
        </is>
      </c>
      <c r="AQ234">
        <f>(L234-Schema_v5!$C2)/(Schema_v5!$C3-Schema_v5!$C2)</f>
        <v/>
      </c>
      <c r="AR234">
        <f>(M234-Schema_v5!$C4)/(Schema_v5!$C5-Schema_v5!$C4)</f>
        <v/>
      </c>
      <c r="AS234">
        <f>N234/Schema_v5!$C6</f>
        <v/>
      </c>
      <c r="AT234">
        <f>O234/Schema_v5!$C7</f>
        <v/>
      </c>
      <c r="AU234">
        <f>P234/Schema_v5!$C8</f>
        <v/>
      </c>
      <c r="AV234">
        <f>IF(Schema_v5!$C9=0,0,AH234/Schema_v5!$C9)</f>
        <v/>
      </c>
      <c r="AW234">
        <f>IF(Schema_v5!$C10=0,0,AE234/Schema_v5!$C10)</f>
        <v/>
      </c>
      <c r="AX234">
        <f>(W234-Schema_v5!$C11)/(Schema_v5!$C12-Schema_v5!$C11)</f>
        <v/>
      </c>
      <c r="AY234">
        <f>(X234-Schema_v5!$C13)/(Schema_v5!$C14-Schema_v5!$C13)</f>
        <v/>
      </c>
    </row>
    <row r="235" ht="81" customHeight="1" s="10">
      <c r="A235" s="2" t="inlineStr">
        <is>
          <t>Q47_D</t>
        </is>
      </c>
      <c r="B235" s="2" t="n">
        <v>47</v>
      </c>
      <c r="C235" s="2" t="n">
        <v>47</v>
      </c>
      <c r="D235" s="2" t="inlineStr">
        <is>
          <t>Core</t>
        </is>
      </c>
      <c r="E235" s="2" t="n">
        <v>1.35</v>
      </c>
      <c r="F235" s="2" t="inlineStr">
        <is>
          <t>EmotionalNeeds</t>
        </is>
      </c>
      <c r="G235" s="2" t="inlineStr">
        <is>
          <t>IntimacyThreshold</t>
        </is>
      </c>
      <c r="H235" s="2" t="n"/>
      <c r="I235" s="2" t="inlineStr">
        <is>
          <t>D</t>
        </is>
      </c>
      <c r="J235" s="2" t="inlineStr">
        <is>
          <t>D</t>
        </is>
      </c>
      <c r="K235" s="2" t="inlineStr">
        <is>
          <t>Skeptical. I question whether it's genuine or just temporary.</t>
        </is>
      </c>
      <c r="L235" s="2" t="n">
        <v>6</v>
      </c>
      <c r="M235" s="2" t="n">
        <v>7</v>
      </c>
      <c r="N235" s="2" t="n">
        <v>4</v>
      </c>
      <c r="O235" s="2" t="n">
        <v>6</v>
      </c>
      <c r="P235" s="2" t="n">
        <v>4</v>
      </c>
      <c r="Q235" s="2" t="inlineStr">
        <is>
          <t>Analyzer</t>
        </is>
      </c>
      <c r="R235" s="2" t="n">
        <v>2</v>
      </c>
      <c r="S235" s="2" t="n"/>
      <c r="T235" s="2" t="n"/>
      <c r="U235" s="2" t="n">
        <v>0</v>
      </c>
      <c r="V235" s="2" t="inlineStr">
        <is>
          <t>masc:1.4;fem:0.1</t>
        </is>
      </c>
      <c r="W235" s="2" t="n">
        <v>1.4</v>
      </c>
      <c r="X235" s="2" t="n">
        <v>0.1</v>
      </c>
      <c r="Y235" s="2" t="inlineStr">
        <is>
          <t>COMM_Logical</t>
        </is>
      </c>
      <c r="Z235" s="2" t="inlineStr">
        <is>
          <t>REG_SelfSoother</t>
        </is>
      </c>
      <c r="AA235" s="2" t="inlineStr">
        <is>
          <t>LANG_Service</t>
        </is>
      </c>
      <c r="AB235" s="2" t="inlineStr">
        <is>
          <t>Vulnerability_Loop</t>
        </is>
      </c>
      <c r="AC235" s="2" t="inlineStr">
        <is>
          <t>Vulnerability_Loop</t>
        </is>
      </c>
      <c r="AD235" s="2" t="n"/>
      <c r="AE235" s="2" t="n">
        <v>5</v>
      </c>
      <c r="AF235" s="2" t="inlineStr">
        <is>
          <t>authenticity test mode</t>
        </is>
      </c>
      <c r="AG235" s="2" t="inlineStr">
        <is>
          <t>motive checker</t>
        </is>
      </c>
      <c r="AH235" s="2" t="n">
        <v>0.6</v>
      </c>
      <c r="AI235" s="2" t="inlineStr">
        <is>
          <t>yes</t>
        </is>
      </c>
      <c r="AJ235" s="2" t="inlineStr">
        <is>
          <t>no</t>
        </is>
      </c>
      <c r="AK235" s="2" t="inlineStr">
        <is>
          <t>no</t>
        </is>
      </c>
      <c r="AL235" s="2" t="inlineStr">
        <is>
          <t>no</t>
        </is>
      </c>
      <c r="AM235" s="2" t="n"/>
      <c r="AN235" s="2" t="n"/>
      <c r="AO235" s="2" t="n"/>
      <c r="AP235" s="2" t="inlineStr">
        <is>
          <t>v3_2026-03-19</t>
        </is>
      </c>
      <c r="AQ235">
        <f>(L235-Schema_v5!$C2)/(Schema_v5!$C3-Schema_v5!$C2)</f>
        <v/>
      </c>
      <c r="AR235">
        <f>(M235-Schema_v5!$C4)/(Schema_v5!$C5-Schema_v5!$C4)</f>
        <v/>
      </c>
      <c r="AS235">
        <f>N235/Schema_v5!$C6</f>
        <v/>
      </c>
      <c r="AT235">
        <f>O235/Schema_v5!$C7</f>
        <v/>
      </c>
      <c r="AU235">
        <f>P235/Schema_v5!$C8</f>
        <v/>
      </c>
      <c r="AV235">
        <f>IF(Schema_v5!$C9=0,0,AH235/Schema_v5!$C9)</f>
        <v/>
      </c>
      <c r="AW235">
        <f>IF(Schema_v5!$C10=0,0,AE235/Schema_v5!$C10)</f>
        <v/>
      </c>
      <c r="AX235">
        <f>(W235-Schema_v5!$C11)/(Schema_v5!$C12-Schema_v5!$C11)</f>
        <v/>
      </c>
      <c r="AY235">
        <f>(X235-Schema_v5!$C13)/(Schema_v5!$C14-Schema_v5!$C13)</f>
        <v/>
      </c>
    </row>
    <row r="236" ht="108" customHeight="1" s="10">
      <c r="A236" s="2" t="inlineStr">
        <is>
          <t>Q47_E</t>
        </is>
      </c>
      <c r="B236" s="2" t="n">
        <v>47</v>
      </c>
      <c r="C236" s="2" t="n">
        <v>47</v>
      </c>
      <c r="D236" s="2" t="inlineStr">
        <is>
          <t>Core</t>
        </is>
      </c>
      <c r="E236" s="2" t="n">
        <v>1.35</v>
      </c>
      <c r="F236" s="2" t="inlineStr">
        <is>
          <t>EmotionalNeeds</t>
        </is>
      </c>
      <c r="G236" s="2" t="inlineStr">
        <is>
          <t>IntimacyThreshold</t>
        </is>
      </c>
      <c r="H236" s="2" t="n"/>
      <c r="I236" s="2" t="inlineStr">
        <is>
          <t>E</t>
        </is>
      </c>
      <c r="J236" s="2" t="inlineStr">
        <is>
          <t>E</t>
        </is>
      </c>
      <c r="K236" s="2" t="inlineStr">
        <is>
          <t>Grateful. It feels earned somehow, like the healing version of what I always needed.</t>
        </is>
      </c>
      <c r="L236" s="2" t="n">
        <v>9</v>
      </c>
      <c r="M236" s="2" t="n">
        <v>9</v>
      </c>
      <c r="N236" s="2" t="n">
        <v>8</v>
      </c>
      <c r="O236" s="2" t="n">
        <v>8</v>
      </c>
      <c r="P236" s="2" t="n">
        <v>6</v>
      </c>
      <c r="Q236" s="2" t="inlineStr">
        <is>
          <t>Romantic Idealist</t>
        </is>
      </c>
      <c r="R236" s="2" t="n">
        <v>6</v>
      </c>
      <c r="S236" s="2" t="n"/>
      <c r="T236" s="2" t="n"/>
      <c r="U236" s="2" t="n">
        <v>0</v>
      </c>
      <c r="V236" s="2" t="inlineStr">
        <is>
          <t>masc:-0.4;fem:1.5</t>
        </is>
      </c>
      <c r="W236" s="2" t="n">
        <v>-0.4</v>
      </c>
      <c r="X236" s="2" t="n">
        <v>1.5</v>
      </c>
      <c r="Y236" s="2" t="inlineStr">
        <is>
          <t>COMM_Emotional</t>
        </is>
      </c>
      <c r="Z236" s="2" t="inlineStr">
        <is>
          <t>REG_Distractor</t>
        </is>
      </c>
      <c r="AA236" s="2" t="inlineStr">
        <is>
          <t>LANG_Gifts</t>
        </is>
      </c>
      <c r="AB236" s="2" t="n"/>
      <c r="AC236" s="2" t="n"/>
      <c r="AD236" s="2" t="n"/>
      <c r="AE236" s="2" t="n">
        <v>0</v>
      </c>
      <c r="AF236" s="2" t="inlineStr">
        <is>
          <t>fulfilled longing</t>
        </is>
      </c>
      <c r="AG236" s="2" t="inlineStr">
        <is>
          <t>open-hearted receiver</t>
        </is>
      </c>
      <c r="AH236" s="2" t="n">
        <v>0</v>
      </c>
      <c r="AI236" s="2" t="inlineStr">
        <is>
          <t>no</t>
        </is>
      </c>
      <c r="AJ236" s="2" t="inlineStr">
        <is>
          <t>no</t>
        </is>
      </c>
      <c r="AK236" s="2" t="inlineStr">
        <is>
          <t>no</t>
        </is>
      </c>
      <c r="AL236" s="2" t="inlineStr">
        <is>
          <t>no</t>
        </is>
      </c>
      <c r="AM236" s="2" t="n"/>
      <c r="AN236" s="2" t="n"/>
      <c r="AO236" s="2" t="n"/>
      <c r="AP236" s="2" t="inlineStr">
        <is>
          <t>v3_2026-03-19</t>
        </is>
      </c>
      <c r="AQ236">
        <f>(L236-Schema_v5!$C2)/(Schema_v5!$C3-Schema_v5!$C2)</f>
        <v/>
      </c>
      <c r="AR236">
        <f>(M236-Schema_v5!$C4)/(Schema_v5!$C5-Schema_v5!$C4)</f>
        <v/>
      </c>
      <c r="AS236">
        <f>N236/Schema_v5!$C6</f>
        <v/>
      </c>
      <c r="AT236">
        <f>O236/Schema_v5!$C7</f>
        <v/>
      </c>
      <c r="AU236">
        <f>P236/Schema_v5!$C8</f>
        <v/>
      </c>
      <c r="AV236">
        <f>IF(Schema_v5!$C9=0,0,AH236/Schema_v5!$C9)</f>
        <v/>
      </c>
      <c r="AW236">
        <f>IF(Schema_v5!$C10=0,0,AE236/Schema_v5!$C10)</f>
        <v/>
      </c>
      <c r="AX236">
        <f>(W236-Schema_v5!$C11)/(Schema_v5!$C12-Schema_v5!$C11)</f>
        <v/>
      </c>
      <c r="AY236">
        <f>(X236-Schema_v5!$C13)/(Schema_v5!$C14-Schema_v5!$C13)</f>
        <v/>
      </c>
    </row>
    <row r="237" ht="121.5" customHeight="1" s="10">
      <c r="A237" s="2" t="inlineStr">
        <is>
          <t>Q48_A</t>
        </is>
      </c>
      <c r="B237" s="2" t="n">
        <v>48</v>
      </c>
      <c r="C237" s="2" t="n">
        <v>48</v>
      </c>
      <c r="D237" s="2" t="inlineStr">
        <is>
          <t>Core</t>
        </is>
      </c>
      <c r="E237" s="2" t="n">
        <v>1.35</v>
      </c>
      <c r="F237" s="2" t="inlineStr">
        <is>
          <t>EmotionalNeeds</t>
        </is>
      </c>
      <c r="G237" s="2" t="inlineStr">
        <is>
          <t>IntimacyThreshold</t>
        </is>
      </c>
      <c r="H237" s="2" t="inlineStr">
        <is>
          <t>Things are going well. Emotionally steady, mutual effort, real connection. What's the moment you usually flinch?</t>
        </is>
      </c>
      <c r="I237" s="2" t="inlineStr">
        <is>
          <t>A</t>
        </is>
      </c>
      <c r="J237" s="2" t="inlineStr">
        <is>
          <t>A</t>
        </is>
      </c>
      <c r="K237" s="2" t="inlineStr">
        <is>
          <t>When they start asking deeper questions. I don't like being studied.</t>
        </is>
      </c>
      <c r="L237" s="2" t="n">
        <v>6</v>
      </c>
      <c r="M237" s="2" t="n">
        <v>7</v>
      </c>
      <c r="N237" s="2" t="n">
        <v>2</v>
      </c>
      <c r="O237" s="2" t="n">
        <v>2</v>
      </c>
      <c r="P237" s="2" t="n">
        <v>0</v>
      </c>
      <c r="Q237" s="2" t="inlineStr">
        <is>
          <t>Icebox</t>
        </is>
      </c>
      <c r="R237" s="2" t="n">
        <v>1</v>
      </c>
      <c r="S237" s="2" t="n"/>
      <c r="T237" s="2" t="n"/>
      <c r="U237" s="2" t="n">
        <v>0</v>
      </c>
      <c r="V237" s="2" t="inlineStr">
        <is>
          <t>masc:1.8;fem:-1.6</t>
        </is>
      </c>
      <c r="W237" s="2" t="n">
        <v>1.8</v>
      </c>
      <c r="X237" s="2" t="n">
        <v>-1.6</v>
      </c>
      <c r="Y237" s="2" t="inlineStr">
        <is>
          <t>COMM_Avoidant</t>
        </is>
      </c>
      <c r="Z237" s="2" t="inlineStr">
        <is>
          <t>REG_Suppressor</t>
        </is>
      </c>
      <c r="AA237" s="2" t="inlineStr">
        <is>
          <t>LANG_Time</t>
        </is>
      </c>
      <c r="AB237" s="2" t="inlineStr">
        <is>
          <t>Vulnerability_Loop</t>
        </is>
      </c>
      <c r="AC237" s="2" t="inlineStr">
        <is>
          <t>Vulnerability_Loop</t>
        </is>
      </c>
      <c r="AD237" s="2" t="n"/>
      <c r="AE237" s="2" t="n">
        <v>5</v>
      </c>
      <c r="AF237" s="2" t="inlineStr">
        <is>
          <t>intimacy evasion reflex</t>
        </is>
      </c>
      <c r="AG237" s="2" t="inlineStr">
        <is>
          <t>guarded sharer</t>
        </is>
      </c>
      <c r="AH237" s="2" t="n">
        <v>0</v>
      </c>
      <c r="AI237" s="2" t="inlineStr">
        <is>
          <t>yes</t>
        </is>
      </c>
      <c r="AJ237" s="2" t="inlineStr">
        <is>
          <t>no</t>
        </is>
      </c>
      <c r="AK237" s="2" t="inlineStr">
        <is>
          <t>no</t>
        </is>
      </c>
      <c r="AL237" s="2" t="inlineStr">
        <is>
          <t>no</t>
        </is>
      </c>
      <c r="AM237" s="2" t="n"/>
      <c r="AN237" s="2" t="n"/>
      <c r="AO237" s="2" t="n"/>
      <c r="AP237" s="2" t="inlineStr">
        <is>
          <t>v3_2026-03-19</t>
        </is>
      </c>
      <c r="AQ237">
        <f>(L237-Schema_v5!$C2)/(Schema_v5!$C3-Schema_v5!$C2)</f>
        <v/>
      </c>
      <c r="AR237">
        <f>(M237-Schema_v5!$C4)/(Schema_v5!$C5-Schema_v5!$C4)</f>
        <v/>
      </c>
      <c r="AS237">
        <f>N237/Schema_v5!$C6</f>
        <v/>
      </c>
      <c r="AT237">
        <f>O237/Schema_v5!$C7</f>
        <v/>
      </c>
      <c r="AU237">
        <f>P237/Schema_v5!$C8</f>
        <v/>
      </c>
      <c r="AV237">
        <f>IF(Schema_v5!$C9=0,0,AH237/Schema_v5!$C9)</f>
        <v/>
      </c>
      <c r="AW237">
        <f>IF(Schema_v5!$C10=0,0,AE237/Schema_v5!$C10)</f>
        <v/>
      </c>
      <c r="AX237">
        <f>(W237-Schema_v5!$C11)/(Schema_v5!$C12-Schema_v5!$C11)</f>
        <v/>
      </c>
      <c r="AY237">
        <f>(X237-Schema_v5!$C13)/(Schema_v5!$C14-Schema_v5!$C13)</f>
        <v/>
      </c>
    </row>
    <row r="238" ht="68.25" customHeight="1" s="10">
      <c r="A238" s="2" t="inlineStr">
        <is>
          <t>Q48_B</t>
        </is>
      </c>
      <c r="B238" s="2" t="n">
        <v>48</v>
      </c>
      <c r="C238" s="2" t="n">
        <v>48</v>
      </c>
      <c r="D238" s="2" t="inlineStr">
        <is>
          <t>Core</t>
        </is>
      </c>
      <c r="E238" s="2" t="n">
        <v>1.35</v>
      </c>
      <c r="F238" s="2" t="inlineStr">
        <is>
          <t>EmotionalNeeds</t>
        </is>
      </c>
      <c r="G238" s="2" t="inlineStr">
        <is>
          <t>IntimacyThreshold</t>
        </is>
      </c>
      <c r="H238" s="2" t="n"/>
      <c r="I238" s="2" t="inlineStr">
        <is>
          <t>B</t>
        </is>
      </c>
      <c r="J238" s="2" t="inlineStr">
        <is>
          <t>B</t>
        </is>
      </c>
      <c r="K238" s="2" t="inlineStr">
        <is>
          <t>When I can't tell how they're really feeling. I hate guessing.</t>
        </is>
      </c>
      <c r="L238" s="2" t="n">
        <v>5</v>
      </c>
      <c r="M238" s="2" t="n">
        <v>6</v>
      </c>
      <c r="N238" s="2" t="n">
        <v>2</v>
      </c>
      <c r="O238" s="2" t="n">
        <v>4</v>
      </c>
      <c r="P238" s="2" t="n">
        <v>2</v>
      </c>
      <c r="Q238" s="2" t="inlineStr">
        <is>
          <t>Phantom Seeker</t>
        </is>
      </c>
      <c r="R238" s="2" t="n">
        <v>10</v>
      </c>
      <c r="S238" s="2" t="n"/>
      <c r="T238" s="2" t="n"/>
      <c r="U238" s="2" t="n">
        <v>0</v>
      </c>
      <c r="V238" s="2" t="inlineStr">
        <is>
          <t>masc:-0.2;fem:1.5</t>
        </is>
      </c>
      <c r="W238" s="2" t="n">
        <v>-0.2</v>
      </c>
      <c r="X238" s="2" t="n">
        <v>1.5</v>
      </c>
      <c r="Y238" s="2" t="inlineStr">
        <is>
          <t>COMM_Emotional</t>
        </is>
      </c>
      <c r="Z238" s="2" t="inlineStr">
        <is>
          <t>REG_SelfSoother</t>
        </is>
      </c>
      <c r="AA238" s="2" t="inlineStr">
        <is>
          <t>LANG_Touch</t>
        </is>
      </c>
      <c r="AB238" s="2" t="inlineStr">
        <is>
          <t>Vulnerability_Loop</t>
        </is>
      </c>
      <c r="AC238" s="2" t="inlineStr">
        <is>
          <t>Vulnerability_Loop</t>
        </is>
      </c>
      <c r="AD238" s="2" t="n"/>
      <c r="AE238" s="2" t="n">
        <v>5</v>
      </c>
      <c r="AF238" s="2" t="inlineStr">
        <is>
          <t>emotional uncertainty freeze</t>
        </is>
      </c>
      <c r="AG238" s="2" t="inlineStr">
        <is>
          <t>clarity craver</t>
        </is>
      </c>
      <c r="AH238" s="2" t="n">
        <v>0.2</v>
      </c>
      <c r="AI238" s="2" t="inlineStr">
        <is>
          <t>yes</t>
        </is>
      </c>
      <c r="AJ238" s="2" t="inlineStr">
        <is>
          <t>no</t>
        </is>
      </c>
      <c r="AK238" s="2" t="inlineStr">
        <is>
          <t>no</t>
        </is>
      </c>
      <c r="AL238" s="2" t="inlineStr">
        <is>
          <t>no</t>
        </is>
      </c>
      <c r="AM238" s="2" t="n"/>
      <c r="AN238" s="2" t="n"/>
      <c r="AO238" s="2" t="n"/>
      <c r="AP238" s="2" t="inlineStr">
        <is>
          <t>v3_2026-03-19</t>
        </is>
      </c>
      <c r="AQ238">
        <f>(L238-Schema_v5!$C2)/(Schema_v5!$C3-Schema_v5!$C2)</f>
        <v/>
      </c>
      <c r="AR238">
        <f>(M238-Schema_v5!$C4)/(Schema_v5!$C5-Schema_v5!$C4)</f>
        <v/>
      </c>
      <c r="AS238">
        <f>N238/Schema_v5!$C6</f>
        <v/>
      </c>
      <c r="AT238">
        <f>O238/Schema_v5!$C7</f>
        <v/>
      </c>
      <c r="AU238">
        <f>P238/Schema_v5!$C8</f>
        <v/>
      </c>
      <c r="AV238">
        <f>IF(Schema_v5!$C9=0,0,AH238/Schema_v5!$C9)</f>
        <v/>
      </c>
      <c r="AW238">
        <f>IF(Schema_v5!$C10=0,0,AE238/Schema_v5!$C10)</f>
        <v/>
      </c>
      <c r="AX238">
        <f>(W238-Schema_v5!$C11)/(Schema_v5!$C12-Schema_v5!$C11)</f>
        <v/>
      </c>
      <c r="AY238">
        <f>(X238-Schema_v5!$C13)/(Schema_v5!$C14-Schema_v5!$C13)</f>
        <v/>
      </c>
    </row>
    <row r="239" ht="81" customHeight="1" s="10">
      <c r="A239" s="2" t="inlineStr">
        <is>
          <t>Q48_C</t>
        </is>
      </c>
      <c r="B239" s="2" t="n">
        <v>48</v>
      </c>
      <c r="C239" s="2" t="n">
        <v>48</v>
      </c>
      <c r="D239" s="2" t="inlineStr">
        <is>
          <t>Core</t>
        </is>
      </c>
      <c r="E239" s="2" t="n">
        <v>1.35</v>
      </c>
      <c r="F239" s="2" t="inlineStr">
        <is>
          <t>EmotionalNeeds</t>
        </is>
      </c>
      <c r="G239" s="2" t="inlineStr">
        <is>
          <t>IntimacyThreshold</t>
        </is>
      </c>
      <c r="H239" s="2" t="n"/>
      <c r="I239" s="2" t="inlineStr">
        <is>
          <t>C</t>
        </is>
      </c>
      <c r="J239" s="2" t="inlineStr">
        <is>
          <t>C</t>
        </is>
      </c>
      <c r="K239" s="2" t="inlineStr">
        <is>
          <t>When they stop doing the little things-I start wondering if I misread it all.</t>
        </is>
      </c>
      <c r="L239" s="2" t="n">
        <v>7</v>
      </c>
      <c r="M239" s="2" t="n">
        <v>8</v>
      </c>
      <c r="N239" s="2" t="n">
        <v>6</v>
      </c>
      <c r="O239" s="2" t="n">
        <v>8</v>
      </c>
      <c r="P239" s="2" t="n">
        <v>6</v>
      </c>
      <c r="Q239" s="2" t="inlineStr">
        <is>
          <t>Analyzer</t>
        </is>
      </c>
      <c r="R239" s="2" t="n">
        <v>2</v>
      </c>
      <c r="S239" s="2" t="n"/>
      <c r="T239" s="2" t="n"/>
      <c r="U239" s="2" t="n">
        <v>0</v>
      </c>
      <c r="V239" s="2" t="inlineStr">
        <is>
          <t>masc:1.4;fem:0.1</t>
        </is>
      </c>
      <c r="W239" s="2" t="n">
        <v>1.4</v>
      </c>
      <c r="X239" s="2" t="n">
        <v>0.1</v>
      </c>
      <c r="Y239" s="2" t="inlineStr">
        <is>
          <t>COMM_Logical</t>
        </is>
      </c>
      <c r="Z239" s="2" t="inlineStr">
        <is>
          <t>REG_SelfSoother</t>
        </is>
      </c>
      <c r="AA239" s="2" t="inlineStr">
        <is>
          <t>LANG_Service</t>
        </is>
      </c>
      <c r="AB239" s="2" t="n"/>
      <c r="AC239" s="2" t="n"/>
      <c r="AD239" s="2" t="n"/>
      <c r="AE239" s="2" t="n">
        <v>0</v>
      </c>
      <c r="AF239" s="2" t="inlineStr">
        <is>
          <t>micro-shift alarm system</t>
        </is>
      </c>
      <c r="AG239" s="2" t="inlineStr">
        <is>
          <t>detail watcher</t>
        </is>
      </c>
      <c r="AH239" s="2" t="n">
        <v>0</v>
      </c>
      <c r="AI239" s="2" t="inlineStr">
        <is>
          <t>no</t>
        </is>
      </c>
      <c r="AJ239" s="2" t="inlineStr">
        <is>
          <t>no</t>
        </is>
      </c>
      <c r="AK239" s="2" t="inlineStr">
        <is>
          <t>no</t>
        </is>
      </c>
      <c r="AL239" s="2" t="inlineStr">
        <is>
          <t>no</t>
        </is>
      </c>
      <c r="AM239" s="2" t="n"/>
      <c r="AN239" s="2" t="n"/>
      <c r="AO239" s="2" t="n"/>
      <c r="AP239" s="2" t="inlineStr">
        <is>
          <t>v3_2026-03-19</t>
        </is>
      </c>
      <c r="AQ239">
        <f>(L239-Schema_v5!$C2)/(Schema_v5!$C3-Schema_v5!$C2)</f>
        <v/>
      </c>
      <c r="AR239">
        <f>(M239-Schema_v5!$C4)/(Schema_v5!$C5-Schema_v5!$C4)</f>
        <v/>
      </c>
      <c r="AS239">
        <f>N239/Schema_v5!$C6</f>
        <v/>
      </c>
      <c r="AT239">
        <f>O239/Schema_v5!$C7</f>
        <v/>
      </c>
      <c r="AU239">
        <f>P239/Schema_v5!$C8</f>
        <v/>
      </c>
      <c r="AV239">
        <f>IF(Schema_v5!$C9=0,0,AH239/Schema_v5!$C9)</f>
        <v/>
      </c>
      <c r="AW239">
        <f>IF(Schema_v5!$C10=0,0,AE239/Schema_v5!$C10)</f>
        <v/>
      </c>
      <c r="AX239">
        <f>(W239-Schema_v5!$C11)/(Schema_v5!$C12-Schema_v5!$C11)</f>
        <v/>
      </c>
      <c r="AY239">
        <f>(X239-Schema_v5!$C13)/(Schema_v5!$C14-Schema_v5!$C13)</f>
        <v/>
      </c>
    </row>
    <row r="240" ht="81" customHeight="1" s="10">
      <c r="A240" s="2" t="inlineStr">
        <is>
          <t>Q48_D</t>
        </is>
      </c>
      <c r="B240" s="2" t="n">
        <v>48</v>
      </c>
      <c r="C240" s="2" t="n">
        <v>48</v>
      </c>
      <c r="D240" s="2" t="inlineStr">
        <is>
          <t>Core</t>
        </is>
      </c>
      <c r="E240" s="2" t="n">
        <v>1.35</v>
      </c>
      <c r="F240" s="2" t="inlineStr">
        <is>
          <t>EmotionalNeeds</t>
        </is>
      </c>
      <c r="G240" s="2" t="inlineStr">
        <is>
          <t>IntimacyThreshold</t>
        </is>
      </c>
      <c r="H240" s="2" t="n"/>
      <c r="I240" s="2" t="inlineStr">
        <is>
          <t>D</t>
        </is>
      </c>
      <c r="J240" s="2" t="inlineStr">
        <is>
          <t>D</t>
        </is>
      </c>
      <c r="K240" s="2" t="inlineStr">
        <is>
          <t>When they show up too much. I get overwhelmed and start backing up.</t>
        </is>
      </c>
      <c r="L240" s="2" t="n">
        <v>5</v>
      </c>
      <c r="M240" s="2" t="n">
        <v>6</v>
      </c>
      <c r="N240" s="2" t="n">
        <v>4</v>
      </c>
      <c r="O240" s="2" t="n">
        <v>4</v>
      </c>
      <c r="P240" s="2" t="n">
        <v>4</v>
      </c>
      <c r="Q240" s="2" t="inlineStr">
        <is>
          <t>Survivor</t>
        </is>
      </c>
      <c r="R240" s="2" t="n">
        <v>8</v>
      </c>
      <c r="S240" s="2" t="n"/>
      <c r="T240" s="2" t="n"/>
      <c r="U240" s="2" t="n">
        <v>0</v>
      </c>
      <c r="V240" s="2" t="inlineStr">
        <is>
          <t>masc:0.3;fem:1.3</t>
        </is>
      </c>
      <c r="W240" s="2" t="n">
        <v>0.3</v>
      </c>
      <c r="X240" s="2" t="n">
        <v>1.3</v>
      </c>
      <c r="Y240" s="2" t="inlineStr">
        <is>
          <t>COMM_Emotional</t>
        </is>
      </c>
      <c r="Z240" s="2" t="inlineStr">
        <is>
          <t>REG_SelfSoother</t>
        </is>
      </c>
      <c r="AA240" s="2" t="inlineStr">
        <is>
          <t>LANG_Service</t>
        </is>
      </c>
      <c r="AB240" s="2" t="inlineStr">
        <is>
          <t>Vulnerability_Loop</t>
        </is>
      </c>
      <c r="AC240" s="2" t="inlineStr">
        <is>
          <t>Vulnerability_Loop</t>
        </is>
      </c>
      <c r="AD240" s="2" t="n"/>
      <c r="AE240" s="2" t="n">
        <v>5</v>
      </c>
      <c r="AF240" s="2" t="inlineStr">
        <is>
          <t>safety overload reflex</t>
        </is>
      </c>
      <c r="AG240" s="2" t="inlineStr">
        <is>
          <t>slow stepper</t>
        </is>
      </c>
      <c r="AH240" s="2" t="n">
        <v>0</v>
      </c>
      <c r="AI240" s="2" t="inlineStr">
        <is>
          <t>yes</t>
        </is>
      </c>
      <c r="AJ240" s="2" t="inlineStr">
        <is>
          <t>no</t>
        </is>
      </c>
      <c r="AK240" s="2" t="inlineStr">
        <is>
          <t>no</t>
        </is>
      </c>
      <c r="AL240" s="2" t="inlineStr">
        <is>
          <t>no</t>
        </is>
      </c>
      <c r="AM240" s="2" t="n"/>
      <c r="AN240" s="2" t="n"/>
      <c r="AO240" s="2" t="n"/>
      <c r="AP240" s="2" t="inlineStr">
        <is>
          <t>v3_2026-03-19</t>
        </is>
      </c>
      <c r="AQ240">
        <f>(L240-Schema_v5!$C2)/(Schema_v5!$C3-Schema_v5!$C2)</f>
        <v/>
      </c>
      <c r="AR240">
        <f>(M240-Schema_v5!$C4)/(Schema_v5!$C5-Schema_v5!$C4)</f>
        <v/>
      </c>
      <c r="AS240">
        <f>N240/Schema_v5!$C6</f>
        <v/>
      </c>
      <c r="AT240">
        <f>O240/Schema_v5!$C7</f>
        <v/>
      </c>
      <c r="AU240">
        <f>P240/Schema_v5!$C8</f>
        <v/>
      </c>
      <c r="AV240">
        <f>IF(Schema_v5!$C9=0,0,AH240/Schema_v5!$C9)</f>
        <v/>
      </c>
      <c r="AW240">
        <f>IF(Schema_v5!$C10=0,0,AE240/Schema_v5!$C10)</f>
        <v/>
      </c>
      <c r="AX240">
        <f>(W240-Schema_v5!$C11)/(Schema_v5!$C12-Schema_v5!$C11)</f>
        <v/>
      </c>
      <c r="AY240">
        <f>(X240-Schema_v5!$C13)/(Schema_v5!$C14-Schema_v5!$C13)</f>
        <v/>
      </c>
    </row>
    <row r="241" ht="81" customHeight="1" s="10">
      <c r="A241" s="2" t="inlineStr">
        <is>
          <t>Q48_E</t>
        </is>
      </c>
      <c r="B241" s="2" t="n">
        <v>48</v>
      </c>
      <c r="C241" s="2" t="n">
        <v>48</v>
      </c>
      <c r="D241" s="2" t="inlineStr">
        <is>
          <t>Core</t>
        </is>
      </c>
      <c r="E241" s="2" t="n">
        <v>1.35</v>
      </c>
      <c r="F241" s="2" t="inlineStr">
        <is>
          <t>EmotionalNeeds</t>
        </is>
      </c>
      <c r="G241" s="2" t="inlineStr">
        <is>
          <t>IntimacyThreshold</t>
        </is>
      </c>
      <c r="H241" s="2" t="n"/>
      <c r="I241" s="2" t="inlineStr">
        <is>
          <t>E</t>
        </is>
      </c>
      <c r="J241" s="2" t="inlineStr">
        <is>
          <t>E</t>
        </is>
      </c>
      <c r="K241" s="2" t="inlineStr">
        <is>
          <t>When I finally exhale-and realize I don't fully trust that peace yet.</t>
        </is>
      </c>
      <c r="L241" s="2" t="n">
        <v>8</v>
      </c>
      <c r="M241" s="2" t="n">
        <v>9</v>
      </c>
      <c r="N241" s="2" t="n">
        <v>6</v>
      </c>
      <c r="O241" s="2" t="n">
        <v>8</v>
      </c>
      <c r="P241" s="2" t="n">
        <v>6</v>
      </c>
      <c r="Q241" s="2" t="inlineStr">
        <is>
          <t>Romantic Idealist</t>
        </is>
      </c>
      <c r="R241" s="2" t="n">
        <v>6</v>
      </c>
      <c r="S241" s="2" t="n"/>
      <c r="T241" s="2" t="n"/>
      <c r="U241" s="2" t="n">
        <v>0</v>
      </c>
      <c r="V241" s="2" t="inlineStr">
        <is>
          <t>masc:-0.4;fem:1.5</t>
        </is>
      </c>
      <c r="W241" s="2" t="n">
        <v>-0.4</v>
      </c>
      <c r="X241" s="2" t="n">
        <v>1.5</v>
      </c>
      <c r="Y241" s="2" t="inlineStr">
        <is>
          <t>COMM_Emotional</t>
        </is>
      </c>
      <c r="Z241" s="2" t="inlineStr">
        <is>
          <t>REG_Distractor</t>
        </is>
      </c>
      <c r="AA241" s="2" t="inlineStr">
        <is>
          <t>LANG_Gifts</t>
        </is>
      </c>
      <c r="AB241" s="2" t="n"/>
      <c r="AC241" s="2" t="n"/>
      <c r="AD241" s="2" t="n"/>
      <c r="AE241" s="2" t="n">
        <v>0</v>
      </c>
      <c r="AF241" s="2" t="inlineStr">
        <is>
          <t>joy with a flinch</t>
        </is>
      </c>
      <c r="AG241" s="2" t="inlineStr">
        <is>
          <t>wary dreamer</t>
        </is>
      </c>
      <c r="AH241" s="2" t="n">
        <v>0</v>
      </c>
      <c r="AI241" s="2" t="inlineStr">
        <is>
          <t>no</t>
        </is>
      </c>
      <c r="AJ241" s="2" t="inlineStr">
        <is>
          <t>no</t>
        </is>
      </c>
      <c r="AK241" s="2" t="inlineStr">
        <is>
          <t>no</t>
        </is>
      </c>
      <c r="AL241" s="2" t="inlineStr">
        <is>
          <t>no</t>
        </is>
      </c>
      <c r="AM241" s="2" t="n"/>
      <c r="AN241" s="2" t="n"/>
      <c r="AO241" s="2" t="n"/>
      <c r="AP241" s="2" t="inlineStr">
        <is>
          <t>v3_2026-03-19</t>
        </is>
      </c>
      <c r="AQ241">
        <f>(L241-Schema_v5!$C2)/(Schema_v5!$C3-Schema_v5!$C2)</f>
        <v/>
      </c>
      <c r="AR241">
        <f>(M241-Schema_v5!$C4)/(Schema_v5!$C5-Schema_v5!$C4)</f>
        <v/>
      </c>
      <c r="AS241">
        <f>N241/Schema_v5!$C6</f>
        <v/>
      </c>
      <c r="AT241">
        <f>O241/Schema_v5!$C7</f>
        <v/>
      </c>
      <c r="AU241">
        <f>P241/Schema_v5!$C8</f>
        <v/>
      </c>
      <c r="AV241">
        <f>IF(Schema_v5!$C9=0,0,AH241/Schema_v5!$C9)</f>
        <v/>
      </c>
      <c r="AW241">
        <f>IF(Schema_v5!$C10=0,0,AE241/Schema_v5!$C10)</f>
        <v/>
      </c>
      <c r="AX241">
        <f>(W241-Schema_v5!$C11)/(Schema_v5!$C12-Schema_v5!$C11)</f>
        <v/>
      </c>
      <c r="AY241">
        <f>(X241-Schema_v5!$C13)/(Schema_v5!$C14-Schema_v5!$C13)</f>
        <v/>
      </c>
    </row>
    <row r="242" ht="94.5" customHeight="1" s="10">
      <c r="A242" s="2" t="inlineStr">
        <is>
          <t>Q49_A</t>
        </is>
      </c>
      <c r="B242" s="2" t="n">
        <v>49</v>
      </c>
      <c r="C242" s="2" t="n">
        <v>49</v>
      </c>
      <c r="D242" s="2" t="inlineStr">
        <is>
          <t>Core</t>
        </is>
      </c>
      <c r="E242" s="2" t="n">
        <v>1.4</v>
      </c>
      <c r="F242" s="2" t="inlineStr">
        <is>
          <t>EmotionalNeeds</t>
        </is>
      </c>
      <c r="G242" s="2" t="inlineStr">
        <is>
          <t>IntimacyThreshold</t>
        </is>
      </c>
      <c r="H242" s="2" t="inlineStr">
        <is>
          <t>When love starts to feel familiar... what part of your past does it usually remind you of?</t>
        </is>
      </c>
      <c r="I242" s="2" t="inlineStr">
        <is>
          <t>A</t>
        </is>
      </c>
      <c r="J242" s="2" t="inlineStr">
        <is>
          <t>A</t>
        </is>
      </c>
      <c r="K242" s="2" t="inlineStr">
        <is>
          <t>That feeling of being needed for what I could give, not for who I was.</t>
        </is>
      </c>
      <c r="L242" s="2" t="n">
        <v>5</v>
      </c>
      <c r="M242" s="2" t="n">
        <v>6</v>
      </c>
      <c r="N242" s="2" t="n">
        <v>4</v>
      </c>
      <c r="O242" s="2" t="n">
        <v>4</v>
      </c>
      <c r="P242" s="2" t="n">
        <v>4</v>
      </c>
      <c r="Q242" s="2" t="inlineStr">
        <is>
          <t>Fixer</t>
        </is>
      </c>
      <c r="R242" s="2" t="n">
        <v>5</v>
      </c>
      <c r="S242" s="2" t="n"/>
      <c r="T242" s="2" t="n"/>
      <c r="U242" s="2" t="n">
        <v>0</v>
      </c>
      <c r="V242" s="2" t="inlineStr">
        <is>
          <t>masc:-0.4;fem:2.0</t>
        </is>
      </c>
      <c r="W242" s="2" t="n">
        <v>-0.4</v>
      </c>
      <c r="X242" s="2" t="n">
        <v>2</v>
      </c>
      <c r="Y242" s="2" t="inlineStr">
        <is>
          <t>COMM_Emotional</t>
        </is>
      </c>
      <c r="Z242" s="2" t="inlineStr">
        <is>
          <t>REG_CoRegulator</t>
        </is>
      </c>
      <c r="AA242" s="2" t="inlineStr">
        <is>
          <t>LANG_Service</t>
        </is>
      </c>
      <c r="AB242" s="2" t="inlineStr">
        <is>
          <t>Vulnerability_Loop</t>
        </is>
      </c>
      <c r="AC242" s="2" t="inlineStr">
        <is>
          <t>Vulnerability_Loop</t>
        </is>
      </c>
      <c r="AD242" s="2" t="n"/>
      <c r="AE242" s="2" t="n">
        <v>5</v>
      </c>
      <c r="AF242" s="2" t="inlineStr">
        <is>
          <t>transactional love imprint</t>
        </is>
      </c>
      <c r="AG242" s="2" t="inlineStr">
        <is>
          <t>role-based connector</t>
        </is>
      </c>
      <c r="AH242" s="2" t="n">
        <v>0</v>
      </c>
      <c r="AI242" s="2" t="inlineStr">
        <is>
          <t>yes</t>
        </is>
      </c>
      <c r="AJ242" s="2" t="inlineStr">
        <is>
          <t>no</t>
        </is>
      </c>
      <c r="AK242" s="2" t="inlineStr">
        <is>
          <t>no</t>
        </is>
      </c>
      <c r="AL242" s="2" t="inlineStr">
        <is>
          <t>no</t>
        </is>
      </c>
      <c r="AM242" s="2" t="n"/>
      <c r="AN242" s="2" t="n"/>
      <c r="AO242" s="2" t="n"/>
      <c r="AP242" s="2" t="inlineStr">
        <is>
          <t>v3_2026-03-19</t>
        </is>
      </c>
      <c r="AQ242">
        <f>(L242-Schema_v5!$C2)/(Schema_v5!$C3-Schema_v5!$C2)</f>
        <v/>
      </c>
      <c r="AR242">
        <f>(M242-Schema_v5!$C4)/(Schema_v5!$C5-Schema_v5!$C4)</f>
        <v/>
      </c>
      <c r="AS242">
        <f>N242/Schema_v5!$C6</f>
        <v/>
      </c>
      <c r="AT242">
        <f>O242/Schema_v5!$C7</f>
        <v/>
      </c>
      <c r="AU242">
        <f>P242/Schema_v5!$C8</f>
        <v/>
      </c>
      <c r="AV242">
        <f>IF(Schema_v5!$C9=0,0,AH242/Schema_v5!$C9)</f>
        <v/>
      </c>
      <c r="AW242">
        <f>IF(Schema_v5!$C10=0,0,AE242/Schema_v5!$C10)</f>
        <v/>
      </c>
      <c r="AX242">
        <f>(W242-Schema_v5!$C11)/(Schema_v5!$C12-Schema_v5!$C11)</f>
        <v/>
      </c>
      <c r="AY242">
        <f>(X242-Schema_v5!$C13)/(Schema_v5!$C14-Schema_v5!$C13)</f>
        <v/>
      </c>
    </row>
    <row r="243" ht="81" customHeight="1" s="10">
      <c r="A243" s="2" t="inlineStr">
        <is>
          <t>Q49_B</t>
        </is>
      </c>
      <c r="B243" s="2" t="n">
        <v>49</v>
      </c>
      <c r="C243" s="2" t="n">
        <v>49</v>
      </c>
      <c r="D243" s="2" t="inlineStr">
        <is>
          <t>Core</t>
        </is>
      </c>
      <c r="E243" s="2" t="n">
        <v>1.4</v>
      </c>
      <c r="F243" s="2" t="inlineStr">
        <is>
          <t>EmotionalNeeds</t>
        </is>
      </c>
      <c r="G243" s="2" t="inlineStr">
        <is>
          <t>IntimacyThreshold</t>
        </is>
      </c>
      <c r="H243" s="2" t="n"/>
      <c r="I243" s="2" t="inlineStr">
        <is>
          <t>B</t>
        </is>
      </c>
      <c r="J243" s="2" t="inlineStr">
        <is>
          <t>B</t>
        </is>
      </c>
      <c r="K243" s="2" t="inlineStr">
        <is>
          <t>The fear that if I say how I really feel, they'll leave-or worse, stay but pull away.</t>
        </is>
      </c>
      <c r="L243" s="2" t="n">
        <v>4</v>
      </c>
      <c r="M243" s="2" t="n">
        <v>5</v>
      </c>
      <c r="N243" s="2" t="n">
        <v>2</v>
      </c>
      <c r="O243" s="2" t="n">
        <v>2</v>
      </c>
      <c r="P243" s="2" t="n">
        <v>0</v>
      </c>
      <c r="Q243" s="2" t="inlineStr">
        <is>
          <t>Phantom Seeker</t>
        </is>
      </c>
      <c r="R243" s="2" t="n">
        <v>10</v>
      </c>
      <c r="S243" s="2" t="n"/>
      <c r="T243" s="2" t="n"/>
      <c r="U243" s="2" t="n">
        <v>0</v>
      </c>
      <c r="V243" s="2" t="inlineStr">
        <is>
          <t>masc:-0.2;fem:1.5</t>
        </is>
      </c>
      <c r="W243" s="2" t="n">
        <v>-0.2</v>
      </c>
      <c r="X243" s="2" t="n">
        <v>1.5</v>
      </c>
      <c r="Y243" s="2" t="inlineStr">
        <is>
          <t>COMM_Emotional</t>
        </is>
      </c>
      <c r="Z243" s="2" t="inlineStr">
        <is>
          <t>REG_SelfSoother</t>
        </is>
      </c>
      <c r="AA243" s="2" t="inlineStr">
        <is>
          <t>LANG_Touch</t>
        </is>
      </c>
      <c r="AB243" s="2" t="inlineStr">
        <is>
          <t>Vulnerability_Loop</t>
        </is>
      </c>
      <c r="AC243" s="2" t="inlineStr">
        <is>
          <t>Vulnerability_Loop</t>
        </is>
      </c>
      <c r="AD243" s="2" t="n"/>
      <c r="AE243" s="2" t="n">
        <v>5</v>
      </c>
      <c r="AF243" s="2" t="inlineStr">
        <is>
          <t>emotional abandonment echo</t>
        </is>
      </c>
      <c r="AG243" s="2" t="inlineStr">
        <is>
          <t>closeness doubter</t>
        </is>
      </c>
      <c r="AH243" s="2" t="n">
        <v>0</v>
      </c>
      <c r="AI243" s="2" t="inlineStr">
        <is>
          <t>yes</t>
        </is>
      </c>
      <c r="AJ243" s="2" t="inlineStr">
        <is>
          <t>no</t>
        </is>
      </c>
      <c r="AK243" s="2" t="inlineStr">
        <is>
          <t>no</t>
        </is>
      </c>
      <c r="AL243" s="2" t="inlineStr">
        <is>
          <t>no</t>
        </is>
      </c>
      <c r="AM243" s="2" t="n"/>
      <c r="AN243" s="2" t="n"/>
      <c r="AO243" s="2" t="n"/>
      <c r="AP243" s="2" t="inlineStr">
        <is>
          <t>v3_2026-03-19</t>
        </is>
      </c>
      <c r="AQ243">
        <f>(L243-Schema_v5!$C2)/(Schema_v5!$C3-Schema_v5!$C2)</f>
        <v/>
      </c>
      <c r="AR243">
        <f>(M243-Schema_v5!$C4)/(Schema_v5!$C5-Schema_v5!$C4)</f>
        <v/>
      </c>
      <c r="AS243">
        <f>N243/Schema_v5!$C6</f>
        <v/>
      </c>
      <c r="AT243">
        <f>O243/Schema_v5!$C7</f>
        <v/>
      </c>
      <c r="AU243">
        <f>P243/Schema_v5!$C8</f>
        <v/>
      </c>
      <c r="AV243">
        <f>IF(Schema_v5!$C9=0,0,AH243/Schema_v5!$C9)</f>
        <v/>
      </c>
      <c r="AW243">
        <f>IF(Schema_v5!$C10=0,0,AE243/Schema_v5!$C10)</f>
        <v/>
      </c>
      <c r="AX243">
        <f>(W243-Schema_v5!$C11)/(Schema_v5!$C12-Schema_v5!$C11)</f>
        <v/>
      </c>
      <c r="AY243">
        <f>(X243-Schema_v5!$C13)/(Schema_v5!$C14-Schema_v5!$C13)</f>
        <v/>
      </c>
    </row>
    <row r="244" ht="81" customHeight="1" s="10">
      <c r="A244" s="2" t="inlineStr">
        <is>
          <t>Q49_C</t>
        </is>
      </c>
      <c r="B244" s="2" t="n">
        <v>49</v>
      </c>
      <c r="C244" s="2" t="n">
        <v>49</v>
      </c>
      <c r="D244" s="2" t="inlineStr">
        <is>
          <t>Core</t>
        </is>
      </c>
      <c r="E244" s="2" t="n">
        <v>1.4</v>
      </c>
      <c r="F244" s="2" t="inlineStr">
        <is>
          <t>EmotionalNeeds</t>
        </is>
      </c>
      <c r="G244" s="2" t="inlineStr">
        <is>
          <t>IntimacyThreshold</t>
        </is>
      </c>
      <c r="H244" s="2" t="n"/>
      <c r="I244" s="2" t="inlineStr">
        <is>
          <t>C</t>
        </is>
      </c>
      <c r="J244" s="2" t="inlineStr">
        <is>
          <t>C</t>
        </is>
      </c>
      <c r="K244" s="2" t="inlineStr">
        <is>
          <t>Those moments where I felt like the adult in the room, even as a kid.</t>
        </is>
      </c>
      <c r="L244" s="2" t="n">
        <v>7</v>
      </c>
      <c r="M244" s="2" t="n">
        <v>8</v>
      </c>
      <c r="N244" s="2" t="n">
        <v>6</v>
      </c>
      <c r="O244" s="2" t="n">
        <v>8</v>
      </c>
      <c r="P244" s="2" t="n">
        <v>6</v>
      </c>
      <c r="Q244" s="2" t="inlineStr">
        <is>
          <t>Analyzer</t>
        </is>
      </c>
      <c r="R244" s="2" t="n">
        <v>2</v>
      </c>
      <c r="S244" s="2" t="n"/>
      <c r="T244" s="2" t="n"/>
      <c r="U244" s="2" t="n">
        <v>0</v>
      </c>
      <c r="V244" s="2" t="inlineStr">
        <is>
          <t>masc:1.4;fem:0.1</t>
        </is>
      </c>
      <c r="W244" s="2" t="n">
        <v>1.4</v>
      </c>
      <c r="X244" s="2" t="n">
        <v>0.1</v>
      </c>
      <c r="Y244" s="2" t="inlineStr">
        <is>
          <t>COMM_Logical</t>
        </is>
      </c>
      <c r="Z244" s="2" t="inlineStr">
        <is>
          <t>REG_SelfSoother</t>
        </is>
      </c>
      <c r="AA244" s="2" t="inlineStr">
        <is>
          <t>LANG_Service</t>
        </is>
      </c>
      <c r="AB244" s="2" t="n"/>
      <c r="AC244" s="2" t="n"/>
      <c r="AD244" s="2" t="n"/>
      <c r="AE244" s="2" t="n">
        <v>0</v>
      </c>
      <c r="AF244" s="2" t="inlineStr">
        <is>
          <t>early emotional burden</t>
        </is>
      </c>
      <c r="AG244" s="2" t="inlineStr">
        <is>
          <t>responsibility carrier</t>
        </is>
      </c>
      <c r="AH244" s="2" t="n">
        <v>0</v>
      </c>
      <c r="AI244" s="2" t="inlineStr">
        <is>
          <t>no</t>
        </is>
      </c>
      <c r="AJ244" s="2" t="inlineStr">
        <is>
          <t>no</t>
        </is>
      </c>
      <c r="AK244" s="2" t="inlineStr">
        <is>
          <t>no</t>
        </is>
      </c>
      <c r="AL244" s="2" t="inlineStr">
        <is>
          <t>no</t>
        </is>
      </c>
      <c r="AM244" s="2" t="n"/>
      <c r="AN244" s="2" t="n"/>
      <c r="AO244" s="2" t="n"/>
      <c r="AP244" s="2" t="inlineStr">
        <is>
          <t>v3_2026-03-19</t>
        </is>
      </c>
      <c r="AQ244">
        <f>(L244-Schema_v5!$C2)/(Schema_v5!$C3-Schema_v5!$C2)</f>
        <v/>
      </c>
      <c r="AR244">
        <f>(M244-Schema_v5!$C4)/(Schema_v5!$C5-Schema_v5!$C4)</f>
        <v/>
      </c>
      <c r="AS244">
        <f>N244/Schema_v5!$C6</f>
        <v/>
      </c>
      <c r="AT244">
        <f>O244/Schema_v5!$C7</f>
        <v/>
      </c>
      <c r="AU244">
        <f>P244/Schema_v5!$C8</f>
        <v/>
      </c>
      <c r="AV244">
        <f>IF(Schema_v5!$C9=0,0,AH244/Schema_v5!$C9)</f>
        <v/>
      </c>
      <c r="AW244">
        <f>IF(Schema_v5!$C10=0,0,AE244/Schema_v5!$C10)</f>
        <v/>
      </c>
      <c r="AX244">
        <f>(W244-Schema_v5!$C11)/(Schema_v5!$C12-Schema_v5!$C11)</f>
        <v/>
      </c>
      <c r="AY244">
        <f>(X244-Schema_v5!$C13)/(Schema_v5!$C14-Schema_v5!$C13)</f>
        <v/>
      </c>
    </row>
    <row r="245" ht="81" customHeight="1" s="10">
      <c r="A245" s="2" t="inlineStr">
        <is>
          <t>Q49_D</t>
        </is>
      </c>
      <c r="B245" s="2" t="n">
        <v>49</v>
      </c>
      <c r="C245" s="2" t="n">
        <v>49</v>
      </c>
      <c r="D245" s="2" t="inlineStr">
        <is>
          <t>Core</t>
        </is>
      </c>
      <c r="E245" s="2" t="n">
        <v>1.4</v>
      </c>
      <c r="F245" s="2" t="inlineStr">
        <is>
          <t>EmotionalNeeds</t>
        </is>
      </c>
      <c r="G245" s="2" t="inlineStr">
        <is>
          <t>IntimacyThreshold</t>
        </is>
      </c>
      <c r="H245" s="2" t="n"/>
      <c r="I245" s="2" t="inlineStr">
        <is>
          <t>D</t>
        </is>
      </c>
      <c r="J245" s="2" t="inlineStr">
        <is>
          <t>D</t>
        </is>
      </c>
      <c r="K245" s="2" t="inlineStr">
        <is>
          <t>The peace of being invisible. No demands, no chaos, just quiet.</t>
        </is>
      </c>
      <c r="L245" s="2" t="n">
        <v>8</v>
      </c>
      <c r="M245" s="2" t="n">
        <v>9</v>
      </c>
      <c r="N245" s="2" t="n">
        <v>4</v>
      </c>
      <c r="O245" s="2" t="n">
        <v>6</v>
      </c>
      <c r="P245" s="2" t="n">
        <v>2</v>
      </c>
      <c r="Q245" s="2" t="inlineStr">
        <is>
          <t>Icebox</t>
        </is>
      </c>
      <c r="R245" s="2" t="n">
        <v>1</v>
      </c>
      <c r="S245" s="2" t="n"/>
      <c r="T245" s="2" t="n"/>
      <c r="U245" s="2" t="n">
        <v>0</v>
      </c>
      <c r="V245" s="2" t="inlineStr">
        <is>
          <t>masc:1.8;fem:-1.6</t>
        </is>
      </c>
      <c r="W245" s="2" t="n">
        <v>1.8</v>
      </c>
      <c r="X245" s="2" t="n">
        <v>-1.6</v>
      </c>
      <c r="Y245" s="2" t="inlineStr">
        <is>
          <t>COMM_Avoidant</t>
        </is>
      </c>
      <c r="Z245" s="2" t="inlineStr">
        <is>
          <t>REG_Suppressor</t>
        </is>
      </c>
      <c r="AA245" s="2" t="inlineStr">
        <is>
          <t>LANG_Time</t>
        </is>
      </c>
      <c r="AB245" s="2" t="n"/>
      <c r="AC245" s="2" t="n"/>
      <c r="AD245" s="2" t="n"/>
      <c r="AE245" s="2" t="n">
        <v>0</v>
      </c>
      <c r="AF245" s="2" t="inlineStr">
        <is>
          <t>safety through distance</t>
        </is>
      </c>
      <c r="AG245" s="2" t="inlineStr">
        <is>
          <t>presence minimizer</t>
        </is>
      </c>
      <c r="AH245" s="2" t="n">
        <v>0</v>
      </c>
      <c r="AI245" s="2" t="inlineStr">
        <is>
          <t>no</t>
        </is>
      </c>
      <c r="AJ245" s="2" t="inlineStr">
        <is>
          <t>no</t>
        </is>
      </c>
      <c r="AK245" s="2" t="inlineStr">
        <is>
          <t>no</t>
        </is>
      </c>
      <c r="AL245" s="2" t="inlineStr">
        <is>
          <t>no</t>
        </is>
      </c>
      <c r="AM245" s="2" t="n"/>
      <c r="AN245" s="2" t="n"/>
      <c r="AO245" s="2" t="n"/>
      <c r="AP245" s="2" t="inlineStr">
        <is>
          <t>v3_2026-03-19</t>
        </is>
      </c>
      <c r="AQ245">
        <f>(L245-Schema_v5!$C2)/(Schema_v5!$C3-Schema_v5!$C2)</f>
        <v/>
      </c>
      <c r="AR245">
        <f>(M245-Schema_v5!$C4)/(Schema_v5!$C5-Schema_v5!$C4)</f>
        <v/>
      </c>
      <c r="AS245">
        <f>N245/Schema_v5!$C6</f>
        <v/>
      </c>
      <c r="AT245">
        <f>O245/Schema_v5!$C7</f>
        <v/>
      </c>
      <c r="AU245">
        <f>P245/Schema_v5!$C8</f>
        <v/>
      </c>
      <c r="AV245">
        <f>IF(Schema_v5!$C9=0,0,AH245/Schema_v5!$C9)</f>
        <v/>
      </c>
      <c r="AW245">
        <f>IF(Schema_v5!$C10=0,0,AE245/Schema_v5!$C10)</f>
        <v/>
      </c>
      <c r="AX245">
        <f>(W245-Schema_v5!$C11)/(Schema_v5!$C12-Schema_v5!$C11)</f>
        <v/>
      </c>
      <c r="AY245">
        <f>(X245-Schema_v5!$C13)/(Schema_v5!$C14-Schema_v5!$C13)</f>
        <v/>
      </c>
    </row>
    <row r="246" ht="108" customHeight="1" s="10">
      <c r="A246" s="2" t="inlineStr">
        <is>
          <t>Q49_E</t>
        </is>
      </c>
      <c r="B246" s="2" t="n">
        <v>49</v>
      </c>
      <c r="C246" s="2" t="n">
        <v>49</v>
      </c>
      <c r="D246" s="2" t="inlineStr">
        <is>
          <t>Core</t>
        </is>
      </c>
      <c r="E246" s="2" t="n">
        <v>1.4</v>
      </c>
      <c r="F246" s="2" t="inlineStr">
        <is>
          <t>EmotionalNeeds</t>
        </is>
      </c>
      <c r="G246" s="2" t="inlineStr">
        <is>
          <t>IntimacyThreshold</t>
        </is>
      </c>
      <c r="H246" s="2" t="n"/>
      <c r="I246" s="2" t="inlineStr">
        <is>
          <t>E</t>
        </is>
      </c>
      <c r="J246" s="2" t="inlineStr">
        <is>
          <t>E</t>
        </is>
      </c>
      <c r="K246" s="2" t="inlineStr">
        <is>
          <t>The hope that this time, someone might actually stay long enough to prove me wrong.</t>
        </is>
      </c>
      <c r="L246" s="2" t="n">
        <v>9</v>
      </c>
      <c r="M246" s="2" t="n">
        <v>9</v>
      </c>
      <c r="N246" s="2" t="n">
        <v>8</v>
      </c>
      <c r="O246" s="2" t="n">
        <v>8</v>
      </c>
      <c r="P246" s="2" t="n">
        <v>6</v>
      </c>
      <c r="Q246" s="2" t="inlineStr">
        <is>
          <t>Romantic Idealist</t>
        </is>
      </c>
      <c r="R246" s="2" t="n">
        <v>6</v>
      </c>
      <c r="S246" s="2" t="n"/>
      <c r="T246" s="2" t="n"/>
      <c r="U246" s="2" t="n">
        <v>0</v>
      </c>
      <c r="V246" s="2" t="inlineStr">
        <is>
          <t>masc:-0.4;fem:1.5</t>
        </is>
      </c>
      <c r="W246" s="2" t="n">
        <v>-0.4</v>
      </c>
      <c r="X246" s="2" t="n">
        <v>1.5</v>
      </c>
      <c r="Y246" s="2" t="inlineStr">
        <is>
          <t>COMM_Emotional</t>
        </is>
      </c>
      <c r="Z246" s="2" t="inlineStr">
        <is>
          <t>REG_Distractor</t>
        </is>
      </c>
      <c r="AA246" s="2" t="inlineStr">
        <is>
          <t>LANG_Gifts</t>
        </is>
      </c>
      <c r="AB246" s="2" t="n"/>
      <c r="AC246" s="2" t="n"/>
      <c r="AD246" s="2" t="n"/>
      <c r="AE246" s="2" t="n">
        <v>0</v>
      </c>
      <c r="AF246" s="2" t="inlineStr">
        <is>
          <t>redemption fantasy loop</t>
        </is>
      </c>
      <c r="AG246" s="2" t="inlineStr">
        <is>
          <t>hopeful believer</t>
        </is>
      </c>
      <c r="AH246" s="2" t="n">
        <v>0</v>
      </c>
      <c r="AI246" s="2" t="inlineStr">
        <is>
          <t>no</t>
        </is>
      </c>
      <c r="AJ246" s="2" t="inlineStr">
        <is>
          <t>no</t>
        </is>
      </c>
      <c r="AK246" s="2" t="inlineStr">
        <is>
          <t>no</t>
        </is>
      </c>
      <c r="AL246" s="2" t="inlineStr">
        <is>
          <t>no</t>
        </is>
      </c>
      <c r="AM246" s="2" t="n"/>
      <c r="AN246" s="2" t="n"/>
      <c r="AO246" s="2" t="n"/>
      <c r="AP246" s="2" t="inlineStr">
        <is>
          <t>v3_2026-03-19</t>
        </is>
      </c>
      <c r="AQ246">
        <f>(L246-Schema_v5!$C2)/(Schema_v5!$C3-Schema_v5!$C2)</f>
        <v/>
      </c>
      <c r="AR246">
        <f>(M246-Schema_v5!$C4)/(Schema_v5!$C5-Schema_v5!$C4)</f>
        <v/>
      </c>
      <c r="AS246">
        <f>N246/Schema_v5!$C6</f>
        <v/>
      </c>
      <c r="AT246">
        <f>O246/Schema_v5!$C7</f>
        <v/>
      </c>
      <c r="AU246">
        <f>P246/Schema_v5!$C8</f>
        <v/>
      </c>
      <c r="AV246">
        <f>IF(Schema_v5!$C9=0,0,AH246/Schema_v5!$C9)</f>
        <v/>
      </c>
      <c r="AW246">
        <f>IF(Schema_v5!$C10=0,0,AE246/Schema_v5!$C10)</f>
        <v/>
      </c>
      <c r="AX246">
        <f>(W246-Schema_v5!$C11)/(Schema_v5!$C12-Schema_v5!$C11)</f>
        <v/>
      </c>
      <c r="AY246">
        <f>(X246-Schema_v5!$C13)/(Schema_v5!$C14-Schema_v5!$C13)</f>
        <v/>
      </c>
    </row>
    <row r="247" ht="108" customHeight="1" s="10">
      <c r="A247" s="2" t="inlineStr">
        <is>
          <t>Q50_A</t>
        </is>
      </c>
      <c r="B247" s="2" t="n">
        <v>50</v>
      </c>
      <c r="C247" s="2" t="n">
        <v>50</v>
      </c>
      <c r="D247" s="2" t="inlineStr">
        <is>
          <t>Core</t>
        </is>
      </c>
      <c r="E247" s="2" t="n">
        <v>1.4</v>
      </c>
      <c r="F247" s="2" t="inlineStr">
        <is>
          <t>EmotionalNeeds</t>
        </is>
      </c>
      <c r="G247" s="2" t="inlineStr">
        <is>
          <t>IntimacyThreshold</t>
        </is>
      </c>
      <c r="H247" s="2" t="inlineStr">
        <is>
          <t>Someone loves you deeply. Sees your flaws. Stays anyway. What scares you most about letting that kind of love in?</t>
        </is>
      </c>
      <c r="I247" s="2" t="inlineStr">
        <is>
          <t>A</t>
        </is>
      </c>
      <c r="J247" s="2" t="inlineStr">
        <is>
          <t>A</t>
        </is>
      </c>
      <c r="K247" s="2" t="inlineStr">
        <is>
          <t>That I'll get used to it... and then lose it. I don't survive things twice.</t>
        </is>
      </c>
      <c r="L247" s="2" t="n">
        <v>6</v>
      </c>
      <c r="M247" s="2" t="n">
        <v>7</v>
      </c>
      <c r="N247" s="2" t="n">
        <v>4</v>
      </c>
      <c r="O247" s="2" t="n">
        <v>6</v>
      </c>
      <c r="P247" s="2" t="n">
        <v>4</v>
      </c>
      <c r="Q247" s="2" t="inlineStr">
        <is>
          <t>Survivor</t>
        </is>
      </c>
      <c r="R247" s="2" t="n">
        <v>1</v>
      </c>
      <c r="S247" s="2" t="n"/>
      <c r="T247" s="2" t="n"/>
      <c r="U247" s="2" t="n">
        <v>0</v>
      </c>
      <c r="V247" s="2" t="inlineStr">
        <is>
          <t>masc:0.3;fem:1.3</t>
        </is>
      </c>
      <c r="W247" s="2" t="n">
        <v>0.3</v>
      </c>
      <c r="X247" s="2" t="n">
        <v>1.3</v>
      </c>
      <c r="Y247" s="2" t="inlineStr">
        <is>
          <t>COMM_Emotional</t>
        </is>
      </c>
      <c r="Z247" s="2" t="inlineStr">
        <is>
          <t>REG_SelfSoother</t>
        </is>
      </c>
      <c r="AA247" s="2" t="inlineStr">
        <is>
          <t>LANG_Service</t>
        </is>
      </c>
      <c r="AB247" s="2" t="inlineStr">
        <is>
          <t>Vulnerability_Loop</t>
        </is>
      </c>
      <c r="AC247" s="2" t="inlineStr">
        <is>
          <t>Vulnerability_Loop</t>
        </is>
      </c>
      <c r="AD247" s="2" t="n"/>
      <c r="AE247" s="2" t="n">
        <v>5</v>
      </c>
      <c r="AF247" s="2" t="inlineStr">
        <is>
          <t>abandonment after safety</t>
        </is>
      </c>
      <c r="AG247" s="2" t="inlineStr">
        <is>
          <t>loss avoider</t>
        </is>
      </c>
      <c r="AH247" s="2" t="n">
        <v>0.2</v>
      </c>
      <c r="AI247" s="2" t="inlineStr">
        <is>
          <t>yes</t>
        </is>
      </c>
      <c r="AJ247" s="2" t="inlineStr">
        <is>
          <t>no</t>
        </is>
      </c>
      <c r="AK247" s="2" t="inlineStr">
        <is>
          <t>no</t>
        </is>
      </c>
      <c r="AL247" s="2" t="inlineStr">
        <is>
          <t>no</t>
        </is>
      </c>
      <c r="AM247" s="2" t="n"/>
      <c r="AN247" s="2" t="n"/>
      <c r="AO247" s="2" t="n"/>
      <c r="AP247" s="2" t="inlineStr">
        <is>
          <t>v3_2026-03-19</t>
        </is>
      </c>
      <c r="AQ247">
        <f>(L247-Schema_v5!$C2)/(Schema_v5!$C3-Schema_v5!$C2)</f>
        <v/>
      </c>
      <c r="AR247">
        <f>(M247-Schema_v5!$C4)/(Schema_v5!$C5-Schema_v5!$C4)</f>
        <v/>
      </c>
      <c r="AS247">
        <f>N247/Schema_v5!$C6</f>
        <v/>
      </c>
      <c r="AT247">
        <f>O247/Schema_v5!$C7</f>
        <v/>
      </c>
      <c r="AU247">
        <f>P247/Schema_v5!$C8</f>
        <v/>
      </c>
      <c r="AV247">
        <f>IF(Schema_v5!$C9=0,0,AH247/Schema_v5!$C9)</f>
        <v/>
      </c>
      <c r="AW247">
        <f>IF(Schema_v5!$C10=0,0,AE247/Schema_v5!$C10)</f>
        <v/>
      </c>
      <c r="AX247">
        <f>(W247-Schema_v5!$C11)/(Schema_v5!$C12-Schema_v5!$C11)</f>
        <v/>
      </c>
      <c r="AY247">
        <f>(X247-Schema_v5!$C13)/(Schema_v5!$C14-Schema_v5!$C13)</f>
        <v/>
      </c>
    </row>
    <row r="248" ht="121.5" customHeight="1" s="10">
      <c r="A248" s="2" t="inlineStr">
        <is>
          <t>Q50_B</t>
        </is>
      </c>
      <c r="B248" s="2" t="n">
        <v>50</v>
      </c>
      <c r="C248" s="2" t="n">
        <v>50</v>
      </c>
      <c r="D248" s="2" t="inlineStr">
        <is>
          <t>Core</t>
        </is>
      </c>
      <c r="E248" s="2" t="n">
        <v>1.4</v>
      </c>
      <c r="F248" s="2" t="inlineStr">
        <is>
          <t>EmotionalNeeds</t>
        </is>
      </c>
      <c r="G248" s="2" t="inlineStr">
        <is>
          <t>IntimacyThreshold</t>
        </is>
      </c>
      <c r="H248" s="2" t="n"/>
      <c r="I248" s="2" t="inlineStr">
        <is>
          <t>B</t>
        </is>
      </c>
      <c r="J248" s="2" t="inlineStr">
        <is>
          <t>B</t>
        </is>
      </c>
      <c r="K248" s="2" t="inlineStr">
        <is>
          <t>That they'll see the real me and change their mind. I always feel like I'm on borrowed time.</t>
        </is>
      </c>
      <c r="L248" s="2" t="n">
        <v>4</v>
      </c>
      <c r="M248" s="2" t="n">
        <v>5</v>
      </c>
      <c r="N248" s="2" t="n">
        <v>2</v>
      </c>
      <c r="O248" s="2" t="n">
        <v>2</v>
      </c>
      <c r="P248" s="2" t="n">
        <v>0</v>
      </c>
      <c r="Q248" s="2" t="inlineStr">
        <is>
          <t>Phantom Seeker</t>
        </is>
      </c>
      <c r="R248" s="2" t="n">
        <v>10</v>
      </c>
      <c r="S248" s="2" t="n"/>
      <c r="T248" s="2" t="n"/>
      <c r="U248" s="2" t="n">
        <v>0</v>
      </c>
      <c r="V248" s="2" t="inlineStr">
        <is>
          <t>masc:-0.2;fem:1.5</t>
        </is>
      </c>
      <c r="W248" s="2" t="n">
        <v>-0.2</v>
      </c>
      <c r="X248" s="2" t="n">
        <v>1.5</v>
      </c>
      <c r="Y248" s="2" t="inlineStr">
        <is>
          <t>COMM_Emotional</t>
        </is>
      </c>
      <c r="Z248" s="2" t="inlineStr">
        <is>
          <t>REG_SelfSoother</t>
        </is>
      </c>
      <c r="AA248" s="2" t="inlineStr">
        <is>
          <t>LANG_Touch</t>
        </is>
      </c>
      <c r="AB248" s="2" t="inlineStr">
        <is>
          <t>Vulnerability_Loop</t>
        </is>
      </c>
      <c r="AC248" s="2" t="inlineStr">
        <is>
          <t>Vulnerability_Loop</t>
        </is>
      </c>
      <c r="AD248" s="2" t="n"/>
      <c r="AE248" s="2" t="n">
        <v>5</v>
      </c>
      <c r="AF248" s="2" t="inlineStr">
        <is>
          <t>imposter in intimacy</t>
        </is>
      </c>
      <c r="AG248" s="2" t="inlineStr">
        <is>
          <t>worth doubter</t>
        </is>
      </c>
      <c r="AH248" s="2" t="n">
        <v>0</v>
      </c>
      <c r="AI248" s="2" t="inlineStr">
        <is>
          <t>yes</t>
        </is>
      </c>
      <c r="AJ248" s="2" t="inlineStr">
        <is>
          <t>no</t>
        </is>
      </c>
      <c r="AK248" s="2" t="inlineStr">
        <is>
          <t>no</t>
        </is>
      </c>
      <c r="AL248" s="2" t="inlineStr">
        <is>
          <t>no</t>
        </is>
      </c>
      <c r="AM248" s="2" t="n"/>
      <c r="AN248" s="2" t="n"/>
      <c r="AO248" s="2" t="n"/>
      <c r="AP248" s="2" t="inlineStr">
        <is>
          <t>v3_2026-03-19</t>
        </is>
      </c>
      <c r="AQ248">
        <f>(L248-Schema_v5!$C2)/(Schema_v5!$C3-Schema_v5!$C2)</f>
        <v/>
      </c>
      <c r="AR248">
        <f>(M248-Schema_v5!$C4)/(Schema_v5!$C5-Schema_v5!$C4)</f>
        <v/>
      </c>
      <c r="AS248">
        <f>N248/Schema_v5!$C6</f>
        <v/>
      </c>
      <c r="AT248">
        <f>O248/Schema_v5!$C7</f>
        <v/>
      </c>
      <c r="AU248">
        <f>P248/Schema_v5!$C8</f>
        <v/>
      </c>
      <c r="AV248">
        <f>IF(Schema_v5!$C9=0,0,AH248/Schema_v5!$C9)</f>
        <v/>
      </c>
      <c r="AW248">
        <f>IF(Schema_v5!$C10=0,0,AE248/Schema_v5!$C10)</f>
        <v/>
      </c>
      <c r="AX248">
        <f>(W248-Schema_v5!$C11)/(Schema_v5!$C12-Schema_v5!$C11)</f>
        <v/>
      </c>
      <c r="AY248">
        <f>(X248-Schema_v5!$C13)/(Schema_v5!$C14-Schema_v5!$C13)</f>
        <v/>
      </c>
    </row>
    <row r="249" ht="121.5" customHeight="1" s="10">
      <c r="A249" s="2" t="inlineStr">
        <is>
          <t>Q50_C</t>
        </is>
      </c>
      <c r="B249" s="2" t="n">
        <v>50</v>
      </c>
      <c r="C249" s="2" t="n">
        <v>50</v>
      </c>
      <c r="D249" s="2" t="inlineStr">
        <is>
          <t>Core</t>
        </is>
      </c>
      <c r="E249" s="2" t="n">
        <v>1.4</v>
      </c>
      <c r="F249" s="2" t="inlineStr">
        <is>
          <t>EmotionalNeeds</t>
        </is>
      </c>
      <c r="G249" s="2" t="inlineStr">
        <is>
          <t>IntimacyThreshold</t>
        </is>
      </c>
      <c r="H249" s="2" t="n"/>
      <c r="I249" s="2" t="inlineStr">
        <is>
          <t>C</t>
        </is>
      </c>
      <c r="J249" s="2" t="inlineStr">
        <is>
          <t>C</t>
        </is>
      </c>
      <c r="K249" s="2" t="inlineStr">
        <is>
          <t>That I'll owe them softness forever. I don't know how to stay open without feeling exposed.</t>
        </is>
      </c>
      <c r="L249" s="2" t="n">
        <v>7</v>
      </c>
      <c r="M249" s="2" t="n">
        <v>8</v>
      </c>
      <c r="N249" s="2" t="n">
        <v>4</v>
      </c>
      <c r="O249" s="2" t="n">
        <v>4</v>
      </c>
      <c r="P249" s="2" t="n">
        <v>0</v>
      </c>
      <c r="Q249" s="2" t="inlineStr">
        <is>
          <t>Icebox</t>
        </is>
      </c>
      <c r="R249" s="2" t="n">
        <v>1</v>
      </c>
      <c r="S249" s="2" t="n"/>
      <c r="T249" s="2" t="n"/>
      <c r="U249" s="2" t="n">
        <v>0</v>
      </c>
      <c r="V249" s="2" t="inlineStr">
        <is>
          <t>masc:1.8;fem:-1.6</t>
        </is>
      </c>
      <c r="W249" s="2" t="n">
        <v>1.8</v>
      </c>
      <c r="X249" s="2" t="n">
        <v>-1.6</v>
      </c>
      <c r="Y249" s="2" t="inlineStr">
        <is>
          <t>COMM_Avoidant</t>
        </is>
      </c>
      <c r="Z249" s="2" t="inlineStr">
        <is>
          <t>REG_Suppressor</t>
        </is>
      </c>
      <c r="AA249" s="2" t="inlineStr">
        <is>
          <t>LANG_Time</t>
        </is>
      </c>
      <c r="AB249" s="2" t="n"/>
      <c r="AC249" s="2" t="n"/>
      <c r="AD249" s="2" t="n"/>
      <c r="AE249" s="2" t="n">
        <v>0</v>
      </c>
      <c r="AF249" s="2" t="inlineStr">
        <is>
          <t>vulnerability debt</t>
        </is>
      </c>
      <c r="AG249" s="2" t="inlineStr">
        <is>
          <t>emotional limiter</t>
        </is>
      </c>
      <c r="AH249" s="2" t="n">
        <v>0</v>
      </c>
      <c r="AI249" s="2" t="inlineStr">
        <is>
          <t>no</t>
        </is>
      </c>
      <c r="AJ249" s="2" t="inlineStr">
        <is>
          <t>no</t>
        </is>
      </c>
      <c r="AK249" s="2" t="inlineStr">
        <is>
          <t>no</t>
        </is>
      </c>
      <c r="AL249" s="2" t="inlineStr">
        <is>
          <t>no</t>
        </is>
      </c>
      <c r="AM249" s="2" t="n"/>
      <c r="AN249" s="2" t="n"/>
      <c r="AO249" s="2" t="n"/>
      <c r="AP249" s="2" t="inlineStr">
        <is>
          <t>v3_2026-03-19</t>
        </is>
      </c>
      <c r="AQ249">
        <f>(L249-Schema_v5!$C2)/(Schema_v5!$C3-Schema_v5!$C2)</f>
        <v/>
      </c>
      <c r="AR249">
        <f>(M249-Schema_v5!$C4)/(Schema_v5!$C5-Schema_v5!$C4)</f>
        <v/>
      </c>
      <c r="AS249">
        <f>N249/Schema_v5!$C6</f>
        <v/>
      </c>
      <c r="AT249">
        <f>O249/Schema_v5!$C7</f>
        <v/>
      </c>
      <c r="AU249">
        <f>P249/Schema_v5!$C8</f>
        <v/>
      </c>
      <c r="AV249">
        <f>IF(Schema_v5!$C9=0,0,AH249/Schema_v5!$C9)</f>
        <v/>
      </c>
      <c r="AW249">
        <f>IF(Schema_v5!$C10=0,0,AE249/Schema_v5!$C10)</f>
        <v/>
      </c>
      <c r="AX249">
        <f>(W249-Schema_v5!$C11)/(Schema_v5!$C12-Schema_v5!$C11)</f>
        <v/>
      </c>
      <c r="AY249">
        <f>(X249-Schema_v5!$C13)/(Schema_v5!$C14-Schema_v5!$C13)</f>
        <v/>
      </c>
    </row>
    <row r="250" ht="94.5" customHeight="1" s="10">
      <c r="A250" s="2" t="inlineStr">
        <is>
          <t>Q50_D</t>
        </is>
      </c>
      <c r="B250" s="2" t="n">
        <v>50</v>
      </c>
      <c r="C250" s="2" t="n">
        <v>50</v>
      </c>
      <c r="D250" s="2" t="inlineStr">
        <is>
          <t>Core</t>
        </is>
      </c>
      <c r="E250" s="2" t="n">
        <v>1.4</v>
      </c>
      <c r="F250" s="2" t="inlineStr">
        <is>
          <t>EmotionalNeeds</t>
        </is>
      </c>
      <c r="G250" s="2" t="inlineStr">
        <is>
          <t>IntimacyThreshold</t>
        </is>
      </c>
      <c r="H250" s="2" t="n"/>
      <c r="I250" s="2" t="inlineStr">
        <is>
          <t>D</t>
        </is>
      </c>
      <c r="J250" s="2" t="inlineStr">
        <is>
          <t>D</t>
        </is>
      </c>
      <c r="K250" s="2" t="inlineStr">
        <is>
          <t>That I'll mess it up. I take on so much, but I don't always know how to receive.</t>
        </is>
      </c>
      <c r="L250" s="2" t="n">
        <v>8</v>
      </c>
      <c r="M250" s="2" t="n">
        <v>9</v>
      </c>
      <c r="N250" s="2" t="n">
        <v>8</v>
      </c>
      <c r="O250" s="2" t="n">
        <v>10</v>
      </c>
      <c r="P250" s="2" t="n">
        <v>8</v>
      </c>
      <c r="Q250" s="2" t="inlineStr">
        <is>
          <t>Fixer</t>
        </is>
      </c>
      <c r="R250" s="2" t="n">
        <v>5</v>
      </c>
      <c r="S250" s="2" t="n"/>
      <c r="T250" s="2" t="n"/>
      <c r="U250" s="2" t="n">
        <v>0</v>
      </c>
      <c r="V250" s="2" t="inlineStr">
        <is>
          <t>masc:-0.4;fem:2.0</t>
        </is>
      </c>
      <c r="W250" s="2" t="n">
        <v>-0.4</v>
      </c>
      <c r="X250" s="2" t="n">
        <v>2</v>
      </c>
      <c r="Y250" s="2" t="inlineStr">
        <is>
          <t>COMM_Emotional</t>
        </is>
      </c>
      <c r="Z250" s="2" t="inlineStr">
        <is>
          <t>REG_CoRegulator</t>
        </is>
      </c>
      <c r="AA250" s="2" t="inlineStr">
        <is>
          <t>LANG_Service</t>
        </is>
      </c>
      <c r="AB250" s="2" t="n"/>
      <c r="AC250" s="2" t="n"/>
      <c r="AD250" s="2" t="n"/>
      <c r="AE250" s="2" t="n">
        <v>0</v>
      </c>
      <c r="AF250" s="2" t="inlineStr">
        <is>
          <t>love with no exit plan</t>
        </is>
      </c>
      <c r="AG250" s="2" t="inlineStr">
        <is>
          <t>overfunctioning partner</t>
        </is>
      </c>
      <c r="AH250" s="2" t="n">
        <v>0</v>
      </c>
      <c r="AI250" s="2" t="inlineStr">
        <is>
          <t>no</t>
        </is>
      </c>
      <c r="AJ250" s="2" t="inlineStr">
        <is>
          <t>no</t>
        </is>
      </c>
      <c r="AK250" s="2" t="inlineStr">
        <is>
          <t>no</t>
        </is>
      </c>
      <c r="AL250" s="2" t="inlineStr">
        <is>
          <t>no</t>
        </is>
      </c>
      <c r="AM250" s="2" t="n"/>
      <c r="AN250" s="2" t="n"/>
      <c r="AO250" s="2" t="n"/>
      <c r="AP250" s="2" t="inlineStr">
        <is>
          <t>v3_2026-03-19</t>
        </is>
      </c>
      <c r="AQ250">
        <f>(L250-Schema_v5!$C2)/(Schema_v5!$C3-Schema_v5!$C2)</f>
        <v/>
      </c>
      <c r="AR250">
        <f>(M250-Schema_v5!$C4)/(Schema_v5!$C5-Schema_v5!$C4)</f>
        <v/>
      </c>
      <c r="AS250">
        <f>N250/Schema_v5!$C6</f>
        <v/>
      </c>
      <c r="AT250">
        <f>O250/Schema_v5!$C7</f>
        <v/>
      </c>
      <c r="AU250">
        <f>P250/Schema_v5!$C8</f>
        <v/>
      </c>
      <c r="AV250">
        <f>IF(Schema_v5!$C9=0,0,AH250/Schema_v5!$C9)</f>
        <v/>
      </c>
      <c r="AW250">
        <f>IF(Schema_v5!$C10=0,0,AE250/Schema_v5!$C10)</f>
        <v/>
      </c>
      <c r="AX250">
        <f>(W250-Schema_v5!$C11)/(Schema_v5!$C12-Schema_v5!$C11)</f>
        <v/>
      </c>
      <c r="AY250">
        <f>(X250-Schema_v5!$C13)/(Schema_v5!$C14-Schema_v5!$C13)</f>
        <v/>
      </c>
    </row>
    <row r="251" ht="68.25" customHeight="1" s="10">
      <c r="A251" s="2" t="inlineStr">
        <is>
          <t>Q50_E</t>
        </is>
      </c>
      <c r="B251" s="2" t="n">
        <v>50</v>
      </c>
      <c r="C251" s="2" t="n">
        <v>50</v>
      </c>
      <c r="D251" s="2" t="inlineStr">
        <is>
          <t>Core</t>
        </is>
      </c>
      <c r="E251" s="2" t="n">
        <v>1.4</v>
      </c>
      <c r="F251" s="2" t="inlineStr">
        <is>
          <t>EmotionalNeeds</t>
        </is>
      </c>
      <c r="G251" s="2" t="inlineStr">
        <is>
          <t>IntimacyThreshold</t>
        </is>
      </c>
      <c r="H251" s="2" t="n"/>
      <c r="I251" s="2" t="inlineStr">
        <is>
          <t>E</t>
        </is>
      </c>
      <c r="J251" s="2" t="inlineStr">
        <is>
          <t>E</t>
        </is>
      </c>
      <c r="K251" s="2" t="inlineStr">
        <is>
          <t>That it won't last. Even good things leave. Even love like that.</t>
        </is>
      </c>
      <c r="L251" s="2" t="n">
        <v>9</v>
      </c>
      <c r="M251" s="2" t="n">
        <v>9</v>
      </c>
      <c r="N251" s="2" t="n">
        <v>8</v>
      </c>
      <c r="O251" s="2" t="n">
        <v>8</v>
      </c>
      <c r="P251" s="2" t="n">
        <v>6</v>
      </c>
      <c r="Q251" s="2" t="inlineStr">
        <is>
          <t>Romantic Idealist</t>
        </is>
      </c>
      <c r="R251" s="2" t="n">
        <v>6</v>
      </c>
      <c r="S251" s="2" t="n"/>
      <c r="T251" s="2" t="n"/>
      <c r="U251" s="2" t="n">
        <v>0</v>
      </c>
      <c r="V251" s="2" t="inlineStr">
        <is>
          <t>masc:-0.4;fem:1.5</t>
        </is>
      </c>
      <c r="W251" s="2" t="n">
        <v>-0.4</v>
      </c>
      <c r="X251" s="2" t="n">
        <v>1.5</v>
      </c>
      <c r="Y251" s="2" t="inlineStr">
        <is>
          <t>COMM_Emotional</t>
        </is>
      </c>
      <c r="Z251" s="2" t="inlineStr">
        <is>
          <t>REG_Distractor</t>
        </is>
      </c>
      <c r="AA251" s="2" t="inlineStr">
        <is>
          <t>LANG_Gifts</t>
        </is>
      </c>
      <c r="AB251" s="2" t="n"/>
      <c r="AC251" s="2" t="n"/>
      <c r="AD251" s="2" t="n"/>
      <c r="AE251" s="2" t="n">
        <v>0</v>
      </c>
      <c r="AF251" s="2" t="inlineStr">
        <is>
          <t>hope tainted by history</t>
        </is>
      </c>
      <c r="AG251" s="2" t="inlineStr">
        <is>
          <t>cautious romantic</t>
        </is>
      </c>
      <c r="AH251" s="2" t="n">
        <v>0</v>
      </c>
      <c r="AI251" s="2" t="inlineStr">
        <is>
          <t>no</t>
        </is>
      </c>
      <c r="AJ251" s="2" t="inlineStr">
        <is>
          <t>no</t>
        </is>
      </c>
      <c r="AK251" s="2" t="inlineStr">
        <is>
          <t>no</t>
        </is>
      </c>
      <c r="AL251" s="2" t="inlineStr">
        <is>
          <t>no</t>
        </is>
      </c>
      <c r="AM251" s="2" t="n"/>
      <c r="AN251" s="2" t="n"/>
      <c r="AO251" s="2" t="n"/>
      <c r="AP251" s="2" t="inlineStr">
        <is>
          <t>v3_2026-03-19</t>
        </is>
      </c>
      <c r="AQ251">
        <f>(L251-Schema_v5!$C2)/(Schema_v5!$C3-Schema_v5!$C2)</f>
        <v/>
      </c>
      <c r="AR251">
        <f>(M251-Schema_v5!$C4)/(Schema_v5!$C5-Schema_v5!$C4)</f>
        <v/>
      </c>
      <c r="AS251">
        <f>N251/Schema_v5!$C6</f>
        <v/>
      </c>
      <c r="AT251">
        <f>O251/Schema_v5!$C7</f>
        <v/>
      </c>
      <c r="AU251">
        <f>P251/Schema_v5!$C8</f>
        <v/>
      </c>
      <c r="AV251">
        <f>IF(Schema_v5!$C9=0,0,AH251/Schema_v5!$C9)</f>
        <v/>
      </c>
      <c r="AW251">
        <f>IF(Schema_v5!$C10=0,0,AE251/Schema_v5!$C10)</f>
        <v/>
      </c>
      <c r="AX251">
        <f>(W251-Schema_v5!$C11)/(Schema_v5!$C12-Schema_v5!$C11)</f>
        <v/>
      </c>
      <c r="AY251">
        <f>(X251-Schema_v5!$C13)/(Schema_v5!$C14-Schema_v5!$C13)</f>
        <v/>
      </c>
    </row>
    <row r="252" ht="68.25" customHeight="1" s="10">
      <c r="A252" s="2" t="inlineStr">
        <is>
          <t>Q51_A</t>
        </is>
      </c>
      <c r="B252" s="2" t="n">
        <v>51</v>
      </c>
      <c r="C252" s="2" t="n">
        <v>100</v>
      </c>
      <c r="D252" s="2" t="inlineStr">
        <is>
          <t>Shadow</t>
        </is>
      </c>
      <c r="E252" s="2" t="n">
        <v>1.3</v>
      </c>
      <c r="F252" s="2" t="inlineStr">
        <is>
          <t>ShadowPattern</t>
        </is>
      </c>
      <c r="G252" s="2" t="inlineStr">
        <is>
          <t>IntegrityRisk</t>
        </is>
      </c>
      <c r="H252" s="2" t="inlineStr">
        <is>
          <t>You realize they like you more than you like them. What do you do?</t>
        </is>
      </c>
      <c r="I252" s="2" t="inlineStr">
        <is>
          <t>A</t>
        </is>
      </c>
      <c r="J252" s="2" t="inlineStr">
        <is>
          <t>A</t>
        </is>
      </c>
      <c r="K252" s="2" t="inlineStr">
        <is>
          <t>I turn it into a game-see how far they'll go.</t>
        </is>
      </c>
      <c r="L252" s="2" t="n">
        <v>4</v>
      </c>
      <c r="M252" s="2" t="n"/>
      <c r="N252" s="2" t="n">
        <v>4</v>
      </c>
      <c r="O252" s="2" t="n">
        <v>4</v>
      </c>
      <c r="P252" s="2" t="n">
        <v>4</v>
      </c>
      <c r="Q252" s="2" t="n"/>
      <c r="R252" s="2" t="n"/>
      <c r="S252" s="2" t="inlineStr">
        <is>
          <t>Manipulator</t>
        </is>
      </c>
      <c r="T252" s="2" t="n">
        <v>1</v>
      </c>
      <c r="U252" s="2" t="n">
        <v>6</v>
      </c>
      <c r="V252" s="2" t="inlineStr">
        <is>
          <t>masc:0.0;fem:0.0</t>
        </is>
      </c>
      <c r="W252" s="2" t="n">
        <v>0</v>
      </c>
      <c r="X252" s="2" t="n">
        <v>0</v>
      </c>
      <c r="Y252" s="2" t="n"/>
      <c r="Z252" s="2" t="n"/>
      <c r="AA252" s="2" t="n"/>
      <c r="AB252" s="2" t="n"/>
      <c r="AC252" s="2" t="n"/>
      <c r="AD252" s="2" t="n"/>
      <c r="AE252" s="2" t="n">
        <v>0</v>
      </c>
      <c r="AF252" s="2" t="n"/>
      <c r="AG252" s="2" t="n"/>
      <c r="AH252" s="2" t="n">
        <v>0.6</v>
      </c>
      <c r="AI252" s="2" t="inlineStr">
        <is>
          <t>no</t>
        </is>
      </c>
      <c r="AJ252" s="2" t="inlineStr">
        <is>
          <t>yes</t>
        </is>
      </c>
      <c r="AK252" s="2" t="inlineStr">
        <is>
          <t>no</t>
        </is>
      </c>
      <c r="AL252" s="2" t="inlineStr">
        <is>
          <t>no</t>
        </is>
      </c>
      <c r="AM252" s="2" t="n"/>
      <c r="AN252" s="2" t="n"/>
      <c r="AO252" s="2" t="n"/>
      <c r="AP252" s="2" t="inlineStr">
        <is>
          <t>v3_2026-03-19</t>
        </is>
      </c>
      <c r="AQ252">
        <f>(L252-Schema_v5!$C2)/(Schema_v5!$C3-Schema_v5!$C2)</f>
        <v/>
      </c>
      <c r="AR252">
        <f>(M252-Schema_v5!$C4)/(Schema_v5!$C5-Schema_v5!$C4)</f>
        <v/>
      </c>
      <c r="AS252">
        <f>N252/Schema_v5!$C6</f>
        <v/>
      </c>
      <c r="AT252">
        <f>O252/Schema_v5!$C7</f>
        <v/>
      </c>
      <c r="AU252">
        <f>P252/Schema_v5!$C8</f>
        <v/>
      </c>
      <c r="AV252">
        <f>IF(Schema_v5!$C9=0,0,AH252/Schema_v5!$C9)</f>
        <v/>
      </c>
      <c r="AW252">
        <f>IF(Schema_v5!$C10=0,0,AE252/Schema_v5!$C10)</f>
        <v/>
      </c>
      <c r="AX252">
        <f>(W252-Schema_v5!$C11)/(Schema_v5!$C12-Schema_v5!$C11)</f>
        <v/>
      </c>
      <c r="AY252">
        <f>(X252-Schema_v5!$C13)/(Schema_v5!$C14-Schema_v5!$C13)</f>
        <v/>
      </c>
    </row>
    <row r="253" ht="54.75" customHeight="1" s="10">
      <c r="A253" s="2" t="inlineStr">
        <is>
          <t>Q51_B</t>
        </is>
      </c>
      <c r="B253" s="2" t="n">
        <v>51</v>
      </c>
      <c r="C253" s="2" t="n">
        <v>100</v>
      </c>
      <c r="D253" s="2" t="inlineStr">
        <is>
          <t>Shadow</t>
        </is>
      </c>
      <c r="E253" s="2" t="n">
        <v>1.3</v>
      </c>
      <c r="F253" s="2" t="inlineStr">
        <is>
          <t>ShadowPattern</t>
        </is>
      </c>
      <c r="G253" s="2" t="inlineStr">
        <is>
          <t>IntegrityRisk</t>
        </is>
      </c>
      <c r="H253" s="2" t="n"/>
      <c r="I253" s="2" t="inlineStr">
        <is>
          <t>B</t>
        </is>
      </c>
      <c r="J253" s="2" t="inlineStr">
        <is>
          <t>B</t>
        </is>
      </c>
      <c r="K253" s="2" t="inlineStr">
        <is>
          <t>I get colder. They'll back off eventually.</t>
        </is>
      </c>
      <c r="L253" s="2" t="n">
        <v>3</v>
      </c>
      <c r="M253" s="2" t="n"/>
      <c r="N253" s="2" t="n">
        <v>6</v>
      </c>
      <c r="O253" s="2" t="n">
        <v>6</v>
      </c>
      <c r="P253" s="2" t="n">
        <v>6</v>
      </c>
      <c r="Q253" s="2" t="n"/>
      <c r="R253" s="2" t="n"/>
      <c r="S253" s="2" t="inlineStr">
        <is>
          <t>Stonewaller</t>
        </is>
      </c>
      <c r="T253" s="2" t="n">
        <v>2</v>
      </c>
      <c r="U253" s="2" t="n">
        <v>4</v>
      </c>
      <c r="V253" s="2" t="inlineStr">
        <is>
          <t>masc:0.0;fem:0.0</t>
        </is>
      </c>
      <c r="W253" s="2" t="n">
        <v>0</v>
      </c>
      <c r="X253" s="2" t="n">
        <v>0</v>
      </c>
      <c r="Y253" s="2" t="n"/>
      <c r="Z253" s="2" t="n"/>
      <c r="AA253" s="2" t="n"/>
      <c r="AB253" s="2" t="n"/>
      <c r="AC253" s="2" t="n"/>
      <c r="AD253" s="2" t="n"/>
      <c r="AE253" s="2" t="n">
        <v>0</v>
      </c>
      <c r="AF253" s="2" t="n"/>
      <c r="AG253" s="2" t="n"/>
      <c r="AH253" s="2" t="n">
        <v>1.2</v>
      </c>
      <c r="AI253" s="2" t="inlineStr">
        <is>
          <t>no</t>
        </is>
      </c>
      <c r="AJ253" s="2" t="inlineStr">
        <is>
          <t>yes</t>
        </is>
      </c>
      <c r="AK253" s="2" t="inlineStr">
        <is>
          <t>no</t>
        </is>
      </c>
      <c r="AL253" s="2" t="inlineStr">
        <is>
          <t>no</t>
        </is>
      </c>
      <c r="AM253" s="2" t="n"/>
      <c r="AN253" s="2" t="n"/>
      <c r="AO253" s="2" t="n"/>
      <c r="AP253" s="2" t="inlineStr">
        <is>
          <t>v3_2026-03-19</t>
        </is>
      </c>
      <c r="AQ253">
        <f>(L253-Schema_v5!$C2)/(Schema_v5!$C3-Schema_v5!$C2)</f>
        <v/>
      </c>
      <c r="AR253">
        <f>(M253-Schema_v5!$C4)/(Schema_v5!$C5-Schema_v5!$C4)</f>
        <v/>
      </c>
      <c r="AS253">
        <f>N253/Schema_v5!$C6</f>
        <v/>
      </c>
      <c r="AT253">
        <f>O253/Schema_v5!$C7</f>
        <v/>
      </c>
      <c r="AU253">
        <f>P253/Schema_v5!$C8</f>
        <v/>
      </c>
      <c r="AV253">
        <f>IF(Schema_v5!$C9=0,0,AH253/Schema_v5!$C9)</f>
        <v/>
      </c>
      <c r="AW253">
        <f>IF(Schema_v5!$C10=0,0,AE253/Schema_v5!$C10)</f>
        <v/>
      </c>
      <c r="AX253">
        <f>(W253-Schema_v5!$C11)/(Schema_v5!$C12-Schema_v5!$C11)</f>
        <v/>
      </c>
      <c r="AY253">
        <f>(X253-Schema_v5!$C13)/(Schema_v5!$C14-Schema_v5!$C13)</f>
        <v/>
      </c>
    </row>
    <row r="254" ht="54.75" customHeight="1" s="10">
      <c r="A254" s="2" t="inlineStr">
        <is>
          <t>Q51_C</t>
        </is>
      </c>
      <c r="B254" s="2" t="n">
        <v>51</v>
      </c>
      <c r="C254" s="2" t="n">
        <v>100</v>
      </c>
      <c r="D254" s="2" t="inlineStr">
        <is>
          <t>Shadow</t>
        </is>
      </c>
      <c r="E254" s="2" t="n">
        <v>1.3</v>
      </c>
      <c r="F254" s="2" t="inlineStr">
        <is>
          <t>ShadowPattern</t>
        </is>
      </c>
      <c r="G254" s="2" t="inlineStr">
        <is>
          <t>IntegrityRisk</t>
        </is>
      </c>
      <c r="H254" s="2" t="n"/>
      <c r="I254" s="2" t="inlineStr">
        <is>
          <t>C</t>
        </is>
      </c>
      <c r="J254" s="2" t="inlineStr">
        <is>
          <t>C</t>
        </is>
      </c>
      <c r="K254" s="2" t="inlineStr">
        <is>
          <t>I say the right things... even if I don't mean them.</t>
        </is>
      </c>
      <c r="L254" s="2" t="n">
        <v>5</v>
      </c>
      <c r="M254" s="2" t="n"/>
      <c r="N254" s="2" t="n">
        <v>4</v>
      </c>
      <c r="O254" s="2" t="n">
        <v>4</v>
      </c>
      <c r="P254" s="2" t="n">
        <v>4</v>
      </c>
      <c r="Q254" s="2" t="n"/>
      <c r="R254" s="2" t="n"/>
      <c r="S254" s="2" t="inlineStr">
        <is>
          <t>Love Bomber</t>
        </is>
      </c>
      <c r="T254" s="2" t="n">
        <v>3</v>
      </c>
      <c r="U254" s="2" t="n">
        <v>6</v>
      </c>
      <c r="V254" s="2" t="inlineStr">
        <is>
          <t>masc:0.0;fem:0.0</t>
        </is>
      </c>
      <c r="W254" s="2" t="n">
        <v>0</v>
      </c>
      <c r="X254" s="2" t="n">
        <v>0</v>
      </c>
      <c r="Y254" s="2" t="n"/>
      <c r="Z254" s="2" t="n"/>
      <c r="AA254" s="2" t="n"/>
      <c r="AB254" s="2" t="n"/>
      <c r="AC254" s="2" t="n"/>
      <c r="AD254" s="2" t="n"/>
      <c r="AE254" s="2" t="n">
        <v>0</v>
      </c>
      <c r="AF254" s="2" t="n"/>
      <c r="AG254" s="2" t="n"/>
      <c r="AH254" s="2" t="n">
        <v>0</v>
      </c>
      <c r="AI254" s="2" t="inlineStr">
        <is>
          <t>no</t>
        </is>
      </c>
      <c r="AJ254" s="2" t="inlineStr">
        <is>
          <t>no</t>
        </is>
      </c>
      <c r="AK254" s="2" t="inlineStr">
        <is>
          <t>no</t>
        </is>
      </c>
      <c r="AL254" s="2" t="inlineStr">
        <is>
          <t>no</t>
        </is>
      </c>
      <c r="AM254" s="2" t="n"/>
      <c r="AN254" s="2" t="n"/>
      <c r="AO254" s="2" t="n"/>
      <c r="AP254" s="2" t="inlineStr">
        <is>
          <t>v3_2026-03-19</t>
        </is>
      </c>
      <c r="AQ254">
        <f>(L254-Schema_v5!$C2)/(Schema_v5!$C3-Schema_v5!$C2)</f>
        <v/>
      </c>
      <c r="AR254">
        <f>(M254-Schema_v5!$C4)/(Schema_v5!$C5-Schema_v5!$C4)</f>
        <v/>
      </c>
      <c r="AS254">
        <f>N254/Schema_v5!$C6</f>
        <v/>
      </c>
      <c r="AT254">
        <f>O254/Schema_v5!$C7</f>
        <v/>
      </c>
      <c r="AU254">
        <f>P254/Schema_v5!$C8</f>
        <v/>
      </c>
      <c r="AV254">
        <f>IF(Schema_v5!$C9=0,0,AH254/Schema_v5!$C9)</f>
        <v/>
      </c>
      <c r="AW254">
        <f>IF(Schema_v5!$C10=0,0,AE254/Schema_v5!$C10)</f>
        <v/>
      </c>
      <c r="AX254">
        <f>(W254-Schema_v5!$C11)/(Schema_v5!$C12-Schema_v5!$C11)</f>
        <v/>
      </c>
      <c r="AY254">
        <f>(X254-Schema_v5!$C13)/(Schema_v5!$C14-Schema_v5!$C13)</f>
        <v/>
      </c>
    </row>
    <row r="255" ht="54.75" customHeight="1" s="10">
      <c r="A255" s="2" t="inlineStr">
        <is>
          <t>Q51_D</t>
        </is>
      </c>
      <c r="B255" s="2" t="n">
        <v>51</v>
      </c>
      <c r="C255" s="2" t="n">
        <v>100</v>
      </c>
      <c r="D255" s="2" t="inlineStr">
        <is>
          <t>Shadow</t>
        </is>
      </c>
      <c r="E255" s="2" t="n">
        <v>1.3</v>
      </c>
      <c r="F255" s="2" t="inlineStr">
        <is>
          <t>ShadowPattern</t>
        </is>
      </c>
      <c r="G255" s="2" t="inlineStr">
        <is>
          <t>IntegrityRisk</t>
        </is>
      </c>
      <c r="H255" s="2" t="n"/>
      <c r="I255" s="2" t="inlineStr">
        <is>
          <t>D</t>
        </is>
      </c>
      <c r="J255" s="2" t="inlineStr">
        <is>
          <t>D</t>
        </is>
      </c>
      <c r="K255" s="2" t="inlineStr">
        <is>
          <t>I shape-shift a little to match their energy.</t>
        </is>
      </c>
      <c r="L255" s="2" t="n">
        <v>6</v>
      </c>
      <c r="M255" s="2" t="n"/>
      <c r="N255" s="2" t="n">
        <v>4</v>
      </c>
      <c r="O255" s="2" t="n">
        <v>4</v>
      </c>
      <c r="P255" s="2" t="n">
        <v>4</v>
      </c>
      <c r="Q255" s="2" t="n"/>
      <c r="R255" s="2" t="n"/>
      <c r="S255" s="2" t="inlineStr">
        <is>
          <t>Chameleon</t>
        </is>
      </c>
      <c r="T255" s="2" t="n">
        <v>4</v>
      </c>
      <c r="U255" s="2" t="n">
        <v>6</v>
      </c>
      <c r="V255" s="2" t="inlineStr">
        <is>
          <t>masc:0.0;fem:0.0</t>
        </is>
      </c>
      <c r="W255" s="2" t="n">
        <v>0</v>
      </c>
      <c r="X255" s="2" t="n">
        <v>0</v>
      </c>
      <c r="Y255" s="2" t="n"/>
      <c r="Z255" s="2" t="n"/>
      <c r="AA255" s="2" t="n"/>
      <c r="AB255" s="2" t="n"/>
      <c r="AC255" s="2" t="n"/>
      <c r="AD255" s="2" t="n"/>
      <c r="AE255" s="2" t="n">
        <v>0</v>
      </c>
      <c r="AF255" s="2" t="n"/>
      <c r="AG255" s="2" t="n"/>
      <c r="AH255" s="2" t="n">
        <v>0.6</v>
      </c>
      <c r="AI255" s="2" t="n"/>
      <c r="AJ255" s="2" t="inlineStr">
        <is>
          <t>no</t>
        </is>
      </c>
      <c r="AK255" s="2" t="inlineStr">
        <is>
          <t>no</t>
        </is>
      </c>
      <c r="AL255" s="2" t="inlineStr">
        <is>
          <t>no</t>
        </is>
      </c>
      <c r="AM255" s="2" t="n"/>
      <c r="AN255" s="2" t="n"/>
      <c r="AO255" s="2" t="n"/>
      <c r="AP255" s="2" t="inlineStr">
        <is>
          <t>v3_2026-03-19</t>
        </is>
      </c>
      <c r="AQ255">
        <f>(L255-Schema_v5!$C2)/(Schema_v5!$C3-Schema_v5!$C2)</f>
        <v/>
      </c>
      <c r="AR255">
        <f>(M255-Schema_v5!$C4)/(Schema_v5!$C5-Schema_v5!$C4)</f>
        <v/>
      </c>
      <c r="AS255">
        <f>N255/Schema_v5!$C6</f>
        <v/>
      </c>
      <c r="AT255">
        <f>O255/Schema_v5!$C7</f>
        <v/>
      </c>
      <c r="AU255">
        <f>P255/Schema_v5!$C8</f>
        <v/>
      </c>
      <c r="AV255">
        <f>IF(Schema_v5!$C9=0,0,AH255/Schema_v5!$C9)</f>
        <v/>
      </c>
      <c r="AW255">
        <f>IF(Schema_v5!$C10=0,0,AE255/Schema_v5!$C10)</f>
        <v/>
      </c>
      <c r="AX255">
        <f>(W255-Schema_v5!$C11)/(Schema_v5!$C12-Schema_v5!$C11)</f>
        <v/>
      </c>
      <c r="AY255">
        <f>(X255-Schema_v5!$C13)/(Schema_v5!$C14-Schema_v5!$C13)</f>
        <v/>
      </c>
    </row>
    <row r="256" ht="68.25" customHeight="1" s="10">
      <c r="A256" s="2" t="inlineStr">
        <is>
          <t>Q51_E</t>
        </is>
      </c>
      <c r="B256" s="2" t="n">
        <v>51</v>
      </c>
      <c r="C256" s="2" t="n">
        <v>100</v>
      </c>
      <c r="D256" s="2" t="inlineStr">
        <is>
          <t>Shadow</t>
        </is>
      </c>
      <c r="E256" s="2" t="n">
        <v>1.3</v>
      </c>
      <c r="F256" s="2" t="inlineStr">
        <is>
          <t>ShadowPattern</t>
        </is>
      </c>
      <c r="G256" s="2" t="inlineStr">
        <is>
          <t>IntegrityRisk</t>
        </is>
      </c>
      <c r="H256" s="2" t="n"/>
      <c r="I256" s="2" t="inlineStr">
        <is>
          <t>E</t>
        </is>
      </c>
      <c r="J256" s="2" t="inlineStr">
        <is>
          <t>E</t>
        </is>
      </c>
      <c r="K256" s="2" t="inlineStr">
        <is>
          <t>I start pulling back affection to make it feel "fair."</t>
        </is>
      </c>
      <c r="L256" s="2" t="n">
        <v>7</v>
      </c>
      <c r="M256" s="2" t="n"/>
      <c r="N256" s="2" t="n">
        <v>2</v>
      </c>
      <c r="O256" s="2" t="n">
        <v>2</v>
      </c>
      <c r="P256" s="2" t="n">
        <v>2</v>
      </c>
      <c r="Q256" s="2" t="n"/>
      <c r="R256" s="2" t="n"/>
      <c r="S256" s="2" t="inlineStr">
        <is>
          <t>Scorekeeper</t>
        </is>
      </c>
      <c r="T256" s="2" t="n">
        <v>5</v>
      </c>
      <c r="U256" s="2" t="n">
        <v>8</v>
      </c>
      <c r="V256" s="2" t="inlineStr">
        <is>
          <t>masc:0.0;fem:0.0</t>
        </is>
      </c>
      <c r="W256" s="2" t="n">
        <v>0</v>
      </c>
      <c r="X256" s="2" t="n">
        <v>0</v>
      </c>
      <c r="Y256" s="2" t="n"/>
      <c r="Z256" s="2" t="n"/>
      <c r="AA256" s="2" t="n"/>
      <c r="AB256" s="2" t="n"/>
      <c r="AC256" s="2" t="n"/>
      <c r="AD256" s="2" t="n"/>
      <c r="AE256" s="2" t="n">
        <v>0</v>
      </c>
      <c r="AF256" s="2" t="n"/>
      <c r="AG256" s="2" t="n"/>
      <c r="AH256" s="2" t="n">
        <v>0</v>
      </c>
      <c r="AI256" s="2" t="n"/>
      <c r="AJ256" s="2" t="inlineStr">
        <is>
          <t>no</t>
        </is>
      </c>
      <c r="AK256" s="2" t="inlineStr">
        <is>
          <t>no</t>
        </is>
      </c>
      <c r="AL256" s="2" t="inlineStr">
        <is>
          <t>no</t>
        </is>
      </c>
      <c r="AM256" s="2" t="n"/>
      <c r="AN256" s="2" t="n"/>
      <c r="AO256" s="2" t="n"/>
      <c r="AP256" s="2" t="inlineStr">
        <is>
          <t>v3_2026-03-19</t>
        </is>
      </c>
      <c r="AQ256">
        <f>(L256-Schema_v5!$C2)/(Schema_v5!$C3-Schema_v5!$C2)</f>
        <v/>
      </c>
      <c r="AR256">
        <f>(M256-Schema_v5!$C4)/(Schema_v5!$C5-Schema_v5!$C4)</f>
        <v/>
      </c>
      <c r="AS256">
        <f>N256/Schema_v5!$C6</f>
        <v/>
      </c>
      <c r="AT256">
        <f>O256/Schema_v5!$C7</f>
        <v/>
      </c>
      <c r="AU256">
        <f>P256/Schema_v5!$C8</f>
        <v/>
      </c>
      <c r="AV256">
        <f>IF(Schema_v5!$C9=0,0,AH256/Schema_v5!$C9)</f>
        <v/>
      </c>
      <c r="AW256">
        <f>IF(Schema_v5!$C10=0,0,AE256/Schema_v5!$C10)</f>
        <v/>
      </c>
      <c r="AX256">
        <f>(W256-Schema_v5!$C11)/(Schema_v5!$C12-Schema_v5!$C11)</f>
        <v/>
      </c>
      <c r="AY256">
        <f>(X256-Schema_v5!$C13)/(Schema_v5!$C14-Schema_v5!$C13)</f>
        <v/>
      </c>
    </row>
    <row r="257" ht="54.75" customHeight="1" s="10">
      <c r="A257" s="2" t="inlineStr">
        <is>
          <t>Q51_F</t>
        </is>
      </c>
      <c r="B257" s="2" t="n">
        <v>51</v>
      </c>
      <c r="C257" s="2" t="n">
        <v>100</v>
      </c>
      <c r="D257" s="2" t="inlineStr">
        <is>
          <t>Shadow</t>
        </is>
      </c>
      <c r="E257" s="2" t="n">
        <v>1.3</v>
      </c>
      <c r="F257" s="2" t="inlineStr">
        <is>
          <t>ShadowPattern</t>
        </is>
      </c>
      <c r="G257" s="2" t="inlineStr">
        <is>
          <t>IntegrityRisk</t>
        </is>
      </c>
      <c r="H257" s="2" t="n"/>
      <c r="I257" s="2" t="inlineStr">
        <is>
          <t>F</t>
        </is>
      </c>
      <c r="J257" s="2" t="inlineStr">
        <is>
          <t>F</t>
        </is>
      </c>
      <c r="K257" s="2" t="inlineStr">
        <is>
          <t>I blame myself for not liking them more</t>
        </is>
      </c>
      <c r="L257" s="2" t="n">
        <v>8</v>
      </c>
      <c r="M257" s="2" t="n"/>
      <c r="N257" s="2" t="n">
        <v>2</v>
      </c>
      <c r="O257" s="2" t="n">
        <v>2</v>
      </c>
      <c r="P257" s="2" t="n">
        <v>2</v>
      </c>
      <c r="Q257" s="2" t="n"/>
      <c r="R257" s="2" t="n"/>
      <c r="S257" s="2" t="inlineStr">
        <is>
          <t>Self-Saboteur</t>
        </is>
      </c>
      <c r="T257" s="2" t="n">
        <v>6</v>
      </c>
      <c r="U257" s="2" t="n">
        <v>8</v>
      </c>
      <c r="V257" s="2" t="inlineStr">
        <is>
          <t>masc:0.0;fem:0.0</t>
        </is>
      </c>
      <c r="W257" s="2" t="n">
        <v>0</v>
      </c>
      <c r="X257" s="2" t="n">
        <v>0</v>
      </c>
      <c r="Y257" s="2" t="n"/>
      <c r="Z257" s="2" t="n"/>
      <c r="AA257" s="2" t="n"/>
      <c r="AB257" s="2" t="n"/>
      <c r="AC257" s="2" t="n"/>
      <c r="AD257" s="2" t="n"/>
      <c r="AE257" s="2" t="n">
        <v>0</v>
      </c>
      <c r="AF257" s="2" t="n"/>
      <c r="AG257" s="2" t="n"/>
      <c r="AH257" s="2" t="n">
        <v>0.6</v>
      </c>
      <c r="AI257" s="2" t="n"/>
      <c r="AJ257" s="2" t="inlineStr">
        <is>
          <t>no</t>
        </is>
      </c>
      <c r="AK257" s="2" t="inlineStr">
        <is>
          <t>no</t>
        </is>
      </c>
      <c r="AL257" s="2" t="inlineStr">
        <is>
          <t>no</t>
        </is>
      </c>
      <c r="AM257" s="2" t="n"/>
      <c r="AN257" s="2" t="n"/>
      <c r="AO257" s="2" t="n"/>
      <c r="AP257" s="2" t="inlineStr">
        <is>
          <t>v3_2026-03-19</t>
        </is>
      </c>
      <c r="AQ257">
        <f>(L257-Schema_v5!$C2)/(Schema_v5!$C3-Schema_v5!$C2)</f>
        <v/>
      </c>
      <c r="AR257">
        <f>(M257-Schema_v5!$C4)/(Schema_v5!$C5-Schema_v5!$C4)</f>
        <v/>
      </c>
      <c r="AS257">
        <f>N257/Schema_v5!$C6</f>
        <v/>
      </c>
      <c r="AT257">
        <f>O257/Schema_v5!$C7</f>
        <v/>
      </c>
      <c r="AU257">
        <f>P257/Schema_v5!$C8</f>
        <v/>
      </c>
      <c r="AV257">
        <f>IF(Schema_v5!$C9=0,0,AH257/Schema_v5!$C9)</f>
        <v/>
      </c>
      <c r="AW257">
        <f>IF(Schema_v5!$C10=0,0,AE257/Schema_v5!$C10)</f>
        <v/>
      </c>
      <c r="AX257">
        <f>(W257-Schema_v5!$C11)/(Schema_v5!$C12-Schema_v5!$C11)</f>
        <v/>
      </c>
      <c r="AY257">
        <f>(X257-Schema_v5!$C13)/(Schema_v5!$C14-Schema_v5!$C13)</f>
        <v/>
      </c>
    </row>
    <row r="258" ht="68.25" customHeight="1" s="10">
      <c r="A258" s="2" t="inlineStr">
        <is>
          <t>Q52_A</t>
        </is>
      </c>
      <c r="B258" s="2" t="n">
        <v>52</v>
      </c>
      <c r="C258" s="2" t="n">
        <v>101</v>
      </c>
      <c r="D258" s="2" t="inlineStr">
        <is>
          <t>Shadow</t>
        </is>
      </c>
      <c r="E258" s="2" t="n">
        <v>1.3</v>
      </c>
      <c r="F258" s="2" t="inlineStr">
        <is>
          <t>ShadowPattern</t>
        </is>
      </c>
      <c r="G258" s="2" t="inlineStr">
        <is>
          <t>IntegrityRisk</t>
        </is>
      </c>
      <c r="H258" s="2" t="inlineStr">
        <is>
          <t>You get caught in a lie, but only a small one. What's your instinct?</t>
        </is>
      </c>
      <c r="I258" s="2" t="inlineStr">
        <is>
          <t>A</t>
        </is>
      </c>
      <c r="J258" s="2" t="inlineStr">
        <is>
          <t>A</t>
        </is>
      </c>
      <c r="K258" s="2" t="inlineStr">
        <is>
          <t>I flip it on them: Why were they snooping anyway?</t>
        </is>
      </c>
      <c r="L258" s="2" t="n">
        <v>4</v>
      </c>
      <c r="M258" s="2" t="n"/>
      <c r="N258" s="2" t="n">
        <v>4</v>
      </c>
      <c r="O258" s="2" t="n">
        <v>4</v>
      </c>
      <c r="P258" s="2" t="n">
        <v>4</v>
      </c>
      <c r="Q258" s="2" t="n"/>
      <c r="R258" s="2" t="n"/>
      <c r="S258" s="2" t="inlineStr">
        <is>
          <t>Manipulator</t>
        </is>
      </c>
      <c r="T258" s="2" t="n">
        <v>1</v>
      </c>
      <c r="U258" s="2" t="n">
        <v>6</v>
      </c>
      <c r="V258" s="2" t="inlineStr">
        <is>
          <t>masc:0.0;fem:0.0</t>
        </is>
      </c>
      <c r="W258" s="2" t="n">
        <v>0</v>
      </c>
      <c r="X258" s="2" t="n">
        <v>0</v>
      </c>
      <c r="Y258" s="2" t="n"/>
      <c r="Z258" s="2" t="n"/>
      <c r="AA258" s="2" t="n"/>
      <c r="AB258" s="2" t="n"/>
      <c r="AC258" s="2" t="n"/>
      <c r="AD258" s="2" t="n"/>
      <c r="AE258" s="2" t="n">
        <v>0</v>
      </c>
      <c r="AF258" s="2" t="n"/>
      <c r="AG258" s="2" t="n"/>
      <c r="AH258" s="2" t="n">
        <v>0</v>
      </c>
      <c r="AI258" s="2" t="n"/>
      <c r="AJ258" s="2" t="inlineStr">
        <is>
          <t>yes</t>
        </is>
      </c>
      <c r="AK258" s="2" t="inlineStr">
        <is>
          <t>no</t>
        </is>
      </c>
      <c r="AL258" s="2" t="inlineStr">
        <is>
          <t>no</t>
        </is>
      </c>
      <c r="AM258" s="2" t="n"/>
      <c r="AN258" s="2" t="n"/>
      <c r="AO258" s="2" t="n"/>
      <c r="AP258" s="2" t="inlineStr">
        <is>
          <t>v3_2026-03-19</t>
        </is>
      </c>
      <c r="AQ258">
        <f>(L258-Schema_v5!$C2)/(Schema_v5!$C3-Schema_v5!$C2)</f>
        <v/>
      </c>
      <c r="AR258">
        <f>(M258-Schema_v5!$C4)/(Schema_v5!$C5-Schema_v5!$C4)</f>
        <v/>
      </c>
      <c r="AS258">
        <f>N258/Schema_v5!$C6</f>
        <v/>
      </c>
      <c r="AT258">
        <f>O258/Schema_v5!$C7</f>
        <v/>
      </c>
      <c r="AU258">
        <f>P258/Schema_v5!$C8</f>
        <v/>
      </c>
      <c r="AV258">
        <f>IF(Schema_v5!$C9=0,0,AH258/Schema_v5!$C9)</f>
        <v/>
      </c>
      <c r="AW258">
        <f>IF(Schema_v5!$C10=0,0,AE258/Schema_v5!$C10)</f>
        <v/>
      </c>
      <c r="AX258">
        <f>(W258-Schema_v5!$C11)/(Schema_v5!$C12-Schema_v5!$C11)</f>
        <v/>
      </c>
      <c r="AY258">
        <f>(X258-Schema_v5!$C13)/(Schema_v5!$C14-Schema_v5!$C13)</f>
        <v/>
      </c>
    </row>
    <row r="259" ht="41.25" customHeight="1" s="10">
      <c r="A259" s="2" t="inlineStr">
        <is>
          <t>Q52_B</t>
        </is>
      </c>
      <c r="B259" s="2" t="n">
        <v>52</v>
      </c>
      <c r="C259" s="2" t="n">
        <v>101</v>
      </c>
      <c r="D259" s="2" t="inlineStr">
        <is>
          <t>Shadow</t>
        </is>
      </c>
      <c r="E259" s="2" t="n">
        <v>1.3</v>
      </c>
      <c r="F259" s="2" t="inlineStr">
        <is>
          <t>ShadowPattern</t>
        </is>
      </c>
      <c r="G259" s="2" t="inlineStr">
        <is>
          <t>IntegrityRisk</t>
        </is>
      </c>
      <c r="H259" s="2" t="n"/>
      <c r="I259" s="2" t="inlineStr">
        <is>
          <t>B</t>
        </is>
      </c>
      <c r="J259" s="2" t="inlineStr">
        <is>
          <t>B</t>
        </is>
      </c>
      <c r="K259" s="2" t="inlineStr">
        <is>
          <t>I freeze and change the subject.</t>
        </is>
      </c>
      <c r="L259" s="2" t="n">
        <v>3</v>
      </c>
      <c r="M259" s="2" t="n"/>
      <c r="N259" s="2" t="n">
        <v>6</v>
      </c>
      <c r="O259" s="2" t="n">
        <v>6</v>
      </c>
      <c r="P259" s="2" t="n">
        <v>6</v>
      </c>
      <c r="Q259" s="2" t="n"/>
      <c r="R259" s="2" t="n"/>
      <c r="S259" s="2" t="inlineStr">
        <is>
          <t>Stonewaller</t>
        </is>
      </c>
      <c r="T259" s="2" t="n">
        <v>2</v>
      </c>
      <c r="U259" s="2" t="n">
        <v>4</v>
      </c>
      <c r="V259" s="2" t="inlineStr">
        <is>
          <t>masc:0.0;fem:0.0</t>
        </is>
      </c>
      <c r="W259" s="2" t="n">
        <v>0</v>
      </c>
      <c r="X259" s="2" t="n">
        <v>0</v>
      </c>
      <c r="Y259" s="2" t="n"/>
      <c r="Z259" s="2" t="n"/>
      <c r="AA259" s="2" t="n"/>
      <c r="AB259" s="2" t="n"/>
      <c r="AC259" s="2" t="n"/>
      <c r="AD259" s="2" t="n"/>
      <c r="AE259" s="2" t="n">
        <v>0</v>
      </c>
      <c r="AF259" s="2" t="n"/>
      <c r="AG259" s="2" t="n"/>
      <c r="AH259" s="2" t="n">
        <v>0</v>
      </c>
      <c r="AI259" s="2" t="n"/>
      <c r="AJ259" s="2" t="inlineStr">
        <is>
          <t>yes</t>
        </is>
      </c>
      <c r="AK259" s="2" t="inlineStr">
        <is>
          <t>no</t>
        </is>
      </c>
      <c r="AL259" s="2" t="inlineStr">
        <is>
          <t>no</t>
        </is>
      </c>
      <c r="AM259" s="2" t="n"/>
      <c r="AN259" s="2" t="n"/>
      <c r="AO259" s="2" t="n"/>
      <c r="AP259" s="2" t="inlineStr">
        <is>
          <t>v3_2026-03-19</t>
        </is>
      </c>
      <c r="AQ259">
        <f>(L259-Schema_v5!$C2)/(Schema_v5!$C3-Schema_v5!$C2)</f>
        <v/>
      </c>
      <c r="AR259">
        <f>(M259-Schema_v5!$C4)/(Schema_v5!$C5-Schema_v5!$C4)</f>
        <v/>
      </c>
      <c r="AS259">
        <f>N259/Schema_v5!$C6</f>
        <v/>
      </c>
      <c r="AT259">
        <f>O259/Schema_v5!$C7</f>
        <v/>
      </c>
      <c r="AU259">
        <f>P259/Schema_v5!$C8</f>
        <v/>
      </c>
      <c r="AV259">
        <f>IF(Schema_v5!$C9=0,0,AH259/Schema_v5!$C9)</f>
        <v/>
      </c>
      <c r="AW259">
        <f>IF(Schema_v5!$C10=0,0,AE259/Schema_v5!$C10)</f>
        <v/>
      </c>
      <c r="AX259">
        <f>(W259-Schema_v5!$C11)/(Schema_v5!$C12-Schema_v5!$C11)</f>
        <v/>
      </c>
      <c r="AY259">
        <f>(X259-Schema_v5!$C13)/(Schema_v5!$C14-Schema_v5!$C13)</f>
        <v/>
      </c>
    </row>
    <row r="260" ht="54.75" customHeight="1" s="10">
      <c r="A260" s="2" t="inlineStr">
        <is>
          <t>Q52_C</t>
        </is>
      </c>
      <c r="B260" s="2" t="n">
        <v>52</v>
      </c>
      <c r="C260" s="2" t="n">
        <v>101</v>
      </c>
      <c r="D260" s="2" t="inlineStr">
        <is>
          <t>Shadow</t>
        </is>
      </c>
      <c r="E260" s="2" t="n">
        <v>1.3</v>
      </c>
      <c r="F260" s="2" t="inlineStr">
        <is>
          <t>ShadowPattern</t>
        </is>
      </c>
      <c r="G260" s="2" t="inlineStr">
        <is>
          <t>IntegrityRisk</t>
        </is>
      </c>
      <c r="H260" s="2" t="n"/>
      <c r="I260" s="2" t="inlineStr">
        <is>
          <t>C</t>
        </is>
      </c>
      <c r="J260" s="2" t="inlineStr">
        <is>
          <t>C</t>
        </is>
      </c>
      <c r="K260" s="2" t="inlineStr">
        <is>
          <t>I charm my way out of it. It's no big deal.</t>
        </is>
      </c>
      <c r="L260" s="2" t="n">
        <v>5</v>
      </c>
      <c r="M260" s="2" t="n"/>
      <c r="N260" s="2" t="n">
        <v>4</v>
      </c>
      <c r="O260" s="2" t="n">
        <v>4</v>
      </c>
      <c r="P260" s="2" t="n">
        <v>4</v>
      </c>
      <c r="Q260" s="2" t="n"/>
      <c r="R260" s="2" t="n"/>
      <c r="S260" s="2" t="inlineStr">
        <is>
          <t>Love Bomber</t>
        </is>
      </c>
      <c r="T260" s="2" t="n">
        <v>3</v>
      </c>
      <c r="U260" s="2" t="n">
        <v>6</v>
      </c>
      <c r="V260" s="2" t="inlineStr">
        <is>
          <t>masc:0.0;fem:0.0</t>
        </is>
      </c>
      <c r="W260" s="2" t="n">
        <v>0</v>
      </c>
      <c r="X260" s="2" t="n">
        <v>0</v>
      </c>
      <c r="Y260" s="2" t="n"/>
      <c r="Z260" s="2" t="n"/>
      <c r="AA260" s="2" t="n"/>
      <c r="AB260" s="2" t="n"/>
      <c r="AC260" s="2" t="n"/>
      <c r="AD260" s="2" t="n"/>
      <c r="AE260" s="2" t="n">
        <v>0</v>
      </c>
      <c r="AF260" s="2" t="n"/>
      <c r="AG260" s="2" t="n"/>
      <c r="AH260" s="2" t="n">
        <v>0.6</v>
      </c>
      <c r="AI260" s="2" t="n"/>
      <c r="AJ260" s="2" t="inlineStr">
        <is>
          <t>no</t>
        </is>
      </c>
      <c r="AK260" s="2" t="inlineStr">
        <is>
          <t>no</t>
        </is>
      </c>
      <c r="AL260" s="2" t="inlineStr">
        <is>
          <t>no</t>
        </is>
      </c>
      <c r="AM260" s="2" t="n"/>
      <c r="AN260" s="2" t="n"/>
      <c r="AO260" s="2" t="n"/>
      <c r="AP260" s="2" t="inlineStr">
        <is>
          <t>v3_2026-03-19</t>
        </is>
      </c>
      <c r="AQ260">
        <f>(L260-Schema_v5!$C2)/(Schema_v5!$C3-Schema_v5!$C2)</f>
        <v/>
      </c>
      <c r="AR260">
        <f>(M260-Schema_v5!$C4)/(Schema_v5!$C5-Schema_v5!$C4)</f>
        <v/>
      </c>
      <c r="AS260">
        <f>N260/Schema_v5!$C6</f>
        <v/>
      </c>
      <c r="AT260">
        <f>O260/Schema_v5!$C7</f>
        <v/>
      </c>
      <c r="AU260">
        <f>P260/Schema_v5!$C8</f>
        <v/>
      </c>
      <c r="AV260">
        <f>IF(Schema_v5!$C9=0,0,AH260/Schema_v5!$C9)</f>
        <v/>
      </c>
      <c r="AW260">
        <f>IF(Schema_v5!$C10=0,0,AE260/Schema_v5!$C10)</f>
        <v/>
      </c>
      <c r="AX260">
        <f>(W260-Schema_v5!$C11)/(Schema_v5!$C12-Schema_v5!$C11)</f>
        <v/>
      </c>
      <c r="AY260">
        <f>(X260-Schema_v5!$C13)/(Schema_v5!$C14-Schema_v5!$C13)</f>
        <v/>
      </c>
    </row>
    <row r="261" ht="68.25" customHeight="1" s="10">
      <c r="A261" s="2" t="inlineStr">
        <is>
          <t>Q52_D</t>
        </is>
      </c>
      <c r="B261" s="2" t="n">
        <v>52</v>
      </c>
      <c r="C261" s="2" t="n">
        <v>101</v>
      </c>
      <c r="D261" s="2" t="inlineStr">
        <is>
          <t>Shadow</t>
        </is>
      </c>
      <c r="E261" s="2" t="n">
        <v>1.3</v>
      </c>
      <c r="F261" s="2" t="inlineStr">
        <is>
          <t>ShadowPattern</t>
        </is>
      </c>
      <c r="G261" s="2" t="inlineStr">
        <is>
          <t>IntegrityRisk</t>
        </is>
      </c>
      <c r="H261" s="2" t="n"/>
      <c r="I261" s="2" t="inlineStr">
        <is>
          <t>D</t>
        </is>
      </c>
      <c r="J261" s="2" t="inlineStr">
        <is>
          <t>D</t>
        </is>
      </c>
      <c r="K261" s="2" t="inlineStr">
        <is>
          <t>I act like I forgot. I'm not even sure which version I told.</t>
        </is>
      </c>
      <c r="L261" s="2" t="n">
        <v>6</v>
      </c>
      <c r="M261" s="2" t="n"/>
      <c r="N261" s="2" t="n">
        <v>4</v>
      </c>
      <c r="O261" s="2" t="n">
        <v>4</v>
      </c>
      <c r="P261" s="2" t="n">
        <v>4</v>
      </c>
      <c r="Q261" s="2" t="n"/>
      <c r="R261" s="2" t="n"/>
      <c r="S261" s="2" t="inlineStr">
        <is>
          <t>Chameleon</t>
        </is>
      </c>
      <c r="T261" s="2" t="n">
        <v>4</v>
      </c>
      <c r="U261" s="2" t="n">
        <v>6</v>
      </c>
      <c r="V261" s="2" t="inlineStr">
        <is>
          <t>masc:0.0;fem:0.0</t>
        </is>
      </c>
      <c r="W261" s="2" t="n">
        <v>0</v>
      </c>
      <c r="X261" s="2" t="n">
        <v>0</v>
      </c>
      <c r="Y261" s="2" t="n"/>
      <c r="Z261" s="2" t="n"/>
      <c r="AA261" s="2" t="n"/>
      <c r="AB261" s="2" t="n"/>
      <c r="AC261" s="2" t="n"/>
      <c r="AD261" s="2" t="n"/>
      <c r="AE261" s="2" t="n">
        <v>0</v>
      </c>
      <c r="AF261" s="2" t="n"/>
      <c r="AG261" s="2" t="n"/>
      <c r="AH261" s="2" t="n">
        <v>0</v>
      </c>
      <c r="AI261" s="2" t="n"/>
      <c r="AJ261" s="2" t="inlineStr">
        <is>
          <t>no</t>
        </is>
      </c>
      <c r="AK261" s="2" t="inlineStr">
        <is>
          <t>no</t>
        </is>
      </c>
      <c r="AL261" s="2" t="inlineStr">
        <is>
          <t>no</t>
        </is>
      </c>
      <c r="AM261" s="2" t="n"/>
      <c r="AN261" s="2" t="n"/>
      <c r="AO261" s="2" t="n"/>
      <c r="AP261" s="2" t="inlineStr">
        <is>
          <t>v3_2026-03-19</t>
        </is>
      </c>
      <c r="AQ261">
        <f>(L261-Schema_v5!$C2)/(Schema_v5!$C3-Schema_v5!$C2)</f>
        <v/>
      </c>
      <c r="AR261">
        <f>(M261-Schema_v5!$C4)/(Schema_v5!$C5-Schema_v5!$C4)</f>
        <v/>
      </c>
      <c r="AS261">
        <f>N261/Schema_v5!$C6</f>
        <v/>
      </c>
      <c r="AT261">
        <f>O261/Schema_v5!$C7</f>
        <v/>
      </c>
      <c r="AU261">
        <f>P261/Schema_v5!$C8</f>
        <v/>
      </c>
      <c r="AV261">
        <f>IF(Schema_v5!$C9=0,0,AH261/Schema_v5!$C9)</f>
        <v/>
      </c>
      <c r="AW261">
        <f>IF(Schema_v5!$C10=0,0,AE261/Schema_v5!$C10)</f>
        <v/>
      </c>
      <c r="AX261">
        <f>(W261-Schema_v5!$C11)/(Schema_v5!$C12-Schema_v5!$C11)</f>
        <v/>
      </c>
      <c r="AY261">
        <f>(X261-Schema_v5!$C13)/(Schema_v5!$C14-Schema_v5!$C13)</f>
        <v/>
      </c>
    </row>
    <row r="262" ht="68.25" customHeight="1" s="10">
      <c r="A262" s="2" t="inlineStr">
        <is>
          <t>Q52_E</t>
        </is>
      </c>
      <c r="B262" s="2" t="n">
        <v>52</v>
      </c>
      <c r="C262" s="2" t="n">
        <v>101</v>
      </c>
      <c r="D262" s="2" t="inlineStr">
        <is>
          <t>Shadow</t>
        </is>
      </c>
      <c r="E262" s="2" t="n">
        <v>1.3</v>
      </c>
      <c r="F262" s="2" t="inlineStr">
        <is>
          <t>ShadowPattern</t>
        </is>
      </c>
      <c r="G262" s="2" t="inlineStr">
        <is>
          <t>IntegrityRisk</t>
        </is>
      </c>
      <c r="H262" s="2" t="n"/>
      <c r="I262" s="2" t="inlineStr">
        <is>
          <t>E</t>
        </is>
      </c>
      <c r="J262" s="2" t="inlineStr">
        <is>
          <t>E</t>
        </is>
      </c>
      <c r="K262" s="2" t="inlineStr">
        <is>
          <t>I downplay it and bring up something they did wrong.</t>
        </is>
      </c>
      <c r="L262" s="2" t="n">
        <v>7</v>
      </c>
      <c r="M262" s="2" t="n"/>
      <c r="N262" s="2" t="n">
        <v>2</v>
      </c>
      <c r="O262" s="2" t="n">
        <v>2</v>
      </c>
      <c r="P262" s="2" t="n">
        <v>2</v>
      </c>
      <c r="Q262" s="2" t="n"/>
      <c r="R262" s="2" t="n"/>
      <c r="S262" s="2" t="inlineStr">
        <is>
          <t>Scorekeeper</t>
        </is>
      </c>
      <c r="T262" s="2" t="n">
        <v>5</v>
      </c>
      <c r="U262" s="2" t="n">
        <v>8</v>
      </c>
      <c r="V262" s="2" t="inlineStr">
        <is>
          <t>masc:0.0;fem:0.0</t>
        </is>
      </c>
      <c r="W262" s="2" t="n">
        <v>0</v>
      </c>
      <c r="X262" s="2" t="n">
        <v>0</v>
      </c>
      <c r="Y262" s="2" t="n"/>
      <c r="Z262" s="2" t="n"/>
      <c r="AA262" s="2" t="n"/>
      <c r="AB262" s="2" t="n"/>
      <c r="AC262" s="2" t="n"/>
      <c r="AD262" s="2" t="n"/>
      <c r="AE262" s="2" t="n">
        <v>0</v>
      </c>
      <c r="AF262" s="2" t="n"/>
      <c r="AG262" s="2" t="n"/>
      <c r="AH262" s="2" t="n">
        <v>0</v>
      </c>
      <c r="AI262" s="2" t="n"/>
      <c r="AJ262" s="2" t="inlineStr">
        <is>
          <t>no</t>
        </is>
      </c>
      <c r="AK262" s="2" t="inlineStr">
        <is>
          <t>no</t>
        </is>
      </c>
      <c r="AL262" s="2" t="inlineStr">
        <is>
          <t>no</t>
        </is>
      </c>
      <c r="AM262" s="2" t="n"/>
      <c r="AN262" s="2" t="n"/>
      <c r="AO262" s="2" t="n"/>
      <c r="AP262" s="2" t="inlineStr">
        <is>
          <t>v3_2026-03-19</t>
        </is>
      </c>
      <c r="AQ262">
        <f>(L262-Schema_v5!$C2)/(Schema_v5!$C3-Schema_v5!$C2)</f>
        <v/>
      </c>
      <c r="AR262">
        <f>(M262-Schema_v5!$C4)/(Schema_v5!$C5-Schema_v5!$C4)</f>
        <v/>
      </c>
      <c r="AS262">
        <f>N262/Schema_v5!$C6</f>
        <v/>
      </c>
      <c r="AT262">
        <f>O262/Schema_v5!$C7</f>
        <v/>
      </c>
      <c r="AU262">
        <f>P262/Schema_v5!$C8</f>
        <v/>
      </c>
      <c r="AV262">
        <f>IF(Schema_v5!$C9=0,0,AH262/Schema_v5!$C9)</f>
        <v/>
      </c>
      <c r="AW262">
        <f>IF(Schema_v5!$C10=0,0,AE262/Schema_v5!$C10)</f>
        <v/>
      </c>
      <c r="AX262">
        <f>(W262-Schema_v5!$C11)/(Schema_v5!$C12-Schema_v5!$C11)</f>
        <v/>
      </c>
      <c r="AY262">
        <f>(X262-Schema_v5!$C13)/(Schema_v5!$C14-Schema_v5!$C13)</f>
        <v/>
      </c>
    </row>
    <row r="263" ht="41.25" customHeight="1" s="10">
      <c r="A263" s="2" t="inlineStr">
        <is>
          <t>Q52_F</t>
        </is>
      </c>
      <c r="B263" s="2" t="n">
        <v>52</v>
      </c>
      <c r="C263" s="2" t="n">
        <v>101</v>
      </c>
      <c r="D263" s="2" t="inlineStr">
        <is>
          <t>Shadow</t>
        </is>
      </c>
      <c r="E263" s="2" t="n">
        <v>1.3</v>
      </c>
      <c r="F263" s="2" t="inlineStr">
        <is>
          <t>ShadowPattern</t>
        </is>
      </c>
      <c r="G263" s="2" t="inlineStr">
        <is>
          <t>IntegrityRisk</t>
        </is>
      </c>
      <c r="H263" s="2" t="n"/>
      <c r="I263" s="2" t="inlineStr">
        <is>
          <t>F</t>
        </is>
      </c>
      <c r="J263" s="2" t="inlineStr">
        <is>
          <t>F</t>
        </is>
      </c>
      <c r="K263" s="2" t="inlineStr">
        <is>
          <t>I admit it and punish myself later.</t>
        </is>
      </c>
      <c r="L263" s="2" t="n">
        <v>8</v>
      </c>
      <c r="M263" s="2" t="n"/>
      <c r="N263" s="2" t="n">
        <v>2</v>
      </c>
      <c r="O263" s="2" t="n">
        <v>2</v>
      </c>
      <c r="P263" s="2" t="n">
        <v>2</v>
      </c>
      <c r="Q263" s="2" t="n"/>
      <c r="R263" s="2" t="n"/>
      <c r="S263" s="2" t="inlineStr">
        <is>
          <t>Self-Saboteur</t>
        </is>
      </c>
      <c r="T263" s="2" t="n">
        <v>6</v>
      </c>
      <c r="U263" s="2" t="n">
        <v>8</v>
      </c>
      <c r="V263" s="2" t="inlineStr">
        <is>
          <t>masc:0.0;fem:0.0</t>
        </is>
      </c>
      <c r="W263" s="2" t="n">
        <v>0</v>
      </c>
      <c r="X263" s="2" t="n">
        <v>0</v>
      </c>
      <c r="Y263" s="2" t="n"/>
      <c r="Z263" s="2" t="n"/>
      <c r="AA263" s="2" t="n"/>
      <c r="AB263" s="2" t="n"/>
      <c r="AC263" s="2" t="n"/>
      <c r="AD263" s="2" t="n"/>
      <c r="AE263" s="2" t="n">
        <v>0</v>
      </c>
      <c r="AF263" s="2" t="n"/>
      <c r="AG263" s="2" t="n"/>
      <c r="AH263" s="2" t="n">
        <v>0.6</v>
      </c>
      <c r="AI263" s="2" t="n"/>
      <c r="AJ263" s="2" t="inlineStr">
        <is>
          <t>no</t>
        </is>
      </c>
      <c r="AK263" s="2" t="inlineStr">
        <is>
          <t>no</t>
        </is>
      </c>
      <c r="AL263" s="2" t="inlineStr">
        <is>
          <t>no</t>
        </is>
      </c>
      <c r="AM263" s="2" t="n"/>
      <c r="AN263" s="2" t="n"/>
      <c r="AO263" s="2" t="n"/>
      <c r="AP263" s="2" t="inlineStr">
        <is>
          <t>v3_2026-03-19</t>
        </is>
      </c>
      <c r="AQ263">
        <f>(L263-Schema_v5!$C2)/(Schema_v5!$C3-Schema_v5!$C2)</f>
        <v/>
      </c>
      <c r="AR263">
        <f>(M263-Schema_v5!$C4)/(Schema_v5!$C5-Schema_v5!$C4)</f>
        <v/>
      </c>
      <c r="AS263">
        <f>N263/Schema_v5!$C6</f>
        <v/>
      </c>
      <c r="AT263">
        <f>O263/Schema_v5!$C7</f>
        <v/>
      </c>
      <c r="AU263">
        <f>P263/Schema_v5!$C8</f>
        <v/>
      </c>
      <c r="AV263">
        <f>IF(Schema_v5!$C9=0,0,AH263/Schema_v5!$C9)</f>
        <v/>
      </c>
      <c r="AW263">
        <f>IF(Schema_v5!$C10=0,0,AE263/Schema_v5!$C10)</f>
        <v/>
      </c>
      <c r="AX263">
        <f>(W263-Schema_v5!$C11)/(Schema_v5!$C12-Schema_v5!$C11)</f>
        <v/>
      </c>
      <c r="AY263">
        <f>(X263-Schema_v5!$C13)/(Schema_v5!$C14-Schema_v5!$C13)</f>
        <v/>
      </c>
    </row>
    <row r="264" ht="94.5" customHeight="1" s="10">
      <c r="A264" s="2" t="inlineStr">
        <is>
          <t>Q53_A</t>
        </is>
      </c>
      <c r="B264" s="2" t="n">
        <v>53</v>
      </c>
      <c r="C264" s="2" t="n">
        <v>102</v>
      </c>
      <c r="D264" s="2" t="inlineStr">
        <is>
          <t>Shadow</t>
        </is>
      </c>
      <c r="E264" s="2" t="n">
        <v>1.3</v>
      </c>
      <c r="F264" s="2" t="inlineStr">
        <is>
          <t>ShadowPattern</t>
        </is>
      </c>
      <c r="G264" s="2" t="inlineStr">
        <is>
          <t>IntegrityRisk</t>
        </is>
      </c>
      <c r="H264" s="2" t="inlineStr">
        <is>
          <t>They disappoint you emotionally. No apology, no awareness. What happens next?</t>
        </is>
      </c>
      <c r="I264" s="2" t="inlineStr">
        <is>
          <t>A</t>
        </is>
      </c>
      <c r="J264" s="2" t="inlineStr">
        <is>
          <t>A</t>
        </is>
      </c>
      <c r="K264" s="2" t="inlineStr">
        <is>
          <t>I bring it up in a way that makes them feel guilty.</t>
        </is>
      </c>
      <c r="L264" s="2" t="n">
        <v>4</v>
      </c>
      <c r="M264" s="2" t="n"/>
      <c r="N264" s="2" t="n">
        <v>4</v>
      </c>
      <c r="O264" s="2" t="n">
        <v>4</v>
      </c>
      <c r="P264" s="2" t="n">
        <v>4</v>
      </c>
      <c r="Q264" s="2" t="n"/>
      <c r="R264" s="2" t="n"/>
      <c r="S264" s="2" t="inlineStr">
        <is>
          <t>Manipulator</t>
        </is>
      </c>
      <c r="T264" s="2" t="n">
        <v>1</v>
      </c>
      <c r="U264" s="2" t="n">
        <v>6</v>
      </c>
      <c r="V264" s="2" t="inlineStr">
        <is>
          <t>masc:0.0;fem:0.0</t>
        </is>
      </c>
      <c r="W264" s="2" t="n">
        <v>0</v>
      </c>
      <c r="X264" s="2" t="n">
        <v>0</v>
      </c>
      <c r="Y264" s="2" t="n"/>
      <c r="Z264" s="2" t="n"/>
      <c r="AA264" s="2" t="n"/>
      <c r="AB264" s="2" t="n"/>
      <c r="AC264" s="2" t="n"/>
      <c r="AD264" s="2" t="n"/>
      <c r="AE264" s="2" t="n">
        <v>0</v>
      </c>
      <c r="AF264" s="2" t="n"/>
      <c r="AG264" s="2" t="n"/>
      <c r="AH264" s="2" t="n">
        <v>0.6</v>
      </c>
      <c r="AI264" s="2" t="n"/>
      <c r="AJ264" s="2" t="inlineStr">
        <is>
          <t>yes</t>
        </is>
      </c>
      <c r="AK264" s="2" t="inlineStr">
        <is>
          <t>no</t>
        </is>
      </c>
      <c r="AL264" s="2" t="inlineStr">
        <is>
          <t>no</t>
        </is>
      </c>
      <c r="AM264" s="2" t="n"/>
      <c r="AN264" s="2" t="n"/>
      <c r="AO264" s="2" t="n"/>
      <c r="AP264" s="2" t="inlineStr">
        <is>
          <t>v3_2026-03-19</t>
        </is>
      </c>
      <c r="AQ264">
        <f>(L264-Schema_v5!$C2)/(Schema_v5!$C3-Schema_v5!$C2)</f>
        <v/>
      </c>
      <c r="AR264">
        <f>(M264-Schema_v5!$C4)/(Schema_v5!$C5-Schema_v5!$C4)</f>
        <v/>
      </c>
      <c r="AS264">
        <f>N264/Schema_v5!$C6</f>
        <v/>
      </c>
      <c r="AT264">
        <f>O264/Schema_v5!$C7</f>
        <v/>
      </c>
      <c r="AU264">
        <f>P264/Schema_v5!$C8</f>
        <v/>
      </c>
      <c r="AV264">
        <f>IF(Schema_v5!$C9=0,0,AH264/Schema_v5!$C9)</f>
        <v/>
      </c>
      <c r="AW264">
        <f>IF(Schema_v5!$C10=0,0,AE264/Schema_v5!$C10)</f>
        <v/>
      </c>
      <c r="AX264">
        <f>(W264-Schema_v5!$C11)/(Schema_v5!$C12-Schema_v5!$C11)</f>
        <v/>
      </c>
      <c r="AY264">
        <f>(X264-Schema_v5!$C13)/(Schema_v5!$C14-Schema_v5!$C13)</f>
        <v/>
      </c>
    </row>
    <row r="265" ht="68.25" customHeight="1" s="10">
      <c r="A265" s="2" t="inlineStr">
        <is>
          <t>Q53_B</t>
        </is>
      </c>
      <c r="B265" s="2" t="n">
        <v>53</v>
      </c>
      <c r="C265" s="2" t="n">
        <v>102</v>
      </c>
      <c r="D265" s="2" t="inlineStr">
        <is>
          <t>Shadow</t>
        </is>
      </c>
      <c r="E265" s="2" t="n">
        <v>1.3</v>
      </c>
      <c r="F265" s="2" t="inlineStr">
        <is>
          <t>ShadowPattern</t>
        </is>
      </c>
      <c r="G265" s="2" t="inlineStr">
        <is>
          <t>IntegrityRisk</t>
        </is>
      </c>
      <c r="H265" s="2" t="n"/>
      <c r="I265" s="2" t="inlineStr">
        <is>
          <t>B</t>
        </is>
      </c>
      <c r="J265" s="2" t="inlineStr">
        <is>
          <t>B</t>
        </is>
      </c>
      <c r="K265" s="2" t="inlineStr">
        <is>
          <t>I go distant and make them guess what's wrong.</t>
        </is>
      </c>
      <c r="L265" s="2" t="n">
        <v>3</v>
      </c>
      <c r="M265" s="2" t="n"/>
      <c r="N265" s="2" t="n">
        <v>6</v>
      </c>
      <c r="O265" s="2" t="n">
        <v>6</v>
      </c>
      <c r="P265" s="2" t="n">
        <v>6</v>
      </c>
      <c r="Q265" s="2" t="n"/>
      <c r="R265" s="2" t="n"/>
      <c r="S265" s="2" t="inlineStr">
        <is>
          <t>Stonewaller</t>
        </is>
      </c>
      <c r="T265" s="2" t="n">
        <v>2</v>
      </c>
      <c r="U265" s="2" t="n">
        <v>4</v>
      </c>
      <c r="V265" s="2" t="inlineStr">
        <is>
          <t>masc:0.0;fem:0.0</t>
        </is>
      </c>
      <c r="W265" s="2" t="n">
        <v>0</v>
      </c>
      <c r="X265" s="2" t="n">
        <v>0</v>
      </c>
      <c r="Y265" s="2" t="n"/>
      <c r="Z265" s="2" t="n"/>
      <c r="AA265" s="2" t="n"/>
      <c r="AB265" s="2" t="n"/>
      <c r="AC265" s="2" t="n"/>
      <c r="AD265" s="2" t="n"/>
      <c r="AE265" s="2" t="n">
        <v>0</v>
      </c>
      <c r="AF265" s="2" t="n"/>
      <c r="AG265" s="2" t="n"/>
      <c r="AH265" s="2" t="n">
        <v>0.6</v>
      </c>
      <c r="AI265" s="2" t="n"/>
      <c r="AJ265" s="2" t="inlineStr">
        <is>
          <t>yes</t>
        </is>
      </c>
      <c r="AK265" s="2" t="inlineStr">
        <is>
          <t>no</t>
        </is>
      </c>
      <c r="AL265" s="2" t="inlineStr">
        <is>
          <t>no</t>
        </is>
      </c>
      <c r="AM265" s="2" t="n"/>
      <c r="AN265" s="2" t="n"/>
      <c r="AO265" s="2" t="n"/>
      <c r="AP265" s="2" t="inlineStr">
        <is>
          <t>v3_2026-03-19</t>
        </is>
      </c>
      <c r="AQ265">
        <f>(L265-Schema_v5!$C2)/(Schema_v5!$C3-Schema_v5!$C2)</f>
        <v/>
      </c>
      <c r="AR265">
        <f>(M265-Schema_v5!$C4)/(Schema_v5!$C5-Schema_v5!$C4)</f>
        <v/>
      </c>
      <c r="AS265">
        <f>N265/Schema_v5!$C6</f>
        <v/>
      </c>
      <c r="AT265">
        <f>O265/Schema_v5!$C7</f>
        <v/>
      </c>
      <c r="AU265">
        <f>P265/Schema_v5!$C8</f>
        <v/>
      </c>
      <c r="AV265">
        <f>IF(Schema_v5!$C9=0,0,AH265/Schema_v5!$C9)</f>
        <v/>
      </c>
      <c r="AW265">
        <f>IF(Schema_v5!$C10=0,0,AE265/Schema_v5!$C10)</f>
        <v/>
      </c>
      <c r="AX265">
        <f>(W265-Schema_v5!$C11)/(Schema_v5!$C12-Schema_v5!$C11)</f>
        <v/>
      </c>
      <c r="AY265">
        <f>(X265-Schema_v5!$C13)/(Schema_v5!$C14-Schema_v5!$C13)</f>
        <v/>
      </c>
    </row>
    <row r="266" ht="68.25" customHeight="1" s="10">
      <c r="A266" s="2" t="inlineStr">
        <is>
          <t>Q53_C</t>
        </is>
      </c>
      <c r="B266" s="2" t="n">
        <v>53</v>
      </c>
      <c r="C266" s="2" t="n">
        <v>102</v>
      </c>
      <c r="D266" s="2" t="inlineStr">
        <is>
          <t>Shadow</t>
        </is>
      </c>
      <c r="E266" s="2" t="n">
        <v>1.3</v>
      </c>
      <c r="F266" s="2" t="inlineStr">
        <is>
          <t>ShadowPattern</t>
        </is>
      </c>
      <c r="G266" s="2" t="inlineStr">
        <is>
          <t>IntegrityRisk</t>
        </is>
      </c>
      <c r="H266" s="2" t="n"/>
      <c r="I266" s="2" t="inlineStr">
        <is>
          <t>C</t>
        </is>
      </c>
      <c r="J266" s="2" t="inlineStr">
        <is>
          <t>C</t>
        </is>
      </c>
      <c r="K266" s="2" t="inlineStr">
        <is>
          <t>I act like I'm over it, but hold it as ammo for later</t>
        </is>
      </c>
      <c r="L266" s="2" t="n">
        <v>5</v>
      </c>
      <c r="M266" s="2" t="n"/>
      <c r="N266" s="2" t="n">
        <v>4</v>
      </c>
      <c r="O266" s="2" t="n">
        <v>4</v>
      </c>
      <c r="P266" s="2" t="n">
        <v>4</v>
      </c>
      <c r="Q266" s="2" t="n"/>
      <c r="R266" s="2" t="n"/>
      <c r="S266" s="2" t="inlineStr">
        <is>
          <t>Love Bomber</t>
        </is>
      </c>
      <c r="T266" s="2" t="n">
        <v>3</v>
      </c>
      <c r="U266" s="2" t="n">
        <v>6</v>
      </c>
      <c r="V266" s="2" t="inlineStr">
        <is>
          <t>masc:0.0;fem:0.0</t>
        </is>
      </c>
      <c r="W266" s="2" t="n">
        <v>0</v>
      </c>
      <c r="X266" s="2" t="n">
        <v>0</v>
      </c>
      <c r="Y266" s="2" t="n"/>
      <c r="Z266" s="2" t="n"/>
      <c r="AA266" s="2" t="n"/>
      <c r="AB266" s="2" t="n"/>
      <c r="AC266" s="2" t="n"/>
      <c r="AD266" s="2" t="n"/>
      <c r="AE266" s="2" t="n">
        <v>0</v>
      </c>
      <c r="AF266" s="2" t="n"/>
      <c r="AG266" s="2" t="n"/>
      <c r="AH266" s="2" t="n">
        <v>0.6</v>
      </c>
      <c r="AI266" s="2" t="n"/>
      <c r="AJ266" s="2" t="inlineStr">
        <is>
          <t>no</t>
        </is>
      </c>
      <c r="AK266" s="2" t="inlineStr">
        <is>
          <t>no</t>
        </is>
      </c>
      <c r="AL266" s="2" t="inlineStr">
        <is>
          <t>no</t>
        </is>
      </c>
      <c r="AM266" s="2" t="n"/>
      <c r="AN266" s="2" t="n"/>
      <c r="AO266" s="2" t="n"/>
      <c r="AP266" s="2" t="inlineStr">
        <is>
          <t>v3_2026-03-19</t>
        </is>
      </c>
      <c r="AQ266">
        <f>(L266-Schema_v5!$C2)/(Schema_v5!$C3-Schema_v5!$C2)</f>
        <v/>
      </c>
      <c r="AR266">
        <f>(M266-Schema_v5!$C4)/(Schema_v5!$C5-Schema_v5!$C4)</f>
        <v/>
      </c>
      <c r="AS266">
        <f>N266/Schema_v5!$C6</f>
        <v/>
      </c>
      <c r="AT266">
        <f>O266/Schema_v5!$C7</f>
        <v/>
      </c>
      <c r="AU266">
        <f>P266/Schema_v5!$C8</f>
        <v/>
      </c>
      <c r="AV266">
        <f>IF(Schema_v5!$C9=0,0,AH266/Schema_v5!$C9)</f>
        <v/>
      </c>
      <c r="AW266">
        <f>IF(Schema_v5!$C10=0,0,AE266/Schema_v5!$C10)</f>
        <v/>
      </c>
      <c r="AX266">
        <f>(W266-Schema_v5!$C11)/(Schema_v5!$C12-Schema_v5!$C11)</f>
        <v/>
      </c>
      <c r="AY266">
        <f>(X266-Schema_v5!$C13)/(Schema_v5!$C14-Schema_v5!$C13)</f>
        <v/>
      </c>
    </row>
    <row r="267" ht="68.25" customHeight="1" s="10">
      <c r="A267" s="2" t="inlineStr">
        <is>
          <t>Q53_D</t>
        </is>
      </c>
      <c r="B267" s="2" t="n">
        <v>53</v>
      </c>
      <c r="C267" s="2" t="n">
        <v>102</v>
      </c>
      <c r="D267" s="2" t="inlineStr">
        <is>
          <t>Shadow</t>
        </is>
      </c>
      <c r="E267" s="2" t="n">
        <v>1.3</v>
      </c>
      <c r="F267" s="2" t="inlineStr">
        <is>
          <t>ShadowPattern</t>
        </is>
      </c>
      <c r="G267" s="2" t="inlineStr">
        <is>
          <t>IntegrityRisk</t>
        </is>
      </c>
      <c r="H267" s="2" t="n"/>
      <c r="I267" s="2" t="inlineStr">
        <is>
          <t>D</t>
        </is>
      </c>
      <c r="J267" s="2" t="inlineStr">
        <is>
          <t>D</t>
        </is>
      </c>
      <c r="K267" s="2" t="inlineStr">
        <is>
          <t>I mirror whatever version of me they liked last time.</t>
        </is>
      </c>
      <c r="L267" s="2" t="n">
        <v>6</v>
      </c>
      <c r="M267" s="2" t="n"/>
      <c r="N267" s="2" t="n">
        <v>4</v>
      </c>
      <c r="O267" s="2" t="n">
        <v>4</v>
      </c>
      <c r="P267" s="2" t="n">
        <v>4</v>
      </c>
      <c r="Q267" s="2" t="n"/>
      <c r="R267" s="2" t="n"/>
      <c r="S267" s="2" t="inlineStr">
        <is>
          <t>Chameleon</t>
        </is>
      </c>
      <c r="T267" s="2" t="n">
        <v>4</v>
      </c>
      <c r="U267" s="2" t="n">
        <v>6</v>
      </c>
      <c r="V267" s="2" t="inlineStr">
        <is>
          <t>masc:0.0;fem:0.0</t>
        </is>
      </c>
      <c r="W267" s="2" t="n">
        <v>0</v>
      </c>
      <c r="X267" s="2" t="n">
        <v>0</v>
      </c>
      <c r="Y267" s="2" t="n"/>
      <c r="Z267" s="2" t="n"/>
      <c r="AA267" s="2" t="n"/>
      <c r="AB267" s="2" t="n"/>
      <c r="AC267" s="2" t="n"/>
      <c r="AD267" s="2" t="n"/>
      <c r="AE267" s="2" t="n">
        <v>0</v>
      </c>
      <c r="AF267" s="2" t="n"/>
      <c r="AG267" s="2" t="n"/>
      <c r="AH267" s="2" t="n">
        <v>0</v>
      </c>
      <c r="AI267" s="2" t="n"/>
      <c r="AJ267" s="2" t="inlineStr">
        <is>
          <t>no</t>
        </is>
      </c>
      <c r="AK267" s="2" t="inlineStr">
        <is>
          <t>no</t>
        </is>
      </c>
      <c r="AL267" s="2" t="inlineStr">
        <is>
          <t>no</t>
        </is>
      </c>
      <c r="AM267" s="2" t="n"/>
      <c r="AN267" s="2" t="n"/>
      <c r="AO267" s="2" t="n"/>
      <c r="AP267" s="2" t="inlineStr">
        <is>
          <t>v3_2026-03-19</t>
        </is>
      </c>
      <c r="AQ267">
        <f>(L267-Schema_v5!$C2)/(Schema_v5!$C3-Schema_v5!$C2)</f>
        <v/>
      </c>
      <c r="AR267">
        <f>(M267-Schema_v5!$C4)/(Schema_v5!$C5-Schema_v5!$C4)</f>
        <v/>
      </c>
      <c r="AS267">
        <f>N267/Schema_v5!$C6</f>
        <v/>
      </c>
      <c r="AT267">
        <f>O267/Schema_v5!$C7</f>
        <v/>
      </c>
      <c r="AU267">
        <f>P267/Schema_v5!$C8</f>
        <v/>
      </c>
      <c r="AV267">
        <f>IF(Schema_v5!$C9=0,0,AH267/Schema_v5!$C9)</f>
        <v/>
      </c>
      <c r="AW267">
        <f>IF(Schema_v5!$C10=0,0,AE267/Schema_v5!$C10)</f>
        <v/>
      </c>
      <c r="AX267">
        <f>(W267-Schema_v5!$C11)/(Schema_v5!$C12-Schema_v5!$C11)</f>
        <v/>
      </c>
      <c r="AY267">
        <f>(X267-Schema_v5!$C13)/(Schema_v5!$C14-Schema_v5!$C13)</f>
        <v/>
      </c>
    </row>
    <row r="268" ht="81" customHeight="1" s="10">
      <c r="A268" s="2" t="inlineStr">
        <is>
          <t>Q53_E</t>
        </is>
      </c>
      <c r="B268" s="2" t="n">
        <v>53</v>
      </c>
      <c r="C268" s="2" t="n">
        <v>102</v>
      </c>
      <c r="D268" s="2" t="inlineStr">
        <is>
          <t>Shadow</t>
        </is>
      </c>
      <c r="E268" s="2" t="n">
        <v>1.3</v>
      </c>
      <c r="F268" s="2" t="inlineStr">
        <is>
          <t>ShadowPattern</t>
        </is>
      </c>
      <c r="G268" s="2" t="inlineStr">
        <is>
          <t>IntegrityRisk</t>
        </is>
      </c>
      <c r="H268" s="2" t="n"/>
      <c r="I268" s="2" t="inlineStr">
        <is>
          <t>E</t>
        </is>
      </c>
      <c r="J268" s="2" t="inlineStr">
        <is>
          <t>E</t>
        </is>
      </c>
      <c r="K268" s="2" t="inlineStr">
        <is>
          <t>I start tracking every moment they come up short.</t>
        </is>
      </c>
      <c r="L268" s="2" t="n">
        <v>7</v>
      </c>
      <c r="M268" s="2" t="n"/>
      <c r="N268" s="2" t="n">
        <v>2</v>
      </c>
      <c r="O268" s="2" t="n">
        <v>2</v>
      </c>
      <c r="P268" s="2" t="n">
        <v>2</v>
      </c>
      <c r="Q268" s="2" t="n"/>
      <c r="R268" s="2" t="n"/>
      <c r="S268" s="2" t="inlineStr">
        <is>
          <t>Scorekeeper</t>
        </is>
      </c>
      <c r="T268" s="2" t="n">
        <v>5</v>
      </c>
      <c r="U268" s="2" t="n">
        <v>8</v>
      </c>
      <c r="V268" s="2" t="inlineStr">
        <is>
          <t>masc:0.0;fem:0.0</t>
        </is>
      </c>
      <c r="W268" s="2" t="n">
        <v>0</v>
      </c>
      <c r="X268" s="2" t="n">
        <v>0</v>
      </c>
      <c r="Y268" s="2" t="n"/>
      <c r="Z268" s="2" t="n"/>
      <c r="AA268" s="2" t="n"/>
      <c r="AB268" s="2" t="n"/>
      <c r="AC268" s="2" t="n"/>
      <c r="AD268" s="2" t="n"/>
      <c r="AE268" s="2" t="n">
        <v>0</v>
      </c>
      <c r="AF268" s="2" t="n"/>
      <c r="AG268" s="2" t="n"/>
      <c r="AH268" s="2" t="n">
        <v>0</v>
      </c>
      <c r="AI268" s="2" t="n"/>
      <c r="AJ268" s="2" t="inlineStr">
        <is>
          <t>no</t>
        </is>
      </c>
      <c r="AK268" s="2" t="inlineStr">
        <is>
          <t>no</t>
        </is>
      </c>
      <c r="AL268" s="2" t="inlineStr">
        <is>
          <t>no</t>
        </is>
      </c>
      <c r="AM268" s="2" t="n"/>
      <c r="AN268" s="2" t="n"/>
      <c r="AO268" s="2" t="n"/>
      <c r="AP268" s="2" t="inlineStr">
        <is>
          <t>v3_2026-03-19</t>
        </is>
      </c>
      <c r="AQ268">
        <f>(L268-Schema_v5!$C2)/(Schema_v5!$C3-Schema_v5!$C2)</f>
        <v/>
      </c>
      <c r="AR268">
        <f>(M268-Schema_v5!$C4)/(Schema_v5!$C5-Schema_v5!$C4)</f>
        <v/>
      </c>
      <c r="AS268">
        <f>N268/Schema_v5!$C6</f>
        <v/>
      </c>
      <c r="AT268">
        <f>O268/Schema_v5!$C7</f>
        <v/>
      </c>
      <c r="AU268">
        <f>P268/Schema_v5!$C8</f>
        <v/>
      </c>
      <c r="AV268">
        <f>IF(Schema_v5!$C9=0,0,AH268/Schema_v5!$C9)</f>
        <v/>
      </c>
      <c r="AW268">
        <f>IF(Schema_v5!$C10=0,0,AE268/Schema_v5!$C10)</f>
        <v/>
      </c>
      <c r="AX268">
        <f>(W268-Schema_v5!$C11)/(Schema_v5!$C12-Schema_v5!$C11)</f>
        <v/>
      </c>
      <c r="AY268">
        <f>(X268-Schema_v5!$C13)/(Schema_v5!$C14-Schema_v5!$C13)</f>
        <v/>
      </c>
    </row>
    <row r="269" ht="81" customHeight="1" s="10">
      <c r="A269" s="2" t="inlineStr">
        <is>
          <t>Q53_F</t>
        </is>
      </c>
      <c r="B269" s="2" t="n">
        <v>53</v>
      </c>
      <c r="C269" s="2" t="n">
        <v>102</v>
      </c>
      <c r="D269" s="2" t="inlineStr">
        <is>
          <t>Shadow</t>
        </is>
      </c>
      <c r="E269" s="2" t="n">
        <v>1.3</v>
      </c>
      <c r="F269" s="2" t="inlineStr">
        <is>
          <t>ShadowPattern</t>
        </is>
      </c>
      <c r="G269" s="2" t="inlineStr">
        <is>
          <t>IntegrityRisk</t>
        </is>
      </c>
      <c r="H269" s="2" t="n"/>
      <c r="I269" s="2" t="inlineStr">
        <is>
          <t>F</t>
        </is>
      </c>
      <c r="J269" s="2" t="inlineStr">
        <is>
          <t>F</t>
        </is>
      </c>
      <c r="K269" s="2" t="inlineStr">
        <is>
          <t>I decide it's probably my fault and try harder to earn their care.</t>
        </is>
      </c>
      <c r="L269" s="2" t="n">
        <v>8</v>
      </c>
      <c r="M269" s="2" t="n"/>
      <c r="N269" s="2" t="n">
        <v>2</v>
      </c>
      <c r="O269" s="2" t="n">
        <v>2</v>
      </c>
      <c r="P269" s="2" t="n">
        <v>2</v>
      </c>
      <c r="Q269" s="2" t="n"/>
      <c r="R269" s="2" t="n"/>
      <c r="S269" s="2" t="inlineStr">
        <is>
          <t>Self-Saboteur</t>
        </is>
      </c>
      <c r="T269" s="2" t="n">
        <v>6</v>
      </c>
      <c r="U269" s="2" t="n">
        <v>8</v>
      </c>
      <c r="V269" s="2" t="inlineStr">
        <is>
          <t>masc:0.0;fem:0.0</t>
        </is>
      </c>
      <c r="W269" s="2" t="n">
        <v>0</v>
      </c>
      <c r="X269" s="2" t="n">
        <v>0</v>
      </c>
      <c r="Y269" s="2" t="n"/>
      <c r="Z269" s="2" t="n"/>
      <c r="AA269" s="2" t="n"/>
      <c r="AB269" s="2" t="n"/>
      <c r="AC269" s="2" t="n"/>
      <c r="AD269" s="2" t="n"/>
      <c r="AE269" s="2" t="n">
        <v>0</v>
      </c>
      <c r="AF269" s="2" t="n"/>
      <c r="AG269" s="2" t="n"/>
      <c r="AH269" s="2" t="n">
        <v>0</v>
      </c>
      <c r="AI269" s="2" t="n"/>
      <c r="AJ269" s="2" t="inlineStr">
        <is>
          <t>no</t>
        </is>
      </c>
      <c r="AK269" s="2" t="inlineStr">
        <is>
          <t>no</t>
        </is>
      </c>
      <c r="AL269" s="2" t="inlineStr">
        <is>
          <t>no</t>
        </is>
      </c>
      <c r="AM269" s="2" t="n"/>
      <c r="AN269" s="2" t="n"/>
      <c r="AO269" s="2" t="n"/>
      <c r="AP269" s="2" t="inlineStr">
        <is>
          <t>v3_2026-03-19</t>
        </is>
      </c>
      <c r="AQ269">
        <f>(L269-Schema_v5!$C2)/(Schema_v5!$C3-Schema_v5!$C2)</f>
        <v/>
      </c>
      <c r="AR269">
        <f>(M269-Schema_v5!$C4)/(Schema_v5!$C5-Schema_v5!$C4)</f>
        <v/>
      </c>
      <c r="AS269">
        <f>N269/Schema_v5!$C6</f>
        <v/>
      </c>
      <c r="AT269">
        <f>O269/Schema_v5!$C7</f>
        <v/>
      </c>
      <c r="AU269">
        <f>P269/Schema_v5!$C8</f>
        <v/>
      </c>
      <c r="AV269">
        <f>IF(Schema_v5!$C9=0,0,AH269/Schema_v5!$C9)</f>
        <v/>
      </c>
      <c r="AW269">
        <f>IF(Schema_v5!$C10=0,0,AE269/Schema_v5!$C10)</f>
        <v/>
      </c>
      <c r="AX269">
        <f>(W269-Schema_v5!$C11)/(Schema_v5!$C12-Schema_v5!$C11)</f>
        <v/>
      </c>
      <c r="AY269">
        <f>(X269-Schema_v5!$C13)/(Schema_v5!$C14-Schema_v5!$C13)</f>
        <v/>
      </c>
    </row>
    <row r="270" ht="54.75" customHeight="1" s="10">
      <c r="A270" s="2" t="inlineStr">
        <is>
          <t>Q54_A</t>
        </is>
      </c>
      <c r="B270" s="2" t="n">
        <v>54</v>
      </c>
      <c r="C270" s="2" t="n">
        <v>103</v>
      </c>
      <c r="D270" s="2" t="inlineStr">
        <is>
          <t>Shadow</t>
        </is>
      </c>
      <c r="E270" s="2" t="n">
        <v>1.3</v>
      </c>
      <c r="F270" s="2" t="inlineStr">
        <is>
          <t>ShadowPattern</t>
        </is>
      </c>
      <c r="G270" s="2" t="inlineStr">
        <is>
          <t>IntegrityRisk</t>
        </is>
      </c>
      <c r="H270" s="2" t="inlineStr">
        <is>
          <t>They suddenly need space. How do you respond?</t>
        </is>
      </c>
      <c r="I270" s="2" t="inlineStr">
        <is>
          <t>A</t>
        </is>
      </c>
      <c r="J270" s="2" t="inlineStr">
        <is>
          <t>A</t>
        </is>
      </c>
      <c r="K270" s="2" t="inlineStr">
        <is>
          <t>I fake my own distance so they feel what I felt.</t>
        </is>
      </c>
      <c r="L270" s="2" t="n">
        <v>4</v>
      </c>
      <c r="M270" s="2" t="n"/>
      <c r="N270" s="2" t="n">
        <v>4</v>
      </c>
      <c r="O270" s="2" t="n">
        <v>4</v>
      </c>
      <c r="P270" s="2" t="n">
        <v>4</v>
      </c>
      <c r="Q270" s="2" t="n"/>
      <c r="R270" s="2" t="n"/>
      <c r="S270" s="2" t="inlineStr">
        <is>
          <t>Manipulator</t>
        </is>
      </c>
      <c r="T270" s="2" t="n">
        <v>1</v>
      </c>
      <c r="U270" s="2" t="n">
        <v>6</v>
      </c>
      <c r="V270" s="2" t="inlineStr">
        <is>
          <t>masc:0.0;fem:0.0</t>
        </is>
      </c>
      <c r="W270" s="2" t="n">
        <v>0</v>
      </c>
      <c r="X270" s="2" t="n">
        <v>0</v>
      </c>
      <c r="Y270" s="2" t="n"/>
      <c r="Z270" s="2" t="n"/>
      <c r="AA270" s="2" t="n"/>
      <c r="AB270" s="2" t="n"/>
      <c r="AC270" s="2" t="n"/>
      <c r="AD270" s="2" t="n"/>
      <c r="AE270" s="2" t="n">
        <v>0</v>
      </c>
      <c r="AF270" s="2" t="n"/>
      <c r="AG270" s="2" t="n"/>
      <c r="AH270" s="2" t="n">
        <v>0</v>
      </c>
      <c r="AI270" s="2" t="n"/>
      <c r="AJ270" s="2" t="inlineStr">
        <is>
          <t>yes</t>
        </is>
      </c>
      <c r="AK270" s="2" t="inlineStr">
        <is>
          <t>no</t>
        </is>
      </c>
      <c r="AL270" s="2" t="inlineStr">
        <is>
          <t>no</t>
        </is>
      </c>
      <c r="AM270" s="2" t="n"/>
      <c r="AN270" s="2" t="n"/>
      <c r="AO270" s="2" t="n"/>
      <c r="AP270" s="2" t="inlineStr">
        <is>
          <t>v3_2026-03-19</t>
        </is>
      </c>
      <c r="AQ270">
        <f>(L270-Schema_v5!$C2)/(Schema_v5!$C3-Schema_v5!$C2)</f>
        <v/>
      </c>
      <c r="AR270">
        <f>(M270-Schema_v5!$C4)/(Schema_v5!$C5-Schema_v5!$C4)</f>
        <v/>
      </c>
      <c r="AS270">
        <f>N270/Schema_v5!$C6</f>
        <v/>
      </c>
      <c r="AT270">
        <f>O270/Schema_v5!$C7</f>
        <v/>
      </c>
      <c r="AU270">
        <f>P270/Schema_v5!$C8</f>
        <v/>
      </c>
      <c r="AV270">
        <f>IF(Schema_v5!$C9=0,0,AH270/Schema_v5!$C9)</f>
        <v/>
      </c>
      <c r="AW270">
        <f>IF(Schema_v5!$C10=0,0,AE270/Schema_v5!$C10)</f>
        <v/>
      </c>
      <c r="AX270">
        <f>(W270-Schema_v5!$C11)/(Schema_v5!$C12-Schema_v5!$C11)</f>
        <v/>
      </c>
      <c r="AY270">
        <f>(X270-Schema_v5!$C13)/(Schema_v5!$C14-Schema_v5!$C13)</f>
        <v/>
      </c>
    </row>
    <row r="271" ht="54.75" customHeight="1" s="10">
      <c r="A271" s="2" t="inlineStr">
        <is>
          <t>Q54_B</t>
        </is>
      </c>
      <c r="B271" s="2" t="n">
        <v>54</v>
      </c>
      <c r="C271" s="2" t="n">
        <v>103</v>
      </c>
      <c r="D271" s="2" t="inlineStr">
        <is>
          <t>Shadow</t>
        </is>
      </c>
      <c r="E271" s="2" t="n">
        <v>1.3</v>
      </c>
      <c r="F271" s="2" t="inlineStr">
        <is>
          <t>ShadowPattern</t>
        </is>
      </c>
      <c r="G271" s="2" t="inlineStr">
        <is>
          <t>IntegrityRisk</t>
        </is>
      </c>
      <c r="H271" s="2" t="n"/>
      <c r="I271" s="2" t="inlineStr">
        <is>
          <t>B</t>
        </is>
      </c>
      <c r="J271" s="2" t="inlineStr">
        <is>
          <t>B</t>
        </is>
      </c>
      <c r="K271" s="2" t="inlineStr">
        <is>
          <t>I just go quiet-if they want space, they got it</t>
        </is>
      </c>
      <c r="L271" s="2" t="n">
        <v>3</v>
      </c>
      <c r="M271" s="2" t="n"/>
      <c r="N271" s="2" t="n">
        <v>6</v>
      </c>
      <c r="O271" s="2" t="n">
        <v>6</v>
      </c>
      <c r="P271" s="2" t="n">
        <v>6</v>
      </c>
      <c r="Q271" s="2" t="n"/>
      <c r="R271" s="2" t="n"/>
      <c r="S271" s="2" t="inlineStr">
        <is>
          <t>Stonewaller</t>
        </is>
      </c>
      <c r="T271" s="2" t="n">
        <v>2</v>
      </c>
      <c r="U271" s="2" t="n">
        <v>4</v>
      </c>
      <c r="V271" s="2" t="inlineStr">
        <is>
          <t>masc:0.0;fem:0.0</t>
        </is>
      </c>
      <c r="W271" s="2" t="n">
        <v>0</v>
      </c>
      <c r="X271" s="2" t="n">
        <v>0</v>
      </c>
      <c r="Y271" s="2" t="n"/>
      <c r="Z271" s="2" t="n"/>
      <c r="AA271" s="2" t="n"/>
      <c r="AB271" s="2" t="n"/>
      <c r="AC271" s="2" t="n"/>
      <c r="AD271" s="2" t="n"/>
      <c r="AE271" s="2" t="n">
        <v>0</v>
      </c>
      <c r="AF271" s="2" t="n"/>
      <c r="AG271" s="2" t="n"/>
      <c r="AH271" s="2" t="n">
        <v>0</v>
      </c>
      <c r="AI271" s="2" t="n"/>
      <c r="AJ271" s="2" t="inlineStr">
        <is>
          <t>yes</t>
        </is>
      </c>
      <c r="AK271" s="2" t="inlineStr">
        <is>
          <t>no</t>
        </is>
      </c>
      <c r="AL271" s="2" t="inlineStr">
        <is>
          <t>no</t>
        </is>
      </c>
      <c r="AM271" s="2" t="n"/>
      <c r="AN271" s="2" t="n"/>
      <c r="AO271" s="2" t="n"/>
      <c r="AP271" s="2" t="inlineStr">
        <is>
          <t>v3_2026-03-19</t>
        </is>
      </c>
      <c r="AQ271">
        <f>(L271-Schema_v5!$C2)/(Schema_v5!$C3-Schema_v5!$C2)</f>
        <v/>
      </c>
      <c r="AR271">
        <f>(M271-Schema_v5!$C4)/(Schema_v5!$C5-Schema_v5!$C4)</f>
        <v/>
      </c>
      <c r="AS271">
        <f>N271/Schema_v5!$C6</f>
        <v/>
      </c>
      <c r="AT271">
        <f>O271/Schema_v5!$C7</f>
        <v/>
      </c>
      <c r="AU271">
        <f>P271/Schema_v5!$C8</f>
        <v/>
      </c>
      <c r="AV271">
        <f>IF(Schema_v5!$C9=0,0,AH271/Schema_v5!$C9)</f>
        <v/>
      </c>
      <c r="AW271">
        <f>IF(Schema_v5!$C10=0,0,AE271/Schema_v5!$C10)</f>
        <v/>
      </c>
      <c r="AX271">
        <f>(W271-Schema_v5!$C11)/(Schema_v5!$C12-Schema_v5!$C11)</f>
        <v/>
      </c>
      <c r="AY271">
        <f>(X271-Schema_v5!$C13)/(Schema_v5!$C14-Schema_v5!$C13)</f>
        <v/>
      </c>
    </row>
    <row r="272" ht="81" customHeight="1" s="10">
      <c r="A272" s="2" t="inlineStr">
        <is>
          <t>Q54_C</t>
        </is>
      </c>
      <c r="B272" s="2" t="n">
        <v>54</v>
      </c>
      <c r="C272" s="2" t="n">
        <v>103</v>
      </c>
      <c r="D272" s="2" t="inlineStr">
        <is>
          <t>Shadow</t>
        </is>
      </c>
      <c r="E272" s="2" t="n">
        <v>1.3</v>
      </c>
      <c r="F272" s="2" t="inlineStr">
        <is>
          <t>ShadowPattern</t>
        </is>
      </c>
      <c r="G272" s="2" t="inlineStr">
        <is>
          <t>IntegrityRisk</t>
        </is>
      </c>
      <c r="H272" s="2" t="n"/>
      <c r="I272" s="2" t="inlineStr">
        <is>
          <t>C</t>
        </is>
      </c>
      <c r="J272" s="2" t="inlineStr">
        <is>
          <t>C</t>
        </is>
      </c>
      <c r="K272" s="2" t="inlineStr">
        <is>
          <t>I throw out a casual "lol okay" then go post something spicy.</t>
        </is>
      </c>
      <c r="L272" s="2" t="n">
        <v>5</v>
      </c>
      <c r="M272" s="2" t="n"/>
      <c r="N272" s="2" t="n">
        <v>4</v>
      </c>
      <c r="O272" s="2" t="n">
        <v>4</v>
      </c>
      <c r="P272" s="2" t="n">
        <v>4</v>
      </c>
      <c r="Q272" s="2" t="n"/>
      <c r="R272" s="2" t="n"/>
      <c r="S272" s="2" t="inlineStr">
        <is>
          <t>Love Bomber</t>
        </is>
      </c>
      <c r="T272" s="2" t="n">
        <v>3</v>
      </c>
      <c r="U272" s="2" t="n">
        <v>6</v>
      </c>
      <c r="V272" s="2" t="inlineStr">
        <is>
          <t>masc:0.0;fem:0.0</t>
        </is>
      </c>
      <c r="W272" s="2" t="n">
        <v>0</v>
      </c>
      <c r="X272" s="2" t="n">
        <v>0</v>
      </c>
      <c r="Y272" s="2" t="n"/>
      <c r="Z272" s="2" t="n"/>
      <c r="AA272" s="2" t="n"/>
      <c r="AB272" s="2" t="n"/>
      <c r="AC272" s="2" t="n"/>
      <c r="AD272" s="2" t="n"/>
      <c r="AE272" s="2" t="n">
        <v>0</v>
      </c>
      <c r="AF272" s="2" t="n"/>
      <c r="AG272" s="2" t="n"/>
      <c r="AH272" s="2" t="n">
        <v>0</v>
      </c>
      <c r="AI272" s="2" t="n"/>
      <c r="AJ272" s="2" t="inlineStr">
        <is>
          <t>no</t>
        </is>
      </c>
      <c r="AK272" s="2" t="inlineStr">
        <is>
          <t>no</t>
        </is>
      </c>
      <c r="AL272" s="2" t="inlineStr">
        <is>
          <t>no</t>
        </is>
      </c>
      <c r="AM272" s="2" t="n"/>
      <c r="AN272" s="2" t="n"/>
      <c r="AO272" s="2" t="n"/>
      <c r="AP272" s="2" t="inlineStr">
        <is>
          <t>v3_2026-03-19</t>
        </is>
      </c>
      <c r="AQ272">
        <f>(L272-Schema_v5!$C2)/(Schema_v5!$C3-Schema_v5!$C2)</f>
        <v/>
      </c>
      <c r="AR272">
        <f>(M272-Schema_v5!$C4)/(Schema_v5!$C5-Schema_v5!$C4)</f>
        <v/>
      </c>
      <c r="AS272">
        <f>N272/Schema_v5!$C6</f>
        <v/>
      </c>
      <c r="AT272">
        <f>O272/Schema_v5!$C7</f>
        <v/>
      </c>
      <c r="AU272">
        <f>P272/Schema_v5!$C8</f>
        <v/>
      </c>
      <c r="AV272">
        <f>IF(Schema_v5!$C9=0,0,AH272/Schema_v5!$C9)</f>
        <v/>
      </c>
      <c r="AW272">
        <f>IF(Schema_v5!$C10=0,0,AE272/Schema_v5!$C10)</f>
        <v/>
      </c>
      <c r="AX272">
        <f>(W272-Schema_v5!$C11)/(Schema_v5!$C12-Schema_v5!$C11)</f>
        <v/>
      </c>
      <c r="AY272">
        <f>(X272-Schema_v5!$C13)/(Schema_v5!$C14-Schema_v5!$C13)</f>
        <v/>
      </c>
    </row>
    <row r="273" ht="81" customHeight="1" s="10">
      <c r="A273" s="2" t="inlineStr">
        <is>
          <t>Q54_D</t>
        </is>
      </c>
      <c r="B273" s="2" t="n">
        <v>54</v>
      </c>
      <c r="C273" s="2" t="n">
        <v>103</v>
      </c>
      <c r="D273" s="2" t="inlineStr">
        <is>
          <t>Shadow</t>
        </is>
      </c>
      <c r="E273" s="2" t="n">
        <v>1.3</v>
      </c>
      <c r="F273" s="2" t="inlineStr">
        <is>
          <t>ShadowPattern</t>
        </is>
      </c>
      <c r="G273" s="2" t="inlineStr">
        <is>
          <t>IntegrityRisk</t>
        </is>
      </c>
      <c r="H273" s="2" t="n"/>
      <c r="I273" s="2" t="inlineStr">
        <is>
          <t>D</t>
        </is>
      </c>
      <c r="J273" s="2" t="inlineStr">
        <is>
          <t>D</t>
        </is>
      </c>
      <c r="K273" s="2" t="inlineStr">
        <is>
          <t>I change my tone and energy to whatever feels safest now.</t>
        </is>
      </c>
      <c r="L273" s="2" t="n">
        <v>6</v>
      </c>
      <c r="M273" s="2" t="n"/>
      <c r="N273" s="2" t="n">
        <v>4</v>
      </c>
      <c r="O273" s="2" t="n">
        <v>4</v>
      </c>
      <c r="P273" s="2" t="n">
        <v>4</v>
      </c>
      <c r="Q273" s="2" t="n"/>
      <c r="R273" s="2" t="n"/>
      <c r="S273" s="2" t="inlineStr">
        <is>
          <t>Chameleon</t>
        </is>
      </c>
      <c r="T273" s="2" t="n">
        <v>4</v>
      </c>
      <c r="U273" s="2" t="n">
        <v>6</v>
      </c>
      <c r="V273" s="2" t="inlineStr">
        <is>
          <t>masc:0.0;fem:0.0</t>
        </is>
      </c>
      <c r="W273" s="2" t="n">
        <v>0</v>
      </c>
      <c r="X273" s="2" t="n">
        <v>0</v>
      </c>
      <c r="Y273" s="2" t="n"/>
      <c r="Z273" s="2" t="n"/>
      <c r="AA273" s="2" t="n"/>
      <c r="AB273" s="2" t="n"/>
      <c r="AC273" s="2" t="n"/>
      <c r="AD273" s="2" t="n"/>
      <c r="AE273" s="2" t="n">
        <v>0</v>
      </c>
      <c r="AF273" s="2" t="n"/>
      <c r="AG273" s="2" t="n"/>
      <c r="AH273" s="2" t="n">
        <v>0</v>
      </c>
      <c r="AI273" s="2" t="n"/>
      <c r="AJ273" s="2" t="inlineStr">
        <is>
          <t>no</t>
        </is>
      </c>
      <c r="AK273" s="2" t="inlineStr">
        <is>
          <t>no</t>
        </is>
      </c>
      <c r="AL273" s="2" t="inlineStr">
        <is>
          <t>no</t>
        </is>
      </c>
      <c r="AM273" s="2" t="n"/>
      <c r="AN273" s="2" t="n"/>
      <c r="AO273" s="2" t="n"/>
      <c r="AP273" s="2" t="inlineStr">
        <is>
          <t>v3_2026-03-19</t>
        </is>
      </c>
      <c r="AQ273">
        <f>(L273-Schema_v5!$C2)/(Schema_v5!$C3-Schema_v5!$C2)</f>
        <v/>
      </c>
      <c r="AR273">
        <f>(M273-Schema_v5!$C4)/(Schema_v5!$C5-Schema_v5!$C4)</f>
        <v/>
      </c>
      <c r="AS273">
        <f>N273/Schema_v5!$C6</f>
        <v/>
      </c>
      <c r="AT273">
        <f>O273/Schema_v5!$C7</f>
        <v/>
      </c>
      <c r="AU273">
        <f>P273/Schema_v5!$C8</f>
        <v/>
      </c>
      <c r="AV273">
        <f>IF(Schema_v5!$C9=0,0,AH273/Schema_v5!$C9)</f>
        <v/>
      </c>
      <c r="AW273">
        <f>IF(Schema_v5!$C10=0,0,AE273/Schema_v5!$C10)</f>
        <v/>
      </c>
      <c r="AX273">
        <f>(W273-Schema_v5!$C11)/(Schema_v5!$C12-Schema_v5!$C11)</f>
        <v/>
      </c>
      <c r="AY273">
        <f>(X273-Schema_v5!$C13)/(Schema_v5!$C14-Schema_v5!$C13)</f>
        <v/>
      </c>
    </row>
    <row r="274" ht="68.25" customHeight="1" s="10">
      <c r="A274" s="2" t="inlineStr">
        <is>
          <t>Q54_E</t>
        </is>
      </c>
      <c r="B274" s="2" t="n">
        <v>54</v>
      </c>
      <c r="C274" s="2" t="n">
        <v>103</v>
      </c>
      <c r="D274" s="2" t="inlineStr">
        <is>
          <t>Shadow</t>
        </is>
      </c>
      <c r="E274" s="2" t="n">
        <v>1.3</v>
      </c>
      <c r="F274" s="2" t="inlineStr">
        <is>
          <t>ShadowPattern</t>
        </is>
      </c>
      <c r="G274" s="2" t="inlineStr">
        <is>
          <t>IntegrityRisk</t>
        </is>
      </c>
      <c r="H274" s="2" t="n"/>
      <c r="I274" s="2" t="inlineStr">
        <is>
          <t>E</t>
        </is>
      </c>
      <c r="J274" s="2" t="inlineStr">
        <is>
          <t>E</t>
        </is>
      </c>
      <c r="K274" s="2" t="inlineStr">
        <is>
          <t>I mentally log it and wait to match the behavior later.</t>
        </is>
      </c>
      <c r="L274" s="2" t="n">
        <v>7</v>
      </c>
      <c r="M274" s="2" t="n"/>
      <c r="N274" s="2" t="n">
        <v>2</v>
      </c>
      <c r="O274" s="2" t="n">
        <v>2</v>
      </c>
      <c r="P274" s="2" t="n">
        <v>2</v>
      </c>
      <c r="Q274" s="2" t="n"/>
      <c r="R274" s="2" t="n"/>
      <c r="S274" s="2" t="inlineStr">
        <is>
          <t>Scorekeeper</t>
        </is>
      </c>
      <c r="T274" s="2" t="n">
        <v>5</v>
      </c>
      <c r="U274" s="2" t="n">
        <v>8</v>
      </c>
      <c r="V274" s="2" t="inlineStr">
        <is>
          <t>masc:0.0;fem:0.0</t>
        </is>
      </c>
      <c r="W274" s="2" t="n">
        <v>0</v>
      </c>
      <c r="X274" s="2" t="n">
        <v>0</v>
      </c>
      <c r="Y274" s="2" t="n"/>
      <c r="Z274" s="2" t="n"/>
      <c r="AA274" s="2" t="n"/>
      <c r="AB274" s="2" t="n"/>
      <c r="AC274" s="2" t="n"/>
      <c r="AD274" s="2" t="n"/>
      <c r="AE274" s="2" t="n">
        <v>0</v>
      </c>
      <c r="AF274" s="2" t="n"/>
      <c r="AG274" s="2" t="n"/>
      <c r="AH274" s="2" t="n">
        <v>0</v>
      </c>
      <c r="AI274" s="2" t="n"/>
      <c r="AJ274" s="2" t="inlineStr">
        <is>
          <t>no</t>
        </is>
      </c>
      <c r="AK274" s="2" t="inlineStr">
        <is>
          <t>no</t>
        </is>
      </c>
      <c r="AL274" s="2" t="inlineStr">
        <is>
          <t>no</t>
        </is>
      </c>
      <c r="AM274" s="2" t="n"/>
      <c r="AN274" s="2" t="n"/>
      <c r="AO274" s="2" t="n"/>
      <c r="AP274" s="2" t="inlineStr">
        <is>
          <t>v3_2026-03-19</t>
        </is>
      </c>
      <c r="AQ274">
        <f>(L274-Schema_v5!$C2)/(Schema_v5!$C3-Schema_v5!$C2)</f>
        <v/>
      </c>
      <c r="AR274">
        <f>(M274-Schema_v5!$C4)/(Schema_v5!$C5-Schema_v5!$C4)</f>
        <v/>
      </c>
      <c r="AS274">
        <f>N274/Schema_v5!$C6</f>
        <v/>
      </c>
      <c r="AT274">
        <f>O274/Schema_v5!$C7</f>
        <v/>
      </c>
      <c r="AU274">
        <f>P274/Schema_v5!$C8</f>
        <v/>
      </c>
      <c r="AV274">
        <f>IF(Schema_v5!$C9=0,0,AH274/Schema_v5!$C9)</f>
        <v/>
      </c>
      <c r="AW274">
        <f>IF(Schema_v5!$C10=0,0,AE274/Schema_v5!$C10)</f>
        <v/>
      </c>
      <c r="AX274">
        <f>(W274-Schema_v5!$C11)/(Schema_v5!$C12-Schema_v5!$C11)</f>
        <v/>
      </c>
      <c r="AY274">
        <f>(X274-Schema_v5!$C13)/(Schema_v5!$C14-Schema_v5!$C13)</f>
        <v/>
      </c>
    </row>
    <row r="275" ht="54.75" customHeight="1" s="10">
      <c r="A275" s="2" t="inlineStr">
        <is>
          <t>Q54_F</t>
        </is>
      </c>
      <c r="B275" s="2" t="n">
        <v>54</v>
      </c>
      <c r="C275" s="2" t="n">
        <v>103</v>
      </c>
      <c r="D275" s="2" t="inlineStr">
        <is>
          <t>Shadow</t>
        </is>
      </c>
      <c r="E275" s="2" t="n">
        <v>1.3</v>
      </c>
      <c r="F275" s="2" t="inlineStr">
        <is>
          <t>ShadowPattern</t>
        </is>
      </c>
      <c r="G275" s="2" t="inlineStr">
        <is>
          <t>IntegrityRisk</t>
        </is>
      </c>
      <c r="H275" s="2" t="n"/>
      <c r="I275" s="2" t="inlineStr">
        <is>
          <t>F</t>
        </is>
      </c>
      <c r="J275" s="2" t="inlineStr">
        <is>
          <t>F</t>
        </is>
      </c>
      <c r="K275" s="2" t="inlineStr">
        <is>
          <t>I panic a little and assume I pushed them away.</t>
        </is>
      </c>
      <c r="L275" s="2" t="n">
        <v>8</v>
      </c>
      <c r="M275" s="2" t="n"/>
      <c r="N275" s="2" t="n">
        <v>2</v>
      </c>
      <c r="O275" s="2" t="n">
        <v>2</v>
      </c>
      <c r="P275" s="2" t="n">
        <v>2</v>
      </c>
      <c r="Q275" s="2" t="n"/>
      <c r="R275" s="2" t="n"/>
      <c r="S275" s="2" t="inlineStr">
        <is>
          <t>Self-Saboteur</t>
        </is>
      </c>
      <c r="T275" s="2" t="n">
        <v>6</v>
      </c>
      <c r="U275" s="2" t="n">
        <v>8</v>
      </c>
      <c r="V275" s="2" t="inlineStr">
        <is>
          <t>masc:0.0;fem:0.0</t>
        </is>
      </c>
      <c r="W275" s="2" t="n">
        <v>0</v>
      </c>
      <c r="X275" s="2" t="n">
        <v>0</v>
      </c>
      <c r="Y275" s="2" t="n"/>
      <c r="Z275" s="2" t="n"/>
      <c r="AA275" s="2" t="n"/>
      <c r="AB275" s="2" t="n"/>
      <c r="AC275" s="2" t="n"/>
      <c r="AD275" s="2" t="n"/>
      <c r="AE275" s="2" t="n">
        <v>0</v>
      </c>
      <c r="AF275" s="2" t="n"/>
      <c r="AG275" s="2" t="n"/>
      <c r="AH275" s="2" t="n">
        <v>0</v>
      </c>
      <c r="AI275" s="2" t="n"/>
      <c r="AJ275" s="2" t="inlineStr">
        <is>
          <t>no</t>
        </is>
      </c>
      <c r="AK275" s="2" t="inlineStr">
        <is>
          <t>no</t>
        </is>
      </c>
      <c r="AL275" s="2" t="inlineStr">
        <is>
          <t>no</t>
        </is>
      </c>
      <c r="AM275" s="2" t="n"/>
      <c r="AN275" s="2" t="n"/>
      <c r="AO275" s="2" t="n"/>
      <c r="AP275" s="2" t="inlineStr">
        <is>
          <t>v3_2026-03-19</t>
        </is>
      </c>
      <c r="AQ275">
        <f>(L275-Schema_v5!$C2)/(Schema_v5!$C3-Schema_v5!$C2)</f>
        <v/>
      </c>
      <c r="AR275">
        <f>(M275-Schema_v5!$C4)/(Schema_v5!$C5-Schema_v5!$C4)</f>
        <v/>
      </c>
      <c r="AS275">
        <f>N275/Schema_v5!$C6</f>
        <v/>
      </c>
      <c r="AT275">
        <f>O275/Schema_v5!$C7</f>
        <v/>
      </c>
      <c r="AU275">
        <f>P275/Schema_v5!$C8</f>
        <v/>
      </c>
      <c r="AV275">
        <f>IF(Schema_v5!$C9=0,0,AH275/Schema_v5!$C9)</f>
        <v/>
      </c>
      <c r="AW275">
        <f>IF(Schema_v5!$C10=0,0,AE275/Schema_v5!$C10)</f>
        <v/>
      </c>
      <c r="AX275">
        <f>(W275-Schema_v5!$C11)/(Schema_v5!$C12-Schema_v5!$C11)</f>
        <v/>
      </c>
      <c r="AY275">
        <f>(X275-Schema_v5!$C13)/(Schema_v5!$C14-Schema_v5!$C13)</f>
        <v/>
      </c>
    </row>
    <row r="276" ht="108" customHeight="1" s="10">
      <c r="A276" s="2" t="inlineStr">
        <is>
          <t>Q55_A</t>
        </is>
      </c>
      <c r="B276" s="2" t="n">
        <v>55</v>
      </c>
      <c r="C276" s="2" t="n">
        <v>104</v>
      </c>
      <c r="D276" s="2" t="inlineStr">
        <is>
          <t>Shadow</t>
        </is>
      </c>
      <c r="E276" s="2" t="n">
        <v>1.35</v>
      </c>
      <c r="F276" s="2" t="inlineStr">
        <is>
          <t>ShadowPattern</t>
        </is>
      </c>
      <c r="G276" s="2" t="inlineStr">
        <is>
          <t>IntegrityRisk</t>
        </is>
      </c>
      <c r="H276" s="2" t="inlineStr">
        <is>
          <t>You open up about something hard, but they respond awkwardly. What's your reflex?</t>
        </is>
      </c>
      <c r="I276" s="2" t="inlineStr">
        <is>
          <t>A</t>
        </is>
      </c>
      <c r="J276" s="2" t="inlineStr">
        <is>
          <t>A</t>
        </is>
      </c>
      <c r="K276" s="2" t="inlineStr">
        <is>
          <t>I redirect with sarcasm or ask a deeper question about them.</t>
        </is>
      </c>
      <c r="L276" s="2" t="n">
        <v>4</v>
      </c>
      <c r="M276" s="2" t="n"/>
      <c r="N276" s="2" t="n">
        <v>4</v>
      </c>
      <c r="O276" s="2" t="n">
        <v>4</v>
      </c>
      <c r="P276" s="2" t="n">
        <v>4</v>
      </c>
      <c r="Q276" s="2" t="n"/>
      <c r="R276" s="2" t="n"/>
      <c r="S276" s="2" t="inlineStr">
        <is>
          <t>Manipulator</t>
        </is>
      </c>
      <c r="T276" s="2" t="n">
        <v>1</v>
      </c>
      <c r="U276" s="2" t="n">
        <v>6</v>
      </c>
      <c r="V276" s="2" t="inlineStr">
        <is>
          <t>masc:0.0;fem:0.0</t>
        </is>
      </c>
      <c r="W276" s="2" t="n">
        <v>0</v>
      </c>
      <c r="X276" s="2" t="n">
        <v>0</v>
      </c>
      <c r="Y276" s="2" t="n"/>
      <c r="Z276" s="2" t="n"/>
      <c r="AA276" s="2" t="n"/>
      <c r="AB276" s="2" t="n"/>
      <c r="AC276" s="2" t="n"/>
      <c r="AD276" s="2" t="n"/>
      <c r="AE276" s="2" t="n">
        <v>0</v>
      </c>
      <c r="AF276" s="2" t="n"/>
      <c r="AG276" s="2" t="n"/>
      <c r="AH276" s="2" t="n">
        <v>0</v>
      </c>
      <c r="AI276" s="2" t="n"/>
      <c r="AJ276" s="2" t="inlineStr">
        <is>
          <t>yes</t>
        </is>
      </c>
      <c r="AK276" s="2" t="inlineStr">
        <is>
          <t>no</t>
        </is>
      </c>
      <c r="AL276" s="2" t="inlineStr">
        <is>
          <t>no</t>
        </is>
      </c>
      <c r="AM276" s="2" t="n"/>
      <c r="AN276" s="2" t="n"/>
      <c r="AO276" s="2" t="n"/>
      <c r="AP276" s="2" t="inlineStr">
        <is>
          <t>v3_2026-03-19</t>
        </is>
      </c>
      <c r="AQ276">
        <f>(L276-Schema_v5!$C2)/(Schema_v5!$C3-Schema_v5!$C2)</f>
        <v/>
      </c>
      <c r="AR276">
        <f>(M276-Schema_v5!$C4)/(Schema_v5!$C5-Schema_v5!$C4)</f>
        <v/>
      </c>
      <c r="AS276">
        <f>N276/Schema_v5!$C6</f>
        <v/>
      </c>
      <c r="AT276">
        <f>O276/Schema_v5!$C7</f>
        <v/>
      </c>
      <c r="AU276">
        <f>P276/Schema_v5!$C8</f>
        <v/>
      </c>
      <c r="AV276">
        <f>IF(Schema_v5!$C9=0,0,AH276/Schema_v5!$C9)</f>
        <v/>
      </c>
      <c r="AW276">
        <f>IF(Schema_v5!$C10=0,0,AE276/Schema_v5!$C10)</f>
        <v/>
      </c>
      <c r="AX276">
        <f>(W276-Schema_v5!$C11)/(Schema_v5!$C12-Schema_v5!$C11)</f>
        <v/>
      </c>
      <c r="AY276">
        <f>(X276-Schema_v5!$C13)/(Schema_v5!$C14-Schema_v5!$C13)</f>
        <v/>
      </c>
    </row>
    <row r="277" ht="54.75" customHeight="1" s="10">
      <c r="A277" s="2" t="inlineStr">
        <is>
          <t>Q55_B</t>
        </is>
      </c>
      <c r="B277" s="2" t="n">
        <v>55</v>
      </c>
      <c r="C277" s="2" t="n">
        <v>104</v>
      </c>
      <c r="D277" s="2" t="inlineStr">
        <is>
          <t>Shadow</t>
        </is>
      </c>
      <c r="E277" s="2" t="n">
        <v>1.35</v>
      </c>
      <c r="F277" s="2" t="inlineStr">
        <is>
          <t>ShadowPattern</t>
        </is>
      </c>
      <c r="G277" s="2" t="inlineStr">
        <is>
          <t>IntegrityRisk</t>
        </is>
      </c>
      <c r="H277" s="2" t="n"/>
      <c r="I277" s="2" t="inlineStr">
        <is>
          <t>B</t>
        </is>
      </c>
      <c r="J277" s="2" t="inlineStr">
        <is>
          <t>B</t>
        </is>
      </c>
      <c r="K277" s="2" t="inlineStr">
        <is>
          <t>I shut down. You'll never hear that side again.</t>
        </is>
      </c>
      <c r="L277" s="2" t="n">
        <v>3</v>
      </c>
      <c r="M277" s="2" t="n"/>
      <c r="N277" s="2" t="n">
        <v>6</v>
      </c>
      <c r="O277" s="2" t="n">
        <v>6</v>
      </c>
      <c r="P277" s="2" t="n">
        <v>6</v>
      </c>
      <c r="Q277" s="2" t="n"/>
      <c r="R277" s="2" t="n"/>
      <c r="S277" s="2" t="inlineStr">
        <is>
          <t>Stonewaller</t>
        </is>
      </c>
      <c r="T277" s="2" t="n">
        <v>2</v>
      </c>
      <c r="U277" s="2" t="n">
        <v>4</v>
      </c>
      <c r="V277" s="2" t="inlineStr">
        <is>
          <t>masc:0.0;fem:0.0</t>
        </is>
      </c>
      <c r="W277" s="2" t="n">
        <v>0</v>
      </c>
      <c r="X277" s="2" t="n">
        <v>0</v>
      </c>
      <c r="Y277" s="2" t="n"/>
      <c r="Z277" s="2" t="n"/>
      <c r="AA277" s="2" t="n"/>
      <c r="AB277" s="2" t="n"/>
      <c r="AC277" s="2" t="n"/>
      <c r="AD277" s="2" t="n"/>
      <c r="AE277" s="2" t="n">
        <v>0</v>
      </c>
      <c r="AF277" s="2" t="n"/>
      <c r="AG277" s="2" t="n"/>
      <c r="AH277" s="2" t="n">
        <v>0</v>
      </c>
      <c r="AI277" s="2" t="n"/>
      <c r="AJ277" s="2" t="inlineStr">
        <is>
          <t>yes</t>
        </is>
      </c>
      <c r="AK277" s="2" t="inlineStr">
        <is>
          <t>no</t>
        </is>
      </c>
      <c r="AL277" s="2" t="inlineStr">
        <is>
          <t>no</t>
        </is>
      </c>
      <c r="AM277" s="2" t="n"/>
      <c r="AN277" s="2" t="n"/>
      <c r="AO277" s="2" t="n"/>
      <c r="AP277" s="2" t="inlineStr">
        <is>
          <t>v3_2026-03-19</t>
        </is>
      </c>
      <c r="AQ277">
        <f>(L277-Schema_v5!$C2)/(Schema_v5!$C3-Schema_v5!$C2)</f>
        <v/>
      </c>
      <c r="AR277">
        <f>(M277-Schema_v5!$C4)/(Schema_v5!$C5-Schema_v5!$C4)</f>
        <v/>
      </c>
      <c r="AS277">
        <f>N277/Schema_v5!$C6</f>
        <v/>
      </c>
      <c r="AT277">
        <f>O277/Schema_v5!$C7</f>
        <v/>
      </c>
      <c r="AU277">
        <f>P277/Schema_v5!$C8</f>
        <v/>
      </c>
      <c r="AV277">
        <f>IF(Schema_v5!$C9=0,0,AH277/Schema_v5!$C9)</f>
        <v/>
      </c>
      <c r="AW277">
        <f>IF(Schema_v5!$C10=0,0,AE277/Schema_v5!$C10)</f>
        <v/>
      </c>
      <c r="AX277">
        <f>(W277-Schema_v5!$C11)/(Schema_v5!$C12-Schema_v5!$C11)</f>
        <v/>
      </c>
      <c r="AY277">
        <f>(X277-Schema_v5!$C13)/(Schema_v5!$C14-Schema_v5!$C13)</f>
        <v/>
      </c>
    </row>
    <row r="278" ht="68.25" customHeight="1" s="10">
      <c r="A278" s="2" t="inlineStr">
        <is>
          <t>Q55_C</t>
        </is>
      </c>
      <c r="B278" s="2" t="n">
        <v>55</v>
      </c>
      <c r="C278" s="2" t="n">
        <v>104</v>
      </c>
      <c r="D278" s="2" t="inlineStr">
        <is>
          <t>Shadow</t>
        </is>
      </c>
      <c r="E278" s="2" t="n">
        <v>1.35</v>
      </c>
      <c r="F278" s="2" t="inlineStr">
        <is>
          <t>ShadowPattern</t>
        </is>
      </c>
      <c r="G278" s="2" t="inlineStr">
        <is>
          <t>IntegrityRisk</t>
        </is>
      </c>
      <c r="H278" s="2" t="n"/>
      <c r="I278" s="2" t="inlineStr">
        <is>
          <t>C</t>
        </is>
      </c>
      <c r="J278" s="2" t="inlineStr">
        <is>
          <t>C</t>
        </is>
      </c>
      <c r="K278" s="2" t="inlineStr">
        <is>
          <t>I act like I was just joking. Can't let them see too much.</t>
        </is>
      </c>
      <c r="L278" s="2" t="n">
        <v>5</v>
      </c>
      <c r="M278" s="2" t="n"/>
      <c r="N278" s="2" t="n">
        <v>4</v>
      </c>
      <c r="O278" s="2" t="n">
        <v>4</v>
      </c>
      <c r="P278" s="2" t="n">
        <v>4</v>
      </c>
      <c r="Q278" s="2" t="n"/>
      <c r="R278" s="2" t="n"/>
      <c r="S278" s="2" t="inlineStr">
        <is>
          <t>Love Bomber</t>
        </is>
      </c>
      <c r="T278" s="2" t="n">
        <v>3</v>
      </c>
      <c r="U278" s="2" t="n">
        <v>6</v>
      </c>
      <c r="V278" s="2" t="inlineStr">
        <is>
          <t>masc:0.0;fem:0.0</t>
        </is>
      </c>
      <c r="W278" s="2" t="n">
        <v>0</v>
      </c>
      <c r="X278" s="2" t="n">
        <v>0</v>
      </c>
      <c r="Y278" s="2" t="n"/>
      <c r="Z278" s="2" t="n"/>
      <c r="AA278" s="2" t="n"/>
      <c r="AB278" s="2" t="n"/>
      <c r="AC278" s="2" t="n"/>
      <c r="AD278" s="2" t="n"/>
      <c r="AE278" s="2" t="n">
        <v>0</v>
      </c>
      <c r="AF278" s="2" t="n"/>
      <c r="AG278" s="2" t="n"/>
      <c r="AH278" s="2" t="n">
        <v>0</v>
      </c>
      <c r="AI278" s="2" t="n"/>
      <c r="AJ278" s="2" t="inlineStr">
        <is>
          <t>no</t>
        </is>
      </c>
      <c r="AK278" s="2" t="inlineStr">
        <is>
          <t>no</t>
        </is>
      </c>
      <c r="AL278" s="2" t="inlineStr">
        <is>
          <t>no</t>
        </is>
      </c>
      <c r="AM278" s="2" t="n"/>
      <c r="AN278" s="2" t="n"/>
      <c r="AO278" s="2" t="n"/>
      <c r="AP278" s="2" t="inlineStr">
        <is>
          <t>v3_2026-03-19</t>
        </is>
      </c>
      <c r="AQ278">
        <f>(L278-Schema_v5!$C2)/(Schema_v5!$C3-Schema_v5!$C2)</f>
        <v/>
      </c>
      <c r="AR278">
        <f>(M278-Schema_v5!$C4)/(Schema_v5!$C5-Schema_v5!$C4)</f>
        <v/>
      </c>
      <c r="AS278">
        <f>N278/Schema_v5!$C6</f>
        <v/>
      </c>
      <c r="AT278">
        <f>O278/Schema_v5!$C7</f>
        <v/>
      </c>
      <c r="AU278">
        <f>P278/Schema_v5!$C8</f>
        <v/>
      </c>
      <c r="AV278">
        <f>IF(Schema_v5!$C9=0,0,AH278/Schema_v5!$C9)</f>
        <v/>
      </c>
      <c r="AW278">
        <f>IF(Schema_v5!$C10=0,0,AE278/Schema_v5!$C10)</f>
        <v/>
      </c>
      <c r="AX278">
        <f>(W278-Schema_v5!$C11)/(Schema_v5!$C12-Schema_v5!$C11)</f>
        <v/>
      </c>
      <c r="AY278">
        <f>(X278-Schema_v5!$C13)/(Schema_v5!$C14-Schema_v5!$C13)</f>
        <v/>
      </c>
    </row>
    <row r="279" ht="68.25" customHeight="1" s="10">
      <c r="A279" s="2" t="inlineStr">
        <is>
          <t>Q55_D</t>
        </is>
      </c>
      <c r="B279" s="2" t="n">
        <v>55</v>
      </c>
      <c r="C279" s="2" t="n">
        <v>104</v>
      </c>
      <c r="D279" s="2" t="inlineStr">
        <is>
          <t>Shadow</t>
        </is>
      </c>
      <c r="E279" s="2" t="n">
        <v>1.35</v>
      </c>
      <c r="F279" s="2" t="inlineStr">
        <is>
          <t>ShadowPattern</t>
        </is>
      </c>
      <c r="G279" s="2" t="inlineStr">
        <is>
          <t>IntegrityRisk</t>
        </is>
      </c>
      <c r="H279" s="2" t="n"/>
      <c r="I279" s="2" t="inlineStr">
        <is>
          <t>D</t>
        </is>
      </c>
      <c r="J279" s="2" t="inlineStr">
        <is>
          <t>D</t>
        </is>
      </c>
      <c r="K279" s="2" t="inlineStr">
        <is>
          <t>I nod like it didn't matter. Then replay the whole convo later.</t>
        </is>
      </c>
      <c r="L279" s="2" t="n">
        <v>6</v>
      </c>
      <c r="M279" s="2" t="n"/>
      <c r="N279" s="2" t="n">
        <v>4</v>
      </c>
      <c r="O279" s="2" t="n">
        <v>4</v>
      </c>
      <c r="P279" s="2" t="n">
        <v>4</v>
      </c>
      <c r="Q279" s="2" t="n"/>
      <c r="R279" s="2" t="n"/>
      <c r="S279" s="2" t="inlineStr">
        <is>
          <t>Chameleon</t>
        </is>
      </c>
      <c r="T279" s="2" t="n">
        <v>4</v>
      </c>
      <c r="U279" s="2" t="n">
        <v>6</v>
      </c>
      <c r="V279" s="2" t="inlineStr">
        <is>
          <t>masc:0.0;fem:0.0</t>
        </is>
      </c>
      <c r="W279" s="2" t="n">
        <v>0</v>
      </c>
      <c r="X279" s="2" t="n">
        <v>0</v>
      </c>
      <c r="Y279" s="2" t="n"/>
      <c r="Z279" s="2" t="n"/>
      <c r="AA279" s="2" t="n"/>
      <c r="AB279" s="2" t="n"/>
      <c r="AC279" s="2" t="n"/>
      <c r="AD279" s="2" t="n"/>
      <c r="AE279" s="2" t="n">
        <v>0</v>
      </c>
      <c r="AF279" s="2" t="n"/>
      <c r="AG279" s="2" t="n"/>
      <c r="AH279" s="2" t="n">
        <v>0</v>
      </c>
      <c r="AI279" s="2" t="n"/>
      <c r="AJ279" s="2" t="inlineStr">
        <is>
          <t>no</t>
        </is>
      </c>
      <c r="AK279" s="2" t="inlineStr">
        <is>
          <t>no</t>
        </is>
      </c>
      <c r="AL279" s="2" t="inlineStr">
        <is>
          <t>no</t>
        </is>
      </c>
      <c r="AM279" s="2" t="n"/>
      <c r="AN279" s="2" t="n"/>
      <c r="AO279" s="2" t="n"/>
      <c r="AP279" s="2" t="inlineStr">
        <is>
          <t>v3_2026-03-19</t>
        </is>
      </c>
      <c r="AQ279">
        <f>(L279-Schema_v5!$C2)/(Schema_v5!$C3-Schema_v5!$C2)</f>
        <v/>
      </c>
      <c r="AR279">
        <f>(M279-Schema_v5!$C4)/(Schema_v5!$C5-Schema_v5!$C4)</f>
        <v/>
      </c>
      <c r="AS279">
        <f>N279/Schema_v5!$C6</f>
        <v/>
      </c>
      <c r="AT279">
        <f>O279/Schema_v5!$C7</f>
        <v/>
      </c>
      <c r="AU279">
        <f>P279/Schema_v5!$C8</f>
        <v/>
      </c>
      <c r="AV279">
        <f>IF(Schema_v5!$C9=0,0,AH279/Schema_v5!$C9)</f>
        <v/>
      </c>
      <c r="AW279">
        <f>IF(Schema_v5!$C10=0,0,AE279/Schema_v5!$C10)</f>
        <v/>
      </c>
      <c r="AX279">
        <f>(W279-Schema_v5!$C11)/(Schema_v5!$C12-Schema_v5!$C11)</f>
        <v/>
      </c>
      <c r="AY279">
        <f>(X279-Schema_v5!$C13)/(Schema_v5!$C14-Schema_v5!$C13)</f>
        <v/>
      </c>
    </row>
    <row r="280" ht="54.75" customHeight="1" s="10">
      <c r="A280" s="2" t="inlineStr">
        <is>
          <t>Q55_E</t>
        </is>
      </c>
      <c r="B280" s="2" t="n">
        <v>55</v>
      </c>
      <c r="C280" s="2" t="n">
        <v>104</v>
      </c>
      <c r="D280" s="2" t="inlineStr">
        <is>
          <t>Shadow</t>
        </is>
      </c>
      <c r="E280" s="2" t="n">
        <v>1.35</v>
      </c>
      <c r="F280" s="2" t="inlineStr">
        <is>
          <t>ShadowPattern</t>
        </is>
      </c>
      <c r="G280" s="2" t="inlineStr">
        <is>
          <t>IntegrityRisk</t>
        </is>
      </c>
      <c r="H280" s="2" t="n"/>
      <c r="I280" s="2" t="inlineStr">
        <is>
          <t>E</t>
        </is>
      </c>
      <c r="J280" s="2" t="inlineStr">
        <is>
          <t>E</t>
        </is>
      </c>
      <c r="K280" s="2" t="inlineStr">
        <is>
          <t>I tell myself not to open up again until they earn it.</t>
        </is>
      </c>
      <c r="L280" s="2" t="n">
        <v>7</v>
      </c>
      <c r="M280" s="2" t="n"/>
      <c r="N280" s="2" t="n">
        <v>2</v>
      </c>
      <c r="O280" s="2" t="n">
        <v>2</v>
      </c>
      <c r="P280" s="2" t="n">
        <v>2</v>
      </c>
      <c r="Q280" s="2" t="n"/>
      <c r="R280" s="2" t="n"/>
      <c r="S280" s="2" t="inlineStr">
        <is>
          <t>Scorekeeper</t>
        </is>
      </c>
      <c r="T280" s="2" t="n">
        <v>5</v>
      </c>
      <c r="U280" s="2" t="n">
        <v>8</v>
      </c>
      <c r="V280" s="2" t="inlineStr">
        <is>
          <t>masc:0.0;fem:0.0</t>
        </is>
      </c>
      <c r="W280" s="2" t="n">
        <v>0</v>
      </c>
      <c r="X280" s="2" t="n">
        <v>0</v>
      </c>
      <c r="Y280" s="2" t="n"/>
      <c r="Z280" s="2" t="n"/>
      <c r="AA280" s="2" t="n"/>
      <c r="AB280" s="2" t="n"/>
      <c r="AC280" s="2" t="n"/>
      <c r="AD280" s="2" t="n"/>
      <c r="AE280" s="2" t="n">
        <v>0</v>
      </c>
      <c r="AF280" s="2" t="n"/>
      <c r="AG280" s="2" t="n"/>
      <c r="AH280" s="2" t="n">
        <v>0</v>
      </c>
      <c r="AI280" s="2" t="n"/>
      <c r="AJ280" s="2" t="inlineStr">
        <is>
          <t>no</t>
        </is>
      </c>
      <c r="AK280" s="2" t="inlineStr">
        <is>
          <t>no</t>
        </is>
      </c>
      <c r="AL280" s="2" t="inlineStr">
        <is>
          <t>no</t>
        </is>
      </c>
      <c r="AM280" s="2" t="n"/>
      <c r="AN280" s="2" t="n"/>
      <c r="AO280" s="2" t="n"/>
      <c r="AP280" s="2" t="inlineStr">
        <is>
          <t>v3_2026-03-19</t>
        </is>
      </c>
      <c r="AQ280">
        <f>(L280-Schema_v5!$C2)/(Schema_v5!$C3-Schema_v5!$C2)</f>
        <v/>
      </c>
      <c r="AR280">
        <f>(M280-Schema_v5!$C4)/(Schema_v5!$C5-Schema_v5!$C4)</f>
        <v/>
      </c>
      <c r="AS280">
        <f>N280/Schema_v5!$C6</f>
        <v/>
      </c>
      <c r="AT280">
        <f>O280/Schema_v5!$C7</f>
        <v/>
      </c>
      <c r="AU280">
        <f>P280/Schema_v5!$C8</f>
        <v/>
      </c>
      <c r="AV280">
        <f>IF(Schema_v5!$C9=0,0,AH280/Schema_v5!$C9)</f>
        <v/>
      </c>
      <c r="AW280">
        <f>IF(Schema_v5!$C10=0,0,AE280/Schema_v5!$C10)</f>
        <v/>
      </c>
      <c r="AX280">
        <f>(W280-Schema_v5!$C11)/(Schema_v5!$C12-Schema_v5!$C11)</f>
        <v/>
      </c>
      <c r="AY280">
        <f>(X280-Schema_v5!$C13)/(Schema_v5!$C14-Schema_v5!$C13)</f>
        <v/>
      </c>
    </row>
    <row r="281" ht="68.25" customHeight="1" s="10">
      <c r="A281" s="2" t="inlineStr">
        <is>
          <t>Q55_F</t>
        </is>
      </c>
      <c r="B281" s="2" t="n">
        <v>55</v>
      </c>
      <c r="C281" s="2" t="n">
        <v>104</v>
      </c>
      <c r="D281" s="2" t="inlineStr">
        <is>
          <t>Shadow</t>
        </is>
      </c>
      <c r="E281" s="2" t="n">
        <v>1.35</v>
      </c>
      <c r="F281" s="2" t="inlineStr">
        <is>
          <t>ShadowPattern</t>
        </is>
      </c>
      <c r="G281" s="2" t="inlineStr">
        <is>
          <t>IntegrityRisk</t>
        </is>
      </c>
      <c r="H281" s="2" t="n"/>
      <c r="I281" s="2" t="inlineStr">
        <is>
          <t>F</t>
        </is>
      </c>
      <c r="J281" s="2" t="inlineStr">
        <is>
          <t>F</t>
        </is>
      </c>
      <c r="K281" s="2" t="inlineStr">
        <is>
          <t>I feel embarrassed for trying and want to disappear.</t>
        </is>
      </c>
      <c r="L281" s="2" t="n">
        <v>8</v>
      </c>
      <c r="M281" s="2" t="n"/>
      <c r="N281" s="2" t="n">
        <v>2</v>
      </c>
      <c r="O281" s="2" t="n">
        <v>2</v>
      </c>
      <c r="P281" s="2" t="n">
        <v>2</v>
      </c>
      <c r="Q281" s="2" t="n"/>
      <c r="R281" s="2" t="n"/>
      <c r="S281" s="2" t="inlineStr">
        <is>
          <t>Self-Saboteur</t>
        </is>
      </c>
      <c r="T281" s="2" t="n">
        <v>6</v>
      </c>
      <c r="U281" s="2" t="n">
        <v>8</v>
      </c>
      <c r="V281" s="2" t="inlineStr">
        <is>
          <t>masc:0.0;fem:0.0</t>
        </is>
      </c>
      <c r="W281" s="2" t="n">
        <v>0</v>
      </c>
      <c r="X281" s="2" t="n">
        <v>0</v>
      </c>
      <c r="Y281" s="2" t="n"/>
      <c r="Z281" s="2" t="n"/>
      <c r="AA281" s="2" t="n"/>
      <c r="AB281" s="2" t="n"/>
      <c r="AC281" s="2" t="n"/>
      <c r="AD281" s="2" t="n"/>
      <c r="AE281" s="2" t="n">
        <v>0</v>
      </c>
      <c r="AF281" s="2" t="n"/>
      <c r="AG281" s="2" t="n"/>
      <c r="AH281" s="2" t="n">
        <v>0</v>
      </c>
      <c r="AI281" s="2" t="n"/>
      <c r="AJ281" s="2" t="inlineStr">
        <is>
          <t>no</t>
        </is>
      </c>
      <c r="AK281" s="2" t="inlineStr">
        <is>
          <t>no</t>
        </is>
      </c>
      <c r="AL281" s="2" t="inlineStr">
        <is>
          <t>no</t>
        </is>
      </c>
      <c r="AM281" s="2" t="n"/>
      <c r="AN281" s="2" t="n"/>
      <c r="AO281" s="2" t="n"/>
      <c r="AP281" s="2" t="inlineStr">
        <is>
          <t>v3_2026-03-19</t>
        </is>
      </c>
      <c r="AQ281">
        <f>(L281-Schema_v5!$C2)/(Schema_v5!$C3-Schema_v5!$C2)</f>
        <v/>
      </c>
      <c r="AR281">
        <f>(M281-Schema_v5!$C4)/(Schema_v5!$C5-Schema_v5!$C4)</f>
        <v/>
      </c>
      <c r="AS281">
        <f>N281/Schema_v5!$C6</f>
        <v/>
      </c>
      <c r="AT281">
        <f>O281/Schema_v5!$C7</f>
        <v/>
      </c>
      <c r="AU281">
        <f>P281/Schema_v5!$C8</f>
        <v/>
      </c>
      <c r="AV281">
        <f>IF(Schema_v5!$C9=0,0,AH281/Schema_v5!$C9)</f>
        <v/>
      </c>
      <c r="AW281">
        <f>IF(Schema_v5!$C10=0,0,AE281/Schema_v5!$C10)</f>
        <v/>
      </c>
      <c r="AX281">
        <f>(W281-Schema_v5!$C11)/(Schema_v5!$C12-Schema_v5!$C11)</f>
        <v/>
      </c>
      <c r="AY281">
        <f>(X281-Schema_v5!$C13)/(Schema_v5!$C14-Schema_v5!$C13)</f>
        <v/>
      </c>
    </row>
    <row r="282" ht="68.25" customHeight="1" s="10">
      <c r="A282" s="2" t="inlineStr">
        <is>
          <t>Q56_A</t>
        </is>
      </c>
      <c r="B282" s="2" t="n">
        <v>56</v>
      </c>
      <c r="C282" s="2" t="n">
        <v>105</v>
      </c>
      <c r="D282" s="2" t="inlineStr">
        <is>
          <t>Shadow</t>
        </is>
      </c>
      <c r="E282" s="2" t="n">
        <v>1.35</v>
      </c>
      <c r="F282" s="2" t="inlineStr">
        <is>
          <t>ShadowPattern</t>
        </is>
      </c>
      <c r="G282" s="2" t="inlineStr">
        <is>
          <t>IntegrityRisk</t>
        </is>
      </c>
      <c r="H282" s="2" t="inlineStr">
        <is>
          <t>They forget something important to you. What happens next?</t>
        </is>
      </c>
      <c r="I282" s="2" t="inlineStr">
        <is>
          <t>A</t>
        </is>
      </c>
      <c r="J282" s="2" t="inlineStr">
        <is>
          <t>A</t>
        </is>
      </c>
      <c r="K282" s="2" t="inlineStr">
        <is>
          <t>I bring it up in a way that sounds playful but stings a little.</t>
        </is>
      </c>
      <c r="L282" s="2" t="n">
        <v>4</v>
      </c>
      <c r="M282" s="2" t="n"/>
      <c r="N282" s="2" t="n">
        <v>4</v>
      </c>
      <c r="O282" s="2" t="n">
        <v>4</v>
      </c>
      <c r="P282" s="2" t="n">
        <v>4</v>
      </c>
      <c r="Q282" s="2" t="n"/>
      <c r="R282" s="2" t="n"/>
      <c r="S282" s="2" t="inlineStr">
        <is>
          <t>Manipulator</t>
        </is>
      </c>
      <c r="T282" s="2" t="n">
        <v>1</v>
      </c>
      <c r="U282" s="2" t="n">
        <v>6</v>
      </c>
      <c r="V282" s="2" t="inlineStr">
        <is>
          <t>masc:0.0;fem:0.0</t>
        </is>
      </c>
      <c r="W282" s="2" t="n">
        <v>0</v>
      </c>
      <c r="X282" s="2" t="n">
        <v>0</v>
      </c>
      <c r="Y282" s="2" t="n"/>
      <c r="Z282" s="2" t="n"/>
      <c r="AA282" s="2" t="n"/>
      <c r="AB282" s="2" t="n"/>
      <c r="AC282" s="2" t="n"/>
      <c r="AD282" s="2" t="n"/>
      <c r="AE282" s="2" t="n">
        <v>0</v>
      </c>
      <c r="AF282" s="2" t="n"/>
      <c r="AG282" s="2" t="n"/>
      <c r="AH282" s="2" t="n">
        <v>0</v>
      </c>
      <c r="AI282" s="2" t="n"/>
      <c r="AJ282" s="2" t="inlineStr">
        <is>
          <t>yes</t>
        </is>
      </c>
      <c r="AK282" s="2" t="inlineStr">
        <is>
          <t>no</t>
        </is>
      </c>
      <c r="AL282" s="2" t="inlineStr">
        <is>
          <t>no</t>
        </is>
      </c>
      <c r="AM282" s="2" t="n"/>
      <c r="AN282" s="2" t="n"/>
      <c r="AO282" s="2" t="n"/>
      <c r="AP282" s="2" t="inlineStr">
        <is>
          <t>v3_2026-03-19</t>
        </is>
      </c>
      <c r="AQ282">
        <f>(L282-Schema_v5!$C2)/(Schema_v5!$C3-Schema_v5!$C2)</f>
        <v/>
      </c>
      <c r="AR282">
        <f>(M282-Schema_v5!$C4)/(Schema_v5!$C5-Schema_v5!$C4)</f>
        <v/>
      </c>
      <c r="AS282">
        <f>N282/Schema_v5!$C6</f>
        <v/>
      </c>
      <c r="AT282">
        <f>O282/Schema_v5!$C7</f>
        <v/>
      </c>
      <c r="AU282">
        <f>P282/Schema_v5!$C8</f>
        <v/>
      </c>
      <c r="AV282">
        <f>IF(Schema_v5!$C9=0,0,AH282/Schema_v5!$C9)</f>
        <v/>
      </c>
      <c r="AW282">
        <f>IF(Schema_v5!$C10=0,0,AE282/Schema_v5!$C10)</f>
        <v/>
      </c>
      <c r="AX282">
        <f>(W282-Schema_v5!$C11)/(Schema_v5!$C12-Schema_v5!$C11)</f>
        <v/>
      </c>
      <c r="AY282">
        <f>(X282-Schema_v5!$C13)/(Schema_v5!$C14-Schema_v5!$C13)</f>
        <v/>
      </c>
    </row>
    <row r="283" ht="68.25" customHeight="1" s="10">
      <c r="A283" s="2" t="inlineStr">
        <is>
          <t>Q56_B</t>
        </is>
      </c>
      <c r="B283" s="2" t="n">
        <v>56</v>
      </c>
      <c r="C283" s="2" t="n">
        <v>105</v>
      </c>
      <c r="D283" s="2" t="inlineStr">
        <is>
          <t>Shadow</t>
        </is>
      </c>
      <c r="E283" s="2" t="n">
        <v>1.35</v>
      </c>
      <c r="F283" s="2" t="inlineStr">
        <is>
          <t>ShadowPattern</t>
        </is>
      </c>
      <c r="G283" s="2" t="inlineStr">
        <is>
          <t>IntegrityRisk</t>
        </is>
      </c>
      <c r="H283" s="2" t="n"/>
      <c r="I283" s="2" t="inlineStr">
        <is>
          <t>B</t>
        </is>
      </c>
      <c r="J283" s="2" t="inlineStr">
        <is>
          <t>B</t>
        </is>
      </c>
      <c r="K283" s="2" t="inlineStr">
        <is>
          <t>I say it's fine, but I withdraw hard after that.</t>
        </is>
      </c>
      <c r="L283" s="2" t="n">
        <v>3</v>
      </c>
      <c r="M283" s="2" t="n"/>
      <c r="N283" s="2" t="n">
        <v>6</v>
      </c>
      <c r="O283" s="2" t="n">
        <v>6</v>
      </c>
      <c r="P283" s="2" t="n">
        <v>6</v>
      </c>
      <c r="Q283" s="2" t="n"/>
      <c r="R283" s="2" t="n"/>
      <c r="S283" s="2" t="inlineStr">
        <is>
          <t>Stonewaller</t>
        </is>
      </c>
      <c r="T283" s="2" t="n">
        <v>2</v>
      </c>
      <c r="U283" s="2" t="n">
        <v>4</v>
      </c>
      <c r="V283" s="2" t="inlineStr">
        <is>
          <t>masc:0.0;fem:0.0</t>
        </is>
      </c>
      <c r="W283" s="2" t="n">
        <v>0</v>
      </c>
      <c r="X283" s="2" t="n">
        <v>0</v>
      </c>
      <c r="Y283" s="2" t="n"/>
      <c r="Z283" s="2" t="n"/>
      <c r="AA283" s="2" t="n"/>
      <c r="AB283" s="2" t="n"/>
      <c r="AC283" s="2" t="n"/>
      <c r="AD283" s="2" t="n"/>
      <c r="AE283" s="2" t="n">
        <v>0</v>
      </c>
      <c r="AF283" s="2" t="n"/>
      <c r="AG283" s="2" t="n"/>
      <c r="AH283" s="2" t="n">
        <v>0.6</v>
      </c>
      <c r="AI283" s="2" t="n"/>
      <c r="AJ283" s="2" t="inlineStr">
        <is>
          <t>yes</t>
        </is>
      </c>
      <c r="AK283" s="2" t="inlineStr">
        <is>
          <t>no</t>
        </is>
      </c>
      <c r="AL283" s="2" t="inlineStr">
        <is>
          <t>no</t>
        </is>
      </c>
      <c r="AM283" s="2" t="n"/>
      <c r="AN283" s="2" t="n"/>
      <c r="AO283" s="2" t="n"/>
      <c r="AP283" s="2" t="inlineStr">
        <is>
          <t>v3_2026-03-19</t>
        </is>
      </c>
      <c r="AQ283">
        <f>(L283-Schema_v5!$C2)/(Schema_v5!$C3-Schema_v5!$C2)</f>
        <v/>
      </c>
      <c r="AR283">
        <f>(M283-Schema_v5!$C4)/(Schema_v5!$C5-Schema_v5!$C4)</f>
        <v/>
      </c>
      <c r="AS283">
        <f>N283/Schema_v5!$C6</f>
        <v/>
      </c>
      <c r="AT283">
        <f>O283/Schema_v5!$C7</f>
        <v/>
      </c>
      <c r="AU283">
        <f>P283/Schema_v5!$C8</f>
        <v/>
      </c>
      <c r="AV283">
        <f>IF(Schema_v5!$C9=0,0,AH283/Schema_v5!$C9)</f>
        <v/>
      </c>
      <c r="AW283">
        <f>IF(Schema_v5!$C10=0,0,AE283/Schema_v5!$C10)</f>
        <v/>
      </c>
      <c r="AX283">
        <f>(W283-Schema_v5!$C11)/(Schema_v5!$C12-Schema_v5!$C11)</f>
        <v/>
      </c>
      <c r="AY283">
        <f>(X283-Schema_v5!$C13)/(Schema_v5!$C14-Schema_v5!$C13)</f>
        <v/>
      </c>
    </row>
    <row r="284" ht="81" customHeight="1" s="10">
      <c r="A284" s="2" t="inlineStr">
        <is>
          <t>Q56_C</t>
        </is>
      </c>
      <c r="B284" s="2" t="n">
        <v>56</v>
      </c>
      <c r="C284" s="2" t="n">
        <v>105</v>
      </c>
      <c r="D284" s="2" t="inlineStr">
        <is>
          <t>Shadow</t>
        </is>
      </c>
      <c r="E284" s="2" t="n">
        <v>1.35</v>
      </c>
      <c r="F284" s="2" t="inlineStr">
        <is>
          <t>ShadowPattern</t>
        </is>
      </c>
      <c r="G284" s="2" t="inlineStr">
        <is>
          <t>IntegrityRisk</t>
        </is>
      </c>
      <c r="H284" s="2" t="n"/>
      <c r="I284" s="2" t="inlineStr">
        <is>
          <t>C</t>
        </is>
      </c>
      <c r="J284" s="2" t="inlineStr">
        <is>
          <t>C</t>
        </is>
      </c>
      <c r="K284" s="2" t="inlineStr">
        <is>
          <t>I act like I forgot something of theirs too, balance it out.</t>
        </is>
      </c>
      <c r="L284" s="2" t="n">
        <v>5</v>
      </c>
      <c r="M284" s="2" t="n"/>
      <c r="N284" s="2" t="n">
        <v>4</v>
      </c>
      <c r="O284" s="2" t="n">
        <v>4</v>
      </c>
      <c r="P284" s="2" t="n">
        <v>4</v>
      </c>
      <c r="Q284" s="2" t="n"/>
      <c r="R284" s="2" t="n"/>
      <c r="S284" s="2" t="inlineStr">
        <is>
          <t>Love Bomber</t>
        </is>
      </c>
      <c r="T284" s="2" t="n">
        <v>3</v>
      </c>
      <c r="U284" s="2" t="n">
        <v>6</v>
      </c>
      <c r="V284" s="2" t="inlineStr">
        <is>
          <t>masc:0.0;fem:0.0</t>
        </is>
      </c>
      <c r="W284" s="2" t="n">
        <v>0</v>
      </c>
      <c r="X284" s="2" t="n">
        <v>0</v>
      </c>
      <c r="Y284" s="2" t="n"/>
      <c r="Z284" s="2" t="n"/>
      <c r="AA284" s="2" t="n"/>
      <c r="AB284" s="2" t="n"/>
      <c r="AC284" s="2" t="n"/>
      <c r="AD284" s="2" t="n"/>
      <c r="AE284" s="2" t="n">
        <v>0</v>
      </c>
      <c r="AF284" s="2" t="n"/>
      <c r="AG284" s="2" t="n"/>
      <c r="AH284" s="2" t="n">
        <v>0</v>
      </c>
      <c r="AI284" s="2" t="n"/>
      <c r="AJ284" s="2" t="inlineStr">
        <is>
          <t>no</t>
        </is>
      </c>
      <c r="AK284" s="2" t="inlineStr">
        <is>
          <t>no</t>
        </is>
      </c>
      <c r="AL284" s="2" t="inlineStr">
        <is>
          <t>no</t>
        </is>
      </c>
      <c r="AM284" s="2" t="n"/>
      <c r="AN284" s="2" t="n"/>
      <c r="AO284" s="2" t="n"/>
      <c r="AP284" s="2" t="inlineStr">
        <is>
          <t>v3_2026-03-19</t>
        </is>
      </c>
      <c r="AQ284">
        <f>(L284-Schema_v5!$C2)/(Schema_v5!$C3-Schema_v5!$C2)</f>
        <v/>
      </c>
      <c r="AR284">
        <f>(M284-Schema_v5!$C4)/(Schema_v5!$C5-Schema_v5!$C4)</f>
        <v/>
      </c>
      <c r="AS284">
        <f>N284/Schema_v5!$C6</f>
        <v/>
      </c>
      <c r="AT284">
        <f>O284/Schema_v5!$C7</f>
        <v/>
      </c>
      <c r="AU284">
        <f>P284/Schema_v5!$C8</f>
        <v/>
      </c>
      <c r="AV284">
        <f>IF(Schema_v5!$C9=0,0,AH284/Schema_v5!$C9)</f>
        <v/>
      </c>
      <c r="AW284">
        <f>IF(Schema_v5!$C10=0,0,AE284/Schema_v5!$C10)</f>
        <v/>
      </c>
      <c r="AX284">
        <f>(W284-Schema_v5!$C11)/(Schema_v5!$C12-Schema_v5!$C11)</f>
        <v/>
      </c>
      <c r="AY284">
        <f>(X284-Schema_v5!$C13)/(Schema_v5!$C14-Schema_v5!$C13)</f>
        <v/>
      </c>
    </row>
    <row r="285" ht="54.75" customHeight="1" s="10">
      <c r="A285" s="2" t="inlineStr">
        <is>
          <t>Q56_D</t>
        </is>
      </c>
      <c r="B285" s="2" t="n">
        <v>56</v>
      </c>
      <c r="C285" s="2" t="n">
        <v>105</v>
      </c>
      <c r="D285" s="2" t="inlineStr">
        <is>
          <t>Shadow</t>
        </is>
      </c>
      <c r="E285" s="2" t="n">
        <v>1.35</v>
      </c>
      <c r="F285" s="2" t="inlineStr">
        <is>
          <t>ShadowPattern</t>
        </is>
      </c>
      <c r="G285" s="2" t="inlineStr">
        <is>
          <t>IntegrityRisk</t>
        </is>
      </c>
      <c r="H285" s="2" t="n"/>
      <c r="I285" s="2" t="inlineStr">
        <is>
          <t>D</t>
        </is>
      </c>
      <c r="J285" s="2" t="inlineStr">
        <is>
          <t>D</t>
        </is>
      </c>
      <c r="K285" s="2" t="inlineStr">
        <is>
          <t>I adjust my vibe, act like it didn't matter.</t>
        </is>
      </c>
      <c r="L285" s="2" t="n">
        <v>6</v>
      </c>
      <c r="M285" s="2" t="n"/>
      <c r="N285" s="2" t="n">
        <v>4</v>
      </c>
      <c r="O285" s="2" t="n">
        <v>4</v>
      </c>
      <c r="P285" s="2" t="n">
        <v>4</v>
      </c>
      <c r="Q285" s="2" t="n"/>
      <c r="R285" s="2" t="n"/>
      <c r="S285" s="2" t="inlineStr">
        <is>
          <t>Chameleon</t>
        </is>
      </c>
      <c r="T285" s="2" t="n">
        <v>4</v>
      </c>
      <c r="U285" s="2" t="n">
        <v>6</v>
      </c>
      <c r="V285" s="2" t="inlineStr">
        <is>
          <t>masc:0.0;fem:0.0</t>
        </is>
      </c>
      <c r="W285" s="2" t="n">
        <v>0</v>
      </c>
      <c r="X285" s="2" t="n">
        <v>0</v>
      </c>
      <c r="Y285" s="2" t="n"/>
      <c r="Z285" s="2" t="n"/>
      <c r="AA285" s="2" t="n"/>
      <c r="AB285" s="2" t="n"/>
      <c r="AC285" s="2" t="n"/>
      <c r="AD285" s="2" t="n"/>
      <c r="AE285" s="2" t="n">
        <v>0</v>
      </c>
      <c r="AF285" s="2" t="n"/>
      <c r="AG285" s="2" t="n"/>
      <c r="AH285" s="2" t="n">
        <v>0</v>
      </c>
      <c r="AI285" s="2" t="n"/>
      <c r="AJ285" s="2" t="inlineStr">
        <is>
          <t>no</t>
        </is>
      </c>
      <c r="AK285" s="2" t="inlineStr">
        <is>
          <t>no</t>
        </is>
      </c>
      <c r="AL285" s="2" t="inlineStr">
        <is>
          <t>no</t>
        </is>
      </c>
      <c r="AM285" s="2" t="n"/>
      <c r="AN285" s="2" t="n"/>
      <c r="AO285" s="2" t="n"/>
      <c r="AP285" s="2" t="inlineStr">
        <is>
          <t>v3_2026-03-19</t>
        </is>
      </c>
      <c r="AQ285">
        <f>(L285-Schema_v5!$C2)/(Schema_v5!$C3-Schema_v5!$C2)</f>
        <v/>
      </c>
      <c r="AR285">
        <f>(M285-Schema_v5!$C4)/(Schema_v5!$C5-Schema_v5!$C4)</f>
        <v/>
      </c>
      <c r="AS285">
        <f>N285/Schema_v5!$C6</f>
        <v/>
      </c>
      <c r="AT285">
        <f>O285/Schema_v5!$C7</f>
        <v/>
      </c>
      <c r="AU285">
        <f>P285/Schema_v5!$C8</f>
        <v/>
      </c>
      <c r="AV285">
        <f>IF(Schema_v5!$C9=0,0,AH285/Schema_v5!$C9)</f>
        <v/>
      </c>
      <c r="AW285">
        <f>IF(Schema_v5!$C10=0,0,AE285/Schema_v5!$C10)</f>
        <v/>
      </c>
      <c r="AX285">
        <f>(W285-Schema_v5!$C11)/(Schema_v5!$C12-Schema_v5!$C11)</f>
        <v/>
      </c>
      <c r="AY285">
        <f>(X285-Schema_v5!$C13)/(Schema_v5!$C14-Schema_v5!$C13)</f>
        <v/>
      </c>
    </row>
    <row r="286" ht="68.25" customHeight="1" s="10">
      <c r="A286" s="2" t="inlineStr">
        <is>
          <t>Q56_E</t>
        </is>
      </c>
      <c r="B286" s="2" t="n">
        <v>56</v>
      </c>
      <c r="C286" s="2" t="n">
        <v>105</v>
      </c>
      <c r="D286" s="2" t="inlineStr">
        <is>
          <t>Shadow</t>
        </is>
      </c>
      <c r="E286" s="2" t="n">
        <v>1.35</v>
      </c>
      <c r="F286" s="2" t="inlineStr">
        <is>
          <t>ShadowPattern</t>
        </is>
      </c>
      <c r="G286" s="2" t="inlineStr">
        <is>
          <t>IntegrityRisk</t>
        </is>
      </c>
      <c r="H286" s="2" t="n"/>
      <c r="I286" s="2" t="inlineStr">
        <is>
          <t>E</t>
        </is>
      </c>
      <c r="J286" s="2" t="inlineStr">
        <is>
          <t>E</t>
        </is>
      </c>
      <c r="K286" s="2" t="inlineStr">
        <is>
          <t>I bring it up later when they mess up again, pattern proof.</t>
        </is>
      </c>
      <c r="L286" s="2" t="n">
        <v>7</v>
      </c>
      <c r="M286" s="2" t="n"/>
      <c r="N286" s="2" t="n">
        <v>2</v>
      </c>
      <c r="O286" s="2" t="n">
        <v>2</v>
      </c>
      <c r="P286" s="2" t="n">
        <v>2</v>
      </c>
      <c r="Q286" s="2" t="n"/>
      <c r="R286" s="2" t="n"/>
      <c r="S286" s="2" t="inlineStr">
        <is>
          <t>Scorekeeper</t>
        </is>
      </c>
      <c r="T286" s="2" t="n">
        <v>5</v>
      </c>
      <c r="U286" s="2" t="n">
        <v>8</v>
      </c>
      <c r="V286" s="2" t="inlineStr">
        <is>
          <t>masc:0.0;fem:0.0</t>
        </is>
      </c>
      <c r="W286" s="2" t="n">
        <v>0</v>
      </c>
      <c r="X286" s="2" t="n">
        <v>0</v>
      </c>
      <c r="Y286" s="2" t="n"/>
      <c r="Z286" s="2" t="n"/>
      <c r="AA286" s="2" t="n"/>
      <c r="AB286" s="2" t="n"/>
      <c r="AC286" s="2" t="n"/>
      <c r="AD286" s="2" t="n"/>
      <c r="AE286" s="2" t="n">
        <v>0</v>
      </c>
      <c r="AF286" s="2" t="n"/>
      <c r="AG286" s="2" t="n"/>
      <c r="AH286" s="2" t="n">
        <v>0</v>
      </c>
      <c r="AI286" s="2" t="n"/>
      <c r="AJ286" s="2" t="inlineStr">
        <is>
          <t>no</t>
        </is>
      </c>
      <c r="AK286" s="2" t="inlineStr">
        <is>
          <t>no</t>
        </is>
      </c>
      <c r="AL286" s="2" t="inlineStr">
        <is>
          <t>no</t>
        </is>
      </c>
      <c r="AM286" s="2" t="n"/>
      <c r="AN286" s="2" t="n"/>
      <c r="AO286" s="2" t="n"/>
      <c r="AP286" s="2" t="inlineStr">
        <is>
          <t>v3_2026-03-19</t>
        </is>
      </c>
      <c r="AQ286">
        <f>(L286-Schema_v5!$C2)/(Schema_v5!$C3-Schema_v5!$C2)</f>
        <v/>
      </c>
      <c r="AR286">
        <f>(M286-Schema_v5!$C4)/(Schema_v5!$C5-Schema_v5!$C4)</f>
        <v/>
      </c>
      <c r="AS286">
        <f>N286/Schema_v5!$C6</f>
        <v/>
      </c>
      <c r="AT286">
        <f>O286/Schema_v5!$C7</f>
        <v/>
      </c>
      <c r="AU286">
        <f>P286/Schema_v5!$C8</f>
        <v/>
      </c>
      <c r="AV286">
        <f>IF(Schema_v5!$C9=0,0,AH286/Schema_v5!$C9)</f>
        <v/>
      </c>
      <c r="AW286">
        <f>IF(Schema_v5!$C10=0,0,AE286/Schema_v5!$C10)</f>
        <v/>
      </c>
      <c r="AX286">
        <f>(W286-Schema_v5!$C11)/(Schema_v5!$C12-Schema_v5!$C11)</f>
        <v/>
      </c>
      <c r="AY286">
        <f>(X286-Schema_v5!$C13)/(Schema_v5!$C14-Schema_v5!$C13)</f>
        <v/>
      </c>
    </row>
    <row r="287" ht="68.25" customHeight="1" s="10">
      <c r="A287" s="2" t="inlineStr">
        <is>
          <t>Q56_F</t>
        </is>
      </c>
      <c r="B287" s="2" t="n">
        <v>56</v>
      </c>
      <c r="C287" s="2" t="n">
        <v>105</v>
      </c>
      <c r="D287" s="2" t="inlineStr">
        <is>
          <t>Shadow</t>
        </is>
      </c>
      <c r="E287" s="2" t="n">
        <v>1.35</v>
      </c>
      <c r="F287" s="2" t="inlineStr">
        <is>
          <t>ShadowPattern</t>
        </is>
      </c>
      <c r="G287" s="2" t="inlineStr">
        <is>
          <t>IntegrityRisk</t>
        </is>
      </c>
      <c r="H287" s="2" t="n"/>
      <c r="I287" s="2" t="inlineStr">
        <is>
          <t>F</t>
        </is>
      </c>
      <c r="J287" s="2" t="inlineStr">
        <is>
          <t>F</t>
        </is>
      </c>
      <c r="K287" s="2" t="inlineStr">
        <is>
          <t>I wonder if I just wasn't worth remembering.</t>
        </is>
      </c>
      <c r="L287" s="2" t="n">
        <v>8</v>
      </c>
      <c r="M287" s="2" t="n"/>
      <c r="N287" s="2" t="n">
        <v>2</v>
      </c>
      <c r="O287" s="2" t="n">
        <v>2</v>
      </c>
      <c r="P287" s="2" t="n">
        <v>2</v>
      </c>
      <c r="Q287" s="2" t="n"/>
      <c r="R287" s="2" t="n"/>
      <c r="S287" s="2" t="inlineStr">
        <is>
          <t>Self-Saboteur</t>
        </is>
      </c>
      <c r="T287" s="2" t="n">
        <v>6</v>
      </c>
      <c r="U287" s="2" t="n">
        <v>8</v>
      </c>
      <c r="V287" s="2" t="inlineStr">
        <is>
          <t>masc:0.0;fem:0.0</t>
        </is>
      </c>
      <c r="W287" s="2" t="n">
        <v>0</v>
      </c>
      <c r="X287" s="2" t="n">
        <v>0</v>
      </c>
      <c r="Y287" s="2" t="n"/>
      <c r="Z287" s="2" t="n"/>
      <c r="AA287" s="2" t="n"/>
      <c r="AB287" s="2" t="n"/>
      <c r="AC287" s="2" t="n"/>
      <c r="AD287" s="2" t="n"/>
      <c r="AE287" s="2" t="n">
        <v>0</v>
      </c>
      <c r="AF287" s="2" t="n"/>
      <c r="AG287" s="2" t="n"/>
      <c r="AH287" s="2" t="n">
        <v>0</v>
      </c>
      <c r="AI287" s="2" t="n"/>
      <c r="AJ287" s="2" t="inlineStr">
        <is>
          <t>no</t>
        </is>
      </c>
      <c r="AK287" s="2" t="inlineStr">
        <is>
          <t>no</t>
        </is>
      </c>
      <c r="AL287" s="2" t="inlineStr">
        <is>
          <t>no</t>
        </is>
      </c>
      <c r="AM287" s="2" t="n"/>
      <c r="AN287" s="2" t="n"/>
      <c r="AO287" s="2" t="n"/>
      <c r="AP287" s="2" t="inlineStr">
        <is>
          <t>v3_2026-03-19</t>
        </is>
      </c>
      <c r="AQ287">
        <f>(L287-Schema_v5!$C2)/(Schema_v5!$C3-Schema_v5!$C2)</f>
        <v/>
      </c>
      <c r="AR287">
        <f>(M287-Schema_v5!$C4)/(Schema_v5!$C5-Schema_v5!$C4)</f>
        <v/>
      </c>
      <c r="AS287">
        <f>N287/Schema_v5!$C6</f>
        <v/>
      </c>
      <c r="AT287">
        <f>O287/Schema_v5!$C7</f>
        <v/>
      </c>
      <c r="AU287">
        <f>P287/Schema_v5!$C8</f>
        <v/>
      </c>
      <c r="AV287">
        <f>IF(Schema_v5!$C9=0,0,AH287/Schema_v5!$C9)</f>
        <v/>
      </c>
      <c r="AW287">
        <f>IF(Schema_v5!$C10=0,0,AE287/Schema_v5!$C10)</f>
        <v/>
      </c>
      <c r="AX287">
        <f>(W287-Schema_v5!$C11)/(Schema_v5!$C12-Schema_v5!$C11)</f>
        <v/>
      </c>
      <c r="AY287">
        <f>(X287-Schema_v5!$C13)/(Schema_v5!$C14-Schema_v5!$C13)</f>
        <v/>
      </c>
    </row>
    <row r="288" ht="108" customHeight="1" s="10">
      <c r="A288" s="2" t="inlineStr">
        <is>
          <t>Q57_A</t>
        </is>
      </c>
      <c r="B288" s="2" t="n">
        <v>57</v>
      </c>
      <c r="C288" s="2" t="n">
        <v>106</v>
      </c>
      <c r="D288" s="2" t="inlineStr">
        <is>
          <t>Shadow</t>
        </is>
      </c>
      <c r="E288" s="2" t="n">
        <v>1.35</v>
      </c>
      <c r="F288" s="2" t="inlineStr">
        <is>
          <t>ShadowPattern</t>
        </is>
      </c>
      <c r="G288" s="2" t="inlineStr">
        <is>
          <t>IntegrityRisk</t>
        </is>
      </c>
      <c r="H288" s="2" t="inlineStr">
        <is>
          <t>You sense someone pulling away, but they haven't said anything. What's your response?</t>
        </is>
      </c>
      <c r="I288" s="2" t="inlineStr">
        <is>
          <t>A</t>
        </is>
      </c>
      <c r="J288" s="2" t="inlineStr">
        <is>
          <t>A</t>
        </is>
      </c>
      <c r="K288" s="2" t="inlineStr">
        <is>
          <t>Drop a dramatic statement or confession to pull them back in emotionally.</t>
        </is>
      </c>
      <c r="L288" s="2" t="n">
        <v>4</v>
      </c>
      <c r="M288" s="2" t="n"/>
      <c r="N288" s="2" t="n">
        <v>4</v>
      </c>
      <c r="O288" s="2" t="n">
        <v>4</v>
      </c>
      <c r="P288" s="2" t="n">
        <v>4</v>
      </c>
      <c r="Q288" s="2" t="n"/>
      <c r="R288" s="2" t="n"/>
      <c r="S288" s="2" t="inlineStr">
        <is>
          <t>Manipulator</t>
        </is>
      </c>
      <c r="T288" s="2" t="n">
        <v>1</v>
      </c>
      <c r="U288" s="2" t="n">
        <v>6</v>
      </c>
      <c r="V288" s="2" t="inlineStr">
        <is>
          <t>masc:0.0;fem:0.0</t>
        </is>
      </c>
      <c r="W288" s="2" t="n">
        <v>0</v>
      </c>
      <c r="X288" s="2" t="n">
        <v>0</v>
      </c>
      <c r="Y288" s="2" t="n"/>
      <c r="Z288" s="2" t="n"/>
      <c r="AA288" s="2" t="n"/>
      <c r="AB288" s="2" t="n"/>
      <c r="AC288" s="2" t="n"/>
      <c r="AD288" s="2" t="n"/>
      <c r="AE288" s="2" t="n">
        <v>0</v>
      </c>
      <c r="AF288" s="2" t="n"/>
      <c r="AG288" s="2" t="n"/>
      <c r="AH288" s="2" t="n">
        <v>0</v>
      </c>
      <c r="AI288" s="2" t="n"/>
      <c r="AJ288" s="2" t="inlineStr">
        <is>
          <t>yes</t>
        </is>
      </c>
      <c r="AK288" s="2" t="inlineStr">
        <is>
          <t>no</t>
        </is>
      </c>
      <c r="AL288" s="2" t="inlineStr">
        <is>
          <t>no</t>
        </is>
      </c>
      <c r="AM288" s="2" t="n"/>
      <c r="AN288" s="2" t="n"/>
      <c r="AO288" s="2" t="n"/>
      <c r="AP288" s="2" t="inlineStr">
        <is>
          <t>v3_2026-03-19</t>
        </is>
      </c>
      <c r="AQ288">
        <f>(L288-Schema_v5!$C2)/(Schema_v5!$C3-Schema_v5!$C2)</f>
        <v/>
      </c>
      <c r="AR288">
        <f>(M288-Schema_v5!$C4)/(Schema_v5!$C5-Schema_v5!$C4)</f>
        <v/>
      </c>
      <c r="AS288">
        <f>N288/Schema_v5!$C6</f>
        <v/>
      </c>
      <c r="AT288">
        <f>O288/Schema_v5!$C7</f>
        <v/>
      </c>
      <c r="AU288">
        <f>P288/Schema_v5!$C8</f>
        <v/>
      </c>
      <c r="AV288">
        <f>IF(Schema_v5!$C9=0,0,AH288/Schema_v5!$C9)</f>
        <v/>
      </c>
      <c r="AW288">
        <f>IF(Schema_v5!$C10=0,0,AE288/Schema_v5!$C10)</f>
        <v/>
      </c>
      <c r="AX288">
        <f>(W288-Schema_v5!$C11)/(Schema_v5!$C12-Schema_v5!$C11)</f>
        <v/>
      </c>
      <c r="AY288">
        <f>(X288-Schema_v5!$C13)/(Schema_v5!$C14-Schema_v5!$C13)</f>
        <v/>
      </c>
    </row>
    <row r="289" ht="81" customHeight="1" s="10">
      <c r="A289" s="2" t="inlineStr">
        <is>
          <t>Q57_B</t>
        </is>
      </c>
      <c r="B289" s="2" t="n">
        <v>57</v>
      </c>
      <c r="C289" s="2" t="n">
        <v>106</v>
      </c>
      <c r="D289" s="2" t="inlineStr">
        <is>
          <t>Shadow</t>
        </is>
      </c>
      <c r="E289" s="2" t="n">
        <v>1.35</v>
      </c>
      <c r="F289" s="2" t="inlineStr">
        <is>
          <t>ShadowPattern</t>
        </is>
      </c>
      <c r="G289" s="2" t="inlineStr">
        <is>
          <t>IntegrityRisk</t>
        </is>
      </c>
      <c r="H289" s="2" t="n"/>
      <c r="I289" s="2" t="inlineStr">
        <is>
          <t>B</t>
        </is>
      </c>
      <c r="J289" s="2" t="inlineStr">
        <is>
          <t>B</t>
        </is>
      </c>
      <c r="K289" s="2" t="inlineStr">
        <is>
          <t>Say nothing, but make myself harder to reach. They'll notice eventually.</t>
        </is>
      </c>
      <c r="L289" s="2" t="n">
        <v>3</v>
      </c>
      <c r="M289" s="2" t="n"/>
      <c r="N289" s="2" t="n">
        <v>6</v>
      </c>
      <c r="O289" s="2" t="n">
        <v>6</v>
      </c>
      <c r="P289" s="2" t="n">
        <v>6</v>
      </c>
      <c r="Q289" s="2" t="n"/>
      <c r="R289" s="2" t="n"/>
      <c r="S289" s="2" t="inlineStr">
        <is>
          <t>Stonewaller</t>
        </is>
      </c>
      <c r="T289" s="2" t="n">
        <v>2</v>
      </c>
      <c r="U289" s="2" t="n">
        <v>4</v>
      </c>
      <c r="V289" s="2" t="inlineStr">
        <is>
          <t>masc:0.0;fem:0.0</t>
        </is>
      </c>
      <c r="W289" s="2" t="n">
        <v>0</v>
      </c>
      <c r="X289" s="2" t="n">
        <v>0</v>
      </c>
      <c r="Y289" s="2" t="n"/>
      <c r="Z289" s="2" t="n"/>
      <c r="AA289" s="2" t="n"/>
      <c r="AB289" s="2" t="n"/>
      <c r="AC289" s="2" t="n"/>
      <c r="AD289" s="2" t="n"/>
      <c r="AE289" s="2" t="n">
        <v>0</v>
      </c>
      <c r="AF289" s="2" t="n"/>
      <c r="AG289" s="2" t="n"/>
      <c r="AH289" s="2" t="n">
        <v>0</v>
      </c>
      <c r="AI289" s="2" t="n"/>
      <c r="AJ289" s="2" t="inlineStr">
        <is>
          <t>yes</t>
        </is>
      </c>
      <c r="AK289" s="2" t="inlineStr">
        <is>
          <t>no</t>
        </is>
      </c>
      <c r="AL289" s="2" t="inlineStr">
        <is>
          <t>no</t>
        </is>
      </c>
      <c r="AM289" s="2" t="n"/>
      <c r="AN289" s="2" t="n"/>
      <c r="AO289" s="2" t="n"/>
      <c r="AP289" s="2" t="inlineStr">
        <is>
          <t>v3_2026-03-19</t>
        </is>
      </c>
      <c r="AQ289">
        <f>(L289-Schema_v5!$C2)/(Schema_v5!$C3-Schema_v5!$C2)</f>
        <v/>
      </c>
      <c r="AR289">
        <f>(M289-Schema_v5!$C4)/(Schema_v5!$C5-Schema_v5!$C4)</f>
        <v/>
      </c>
      <c r="AS289">
        <f>N289/Schema_v5!$C6</f>
        <v/>
      </c>
      <c r="AT289">
        <f>O289/Schema_v5!$C7</f>
        <v/>
      </c>
      <c r="AU289">
        <f>P289/Schema_v5!$C8</f>
        <v/>
      </c>
      <c r="AV289">
        <f>IF(Schema_v5!$C9=0,0,AH289/Schema_v5!$C9)</f>
        <v/>
      </c>
      <c r="AW289">
        <f>IF(Schema_v5!$C10=0,0,AE289/Schema_v5!$C10)</f>
        <v/>
      </c>
      <c r="AX289">
        <f>(W289-Schema_v5!$C11)/(Schema_v5!$C12-Schema_v5!$C11)</f>
        <v/>
      </c>
      <c r="AY289">
        <f>(X289-Schema_v5!$C13)/(Schema_v5!$C14-Schema_v5!$C13)</f>
        <v/>
      </c>
    </row>
    <row r="290" ht="94.5" customHeight="1" s="10">
      <c r="A290" s="2" t="inlineStr">
        <is>
          <t>Q57_C</t>
        </is>
      </c>
      <c r="B290" s="2" t="n">
        <v>57</v>
      </c>
      <c r="C290" s="2" t="n">
        <v>106</v>
      </c>
      <c r="D290" s="2" t="inlineStr">
        <is>
          <t>Shadow</t>
        </is>
      </c>
      <c r="E290" s="2" t="n">
        <v>1.35</v>
      </c>
      <c r="F290" s="2" t="inlineStr">
        <is>
          <t>ShadowPattern</t>
        </is>
      </c>
      <c r="G290" s="2" t="inlineStr">
        <is>
          <t>IntegrityRisk</t>
        </is>
      </c>
      <c r="H290" s="2" t="n"/>
      <c r="I290" s="2" t="inlineStr">
        <is>
          <t>C</t>
        </is>
      </c>
      <c r="J290" s="2" t="inlineStr">
        <is>
          <t>C</t>
        </is>
      </c>
      <c r="K290" s="2" t="inlineStr">
        <is>
          <t>Text more, call more-prove I'm still here. I get louder when I feel abandoned.</t>
        </is>
      </c>
      <c r="L290" s="2" t="n">
        <v>5</v>
      </c>
      <c r="M290" s="2" t="n"/>
      <c r="N290" s="2" t="n">
        <v>4</v>
      </c>
      <c r="O290" s="2" t="n">
        <v>4</v>
      </c>
      <c r="P290" s="2" t="n">
        <v>4</v>
      </c>
      <c r="Q290" s="2" t="n"/>
      <c r="R290" s="2" t="n"/>
      <c r="S290" s="2" t="inlineStr">
        <is>
          <t>Love Bomber</t>
        </is>
      </c>
      <c r="T290" s="2" t="n">
        <v>3</v>
      </c>
      <c r="U290" s="2" t="n">
        <v>6</v>
      </c>
      <c r="V290" s="2" t="inlineStr">
        <is>
          <t>masc:0.0;fem:0.0</t>
        </is>
      </c>
      <c r="W290" s="2" t="n">
        <v>0</v>
      </c>
      <c r="X290" s="2" t="n">
        <v>0</v>
      </c>
      <c r="Y290" s="2" t="n"/>
      <c r="Z290" s="2" t="n"/>
      <c r="AA290" s="2" t="n"/>
      <c r="AB290" s="2" t="n"/>
      <c r="AC290" s="2" t="n"/>
      <c r="AD290" s="2" t="n"/>
      <c r="AE290" s="2" t="n">
        <v>0</v>
      </c>
      <c r="AF290" s="2" t="n"/>
      <c r="AG290" s="2" t="n"/>
      <c r="AH290" s="2" t="n">
        <v>0</v>
      </c>
      <c r="AI290" s="2" t="n"/>
      <c r="AJ290" s="2" t="inlineStr">
        <is>
          <t>no</t>
        </is>
      </c>
      <c r="AK290" s="2" t="inlineStr">
        <is>
          <t>no</t>
        </is>
      </c>
      <c r="AL290" s="2" t="inlineStr">
        <is>
          <t>no</t>
        </is>
      </c>
      <c r="AM290" s="2" t="n"/>
      <c r="AN290" s="2" t="n"/>
      <c r="AO290" s="2" t="n"/>
      <c r="AP290" s="2" t="inlineStr">
        <is>
          <t>v3_2026-03-19</t>
        </is>
      </c>
      <c r="AQ290">
        <f>(L290-Schema_v5!$C2)/(Schema_v5!$C3-Schema_v5!$C2)</f>
        <v/>
      </c>
      <c r="AR290">
        <f>(M290-Schema_v5!$C4)/(Schema_v5!$C5-Schema_v5!$C4)</f>
        <v/>
      </c>
      <c r="AS290">
        <f>N290/Schema_v5!$C6</f>
        <v/>
      </c>
      <c r="AT290">
        <f>O290/Schema_v5!$C7</f>
        <v/>
      </c>
      <c r="AU290">
        <f>P290/Schema_v5!$C8</f>
        <v/>
      </c>
      <c r="AV290">
        <f>IF(Schema_v5!$C9=0,0,AH290/Schema_v5!$C9)</f>
        <v/>
      </c>
      <c r="AW290">
        <f>IF(Schema_v5!$C10=0,0,AE290/Schema_v5!$C10)</f>
        <v/>
      </c>
      <c r="AX290">
        <f>(W290-Schema_v5!$C11)/(Schema_v5!$C12-Schema_v5!$C11)</f>
        <v/>
      </c>
      <c r="AY290">
        <f>(X290-Schema_v5!$C13)/(Schema_v5!$C14-Schema_v5!$C13)</f>
        <v/>
      </c>
    </row>
    <row r="291" ht="68.25" customHeight="1" s="10">
      <c r="A291" s="2" t="inlineStr">
        <is>
          <t>Q57_D</t>
        </is>
      </c>
      <c r="B291" s="2" t="n">
        <v>57</v>
      </c>
      <c r="C291" s="2" t="n">
        <v>106</v>
      </c>
      <c r="D291" s="2" t="inlineStr">
        <is>
          <t>Shadow</t>
        </is>
      </c>
      <c r="E291" s="2" t="n">
        <v>1.35</v>
      </c>
      <c r="F291" s="2" t="inlineStr">
        <is>
          <t>ShadowPattern</t>
        </is>
      </c>
      <c r="G291" s="2" t="inlineStr">
        <is>
          <t>IntegrityRisk</t>
        </is>
      </c>
      <c r="H291" s="2" t="n"/>
      <c r="I291" s="2" t="inlineStr">
        <is>
          <t>D</t>
        </is>
      </c>
      <c r="J291" s="2" t="inlineStr">
        <is>
          <t>D</t>
        </is>
      </c>
      <c r="K291" s="2" t="inlineStr">
        <is>
          <t>Mirror their vibe. If they're cold, I'm cooler. I adjust fast.</t>
        </is>
      </c>
      <c r="L291" s="2" t="n">
        <v>6</v>
      </c>
      <c r="M291" s="2" t="n"/>
      <c r="N291" s="2" t="n">
        <v>4</v>
      </c>
      <c r="O291" s="2" t="n">
        <v>4</v>
      </c>
      <c r="P291" s="2" t="n">
        <v>4</v>
      </c>
      <c r="Q291" s="2" t="n"/>
      <c r="R291" s="2" t="n"/>
      <c r="S291" s="2" t="inlineStr">
        <is>
          <t>Chameleon</t>
        </is>
      </c>
      <c r="T291" s="2" t="n">
        <v>4</v>
      </c>
      <c r="U291" s="2" t="n">
        <v>6</v>
      </c>
      <c r="V291" s="2" t="inlineStr">
        <is>
          <t>masc:0.0;fem:0.0</t>
        </is>
      </c>
      <c r="W291" s="2" t="n">
        <v>0</v>
      </c>
      <c r="X291" s="2" t="n">
        <v>0</v>
      </c>
      <c r="Y291" s="2" t="n"/>
      <c r="Z291" s="2" t="n"/>
      <c r="AA291" s="2" t="n"/>
      <c r="AB291" s="2" t="n"/>
      <c r="AC291" s="2" t="n"/>
      <c r="AD291" s="2" t="n"/>
      <c r="AE291" s="2" t="n">
        <v>0</v>
      </c>
      <c r="AF291" s="2" t="n"/>
      <c r="AG291" s="2" t="n"/>
      <c r="AH291" s="2" t="n">
        <v>0.6</v>
      </c>
      <c r="AI291" s="2" t="n"/>
      <c r="AJ291" s="2" t="inlineStr">
        <is>
          <t>no</t>
        </is>
      </c>
      <c r="AK291" s="2" t="inlineStr">
        <is>
          <t>no</t>
        </is>
      </c>
      <c r="AL291" s="2" t="inlineStr">
        <is>
          <t>no</t>
        </is>
      </c>
      <c r="AM291" s="2" t="n"/>
      <c r="AN291" s="2" t="n"/>
      <c r="AO291" s="2" t="n"/>
      <c r="AP291" s="2" t="inlineStr">
        <is>
          <t>v3_2026-03-19</t>
        </is>
      </c>
      <c r="AQ291">
        <f>(L291-Schema_v5!$C2)/(Schema_v5!$C3-Schema_v5!$C2)</f>
        <v/>
      </c>
      <c r="AR291">
        <f>(M291-Schema_v5!$C4)/(Schema_v5!$C5-Schema_v5!$C4)</f>
        <v/>
      </c>
      <c r="AS291">
        <f>N291/Schema_v5!$C6</f>
        <v/>
      </c>
      <c r="AT291">
        <f>O291/Schema_v5!$C7</f>
        <v/>
      </c>
      <c r="AU291">
        <f>P291/Schema_v5!$C8</f>
        <v/>
      </c>
      <c r="AV291">
        <f>IF(Schema_v5!$C9=0,0,AH291/Schema_v5!$C9)</f>
        <v/>
      </c>
      <c r="AW291">
        <f>IF(Schema_v5!$C10=0,0,AE291/Schema_v5!$C10)</f>
        <v/>
      </c>
      <c r="AX291">
        <f>(W291-Schema_v5!$C11)/(Schema_v5!$C12-Schema_v5!$C11)</f>
        <v/>
      </c>
      <c r="AY291">
        <f>(X291-Schema_v5!$C13)/(Schema_v5!$C14-Schema_v5!$C13)</f>
        <v/>
      </c>
    </row>
    <row r="292" ht="94.5" customHeight="1" s="10">
      <c r="A292" s="2" t="inlineStr">
        <is>
          <t>Q57_E</t>
        </is>
      </c>
      <c r="B292" s="2" t="n">
        <v>57</v>
      </c>
      <c r="C292" s="2" t="n">
        <v>106</v>
      </c>
      <c r="D292" s="2" t="inlineStr">
        <is>
          <t>Shadow</t>
        </is>
      </c>
      <c r="E292" s="2" t="n">
        <v>1.35</v>
      </c>
      <c r="F292" s="2" t="inlineStr">
        <is>
          <t>ShadowPattern</t>
        </is>
      </c>
      <c r="G292" s="2" t="inlineStr">
        <is>
          <t>IntegrityRisk</t>
        </is>
      </c>
      <c r="H292" s="2" t="n"/>
      <c r="I292" s="2" t="inlineStr">
        <is>
          <t>E</t>
        </is>
      </c>
      <c r="J292" s="2" t="inlineStr">
        <is>
          <t>E</t>
        </is>
      </c>
      <c r="K292" s="2" t="inlineStr">
        <is>
          <t>Bring up everything I've done for them-then ask why they're acting different.</t>
        </is>
      </c>
      <c r="L292" s="2" t="n">
        <v>7</v>
      </c>
      <c r="M292" s="2" t="n"/>
      <c r="N292" s="2" t="n">
        <v>2</v>
      </c>
      <c r="O292" s="2" t="n">
        <v>2</v>
      </c>
      <c r="P292" s="2" t="n">
        <v>2</v>
      </c>
      <c r="Q292" s="2" t="n"/>
      <c r="R292" s="2" t="n"/>
      <c r="S292" s="2" t="inlineStr">
        <is>
          <t>Scorekeeper</t>
        </is>
      </c>
      <c r="T292" s="2" t="n">
        <v>5</v>
      </c>
      <c r="U292" s="2" t="n">
        <v>8</v>
      </c>
      <c r="V292" s="2" t="inlineStr">
        <is>
          <t>masc:0.0;fem:0.0</t>
        </is>
      </c>
      <c r="W292" s="2" t="n">
        <v>0</v>
      </c>
      <c r="X292" s="2" t="n">
        <v>0</v>
      </c>
      <c r="Y292" s="2" t="n"/>
      <c r="Z292" s="2" t="n"/>
      <c r="AA292" s="2" t="n"/>
      <c r="AB292" s="2" t="n"/>
      <c r="AC292" s="2" t="n"/>
      <c r="AD292" s="2" t="n"/>
      <c r="AE292" s="2" t="n">
        <v>0</v>
      </c>
      <c r="AF292" s="2" t="n"/>
      <c r="AG292" s="2" t="n"/>
      <c r="AH292" s="2" t="n">
        <v>0</v>
      </c>
      <c r="AI292" s="2" t="n"/>
      <c r="AJ292" s="2" t="inlineStr">
        <is>
          <t>no</t>
        </is>
      </c>
      <c r="AK292" s="2" t="inlineStr">
        <is>
          <t>no</t>
        </is>
      </c>
      <c r="AL292" s="2" t="inlineStr">
        <is>
          <t>no</t>
        </is>
      </c>
      <c r="AM292" s="2" t="n"/>
      <c r="AN292" s="2" t="n"/>
      <c r="AO292" s="2" t="n"/>
      <c r="AP292" s="2" t="inlineStr">
        <is>
          <t>v3_2026-03-19</t>
        </is>
      </c>
      <c r="AQ292">
        <f>(L292-Schema_v5!$C2)/(Schema_v5!$C3-Schema_v5!$C2)</f>
        <v/>
      </c>
      <c r="AR292">
        <f>(M292-Schema_v5!$C4)/(Schema_v5!$C5-Schema_v5!$C4)</f>
        <v/>
      </c>
      <c r="AS292">
        <f>N292/Schema_v5!$C6</f>
        <v/>
      </c>
      <c r="AT292">
        <f>O292/Schema_v5!$C7</f>
        <v/>
      </c>
      <c r="AU292">
        <f>P292/Schema_v5!$C8</f>
        <v/>
      </c>
      <c r="AV292">
        <f>IF(Schema_v5!$C9=0,0,AH292/Schema_v5!$C9)</f>
        <v/>
      </c>
      <c r="AW292">
        <f>IF(Schema_v5!$C10=0,0,AE292/Schema_v5!$C10)</f>
        <v/>
      </c>
      <c r="AX292">
        <f>(W292-Schema_v5!$C11)/(Schema_v5!$C12-Schema_v5!$C11)</f>
        <v/>
      </c>
      <c r="AY292">
        <f>(X292-Schema_v5!$C13)/(Schema_v5!$C14-Schema_v5!$C13)</f>
        <v/>
      </c>
    </row>
    <row r="293" ht="81" customHeight="1" s="10">
      <c r="A293" s="2" t="inlineStr">
        <is>
          <t>Q57_F</t>
        </is>
      </c>
      <c r="B293" s="2" t="n">
        <v>57</v>
      </c>
      <c r="C293" s="2" t="n">
        <v>106</v>
      </c>
      <c r="D293" s="2" t="inlineStr">
        <is>
          <t>Shadow</t>
        </is>
      </c>
      <c r="E293" s="2" t="n">
        <v>1.35</v>
      </c>
      <c r="F293" s="2" t="inlineStr">
        <is>
          <t>ShadowPattern</t>
        </is>
      </c>
      <c r="G293" s="2" t="inlineStr">
        <is>
          <t>IntegrityRisk</t>
        </is>
      </c>
      <c r="H293" s="2" t="n"/>
      <c r="I293" s="2" t="inlineStr">
        <is>
          <t>F</t>
        </is>
      </c>
      <c r="J293" s="2" t="inlineStr">
        <is>
          <t>F</t>
        </is>
      </c>
      <c r="K293" s="2" t="inlineStr">
        <is>
          <t>Assume I did something wrong, and start pulling away before they do.</t>
        </is>
      </c>
      <c r="L293" s="2" t="n">
        <v>8</v>
      </c>
      <c r="M293" s="2" t="n"/>
      <c r="N293" s="2" t="n">
        <v>2</v>
      </c>
      <c r="O293" s="2" t="n">
        <v>2</v>
      </c>
      <c r="P293" s="2" t="n">
        <v>2</v>
      </c>
      <c r="Q293" s="2" t="n"/>
      <c r="R293" s="2" t="n"/>
      <c r="S293" s="2" t="inlineStr">
        <is>
          <t>Self-Saboteur</t>
        </is>
      </c>
      <c r="T293" s="2" t="n">
        <v>6</v>
      </c>
      <c r="U293" s="2" t="n">
        <v>8</v>
      </c>
      <c r="V293" s="2" t="inlineStr">
        <is>
          <t>masc:0.0;fem:0.0</t>
        </is>
      </c>
      <c r="W293" s="2" t="n">
        <v>0</v>
      </c>
      <c r="X293" s="2" t="n">
        <v>0</v>
      </c>
      <c r="Y293" s="2" t="n"/>
      <c r="Z293" s="2" t="n"/>
      <c r="AA293" s="2" t="n"/>
      <c r="AB293" s="2" t="n"/>
      <c r="AC293" s="2" t="n"/>
      <c r="AD293" s="2" t="n"/>
      <c r="AE293" s="2" t="n">
        <v>0</v>
      </c>
      <c r="AF293" s="2" t="n"/>
      <c r="AG293" s="2" t="n"/>
      <c r="AH293" s="2" t="n">
        <v>0</v>
      </c>
      <c r="AI293" s="2" t="n"/>
      <c r="AJ293" s="2" t="inlineStr">
        <is>
          <t>no</t>
        </is>
      </c>
      <c r="AK293" s="2" t="inlineStr">
        <is>
          <t>no</t>
        </is>
      </c>
      <c r="AL293" s="2" t="inlineStr">
        <is>
          <t>no</t>
        </is>
      </c>
      <c r="AM293" s="2" t="n"/>
      <c r="AN293" s="2" t="n"/>
      <c r="AO293" s="2" t="n"/>
      <c r="AP293" s="2" t="inlineStr">
        <is>
          <t>v3_2026-03-19</t>
        </is>
      </c>
      <c r="AQ293">
        <f>(L293-Schema_v5!$C2)/(Schema_v5!$C3-Schema_v5!$C2)</f>
        <v/>
      </c>
      <c r="AR293">
        <f>(M293-Schema_v5!$C4)/(Schema_v5!$C5-Schema_v5!$C4)</f>
        <v/>
      </c>
      <c r="AS293">
        <f>N293/Schema_v5!$C6</f>
        <v/>
      </c>
      <c r="AT293">
        <f>O293/Schema_v5!$C7</f>
        <v/>
      </c>
      <c r="AU293">
        <f>P293/Schema_v5!$C8</f>
        <v/>
      </c>
      <c r="AV293">
        <f>IF(Schema_v5!$C9=0,0,AH293/Schema_v5!$C9)</f>
        <v/>
      </c>
      <c r="AW293">
        <f>IF(Schema_v5!$C10=0,0,AE293/Schema_v5!$C10)</f>
        <v/>
      </c>
      <c r="AX293">
        <f>(W293-Schema_v5!$C11)/(Schema_v5!$C12-Schema_v5!$C11)</f>
        <v/>
      </c>
      <c r="AY293">
        <f>(X293-Schema_v5!$C13)/(Schema_v5!$C14-Schema_v5!$C13)</f>
        <v/>
      </c>
    </row>
    <row r="294" ht="81" customHeight="1" s="10">
      <c r="A294" s="2" t="inlineStr">
        <is>
          <t>Q58_A</t>
        </is>
      </c>
      <c r="B294" s="2" t="n">
        <v>58</v>
      </c>
      <c r="C294" s="2" t="n">
        <v>107</v>
      </c>
      <c r="D294" s="2" t="inlineStr">
        <is>
          <t>Shadow</t>
        </is>
      </c>
      <c r="E294" s="2" t="n">
        <v>1.35</v>
      </c>
      <c r="F294" s="2" t="inlineStr">
        <is>
          <t>ShadowPattern</t>
        </is>
      </c>
      <c r="G294" s="2" t="inlineStr">
        <is>
          <t>IntegrityRisk</t>
        </is>
      </c>
      <c r="H294" s="2" t="inlineStr">
        <is>
          <t>You mess up-hurt someone or break a small trust. How do you usually handle it?</t>
        </is>
      </c>
      <c r="I294" s="2" t="inlineStr">
        <is>
          <t>A</t>
        </is>
      </c>
      <c r="J294" s="2" t="inlineStr">
        <is>
          <t>A</t>
        </is>
      </c>
      <c r="K294" s="2" t="inlineStr">
        <is>
          <t>Apologize in a way that makes them feel bad for making me feel bad.</t>
        </is>
      </c>
      <c r="L294" s="2" t="n">
        <v>4</v>
      </c>
      <c r="M294" s="2" t="n"/>
      <c r="N294" s="2" t="n">
        <v>4</v>
      </c>
      <c r="O294" s="2" t="n">
        <v>4</v>
      </c>
      <c r="P294" s="2" t="n">
        <v>4</v>
      </c>
      <c r="Q294" s="2" t="n"/>
      <c r="R294" s="2" t="n"/>
      <c r="S294" s="2" t="inlineStr">
        <is>
          <t>Manipulator</t>
        </is>
      </c>
      <c r="T294" s="2" t="n">
        <v>1</v>
      </c>
      <c r="U294" s="2" t="n">
        <v>6</v>
      </c>
      <c r="V294" s="2" t="inlineStr">
        <is>
          <t>masc:0.0;fem:0.0</t>
        </is>
      </c>
      <c r="W294" s="2" t="n">
        <v>0</v>
      </c>
      <c r="X294" s="2" t="n">
        <v>0</v>
      </c>
      <c r="Y294" s="2" t="n"/>
      <c r="Z294" s="2" t="n"/>
      <c r="AA294" s="2" t="n"/>
      <c r="AB294" s="2" t="n"/>
      <c r="AC294" s="2" t="n"/>
      <c r="AD294" s="2" t="n"/>
      <c r="AE294" s="2" t="n">
        <v>0</v>
      </c>
      <c r="AF294" s="2" t="n"/>
      <c r="AG294" s="2" t="n"/>
      <c r="AH294" s="2" t="n">
        <v>0</v>
      </c>
      <c r="AI294" s="2" t="n"/>
      <c r="AJ294" s="2" t="inlineStr">
        <is>
          <t>yes</t>
        </is>
      </c>
      <c r="AK294" s="2" t="inlineStr">
        <is>
          <t>no</t>
        </is>
      </c>
      <c r="AL294" s="2" t="inlineStr">
        <is>
          <t>no</t>
        </is>
      </c>
      <c r="AM294" s="2" t="n"/>
      <c r="AN294" s="2" t="n"/>
      <c r="AO294" s="2" t="n"/>
      <c r="AP294" s="2" t="inlineStr">
        <is>
          <t>v3_2026-03-19</t>
        </is>
      </c>
      <c r="AQ294">
        <f>(L294-Schema_v5!$C2)/(Schema_v5!$C3-Schema_v5!$C2)</f>
        <v/>
      </c>
      <c r="AR294">
        <f>(M294-Schema_v5!$C4)/(Schema_v5!$C5-Schema_v5!$C4)</f>
        <v/>
      </c>
      <c r="AS294">
        <f>N294/Schema_v5!$C6</f>
        <v/>
      </c>
      <c r="AT294">
        <f>O294/Schema_v5!$C7</f>
        <v/>
      </c>
      <c r="AU294">
        <f>P294/Schema_v5!$C8</f>
        <v/>
      </c>
      <c r="AV294">
        <f>IF(Schema_v5!$C9=0,0,AH294/Schema_v5!$C9)</f>
        <v/>
      </c>
      <c r="AW294">
        <f>IF(Schema_v5!$C10=0,0,AE294/Schema_v5!$C10)</f>
        <v/>
      </c>
      <c r="AX294">
        <f>(W294-Schema_v5!$C11)/(Schema_v5!$C12-Schema_v5!$C11)</f>
        <v/>
      </c>
      <c r="AY294">
        <f>(X294-Schema_v5!$C13)/(Schema_v5!$C14-Schema_v5!$C13)</f>
        <v/>
      </c>
    </row>
    <row r="295" ht="54.75" customHeight="1" s="10">
      <c r="A295" s="2" t="inlineStr">
        <is>
          <t>Q58_B</t>
        </is>
      </c>
      <c r="B295" s="2" t="n">
        <v>58</v>
      </c>
      <c r="C295" s="2" t="n">
        <v>107</v>
      </c>
      <c r="D295" s="2" t="inlineStr">
        <is>
          <t>Shadow</t>
        </is>
      </c>
      <c r="E295" s="2" t="n">
        <v>1.35</v>
      </c>
      <c r="F295" s="2" t="inlineStr">
        <is>
          <t>ShadowPattern</t>
        </is>
      </c>
      <c r="G295" s="2" t="inlineStr">
        <is>
          <t>IntegrityRisk</t>
        </is>
      </c>
      <c r="H295" s="2" t="n"/>
      <c r="I295" s="2" t="inlineStr">
        <is>
          <t>B</t>
        </is>
      </c>
      <c r="J295" s="2" t="inlineStr">
        <is>
          <t>B</t>
        </is>
      </c>
      <c r="K295" s="2" t="inlineStr">
        <is>
          <t>Say nothing. If they bring it up, I'll deal with it then.</t>
        </is>
      </c>
      <c r="L295" s="2" t="n">
        <v>3</v>
      </c>
      <c r="M295" s="2" t="n"/>
      <c r="N295" s="2" t="n">
        <v>6</v>
      </c>
      <c r="O295" s="2" t="n">
        <v>6</v>
      </c>
      <c r="P295" s="2" t="n">
        <v>6</v>
      </c>
      <c r="Q295" s="2" t="n"/>
      <c r="R295" s="2" t="n"/>
      <c r="S295" s="2" t="inlineStr">
        <is>
          <t>Stonewaller</t>
        </is>
      </c>
      <c r="T295" s="2" t="n">
        <v>2</v>
      </c>
      <c r="U295" s="2" t="n">
        <v>4</v>
      </c>
      <c r="V295" s="2" t="inlineStr">
        <is>
          <t>masc:0.0;fem:0.0</t>
        </is>
      </c>
      <c r="W295" s="2" t="n">
        <v>0</v>
      </c>
      <c r="X295" s="2" t="n">
        <v>0</v>
      </c>
      <c r="Y295" s="2" t="n"/>
      <c r="Z295" s="2" t="n"/>
      <c r="AA295" s="2" t="n"/>
      <c r="AB295" s="2" t="n"/>
      <c r="AC295" s="2" t="n"/>
      <c r="AD295" s="2" t="n"/>
      <c r="AE295" s="2" t="n">
        <v>0</v>
      </c>
      <c r="AF295" s="2" t="n"/>
      <c r="AG295" s="2" t="n"/>
      <c r="AH295" s="2" t="n">
        <v>0</v>
      </c>
      <c r="AI295" s="2" t="n"/>
      <c r="AJ295" s="2" t="inlineStr">
        <is>
          <t>yes</t>
        </is>
      </c>
      <c r="AK295" s="2" t="inlineStr">
        <is>
          <t>no</t>
        </is>
      </c>
      <c r="AL295" s="2" t="inlineStr">
        <is>
          <t>no</t>
        </is>
      </c>
      <c r="AM295" s="2" t="n"/>
      <c r="AN295" s="2" t="n"/>
      <c r="AO295" s="2" t="n"/>
      <c r="AP295" s="2" t="inlineStr">
        <is>
          <t>v3_2026-03-19</t>
        </is>
      </c>
      <c r="AQ295">
        <f>(L295-Schema_v5!$C2)/(Schema_v5!$C3-Schema_v5!$C2)</f>
        <v/>
      </c>
      <c r="AR295">
        <f>(M295-Schema_v5!$C4)/(Schema_v5!$C5-Schema_v5!$C4)</f>
        <v/>
      </c>
      <c r="AS295">
        <f>N295/Schema_v5!$C6</f>
        <v/>
      </c>
      <c r="AT295">
        <f>O295/Schema_v5!$C7</f>
        <v/>
      </c>
      <c r="AU295">
        <f>P295/Schema_v5!$C8</f>
        <v/>
      </c>
      <c r="AV295">
        <f>IF(Schema_v5!$C9=0,0,AH295/Schema_v5!$C9)</f>
        <v/>
      </c>
      <c r="AW295">
        <f>IF(Schema_v5!$C10=0,0,AE295/Schema_v5!$C10)</f>
        <v/>
      </c>
      <c r="AX295">
        <f>(W295-Schema_v5!$C11)/(Schema_v5!$C12-Schema_v5!$C11)</f>
        <v/>
      </c>
      <c r="AY295">
        <f>(X295-Schema_v5!$C13)/(Schema_v5!$C14-Schema_v5!$C13)</f>
        <v/>
      </c>
    </row>
    <row r="296" ht="94.5" customHeight="1" s="10">
      <c r="A296" s="2" t="inlineStr">
        <is>
          <t>Q58_C</t>
        </is>
      </c>
      <c r="B296" s="2" t="n">
        <v>58</v>
      </c>
      <c r="C296" s="2" t="n">
        <v>107</v>
      </c>
      <c r="D296" s="2" t="inlineStr">
        <is>
          <t>Shadow</t>
        </is>
      </c>
      <c r="E296" s="2" t="n">
        <v>1.35</v>
      </c>
      <c r="F296" s="2" t="inlineStr">
        <is>
          <t>ShadowPattern</t>
        </is>
      </c>
      <c r="G296" s="2" t="inlineStr">
        <is>
          <t>IntegrityRisk</t>
        </is>
      </c>
      <c r="H296" s="2" t="n"/>
      <c r="I296" s="2" t="inlineStr">
        <is>
          <t>C</t>
        </is>
      </c>
      <c r="J296" s="2" t="inlineStr">
        <is>
          <t>C</t>
        </is>
      </c>
      <c r="K296" s="2" t="inlineStr">
        <is>
          <t>Over-apologize, promise the world, and hope they feel how much I care.</t>
        </is>
      </c>
      <c r="L296" s="2" t="n">
        <v>5</v>
      </c>
      <c r="M296" s="2" t="n"/>
      <c r="N296" s="2" t="n">
        <v>4</v>
      </c>
      <c r="O296" s="2" t="n">
        <v>4</v>
      </c>
      <c r="P296" s="2" t="n">
        <v>4</v>
      </c>
      <c r="Q296" s="2" t="n"/>
      <c r="R296" s="2" t="n"/>
      <c r="S296" s="2" t="inlineStr">
        <is>
          <t>Love Bomber</t>
        </is>
      </c>
      <c r="T296" s="2" t="n">
        <v>3</v>
      </c>
      <c r="U296" s="2" t="n">
        <v>6</v>
      </c>
      <c r="V296" s="2" t="inlineStr">
        <is>
          <t>masc:0.0;fem:0.0</t>
        </is>
      </c>
      <c r="W296" s="2" t="n">
        <v>0</v>
      </c>
      <c r="X296" s="2" t="n">
        <v>0</v>
      </c>
      <c r="Y296" s="2" t="n"/>
      <c r="Z296" s="2" t="n"/>
      <c r="AA296" s="2" t="n"/>
      <c r="AB296" s="2" t="n"/>
      <c r="AC296" s="2" t="n"/>
      <c r="AD296" s="2" t="n"/>
      <c r="AE296" s="2" t="n">
        <v>0</v>
      </c>
      <c r="AF296" s="2" t="n"/>
      <c r="AG296" s="2" t="n"/>
      <c r="AH296" s="2" t="n">
        <v>0</v>
      </c>
      <c r="AI296" s="2" t="n"/>
      <c r="AJ296" s="2" t="inlineStr">
        <is>
          <t>no</t>
        </is>
      </c>
      <c r="AK296" s="2" t="inlineStr">
        <is>
          <t>no</t>
        </is>
      </c>
      <c r="AL296" s="2" t="inlineStr">
        <is>
          <t>no</t>
        </is>
      </c>
      <c r="AM296" s="2" t="n"/>
      <c r="AN296" s="2" t="n"/>
      <c r="AO296" s="2" t="n"/>
      <c r="AP296" s="2" t="inlineStr">
        <is>
          <t>v3_2026-03-19</t>
        </is>
      </c>
      <c r="AQ296">
        <f>(L296-Schema_v5!$C2)/(Schema_v5!$C3-Schema_v5!$C2)</f>
        <v/>
      </c>
      <c r="AR296">
        <f>(M296-Schema_v5!$C4)/(Schema_v5!$C5-Schema_v5!$C4)</f>
        <v/>
      </c>
      <c r="AS296">
        <f>N296/Schema_v5!$C6</f>
        <v/>
      </c>
      <c r="AT296">
        <f>O296/Schema_v5!$C7</f>
        <v/>
      </c>
      <c r="AU296">
        <f>P296/Schema_v5!$C8</f>
        <v/>
      </c>
      <c r="AV296">
        <f>IF(Schema_v5!$C9=0,0,AH296/Schema_v5!$C9)</f>
        <v/>
      </c>
      <c r="AW296">
        <f>IF(Schema_v5!$C10=0,0,AE296/Schema_v5!$C10)</f>
        <v/>
      </c>
      <c r="AX296">
        <f>(W296-Schema_v5!$C11)/(Schema_v5!$C12-Schema_v5!$C11)</f>
        <v/>
      </c>
      <c r="AY296">
        <f>(X296-Schema_v5!$C13)/(Schema_v5!$C14-Schema_v5!$C13)</f>
        <v/>
      </c>
    </row>
    <row r="297" ht="94.5" customHeight="1" s="10">
      <c r="A297" s="2" t="inlineStr">
        <is>
          <t>Q58_D</t>
        </is>
      </c>
      <c r="B297" s="2" t="n">
        <v>58</v>
      </c>
      <c r="C297" s="2" t="n">
        <v>107</v>
      </c>
      <c r="D297" s="2" t="inlineStr">
        <is>
          <t>Shadow</t>
        </is>
      </c>
      <c r="E297" s="2" t="n">
        <v>1.35</v>
      </c>
      <c r="F297" s="2" t="inlineStr">
        <is>
          <t>ShadowPattern</t>
        </is>
      </c>
      <c r="G297" s="2" t="inlineStr">
        <is>
          <t>IntegrityRisk</t>
        </is>
      </c>
      <c r="H297" s="2" t="n"/>
      <c r="I297" s="2" t="inlineStr">
        <is>
          <t>D</t>
        </is>
      </c>
      <c r="J297" s="2" t="inlineStr">
        <is>
          <t>D</t>
        </is>
      </c>
      <c r="K297" s="2" t="inlineStr">
        <is>
          <t>Spin it into a joke or self-deprecating moment. Make it lighter than it feels.</t>
        </is>
      </c>
      <c r="L297" s="2" t="n">
        <v>6</v>
      </c>
      <c r="M297" s="2" t="n"/>
      <c r="N297" s="2" t="n">
        <v>4</v>
      </c>
      <c r="O297" s="2" t="n">
        <v>4</v>
      </c>
      <c r="P297" s="2" t="n">
        <v>4</v>
      </c>
      <c r="Q297" s="2" t="n"/>
      <c r="R297" s="2" t="n"/>
      <c r="S297" s="2" t="inlineStr">
        <is>
          <t>Chameleon</t>
        </is>
      </c>
      <c r="T297" s="2" t="n">
        <v>4</v>
      </c>
      <c r="U297" s="2" t="n">
        <v>6</v>
      </c>
      <c r="V297" s="2" t="inlineStr">
        <is>
          <t>masc:0.0;fem:0.0</t>
        </is>
      </c>
      <c r="W297" s="2" t="n">
        <v>0</v>
      </c>
      <c r="X297" s="2" t="n">
        <v>0</v>
      </c>
      <c r="Y297" s="2" t="n"/>
      <c r="Z297" s="2" t="n"/>
      <c r="AA297" s="2" t="n"/>
      <c r="AB297" s="2" t="n"/>
      <c r="AC297" s="2" t="n"/>
      <c r="AD297" s="2" t="n"/>
      <c r="AE297" s="2" t="n">
        <v>0</v>
      </c>
      <c r="AF297" s="2" t="n"/>
      <c r="AG297" s="2" t="n"/>
      <c r="AH297" s="2" t="n">
        <v>0</v>
      </c>
      <c r="AI297" s="2" t="n"/>
      <c r="AJ297" s="2" t="inlineStr">
        <is>
          <t>no</t>
        </is>
      </c>
      <c r="AK297" s="2" t="inlineStr">
        <is>
          <t>no</t>
        </is>
      </c>
      <c r="AL297" s="2" t="inlineStr">
        <is>
          <t>no</t>
        </is>
      </c>
      <c r="AM297" s="2" t="n"/>
      <c r="AN297" s="2" t="n"/>
      <c r="AO297" s="2" t="n"/>
      <c r="AP297" s="2" t="inlineStr">
        <is>
          <t>v3_2026-03-19</t>
        </is>
      </c>
      <c r="AQ297">
        <f>(L297-Schema_v5!$C2)/(Schema_v5!$C3-Schema_v5!$C2)</f>
        <v/>
      </c>
      <c r="AR297">
        <f>(M297-Schema_v5!$C4)/(Schema_v5!$C5-Schema_v5!$C4)</f>
        <v/>
      </c>
      <c r="AS297">
        <f>N297/Schema_v5!$C6</f>
        <v/>
      </c>
      <c r="AT297">
        <f>O297/Schema_v5!$C7</f>
        <v/>
      </c>
      <c r="AU297">
        <f>P297/Schema_v5!$C8</f>
        <v/>
      </c>
      <c r="AV297">
        <f>IF(Schema_v5!$C9=0,0,AH297/Schema_v5!$C9)</f>
        <v/>
      </c>
      <c r="AW297">
        <f>IF(Schema_v5!$C10=0,0,AE297/Schema_v5!$C10)</f>
        <v/>
      </c>
      <c r="AX297">
        <f>(W297-Schema_v5!$C11)/(Schema_v5!$C12-Schema_v5!$C11)</f>
        <v/>
      </c>
      <c r="AY297">
        <f>(X297-Schema_v5!$C13)/(Schema_v5!$C14-Schema_v5!$C13)</f>
        <v/>
      </c>
    </row>
    <row r="298" ht="108" customHeight="1" s="10">
      <c r="A298" s="2" t="inlineStr">
        <is>
          <t>Q58_E</t>
        </is>
      </c>
      <c r="B298" s="2" t="n">
        <v>58</v>
      </c>
      <c r="C298" s="2" t="n">
        <v>107</v>
      </c>
      <c r="D298" s="2" t="inlineStr">
        <is>
          <t>Shadow</t>
        </is>
      </c>
      <c r="E298" s="2" t="n">
        <v>1.35</v>
      </c>
      <c r="F298" s="2" t="inlineStr">
        <is>
          <t>ShadowPattern</t>
        </is>
      </c>
      <c r="G298" s="2" t="inlineStr">
        <is>
          <t>IntegrityRisk</t>
        </is>
      </c>
      <c r="H298" s="2" t="n"/>
      <c r="I298" s="2" t="inlineStr">
        <is>
          <t>E</t>
        </is>
      </c>
      <c r="J298" s="2" t="inlineStr">
        <is>
          <t>E</t>
        </is>
      </c>
      <c r="K298" s="2" t="inlineStr">
        <is>
          <t>Remind them of how good I usually am. This one thing shouldn't weigh more than all I've given.</t>
        </is>
      </c>
      <c r="L298" s="2" t="n">
        <v>7</v>
      </c>
      <c r="M298" s="2" t="n"/>
      <c r="N298" s="2" t="n">
        <v>2</v>
      </c>
      <c r="O298" s="2" t="n">
        <v>2</v>
      </c>
      <c r="P298" s="2" t="n">
        <v>2</v>
      </c>
      <c r="Q298" s="2" t="n"/>
      <c r="R298" s="2" t="n"/>
      <c r="S298" s="2" t="inlineStr">
        <is>
          <t>Scorekeeper</t>
        </is>
      </c>
      <c r="T298" s="2" t="n">
        <v>5</v>
      </c>
      <c r="U298" s="2" t="n">
        <v>8</v>
      </c>
      <c r="V298" s="2" t="inlineStr">
        <is>
          <t>masc:0.0;fem:0.0</t>
        </is>
      </c>
      <c r="W298" s="2" t="n">
        <v>0</v>
      </c>
      <c r="X298" s="2" t="n">
        <v>0</v>
      </c>
      <c r="Y298" s="2" t="n"/>
      <c r="Z298" s="2" t="n"/>
      <c r="AA298" s="2" t="n"/>
      <c r="AB298" s="2" t="n"/>
      <c r="AC298" s="2" t="n"/>
      <c r="AD298" s="2" t="n"/>
      <c r="AE298" s="2" t="n">
        <v>0</v>
      </c>
      <c r="AF298" s="2" t="n"/>
      <c r="AG298" s="2" t="n"/>
      <c r="AH298" s="2" t="n">
        <v>0</v>
      </c>
      <c r="AI298" s="2" t="n"/>
      <c r="AJ298" s="2" t="inlineStr">
        <is>
          <t>no</t>
        </is>
      </c>
      <c r="AK298" s="2" t="inlineStr">
        <is>
          <t>no</t>
        </is>
      </c>
      <c r="AL298" s="2" t="inlineStr">
        <is>
          <t>no</t>
        </is>
      </c>
      <c r="AM298" s="2" t="n"/>
      <c r="AN298" s="2" t="n"/>
      <c r="AO298" s="2" t="n"/>
      <c r="AP298" s="2" t="inlineStr">
        <is>
          <t>v3_2026-03-19</t>
        </is>
      </c>
      <c r="AQ298">
        <f>(L298-Schema_v5!$C2)/(Schema_v5!$C3-Schema_v5!$C2)</f>
        <v/>
      </c>
      <c r="AR298">
        <f>(M298-Schema_v5!$C4)/(Schema_v5!$C5-Schema_v5!$C4)</f>
        <v/>
      </c>
      <c r="AS298">
        <f>N298/Schema_v5!$C6</f>
        <v/>
      </c>
      <c r="AT298">
        <f>O298/Schema_v5!$C7</f>
        <v/>
      </c>
      <c r="AU298">
        <f>P298/Schema_v5!$C8</f>
        <v/>
      </c>
      <c r="AV298">
        <f>IF(Schema_v5!$C9=0,0,AH298/Schema_v5!$C9)</f>
        <v/>
      </c>
      <c r="AW298">
        <f>IF(Schema_v5!$C10=0,0,AE298/Schema_v5!$C10)</f>
        <v/>
      </c>
      <c r="AX298">
        <f>(W298-Schema_v5!$C11)/(Schema_v5!$C12-Schema_v5!$C11)</f>
        <v/>
      </c>
      <c r="AY298">
        <f>(X298-Schema_v5!$C13)/(Schema_v5!$C14-Schema_v5!$C13)</f>
        <v/>
      </c>
    </row>
    <row r="299" ht="108" customHeight="1" s="10">
      <c r="A299" s="2" t="inlineStr">
        <is>
          <t>Q58_F</t>
        </is>
      </c>
      <c r="B299" s="2" t="n">
        <v>58</v>
      </c>
      <c r="C299" s="2" t="n">
        <v>107</v>
      </c>
      <c r="D299" s="2" t="inlineStr">
        <is>
          <t>Shadow</t>
        </is>
      </c>
      <c r="E299" s="2" t="n">
        <v>1.35</v>
      </c>
      <c r="F299" s="2" t="inlineStr">
        <is>
          <t>ShadowPattern</t>
        </is>
      </c>
      <c r="G299" s="2" t="inlineStr">
        <is>
          <t>IntegrityRisk</t>
        </is>
      </c>
      <c r="H299" s="2" t="n"/>
      <c r="I299" s="2" t="inlineStr">
        <is>
          <t>F</t>
        </is>
      </c>
      <c r="J299" s="2" t="inlineStr">
        <is>
          <t>F</t>
        </is>
      </c>
      <c r="K299" s="2" t="inlineStr">
        <is>
          <t>Replay it in my head a hundred times, then decide they're better off without me.</t>
        </is>
      </c>
      <c r="L299" s="2" t="n">
        <v>8</v>
      </c>
      <c r="M299" s="2" t="n"/>
      <c r="N299" s="2" t="n">
        <v>2</v>
      </c>
      <c r="O299" s="2" t="n">
        <v>2</v>
      </c>
      <c r="P299" s="2" t="n">
        <v>2</v>
      </c>
      <c r="Q299" s="2" t="n"/>
      <c r="R299" s="2" t="n"/>
      <c r="S299" s="2" t="inlineStr">
        <is>
          <t>Self-Saboteur</t>
        </is>
      </c>
      <c r="T299" s="2" t="n">
        <v>6</v>
      </c>
      <c r="U299" s="2" t="n">
        <v>8</v>
      </c>
      <c r="V299" s="2" t="inlineStr">
        <is>
          <t>masc:0.0;fem:0.0</t>
        </is>
      </c>
      <c r="W299" s="2" t="n">
        <v>0</v>
      </c>
      <c r="X299" s="2" t="n">
        <v>0</v>
      </c>
      <c r="Y299" s="2" t="n"/>
      <c r="Z299" s="2" t="n"/>
      <c r="AA299" s="2" t="n"/>
      <c r="AB299" s="2" t="n"/>
      <c r="AC299" s="2" t="n"/>
      <c r="AD299" s="2" t="n"/>
      <c r="AE299" s="2" t="n">
        <v>0</v>
      </c>
      <c r="AF299" s="2" t="n"/>
      <c r="AG299" s="2" t="n"/>
      <c r="AH299" s="2" t="n">
        <v>0</v>
      </c>
      <c r="AI299" s="2" t="n"/>
      <c r="AJ299" s="2" t="inlineStr">
        <is>
          <t>no</t>
        </is>
      </c>
      <c r="AK299" s="2" t="inlineStr">
        <is>
          <t>no</t>
        </is>
      </c>
      <c r="AL299" s="2" t="inlineStr">
        <is>
          <t>no</t>
        </is>
      </c>
      <c r="AM299" s="2" t="n"/>
      <c r="AN299" s="2" t="n"/>
      <c r="AO299" s="2" t="n"/>
      <c r="AP299" s="2" t="inlineStr">
        <is>
          <t>v3_2026-03-19</t>
        </is>
      </c>
      <c r="AQ299">
        <f>(L299-Schema_v5!$C2)/(Schema_v5!$C3-Schema_v5!$C2)</f>
        <v/>
      </c>
      <c r="AR299">
        <f>(M299-Schema_v5!$C4)/(Schema_v5!$C5-Schema_v5!$C4)</f>
        <v/>
      </c>
      <c r="AS299">
        <f>N299/Schema_v5!$C6</f>
        <v/>
      </c>
      <c r="AT299">
        <f>O299/Schema_v5!$C7</f>
        <v/>
      </c>
      <c r="AU299">
        <f>P299/Schema_v5!$C8</f>
        <v/>
      </c>
      <c r="AV299">
        <f>IF(Schema_v5!$C9=0,0,AH299/Schema_v5!$C9)</f>
        <v/>
      </c>
      <c r="AW299">
        <f>IF(Schema_v5!$C10=0,0,AE299/Schema_v5!$C10)</f>
        <v/>
      </c>
      <c r="AX299">
        <f>(W299-Schema_v5!$C11)/(Schema_v5!$C12-Schema_v5!$C11)</f>
        <v/>
      </c>
      <c r="AY299">
        <f>(X299-Schema_v5!$C13)/(Schema_v5!$C14-Schema_v5!$C13)</f>
        <v/>
      </c>
    </row>
    <row r="300" ht="94.5" customHeight="1" s="10">
      <c r="A300" s="2" t="inlineStr">
        <is>
          <t>Q59_A</t>
        </is>
      </c>
      <c r="B300" s="2" t="n">
        <v>59</v>
      </c>
      <c r="C300" s="2" t="n">
        <v>108</v>
      </c>
      <c r="D300" s="2" t="inlineStr">
        <is>
          <t>Shadow</t>
        </is>
      </c>
      <c r="E300" s="2" t="n">
        <v>1.4</v>
      </c>
      <c r="F300" s="2" t="inlineStr">
        <is>
          <t>ShadowPattern</t>
        </is>
      </c>
      <c r="G300" s="2" t="inlineStr">
        <is>
          <t>IntegrityRisk</t>
        </is>
      </c>
      <c r="H300" s="2" t="inlineStr">
        <is>
          <t>You're in a fight. It's heated, and you feel unseen. What comes out?</t>
        </is>
      </c>
      <c r="I300" s="2" t="inlineStr">
        <is>
          <t>A</t>
        </is>
      </c>
      <c r="J300" s="2" t="inlineStr">
        <is>
          <t>A</t>
        </is>
      </c>
      <c r="K300" s="2" t="inlineStr">
        <is>
          <t>Say something sharp that'll stick with them. They should feel what I feel.</t>
        </is>
      </c>
      <c r="L300" s="2" t="n">
        <v>4</v>
      </c>
      <c r="M300" s="2" t="n"/>
      <c r="N300" s="2" t="n">
        <v>4</v>
      </c>
      <c r="O300" s="2" t="n">
        <v>4</v>
      </c>
      <c r="P300" s="2" t="n">
        <v>4</v>
      </c>
      <c r="Q300" s="2" t="n"/>
      <c r="R300" s="2" t="n"/>
      <c r="S300" s="2" t="inlineStr">
        <is>
          <t>Manipulator</t>
        </is>
      </c>
      <c r="T300" s="2" t="n">
        <v>1</v>
      </c>
      <c r="U300" s="2" t="n">
        <v>6</v>
      </c>
      <c r="V300" s="2" t="inlineStr">
        <is>
          <t>masc:0.0;fem:0.0</t>
        </is>
      </c>
      <c r="W300" s="2" t="n">
        <v>0</v>
      </c>
      <c r="X300" s="2" t="n">
        <v>0</v>
      </c>
      <c r="Y300" s="2" t="n"/>
      <c r="Z300" s="2" t="n"/>
      <c r="AA300" s="2" t="n"/>
      <c r="AB300" s="2" t="n"/>
      <c r="AC300" s="2" t="n"/>
      <c r="AD300" s="2" t="n"/>
      <c r="AE300" s="2" t="n">
        <v>0</v>
      </c>
      <c r="AF300" s="2" t="n"/>
      <c r="AG300" s="2" t="n"/>
      <c r="AH300" s="2" t="n">
        <v>0</v>
      </c>
      <c r="AI300" s="2" t="n"/>
      <c r="AJ300" s="2" t="inlineStr">
        <is>
          <t>yes</t>
        </is>
      </c>
      <c r="AK300" s="2" t="inlineStr">
        <is>
          <t>no</t>
        </is>
      </c>
      <c r="AL300" s="2" t="inlineStr">
        <is>
          <t>no</t>
        </is>
      </c>
      <c r="AM300" s="2" t="n"/>
      <c r="AN300" s="2" t="n"/>
      <c r="AO300" s="2" t="n"/>
      <c r="AP300" s="2" t="inlineStr">
        <is>
          <t>v3_2026-03-19</t>
        </is>
      </c>
      <c r="AQ300">
        <f>(L300-Schema_v5!$C2)/(Schema_v5!$C3-Schema_v5!$C2)</f>
        <v/>
      </c>
      <c r="AR300">
        <f>(M300-Schema_v5!$C4)/(Schema_v5!$C5-Schema_v5!$C4)</f>
        <v/>
      </c>
      <c r="AS300">
        <f>N300/Schema_v5!$C6</f>
        <v/>
      </c>
      <c r="AT300">
        <f>O300/Schema_v5!$C7</f>
        <v/>
      </c>
      <c r="AU300">
        <f>P300/Schema_v5!$C8</f>
        <v/>
      </c>
      <c r="AV300">
        <f>IF(Schema_v5!$C9=0,0,AH300/Schema_v5!$C9)</f>
        <v/>
      </c>
      <c r="AW300">
        <f>IF(Schema_v5!$C10=0,0,AE300/Schema_v5!$C10)</f>
        <v/>
      </c>
      <c r="AX300">
        <f>(W300-Schema_v5!$C11)/(Schema_v5!$C12-Schema_v5!$C11)</f>
        <v/>
      </c>
      <c r="AY300">
        <f>(X300-Schema_v5!$C13)/(Schema_v5!$C14-Schema_v5!$C13)</f>
        <v/>
      </c>
    </row>
    <row r="301" ht="68.25" customHeight="1" s="10">
      <c r="A301" s="2" t="inlineStr">
        <is>
          <t>Q59_B</t>
        </is>
      </c>
      <c r="B301" s="2" t="n">
        <v>59</v>
      </c>
      <c r="C301" s="2" t="n">
        <v>108</v>
      </c>
      <c r="D301" s="2" t="inlineStr">
        <is>
          <t>Shadow</t>
        </is>
      </c>
      <c r="E301" s="2" t="n">
        <v>1.4</v>
      </c>
      <c r="F301" s="2" t="inlineStr">
        <is>
          <t>ShadowPattern</t>
        </is>
      </c>
      <c r="G301" s="2" t="inlineStr">
        <is>
          <t>IntegrityRisk</t>
        </is>
      </c>
      <c r="H301" s="2" t="n"/>
      <c r="I301" s="2" t="inlineStr">
        <is>
          <t>B</t>
        </is>
      </c>
      <c r="J301" s="2" t="inlineStr">
        <is>
          <t>B</t>
        </is>
      </c>
      <c r="K301" s="2" t="inlineStr">
        <is>
          <t>Shut down completely. I won't give them more to twist.</t>
        </is>
      </c>
      <c r="L301" s="2" t="n">
        <v>3</v>
      </c>
      <c r="M301" s="2" t="n"/>
      <c r="N301" s="2" t="n">
        <v>6</v>
      </c>
      <c r="O301" s="2" t="n">
        <v>6</v>
      </c>
      <c r="P301" s="2" t="n">
        <v>6</v>
      </c>
      <c r="Q301" s="2" t="n"/>
      <c r="R301" s="2" t="n"/>
      <c r="S301" s="2" t="inlineStr">
        <is>
          <t>Stonewaller</t>
        </is>
      </c>
      <c r="T301" s="2" t="n">
        <v>2</v>
      </c>
      <c r="U301" s="2" t="n">
        <v>4</v>
      </c>
      <c r="V301" s="2" t="inlineStr">
        <is>
          <t>masc:0.0;fem:0.0</t>
        </is>
      </c>
      <c r="W301" s="2" t="n">
        <v>0</v>
      </c>
      <c r="X301" s="2" t="n">
        <v>0</v>
      </c>
      <c r="Y301" s="2" t="n"/>
      <c r="Z301" s="2" t="n"/>
      <c r="AA301" s="2" t="n"/>
      <c r="AB301" s="2" t="n"/>
      <c r="AC301" s="2" t="n"/>
      <c r="AD301" s="2" t="n"/>
      <c r="AE301" s="2" t="n">
        <v>0</v>
      </c>
      <c r="AF301" s="2" t="n"/>
      <c r="AG301" s="2" t="n"/>
      <c r="AH301" s="2" t="n">
        <v>0</v>
      </c>
      <c r="AI301" s="2" t="n"/>
      <c r="AJ301" s="2" t="inlineStr">
        <is>
          <t>yes</t>
        </is>
      </c>
      <c r="AK301" s="2" t="inlineStr">
        <is>
          <t>no</t>
        </is>
      </c>
      <c r="AL301" s="2" t="inlineStr">
        <is>
          <t>no</t>
        </is>
      </c>
      <c r="AM301" s="2" t="n"/>
      <c r="AN301" s="2" t="n"/>
      <c r="AO301" s="2" t="n"/>
      <c r="AP301" s="2" t="inlineStr">
        <is>
          <t>v3_2026-03-19</t>
        </is>
      </c>
      <c r="AQ301">
        <f>(L301-Schema_v5!$C2)/(Schema_v5!$C3-Schema_v5!$C2)</f>
        <v/>
      </c>
      <c r="AR301">
        <f>(M301-Schema_v5!$C4)/(Schema_v5!$C5-Schema_v5!$C4)</f>
        <v/>
      </c>
      <c r="AS301">
        <f>N301/Schema_v5!$C6</f>
        <v/>
      </c>
      <c r="AT301">
        <f>O301/Schema_v5!$C7</f>
        <v/>
      </c>
      <c r="AU301">
        <f>P301/Schema_v5!$C8</f>
        <v/>
      </c>
      <c r="AV301">
        <f>IF(Schema_v5!$C9=0,0,AH301/Schema_v5!$C9)</f>
        <v/>
      </c>
      <c r="AW301">
        <f>IF(Schema_v5!$C10=0,0,AE301/Schema_v5!$C10)</f>
        <v/>
      </c>
      <c r="AX301">
        <f>(W301-Schema_v5!$C11)/(Schema_v5!$C12-Schema_v5!$C11)</f>
        <v/>
      </c>
      <c r="AY301">
        <f>(X301-Schema_v5!$C13)/(Schema_v5!$C14-Schema_v5!$C13)</f>
        <v/>
      </c>
    </row>
    <row r="302" ht="81" customHeight="1" s="10">
      <c r="A302" s="2" t="inlineStr">
        <is>
          <t>Q59_C</t>
        </is>
      </c>
      <c r="B302" s="2" t="n">
        <v>59</v>
      </c>
      <c r="C302" s="2" t="n">
        <v>108</v>
      </c>
      <c r="D302" s="2" t="inlineStr">
        <is>
          <t>Shadow</t>
        </is>
      </c>
      <c r="E302" s="2" t="n">
        <v>1.4</v>
      </c>
      <c r="F302" s="2" t="inlineStr">
        <is>
          <t>ShadowPattern</t>
        </is>
      </c>
      <c r="G302" s="2" t="inlineStr">
        <is>
          <t>IntegrityRisk</t>
        </is>
      </c>
      <c r="H302" s="2" t="n"/>
      <c r="I302" s="2" t="inlineStr">
        <is>
          <t>C</t>
        </is>
      </c>
      <c r="J302" s="2" t="inlineStr">
        <is>
          <t>C</t>
        </is>
      </c>
      <c r="K302" s="2" t="inlineStr">
        <is>
          <t>Beg, cry, confess everything, I just want them to see me.</t>
        </is>
      </c>
      <c r="L302" s="2" t="n">
        <v>5</v>
      </c>
      <c r="M302" s="2" t="n"/>
      <c r="N302" s="2" t="n">
        <v>4</v>
      </c>
      <c r="O302" s="2" t="n">
        <v>4</v>
      </c>
      <c r="P302" s="2" t="n">
        <v>4</v>
      </c>
      <c r="Q302" s="2" t="n"/>
      <c r="R302" s="2" t="n"/>
      <c r="S302" s="2" t="inlineStr">
        <is>
          <t>Love Bomber</t>
        </is>
      </c>
      <c r="T302" s="2" t="n">
        <v>3</v>
      </c>
      <c r="U302" s="2" t="n">
        <v>6</v>
      </c>
      <c r="V302" s="2" t="inlineStr">
        <is>
          <t>masc:0.0;fem:0.0</t>
        </is>
      </c>
      <c r="W302" s="2" t="n">
        <v>0</v>
      </c>
      <c r="X302" s="2" t="n">
        <v>0</v>
      </c>
      <c r="Y302" s="2" t="n"/>
      <c r="Z302" s="2" t="n"/>
      <c r="AA302" s="2" t="n"/>
      <c r="AB302" s="2" t="n"/>
      <c r="AC302" s="2" t="n"/>
      <c r="AD302" s="2" t="n"/>
      <c r="AE302" s="2" t="n">
        <v>0</v>
      </c>
      <c r="AF302" s="2" t="n"/>
      <c r="AG302" s="2" t="n"/>
      <c r="AH302" s="2" t="n">
        <v>0</v>
      </c>
      <c r="AI302" s="2" t="n"/>
      <c r="AJ302" s="2" t="inlineStr">
        <is>
          <t>no</t>
        </is>
      </c>
      <c r="AK302" s="2" t="inlineStr">
        <is>
          <t>no</t>
        </is>
      </c>
      <c r="AL302" s="2" t="inlineStr">
        <is>
          <t>no</t>
        </is>
      </c>
      <c r="AM302" s="2" t="n"/>
      <c r="AN302" s="2" t="n"/>
      <c r="AO302" s="2" t="n"/>
      <c r="AP302" s="2" t="inlineStr">
        <is>
          <t>v3_2026-03-19</t>
        </is>
      </c>
      <c r="AQ302">
        <f>(L302-Schema_v5!$C2)/(Schema_v5!$C3-Schema_v5!$C2)</f>
        <v/>
      </c>
      <c r="AR302">
        <f>(M302-Schema_v5!$C4)/(Schema_v5!$C5-Schema_v5!$C4)</f>
        <v/>
      </c>
      <c r="AS302">
        <f>N302/Schema_v5!$C6</f>
        <v/>
      </c>
      <c r="AT302">
        <f>O302/Schema_v5!$C7</f>
        <v/>
      </c>
      <c r="AU302">
        <f>P302/Schema_v5!$C8</f>
        <v/>
      </c>
      <c r="AV302">
        <f>IF(Schema_v5!$C9=0,0,AH302/Schema_v5!$C9)</f>
        <v/>
      </c>
      <c r="AW302">
        <f>IF(Schema_v5!$C10=0,0,AE302/Schema_v5!$C10)</f>
        <v/>
      </c>
      <c r="AX302">
        <f>(W302-Schema_v5!$C11)/(Schema_v5!$C12-Schema_v5!$C11)</f>
        <v/>
      </c>
      <c r="AY302">
        <f>(X302-Schema_v5!$C13)/(Schema_v5!$C14-Schema_v5!$C13)</f>
        <v/>
      </c>
    </row>
    <row r="303" ht="94.5" customHeight="1" s="10">
      <c r="A303" s="2" t="inlineStr">
        <is>
          <t>Q59_D</t>
        </is>
      </c>
      <c r="B303" s="2" t="n">
        <v>59</v>
      </c>
      <c r="C303" s="2" t="n">
        <v>108</v>
      </c>
      <c r="D303" s="2" t="inlineStr">
        <is>
          <t>Shadow</t>
        </is>
      </c>
      <c r="E303" s="2" t="n">
        <v>1.4</v>
      </c>
      <c r="F303" s="2" t="inlineStr">
        <is>
          <t>ShadowPattern</t>
        </is>
      </c>
      <c r="G303" s="2" t="inlineStr">
        <is>
          <t>IntegrityRisk</t>
        </is>
      </c>
      <c r="H303" s="2" t="n"/>
      <c r="I303" s="2" t="inlineStr">
        <is>
          <t>D</t>
        </is>
      </c>
      <c r="J303" s="2" t="inlineStr">
        <is>
          <t>D</t>
        </is>
      </c>
      <c r="K303" s="2" t="inlineStr">
        <is>
          <t>Switch tones, change energy, find a way to make it stop, without fixing it.</t>
        </is>
      </c>
      <c r="L303" s="2" t="n">
        <v>6</v>
      </c>
      <c r="M303" s="2" t="n"/>
      <c r="N303" s="2" t="n">
        <v>4</v>
      </c>
      <c r="O303" s="2" t="n">
        <v>4</v>
      </c>
      <c r="P303" s="2" t="n">
        <v>4</v>
      </c>
      <c r="Q303" s="2" t="n"/>
      <c r="R303" s="2" t="n"/>
      <c r="S303" s="2" t="inlineStr">
        <is>
          <t>Chameleon</t>
        </is>
      </c>
      <c r="T303" s="2" t="n">
        <v>4</v>
      </c>
      <c r="U303" s="2" t="n">
        <v>6</v>
      </c>
      <c r="V303" s="2" t="inlineStr">
        <is>
          <t>masc:0.0;fem:0.0</t>
        </is>
      </c>
      <c r="W303" s="2" t="n">
        <v>0</v>
      </c>
      <c r="X303" s="2" t="n">
        <v>0</v>
      </c>
      <c r="Y303" s="2" t="n"/>
      <c r="Z303" s="2" t="n"/>
      <c r="AA303" s="2" t="n"/>
      <c r="AB303" s="2" t="n"/>
      <c r="AC303" s="2" t="n"/>
      <c r="AD303" s="2" t="n"/>
      <c r="AE303" s="2" t="n">
        <v>0</v>
      </c>
      <c r="AF303" s="2" t="n"/>
      <c r="AG303" s="2" t="n"/>
      <c r="AH303" s="2" t="n">
        <v>0</v>
      </c>
      <c r="AI303" s="2" t="n"/>
      <c r="AJ303" s="2" t="inlineStr">
        <is>
          <t>no</t>
        </is>
      </c>
      <c r="AK303" s="2" t="inlineStr">
        <is>
          <t>no</t>
        </is>
      </c>
      <c r="AL303" s="2" t="inlineStr">
        <is>
          <t>no</t>
        </is>
      </c>
      <c r="AM303" s="2" t="n"/>
      <c r="AN303" s="2" t="n"/>
      <c r="AO303" s="2" t="n"/>
      <c r="AP303" s="2" t="inlineStr">
        <is>
          <t>v3_2026-03-19</t>
        </is>
      </c>
      <c r="AQ303">
        <f>(L303-Schema_v5!$C2)/(Schema_v5!$C3-Schema_v5!$C2)</f>
        <v/>
      </c>
      <c r="AR303">
        <f>(M303-Schema_v5!$C4)/(Schema_v5!$C5-Schema_v5!$C4)</f>
        <v/>
      </c>
      <c r="AS303">
        <f>N303/Schema_v5!$C6</f>
        <v/>
      </c>
      <c r="AT303">
        <f>O303/Schema_v5!$C7</f>
        <v/>
      </c>
      <c r="AU303">
        <f>P303/Schema_v5!$C8</f>
        <v/>
      </c>
      <c r="AV303">
        <f>IF(Schema_v5!$C9=0,0,AH303/Schema_v5!$C9)</f>
        <v/>
      </c>
      <c r="AW303">
        <f>IF(Schema_v5!$C10=0,0,AE303/Schema_v5!$C10)</f>
        <v/>
      </c>
      <c r="AX303">
        <f>(W303-Schema_v5!$C11)/(Schema_v5!$C12-Schema_v5!$C11)</f>
        <v/>
      </c>
      <c r="AY303">
        <f>(X303-Schema_v5!$C13)/(Schema_v5!$C14-Schema_v5!$C13)</f>
        <v/>
      </c>
    </row>
    <row r="304" ht="81" customHeight="1" s="10">
      <c r="A304" s="2" t="inlineStr">
        <is>
          <t>Q59_E</t>
        </is>
      </c>
      <c r="B304" s="2" t="n">
        <v>59</v>
      </c>
      <c r="C304" s="2" t="n">
        <v>108</v>
      </c>
      <c r="D304" s="2" t="inlineStr">
        <is>
          <t>Shadow</t>
        </is>
      </c>
      <c r="E304" s="2" t="n">
        <v>1.4</v>
      </c>
      <c r="F304" s="2" t="inlineStr">
        <is>
          <t>ShadowPattern</t>
        </is>
      </c>
      <c r="G304" s="2" t="inlineStr">
        <is>
          <t>IntegrityRisk</t>
        </is>
      </c>
      <c r="H304" s="2" t="n"/>
      <c r="I304" s="2" t="inlineStr">
        <is>
          <t>E</t>
        </is>
      </c>
      <c r="J304" s="2" t="inlineStr">
        <is>
          <t>E</t>
        </is>
      </c>
      <c r="K304" s="2" t="inlineStr">
        <is>
          <t>Bring up all the other times they've done this. It's never just about now.</t>
        </is>
      </c>
      <c r="L304" s="2" t="n">
        <v>7</v>
      </c>
      <c r="M304" s="2" t="n"/>
      <c r="N304" s="2" t="n">
        <v>2</v>
      </c>
      <c r="O304" s="2" t="n">
        <v>2</v>
      </c>
      <c r="P304" s="2" t="n">
        <v>2</v>
      </c>
      <c r="Q304" s="2" t="n"/>
      <c r="R304" s="2" t="n"/>
      <c r="S304" s="2" t="inlineStr">
        <is>
          <t>Scorekeeper</t>
        </is>
      </c>
      <c r="T304" s="2" t="n">
        <v>5</v>
      </c>
      <c r="U304" s="2" t="n">
        <v>8</v>
      </c>
      <c r="V304" s="2" t="inlineStr">
        <is>
          <t>masc:0.0;fem:0.0</t>
        </is>
      </c>
      <c r="W304" s="2" t="n">
        <v>0</v>
      </c>
      <c r="X304" s="2" t="n">
        <v>0</v>
      </c>
      <c r="Y304" s="2" t="n"/>
      <c r="Z304" s="2" t="n"/>
      <c r="AA304" s="2" t="n"/>
      <c r="AB304" s="2" t="n"/>
      <c r="AC304" s="2" t="n"/>
      <c r="AD304" s="2" t="n"/>
      <c r="AE304" s="2" t="n">
        <v>0</v>
      </c>
      <c r="AF304" s="2" t="n"/>
      <c r="AG304" s="2" t="n"/>
      <c r="AH304" s="2" t="n">
        <v>0</v>
      </c>
      <c r="AI304" s="2" t="n"/>
      <c r="AJ304" s="2" t="inlineStr">
        <is>
          <t>no</t>
        </is>
      </c>
      <c r="AK304" s="2" t="inlineStr">
        <is>
          <t>no</t>
        </is>
      </c>
      <c r="AL304" s="2" t="inlineStr">
        <is>
          <t>no</t>
        </is>
      </c>
      <c r="AM304" s="2" t="n"/>
      <c r="AN304" s="2" t="n"/>
      <c r="AO304" s="2" t="n"/>
      <c r="AP304" s="2" t="inlineStr">
        <is>
          <t>v3_2026-03-19</t>
        </is>
      </c>
      <c r="AQ304">
        <f>(L304-Schema_v5!$C2)/(Schema_v5!$C3-Schema_v5!$C2)</f>
        <v/>
      </c>
      <c r="AR304">
        <f>(M304-Schema_v5!$C4)/(Schema_v5!$C5-Schema_v5!$C4)</f>
        <v/>
      </c>
      <c r="AS304">
        <f>N304/Schema_v5!$C6</f>
        <v/>
      </c>
      <c r="AT304">
        <f>O304/Schema_v5!$C7</f>
        <v/>
      </c>
      <c r="AU304">
        <f>P304/Schema_v5!$C8</f>
        <v/>
      </c>
      <c r="AV304">
        <f>IF(Schema_v5!$C9=0,0,AH304/Schema_v5!$C9)</f>
        <v/>
      </c>
      <c r="AW304">
        <f>IF(Schema_v5!$C10=0,0,AE304/Schema_v5!$C10)</f>
        <v/>
      </c>
      <c r="AX304">
        <f>(W304-Schema_v5!$C11)/(Schema_v5!$C12-Schema_v5!$C11)</f>
        <v/>
      </c>
      <c r="AY304">
        <f>(X304-Schema_v5!$C13)/(Schema_v5!$C14-Schema_v5!$C13)</f>
        <v/>
      </c>
    </row>
    <row r="305" ht="68.25" customHeight="1" s="10">
      <c r="A305" s="2" t="inlineStr">
        <is>
          <t>Q59_F</t>
        </is>
      </c>
      <c r="B305" s="2" t="n">
        <v>59</v>
      </c>
      <c r="C305" s="2" t="n">
        <v>108</v>
      </c>
      <c r="D305" s="2" t="inlineStr">
        <is>
          <t>Shadow</t>
        </is>
      </c>
      <c r="E305" s="2" t="n">
        <v>1.4</v>
      </c>
      <c r="F305" s="2" t="inlineStr">
        <is>
          <t>ShadowPattern</t>
        </is>
      </c>
      <c r="G305" s="2" t="inlineStr">
        <is>
          <t>IntegrityRisk</t>
        </is>
      </c>
      <c r="H305" s="2" t="n"/>
      <c r="I305" s="2" t="inlineStr">
        <is>
          <t>F</t>
        </is>
      </c>
      <c r="J305" s="2" t="inlineStr">
        <is>
          <t>F</t>
        </is>
      </c>
      <c r="K305" s="2" t="inlineStr">
        <is>
          <t>Tell myself I was wrong for speaking up in the first place.</t>
        </is>
      </c>
      <c r="L305" s="2" t="n">
        <v>8</v>
      </c>
      <c r="M305" s="2" t="n"/>
      <c r="N305" s="2" t="n">
        <v>2</v>
      </c>
      <c r="O305" s="2" t="n">
        <v>2</v>
      </c>
      <c r="P305" s="2" t="n">
        <v>2</v>
      </c>
      <c r="Q305" s="2" t="n"/>
      <c r="R305" s="2" t="n"/>
      <c r="S305" s="2" t="inlineStr">
        <is>
          <t>Self-Saboteur</t>
        </is>
      </c>
      <c r="T305" s="2" t="n">
        <v>6</v>
      </c>
      <c r="U305" s="2" t="n">
        <v>8</v>
      </c>
      <c r="V305" s="2" t="inlineStr">
        <is>
          <t>masc:0.0;fem:0.0</t>
        </is>
      </c>
      <c r="W305" s="2" t="n">
        <v>0</v>
      </c>
      <c r="X305" s="2" t="n">
        <v>0</v>
      </c>
      <c r="Y305" s="2" t="n"/>
      <c r="Z305" s="2" t="n"/>
      <c r="AA305" s="2" t="n"/>
      <c r="AB305" s="2" t="n"/>
      <c r="AC305" s="2" t="n"/>
      <c r="AD305" s="2" t="n"/>
      <c r="AE305" s="2" t="n">
        <v>0</v>
      </c>
      <c r="AF305" s="2" t="n"/>
      <c r="AG305" s="2" t="n"/>
      <c r="AH305" s="2" t="n">
        <v>0</v>
      </c>
      <c r="AI305" s="2" t="n"/>
      <c r="AJ305" s="2" t="inlineStr">
        <is>
          <t>no</t>
        </is>
      </c>
      <c r="AK305" s="2" t="inlineStr">
        <is>
          <t>no</t>
        </is>
      </c>
      <c r="AL305" s="2" t="inlineStr">
        <is>
          <t>no</t>
        </is>
      </c>
      <c r="AM305" s="2" t="n"/>
      <c r="AN305" s="2" t="n"/>
      <c r="AO305" s="2" t="n"/>
      <c r="AP305" s="2" t="inlineStr">
        <is>
          <t>v3_2026-03-19</t>
        </is>
      </c>
      <c r="AQ305">
        <f>(L305-Schema_v5!$C2)/(Schema_v5!$C3-Schema_v5!$C2)</f>
        <v/>
      </c>
      <c r="AR305">
        <f>(M305-Schema_v5!$C4)/(Schema_v5!$C5-Schema_v5!$C4)</f>
        <v/>
      </c>
      <c r="AS305">
        <f>N305/Schema_v5!$C6</f>
        <v/>
      </c>
      <c r="AT305">
        <f>O305/Schema_v5!$C7</f>
        <v/>
      </c>
      <c r="AU305">
        <f>P305/Schema_v5!$C8</f>
        <v/>
      </c>
      <c r="AV305">
        <f>IF(Schema_v5!$C9=0,0,AH305/Schema_v5!$C9)</f>
        <v/>
      </c>
      <c r="AW305">
        <f>IF(Schema_v5!$C10=0,0,AE305/Schema_v5!$C10)</f>
        <v/>
      </c>
      <c r="AX305">
        <f>(W305-Schema_v5!$C11)/(Schema_v5!$C12-Schema_v5!$C11)</f>
        <v/>
      </c>
      <c r="AY305">
        <f>(X305-Schema_v5!$C13)/(Schema_v5!$C14-Schema_v5!$C13)</f>
        <v/>
      </c>
    </row>
    <row r="306" ht="108" customHeight="1" s="10">
      <c r="A306" s="2" t="inlineStr">
        <is>
          <t>Q60_A</t>
        </is>
      </c>
      <c r="B306" s="2" t="n">
        <v>60</v>
      </c>
      <c r="C306" s="2" t="n">
        <v>109</v>
      </c>
      <c r="D306" s="2" t="inlineStr">
        <is>
          <t>Shadow</t>
        </is>
      </c>
      <c r="E306" s="2" t="n">
        <v>1.4</v>
      </c>
      <c r="F306" s="2" t="inlineStr">
        <is>
          <t>ShadowPattern</t>
        </is>
      </c>
      <c r="G306" s="2" t="inlineStr">
        <is>
          <t>IntegrityRisk</t>
        </is>
      </c>
      <c r="H306" s="2" t="inlineStr">
        <is>
          <t>You feel something deeply but aren't sure if they'll understand. What do you do?</t>
        </is>
      </c>
      <c r="I306" s="2" t="inlineStr">
        <is>
          <t>A</t>
        </is>
      </c>
      <c r="J306" s="2" t="inlineStr">
        <is>
          <t>A</t>
        </is>
      </c>
      <c r="K306" s="2" t="inlineStr">
        <is>
          <t>Say it in a way that makes them feel guilty if they don't respond how I want.</t>
        </is>
      </c>
      <c r="L306" s="2" t="n">
        <v>4</v>
      </c>
      <c r="M306" s="2" t="n"/>
      <c r="N306" s="2" t="n">
        <v>4</v>
      </c>
      <c r="O306" s="2" t="n">
        <v>4</v>
      </c>
      <c r="P306" s="2" t="n">
        <v>4</v>
      </c>
      <c r="Q306" s="2" t="n"/>
      <c r="R306" s="2" t="n"/>
      <c r="S306" s="2" t="inlineStr">
        <is>
          <t>Manipulator</t>
        </is>
      </c>
      <c r="T306" s="2" t="n">
        <v>1</v>
      </c>
      <c r="U306" s="2" t="n">
        <v>6</v>
      </c>
      <c r="V306" s="2" t="inlineStr">
        <is>
          <t>masc:0.0;fem:0.0</t>
        </is>
      </c>
      <c r="W306" s="2" t="n">
        <v>0</v>
      </c>
      <c r="X306" s="2" t="n">
        <v>0</v>
      </c>
      <c r="Y306" s="2" t="n"/>
      <c r="Z306" s="2" t="n"/>
      <c r="AA306" s="2" t="n"/>
      <c r="AB306" s="2" t="n"/>
      <c r="AC306" s="2" t="n"/>
      <c r="AD306" s="2" t="n"/>
      <c r="AE306" s="2" t="n">
        <v>0</v>
      </c>
      <c r="AF306" s="2" t="n"/>
      <c r="AG306" s="2" t="n"/>
      <c r="AH306" s="2" t="n">
        <v>0.6</v>
      </c>
      <c r="AI306" s="2" t="n"/>
      <c r="AJ306" s="2" t="inlineStr">
        <is>
          <t>yes</t>
        </is>
      </c>
      <c r="AK306" s="2" t="inlineStr">
        <is>
          <t>no</t>
        </is>
      </c>
      <c r="AL306" s="2" t="inlineStr">
        <is>
          <t>no</t>
        </is>
      </c>
      <c r="AM306" s="2" t="n"/>
      <c r="AN306" s="2" t="n"/>
      <c r="AO306" s="2" t="n"/>
      <c r="AP306" s="2" t="inlineStr">
        <is>
          <t>v3_2026-03-19</t>
        </is>
      </c>
      <c r="AQ306">
        <f>(L306-Schema_v5!$C2)/(Schema_v5!$C3-Schema_v5!$C2)</f>
        <v/>
      </c>
      <c r="AR306">
        <f>(M306-Schema_v5!$C4)/(Schema_v5!$C5-Schema_v5!$C4)</f>
        <v/>
      </c>
      <c r="AS306">
        <f>N306/Schema_v5!$C6</f>
        <v/>
      </c>
      <c r="AT306">
        <f>O306/Schema_v5!$C7</f>
        <v/>
      </c>
      <c r="AU306">
        <f>P306/Schema_v5!$C8</f>
        <v/>
      </c>
      <c r="AV306">
        <f>IF(Schema_v5!$C9=0,0,AH306/Schema_v5!$C9)</f>
        <v/>
      </c>
      <c r="AW306">
        <f>IF(Schema_v5!$C10=0,0,AE306/Schema_v5!$C10)</f>
        <v/>
      </c>
      <c r="AX306">
        <f>(W306-Schema_v5!$C11)/(Schema_v5!$C12-Schema_v5!$C11)</f>
        <v/>
      </c>
      <c r="AY306">
        <f>(X306-Schema_v5!$C13)/(Schema_v5!$C14-Schema_v5!$C13)</f>
        <v/>
      </c>
    </row>
    <row r="307" ht="81" customHeight="1" s="10">
      <c r="A307" s="2" t="inlineStr">
        <is>
          <t>Q60_B</t>
        </is>
      </c>
      <c r="B307" s="2" t="n">
        <v>60</v>
      </c>
      <c r="C307" s="2" t="n">
        <v>109</v>
      </c>
      <c r="D307" s="2" t="inlineStr">
        <is>
          <t>Shadow</t>
        </is>
      </c>
      <c r="E307" s="2" t="n">
        <v>1.4</v>
      </c>
      <c r="F307" s="2" t="inlineStr">
        <is>
          <t>ShadowPattern</t>
        </is>
      </c>
      <c r="G307" s="2" t="inlineStr">
        <is>
          <t>IntegrityRisk</t>
        </is>
      </c>
      <c r="H307" s="2" t="n"/>
      <c r="I307" s="2" t="inlineStr">
        <is>
          <t>B</t>
        </is>
      </c>
      <c r="J307" s="2" t="inlineStr">
        <is>
          <t>B</t>
        </is>
      </c>
      <c r="K307" s="2" t="inlineStr">
        <is>
          <t>Keep it in. If I say it and it's not received right, I'll never say it again</t>
        </is>
      </c>
      <c r="L307" s="2" t="n">
        <v>3</v>
      </c>
      <c r="M307" s="2" t="n"/>
      <c r="N307" s="2" t="n">
        <v>6</v>
      </c>
      <c r="O307" s="2" t="n">
        <v>6</v>
      </c>
      <c r="P307" s="2" t="n">
        <v>6</v>
      </c>
      <c r="Q307" s="2" t="n"/>
      <c r="R307" s="2" t="n"/>
      <c r="S307" s="2" t="inlineStr">
        <is>
          <t>Stonewaller</t>
        </is>
      </c>
      <c r="T307" s="2" t="n">
        <v>2</v>
      </c>
      <c r="U307" s="2" t="n">
        <v>4</v>
      </c>
      <c r="V307" s="2" t="inlineStr">
        <is>
          <t>masc:0.0;fem:0.0</t>
        </is>
      </c>
      <c r="W307" s="2" t="n">
        <v>0</v>
      </c>
      <c r="X307" s="2" t="n">
        <v>0</v>
      </c>
      <c r="Y307" s="2" t="n"/>
      <c r="Z307" s="2" t="n"/>
      <c r="AA307" s="2" t="n"/>
      <c r="AB307" s="2" t="n"/>
      <c r="AC307" s="2" t="n"/>
      <c r="AD307" s="2" t="n"/>
      <c r="AE307" s="2" t="n">
        <v>0</v>
      </c>
      <c r="AF307" s="2" t="n"/>
      <c r="AG307" s="2" t="n"/>
      <c r="AH307" s="2" t="n">
        <v>0</v>
      </c>
      <c r="AI307" s="2" t="n"/>
      <c r="AJ307" s="2" t="inlineStr">
        <is>
          <t>yes</t>
        </is>
      </c>
      <c r="AK307" s="2" t="inlineStr">
        <is>
          <t>no</t>
        </is>
      </c>
      <c r="AL307" s="2" t="inlineStr">
        <is>
          <t>no</t>
        </is>
      </c>
      <c r="AM307" s="2" t="n"/>
      <c r="AN307" s="2" t="n"/>
      <c r="AO307" s="2" t="n"/>
      <c r="AP307" s="2" t="inlineStr">
        <is>
          <t>v3_2026-03-19</t>
        </is>
      </c>
      <c r="AQ307">
        <f>(L307-Schema_v5!$C2)/(Schema_v5!$C3-Schema_v5!$C2)</f>
        <v/>
      </c>
      <c r="AR307">
        <f>(M307-Schema_v5!$C4)/(Schema_v5!$C5-Schema_v5!$C4)</f>
        <v/>
      </c>
      <c r="AS307">
        <f>N307/Schema_v5!$C6</f>
        <v/>
      </c>
      <c r="AT307">
        <f>O307/Schema_v5!$C7</f>
        <v/>
      </c>
      <c r="AU307">
        <f>P307/Schema_v5!$C8</f>
        <v/>
      </c>
      <c r="AV307">
        <f>IF(Schema_v5!$C9=0,0,AH307/Schema_v5!$C9)</f>
        <v/>
      </c>
      <c r="AW307">
        <f>IF(Schema_v5!$C10=0,0,AE307/Schema_v5!$C10)</f>
        <v/>
      </c>
      <c r="AX307">
        <f>(W307-Schema_v5!$C11)/(Schema_v5!$C12-Schema_v5!$C11)</f>
        <v/>
      </c>
      <c r="AY307">
        <f>(X307-Schema_v5!$C13)/(Schema_v5!$C14-Schema_v5!$C13)</f>
        <v/>
      </c>
    </row>
    <row r="308" ht="94.5" customHeight="1" s="10">
      <c r="A308" s="2" t="inlineStr">
        <is>
          <t>Q60_C</t>
        </is>
      </c>
      <c r="B308" s="2" t="n">
        <v>60</v>
      </c>
      <c r="C308" s="2" t="n">
        <v>109</v>
      </c>
      <c r="D308" s="2" t="inlineStr">
        <is>
          <t>Shadow</t>
        </is>
      </c>
      <c r="E308" s="2" t="n">
        <v>1.4</v>
      </c>
      <c r="F308" s="2" t="inlineStr">
        <is>
          <t>ShadowPattern</t>
        </is>
      </c>
      <c r="G308" s="2" t="inlineStr">
        <is>
          <t>IntegrityRisk</t>
        </is>
      </c>
      <c r="H308" s="2" t="n"/>
      <c r="I308" s="2" t="inlineStr">
        <is>
          <t>C</t>
        </is>
      </c>
      <c r="J308" s="2" t="inlineStr">
        <is>
          <t>C</t>
        </is>
      </c>
      <c r="K308" s="2" t="inlineStr">
        <is>
          <t>Say it big and fast, love, dreams, everything. I want it all out there before I lose my nerve</t>
        </is>
      </c>
      <c r="L308" s="2" t="n">
        <v>5</v>
      </c>
      <c r="M308" s="2" t="n"/>
      <c r="N308" s="2" t="n">
        <v>4</v>
      </c>
      <c r="O308" s="2" t="n">
        <v>4</v>
      </c>
      <c r="P308" s="2" t="n">
        <v>4</v>
      </c>
      <c r="Q308" s="2" t="n"/>
      <c r="R308" s="2" t="n"/>
      <c r="S308" s="2" t="inlineStr">
        <is>
          <t>Love Bomber</t>
        </is>
      </c>
      <c r="T308" s="2" t="n">
        <v>3</v>
      </c>
      <c r="U308" s="2" t="n">
        <v>6</v>
      </c>
      <c r="V308" s="2" t="inlineStr">
        <is>
          <t>masc:0.0;fem:0.0</t>
        </is>
      </c>
      <c r="W308" s="2" t="n">
        <v>0</v>
      </c>
      <c r="X308" s="2" t="n">
        <v>0</v>
      </c>
      <c r="Y308" s="2" t="n"/>
      <c r="Z308" s="2" t="n"/>
      <c r="AA308" s="2" t="n"/>
      <c r="AB308" s="2" t="n"/>
      <c r="AC308" s="2" t="n"/>
      <c r="AD308" s="2" t="n"/>
      <c r="AE308" s="2" t="n">
        <v>0</v>
      </c>
      <c r="AF308" s="2" t="n"/>
      <c r="AG308" s="2" t="n"/>
      <c r="AH308" s="2" t="n">
        <v>0</v>
      </c>
      <c r="AI308" s="2" t="n"/>
      <c r="AJ308" s="2" t="inlineStr">
        <is>
          <t>no</t>
        </is>
      </c>
      <c r="AK308" s="2" t="inlineStr">
        <is>
          <t>no</t>
        </is>
      </c>
      <c r="AL308" s="2" t="inlineStr">
        <is>
          <t>no</t>
        </is>
      </c>
      <c r="AM308" s="2" t="n"/>
      <c r="AN308" s="2" t="n"/>
      <c r="AO308" s="2" t="n"/>
      <c r="AP308" s="2" t="inlineStr">
        <is>
          <t>v3_2026-03-19</t>
        </is>
      </c>
      <c r="AQ308">
        <f>(L308-Schema_v5!$C2)/(Schema_v5!$C3-Schema_v5!$C2)</f>
        <v/>
      </c>
      <c r="AR308">
        <f>(M308-Schema_v5!$C4)/(Schema_v5!$C5-Schema_v5!$C4)</f>
        <v/>
      </c>
      <c r="AS308">
        <f>N308/Schema_v5!$C6</f>
        <v/>
      </c>
      <c r="AT308">
        <f>O308/Schema_v5!$C7</f>
        <v/>
      </c>
      <c r="AU308">
        <f>P308/Schema_v5!$C8</f>
        <v/>
      </c>
      <c r="AV308">
        <f>IF(Schema_v5!$C9=0,0,AH308/Schema_v5!$C9)</f>
        <v/>
      </c>
      <c r="AW308">
        <f>IF(Schema_v5!$C10=0,0,AE308/Schema_v5!$C10)</f>
        <v/>
      </c>
      <c r="AX308">
        <f>(W308-Schema_v5!$C11)/(Schema_v5!$C12-Schema_v5!$C11)</f>
        <v/>
      </c>
      <c r="AY308">
        <f>(X308-Schema_v5!$C13)/(Schema_v5!$C14-Schema_v5!$C13)</f>
        <v/>
      </c>
    </row>
    <row r="309" ht="94.5" customHeight="1" s="10">
      <c r="A309" s="2" t="inlineStr">
        <is>
          <t>Q60_D</t>
        </is>
      </c>
      <c r="B309" s="2" t="n">
        <v>60</v>
      </c>
      <c r="C309" s="2" t="n">
        <v>109</v>
      </c>
      <c r="D309" s="2" t="inlineStr">
        <is>
          <t>Shadow</t>
        </is>
      </c>
      <c r="E309" s="2" t="n">
        <v>1.4</v>
      </c>
      <c r="F309" s="2" t="inlineStr">
        <is>
          <t>ShadowPattern</t>
        </is>
      </c>
      <c r="G309" s="2" t="inlineStr">
        <is>
          <t>IntegrityRisk</t>
        </is>
      </c>
      <c r="H309" s="2" t="n"/>
      <c r="I309" s="2" t="inlineStr">
        <is>
          <t>D</t>
        </is>
      </c>
      <c r="J309" s="2" t="inlineStr">
        <is>
          <t>D</t>
        </is>
      </c>
      <c r="K309" s="2" t="inlineStr">
        <is>
          <t>Shift tone, play it off, hint at it. If they're paying attention, they'll get it.</t>
        </is>
      </c>
      <c r="L309" s="2" t="n">
        <v>6</v>
      </c>
      <c r="M309" s="2" t="n"/>
      <c r="N309" s="2" t="n">
        <v>4</v>
      </c>
      <c r="O309" s="2" t="n">
        <v>4</v>
      </c>
      <c r="P309" s="2" t="n">
        <v>4</v>
      </c>
      <c r="Q309" s="2" t="n"/>
      <c r="R309" s="2" t="n"/>
      <c r="S309" s="2" t="inlineStr">
        <is>
          <t>Chameleon</t>
        </is>
      </c>
      <c r="T309" s="2" t="n">
        <v>4</v>
      </c>
      <c r="U309" s="2" t="n">
        <v>6</v>
      </c>
      <c r="V309" s="2" t="inlineStr">
        <is>
          <t>masc:0.0;fem:0.0</t>
        </is>
      </c>
      <c r="W309" s="2" t="n">
        <v>0</v>
      </c>
      <c r="X309" s="2" t="n">
        <v>0</v>
      </c>
      <c r="Y309" s="2" t="n"/>
      <c r="Z309" s="2" t="n"/>
      <c r="AA309" s="2" t="n"/>
      <c r="AB309" s="2" t="n"/>
      <c r="AC309" s="2" t="n"/>
      <c r="AD309" s="2" t="n"/>
      <c r="AE309" s="2" t="n">
        <v>0</v>
      </c>
      <c r="AF309" s="2" t="n"/>
      <c r="AG309" s="2" t="n"/>
      <c r="AH309" s="2" t="n">
        <v>0</v>
      </c>
      <c r="AI309" s="2" t="n"/>
      <c r="AJ309" s="2" t="inlineStr">
        <is>
          <t>no</t>
        </is>
      </c>
      <c r="AK309" s="2" t="inlineStr">
        <is>
          <t>no</t>
        </is>
      </c>
      <c r="AL309" s="2" t="inlineStr">
        <is>
          <t>no</t>
        </is>
      </c>
      <c r="AM309" s="2" t="n"/>
      <c r="AN309" s="2" t="n"/>
      <c r="AO309" s="2" t="n"/>
      <c r="AP309" s="2" t="inlineStr">
        <is>
          <t>v3_2026-03-19</t>
        </is>
      </c>
      <c r="AQ309">
        <f>(L309-Schema_v5!$C2)/(Schema_v5!$C3-Schema_v5!$C2)</f>
        <v/>
      </c>
      <c r="AR309">
        <f>(M309-Schema_v5!$C4)/(Schema_v5!$C5-Schema_v5!$C4)</f>
        <v/>
      </c>
      <c r="AS309">
        <f>N309/Schema_v5!$C6</f>
        <v/>
      </c>
      <c r="AT309">
        <f>O309/Schema_v5!$C7</f>
        <v/>
      </c>
      <c r="AU309">
        <f>P309/Schema_v5!$C8</f>
        <v/>
      </c>
      <c r="AV309">
        <f>IF(Schema_v5!$C9=0,0,AH309/Schema_v5!$C9)</f>
        <v/>
      </c>
      <c r="AW309">
        <f>IF(Schema_v5!$C10=0,0,AE309/Schema_v5!$C10)</f>
        <v/>
      </c>
      <c r="AX309">
        <f>(W309-Schema_v5!$C11)/(Schema_v5!$C12-Schema_v5!$C11)</f>
        <v/>
      </c>
      <c r="AY309">
        <f>(X309-Schema_v5!$C13)/(Schema_v5!$C14-Schema_v5!$C13)</f>
        <v/>
      </c>
    </row>
    <row r="310" ht="108" customHeight="1" s="10">
      <c r="A310" s="2" t="inlineStr">
        <is>
          <t>Q60_E</t>
        </is>
      </c>
      <c r="B310" s="2" t="n">
        <v>60</v>
      </c>
      <c r="C310" s="2" t="n">
        <v>109</v>
      </c>
      <c r="D310" s="2" t="inlineStr">
        <is>
          <t>Shadow</t>
        </is>
      </c>
      <c r="E310" s="2" t="n">
        <v>1.4</v>
      </c>
      <c r="F310" s="2" t="inlineStr">
        <is>
          <t>ShadowPattern</t>
        </is>
      </c>
      <c r="G310" s="2" t="inlineStr">
        <is>
          <t>IntegrityRisk</t>
        </is>
      </c>
      <c r="H310" s="2" t="n"/>
      <c r="I310" s="2" t="inlineStr">
        <is>
          <t>E</t>
        </is>
      </c>
      <c r="J310" s="2" t="inlineStr">
        <is>
          <t>E</t>
        </is>
      </c>
      <c r="K310" s="2" t="inlineStr">
        <is>
          <t>Test them. I'll bring up something emotional they did and watch how they handle it.</t>
        </is>
      </c>
      <c r="L310" s="2" t="n">
        <v>7</v>
      </c>
      <c r="M310" s="2" t="n"/>
      <c r="N310" s="2" t="n">
        <v>2</v>
      </c>
      <c r="O310" s="2" t="n">
        <v>2</v>
      </c>
      <c r="P310" s="2" t="n">
        <v>2</v>
      </c>
      <c r="Q310" s="2" t="n"/>
      <c r="R310" s="2" t="n"/>
      <c r="S310" s="2" t="inlineStr">
        <is>
          <t>Scorekeeper</t>
        </is>
      </c>
      <c r="T310" s="2" t="n">
        <v>5</v>
      </c>
      <c r="U310" s="2" t="n">
        <v>8</v>
      </c>
      <c r="V310" s="2" t="inlineStr">
        <is>
          <t>masc:0.0;fem:0.0</t>
        </is>
      </c>
      <c r="W310" s="2" t="n">
        <v>0</v>
      </c>
      <c r="X310" s="2" t="n">
        <v>0</v>
      </c>
      <c r="Y310" s="2" t="n"/>
      <c r="Z310" s="2" t="n"/>
      <c r="AA310" s="2" t="n"/>
      <c r="AB310" s="2" t="n"/>
      <c r="AC310" s="2" t="n"/>
      <c r="AD310" s="2" t="n"/>
      <c r="AE310" s="2" t="n">
        <v>0</v>
      </c>
      <c r="AF310" s="2" t="n"/>
      <c r="AG310" s="2" t="n"/>
      <c r="AH310" s="2" t="n">
        <v>0.6</v>
      </c>
      <c r="AI310" s="2" t="n"/>
      <c r="AJ310" s="2" t="inlineStr">
        <is>
          <t>no</t>
        </is>
      </c>
      <c r="AK310" s="2" t="inlineStr">
        <is>
          <t>no</t>
        </is>
      </c>
      <c r="AL310" s="2" t="inlineStr">
        <is>
          <t>no</t>
        </is>
      </c>
      <c r="AM310" s="2" t="n"/>
      <c r="AN310" s="2" t="n"/>
      <c r="AO310" s="2" t="n"/>
      <c r="AP310" s="2" t="inlineStr">
        <is>
          <t>v3_2026-03-19</t>
        </is>
      </c>
      <c r="AQ310">
        <f>(L310-Schema_v5!$C2)/(Schema_v5!$C3-Schema_v5!$C2)</f>
        <v/>
      </c>
      <c r="AR310">
        <f>(M310-Schema_v5!$C4)/(Schema_v5!$C5-Schema_v5!$C4)</f>
        <v/>
      </c>
      <c r="AS310">
        <f>N310/Schema_v5!$C6</f>
        <v/>
      </c>
      <c r="AT310">
        <f>O310/Schema_v5!$C7</f>
        <v/>
      </c>
      <c r="AU310">
        <f>P310/Schema_v5!$C8</f>
        <v/>
      </c>
      <c r="AV310">
        <f>IF(Schema_v5!$C9=0,0,AH310/Schema_v5!$C9)</f>
        <v/>
      </c>
      <c r="AW310">
        <f>IF(Schema_v5!$C10=0,0,AE310/Schema_v5!$C10)</f>
        <v/>
      </c>
      <c r="AX310">
        <f>(W310-Schema_v5!$C11)/(Schema_v5!$C12-Schema_v5!$C11)</f>
        <v/>
      </c>
      <c r="AY310">
        <f>(X310-Schema_v5!$C13)/(Schema_v5!$C14-Schema_v5!$C13)</f>
        <v/>
      </c>
    </row>
    <row r="311" ht="94.5" customHeight="1" s="10">
      <c r="A311" s="2" t="inlineStr">
        <is>
          <t>Q60_F</t>
        </is>
      </c>
      <c r="B311" s="2" t="n">
        <v>60</v>
      </c>
      <c r="C311" s="2" t="n">
        <v>109</v>
      </c>
      <c r="D311" s="2" t="inlineStr">
        <is>
          <t>Shadow</t>
        </is>
      </c>
      <c r="E311" s="2" t="n">
        <v>1.4</v>
      </c>
      <c r="F311" s="2" t="inlineStr">
        <is>
          <t>ShadowPattern</t>
        </is>
      </c>
      <c r="G311" s="2" t="inlineStr">
        <is>
          <t>IntegrityRisk</t>
        </is>
      </c>
      <c r="H311" s="2" t="n"/>
      <c r="I311" s="2" t="inlineStr">
        <is>
          <t>F</t>
        </is>
      </c>
      <c r="J311" s="2" t="inlineStr">
        <is>
          <t>F</t>
        </is>
      </c>
      <c r="K311" s="2" t="inlineStr">
        <is>
          <t>Assume they won't get it... and quietly start distancing to protect myself.</t>
        </is>
      </c>
      <c r="L311" s="2" t="n">
        <v>8</v>
      </c>
      <c r="M311" s="2" t="n"/>
      <c r="N311" s="2" t="n">
        <v>2</v>
      </c>
      <c r="O311" s="2" t="n">
        <v>2</v>
      </c>
      <c r="P311" s="2" t="n">
        <v>2</v>
      </c>
      <c r="Q311" s="2" t="n"/>
      <c r="R311" s="2" t="n"/>
      <c r="S311" s="2" t="inlineStr">
        <is>
          <t>Self-Saboteur</t>
        </is>
      </c>
      <c r="T311" s="2" t="n">
        <v>6</v>
      </c>
      <c r="U311" s="2" t="n">
        <v>8</v>
      </c>
      <c r="V311" s="2" t="inlineStr">
        <is>
          <t>masc:0.0;fem:0.0</t>
        </is>
      </c>
      <c r="W311" s="2" t="n">
        <v>0</v>
      </c>
      <c r="X311" s="2" t="n">
        <v>0</v>
      </c>
      <c r="Y311" s="2" t="n"/>
      <c r="Z311" s="2" t="n"/>
      <c r="AA311" s="2" t="n"/>
      <c r="AB311" s="2" t="n"/>
      <c r="AC311" s="2" t="n"/>
      <c r="AD311" s="2" t="n"/>
      <c r="AE311" s="2" t="n">
        <v>0</v>
      </c>
      <c r="AF311" s="2" t="n"/>
      <c r="AG311" s="2" t="n"/>
      <c r="AH311" s="2" t="n">
        <v>0</v>
      </c>
      <c r="AI311" s="2" t="n"/>
      <c r="AJ311" s="2" t="inlineStr">
        <is>
          <t>no</t>
        </is>
      </c>
      <c r="AK311" s="2" t="inlineStr">
        <is>
          <t>no</t>
        </is>
      </c>
      <c r="AL311" s="2" t="inlineStr">
        <is>
          <t>no</t>
        </is>
      </c>
      <c r="AM311" s="2" t="n"/>
      <c r="AN311" s="2" t="n"/>
      <c r="AO311" s="2" t="n"/>
      <c r="AP311" s="2" t="inlineStr">
        <is>
          <t>v3_2026-03-19</t>
        </is>
      </c>
      <c r="AQ311">
        <f>(L311-Schema_v5!$C2)/(Schema_v5!$C3-Schema_v5!$C2)</f>
        <v/>
      </c>
      <c r="AR311">
        <f>(M311-Schema_v5!$C4)/(Schema_v5!$C5-Schema_v5!$C4)</f>
        <v/>
      </c>
      <c r="AS311">
        <f>N311/Schema_v5!$C6</f>
        <v/>
      </c>
      <c r="AT311">
        <f>O311/Schema_v5!$C7</f>
        <v/>
      </c>
      <c r="AU311">
        <f>P311/Schema_v5!$C8</f>
        <v/>
      </c>
      <c r="AV311">
        <f>IF(Schema_v5!$C9=0,0,AH311/Schema_v5!$C9)</f>
        <v/>
      </c>
      <c r="AW311">
        <f>IF(Schema_v5!$C10=0,0,AE311/Schema_v5!$C10)</f>
        <v/>
      </c>
      <c r="AX311">
        <f>(W311-Schema_v5!$C11)/(Schema_v5!$C12-Schema_v5!$C11)</f>
        <v/>
      </c>
      <c r="AY311">
        <f>(X311-Schema_v5!$C13)/(Schema_v5!$C14-Schema_v5!$C13)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cols>
    <col width="11.97265625" customWidth="1" style="10" min="1" max="2"/>
    <col width="13.98828125" customWidth="1" style="10" min="3" max="3"/>
  </cols>
  <sheetData>
    <row r="1">
      <c r="A1" s="1" t="inlineStr">
        <is>
          <t>pair_key</t>
        </is>
      </c>
      <c r="B1" s="1" t="inlineStr">
        <is>
          <t>score_1_10</t>
        </is>
      </c>
      <c r="C1" s="8" t="inlineStr">
        <is>
          <t>zodiac_norm</t>
        </is>
      </c>
    </row>
    <row r="2">
      <c r="A2" s="2" t="inlineStr">
        <is>
          <t>AR_M+AR_F</t>
        </is>
      </c>
      <c r="B2" s="2" t="n">
        <v>6</v>
      </c>
      <c r="C2">
        <f>(B2-1)/9</f>
        <v/>
      </c>
    </row>
    <row r="3">
      <c r="A3" s="2" t="inlineStr">
        <is>
          <t>AR_M+LI_F</t>
        </is>
      </c>
      <c r="B3" s="2" t="n">
        <v>7</v>
      </c>
      <c r="C3">
        <f>(B3-1)/9</f>
        <v/>
      </c>
    </row>
    <row r="4">
      <c r="A4" s="2" t="inlineStr">
        <is>
          <t>AR_M+TA_F</t>
        </is>
      </c>
      <c r="B4" s="2" t="n">
        <v>7</v>
      </c>
      <c r="C4">
        <f>(B4-1)/9</f>
        <v/>
      </c>
    </row>
    <row r="5">
      <c r="A5" s="2" t="inlineStr">
        <is>
          <t>AR_M+VI_F</t>
        </is>
      </c>
      <c r="B5" s="2" t="n">
        <v>6</v>
      </c>
      <c r="C5">
        <f>(B5-1)/9</f>
        <v/>
      </c>
    </row>
    <row r="6">
      <c r="A6" s="2" t="inlineStr">
        <is>
          <t>AR_M+SC_F</t>
        </is>
      </c>
      <c r="B6" s="2" t="n">
        <v>5</v>
      </c>
      <c r="C6">
        <f>(B6-1)/9</f>
        <v/>
      </c>
    </row>
    <row r="7">
      <c r="A7" s="2" t="inlineStr">
        <is>
          <t>AR_M+CA_F</t>
        </is>
      </c>
      <c r="B7" s="2" t="n">
        <v>4</v>
      </c>
      <c r="C7">
        <f>(B7-1)/9</f>
        <v/>
      </c>
    </row>
    <row r="8">
      <c r="A8" s="2" t="inlineStr">
        <is>
          <t>AR_M+GE_F</t>
        </is>
      </c>
      <c r="B8" s="2" t="n">
        <v>5</v>
      </c>
      <c r="C8">
        <f>(B8-1)/9</f>
        <v/>
      </c>
    </row>
    <row r="9">
      <c r="A9" s="2" t="inlineStr">
        <is>
          <t>AR_M+LE_F</t>
        </is>
      </c>
      <c r="B9" s="2" t="n">
        <v>8</v>
      </c>
      <c r="C9">
        <f>(B9-1)/9</f>
        <v/>
      </c>
    </row>
    <row r="10">
      <c r="A10" s="2" t="inlineStr">
        <is>
          <t>AR_M+CP_F</t>
        </is>
      </c>
      <c r="B10" s="2" t="n">
        <v>4</v>
      </c>
      <c r="C10">
        <f>(B10-1)/9</f>
        <v/>
      </c>
    </row>
    <row r="11">
      <c r="A11" s="2" t="inlineStr">
        <is>
          <t>AR_M+SG_F</t>
        </is>
      </c>
      <c r="B11" s="2" t="n">
        <v>6</v>
      </c>
      <c r="C11">
        <f>(B11-1)/9</f>
        <v/>
      </c>
    </row>
    <row r="12">
      <c r="A12" s="2" t="inlineStr">
        <is>
          <t>TA_M+TA_F</t>
        </is>
      </c>
      <c r="B12" s="2" t="n">
        <v>6</v>
      </c>
      <c r="C12">
        <f>(B12-1)/9</f>
        <v/>
      </c>
    </row>
    <row r="13">
      <c r="A13" s="2" t="inlineStr">
        <is>
          <t>AR_M+AQ_F</t>
        </is>
      </c>
      <c r="B13" s="2" t="n">
        <v>6</v>
      </c>
      <c r="C13">
        <f>(B13-1)/9</f>
        <v/>
      </c>
    </row>
    <row r="14">
      <c r="A14" s="2" t="inlineStr">
        <is>
          <t>TA_M+SC_F</t>
        </is>
      </c>
      <c r="B14" s="2" t="n">
        <v>6</v>
      </c>
      <c r="C14">
        <f>(B14-1)/9</f>
        <v/>
      </c>
    </row>
    <row r="15">
      <c r="A15" s="2" t="inlineStr">
        <is>
          <t>TA_M+VI_F</t>
        </is>
      </c>
      <c r="B15" s="2" t="n">
        <v>8</v>
      </c>
      <c r="C15">
        <f>(B15-1)/9</f>
        <v/>
      </c>
    </row>
    <row r="16">
      <c r="A16" s="2" t="inlineStr">
        <is>
          <t>TA_M+AR_F</t>
        </is>
      </c>
      <c r="B16" s="2" t="n">
        <v>7</v>
      </c>
      <c r="C16">
        <f>(B16-1)/9</f>
        <v/>
      </c>
    </row>
    <row r="17">
      <c r="A17" s="2" t="inlineStr">
        <is>
          <t>TA_M+GE_F</t>
        </is>
      </c>
      <c r="B17" s="2" t="n">
        <v>5</v>
      </c>
      <c r="C17">
        <f>(B17-1)/9</f>
        <v/>
      </c>
    </row>
    <row r="18">
      <c r="A18" s="2" t="inlineStr">
        <is>
          <t>TA_M+LI_F</t>
        </is>
      </c>
      <c r="B18" s="2" t="n">
        <v>5</v>
      </c>
      <c r="C18">
        <f>(B18-1)/9</f>
        <v/>
      </c>
    </row>
    <row r="19">
      <c r="A19" s="2" t="inlineStr">
        <is>
          <t>TA_M+CA_F</t>
        </is>
      </c>
      <c r="B19" s="2" t="n">
        <v>7</v>
      </c>
      <c r="C19">
        <f>(B19-1)/9</f>
        <v/>
      </c>
    </row>
    <row r="20">
      <c r="A20" s="2" t="inlineStr">
        <is>
          <t>AR_M+PI_F</t>
        </is>
      </c>
      <c r="B20" s="2" t="n">
        <v>5</v>
      </c>
      <c r="C20">
        <f>(B20-1)/9</f>
        <v/>
      </c>
    </row>
    <row r="21">
      <c r="A21" s="2" t="inlineStr">
        <is>
          <t>TA_M+LE_F</t>
        </is>
      </c>
      <c r="B21" s="2" t="n">
        <v>4</v>
      </c>
      <c r="C21">
        <f>(B21-1)/9</f>
        <v/>
      </c>
    </row>
    <row r="22">
      <c r="A22" s="2" t="inlineStr">
        <is>
          <t>GE_M+AR_F</t>
        </is>
      </c>
      <c r="B22" s="2" t="n">
        <v>5</v>
      </c>
      <c r="C22">
        <f>(B22-1)/9</f>
        <v/>
      </c>
    </row>
    <row r="23">
      <c r="A23" s="2" t="inlineStr">
        <is>
          <t>GE_M+GE_F</t>
        </is>
      </c>
      <c r="B23" s="2" t="n">
        <v>6</v>
      </c>
      <c r="C23">
        <f>(B23-1)/9</f>
        <v/>
      </c>
    </row>
    <row r="24">
      <c r="A24" s="2" t="inlineStr">
        <is>
          <t>TA_M+SG_F</t>
        </is>
      </c>
      <c r="B24" s="2" t="n">
        <v>4</v>
      </c>
      <c r="C24">
        <f>(B24-1)/9</f>
        <v/>
      </c>
    </row>
    <row r="25">
      <c r="A25" s="2" t="inlineStr">
        <is>
          <t>TA_M+PI_F</t>
        </is>
      </c>
      <c r="B25" s="2" t="n">
        <v>6</v>
      </c>
      <c r="C25">
        <f>(B25-1)/9</f>
        <v/>
      </c>
    </row>
    <row r="26">
      <c r="A26" s="2" t="inlineStr">
        <is>
          <t>TA_M+CP_F</t>
        </is>
      </c>
      <c r="B26" s="2" t="n">
        <v>7</v>
      </c>
      <c r="C26">
        <f>(B26-1)/9</f>
        <v/>
      </c>
    </row>
    <row r="27">
      <c r="A27" s="2" t="inlineStr">
        <is>
          <t>GE_M+VI_F</t>
        </is>
      </c>
      <c r="B27" s="2" t="n">
        <v>4</v>
      </c>
      <c r="C27">
        <f>(B27-1)/9</f>
        <v/>
      </c>
    </row>
    <row r="28">
      <c r="A28" s="2" t="inlineStr">
        <is>
          <t>GE_M+LE_F</t>
        </is>
      </c>
      <c r="B28" s="2" t="n">
        <v>5</v>
      </c>
      <c r="C28">
        <f>(B28-1)/9</f>
        <v/>
      </c>
    </row>
    <row r="29">
      <c r="A29" s="2" t="inlineStr">
        <is>
          <t>GE_M+TA_F</t>
        </is>
      </c>
      <c r="B29" s="2" t="n">
        <v>6</v>
      </c>
      <c r="C29">
        <f>(B29-1)/9</f>
        <v/>
      </c>
    </row>
    <row r="30">
      <c r="A30" s="2" t="inlineStr">
        <is>
          <t>TA_M+AQ_F</t>
        </is>
      </c>
      <c r="B30" s="2" t="n">
        <v>5</v>
      </c>
      <c r="C30">
        <f>(B30-1)/9</f>
        <v/>
      </c>
    </row>
    <row r="31">
      <c r="A31" s="2" t="inlineStr">
        <is>
          <t>GE_M+AQ_F</t>
        </is>
      </c>
      <c r="B31" s="2" t="n">
        <v>6</v>
      </c>
      <c r="C31">
        <f>(B31-1)/9</f>
        <v/>
      </c>
    </row>
    <row r="32">
      <c r="A32" s="2" t="inlineStr">
        <is>
          <t>GE_M+CA_F</t>
        </is>
      </c>
      <c r="B32" s="2" t="n">
        <v>7</v>
      </c>
      <c r="C32">
        <f>(B32-1)/9</f>
        <v/>
      </c>
    </row>
    <row r="33">
      <c r="A33" s="2" t="inlineStr">
        <is>
          <t>GE_M+CP_F</t>
        </is>
      </c>
      <c r="B33" s="2" t="n">
        <v>5</v>
      </c>
      <c r="C33">
        <f>(B33-1)/9</f>
        <v/>
      </c>
    </row>
    <row r="34">
      <c r="A34" s="2" t="inlineStr">
        <is>
          <t>GE_M+PI_F</t>
        </is>
      </c>
      <c r="B34" s="2" t="n">
        <v>4</v>
      </c>
      <c r="C34">
        <f>(B34-1)/9</f>
        <v/>
      </c>
    </row>
    <row r="35">
      <c r="A35" s="2" t="inlineStr">
        <is>
          <t>CA_M+AR_F</t>
        </is>
      </c>
      <c r="B35" s="2" t="n">
        <v>6</v>
      </c>
      <c r="C35">
        <f>(B35-1)/9</f>
        <v/>
      </c>
    </row>
    <row r="36">
      <c r="A36" s="2" t="inlineStr">
        <is>
          <t>GE_M+LI_F</t>
        </is>
      </c>
      <c r="B36" s="2" t="n">
        <v>8</v>
      </c>
      <c r="C36">
        <f>(B36-1)/9</f>
        <v/>
      </c>
    </row>
    <row r="37">
      <c r="A37" s="2" t="inlineStr">
        <is>
          <t>CA_M+TA_F</t>
        </is>
      </c>
      <c r="B37" s="2" t="n">
        <v>5</v>
      </c>
      <c r="C37">
        <f>(B37-1)/9</f>
        <v/>
      </c>
    </row>
    <row r="38">
      <c r="A38" s="2" t="inlineStr">
        <is>
          <t>GE_M+SG_F</t>
        </is>
      </c>
      <c r="B38" s="2" t="n">
        <v>7</v>
      </c>
      <c r="C38">
        <f>(B38-1)/9</f>
        <v/>
      </c>
    </row>
    <row r="39">
      <c r="A39" s="2" t="inlineStr">
        <is>
          <t>CA_M+GE_F</t>
        </is>
      </c>
      <c r="B39" s="2" t="n">
        <v>7</v>
      </c>
      <c r="C39">
        <f>(B39-1)/9</f>
        <v/>
      </c>
    </row>
    <row r="40">
      <c r="A40" s="2" t="inlineStr">
        <is>
          <t>CA_M+CA_F</t>
        </is>
      </c>
      <c r="B40" s="2" t="n">
        <v>6</v>
      </c>
      <c r="C40">
        <f>(B40-1)/9</f>
        <v/>
      </c>
    </row>
    <row r="41">
      <c r="A41" s="2" t="inlineStr">
        <is>
          <t>GE_M+SC_F</t>
        </is>
      </c>
      <c r="B41" s="2" t="n">
        <v>6</v>
      </c>
      <c r="C41">
        <f>(B41-1)/9</f>
        <v/>
      </c>
    </row>
    <row r="42">
      <c r="A42" s="2" t="inlineStr">
        <is>
          <t>CA_M+CP_F</t>
        </is>
      </c>
      <c r="B42" s="2" t="n">
        <v>5</v>
      </c>
      <c r="C42">
        <f>(B42-1)/9</f>
        <v/>
      </c>
    </row>
    <row r="43">
      <c r="A43" s="2" t="inlineStr">
        <is>
          <t>CA_M+VI_F</t>
        </is>
      </c>
      <c r="B43" s="2" t="n">
        <v>6</v>
      </c>
      <c r="C43">
        <f>(B43-1)/9</f>
        <v/>
      </c>
    </row>
    <row r="44">
      <c r="A44" s="2" t="inlineStr">
        <is>
          <t>LE_M+TA_F</t>
        </is>
      </c>
      <c r="B44" s="2" t="n">
        <v>6</v>
      </c>
      <c r="C44">
        <f>(B44-1)/9</f>
        <v/>
      </c>
    </row>
    <row r="45">
      <c r="A45" s="2" t="inlineStr">
        <is>
          <t>CA_M+PI_F</t>
        </is>
      </c>
      <c r="B45" s="2" t="n">
        <v>6</v>
      </c>
      <c r="C45">
        <f>(B45-1)/9</f>
        <v/>
      </c>
    </row>
    <row r="46">
      <c r="A46" s="2" t="inlineStr">
        <is>
          <t>CA_M+SC_F</t>
        </is>
      </c>
      <c r="B46" s="2" t="n">
        <v>8</v>
      </c>
      <c r="C46">
        <f>(B46-1)/9</f>
        <v/>
      </c>
    </row>
    <row r="47">
      <c r="A47" s="2" t="inlineStr">
        <is>
          <t>CA_M+LI_F</t>
        </is>
      </c>
      <c r="B47" s="2" t="n">
        <v>5</v>
      </c>
      <c r="C47">
        <f>(B47-1)/9</f>
        <v/>
      </c>
    </row>
    <row r="48">
      <c r="A48" s="2" t="inlineStr">
        <is>
          <t>LE_M+AR_F</t>
        </is>
      </c>
      <c r="B48" s="2" t="n">
        <v>8</v>
      </c>
      <c r="C48">
        <f>(B48-1)/9</f>
        <v/>
      </c>
    </row>
    <row r="49">
      <c r="A49" s="2" t="inlineStr">
        <is>
          <t>CA_M+AQ_F</t>
        </is>
      </c>
      <c r="B49" s="2" t="n">
        <v>7</v>
      </c>
      <c r="C49">
        <f>(B49-1)/9</f>
        <v/>
      </c>
    </row>
    <row r="50">
      <c r="A50" s="2" t="inlineStr">
        <is>
          <t>CA_M+LE_F</t>
        </is>
      </c>
      <c r="B50" s="2" t="n">
        <v>4</v>
      </c>
      <c r="C50">
        <f>(B50-1)/9</f>
        <v/>
      </c>
    </row>
    <row r="51">
      <c r="A51" s="2" t="inlineStr">
        <is>
          <t>CA_M+SG_F</t>
        </is>
      </c>
      <c r="B51" s="2" t="n">
        <v>6</v>
      </c>
      <c r="C51">
        <f>(B51-1)/9</f>
        <v/>
      </c>
    </row>
    <row r="52">
      <c r="A52" s="2" t="inlineStr">
        <is>
          <t>LE_M+GE_F</t>
        </is>
      </c>
      <c r="B52" s="2" t="n">
        <v>5</v>
      </c>
      <c r="C52">
        <f>(B52-1)/9</f>
        <v/>
      </c>
    </row>
    <row r="53">
      <c r="A53" s="2" t="inlineStr">
        <is>
          <t>LE_M+CA_F</t>
        </is>
      </c>
      <c r="B53" s="2" t="n">
        <v>4</v>
      </c>
      <c r="C53">
        <f>(B53-1)/9</f>
        <v/>
      </c>
    </row>
    <row r="54">
      <c r="A54" s="2" t="inlineStr">
        <is>
          <t>LE_M+PI_F</t>
        </is>
      </c>
      <c r="B54" s="2" t="n">
        <v>7</v>
      </c>
      <c r="C54">
        <f>(B54-1)/9</f>
        <v/>
      </c>
    </row>
    <row r="55">
      <c r="A55" s="2" t="inlineStr">
        <is>
          <t>LE_M+LI_F</t>
        </is>
      </c>
      <c r="B55" s="2" t="n">
        <v>6</v>
      </c>
      <c r="C55">
        <f>(B55-1)/9</f>
        <v/>
      </c>
    </row>
    <row r="56">
      <c r="A56" s="2" t="inlineStr">
        <is>
          <t>LE_M+VI_F</t>
        </is>
      </c>
      <c r="B56" s="2" t="n">
        <v>5</v>
      </c>
      <c r="C56">
        <f>(B56-1)/9</f>
        <v/>
      </c>
    </row>
    <row r="57">
      <c r="A57" s="2" t="inlineStr">
        <is>
          <t>LE_M+LE_F</t>
        </is>
      </c>
      <c r="B57" s="2" t="n">
        <v>7</v>
      </c>
      <c r="C57">
        <f>(B57-1)/9</f>
        <v/>
      </c>
    </row>
    <row r="58">
      <c r="A58" s="2" t="inlineStr">
        <is>
          <t>LE_M+SC_F</t>
        </is>
      </c>
      <c r="B58" s="2" t="n">
        <v>5</v>
      </c>
      <c r="C58">
        <f>(B58-1)/9</f>
        <v/>
      </c>
    </row>
    <row r="59">
      <c r="A59" s="2" t="inlineStr">
        <is>
          <t>LE_M+AQ_F</t>
        </is>
      </c>
      <c r="B59" s="2" t="n">
        <v>4</v>
      </c>
      <c r="C59">
        <f>(B59-1)/9</f>
        <v/>
      </c>
    </row>
    <row r="60">
      <c r="A60" s="2" t="inlineStr">
        <is>
          <t>LE_M+SG_F</t>
        </is>
      </c>
      <c r="B60" s="2" t="n">
        <v>8</v>
      </c>
      <c r="C60">
        <f>(B60-1)/9</f>
        <v/>
      </c>
    </row>
    <row r="61">
      <c r="A61" s="2" t="inlineStr">
        <is>
          <t>LE_M+CP_F</t>
        </is>
      </c>
      <c r="B61" s="2" t="n">
        <v>6</v>
      </c>
      <c r="C61">
        <f>(B61-1)/9</f>
        <v/>
      </c>
    </row>
    <row r="62">
      <c r="A62" s="2" t="inlineStr">
        <is>
          <t>VI_M+TA_F</t>
        </is>
      </c>
      <c r="B62" s="2" t="n">
        <v>7</v>
      </c>
      <c r="C62">
        <f>(B62-1)/9</f>
        <v/>
      </c>
    </row>
    <row r="63">
      <c r="A63" s="2" t="inlineStr">
        <is>
          <t>VI_M+LE_F</t>
        </is>
      </c>
      <c r="B63" s="2" t="n">
        <v>4</v>
      </c>
      <c r="C63">
        <f>(B63-1)/9</f>
        <v/>
      </c>
    </row>
    <row r="64">
      <c r="A64" s="2" t="inlineStr">
        <is>
          <t>VI_M+AR_F</t>
        </is>
      </c>
      <c r="B64" s="2" t="n">
        <v>6</v>
      </c>
      <c r="C64">
        <f>(B64-1)/9</f>
        <v/>
      </c>
    </row>
    <row r="65">
      <c r="A65" s="2" t="inlineStr">
        <is>
          <t>VI_M+VI_F</t>
        </is>
      </c>
      <c r="B65" s="2" t="n">
        <v>7</v>
      </c>
      <c r="C65">
        <f>(B65-1)/9</f>
        <v/>
      </c>
    </row>
    <row r="66">
      <c r="A66" s="2" t="inlineStr">
        <is>
          <t>VI_M+GE_F</t>
        </is>
      </c>
      <c r="B66" s="2" t="n">
        <v>5</v>
      </c>
      <c r="C66">
        <f>(B66-1)/9</f>
        <v/>
      </c>
    </row>
    <row r="67">
      <c r="A67" s="2" t="inlineStr">
        <is>
          <t>VI_M+SG_F</t>
        </is>
      </c>
      <c r="B67" s="2" t="n">
        <v>4</v>
      </c>
      <c r="C67">
        <f>(B67-1)/9</f>
        <v/>
      </c>
    </row>
    <row r="68">
      <c r="A68" s="2" t="inlineStr">
        <is>
          <t>VI_M+SC_F</t>
        </is>
      </c>
      <c r="B68" s="2" t="n">
        <v>6</v>
      </c>
      <c r="C68">
        <f>(B68-1)/9</f>
        <v/>
      </c>
    </row>
    <row r="69">
      <c r="A69" s="2" t="inlineStr">
        <is>
          <t>VI_M+CP_F</t>
        </is>
      </c>
      <c r="B69" s="2" t="n">
        <v>8</v>
      </c>
      <c r="C69">
        <f>(B69-1)/9</f>
        <v/>
      </c>
    </row>
    <row r="70">
      <c r="A70" s="2" t="inlineStr">
        <is>
          <t>VI_M+CA_F</t>
        </is>
      </c>
      <c r="B70" s="2" t="n">
        <v>6</v>
      </c>
      <c r="C70">
        <f>(B70-1)/9</f>
        <v/>
      </c>
    </row>
    <row r="71">
      <c r="A71" s="2" t="inlineStr">
        <is>
          <t>VI_M+LI_F</t>
        </is>
      </c>
      <c r="B71" s="2" t="n">
        <v>5</v>
      </c>
      <c r="C71">
        <f>(B71-1)/9</f>
        <v/>
      </c>
    </row>
    <row r="72">
      <c r="A72" s="2" t="inlineStr">
        <is>
          <t>VI_M+AQ_F</t>
        </is>
      </c>
      <c r="B72" s="2" t="n">
        <v>5</v>
      </c>
      <c r="C72">
        <f>(B72-1)/9</f>
        <v/>
      </c>
    </row>
    <row r="73">
      <c r="A73" s="2" t="inlineStr">
        <is>
          <t>VI_M+PI_F</t>
        </is>
      </c>
      <c r="B73" s="2" t="n">
        <v>6</v>
      </c>
      <c r="C73">
        <f>(B73-1)/9</f>
        <v/>
      </c>
    </row>
    <row r="74">
      <c r="A74" s="2" t="inlineStr">
        <is>
          <t>LI_M+CA_F</t>
        </is>
      </c>
      <c r="B74" s="2" t="n">
        <v>4</v>
      </c>
      <c r="C74">
        <f>(B74-1)/9</f>
        <v/>
      </c>
    </row>
    <row r="75">
      <c r="A75" s="2" t="inlineStr">
        <is>
          <t>LI_M+LE_F</t>
        </is>
      </c>
      <c r="B75" s="2" t="n">
        <v>5</v>
      </c>
      <c r="C75">
        <f>(B75-1)/9</f>
        <v/>
      </c>
    </row>
    <row r="76">
      <c r="A76" s="2" t="inlineStr">
        <is>
          <t>LI_M+LI_F</t>
        </is>
      </c>
      <c r="B76" s="2" t="n">
        <v>6</v>
      </c>
      <c r="C76">
        <f>(B76-1)/9</f>
        <v/>
      </c>
    </row>
    <row r="77">
      <c r="A77" s="2" t="inlineStr">
        <is>
          <t>LI_M+GE_F</t>
        </is>
      </c>
      <c r="B77" s="2" t="n">
        <v>6</v>
      </c>
      <c r="C77">
        <f>(B77-1)/9</f>
        <v/>
      </c>
    </row>
    <row r="78">
      <c r="A78" s="2" t="inlineStr">
        <is>
          <t>LI_M+VI_F</t>
        </is>
      </c>
      <c r="B78" s="2" t="n">
        <v>6</v>
      </c>
      <c r="C78">
        <f>(B78-1)/9</f>
        <v/>
      </c>
    </row>
    <row r="79">
      <c r="A79" s="2" t="inlineStr">
        <is>
          <t>LI_M+AR_F</t>
        </is>
      </c>
      <c r="B79" s="2" t="n">
        <v>7</v>
      </c>
      <c r="C79">
        <f>(B79-1)/9</f>
        <v/>
      </c>
    </row>
    <row r="80">
      <c r="A80" s="2" t="inlineStr">
        <is>
          <t>LI_M+SC_F</t>
        </is>
      </c>
      <c r="B80" s="2" t="n">
        <v>4</v>
      </c>
      <c r="C80">
        <f>(B80-1)/9</f>
        <v/>
      </c>
    </row>
    <row r="81">
      <c r="A81" s="2" t="inlineStr">
        <is>
          <t>LI_M+TA_F</t>
        </is>
      </c>
      <c r="B81" s="2" t="n">
        <v>5</v>
      </c>
      <c r="C81">
        <f>(B81-1)/9</f>
        <v/>
      </c>
    </row>
    <row r="82">
      <c r="A82" s="2" t="inlineStr">
        <is>
          <t>LI_M+AQ_F</t>
        </is>
      </c>
      <c r="B82" s="2" t="n">
        <v>8</v>
      </c>
      <c r="C82">
        <f>(B82-1)/9</f>
        <v/>
      </c>
    </row>
    <row r="83">
      <c r="A83" s="2" t="inlineStr">
        <is>
          <t>LI_M+CP_F</t>
        </is>
      </c>
      <c r="B83" s="2" t="n">
        <v>5</v>
      </c>
      <c r="C83">
        <f>(B83-1)/9</f>
        <v/>
      </c>
    </row>
    <row r="84">
      <c r="A84" s="2" t="inlineStr">
        <is>
          <t>LI_M+PI_F</t>
        </is>
      </c>
      <c r="B84" s="2" t="n">
        <v>6</v>
      </c>
      <c r="C84">
        <f>(B84-1)/9</f>
        <v/>
      </c>
    </row>
    <row r="85">
      <c r="A85" s="2" t="inlineStr">
        <is>
          <t>SC_M+LE_F</t>
        </is>
      </c>
      <c r="B85" s="2" t="n">
        <v>6</v>
      </c>
      <c r="C85">
        <f>(B85-1)/9</f>
        <v/>
      </c>
    </row>
    <row r="86">
      <c r="A86" s="2" t="inlineStr">
        <is>
          <t>SC_M+TA_F</t>
        </is>
      </c>
      <c r="B86" s="2" t="n">
        <v>6</v>
      </c>
      <c r="C86">
        <f>(B86-1)/9</f>
        <v/>
      </c>
    </row>
    <row r="87">
      <c r="A87" s="2" t="inlineStr">
        <is>
          <t>SC_M+AR_F</t>
        </is>
      </c>
      <c r="B87" s="2" t="n">
        <v>5</v>
      </c>
      <c r="C87">
        <f>(B87-1)/9</f>
        <v/>
      </c>
    </row>
    <row r="88">
      <c r="A88" s="2" t="inlineStr">
        <is>
          <t>SC_M+VI_F</t>
        </is>
      </c>
      <c r="B88" s="2" t="n">
        <v>4</v>
      </c>
      <c r="C88">
        <f>(B88-1)/9</f>
        <v/>
      </c>
    </row>
    <row r="89">
      <c r="A89" s="2" t="inlineStr">
        <is>
          <t>SC_M+CA_F</t>
        </is>
      </c>
      <c r="B89" s="2" t="n">
        <v>5</v>
      </c>
      <c r="C89">
        <f>(B89-1)/9</f>
        <v/>
      </c>
    </row>
    <row r="90">
      <c r="A90" s="2" t="inlineStr">
        <is>
          <t>SC_M+GE_F</t>
        </is>
      </c>
      <c r="B90" s="2" t="n">
        <v>7</v>
      </c>
      <c r="C90">
        <f>(B90-1)/9</f>
        <v/>
      </c>
    </row>
    <row r="91">
      <c r="A91" s="2" t="inlineStr">
        <is>
          <t>LI_M+SG_F</t>
        </is>
      </c>
      <c r="B91" s="2" t="n">
        <v>7</v>
      </c>
      <c r="C91">
        <f>(B91-1)/9</f>
        <v/>
      </c>
    </row>
    <row r="92">
      <c r="A92" s="2" t="inlineStr">
        <is>
          <t>SC_M+SG_F</t>
        </is>
      </c>
      <c r="B92" s="2" t="n">
        <v>6</v>
      </c>
      <c r="C92">
        <f>(B92-1)/9</f>
        <v/>
      </c>
    </row>
    <row r="93">
      <c r="A93" s="2" t="inlineStr">
        <is>
          <t>SC_M+AQ_F</t>
        </is>
      </c>
      <c r="B93" s="2" t="n">
        <v>4</v>
      </c>
      <c r="C93">
        <f>(B93-1)/9</f>
        <v/>
      </c>
    </row>
    <row r="94">
      <c r="A94" s="2" t="inlineStr">
        <is>
          <t>SG_M+GE_F</t>
        </is>
      </c>
      <c r="B94" s="2" t="n">
        <v>5</v>
      </c>
      <c r="C94">
        <f>(B94-1)/9</f>
        <v/>
      </c>
    </row>
    <row r="95">
      <c r="A95" s="2" t="inlineStr">
        <is>
          <t>SC_M+LI_F</t>
        </is>
      </c>
      <c r="B95" s="2" t="n">
        <v>5</v>
      </c>
      <c r="C95">
        <f>(B95-1)/9</f>
        <v/>
      </c>
    </row>
    <row r="96">
      <c r="A96" s="2" t="inlineStr">
        <is>
          <t>SG_M+AR_F</t>
        </is>
      </c>
      <c r="B96" s="2" t="n">
        <v>6</v>
      </c>
      <c r="C96">
        <f>(B96-1)/9</f>
        <v/>
      </c>
    </row>
    <row r="97">
      <c r="A97" s="2" t="inlineStr">
        <is>
          <t>SC_M+CP_F</t>
        </is>
      </c>
      <c r="B97" s="2" t="n">
        <v>5</v>
      </c>
      <c r="C97">
        <f>(B97-1)/9</f>
        <v/>
      </c>
    </row>
    <row r="98">
      <c r="A98" s="2" t="inlineStr">
        <is>
          <t>SC_M+PI_F</t>
        </is>
      </c>
      <c r="B98" s="2" t="n">
        <v>8</v>
      </c>
      <c r="C98">
        <f>(B98-1)/9</f>
        <v/>
      </c>
    </row>
    <row r="99">
      <c r="A99" s="2" t="inlineStr">
        <is>
          <t>SC_M+SC_F</t>
        </is>
      </c>
      <c r="B99" s="2" t="n">
        <v>7</v>
      </c>
      <c r="C99">
        <f>(B99-1)/9</f>
        <v/>
      </c>
    </row>
    <row r="100">
      <c r="A100" s="2" t="inlineStr">
        <is>
          <t>SG_M+TA_F</t>
        </is>
      </c>
      <c r="B100" s="2" t="n">
        <v>4</v>
      </c>
      <c r="C100">
        <f>(B100-1)/9</f>
        <v/>
      </c>
    </row>
    <row r="101">
      <c r="A101" s="2" t="inlineStr">
        <is>
          <t>SG_M+CA_F</t>
        </is>
      </c>
      <c r="B101" s="2" t="n">
        <v>6</v>
      </c>
      <c r="C101">
        <f>(B101-1)/9</f>
        <v/>
      </c>
    </row>
    <row r="102">
      <c r="A102" s="2" t="inlineStr">
        <is>
          <t>SG_M+VI_F</t>
        </is>
      </c>
      <c r="B102" s="2" t="n">
        <v>5</v>
      </c>
      <c r="C102">
        <f>(B102-1)/9</f>
        <v/>
      </c>
    </row>
    <row r="103">
      <c r="A103" s="2" t="inlineStr">
        <is>
          <t>SG_M+CP_F</t>
        </is>
      </c>
      <c r="B103" s="2" t="n">
        <v>4</v>
      </c>
      <c r="C103">
        <f>(B103-1)/9</f>
        <v/>
      </c>
    </row>
    <row r="104">
      <c r="A104" s="2" t="inlineStr">
        <is>
          <t>SG_M+LE_F</t>
        </is>
      </c>
      <c r="B104" s="2" t="n">
        <v>8</v>
      </c>
      <c r="C104">
        <f>(B104-1)/9</f>
        <v/>
      </c>
    </row>
    <row r="105">
      <c r="A105" s="2" t="inlineStr">
        <is>
          <t>SG_M+LI_F</t>
        </is>
      </c>
      <c r="B105" s="2" t="n">
        <v>7</v>
      </c>
      <c r="C105">
        <f>(B105-1)/9</f>
        <v/>
      </c>
    </row>
    <row r="106">
      <c r="A106" s="2" t="inlineStr">
        <is>
          <t>CP_M+TA_F</t>
        </is>
      </c>
      <c r="B106" s="2" t="n">
        <v>7</v>
      </c>
      <c r="C106">
        <f>(B106-1)/9</f>
        <v/>
      </c>
    </row>
    <row r="107">
      <c r="A107" s="2" t="inlineStr">
        <is>
          <t>SG_M+PI_F</t>
        </is>
      </c>
      <c r="B107" s="2" t="n">
        <v>5</v>
      </c>
      <c r="C107">
        <f>(B107-1)/9</f>
        <v/>
      </c>
    </row>
    <row r="108">
      <c r="A108" s="2" t="inlineStr">
        <is>
          <t>SG_M+SG_F</t>
        </is>
      </c>
      <c r="B108" s="2" t="n">
        <v>6</v>
      </c>
      <c r="C108">
        <f>(B108-1)/9</f>
        <v/>
      </c>
    </row>
    <row r="109">
      <c r="A109" s="2" t="inlineStr">
        <is>
          <t>SG_M+AQ_F</t>
        </is>
      </c>
      <c r="B109" s="2" t="n">
        <v>6</v>
      </c>
      <c r="C109">
        <f>(B109-1)/9</f>
        <v/>
      </c>
    </row>
    <row r="110">
      <c r="A110" s="2" t="inlineStr">
        <is>
          <t>SG_M+SC_F</t>
        </is>
      </c>
      <c r="B110" s="2" t="n">
        <v>5</v>
      </c>
      <c r="C110">
        <f>(B110-1)/9</f>
        <v/>
      </c>
    </row>
    <row r="111">
      <c r="A111" s="2" t="inlineStr">
        <is>
          <t>CP_M+AR_F</t>
        </is>
      </c>
      <c r="B111" s="2" t="n">
        <v>4</v>
      </c>
      <c r="C111">
        <f>(B111-1)/9</f>
        <v/>
      </c>
    </row>
    <row r="112">
      <c r="A112" s="2" t="inlineStr">
        <is>
          <t>CP_M+AQ_F</t>
        </is>
      </c>
      <c r="B112" s="2" t="n">
        <v>5</v>
      </c>
      <c r="C112">
        <f>(B112-1)/9</f>
        <v/>
      </c>
    </row>
    <row r="113">
      <c r="A113" s="2" t="inlineStr">
        <is>
          <t>CP_M+LE_F</t>
        </is>
      </c>
      <c r="B113" s="2" t="n">
        <v>5</v>
      </c>
      <c r="C113">
        <f>(B113-1)/9</f>
        <v/>
      </c>
    </row>
    <row r="114">
      <c r="A114" s="2" t="inlineStr">
        <is>
          <t>CP_M+CP_F</t>
        </is>
      </c>
      <c r="B114" s="2" t="n">
        <v>7</v>
      </c>
      <c r="C114">
        <f>(B114-1)/9</f>
        <v/>
      </c>
    </row>
    <row r="115">
      <c r="A115" s="2" t="inlineStr">
        <is>
          <t>CP_M+PI_F</t>
        </is>
      </c>
      <c r="B115" s="2" t="n">
        <v>6</v>
      </c>
      <c r="C115">
        <f>(B115-1)/9</f>
        <v/>
      </c>
    </row>
    <row r="116">
      <c r="A116" s="2" t="inlineStr">
        <is>
          <t>CP_M+SG_F</t>
        </is>
      </c>
      <c r="B116" s="2" t="n">
        <v>4</v>
      </c>
      <c r="C116">
        <f>(B116-1)/9</f>
        <v/>
      </c>
    </row>
    <row r="117">
      <c r="A117" s="2" t="inlineStr">
        <is>
          <t>CP_M+LI_F</t>
        </is>
      </c>
      <c r="B117" s="2" t="n">
        <v>6</v>
      </c>
      <c r="C117">
        <f>(B117-1)/9</f>
        <v/>
      </c>
    </row>
    <row r="118">
      <c r="A118" s="2" t="inlineStr">
        <is>
          <t>CP_M+SC_F</t>
        </is>
      </c>
      <c r="B118" s="2" t="n">
        <v>5</v>
      </c>
      <c r="C118">
        <f>(B118-1)/9</f>
        <v/>
      </c>
    </row>
    <row r="119">
      <c r="A119" s="2" t="inlineStr">
        <is>
          <t>CP_M+GE_F</t>
        </is>
      </c>
      <c r="B119" s="2" t="n">
        <v>5</v>
      </c>
      <c r="C119">
        <f>(B119-1)/9</f>
        <v/>
      </c>
    </row>
    <row r="120">
      <c r="A120" s="2" t="inlineStr">
        <is>
          <t>CP_M+VI_F</t>
        </is>
      </c>
      <c r="B120" s="2" t="n">
        <v>8</v>
      </c>
      <c r="C120">
        <f>(B120-1)/9</f>
        <v/>
      </c>
    </row>
    <row r="121">
      <c r="A121" s="2" t="inlineStr">
        <is>
          <t>CP_M+CA_F</t>
        </is>
      </c>
      <c r="B121" s="2" t="n">
        <v>6</v>
      </c>
      <c r="C121">
        <f>(B121-1)/9</f>
        <v/>
      </c>
    </row>
    <row r="122">
      <c r="A122" s="2" t="inlineStr">
        <is>
          <t>AQ_M+VI_F</t>
        </is>
      </c>
      <c r="B122" s="2" t="n">
        <v>5</v>
      </c>
      <c r="C122">
        <f>(B122-1)/9</f>
        <v/>
      </c>
    </row>
    <row r="123">
      <c r="A123" s="2" t="inlineStr">
        <is>
          <t>AQ_M+CA_F</t>
        </is>
      </c>
      <c r="B123" s="2" t="n">
        <v>7</v>
      </c>
      <c r="C123">
        <f>(B123-1)/9</f>
        <v/>
      </c>
    </row>
    <row r="124">
      <c r="A124" s="2" t="inlineStr">
        <is>
          <t>AQ_M+GE_F</t>
        </is>
      </c>
      <c r="B124" s="2" t="n">
        <v>6</v>
      </c>
      <c r="C124">
        <f>(B124-1)/9</f>
        <v/>
      </c>
    </row>
    <row r="125">
      <c r="A125" s="2" t="inlineStr">
        <is>
          <t>AQ_M+SC_F</t>
        </is>
      </c>
      <c r="B125" s="2" t="n">
        <v>4</v>
      </c>
      <c r="C125">
        <f>(B125-1)/9</f>
        <v/>
      </c>
    </row>
    <row r="126">
      <c r="A126" s="2" t="inlineStr">
        <is>
          <t>AQ_M+AR_F</t>
        </is>
      </c>
      <c r="B126" s="2" t="n">
        <v>6</v>
      </c>
      <c r="C126">
        <f>(B126-1)/9</f>
        <v/>
      </c>
    </row>
    <row r="127">
      <c r="A127" s="2" t="inlineStr">
        <is>
          <t>AQ_M+SG_F</t>
        </is>
      </c>
      <c r="B127" s="2" t="n">
        <v>6</v>
      </c>
      <c r="C127">
        <f>(B127-1)/9</f>
        <v/>
      </c>
    </row>
    <row r="128">
      <c r="A128" s="2" t="inlineStr">
        <is>
          <t>AQ_M+LE_F</t>
        </is>
      </c>
      <c r="B128" s="2" t="n">
        <v>4</v>
      </c>
      <c r="C128">
        <f>(B128-1)/9</f>
        <v/>
      </c>
    </row>
    <row r="129">
      <c r="A129" s="2" t="inlineStr">
        <is>
          <t>AQ_M+CP_F</t>
        </is>
      </c>
      <c r="B129" s="2" t="n">
        <v>5</v>
      </c>
      <c r="C129">
        <f>(B129-1)/9</f>
        <v/>
      </c>
    </row>
    <row r="130">
      <c r="A130" s="2" t="inlineStr">
        <is>
          <t>AQ_M+TA_F</t>
        </is>
      </c>
      <c r="B130" s="2" t="n">
        <v>5</v>
      </c>
      <c r="C130">
        <f>(B130-1)/9</f>
        <v/>
      </c>
    </row>
    <row r="131">
      <c r="A131" s="2" t="inlineStr">
        <is>
          <t>AQ_M+LI_F</t>
        </is>
      </c>
      <c r="B131" s="2" t="n">
        <v>8</v>
      </c>
      <c r="C131">
        <f>(B131-1)/9</f>
        <v/>
      </c>
    </row>
    <row r="132">
      <c r="A132" s="2" t="inlineStr">
        <is>
          <t>PI_M+TA_F</t>
        </is>
      </c>
      <c r="B132" s="2" t="n">
        <v>6</v>
      </c>
      <c r="C132">
        <f>(B132-1)/9</f>
        <v/>
      </c>
    </row>
    <row r="133">
      <c r="A133" s="2" t="inlineStr">
        <is>
          <t>PI_M+AR_F</t>
        </is>
      </c>
      <c r="B133" s="2" t="n">
        <v>5</v>
      </c>
      <c r="C133">
        <f>(B133-1)/9</f>
        <v/>
      </c>
    </row>
    <row r="134">
      <c r="A134" s="2" t="inlineStr">
        <is>
          <t>PI_M+CA_F</t>
        </is>
      </c>
      <c r="B134" s="2" t="n">
        <v>6</v>
      </c>
      <c r="C134">
        <f>(B134-1)/9</f>
        <v/>
      </c>
    </row>
    <row r="135">
      <c r="A135" s="2" t="inlineStr">
        <is>
          <t>AQ_M+AQ_F</t>
        </is>
      </c>
      <c r="B135" s="2" t="n">
        <v>6</v>
      </c>
      <c r="C135">
        <f>(B135-1)/9</f>
        <v/>
      </c>
    </row>
    <row r="136">
      <c r="A136" s="2" t="inlineStr">
        <is>
          <t>AQ_M+PI_F</t>
        </is>
      </c>
      <c r="B136" s="2" t="n">
        <v>7</v>
      </c>
      <c r="C136">
        <f>(B136-1)/9</f>
        <v/>
      </c>
    </row>
    <row r="137">
      <c r="A137" s="2" t="inlineStr">
        <is>
          <t>PI_M+GE_F</t>
        </is>
      </c>
      <c r="B137" s="2" t="n">
        <v>4</v>
      </c>
      <c r="C137">
        <f>(B137-1)/9</f>
        <v/>
      </c>
    </row>
    <row r="138">
      <c r="A138" s="2" t="inlineStr">
        <is>
          <t>PI_M+LI_F</t>
        </is>
      </c>
      <c r="B138" s="2" t="n">
        <v>6</v>
      </c>
      <c r="C138">
        <f>(B138-1)/9</f>
        <v/>
      </c>
    </row>
    <row r="139">
      <c r="A139" s="2" t="inlineStr">
        <is>
          <t>PI_M+SC_F</t>
        </is>
      </c>
      <c r="B139" s="2" t="n">
        <v>8</v>
      </c>
      <c r="C139">
        <f>(B139-1)/9</f>
        <v/>
      </c>
    </row>
    <row r="140">
      <c r="A140" s="2" t="inlineStr">
        <is>
          <t>PI_M+LE_F</t>
        </is>
      </c>
      <c r="B140" s="2" t="n">
        <v>7</v>
      </c>
      <c r="C140">
        <f>(B140-1)/9</f>
        <v/>
      </c>
    </row>
    <row r="141">
      <c r="A141" s="2" t="inlineStr">
        <is>
          <t>PI_M+VI_F</t>
        </is>
      </c>
      <c r="B141" s="2" t="n">
        <v>5</v>
      </c>
      <c r="C141">
        <f>(B141-1)/9</f>
        <v/>
      </c>
    </row>
    <row r="142">
      <c r="A142" s="2" t="inlineStr">
        <is>
          <t>PI_M+AQ_F</t>
        </is>
      </c>
      <c r="B142" s="2" t="n">
        <v>7</v>
      </c>
      <c r="C142">
        <f>(B142-1)/9</f>
        <v/>
      </c>
    </row>
    <row r="143">
      <c r="A143" s="2" t="inlineStr">
        <is>
          <t>PI_M+CP_F</t>
        </is>
      </c>
      <c r="B143" s="2" t="n">
        <v>6</v>
      </c>
      <c r="C143">
        <f>(B143-1)/9</f>
        <v/>
      </c>
    </row>
    <row r="144">
      <c r="A144" s="2" t="inlineStr">
        <is>
          <t>VI_F+AR_M</t>
        </is>
      </c>
      <c r="B144" s="2" t="n">
        <v>6</v>
      </c>
      <c r="C144">
        <f>(B144-1)/9</f>
        <v/>
      </c>
    </row>
    <row r="145">
      <c r="A145" s="2" t="inlineStr">
        <is>
          <t>AR_F+AR_M</t>
        </is>
      </c>
      <c r="B145" s="2" t="n">
        <v>6</v>
      </c>
      <c r="C145">
        <f>(B145-1)/9</f>
        <v/>
      </c>
    </row>
    <row r="146">
      <c r="A146" s="2" t="inlineStr">
        <is>
          <t>LE_F+AR_M</t>
        </is>
      </c>
      <c r="B146" s="2" t="n">
        <v>8</v>
      </c>
      <c r="C146">
        <f>(B146-1)/9</f>
        <v/>
      </c>
    </row>
    <row r="147">
      <c r="A147" s="2" t="inlineStr">
        <is>
          <t>GE_F+AR_M</t>
        </is>
      </c>
      <c r="B147" s="2" t="n">
        <v>5</v>
      </c>
      <c r="C147">
        <f>(B147-1)/9</f>
        <v/>
      </c>
    </row>
    <row r="148">
      <c r="A148" s="2" t="inlineStr">
        <is>
          <t>TA_F+AR_M</t>
        </is>
      </c>
      <c r="B148" s="2" t="n">
        <v>7</v>
      </c>
      <c r="C148">
        <f>(B148-1)/9</f>
        <v/>
      </c>
    </row>
    <row r="149">
      <c r="A149" s="2" t="inlineStr">
        <is>
          <t>PI_M+PI_F</t>
        </is>
      </c>
      <c r="B149" s="2" t="n">
        <v>6</v>
      </c>
      <c r="C149">
        <f>(B149-1)/9</f>
        <v/>
      </c>
    </row>
    <row r="150">
      <c r="A150" s="2" t="inlineStr">
        <is>
          <t>LI_F+AR_M</t>
        </is>
      </c>
      <c r="B150" s="2" t="n">
        <v>7</v>
      </c>
      <c r="C150">
        <f>(B150-1)/9</f>
        <v/>
      </c>
    </row>
    <row r="151">
      <c r="A151" s="2" t="inlineStr">
        <is>
          <t>PI_M+SG_F</t>
        </is>
      </c>
      <c r="B151" s="2" t="n">
        <v>5</v>
      </c>
      <c r="C151">
        <f>(B151-1)/9</f>
        <v/>
      </c>
    </row>
    <row r="152">
      <c r="A152" s="2" t="inlineStr">
        <is>
          <t>SC_F+AR_M</t>
        </is>
      </c>
      <c r="B152" s="2" t="n">
        <v>5</v>
      </c>
      <c r="C152">
        <f>(B152-1)/9</f>
        <v/>
      </c>
    </row>
    <row r="153">
      <c r="A153" s="2" t="inlineStr">
        <is>
          <t>SG_F+AR_M</t>
        </is>
      </c>
      <c r="B153" s="2" t="n">
        <v>6</v>
      </c>
      <c r="C153">
        <f>(B153-1)/9</f>
        <v/>
      </c>
    </row>
    <row r="154">
      <c r="A154" s="2" t="inlineStr">
        <is>
          <t>CA_F+AR_M</t>
        </is>
      </c>
      <c r="B154" s="2" t="n">
        <v>6</v>
      </c>
      <c r="C154">
        <f>(B154-1)/9</f>
        <v/>
      </c>
    </row>
    <row r="155">
      <c r="A155" s="2" t="inlineStr">
        <is>
          <t>TA_F+TA_M</t>
        </is>
      </c>
      <c r="B155" s="2" t="n">
        <v>6</v>
      </c>
      <c r="C155">
        <f>(B155-1)/9</f>
        <v/>
      </c>
    </row>
    <row r="156">
      <c r="A156" s="2" t="inlineStr">
        <is>
          <t>CP_F+AR_M</t>
        </is>
      </c>
      <c r="B156" s="2" t="n">
        <v>4</v>
      </c>
      <c r="C156">
        <f>(B156-1)/9</f>
        <v/>
      </c>
    </row>
    <row r="157">
      <c r="A157" s="2" t="inlineStr">
        <is>
          <t>AR_F+TA_M</t>
        </is>
      </c>
      <c r="B157" s="2" t="n">
        <v>7</v>
      </c>
      <c r="C157">
        <f>(B157-1)/9</f>
        <v/>
      </c>
    </row>
    <row r="158">
      <c r="A158" s="2" t="inlineStr">
        <is>
          <t>LE_F+TA_M</t>
        </is>
      </c>
      <c r="B158" s="2" t="n">
        <v>6</v>
      </c>
      <c r="C158">
        <f>(B158-1)/9</f>
        <v/>
      </c>
    </row>
    <row r="159">
      <c r="A159" s="2" t="inlineStr">
        <is>
          <t>GE_F+TA_M</t>
        </is>
      </c>
      <c r="B159" s="2" t="n">
        <v>6</v>
      </c>
      <c r="C159">
        <f>(B159-1)/9</f>
        <v/>
      </c>
    </row>
    <row r="160">
      <c r="A160" s="2" t="inlineStr">
        <is>
          <t>CA_F+TA_M</t>
        </is>
      </c>
      <c r="B160" s="2" t="n">
        <v>5</v>
      </c>
      <c r="C160">
        <f>(B160-1)/9</f>
        <v/>
      </c>
    </row>
    <row r="161">
      <c r="A161" s="2" t="inlineStr">
        <is>
          <t>AQ_F+AR_M</t>
        </is>
      </c>
      <c r="B161" s="2" t="n">
        <v>6</v>
      </c>
      <c r="C161">
        <f>(B161-1)/9</f>
        <v/>
      </c>
    </row>
    <row r="162">
      <c r="A162" s="2" t="inlineStr">
        <is>
          <t>TA_F+GE_M</t>
        </is>
      </c>
      <c r="B162" s="2" t="n">
        <v>5</v>
      </c>
      <c r="C162">
        <f>(B162-1)/9</f>
        <v/>
      </c>
    </row>
    <row r="163">
      <c r="A163" s="2" t="inlineStr">
        <is>
          <t>LI_F+TA_M</t>
        </is>
      </c>
      <c r="B163" s="2" t="n">
        <v>5</v>
      </c>
      <c r="C163">
        <f>(B163-1)/9</f>
        <v/>
      </c>
    </row>
    <row r="164">
      <c r="A164" s="2" t="inlineStr">
        <is>
          <t>PI_F+AR_M</t>
        </is>
      </c>
      <c r="B164" s="2" t="n">
        <v>5</v>
      </c>
      <c r="C164">
        <f>(B164-1)/9</f>
        <v/>
      </c>
    </row>
    <row r="165">
      <c r="A165" s="2" t="inlineStr">
        <is>
          <t>VI_F+TA_M</t>
        </is>
      </c>
      <c r="B165" s="2" t="n">
        <v>7</v>
      </c>
      <c r="C165">
        <f>(B165-1)/9</f>
        <v/>
      </c>
    </row>
    <row r="166">
      <c r="A166" s="2" t="inlineStr">
        <is>
          <t>GE_F+GE_M</t>
        </is>
      </c>
      <c r="B166" s="2" t="n">
        <v>6</v>
      </c>
      <c r="C166">
        <f>(B166-1)/9</f>
        <v/>
      </c>
    </row>
    <row r="167">
      <c r="A167" s="2" t="inlineStr">
        <is>
          <t>SG_F+TA_M</t>
        </is>
      </c>
      <c r="B167" s="2" t="n">
        <v>4</v>
      </c>
      <c r="C167">
        <f>(B167-1)/9</f>
        <v/>
      </c>
    </row>
    <row r="168">
      <c r="A168" s="2" t="inlineStr">
        <is>
          <t>CA_F+GE_M</t>
        </is>
      </c>
      <c r="B168" s="2" t="n">
        <v>7</v>
      </c>
      <c r="C168">
        <f>(B168-1)/9</f>
        <v/>
      </c>
    </row>
    <row r="169">
      <c r="A169" s="2" t="inlineStr">
        <is>
          <t>SC_F+TA_M</t>
        </is>
      </c>
      <c r="B169" s="2" t="n">
        <v>6</v>
      </c>
      <c r="C169">
        <f>(B169-1)/9</f>
        <v/>
      </c>
    </row>
    <row r="170">
      <c r="A170" s="2" t="inlineStr">
        <is>
          <t>LE_F+GE_M</t>
        </is>
      </c>
      <c r="B170" s="2" t="n">
        <v>5</v>
      </c>
      <c r="C170">
        <f>(B170-1)/9</f>
        <v/>
      </c>
    </row>
    <row r="171">
      <c r="A171" s="2" t="inlineStr">
        <is>
          <t>CP_F+TA_M</t>
        </is>
      </c>
      <c r="B171" s="2" t="n">
        <v>7</v>
      </c>
      <c r="C171">
        <f>(B171-1)/9</f>
        <v/>
      </c>
    </row>
    <row r="172">
      <c r="A172" s="2" t="inlineStr">
        <is>
          <t>VI_F+GE_M</t>
        </is>
      </c>
      <c r="B172" s="2" t="n">
        <v>5</v>
      </c>
      <c r="C172">
        <f>(B172-1)/9</f>
        <v/>
      </c>
    </row>
    <row r="173">
      <c r="A173" s="2" t="inlineStr">
        <is>
          <t>SC_F+GE_M</t>
        </is>
      </c>
      <c r="B173" s="2" t="n">
        <v>7</v>
      </c>
      <c r="C173">
        <f>(B173-1)/9</f>
        <v/>
      </c>
    </row>
    <row r="174">
      <c r="A174" s="2" t="inlineStr">
        <is>
          <t>LI_F+GE_M</t>
        </is>
      </c>
      <c r="B174" s="2" t="n">
        <v>6</v>
      </c>
      <c r="C174">
        <f>(B174-1)/9</f>
        <v/>
      </c>
    </row>
    <row r="175">
      <c r="A175" s="2" t="inlineStr">
        <is>
          <t>CP_F+GE_M</t>
        </is>
      </c>
      <c r="B175" s="2" t="n">
        <v>5</v>
      </c>
      <c r="C175">
        <f>(B175-1)/9</f>
        <v/>
      </c>
    </row>
    <row r="176">
      <c r="A176" s="2" t="inlineStr">
        <is>
          <t>AQ_F+TA_M</t>
        </is>
      </c>
      <c r="B176" s="2" t="n">
        <v>5</v>
      </c>
      <c r="C176">
        <f>(B176-1)/9</f>
        <v/>
      </c>
    </row>
    <row r="177">
      <c r="A177" s="2" t="inlineStr">
        <is>
          <t>PI_F+TA_M</t>
        </is>
      </c>
      <c r="B177" s="2" t="n">
        <v>6</v>
      </c>
      <c r="C177">
        <f>(B177-1)/9</f>
        <v/>
      </c>
    </row>
    <row r="178">
      <c r="A178" s="2" t="inlineStr">
        <is>
          <t>AR_F+GE_M</t>
        </is>
      </c>
      <c r="B178" s="2" t="n">
        <v>5</v>
      </c>
      <c r="C178">
        <f>(B178-1)/9</f>
        <v/>
      </c>
    </row>
    <row r="179">
      <c r="A179" s="2" t="inlineStr">
        <is>
          <t>CA_F+CA_M</t>
        </is>
      </c>
      <c r="B179" s="2" t="n">
        <v>6</v>
      </c>
      <c r="C179">
        <f>(B179-1)/9</f>
        <v/>
      </c>
    </row>
    <row r="180">
      <c r="A180" s="2" t="inlineStr">
        <is>
          <t>SG_F+GE_M</t>
        </is>
      </c>
      <c r="B180" s="2" t="n">
        <v>5</v>
      </c>
      <c r="C180">
        <f>(B180-1)/9</f>
        <v/>
      </c>
    </row>
    <row r="181">
      <c r="A181" s="2" t="inlineStr">
        <is>
          <t>GE_F+CA_M</t>
        </is>
      </c>
      <c r="B181" s="2" t="n">
        <v>7</v>
      </c>
      <c r="C181">
        <f>(B181-1)/9</f>
        <v/>
      </c>
    </row>
    <row r="182">
      <c r="A182" s="2" t="inlineStr">
        <is>
          <t>CP_F+CA_M</t>
        </is>
      </c>
      <c r="B182" s="2" t="n">
        <v>6</v>
      </c>
      <c r="C182">
        <f>(B182-1)/9</f>
        <v/>
      </c>
    </row>
    <row r="183">
      <c r="A183" s="2" t="inlineStr">
        <is>
          <t>VI_F+CA_M</t>
        </is>
      </c>
      <c r="B183" s="2" t="n">
        <v>6</v>
      </c>
      <c r="C183">
        <f>(B183-1)/9</f>
        <v/>
      </c>
    </row>
    <row r="184">
      <c r="A184" s="2" t="inlineStr">
        <is>
          <t>AQ_F+GE_M</t>
        </is>
      </c>
      <c r="B184" s="2" t="n">
        <v>6</v>
      </c>
      <c r="C184">
        <f>(B184-1)/9</f>
        <v/>
      </c>
    </row>
    <row r="185">
      <c r="A185" s="2" t="inlineStr">
        <is>
          <t>TA_F+CA_M</t>
        </is>
      </c>
      <c r="B185" s="2" t="n">
        <v>7</v>
      </c>
      <c r="C185">
        <f>(B185-1)/9</f>
        <v/>
      </c>
    </row>
    <row r="186">
      <c r="A186" s="2" t="inlineStr">
        <is>
          <t>SG_F+CA_M</t>
        </is>
      </c>
      <c r="B186" s="2" t="n">
        <v>6</v>
      </c>
      <c r="C186">
        <f>(B186-1)/9</f>
        <v/>
      </c>
    </row>
    <row r="187">
      <c r="A187" s="2" t="inlineStr">
        <is>
          <t>AR_F+CA_M</t>
        </is>
      </c>
      <c r="B187" s="2" t="n">
        <v>4</v>
      </c>
      <c r="C187">
        <f>(B187-1)/9</f>
        <v/>
      </c>
    </row>
    <row r="188">
      <c r="A188" s="2" t="inlineStr">
        <is>
          <t>SC_F+CA_M</t>
        </is>
      </c>
      <c r="B188" s="2" t="n">
        <v>5</v>
      </c>
      <c r="C188">
        <f>(B188-1)/9</f>
        <v/>
      </c>
    </row>
    <row r="189">
      <c r="A189" s="2" t="inlineStr">
        <is>
          <t>PI_F+GE_M</t>
        </is>
      </c>
      <c r="B189" s="2" t="n">
        <v>4</v>
      </c>
      <c r="C189">
        <f>(B189-1)/9</f>
        <v/>
      </c>
    </row>
    <row r="190">
      <c r="A190" s="2" t="inlineStr">
        <is>
          <t>LE_F+CA_M</t>
        </is>
      </c>
      <c r="B190" s="2" t="n">
        <v>4</v>
      </c>
      <c r="C190">
        <f>(B190-1)/9</f>
        <v/>
      </c>
    </row>
    <row r="191">
      <c r="A191" s="2" t="inlineStr">
        <is>
          <t>AQ_F+CA_M</t>
        </is>
      </c>
      <c r="B191" s="2" t="n">
        <v>7</v>
      </c>
      <c r="C191">
        <f>(B191-1)/9</f>
        <v/>
      </c>
    </row>
    <row r="192">
      <c r="A192" s="2" t="inlineStr">
        <is>
          <t>PI_F+CA_M</t>
        </is>
      </c>
      <c r="B192" s="2" t="n">
        <v>6</v>
      </c>
      <c r="C192">
        <f>(B192-1)/9</f>
        <v/>
      </c>
    </row>
    <row r="193">
      <c r="A193" s="2" t="inlineStr">
        <is>
          <t>AQ_F+LE_M</t>
        </is>
      </c>
      <c r="B193" s="2" t="n">
        <v>4</v>
      </c>
      <c r="C193">
        <f>(B193-1)/9</f>
        <v/>
      </c>
    </row>
    <row r="194">
      <c r="A194" s="2" t="inlineStr">
        <is>
          <t>LI_F+CA_M</t>
        </is>
      </c>
      <c r="B194" s="2" t="n">
        <v>4</v>
      </c>
      <c r="C194">
        <f>(B194-1)/9</f>
        <v/>
      </c>
    </row>
    <row r="195">
      <c r="A195" s="2" t="inlineStr">
        <is>
          <t>AR_F+LE_M</t>
        </is>
      </c>
      <c r="B195" s="2" t="n">
        <v>8</v>
      </c>
      <c r="C195">
        <f>(B195-1)/9</f>
        <v/>
      </c>
    </row>
    <row r="196">
      <c r="A196" s="2" t="inlineStr">
        <is>
          <t>GE_F+LE_M</t>
        </is>
      </c>
      <c r="B196" s="2" t="n">
        <v>5</v>
      </c>
      <c r="C196">
        <f>(B196-1)/9</f>
        <v/>
      </c>
    </row>
    <row r="197">
      <c r="A197" s="2" t="inlineStr">
        <is>
          <t>TA_F+LE_M</t>
        </is>
      </c>
      <c r="B197" s="2" t="n">
        <v>4</v>
      </c>
      <c r="C197">
        <f>(B197-1)/9</f>
        <v/>
      </c>
    </row>
    <row r="198">
      <c r="A198" s="2" t="inlineStr">
        <is>
          <t>LI_F+LE_M</t>
        </is>
      </c>
      <c r="B198" s="2" t="n">
        <v>5</v>
      </c>
      <c r="C198">
        <f>(B198-1)/9</f>
        <v/>
      </c>
    </row>
    <row r="199">
      <c r="A199" s="2" t="inlineStr">
        <is>
          <t>CP_F+LE_M</t>
        </is>
      </c>
      <c r="B199" s="2" t="n">
        <v>5</v>
      </c>
      <c r="C199">
        <f>(B199-1)/9</f>
        <v/>
      </c>
    </row>
    <row r="200">
      <c r="A200" s="2" t="inlineStr">
        <is>
          <t>VI_F+LE_M</t>
        </is>
      </c>
      <c r="B200" s="2" t="n">
        <v>4</v>
      </c>
      <c r="C200">
        <f>(B200-1)/9</f>
        <v/>
      </c>
    </row>
    <row r="201">
      <c r="A201" s="2" t="inlineStr">
        <is>
          <t>LE_F+LE_M</t>
        </is>
      </c>
      <c r="B201" s="2" t="n">
        <v>7</v>
      </c>
      <c r="C201">
        <f>(B201-1)/9</f>
        <v/>
      </c>
    </row>
    <row r="202">
      <c r="A202" s="2" t="inlineStr">
        <is>
          <t>SC_F+LE_M</t>
        </is>
      </c>
      <c r="B202" s="2" t="n">
        <v>6</v>
      </c>
      <c r="C202">
        <f>(B202-1)/9</f>
        <v/>
      </c>
    </row>
    <row r="203">
      <c r="A203" s="2" t="inlineStr">
        <is>
          <t>PI_F+LE_M</t>
        </is>
      </c>
      <c r="B203" s="2" t="n">
        <v>7</v>
      </c>
      <c r="C203">
        <f>(B203-1)/9</f>
        <v/>
      </c>
    </row>
    <row r="204">
      <c r="A204" s="2" t="inlineStr">
        <is>
          <t>CA_F+VI_M</t>
        </is>
      </c>
      <c r="B204" s="2" t="n">
        <v>6</v>
      </c>
      <c r="C204">
        <f>(B204-1)/9</f>
        <v/>
      </c>
    </row>
    <row r="205">
      <c r="A205" s="2" t="inlineStr">
        <is>
          <t>SG_F+LE_M</t>
        </is>
      </c>
      <c r="B205" s="2" t="n">
        <v>8</v>
      </c>
      <c r="C205">
        <f>(B205-1)/9</f>
        <v/>
      </c>
    </row>
    <row r="206">
      <c r="A206" s="2" t="inlineStr">
        <is>
          <t>TA_F+VI_M</t>
        </is>
      </c>
      <c r="B206" s="2" t="n">
        <v>8</v>
      </c>
      <c r="C206">
        <f>(B206-1)/9</f>
        <v/>
      </c>
    </row>
    <row r="207">
      <c r="A207" s="2" t="inlineStr">
        <is>
          <t>CA_F+LE_M</t>
        </is>
      </c>
      <c r="B207" s="2" t="n">
        <v>4</v>
      </c>
      <c r="C207">
        <f>(B207-1)/9</f>
        <v/>
      </c>
    </row>
    <row r="208">
      <c r="A208" s="2" t="inlineStr">
        <is>
          <t>GE_F+VI_M</t>
        </is>
      </c>
      <c r="B208" s="2" t="n">
        <v>4</v>
      </c>
      <c r="C208">
        <f>(B208-1)/9</f>
        <v/>
      </c>
    </row>
    <row r="209">
      <c r="A209" s="2" t="inlineStr">
        <is>
          <t>AR_F+VI_M</t>
        </is>
      </c>
      <c r="B209" s="2" t="n">
        <v>6</v>
      </c>
      <c r="C209">
        <f>(B209-1)/9</f>
        <v/>
      </c>
    </row>
    <row r="210">
      <c r="A210" s="2" t="inlineStr">
        <is>
          <t>VI_F+VI_M</t>
        </is>
      </c>
      <c r="B210" s="2" t="n">
        <v>7</v>
      </c>
      <c r="C210">
        <f>(B210-1)/9</f>
        <v/>
      </c>
    </row>
    <row r="211">
      <c r="A211" s="2" t="inlineStr">
        <is>
          <t>LE_F+VI_M</t>
        </is>
      </c>
      <c r="B211" s="2" t="n">
        <v>5</v>
      </c>
      <c r="C211">
        <f>(B211-1)/9</f>
        <v/>
      </c>
    </row>
    <row r="212">
      <c r="A212" s="2" t="inlineStr">
        <is>
          <t>SC_F+VI_M</t>
        </is>
      </c>
      <c r="B212" s="2" t="n">
        <v>4</v>
      </c>
      <c r="C212">
        <f>(B212-1)/9</f>
        <v/>
      </c>
    </row>
    <row r="213">
      <c r="A213" s="2" t="inlineStr">
        <is>
          <t>SG_F+VI_M</t>
        </is>
      </c>
      <c r="B213" s="2" t="n">
        <v>5</v>
      </c>
      <c r="C213">
        <f>(B213-1)/9</f>
        <v/>
      </c>
    </row>
    <row r="214">
      <c r="A214" s="2" t="inlineStr">
        <is>
          <t>CP_F+VI_M</t>
        </is>
      </c>
      <c r="B214" s="2" t="n">
        <v>8</v>
      </c>
      <c r="C214">
        <f>(B214-1)/9</f>
        <v/>
      </c>
    </row>
    <row r="215">
      <c r="A215" s="2" t="inlineStr">
        <is>
          <t>LI_F+VI_M</t>
        </is>
      </c>
      <c r="B215" s="2" t="n">
        <v>6</v>
      </c>
      <c r="C215">
        <f>(B215-1)/9</f>
        <v/>
      </c>
    </row>
    <row r="216">
      <c r="A216" s="2" t="inlineStr">
        <is>
          <t>VI_F+LI_M</t>
        </is>
      </c>
      <c r="B216" s="2" t="n">
        <v>5</v>
      </c>
      <c r="C216">
        <f>(B216-1)/9</f>
        <v/>
      </c>
    </row>
    <row r="217">
      <c r="A217" s="2" t="inlineStr">
        <is>
          <t>AQ_F+VI_M</t>
        </is>
      </c>
      <c r="B217" s="2" t="n">
        <v>5</v>
      </c>
      <c r="C217">
        <f>(B217-1)/9</f>
        <v/>
      </c>
    </row>
    <row r="218">
      <c r="A218" s="2" t="inlineStr">
        <is>
          <t>PI_F+VI_M</t>
        </is>
      </c>
      <c r="B218" s="2" t="n">
        <v>5</v>
      </c>
      <c r="C218">
        <f>(B218-1)/9</f>
        <v/>
      </c>
    </row>
    <row r="219">
      <c r="A219" s="2" t="inlineStr">
        <is>
          <t>LI_F+LI_M</t>
        </is>
      </c>
      <c r="B219" s="2" t="n">
        <v>6</v>
      </c>
      <c r="C219">
        <f>(B219-1)/9</f>
        <v/>
      </c>
    </row>
    <row r="220">
      <c r="A220" s="2" t="inlineStr">
        <is>
          <t>AR_F+LI_M</t>
        </is>
      </c>
      <c r="B220" s="2" t="n">
        <v>7</v>
      </c>
      <c r="C220">
        <f>(B220-1)/9</f>
        <v/>
      </c>
    </row>
    <row r="221">
      <c r="A221" s="2" t="inlineStr">
        <is>
          <t>CA_F+LI_M</t>
        </is>
      </c>
      <c r="B221" s="2" t="n">
        <v>5</v>
      </c>
      <c r="C221">
        <f>(B221-1)/9</f>
        <v/>
      </c>
    </row>
    <row r="222">
      <c r="A222" s="2" t="inlineStr">
        <is>
          <t>CA_F+SC_M</t>
        </is>
      </c>
      <c r="B222" s="2" t="n">
        <v>8</v>
      </c>
      <c r="C222">
        <f>(B222-1)/9</f>
        <v/>
      </c>
    </row>
    <row r="223">
      <c r="A223" s="2" t="inlineStr">
        <is>
          <t>TA_F+LI_M</t>
        </is>
      </c>
      <c r="B223" s="2" t="n">
        <v>5</v>
      </c>
      <c r="C223">
        <f>(B223-1)/9</f>
        <v/>
      </c>
    </row>
    <row r="224">
      <c r="A224" s="2" t="inlineStr">
        <is>
          <t>CP_F+LI_M</t>
        </is>
      </c>
      <c r="B224" s="2" t="n">
        <v>6</v>
      </c>
      <c r="C224">
        <f>(B224-1)/9</f>
        <v/>
      </c>
    </row>
    <row r="225">
      <c r="A225" s="2" t="inlineStr">
        <is>
          <t>GE_F+LI_M</t>
        </is>
      </c>
      <c r="B225" s="2" t="n">
        <v>8</v>
      </c>
      <c r="C225">
        <f>(B225-1)/9</f>
        <v/>
      </c>
    </row>
    <row r="226">
      <c r="A226" s="2" t="inlineStr">
        <is>
          <t>SC_F+LI_M</t>
        </is>
      </c>
      <c r="B226" s="2" t="n">
        <v>5</v>
      </c>
      <c r="C226">
        <f>(B226-1)/9</f>
        <v/>
      </c>
    </row>
    <row r="227">
      <c r="A227" s="2" t="inlineStr">
        <is>
          <t>LE_F+LI_M</t>
        </is>
      </c>
      <c r="B227" s="2" t="n">
        <v>6</v>
      </c>
      <c r="C227">
        <f>(B227-1)/9</f>
        <v/>
      </c>
    </row>
    <row r="228">
      <c r="A228" s="2" t="inlineStr">
        <is>
          <t>PI_F+LI_M</t>
        </is>
      </c>
      <c r="B228" s="2" t="n">
        <v>6</v>
      </c>
      <c r="C228">
        <f>(B228-1)/9</f>
        <v/>
      </c>
    </row>
    <row r="229">
      <c r="A229" s="2" t="inlineStr">
        <is>
          <t>AQ_F+LI_M</t>
        </is>
      </c>
      <c r="B229" s="2" t="n">
        <v>8</v>
      </c>
      <c r="C229">
        <f>(B229-1)/9</f>
        <v/>
      </c>
    </row>
    <row r="230">
      <c r="A230" s="2" t="inlineStr">
        <is>
          <t>TA_F+SC_M</t>
        </is>
      </c>
      <c r="B230" s="2" t="n">
        <v>6</v>
      </c>
      <c r="C230">
        <f>(B230-1)/9</f>
        <v/>
      </c>
    </row>
    <row r="231">
      <c r="A231" s="2" t="inlineStr">
        <is>
          <t>LE_F+SC_M</t>
        </is>
      </c>
      <c r="B231" s="2" t="n">
        <v>5</v>
      </c>
      <c r="C231">
        <f>(B231-1)/9</f>
        <v/>
      </c>
    </row>
    <row r="232">
      <c r="A232" s="2" t="inlineStr">
        <is>
          <t>VI_F+SC_M</t>
        </is>
      </c>
      <c r="B232" s="2" t="n">
        <v>6</v>
      </c>
      <c r="C232">
        <f>(B232-1)/9</f>
        <v/>
      </c>
    </row>
    <row r="233">
      <c r="A233" s="2" t="inlineStr">
        <is>
          <t>GE_F+SC_M</t>
        </is>
      </c>
      <c r="B233" s="2" t="n">
        <v>6</v>
      </c>
      <c r="C233">
        <f>(B233-1)/9</f>
        <v/>
      </c>
    </row>
    <row r="234">
      <c r="A234" s="2" t="inlineStr">
        <is>
          <t>AR_F+SC_M</t>
        </is>
      </c>
      <c r="B234" s="2" t="n">
        <v>5</v>
      </c>
      <c r="C234">
        <f>(B234-1)/9</f>
        <v/>
      </c>
    </row>
    <row r="235">
      <c r="A235" s="2" t="inlineStr">
        <is>
          <t>PI_F+SC_M</t>
        </is>
      </c>
      <c r="B235" s="2" t="n">
        <v>8</v>
      </c>
      <c r="C235">
        <f>(B235-1)/9</f>
        <v/>
      </c>
    </row>
    <row r="236">
      <c r="A236" s="2" t="inlineStr">
        <is>
          <t>CP_F+SC_M</t>
        </is>
      </c>
      <c r="B236" s="2" t="n">
        <v>5</v>
      </c>
      <c r="C236">
        <f>(B236-1)/9</f>
        <v/>
      </c>
    </row>
    <row r="237">
      <c r="A237" s="2" t="inlineStr">
        <is>
          <t>SG_F+SC_M</t>
        </is>
      </c>
      <c r="B237" s="2" t="n">
        <v>5</v>
      </c>
      <c r="C237">
        <f>(B237-1)/9</f>
        <v/>
      </c>
    </row>
    <row r="238">
      <c r="A238" s="2" t="inlineStr">
        <is>
          <t>SG_F+LI_M</t>
        </is>
      </c>
      <c r="B238" s="2" t="n">
        <v>7</v>
      </c>
      <c r="C238">
        <f>(B238-1)/9</f>
        <v/>
      </c>
    </row>
    <row r="239">
      <c r="A239" s="2" t="inlineStr">
        <is>
          <t>SC_F+SC_M</t>
        </is>
      </c>
      <c r="B239" s="2" t="n">
        <v>7</v>
      </c>
      <c r="C239">
        <f>(B239-1)/9</f>
        <v/>
      </c>
    </row>
    <row r="240">
      <c r="A240" s="2" t="inlineStr">
        <is>
          <t>AR_F+SG_M</t>
        </is>
      </c>
      <c r="B240" s="2" t="n">
        <v>6</v>
      </c>
      <c r="C240">
        <f>(B240-1)/9</f>
        <v/>
      </c>
    </row>
    <row r="241">
      <c r="A241" s="2" t="inlineStr">
        <is>
          <t>AQ_F+SC_M</t>
        </is>
      </c>
      <c r="B241" s="2" t="n">
        <v>4</v>
      </c>
      <c r="C241">
        <f>(B241-1)/9</f>
        <v/>
      </c>
    </row>
    <row r="242">
      <c r="A242" s="2" t="inlineStr">
        <is>
          <t>TA_F+SG_M</t>
        </is>
      </c>
      <c r="B242" s="2" t="n">
        <v>4</v>
      </c>
      <c r="C242">
        <f>(B242-1)/9</f>
        <v/>
      </c>
    </row>
    <row r="243">
      <c r="A243" s="2" t="inlineStr">
        <is>
          <t>LI_F+SG_M</t>
        </is>
      </c>
      <c r="B243" s="2" t="n">
        <v>7</v>
      </c>
      <c r="C243">
        <f>(B243-1)/9</f>
        <v/>
      </c>
    </row>
    <row r="244">
      <c r="A244" s="2" t="inlineStr">
        <is>
          <t>CA_F+SG_M</t>
        </is>
      </c>
      <c r="B244" s="2" t="n">
        <v>6</v>
      </c>
      <c r="C244">
        <f>(B244-1)/9</f>
        <v/>
      </c>
    </row>
    <row r="245">
      <c r="A245" s="2" t="inlineStr">
        <is>
          <t>LI_F+SC_M</t>
        </is>
      </c>
      <c r="B245" s="2" t="n">
        <v>4</v>
      </c>
      <c r="C245">
        <f>(B245-1)/9</f>
        <v/>
      </c>
    </row>
    <row r="246">
      <c r="A246" s="2" t="inlineStr">
        <is>
          <t>PI_F+SG_M</t>
        </is>
      </c>
      <c r="B246" s="2" t="n">
        <v>5</v>
      </c>
      <c r="C246">
        <f>(B246-1)/9</f>
        <v/>
      </c>
    </row>
    <row r="247">
      <c r="A247" s="2" t="inlineStr">
        <is>
          <t>VI_F+SG_M</t>
        </is>
      </c>
      <c r="B247" s="2" t="n">
        <v>4</v>
      </c>
      <c r="C247">
        <f>(B247-1)/9</f>
        <v/>
      </c>
    </row>
    <row r="248">
      <c r="A248" s="2" t="inlineStr">
        <is>
          <t>LE_F+SG_M</t>
        </is>
      </c>
      <c r="B248" s="2" t="n">
        <v>8</v>
      </c>
      <c r="C248">
        <f>(B248-1)/9</f>
        <v/>
      </c>
    </row>
    <row r="249">
      <c r="A249" s="2" t="inlineStr">
        <is>
          <t>CP_F+SG_M</t>
        </is>
      </c>
      <c r="B249" s="2" t="n">
        <v>4</v>
      </c>
      <c r="C249">
        <f>(B249-1)/9</f>
        <v/>
      </c>
    </row>
    <row r="250">
      <c r="A250" s="2" t="inlineStr">
        <is>
          <t>AQ_F+SG_M</t>
        </is>
      </c>
      <c r="B250" s="2" t="n">
        <v>6</v>
      </c>
      <c r="C250">
        <f>(B250-1)/9</f>
        <v/>
      </c>
    </row>
    <row r="251">
      <c r="A251" s="2" t="inlineStr">
        <is>
          <t>SG_F+SG_M</t>
        </is>
      </c>
      <c r="B251" s="2" t="n">
        <v>6</v>
      </c>
      <c r="C251">
        <f>(B251-1)/9</f>
        <v/>
      </c>
    </row>
    <row r="252">
      <c r="A252" s="2" t="inlineStr">
        <is>
          <t>SC_F+SG_M</t>
        </is>
      </c>
      <c r="B252" s="2" t="n">
        <v>6</v>
      </c>
      <c r="C252">
        <f>(B252-1)/9</f>
        <v/>
      </c>
    </row>
    <row r="253">
      <c r="A253" s="2" t="inlineStr">
        <is>
          <t>GE_F+CP_M</t>
        </is>
      </c>
      <c r="B253" s="2" t="n">
        <v>5</v>
      </c>
      <c r="C253">
        <f>(B253-1)/9</f>
        <v/>
      </c>
    </row>
    <row r="254">
      <c r="A254" s="2" t="inlineStr">
        <is>
          <t>CA_F+CP_M</t>
        </is>
      </c>
      <c r="B254" s="2" t="n">
        <v>5</v>
      </c>
      <c r="C254">
        <f>(B254-1)/9</f>
        <v/>
      </c>
    </row>
    <row r="255">
      <c r="A255" s="2" t="inlineStr">
        <is>
          <t>LE_F+CP_M</t>
        </is>
      </c>
      <c r="B255" s="2" t="n">
        <v>6</v>
      </c>
      <c r="C255">
        <f>(B255-1)/9</f>
        <v/>
      </c>
    </row>
    <row r="256">
      <c r="A256" s="2" t="inlineStr">
        <is>
          <t>AR_F+CP_M</t>
        </is>
      </c>
      <c r="B256" s="2" t="n">
        <v>4</v>
      </c>
      <c r="C256">
        <f>(B256-1)/9</f>
        <v/>
      </c>
    </row>
    <row r="257">
      <c r="A257" s="2" t="inlineStr">
        <is>
          <t>TA_F+CP_M</t>
        </is>
      </c>
      <c r="B257" s="2" t="n">
        <v>7</v>
      </c>
      <c r="C257">
        <f>(B257-1)/9</f>
        <v/>
      </c>
    </row>
    <row r="258">
      <c r="A258" s="2" t="inlineStr">
        <is>
          <t>SC_F+CP_M</t>
        </is>
      </c>
      <c r="B258" s="2" t="n">
        <v>5</v>
      </c>
      <c r="C258">
        <f>(B258-1)/9</f>
        <v/>
      </c>
    </row>
    <row r="259">
      <c r="A259" s="2" t="inlineStr">
        <is>
          <t>VI_F+CP_M</t>
        </is>
      </c>
      <c r="B259" s="2" t="n">
        <v>8</v>
      </c>
      <c r="C259">
        <f>(B259-1)/9</f>
        <v/>
      </c>
    </row>
    <row r="260">
      <c r="A260" s="2" t="inlineStr">
        <is>
          <t>GE_F+SG_M</t>
        </is>
      </c>
      <c r="B260" s="2" t="n">
        <v>7</v>
      </c>
      <c r="C260">
        <f>(B260-1)/9</f>
        <v/>
      </c>
    </row>
    <row r="261">
      <c r="A261" s="2" t="inlineStr">
        <is>
          <t>LI_F+CP_M</t>
        </is>
      </c>
      <c r="B261" s="2" t="n">
        <v>5</v>
      </c>
      <c r="C261">
        <f>(B261-1)/9</f>
        <v/>
      </c>
    </row>
    <row r="262">
      <c r="A262" s="2" t="inlineStr">
        <is>
          <t>PI_F+CP_M</t>
        </is>
      </c>
      <c r="B262" s="2" t="n">
        <v>6</v>
      </c>
      <c r="C262">
        <f>(B262-1)/9</f>
        <v/>
      </c>
    </row>
    <row r="263">
      <c r="A263" s="2" t="inlineStr">
        <is>
          <t>AQ_F+CP_M</t>
        </is>
      </c>
      <c r="B263" s="2" t="n">
        <v>5</v>
      </c>
      <c r="C263">
        <f>(B263-1)/9</f>
        <v/>
      </c>
    </row>
    <row r="264">
      <c r="A264" s="2" t="inlineStr">
        <is>
          <t>SG_F+CP_M</t>
        </is>
      </c>
      <c r="B264" s="2" t="n">
        <v>4</v>
      </c>
      <c r="C264">
        <f>(B264-1)/9</f>
        <v/>
      </c>
    </row>
    <row r="265">
      <c r="A265" s="2" t="inlineStr">
        <is>
          <t>LE_F+AQ_M</t>
        </is>
      </c>
      <c r="B265" s="2" t="n">
        <v>4</v>
      </c>
      <c r="C265">
        <f>(B265-1)/9</f>
        <v/>
      </c>
    </row>
    <row r="266">
      <c r="A266" s="2" t="inlineStr">
        <is>
          <t>AR_F+AQ_M</t>
        </is>
      </c>
      <c r="B266" s="2" t="n">
        <v>6</v>
      </c>
      <c r="C266">
        <f>(B266-1)/9</f>
        <v/>
      </c>
    </row>
    <row r="267">
      <c r="A267" s="2" t="inlineStr">
        <is>
          <t>GE_F+AQ_M</t>
        </is>
      </c>
      <c r="B267" s="2" t="n">
        <v>6</v>
      </c>
      <c r="C267">
        <f>(B267-1)/9</f>
        <v/>
      </c>
    </row>
    <row r="268">
      <c r="A268" s="2" t="inlineStr">
        <is>
          <t>CP_F+CP_M</t>
        </is>
      </c>
      <c r="B268" s="2" t="n">
        <v>7</v>
      </c>
      <c r="C268">
        <f>(B268-1)/9</f>
        <v/>
      </c>
    </row>
    <row r="269">
      <c r="A269" s="2" t="inlineStr">
        <is>
          <t>LI_F+AQ_M</t>
        </is>
      </c>
      <c r="B269" s="2" t="n">
        <v>8</v>
      </c>
      <c r="C269">
        <f>(B269-1)/9</f>
        <v/>
      </c>
    </row>
    <row r="270">
      <c r="A270" s="2" t="inlineStr">
        <is>
          <t>TA_F+AQ_M</t>
        </is>
      </c>
      <c r="B270" s="2" t="n">
        <v>5</v>
      </c>
      <c r="C270">
        <f>(B270-1)/9</f>
        <v/>
      </c>
    </row>
    <row r="271">
      <c r="A271" s="2" t="inlineStr">
        <is>
          <t>VI_F+AQ_M</t>
        </is>
      </c>
      <c r="B271" s="2" t="n">
        <v>5</v>
      </c>
      <c r="C271">
        <f>(B271-1)/9</f>
        <v/>
      </c>
    </row>
    <row r="272">
      <c r="A272" s="2" t="inlineStr">
        <is>
          <t>GE_F+PI_M</t>
        </is>
      </c>
      <c r="B272" s="2" t="n">
        <v>4</v>
      </c>
      <c r="C272">
        <f>(B272-1)/9</f>
        <v/>
      </c>
    </row>
    <row r="273">
      <c r="A273" s="2" t="inlineStr">
        <is>
          <t>CP_F+AQ_M</t>
        </is>
      </c>
      <c r="B273" s="2" t="n">
        <v>5</v>
      </c>
      <c r="C273">
        <f>(B273-1)/9</f>
        <v/>
      </c>
    </row>
    <row r="274">
      <c r="A274" s="2" t="inlineStr">
        <is>
          <t>SC_F+AQ_M</t>
        </is>
      </c>
      <c r="B274" s="2" t="n">
        <v>4</v>
      </c>
      <c r="C274">
        <f>(B274-1)/9</f>
        <v/>
      </c>
    </row>
    <row r="275">
      <c r="A275" s="2" t="inlineStr">
        <is>
          <t>CA_F+AQ_M</t>
        </is>
      </c>
      <c r="B275" s="2" t="n">
        <v>7</v>
      </c>
      <c r="C275">
        <f>(B275-1)/9</f>
        <v/>
      </c>
    </row>
    <row r="276">
      <c r="A276" s="2" t="inlineStr">
        <is>
          <t>SG_F+AQ_M</t>
        </is>
      </c>
      <c r="B276" s="2" t="n">
        <v>6</v>
      </c>
      <c r="C276">
        <f>(B276-1)/9</f>
        <v/>
      </c>
    </row>
    <row r="277">
      <c r="A277" s="2" t="inlineStr">
        <is>
          <t>AR_F+PI_M</t>
        </is>
      </c>
      <c r="B277" s="2" t="n">
        <v>5</v>
      </c>
      <c r="C277">
        <f>(B277-1)/9</f>
        <v/>
      </c>
    </row>
    <row r="278">
      <c r="A278" s="2" t="inlineStr">
        <is>
          <t>AQ_F+AQ_M</t>
        </is>
      </c>
      <c r="B278" s="2" t="n">
        <v>6</v>
      </c>
      <c r="C278">
        <f>(B278-1)/9</f>
        <v/>
      </c>
    </row>
    <row r="279">
      <c r="A279" s="2" t="inlineStr">
        <is>
          <t>SC_F+PI_M</t>
        </is>
      </c>
      <c r="B279" s="2" t="n">
        <v>8</v>
      </c>
      <c r="C279">
        <f>(B279-1)/9</f>
        <v/>
      </c>
    </row>
    <row r="280">
      <c r="A280" s="2" t="inlineStr">
        <is>
          <t>TA_F+PI_M</t>
        </is>
      </c>
      <c r="B280" s="2" t="n">
        <v>6</v>
      </c>
      <c r="C280">
        <f>(B280-1)/9</f>
        <v/>
      </c>
    </row>
    <row r="281">
      <c r="A281" s="2" t="inlineStr">
        <is>
          <t>CA_F+PI_M</t>
        </is>
      </c>
      <c r="B281" s="2" t="n">
        <v>6</v>
      </c>
      <c r="C281">
        <f>(B281-1)/9</f>
        <v/>
      </c>
    </row>
    <row r="282">
      <c r="A282" s="2" t="inlineStr">
        <is>
          <t>PI_F+AQ_M</t>
        </is>
      </c>
      <c r="B282" s="2" t="n">
        <v>7</v>
      </c>
      <c r="C282">
        <f>(B282-1)/9</f>
        <v/>
      </c>
    </row>
    <row r="283">
      <c r="A283" s="2" t="inlineStr">
        <is>
          <t>AQ_F+PI_M</t>
        </is>
      </c>
      <c r="B283" s="2" t="n">
        <v>7</v>
      </c>
      <c r="C283">
        <f>(B283-1)/9</f>
        <v/>
      </c>
    </row>
    <row r="284">
      <c r="A284" s="2" t="inlineStr">
        <is>
          <t>AR_M+TA_M</t>
        </is>
      </c>
      <c r="B284" s="2" t="n">
        <v>7</v>
      </c>
      <c r="C284">
        <f>(B284-1)/9</f>
        <v/>
      </c>
    </row>
    <row r="285">
      <c r="A285" s="2" t="inlineStr">
        <is>
          <t>AR_M+LE_M</t>
        </is>
      </c>
      <c r="B285" s="2" t="n">
        <v>8</v>
      </c>
      <c r="C285">
        <f>(B285-1)/9</f>
        <v/>
      </c>
    </row>
    <row r="286">
      <c r="A286" s="2" t="inlineStr">
        <is>
          <t>VI_F+PI_M</t>
        </is>
      </c>
      <c r="B286" s="2" t="n">
        <v>6</v>
      </c>
      <c r="C286">
        <f>(B286-1)/9</f>
        <v/>
      </c>
    </row>
    <row r="287">
      <c r="A287" s="2" t="inlineStr">
        <is>
          <t>CP_F+PI_M</t>
        </is>
      </c>
      <c r="B287" s="2" t="n">
        <v>6</v>
      </c>
      <c r="C287">
        <f>(B287-1)/9</f>
        <v/>
      </c>
    </row>
    <row r="288">
      <c r="A288" s="2" t="inlineStr">
        <is>
          <t>LE_F+PI_M</t>
        </is>
      </c>
      <c r="B288" s="2" t="n">
        <v>7</v>
      </c>
      <c r="C288">
        <f>(B288-1)/9</f>
        <v/>
      </c>
    </row>
    <row r="289">
      <c r="A289" s="2" t="inlineStr">
        <is>
          <t>LI_F+PI_M</t>
        </is>
      </c>
      <c r="B289" s="2" t="n">
        <v>6</v>
      </c>
      <c r="C289">
        <f>(B289-1)/9</f>
        <v/>
      </c>
    </row>
    <row r="290">
      <c r="A290" s="2" t="inlineStr">
        <is>
          <t>PI_F+PI_M</t>
        </is>
      </c>
      <c r="B290" s="2" t="n">
        <v>6</v>
      </c>
      <c r="C290">
        <f>(B290-1)/9</f>
        <v/>
      </c>
    </row>
    <row r="291">
      <c r="A291" s="2" t="inlineStr">
        <is>
          <t>SG_F+PI_M</t>
        </is>
      </c>
      <c r="B291" s="2" t="n">
        <v>5</v>
      </c>
      <c r="C291">
        <f>(B291-1)/9</f>
        <v/>
      </c>
    </row>
    <row r="292">
      <c r="A292" s="2" t="inlineStr">
        <is>
          <t>AR_M+AR_M</t>
        </is>
      </c>
      <c r="B292" s="2" t="n">
        <v>6</v>
      </c>
      <c r="C292">
        <f>(B292-1)/9</f>
        <v/>
      </c>
    </row>
    <row r="293">
      <c r="A293" s="2" t="inlineStr">
        <is>
          <t>AR_M+CA_M</t>
        </is>
      </c>
      <c r="B293" s="2" t="n">
        <v>4</v>
      </c>
      <c r="C293">
        <f>(B293-1)/9</f>
        <v/>
      </c>
    </row>
    <row r="294">
      <c r="A294" s="2" t="inlineStr">
        <is>
          <t>AR_M+GE_M</t>
        </is>
      </c>
      <c r="B294" s="2" t="n">
        <v>5</v>
      </c>
      <c r="C294">
        <f>(B294-1)/9</f>
        <v/>
      </c>
    </row>
    <row r="295">
      <c r="A295" s="2" t="inlineStr">
        <is>
          <t>AR_M+SC_M</t>
        </is>
      </c>
      <c r="B295" s="2" t="n">
        <v>5</v>
      </c>
      <c r="C295">
        <f>(B295-1)/9</f>
        <v/>
      </c>
    </row>
    <row r="296">
      <c r="A296" s="2" t="inlineStr">
        <is>
          <t>TA_M+GE_M</t>
        </is>
      </c>
      <c r="B296" s="2" t="n">
        <v>5</v>
      </c>
      <c r="C296">
        <f>(B296-1)/9</f>
        <v/>
      </c>
    </row>
    <row r="297">
      <c r="A297" s="2" t="inlineStr">
        <is>
          <t>AR_M+LI_M</t>
        </is>
      </c>
      <c r="B297" s="2" t="n">
        <v>7</v>
      </c>
      <c r="C297">
        <f>(B297-1)/9</f>
        <v/>
      </c>
    </row>
    <row r="298">
      <c r="A298" s="2" t="inlineStr">
        <is>
          <t>AR_M+VI_M</t>
        </is>
      </c>
      <c r="B298" s="2" t="n">
        <v>6</v>
      </c>
      <c r="C298">
        <f>(B298-1)/9</f>
        <v/>
      </c>
    </row>
    <row r="299">
      <c r="A299" s="2" t="inlineStr">
        <is>
          <t>AR_M+CP_M</t>
        </is>
      </c>
      <c r="B299" s="2" t="n">
        <v>4</v>
      </c>
      <c r="C299">
        <f>(B299-1)/9</f>
        <v/>
      </c>
    </row>
    <row r="300">
      <c r="A300" s="2" t="inlineStr">
        <is>
          <t>TA_M+AR_M</t>
        </is>
      </c>
      <c r="B300" s="2" t="n">
        <v>7</v>
      </c>
      <c r="C300">
        <f>(B300-1)/9</f>
        <v/>
      </c>
    </row>
    <row r="301">
      <c r="A301" s="2" t="inlineStr">
        <is>
          <t>AR_M+SG_M</t>
        </is>
      </c>
      <c r="B301" s="2" t="n">
        <v>6</v>
      </c>
      <c r="C301">
        <f>(B301-1)/9</f>
        <v/>
      </c>
    </row>
    <row r="302">
      <c r="A302" s="2" t="inlineStr">
        <is>
          <t>TA_M+LE_M</t>
        </is>
      </c>
      <c r="B302" s="2" t="n">
        <v>4</v>
      </c>
      <c r="C302">
        <f>(B302-1)/9</f>
        <v/>
      </c>
    </row>
    <row r="303">
      <c r="A303" s="2" t="inlineStr">
        <is>
          <t>TA_M+TA_M</t>
        </is>
      </c>
      <c r="B303" s="2" t="n">
        <v>6</v>
      </c>
      <c r="C303">
        <f>(B303-1)/9</f>
        <v/>
      </c>
    </row>
    <row r="304">
      <c r="A304" s="2" t="inlineStr">
        <is>
          <t>AR_M+AQ_M</t>
        </is>
      </c>
      <c r="B304" s="2" t="n">
        <v>6</v>
      </c>
      <c r="C304">
        <f>(B304-1)/9</f>
        <v/>
      </c>
    </row>
    <row r="305">
      <c r="A305" s="2" t="inlineStr">
        <is>
          <t>AR_M+PI_M</t>
        </is>
      </c>
      <c r="B305" s="2" t="n">
        <v>5</v>
      </c>
      <c r="C305">
        <f>(B305-1)/9</f>
        <v/>
      </c>
    </row>
    <row r="306">
      <c r="A306" s="2" t="inlineStr">
        <is>
          <t>TA_M+VI_M</t>
        </is>
      </c>
      <c r="B306" s="2" t="n">
        <v>8</v>
      </c>
      <c r="C306">
        <f>(B306-1)/9</f>
        <v/>
      </c>
    </row>
    <row r="307">
      <c r="A307" s="2" t="inlineStr">
        <is>
          <t>TA_M+SC_M</t>
        </is>
      </c>
      <c r="B307" s="2" t="n">
        <v>6</v>
      </c>
      <c r="C307">
        <f>(B307-1)/9</f>
        <v/>
      </c>
    </row>
    <row r="308">
      <c r="A308" s="2" t="inlineStr">
        <is>
          <t>TA_M+CA_M</t>
        </is>
      </c>
      <c r="B308" s="2" t="n">
        <v>7</v>
      </c>
      <c r="C308">
        <f>(B308-1)/9</f>
        <v/>
      </c>
    </row>
    <row r="309">
      <c r="A309" s="2" t="inlineStr">
        <is>
          <t>GE_M+AR_M</t>
        </is>
      </c>
      <c r="B309" s="2" t="n">
        <v>5</v>
      </c>
      <c r="C309">
        <f>(B309-1)/9</f>
        <v/>
      </c>
    </row>
    <row r="310">
      <c r="A310" s="2" t="inlineStr">
        <is>
          <t>TA_M+AQ_M</t>
        </is>
      </c>
      <c r="B310" s="2" t="n">
        <v>5</v>
      </c>
      <c r="C310">
        <f>(B310-1)/9</f>
        <v/>
      </c>
    </row>
    <row r="311">
      <c r="A311" s="2" t="inlineStr">
        <is>
          <t>TA_M+LI_M</t>
        </is>
      </c>
      <c r="B311" s="2" t="n">
        <v>5</v>
      </c>
      <c r="C311">
        <f>(B311-1)/9</f>
        <v/>
      </c>
    </row>
    <row r="312">
      <c r="A312" s="2" t="inlineStr">
        <is>
          <t>GE_M+TA_M</t>
        </is>
      </c>
      <c r="B312" s="2" t="n">
        <v>6</v>
      </c>
      <c r="C312">
        <f>(B312-1)/9</f>
        <v/>
      </c>
    </row>
    <row r="313">
      <c r="A313" s="2" t="inlineStr">
        <is>
          <t>GE_M+LE_M</t>
        </is>
      </c>
      <c r="B313" s="2" t="n">
        <v>5</v>
      </c>
      <c r="C313">
        <f>(B313-1)/9</f>
        <v/>
      </c>
    </row>
    <row r="314">
      <c r="A314" s="2" t="inlineStr">
        <is>
          <t>TA_M+SG_M</t>
        </is>
      </c>
      <c r="B314" s="2" t="n">
        <v>4</v>
      </c>
      <c r="C314">
        <f>(B314-1)/9</f>
        <v/>
      </c>
    </row>
    <row r="315">
      <c r="A315" s="2" t="inlineStr">
        <is>
          <t>TA_M+CP_M</t>
        </is>
      </c>
      <c r="B315" s="2" t="n">
        <v>7</v>
      </c>
      <c r="C315">
        <f>(B315-1)/9</f>
        <v/>
      </c>
    </row>
    <row r="316">
      <c r="A316" s="2" t="inlineStr">
        <is>
          <t>GE_M+AQ_M</t>
        </is>
      </c>
      <c r="B316" s="2" t="n">
        <v>6</v>
      </c>
      <c r="C316">
        <f>(B316-1)/9</f>
        <v/>
      </c>
    </row>
    <row r="317">
      <c r="A317" s="2" t="inlineStr">
        <is>
          <t>TA_M+PI_M</t>
        </is>
      </c>
      <c r="B317" s="2" t="n">
        <v>6</v>
      </c>
      <c r="C317">
        <f>(B317-1)/9</f>
        <v/>
      </c>
    </row>
    <row r="318">
      <c r="A318" s="2" t="inlineStr">
        <is>
          <t>CA_M+TA_M</t>
        </is>
      </c>
      <c r="B318" s="2" t="n">
        <v>5</v>
      </c>
      <c r="C318">
        <f>(B318-1)/9</f>
        <v/>
      </c>
    </row>
    <row r="319">
      <c r="A319" s="2" t="inlineStr">
        <is>
          <t>GE_M+GE_M</t>
        </is>
      </c>
      <c r="B319" s="2" t="n">
        <v>6</v>
      </c>
      <c r="C319">
        <f>(B319-1)/9</f>
        <v/>
      </c>
    </row>
    <row r="320">
      <c r="A320" s="2" t="inlineStr">
        <is>
          <t>GE_M+VI_M</t>
        </is>
      </c>
      <c r="B320" s="2" t="n">
        <v>4</v>
      </c>
      <c r="C320">
        <f>(B320-1)/9</f>
        <v/>
      </c>
    </row>
    <row r="321">
      <c r="A321" s="2" t="inlineStr">
        <is>
          <t>GE_M+CA_M</t>
        </is>
      </c>
      <c r="B321" s="2" t="n">
        <v>7</v>
      </c>
      <c r="C321">
        <f>(B321-1)/9</f>
        <v/>
      </c>
    </row>
    <row r="322">
      <c r="A322" s="2" t="inlineStr">
        <is>
          <t>GE_M+LI_M</t>
        </is>
      </c>
      <c r="B322" s="2" t="n">
        <v>8</v>
      </c>
      <c r="C322">
        <f>(B322-1)/9</f>
        <v/>
      </c>
    </row>
    <row r="323">
      <c r="A323" s="2" t="inlineStr">
        <is>
          <t>GE_M+PI_M</t>
        </is>
      </c>
      <c r="B323" s="2" t="n">
        <v>4</v>
      </c>
      <c r="C323">
        <f>(B323-1)/9</f>
        <v/>
      </c>
    </row>
    <row r="324">
      <c r="A324" s="2" t="inlineStr">
        <is>
          <t>CA_M+GE_M</t>
        </is>
      </c>
      <c r="B324" s="2" t="n">
        <v>7</v>
      </c>
      <c r="C324">
        <f>(B324-1)/9</f>
        <v/>
      </c>
    </row>
    <row r="325">
      <c r="A325" s="2" t="inlineStr">
        <is>
          <t>GE_M+SC_M</t>
        </is>
      </c>
      <c r="B325" s="2" t="n">
        <v>6</v>
      </c>
      <c r="C325">
        <f>(B325-1)/9</f>
        <v/>
      </c>
    </row>
    <row r="326">
      <c r="A326" s="2" t="inlineStr">
        <is>
          <t>GE_M+SG_M</t>
        </is>
      </c>
      <c r="B326" s="2" t="n">
        <v>7</v>
      </c>
      <c r="C326">
        <f>(B326-1)/9</f>
        <v/>
      </c>
    </row>
    <row r="327">
      <c r="A327" s="2" t="inlineStr">
        <is>
          <t>GE_M+CP_M</t>
        </is>
      </c>
      <c r="B327" s="2" t="n">
        <v>5</v>
      </c>
      <c r="C327">
        <f>(B327-1)/9</f>
        <v/>
      </c>
    </row>
    <row r="328">
      <c r="A328" s="2" t="inlineStr">
        <is>
          <t>CA_M+SC_M</t>
        </is>
      </c>
      <c r="B328" s="2" t="n">
        <v>8</v>
      </c>
      <c r="C328">
        <f>(B328-1)/9</f>
        <v/>
      </c>
    </row>
    <row r="329">
      <c r="A329" s="2" t="inlineStr">
        <is>
          <t>CA_M+LI_M</t>
        </is>
      </c>
      <c r="B329" s="2" t="n">
        <v>5</v>
      </c>
      <c r="C329">
        <f>(B329-1)/9</f>
        <v/>
      </c>
    </row>
    <row r="330">
      <c r="A330" s="2" t="inlineStr">
        <is>
          <t>CA_M+AR_M</t>
        </is>
      </c>
      <c r="B330" s="2" t="n">
        <v>6</v>
      </c>
      <c r="C330">
        <f>(B330-1)/9</f>
        <v/>
      </c>
    </row>
    <row r="331">
      <c r="A331" s="2" t="inlineStr">
        <is>
          <t>CA_M+CA_M</t>
        </is>
      </c>
      <c r="B331" s="2" t="n">
        <v>6</v>
      </c>
      <c r="C331">
        <f>(B331-1)/9</f>
        <v/>
      </c>
    </row>
    <row r="332">
      <c r="A332" s="2" t="inlineStr">
        <is>
          <t>CA_M+PI_M</t>
        </is>
      </c>
      <c r="B332" s="2" t="n">
        <v>6</v>
      </c>
      <c r="C332">
        <f>(B332-1)/9</f>
        <v/>
      </c>
    </row>
    <row r="333">
      <c r="A333" s="2" t="inlineStr">
        <is>
          <t>CA_M+SG_M</t>
        </is>
      </c>
      <c r="B333" s="2" t="n">
        <v>6</v>
      </c>
      <c r="C333">
        <f>(B333-1)/9</f>
        <v/>
      </c>
    </row>
    <row r="334">
      <c r="A334" s="2" t="inlineStr">
        <is>
          <t>CA_M+VI_M</t>
        </is>
      </c>
      <c r="B334" s="2" t="n">
        <v>6</v>
      </c>
      <c r="C334">
        <f>(B334-1)/9</f>
        <v/>
      </c>
    </row>
    <row r="335">
      <c r="A335" s="2" t="inlineStr">
        <is>
          <t>CA_M+AQ_M</t>
        </is>
      </c>
      <c r="B335" s="2" t="n">
        <v>7</v>
      </c>
      <c r="C335">
        <f>(B335-1)/9</f>
        <v/>
      </c>
    </row>
    <row r="336">
      <c r="A336" s="2" t="inlineStr">
        <is>
          <t>CA_M+LE_M</t>
        </is>
      </c>
      <c r="B336" s="2" t="n">
        <v>4</v>
      </c>
      <c r="C336">
        <f>(B336-1)/9</f>
        <v/>
      </c>
    </row>
    <row r="337">
      <c r="A337" s="2" t="inlineStr">
        <is>
          <t>LE_M+AR_M</t>
        </is>
      </c>
      <c r="B337" s="2" t="n">
        <v>8</v>
      </c>
      <c r="C337">
        <f>(B337-1)/9</f>
        <v/>
      </c>
    </row>
    <row r="338">
      <c r="A338" s="2" t="inlineStr">
        <is>
          <t>LE_M+GE_M</t>
        </is>
      </c>
      <c r="B338" s="2" t="n">
        <v>5</v>
      </c>
      <c r="C338">
        <f>(B338-1)/9</f>
        <v/>
      </c>
    </row>
    <row r="339">
      <c r="A339" s="2" t="inlineStr">
        <is>
          <t>CA_M+CP_M</t>
        </is>
      </c>
      <c r="B339" s="2" t="n">
        <v>5</v>
      </c>
      <c r="C339">
        <f>(B339-1)/9</f>
        <v/>
      </c>
    </row>
    <row r="340">
      <c r="A340" s="2" t="inlineStr">
        <is>
          <t>LE_M+TA_M</t>
        </is>
      </c>
      <c r="B340" s="2" t="n">
        <v>6</v>
      </c>
      <c r="C340">
        <f>(B340-1)/9</f>
        <v/>
      </c>
    </row>
    <row r="341">
      <c r="A341" s="2" t="inlineStr">
        <is>
          <t>LE_M+VI_M</t>
        </is>
      </c>
      <c r="B341" s="2" t="n">
        <v>5</v>
      </c>
      <c r="C341">
        <f>(B341-1)/9</f>
        <v/>
      </c>
    </row>
    <row r="342">
      <c r="A342" s="2" t="inlineStr">
        <is>
          <t>LE_M+SC_M</t>
        </is>
      </c>
      <c r="B342" s="2" t="n">
        <v>5</v>
      </c>
      <c r="C342">
        <f>(B342-1)/9</f>
        <v/>
      </c>
    </row>
    <row r="343">
      <c r="A343" s="2" t="inlineStr">
        <is>
          <t>LE_M+SG_M</t>
        </is>
      </c>
      <c r="B343" s="2" t="n">
        <v>8</v>
      </c>
      <c r="C343">
        <f>(B343-1)/9</f>
        <v/>
      </c>
    </row>
    <row r="344">
      <c r="A344" s="2" t="inlineStr">
        <is>
          <t>LE_M+CA_M</t>
        </is>
      </c>
      <c r="B344" s="2" t="n">
        <v>4</v>
      </c>
      <c r="C344">
        <f>(B344-1)/9</f>
        <v/>
      </c>
    </row>
    <row r="345">
      <c r="A345" s="2" t="inlineStr">
        <is>
          <t>LE_M+LI_M</t>
        </is>
      </c>
      <c r="B345" s="2" t="n">
        <v>6</v>
      </c>
      <c r="C345">
        <f>(B345-1)/9</f>
        <v/>
      </c>
    </row>
    <row r="346">
      <c r="A346" s="2" t="inlineStr">
        <is>
          <t>LE_M+AQ_M</t>
        </is>
      </c>
      <c r="B346" s="2" t="n">
        <v>4</v>
      </c>
      <c r="C346">
        <f>(B346-1)/9</f>
        <v/>
      </c>
    </row>
    <row r="347">
      <c r="A347" s="2" t="inlineStr">
        <is>
          <t>LE_M+PI_M</t>
        </is>
      </c>
      <c r="B347" s="2" t="n">
        <v>7</v>
      </c>
      <c r="C347">
        <f>(B347-1)/9</f>
        <v/>
      </c>
    </row>
    <row r="348">
      <c r="A348" s="2" t="inlineStr">
        <is>
          <t>VI_M+GE_M</t>
        </is>
      </c>
      <c r="B348" s="2" t="n">
        <v>5</v>
      </c>
      <c r="C348">
        <f>(B348-1)/9</f>
        <v/>
      </c>
    </row>
    <row r="349">
      <c r="A349" s="2" t="inlineStr">
        <is>
          <t>VI_M+AR_M</t>
        </is>
      </c>
      <c r="B349" s="2" t="n">
        <v>6</v>
      </c>
      <c r="C349">
        <f>(B349-1)/9</f>
        <v/>
      </c>
    </row>
    <row r="350">
      <c r="A350" s="2" t="inlineStr">
        <is>
          <t>LE_M+CP_M</t>
        </is>
      </c>
      <c r="B350" s="2" t="n">
        <v>6</v>
      </c>
      <c r="C350">
        <f>(B350-1)/9</f>
        <v/>
      </c>
    </row>
    <row r="351">
      <c r="A351" s="2" t="inlineStr">
        <is>
          <t>LE_M+LE_M</t>
        </is>
      </c>
      <c r="B351" s="2" t="n">
        <v>7</v>
      </c>
      <c r="C351">
        <f>(B351-1)/9</f>
        <v/>
      </c>
    </row>
    <row r="352">
      <c r="A352" s="2" t="inlineStr">
        <is>
          <t>VI_M+SC_M</t>
        </is>
      </c>
      <c r="B352" s="2" t="n">
        <v>6</v>
      </c>
      <c r="C352">
        <f>(B352-1)/9</f>
        <v/>
      </c>
    </row>
    <row r="353">
      <c r="A353" s="2" t="inlineStr">
        <is>
          <t>VI_M+LI_M</t>
        </is>
      </c>
      <c r="B353" s="2" t="n">
        <v>5</v>
      </c>
      <c r="C353">
        <f>(B353-1)/9</f>
        <v/>
      </c>
    </row>
    <row r="354">
      <c r="A354" s="2" t="inlineStr">
        <is>
          <t>VI_M+LE_M</t>
        </is>
      </c>
      <c r="B354" s="2" t="n">
        <v>4</v>
      </c>
      <c r="C354">
        <f>(B354-1)/9</f>
        <v/>
      </c>
    </row>
    <row r="355">
      <c r="A355" s="2" t="inlineStr">
        <is>
          <t>VI_M+CP_M</t>
        </is>
      </c>
      <c r="B355" s="2" t="n">
        <v>8</v>
      </c>
      <c r="C355">
        <f>(B355-1)/9</f>
        <v/>
      </c>
    </row>
    <row r="356">
      <c r="A356" s="2" t="inlineStr">
        <is>
          <t>VI_M+VI_M</t>
        </is>
      </c>
      <c r="B356" s="2" t="n">
        <v>7</v>
      </c>
      <c r="C356">
        <f>(B356-1)/9</f>
        <v/>
      </c>
    </row>
    <row r="357">
      <c r="A357" s="2" t="inlineStr">
        <is>
          <t>VI_M+SG_M</t>
        </is>
      </c>
      <c r="B357" s="2" t="n">
        <v>4</v>
      </c>
      <c r="C357">
        <f>(B357-1)/9</f>
        <v/>
      </c>
    </row>
    <row r="358">
      <c r="A358" s="2" t="inlineStr">
        <is>
          <t>VI_M+TA_M</t>
        </is>
      </c>
      <c r="B358" s="2" t="n">
        <v>7</v>
      </c>
      <c r="C358">
        <f>(B358-1)/9</f>
        <v/>
      </c>
    </row>
    <row r="359">
      <c r="A359" s="2" t="inlineStr">
        <is>
          <t>VI_M+CA_M</t>
        </is>
      </c>
      <c r="B359" s="2" t="n">
        <v>6</v>
      </c>
      <c r="C359">
        <f>(B359-1)/9</f>
        <v/>
      </c>
    </row>
    <row r="360">
      <c r="A360" s="2" t="inlineStr">
        <is>
          <t>LI_M+TA_M</t>
        </is>
      </c>
      <c r="B360" s="2" t="n">
        <v>5</v>
      </c>
      <c r="C360">
        <f>(B360-1)/9</f>
        <v/>
      </c>
    </row>
    <row r="361">
      <c r="A361" s="2" t="inlineStr">
        <is>
          <t>VI_M+PI_M</t>
        </is>
      </c>
      <c r="B361" s="2" t="n">
        <v>6</v>
      </c>
      <c r="C361">
        <f>(B361-1)/9</f>
        <v/>
      </c>
    </row>
    <row r="362">
      <c r="A362" s="2" t="inlineStr">
        <is>
          <t>LI_M+AR_M</t>
        </is>
      </c>
      <c r="B362" s="2" t="n">
        <v>7</v>
      </c>
      <c r="C362">
        <f>(B362-1)/9</f>
        <v/>
      </c>
    </row>
    <row r="363">
      <c r="A363" s="2" t="inlineStr">
        <is>
          <t>VI_M+AQ_M</t>
        </is>
      </c>
      <c r="B363" s="2" t="n">
        <v>5</v>
      </c>
      <c r="C363">
        <f>(B363-1)/9</f>
        <v/>
      </c>
    </row>
    <row r="364">
      <c r="A364" s="2" t="inlineStr">
        <is>
          <t>LI_M+SC_M</t>
        </is>
      </c>
      <c r="B364" s="2" t="n">
        <v>4</v>
      </c>
      <c r="C364">
        <f>(B364-1)/9</f>
        <v/>
      </c>
    </row>
    <row r="365">
      <c r="A365" s="2" t="inlineStr">
        <is>
          <t>LI_M+CA_M</t>
        </is>
      </c>
      <c r="B365" s="2" t="n">
        <v>4</v>
      </c>
      <c r="C365">
        <f>(B365-1)/9</f>
        <v/>
      </c>
    </row>
    <row r="366">
      <c r="A366" s="2" t="inlineStr">
        <is>
          <t>LI_M+LE_M</t>
        </is>
      </c>
      <c r="B366" s="2" t="n">
        <v>5</v>
      </c>
      <c r="C366">
        <f>(B366-1)/9</f>
        <v/>
      </c>
    </row>
    <row r="367">
      <c r="A367" s="2" t="inlineStr">
        <is>
          <t>LI_M+GE_M</t>
        </is>
      </c>
      <c r="B367" s="2" t="n">
        <v>6</v>
      </c>
      <c r="C367">
        <f>(B367-1)/9</f>
        <v/>
      </c>
    </row>
    <row r="368">
      <c r="A368" s="2" t="inlineStr">
        <is>
          <t>LI_M+AQ_M</t>
        </is>
      </c>
      <c r="B368" s="2" t="n">
        <v>8</v>
      </c>
      <c r="C368">
        <f>(B368-1)/9</f>
        <v/>
      </c>
    </row>
    <row r="369">
      <c r="A369" s="2" t="inlineStr">
        <is>
          <t>LI_M+VI_M</t>
        </is>
      </c>
      <c r="B369" s="2" t="n">
        <v>6</v>
      </c>
      <c r="C369">
        <f>(B369-1)/9</f>
        <v/>
      </c>
    </row>
    <row r="370">
      <c r="A370" s="2" t="inlineStr">
        <is>
          <t>LI_M+PI_M</t>
        </is>
      </c>
      <c r="B370" s="2" t="n">
        <v>6</v>
      </c>
      <c r="C370">
        <f>(B370-1)/9</f>
        <v/>
      </c>
    </row>
    <row r="371">
      <c r="A371" s="2" t="inlineStr">
        <is>
          <t>LI_M+LI_M</t>
        </is>
      </c>
      <c r="B371" s="2" t="n">
        <v>6</v>
      </c>
      <c r="C371">
        <f>(B371-1)/9</f>
        <v/>
      </c>
    </row>
    <row r="372">
      <c r="A372" s="2" t="inlineStr">
        <is>
          <t>LI_M+CP_M</t>
        </is>
      </c>
      <c r="B372" s="2" t="n">
        <v>5</v>
      </c>
      <c r="C372">
        <f>(B372-1)/9</f>
        <v/>
      </c>
    </row>
    <row r="373">
      <c r="A373" s="2" t="inlineStr">
        <is>
          <t>SC_M+GE_M</t>
        </is>
      </c>
      <c r="B373" s="2" t="n">
        <v>7</v>
      </c>
      <c r="C373">
        <f>(B373-1)/9</f>
        <v/>
      </c>
    </row>
    <row r="374">
      <c r="A374" s="2" t="inlineStr">
        <is>
          <t>SC_M+TA_M</t>
        </is>
      </c>
      <c r="B374" s="2" t="n">
        <v>6</v>
      </c>
      <c r="C374">
        <f>(B374-1)/9</f>
        <v/>
      </c>
    </row>
    <row r="375">
      <c r="A375" s="2" t="inlineStr">
        <is>
          <t>LI_M+SG_M</t>
        </is>
      </c>
      <c r="B375" s="2" t="n">
        <v>7</v>
      </c>
      <c r="C375">
        <f>(B375-1)/9</f>
        <v/>
      </c>
    </row>
    <row r="376">
      <c r="A376" s="2" t="inlineStr">
        <is>
          <t>SC_M+LI_M</t>
        </is>
      </c>
      <c r="B376" s="2" t="n">
        <v>5</v>
      </c>
      <c r="C376">
        <f>(B376-1)/9</f>
        <v/>
      </c>
    </row>
    <row r="377">
      <c r="A377" s="2" t="inlineStr">
        <is>
          <t>SC_M+AR_M</t>
        </is>
      </c>
      <c r="B377" s="2" t="n">
        <v>5</v>
      </c>
      <c r="C377">
        <f>(B377-1)/9</f>
        <v/>
      </c>
    </row>
    <row r="378">
      <c r="A378" s="2" t="inlineStr">
        <is>
          <t>SC_M+VI_M</t>
        </is>
      </c>
      <c r="B378" s="2" t="n">
        <v>4</v>
      </c>
      <c r="C378">
        <f>(B378-1)/9</f>
        <v/>
      </c>
    </row>
    <row r="379">
      <c r="A379" s="2" t="inlineStr">
        <is>
          <t>SC_M+LE_M</t>
        </is>
      </c>
      <c r="B379" s="2" t="n">
        <v>6</v>
      </c>
      <c r="C379">
        <f>(B379-1)/9</f>
        <v/>
      </c>
    </row>
    <row r="380">
      <c r="A380" s="2" t="inlineStr">
        <is>
          <t>SC_M+PI_M</t>
        </is>
      </c>
      <c r="B380" s="2" t="n">
        <v>8</v>
      </c>
      <c r="C380">
        <f>(B380-1)/9</f>
        <v/>
      </c>
    </row>
    <row r="381">
      <c r="A381" s="2" t="inlineStr">
        <is>
          <t>SC_M+CA_M</t>
        </is>
      </c>
      <c r="B381" s="2" t="n">
        <v>5</v>
      </c>
      <c r="C381">
        <f>(B381-1)/9</f>
        <v/>
      </c>
    </row>
    <row r="382">
      <c r="A382" s="2" t="inlineStr">
        <is>
          <t>SG_M+GE_M</t>
        </is>
      </c>
      <c r="B382" s="2" t="n">
        <v>5</v>
      </c>
      <c r="C382">
        <f>(B382-1)/9</f>
        <v/>
      </c>
    </row>
    <row r="383">
      <c r="A383" s="2" t="inlineStr">
        <is>
          <t>SC_M+SC_M</t>
        </is>
      </c>
      <c r="B383" s="2" t="n">
        <v>7</v>
      </c>
      <c r="C383">
        <f>(B383-1)/9</f>
        <v/>
      </c>
    </row>
    <row r="384">
      <c r="A384" s="2" t="inlineStr">
        <is>
          <t>SC_M+SG_M</t>
        </is>
      </c>
      <c r="B384" s="2" t="n">
        <v>6</v>
      </c>
      <c r="C384">
        <f>(B384-1)/9</f>
        <v/>
      </c>
    </row>
    <row r="385">
      <c r="A385" s="2" t="inlineStr">
        <is>
          <t>SG_M+TA_M</t>
        </is>
      </c>
      <c r="B385" s="2" t="n">
        <v>4</v>
      </c>
      <c r="C385">
        <f>(B385-1)/9</f>
        <v/>
      </c>
    </row>
    <row r="386">
      <c r="A386" s="2" t="inlineStr">
        <is>
          <t>SG_M+LE_M</t>
        </is>
      </c>
      <c r="B386" s="2" t="n">
        <v>8</v>
      </c>
      <c r="C386">
        <f>(B386-1)/9</f>
        <v/>
      </c>
    </row>
    <row r="387">
      <c r="A387" s="2" t="inlineStr">
        <is>
          <t>CP_M+AR_M</t>
        </is>
      </c>
      <c r="B387" s="2" t="n">
        <v>4</v>
      </c>
      <c r="C387">
        <f>(B387-1)/9</f>
        <v/>
      </c>
    </row>
    <row r="388">
      <c r="A388" s="2" t="inlineStr">
        <is>
          <t>SG_M+CA_M</t>
        </is>
      </c>
      <c r="B388" s="2" t="n">
        <v>6</v>
      </c>
      <c r="C388">
        <f>(B388-1)/9</f>
        <v/>
      </c>
    </row>
    <row r="389">
      <c r="A389" s="2" t="inlineStr">
        <is>
          <t>SC_M+CP_M</t>
        </is>
      </c>
      <c r="B389" s="2" t="n">
        <v>5</v>
      </c>
      <c r="C389">
        <f>(B389-1)/9</f>
        <v/>
      </c>
    </row>
    <row r="390">
      <c r="A390" s="2" t="inlineStr">
        <is>
          <t>SC_M+AQ_M</t>
        </is>
      </c>
      <c r="B390" s="2" t="n">
        <v>4</v>
      </c>
      <c r="C390">
        <f>(B390-1)/9</f>
        <v/>
      </c>
    </row>
    <row r="391">
      <c r="A391" s="2" t="inlineStr">
        <is>
          <t>SG_M+AR_M</t>
        </is>
      </c>
      <c r="B391" s="2" t="n">
        <v>6</v>
      </c>
      <c r="C391">
        <f>(B391-1)/9</f>
        <v/>
      </c>
    </row>
    <row r="392">
      <c r="A392" s="2" t="inlineStr">
        <is>
          <t>SG_M+AQ_M</t>
        </is>
      </c>
      <c r="B392" s="2" t="n">
        <v>6</v>
      </c>
      <c r="C392">
        <f>(B392-1)/9</f>
        <v/>
      </c>
    </row>
    <row r="393">
      <c r="A393" s="2" t="inlineStr">
        <is>
          <t>SG_M+VI_M</t>
        </is>
      </c>
      <c r="B393" s="2" t="n">
        <v>5</v>
      </c>
      <c r="C393">
        <f>(B393-1)/9</f>
        <v/>
      </c>
    </row>
    <row r="394">
      <c r="A394" s="2" t="inlineStr">
        <is>
          <t>SG_M+SC_M</t>
        </is>
      </c>
      <c r="B394" s="2" t="n">
        <v>5</v>
      </c>
      <c r="C394">
        <f>(B394-1)/9</f>
        <v/>
      </c>
    </row>
    <row r="395">
      <c r="A395" s="2" t="inlineStr">
        <is>
          <t>SG_M+PI_M</t>
        </is>
      </c>
      <c r="B395" s="2" t="n">
        <v>5</v>
      </c>
      <c r="C395">
        <f>(B395-1)/9</f>
        <v/>
      </c>
    </row>
    <row r="396">
      <c r="A396" s="2" t="inlineStr">
        <is>
          <t>SG_M+LI_M</t>
        </is>
      </c>
      <c r="B396" s="2" t="n">
        <v>7</v>
      </c>
      <c r="C396">
        <f>(B396-1)/9</f>
        <v/>
      </c>
    </row>
    <row r="397">
      <c r="A397" s="2" t="inlineStr">
        <is>
          <t>SG_M+SG_M</t>
        </is>
      </c>
      <c r="B397" s="2" t="n">
        <v>6</v>
      </c>
      <c r="C397">
        <f>(B397-1)/9</f>
        <v/>
      </c>
    </row>
    <row r="398">
      <c r="A398" s="2" t="inlineStr">
        <is>
          <t>CP_M+TA_M</t>
        </is>
      </c>
      <c r="B398" s="2" t="n">
        <v>7</v>
      </c>
      <c r="C398">
        <f>(B398-1)/9</f>
        <v/>
      </c>
    </row>
    <row r="399">
      <c r="A399" s="2" t="inlineStr">
        <is>
          <t>SG_M+CP_M</t>
        </is>
      </c>
      <c r="B399" s="2" t="n">
        <v>4</v>
      </c>
      <c r="C399">
        <f>(B399-1)/9</f>
        <v/>
      </c>
    </row>
    <row r="400">
      <c r="A400" s="2" t="inlineStr">
        <is>
          <t>CP_M+GE_M</t>
        </is>
      </c>
      <c r="B400" s="2" t="n">
        <v>5</v>
      </c>
      <c r="C400">
        <f>(B400-1)/9</f>
        <v/>
      </c>
    </row>
    <row r="401">
      <c r="A401" s="2" t="inlineStr">
        <is>
          <t>CP_M+CA_M</t>
        </is>
      </c>
      <c r="B401" s="2" t="n">
        <v>6</v>
      </c>
      <c r="C401">
        <f>(B401-1)/9</f>
        <v/>
      </c>
    </row>
    <row r="402">
      <c r="A402" s="2" t="inlineStr">
        <is>
          <t>CP_M+VI_M</t>
        </is>
      </c>
      <c r="B402" s="2" t="n">
        <v>8</v>
      </c>
      <c r="C402">
        <f>(B402-1)/9</f>
        <v/>
      </c>
    </row>
    <row r="403">
      <c r="A403" s="2" t="inlineStr">
        <is>
          <t>CP_M+SC_M</t>
        </is>
      </c>
      <c r="B403" s="2" t="n">
        <v>5</v>
      </c>
      <c r="C403">
        <f>(B403-1)/9</f>
        <v/>
      </c>
    </row>
    <row r="404">
      <c r="A404" s="2" t="inlineStr">
        <is>
          <t>CP_M+LE_M</t>
        </is>
      </c>
      <c r="B404" s="2" t="n">
        <v>5</v>
      </c>
      <c r="C404">
        <f>(B404-1)/9</f>
        <v/>
      </c>
    </row>
    <row r="405">
      <c r="A405" s="2" t="inlineStr">
        <is>
          <t>CP_M+SG_M</t>
        </is>
      </c>
      <c r="B405" s="2" t="n">
        <v>4</v>
      </c>
      <c r="C405">
        <f>(B405-1)/9</f>
        <v/>
      </c>
    </row>
    <row r="406">
      <c r="A406" s="2" t="inlineStr">
        <is>
          <t>AQ_M+VI_M</t>
        </is>
      </c>
      <c r="B406" s="2" t="n">
        <v>5</v>
      </c>
      <c r="C406">
        <f>(B406-1)/9</f>
        <v/>
      </c>
    </row>
    <row r="407">
      <c r="A407" s="2" t="inlineStr">
        <is>
          <t>AQ_M+GE_M</t>
        </is>
      </c>
      <c r="B407" s="2" t="n">
        <v>6</v>
      </c>
      <c r="C407">
        <f>(B407-1)/9</f>
        <v/>
      </c>
    </row>
    <row r="408">
      <c r="A408" s="2" t="inlineStr">
        <is>
          <t>CP_M+LI_M</t>
        </is>
      </c>
      <c r="B408" s="2" t="n">
        <v>6</v>
      </c>
      <c r="C408">
        <f>(B408-1)/9</f>
        <v/>
      </c>
    </row>
    <row r="409">
      <c r="A409" s="2" t="inlineStr">
        <is>
          <t>CP_M+CP_M</t>
        </is>
      </c>
      <c r="B409" s="2" t="n">
        <v>7</v>
      </c>
      <c r="C409">
        <f>(B409-1)/9</f>
        <v/>
      </c>
    </row>
    <row r="410">
      <c r="A410" s="2" t="inlineStr">
        <is>
          <t>CP_M+PI_M</t>
        </is>
      </c>
      <c r="B410" s="2" t="n">
        <v>6</v>
      </c>
      <c r="C410">
        <f>(B410-1)/9</f>
        <v/>
      </c>
    </row>
    <row r="411">
      <c r="A411" s="2" t="inlineStr">
        <is>
          <t>CP_M+AQ_M</t>
        </is>
      </c>
      <c r="B411" s="2" t="n">
        <v>5</v>
      </c>
      <c r="C411">
        <f>(B411-1)/9</f>
        <v/>
      </c>
    </row>
    <row r="412">
      <c r="A412" s="2" t="inlineStr">
        <is>
          <t>AQ_M+TA_M</t>
        </is>
      </c>
      <c r="B412" s="2" t="n">
        <v>5</v>
      </c>
      <c r="C412">
        <f>(B412-1)/9</f>
        <v/>
      </c>
    </row>
    <row r="413">
      <c r="A413" s="2" t="inlineStr">
        <is>
          <t>AQ_M+AR_M</t>
        </is>
      </c>
      <c r="B413" s="2" t="n">
        <v>6</v>
      </c>
      <c r="C413">
        <f>(B413-1)/9</f>
        <v/>
      </c>
    </row>
    <row r="414">
      <c r="A414" s="2" t="inlineStr">
        <is>
          <t>AQ_M+LE_M</t>
        </is>
      </c>
      <c r="B414" s="2" t="n">
        <v>4</v>
      </c>
      <c r="C414">
        <f>(B414-1)/9</f>
        <v/>
      </c>
    </row>
    <row r="415">
      <c r="A415" s="2" t="inlineStr">
        <is>
          <t>AQ_M+AQ_M</t>
        </is>
      </c>
      <c r="B415" s="2" t="n">
        <v>6</v>
      </c>
      <c r="C415">
        <f>(B415-1)/9</f>
        <v/>
      </c>
    </row>
    <row r="416">
      <c r="A416" s="2" t="inlineStr">
        <is>
          <t>AQ_M+SC_M</t>
        </is>
      </c>
      <c r="B416" s="2" t="n">
        <v>4</v>
      </c>
      <c r="C416">
        <f>(B416-1)/9</f>
        <v/>
      </c>
    </row>
    <row r="417">
      <c r="A417" s="2" t="inlineStr">
        <is>
          <t>AQ_M+CP_M</t>
        </is>
      </c>
      <c r="B417" s="2" t="n">
        <v>5</v>
      </c>
      <c r="C417">
        <f>(B417-1)/9</f>
        <v/>
      </c>
    </row>
    <row r="418">
      <c r="A418" s="2" t="inlineStr">
        <is>
          <t>AQ_M+SG_M</t>
        </is>
      </c>
      <c r="B418" s="2" t="n">
        <v>6</v>
      </c>
      <c r="C418">
        <f>(B418-1)/9</f>
        <v/>
      </c>
    </row>
    <row r="419">
      <c r="A419" s="2" t="inlineStr">
        <is>
          <t>PI_M+VI_M</t>
        </is>
      </c>
      <c r="B419" s="2" t="n">
        <v>5</v>
      </c>
      <c r="C419">
        <f>(B419-1)/9</f>
        <v/>
      </c>
    </row>
    <row r="420">
      <c r="A420" s="2" t="inlineStr">
        <is>
          <t>AQ_M+LI_M</t>
        </is>
      </c>
      <c r="B420" s="2" t="n">
        <v>8</v>
      </c>
      <c r="C420">
        <f>(B420-1)/9</f>
        <v/>
      </c>
    </row>
    <row r="421">
      <c r="A421" s="2" t="inlineStr">
        <is>
          <t>AQ_M+CA_M</t>
        </is>
      </c>
      <c r="B421" s="2" t="n">
        <v>7</v>
      </c>
      <c r="C421">
        <f>(B421-1)/9</f>
        <v/>
      </c>
    </row>
    <row r="422">
      <c r="A422" s="2" t="inlineStr">
        <is>
          <t>PI_M+AQ_M</t>
        </is>
      </c>
      <c r="B422" s="2" t="n">
        <v>7</v>
      </c>
      <c r="C422">
        <f>(B422-1)/9</f>
        <v/>
      </c>
    </row>
    <row r="423">
      <c r="A423" s="2" t="inlineStr">
        <is>
          <t>PI_M+SC_M</t>
        </is>
      </c>
      <c r="B423" s="2" t="n">
        <v>8</v>
      </c>
      <c r="C423">
        <f>(B423-1)/9</f>
        <v/>
      </c>
    </row>
    <row r="424">
      <c r="A424" s="2" t="inlineStr">
        <is>
          <t>PI_M+AR_M</t>
        </is>
      </c>
      <c r="B424" s="2" t="n">
        <v>5</v>
      </c>
      <c r="C424">
        <f>(B424-1)/9</f>
        <v/>
      </c>
    </row>
    <row r="425">
      <c r="A425" s="2" t="inlineStr">
        <is>
          <t>PI_M+TA_M</t>
        </is>
      </c>
      <c r="B425" s="2" t="n">
        <v>6</v>
      </c>
      <c r="C425">
        <f>(B425-1)/9</f>
        <v/>
      </c>
    </row>
    <row r="426">
      <c r="A426" s="2" t="inlineStr">
        <is>
          <t>AQ_M+PI_M</t>
        </is>
      </c>
      <c r="B426" s="2" t="n">
        <v>7</v>
      </c>
      <c r="C426">
        <f>(B426-1)/9</f>
        <v/>
      </c>
    </row>
    <row r="427">
      <c r="A427" s="2" t="inlineStr">
        <is>
          <t>PI_M+GE_M</t>
        </is>
      </c>
      <c r="B427" s="2" t="n">
        <v>4</v>
      </c>
      <c r="C427">
        <f>(B427-1)/9</f>
        <v/>
      </c>
    </row>
    <row r="428">
      <c r="A428" s="2" t="inlineStr">
        <is>
          <t>PI_M+SG_M</t>
        </is>
      </c>
      <c r="B428" s="2" t="n">
        <v>5</v>
      </c>
      <c r="C428">
        <f>(B428-1)/9</f>
        <v/>
      </c>
    </row>
    <row r="429">
      <c r="A429" s="2" t="inlineStr">
        <is>
          <t>PI_M+CA_M</t>
        </is>
      </c>
      <c r="B429" s="2" t="n">
        <v>6</v>
      </c>
      <c r="C429">
        <f>(B429-1)/9</f>
        <v/>
      </c>
    </row>
    <row r="430">
      <c r="A430" s="2" t="inlineStr">
        <is>
          <t>PI_M+LI_M</t>
        </is>
      </c>
      <c r="B430" s="2" t="n">
        <v>6</v>
      </c>
      <c r="C430">
        <f>(B430-1)/9</f>
        <v/>
      </c>
    </row>
    <row r="431">
      <c r="A431" s="2" t="inlineStr">
        <is>
          <t>PI_M+LE_M</t>
        </is>
      </c>
      <c r="B431" s="2" t="n">
        <v>7</v>
      </c>
      <c r="C431">
        <f>(B431-1)/9</f>
        <v/>
      </c>
    </row>
    <row r="432">
      <c r="A432" s="2" t="inlineStr">
        <is>
          <t>AR_F+AR_F</t>
        </is>
      </c>
      <c r="B432" s="2" t="n">
        <v>6</v>
      </c>
      <c r="C432">
        <f>(B432-1)/9</f>
        <v/>
      </c>
    </row>
    <row r="433">
      <c r="A433" s="2" t="inlineStr">
        <is>
          <t>AR_F+VI_F</t>
        </is>
      </c>
      <c r="B433" s="2" t="n">
        <v>6</v>
      </c>
      <c r="C433">
        <f>(B433-1)/9</f>
        <v/>
      </c>
    </row>
    <row r="434">
      <c r="A434" s="2" t="inlineStr">
        <is>
          <t>PI_M+PI_M</t>
        </is>
      </c>
      <c r="B434" s="2" t="n">
        <v>6</v>
      </c>
      <c r="C434">
        <f>(B434-1)/9</f>
        <v/>
      </c>
    </row>
    <row r="435">
      <c r="A435" s="2" t="inlineStr">
        <is>
          <t>AR_F+SC_F</t>
        </is>
      </c>
      <c r="B435" s="2" t="n">
        <v>5</v>
      </c>
      <c r="C435">
        <f>(B435-1)/9</f>
        <v/>
      </c>
    </row>
    <row r="436">
      <c r="A436" s="2" t="inlineStr">
        <is>
          <t>AR_F+CP_F</t>
        </is>
      </c>
      <c r="B436" s="2" t="n">
        <v>4</v>
      </c>
      <c r="C436">
        <f>(B436-1)/9</f>
        <v/>
      </c>
    </row>
    <row r="437">
      <c r="A437" s="2" t="inlineStr">
        <is>
          <t>AR_F+TA_F</t>
        </is>
      </c>
      <c r="B437" s="2" t="n">
        <v>7</v>
      </c>
      <c r="C437">
        <f>(B437-1)/9</f>
        <v/>
      </c>
    </row>
    <row r="438">
      <c r="A438" s="2" t="inlineStr">
        <is>
          <t>AR_F+CA_F</t>
        </is>
      </c>
      <c r="B438" s="2" t="n">
        <v>4</v>
      </c>
      <c r="C438">
        <f>(B438-1)/9</f>
        <v/>
      </c>
    </row>
    <row r="439">
      <c r="A439" s="2" t="inlineStr">
        <is>
          <t>AR_F+GE_F</t>
        </is>
      </c>
      <c r="B439" s="2" t="n">
        <v>5</v>
      </c>
      <c r="C439">
        <f>(B439-1)/9</f>
        <v/>
      </c>
    </row>
    <row r="440">
      <c r="A440" s="2" t="inlineStr">
        <is>
          <t>AR_F+LE_F</t>
        </is>
      </c>
      <c r="B440" s="2" t="n">
        <v>8</v>
      </c>
      <c r="C440">
        <f>(B440-1)/9</f>
        <v/>
      </c>
    </row>
    <row r="441">
      <c r="A441" s="2" t="inlineStr">
        <is>
          <t>PI_M+CP_M</t>
        </is>
      </c>
      <c r="B441" s="2" t="n">
        <v>6</v>
      </c>
      <c r="C441">
        <f>(B441-1)/9</f>
        <v/>
      </c>
    </row>
    <row r="442">
      <c r="A442" s="2" t="inlineStr">
        <is>
          <t>TA_F+TA_F</t>
        </is>
      </c>
      <c r="B442" s="2" t="n">
        <v>6</v>
      </c>
      <c r="C442">
        <f>(B442-1)/9</f>
        <v/>
      </c>
    </row>
    <row r="443">
      <c r="A443" s="2" t="inlineStr">
        <is>
          <t>AR_F+AQ_F</t>
        </is>
      </c>
      <c r="B443" s="2" t="n">
        <v>6</v>
      </c>
      <c r="C443">
        <f>(B443-1)/9</f>
        <v/>
      </c>
    </row>
    <row r="444">
      <c r="A444" s="2" t="inlineStr">
        <is>
          <t>AR_F+PI_F</t>
        </is>
      </c>
      <c r="B444" s="2" t="n">
        <v>5</v>
      </c>
      <c r="C444">
        <f>(B444-1)/9</f>
        <v/>
      </c>
    </row>
    <row r="445">
      <c r="A445" s="2" t="inlineStr">
        <is>
          <t>AR_F+LI_F</t>
        </is>
      </c>
      <c r="B445" s="2" t="n">
        <v>7</v>
      </c>
      <c r="C445">
        <f>(B445-1)/9</f>
        <v/>
      </c>
    </row>
    <row r="446">
      <c r="A446" s="2" t="inlineStr">
        <is>
          <t>AR_F+SG_F</t>
        </is>
      </c>
      <c r="B446" s="2" t="n">
        <v>6</v>
      </c>
      <c r="C446">
        <f>(B446-1)/9</f>
        <v/>
      </c>
    </row>
    <row r="447">
      <c r="A447" s="2" t="inlineStr">
        <is>
          <t>TA_F+AR_F</t>
        </is>
      </c>
      <c r="B447" s="2" t="n">
        <v>7</v>
      </c>
      <c r="C447">
        <f>(B447-1)/9</f>
        <v/>
      </c>
    </row>
    <row r="448">
      <c r="A448" s="2" t="inlineStr">
        <is>
          <t>TA_F+LE_F</t>
        </is>
      </c>
      <c r="B448" s="2" t="n">
        <v>4</v>
      </c>
      <c r="C448">
        <f>(B448-1)/9</f>
        <v/>
      </c>
    </row>
    <row r="449">
      <c r="A449" s="2" t="inlineStr">
        <is>
          <t>TA_F+LI_F</t>
        </is>
      </c>
      <c r="B449" s="2" t="n">
        <v>5</v>
      </c>
      <c r="C449">
        <f>(B449-1)/9</f>
        <v/>
      </c>
    </row>
    <row r="450">
      <c r="A450" s="2" t="inlineStr">
        <is>
          <t>GE_F+TA_F</t>
        </is>
      </c>
      <c r="B450" s="2" t="n">
        <v>6</v>
      </c>
      <c r="C450">
        <f>(B450-1)/9</f>
        <v/>
      </c>
    </row>
    <row r="451">
      <c r="A451" s="2" t="inlineStr">
        <is>
          <t>TA_F+VI_F</t>
        </is>
      </c>
      <c r="B451" s="2" t="n">
        <v>8</v>
      </c>
      <c r="C451">
        <f>(B451-1)/9</f>
        <v/>
      </c>
    </row>
    <row r="452">
      <c r="A452" s="2" t="inlineStr">
        <is>
          <t>TA_F+SC_F</t>
        </is>
      </c>
      <c r="B452" s="2" t="n">
        <v>6</v>
      </c>
      <c r="C452">
        <f>(B452-1)/9</f>
        <v/>
      </c>
    </row>
    <row r="453">
      <c r="A453" s="2" t="inlineStr">
        <is>
          <t>TA_F+CA_F</t>
        </is>
      </c>
      <c r="B453" s="2" t="n">
        <v>7</v>
      </c>
      <c r="C453">
        <f>(B453-1)/9</f>
        <v/>
      </c>
    </row>
    <row r="454">
      <c r="A454" s="2" t="inlineStr">
        <is>
          <t>GE_F+VI_F</t>
        </is>
      </c>
      <c r="B454" s="2" t="n">
        <v>4</v>
      </c>
      <c r="C454">
        <f>(B454-1)/9</f>
        <v/>
      </c>
    </row>
    <row r="455">
      <c r="A455" s="2" t="inlineStr">
        <is>
          <t>TA_F+CP_F</t>
        </is>
      </c>
      <c r="B455" s="2" t="n">
        <v>7</v>
      </c>
      <c r="C455">
        <f>(B455-1)/9</f>
        <v/>
      </c>
    </row>
    <row r="456">
      <c r="A456" s="2" t="inlineStr">
        <is>
          <t>GE_F+CA_F</t>
        </is>
      </c>
      <c r="B456" s="2" t="n">
        <v>7</v>
      </c>
      <c r="C456">
        <f>(B456-1)/9</f>
        <v/>
      </c>
    </row>
    <row r="457">
      <c r="A457" s="2" t="inlineStr">
        <is>
          <t>TA_F+SG_F</t>
        </is>
      </c>
      <c r="B457" s="2" t="n">
        <v>4</v>
      </c>
      <c r="C457">
        <f>(B457-1)/9</f>
        <v/>
      </c>
    </row>
    <row r="458">
      <c r="A458" s="2" t="inlineStr">
        <is>
          <t>GE_F+GE_F</t>
        </is>
      </c>
      <c r="B458" s="2" t="n">
        <v>6</v>
      </c>
      <c r="C458">
        <f>(B458-1)/9</f>
        <v/>
      </c>
    </row>
    <row r="459">
      <c r="A459" s="2" t="inlineStr">
        <is>
          <t>TA_F+GE_F</t>
        </is>
      </c>
      <c r="B459" s="2" t="n">
        <v>5</v>
      </c>
      <c r="C459">
        <f>(B459-1)/9</f>
        <v/>
      </c>
    </row>
    <row r="460">
      <c r="A460" s="2" t="inlineStr">
        <is>
          <t>TA_F+AQ_F</t>
        </is>
      </c>
      <c r="B460" s="2" t="n">
        <v>5</v>
      </c>
      <c r="C460">
        <f>(B460-1)/9</f>
        <v/>
      </c>
    </row>
    <row r="461">
      <c r="A461" s="2" t="inlineStr">
        <is>
          <t>TA_F+PI_F</t>
        </is>
      </c>
      <c r="B461" s="2" t="n">
        <v>6</v>
      </c>
      <c r="C461">
        <f>(B461-1)/9</f>
        <v/>
      </c>
    </row>
    <row r="462">
      <c r="A462" s="2" t="inlineStr">
        <is>
          <t>GE_F+LE_F</t>
        </is>
      </c>
      <c r="B462" s="2" t="n">
        <v>5</v>
      </c>
      <c r="C462">
        <f>(B462-1)/9</f>
        <v/>
      </c>
    </row>
    <row r="463">
      <c r="A463" s="2" t="inlineStr">
        <is>
          <t>CA_F+GE_F</t>
        </is>
      </c>
      <c r="B463" s="2" t="n">
        <v>7</v>
      </c>
      <c r="C463">
        <f>(B463-1)/9</f>
        <v/>
      </c>
    </row>
    <row r="464">
      <c r="A464" s="2" t="inlineStr">
        <is>
          <t>GE_F+SG_F</t>
        </is>
      </c>
      <c r="B464" s="2" t="n">
        <v>7</v>
      </c>
      <c r="C464">
        <f>(B464-1)/9</f>
        <v/>
      </c>
    </row>
    <row r="465">
      <c r="A465" s="2" t="inlineStr">
        <is>
          <t>CA_F+AR_F</t>
        </is>
      </c>
      <c r="B465" s="2" t="n">
        <v>6</v>
      </c>
      <c r="C465">
        <f>(B465-1)/9</f>
        <v/>
      </c>
    </row>
    <row r="466">
      <c r="A466" s="2" t="inlineStr">
        <is>
          <t>GE_F+LI_F</t>
        </is>
      </c>
      <c r="B466" s="2" t="n">
        <v>8</v>
      </c>
      <c r="C466">
        <f>(B466-1)/9</f>
        <v/>
      </c>
    </row>
    <row r="467">
      <c r="A467" s="2" t="inlineStr">
        <is>
          <t>GE_F+AR_F</t>
        </is>
      </c>
      <c r="B467" s="2" t="n">
        <v>5</v>
      </c>
      <c r="C467">
        <f>(B467-1)/9</f>
        <v/>
      </c>
    </row>
    <row r="468">
      <c r="A468" s="2" t="inlineStr">
        <is>
          <t>GE_F+PI_F</t>
        </is>
      </c>
      <c r="B468" s="2" t="n">
        <v>4</v>
      </c>
      <c r="C468">
        <f>(B468-1)/9</f>
        <v/>
      </c>
    </row>
    <row r="469">
      <c r="A469" s="2" t="inlineStr">
        <is>
          <t>GE_F+CP_F</t>
        </is>
      </c>
      <c r="B469" s="2" t="n">
        <v>5</v>
      </c>
      <c r="C469">
        <f>(B469-1)/9</f>
        <v/>
      </c>
    </row>
    <row r="470">
      <c r="A470" s="2" t="inlineStr">
        <is>
          <t>CA_F+CA_F</t>
        </is>
      </c>
      <c r="B470" s="2" t="n">
        <v>6</v>
      </c>
      <c r="C470">
        <f>(B470-1)/9</f>
        <v/>
      </c>
    </row>
    <row r="471">
      <c r="A471" s="2" t="inlineStr">
        <is>
          <t>CA_F+TA_F</t>
        </is>
      </c>
      <c r="B471" s="2" t="n">
        <v>5</v>
      </c>
      <c r="C471">
        <f>(B471-1)/9</f>
        <v/>
      </c>
    </row>
    <row r="472">
      <c r="A472" s="2" t="inlineStr">
        <is>
          <t>CA_F+LI_F</t>
        </is>
      </c>
      <c r="B472" s="2" t="n">
        <v>5</v>
      </c>
      <c r="C472">
        <f>(B472-1)/9</f>
        <v/>
      </c>
    </row>
    <row r="473">
      <c r="A473" s="2" t="inlineStr">
        <is>
          <t>CA_F+PI_F</t>
        </is>
      </c>
      <c r="B473" s="2" t="n">
        <v>6</v>
      </c>
      <c r="C473">
        <f>(B473-1)/9</f>
        <v/>
      </c>
    </row>
    <row r="474">
      <c r="A474" s="2" t="inlineStr">
        <is>
          <t>CA_F+AQ_F</t>
        </is>
      </c>
      <c r="B474" s="2" t="n">
        <v>7</v>
      </c>
      <c r="C474">
        <f>(B474-1)/9</f>
        <v/>
      </c>
    </row>
    <row r="475">
      <c r="A475" s="2" t="inlineStr">
        <is>
          <t>CA_F+SG_F</t>
        </is>
      </c>
      <c r="B475" s="2" t="n">
        <v>6</v>
      </c>
      <c r="C475">
        <f>(B475-1)/9</f>
        <v/>
      </c>
    </row>
    <row r="476">
      <c r="A476" s="2" t="inlineStr">
        <is>
          <t>GE_F+SC_F</t>
        </is>
      </c>
      <c r="B476" s="2" t="n">
        <v>6</v>
      </c>
      <c r="C476">
        <f>(B476-1)/9</f>
        <v/>
      </c>
    </row>
    <row r="477">
      <c r="A477" s="2" t="inlineStr">
        <is>
          <t>CA_F+VI_F</t>
        </is>
      </c>
      <c r="B477" s="2" t="n">
        <v>6</v>
      </c>
      <c r="C477">
        <f>(B477-1)/9</f>
        <v/>
      </c>
    </row>
    <row r="478">
      <c r="A478" s="2" t="inlineStr">
        <is>
          <t>GE_F+AQ_F</t>
        </is>
      </c>
      <c r="B478" s="2" t="n">
        <v>6</v>
      </c>
      <c r="C478">
        <f>(B478-1)/9</f>
        <v/>
      </c>
    </row>
    <row r="479">
      <c r="A479" s="2" t="inlineStr">
        <is>
          <t>LE_F+AR_F</t>
        </is>
      </c>
      <c r="B479" s="2" t="n">
        <v>8</v>
      </c>
      <c r="C479">
        <f>(B479-1)/9</f>
        <v/>
      </c>
    </row>
    <row r="480">
      <c r="A480" s="2" t="inlineStr">
        <is>
          <t>CA_F+LE_F</t>
        </is>
      </c>
      <c r="B480" s="2" t="n">
        <v>4</v>
      </c>
      <c r="C480">
        <f>(B480-1)/9</f>
        <v/>
      </c>
    </row>
    <row r="481">
      <c r="A481" s="2" t="inlineStr">
        <is>
          <t>CA_F+CP_F</t>
        </is>
      </c>
      <c r="B481" s="2" t="n">
        <v>5</v>
      </c>
      <c r="C481">
        <f>(B481-1)/9</f>
        <v/>
      </c>
    </row>
    <row r="482">
      <c r="A482" s="2" t="inlineStr">
        <is>
          <t>CA_F+SC_F</t>
        </is>
      </c>
      <c r="B482" s="2" t="n">
        <v>8</v>
      </c>
      <c r="C482">
        <f>(B482-1)/9</f>
        <v/>
      </c>
    </row>
    <row r="483">
      <c r="A483" s="2" t="inlineStr">
        <is>
          <t>LE_F+VI_F</t>
        </is>
      </c>
      <c r="B483" s="2" t="n">
        <v>5</v>
      </c>
      <c r="C483">
        <f>(B483-1)/9</f>
        <v/>
      </c>
    </row>
    <row r="484">
      <c r="A484" s="2" t="inlineStr">
        <is>
          <t>LE_F+SC_F</t>
        </is>
      </c>
      <c r="B484" s="2" t="n">
        <v>5</v>
      </c>
      <c r="C484">
        <f>(B484-1)/9</f>
        <v/>
      </c>
    </row>
    <row r="485">
      <c r="A485" s="2" t="inlineStr">
        <is>
          <t>LE_F+TA_F</t>
        </is>
      </c>
      <c r="B485" s="2" t="n">
        <v>6</v>
      </c>
      <c r="C485">
        <f>(B485-1)/9</f>
        <v/>
      </c>
    </row>
    <row r="486">
      <c r="A486" s="2" t="inlineStr">
        <is>
          <t>LE_F+AQ_F</t>
        </is>
      </c>
      <c r="B486" s="2" t="n">
        <v>4</v>
      </c>
      <c r="C486">
        <f>(B486-1)/9</f>
        <v/>
      </c>
    </row>
    <row r="487">
      <c r="A487" s="2" t="inlineStr">
        <is>
          <t>LE_F+LE_F</t>
        </is>
      </c>
      <c r="B487" s="2" t="n">
        <v>7</v>
      </c>
      <c r="C487">
        <f>(B487-1)/9</f>
        <v/>
      </c>
    </row>
    <row r="488">
      <c r="A488" s="2" t="inlineStr">
        <is>
          <t>LE_F+PI_F</t>
        </is>
      </c>
      <c r="B488" s="2" t="n">
        <v>7</v>
      </c>
      <c r="C488">
        <f>(B488-1)/9</f>
        <v/>
      </c>
    </row>
    <row r="489">
      <c r="A489" s="2" t="inlineStr">
        <is>
          <t>LE_F+LI_F</t>
        </is>
      </c>
      <c r="B489" s="2" t="n">
        <v>6</v>
      </c>
      <c r="C489">
        <f>(B489-1)/9</f>
        <v/>
      </c>
    </row>
    <row r="490">
      <c r="A490" s="2" t="inlineStr">
        <is>
          <t>LE_F+GE_F</t>
        </is>
      </c>
      <c r="B490" s="2" t="n">
        <v>5</v>
      </c>
      <c r="C490">
        <f>(B490-1)/9</f>
        <v/>
      </c>
    </row>
    <row r="491">
      <c r="A491" s="2" t="inlineStr">
        <is>
          <t>LE_F+CP_F</t>
        </is>
      </c>
      <c r="B491" s="2" t="n">
        <v>6</v>
      </c>
      <c r="C491">
        <f>(B491-1)/9</f>
        <v/>
      </c>
    </row>
    <row r="492">
      <c r="A492" s="2" t="inlineStr">
        <is>
          <t>VI_F+SC_F</t>
        </is>
      </c>
      <c r="B492" s="2" t="n">
        <v>6</v>
      </c>
      <c r="C492">
        <f>(B492-1)/9</f>
        <v/>
      </c>
    </row>
    <row r="493">
      <c r="A493" s="2" t="inlineStr">
        <is>
          <t>LE_F+SG_F</t>
        </is>
      </c>
      <c r="B493" s="2" t="n">
        <v>8</v>
      </c>
      <c r="C493">
        <f>(B493-1)/9</f>
        <v/>
      </c>
    </row>
    <row r="494">
      <c r="A494" s="2" t="inlineStr">
        <is>
          <t>VI_F+LE_F</t>
        </is>
      </c>
      <c r="B494" s="2" t="n">
        <v>4</v>
      </c>
      <c r="C494">
        <f>(B494-1)/9</f>
        <v/>
      </c>
    </row>
    <row r="495">
      <c r="A495" s="2" t="inlineStr">
        <is>
          <t>VI_F+VI_F</t>
        </is>
      </c>
      <c r="B495" s="2" t="n">
        <v>7</v>
      </c>
      <c r="C495">
        <f>(B495-1)/9</f>
        <v/>
      </c>
    </row>
    <row r="496">
      <c r="A496" s="2" t="inlineStr">
        <is>
          <t>VI_F+CA_F</t>
        </is>
      </c>
      <c r="B496" s="2" t="n">
        <v>6</v>
      </c>
      <c r="C496">
        <f>(B496-1)/9</f>
        <v/>
      </c>
    </row>
    <row r="497">
      <c r="A497" s="2" t="inlineStr">
        <is>
          <t>LE_F+CA_F</t>
        </is>
      </c>
      <c r="B497" s="2" t="n">
        <v>4</v>
      </c>
      <c r="C497">
        <f>(B497-1)/9</f>
        <v/>
      </c>
    </row>
    <row r="498">
      <c r="A498" s="2" t="inlineStr">
        <is>
          <t>VI_F+AR_F</t>
        </is>
      </c>
      <c r="B498" s="2" t="n">
        <v>6</v>
      </c>
      <c r="C498">
        <f>(B498-1)/9</f>
        <v/>
      </c>
    </row>
    <row r="499">
      <c r="A499" s="2" t="inlineStr">
        <is>
          <t>VI_F+TA_F</t>
        </is>
      </c>
      <c r="B499" s="2" t="n">
        <v>7</v>
      </c>
      <c r="C499">
        <f>(B499-1)/9</f>
        <v/>
      </c>
    </row>
    <row r="500">
      <c r="A500" s="2" t="inlineStr">
        <is>
          <t>VI_F+GE_F</t>
        </is>
      </c>
      <c r="B500" s="2" t="n">
        <v>5</v>
      </c>
      <c r="C500">
        <f>(B500-1)/9</f>
        <v/>
      </c>
    </row>
    <row r="501">
      <c r="A501" s="2" t="inlineStr">
        <is>
          <t>VI_F+SG_F</t>
        </is>
      </c>
      <c r="B501" s="2" t="n">
        <v>4</v>
      </c>
      <c r="C501">
        <f>(B501-1)/9</f>
        <v/>
      </c>
    </row>
    <row r="502">
      <c r="A502" s="2" t="inlineStr">
        <is>
          <t>VI_F+CP_F</t>
        </is>
      </c>
      <c r="B502" s="2" t="n">
        <v>8</v>
      </c>
      <c r="C502">
        <f>(B502-1)/9</f>
        <v/>
      </c>
    </row>
    <row r="503">
      <c r="A503" s="2" t="inlineStr">
        <is>
          <t>LI_F+GE_F</t>
        </is>
      </c>
      <c r="B503" s="2" t="n">
        <v>6</v>
      </c>
      <c r="C503">
        <f>(B503-1)/9</f>
        <v/>
      </c>
    </row>
    <row r="504">
      <c r="A504" s="2" t="inlineStr">
        <is>
          <t>VI_F+LI_F</t>
        </is>
      </c>
      <c r="B504" s="2" t="n">
        <v>5</v>
      </c>
      <c r="C504">
        <f>(B504-1)/9</f>
        <v/>
      </c>
    </row>
    <row r="505">
      <c r="A505" s="2" t="inlineStr">
        <is>
          <t>LI_F+LI_F</t>
        </is>
      </c>
      <c r="B505" s="2" t="n">
        <v>6</v>
      </c>
      <c r="C505">
        <f>(B505-1)/9</f>
        <v/>
      </c>
    </row>
    <row r="506">
      <c r="A506" s="2" t="inlineStr">
        <is>
          <t>LI_F+TA_F</t>
        </is>
      </c>
      <c r="B506" s="2" t="n">
        <v>5</v>
      </c>
      <c r="C506">
        <f>(B506-1)/9</f>
        <v/>
      </c>
    </row>
    <row r="507">
      <c r="A507" s="2" t="inlineStr">
        <is>
          <t>LI_F+SC_F</t>
        </is>
      </c>
      <c r="B507" s="2" t="n">
        <v>4</v>
      </c>
      <c r="C507">
        <f>(B507-1)/9</f>
        <v/>
      </c>
    </row>
    <row r="508">
      <c r="A508" s="2" t="inlineStr">
        <is>
          <t>VI_F+AQ_F</t>
        </is>
      </c>
      <c r="B508" s="2" t="n">
        <v>5</v>
      </c>
      <c r="C508">
        <f>(B508-1)/9</f>
        <v/>
      </c>
    </row>
    <row r="509">
      <c r="A509" s="2" t="inlineStr">
        <is>
          <t>VI_F+PI_F</t>
        </is>
      </c>
      <c r="B509" s="2" t="n">
        <v>6</v>
      </c>
      <c r="C509">
        <f>(B509-1)/9</f>
        <v/>
      </c>
    </row>
    <row r="510">
      <c r="A510" s="2" t="inlineStr">
        <is>
          <t>LI_F+CA_F</t>
        </is>
      </c>
      <c r="B510" s="2" t="n">
        <v>4</v>
      </c>
      <c r="C510">
        <f>(B510-1)/9</f>
        <v/>
      </c>
    </row>
    <row r="511">
      <c r="A511" s="2" t="inlineStr">
        <is>
          <t>LI_F+LE_F</t>
        </is>
      </c>
      <c r="B511" s="2" t="n">
        <v>5</v>
      </c>
      <c r="C511">
        <f>(B511-1)/9</f>
        <v/>
      </c>
    </row>
    <row r="512">
      <c r="A512" s="2" t="inlineStr">
        <is>
          <t>SC_F+TA_F</t>
        </is>
      </c>
      <c r="B512" s="2" t="n">
        <v>6</v>
      </c>
      <c r="C512">
        <f>(B512-1)/9</f>
        <v/>
      </c>
    </row>
    <row r="513">
      <c r="A513" s="2" t="inlineStr">
        <is>
          <t>LI_F+VI_F</t>
        </is>
      </c>
      <c r="B513" s="2" t="n">
        <v>6</v>
      </c>
      <c r="C513">
        <f>(B513-1)/9</f>
        <v/>
      </c>
    </row>
    <row r="514">
      <c r="A514" s="2" t="inlineStr">
        <is>
          <t>LI_F+PI_F</t>
        </is>
      </c>
      <c r="B514" s="2" t="n">
        <v>6</v>
      </c>
      <c r="C514">
        <f>(B514-1)/9</f>
        <v/>
      </c>
    </row>
    <row r="515">
      <c r="A515" s="2" t="inlineStr">
        <is>
          <t>LI_F+AQ_F</t>
        </is>
      </c>
      <c r="B515" s="2" t="n">
        <v>8</v>
      </c>
      <c r="C515">
        <f>(B515-1)/9</f>
        <v/>
      </c>
    </row>
    <row r="516">
      <c r="A516" s="2" t="inlineStr">
        <is>
          <t>LI_F+CP_F</t>
        </is>
      </c>
      <c r="B516" s="2" t="n">
        <v>5</v>
      </c>
      <c r="C516">
        <f>(B516-1)/9</f>
        <v/>
      </c>
    </row>
    <row r="517">
      <c r="A517" s="2" t="inlineStr">
        <is>
          <t>LI_F+SG_F</t>
        </is>
      </c>
      <c r="B517" s="2" t="n">
        <v>7</v>
      </c>
      <c r="C517">
        <f>(B517-1)/9</f>
        <v/>
      </c>
    </row>
    <row r="518">
      <c r="A518" s="2" t="inlineStr">
        <is>
          <t>SC_F+AR_F</t>
        </is>
      </c>
      <c r="B518" s="2" t="n">
        <v>5</v>
      </c>
      <c r="C518">
        <f>(B518-1)/9</f>
        <v/>
      </c>
    </row>
    <row r="519">
      <c r="A519" s="2" t="inlineStr">
        <is>
          <t>LI_F+AR_F</t>
        </is>
      </c>
      <c r="B519" s="2" t="n">
        <v>7</v>
      </c>
      <c r="C519">
        <f>(B519-1)/9</f>
        <v/>
      </c>
    </row>
    <row r="520">
      <c r="A520" s="2" t="inlineStr">
        <is>
          <t>SC_F+GE_F</t>
        </is>
      </c>
      <c r="B520" s="2" t="n">
        <v>7</v>
      </c>
      <c r="C520">
        <f>(B520-1)/9</f>
        <v/>
      </c>
    </row>
    <row r="521">
      <c r="A521" s="2" t="inlineStr">
        <is>
          <t>SC_F+CA_F</t>
        </is>
      </c>
      <c r="B521" s="2" t="n">
        <v>5</v>
      </c>
      <c r="C521">
        <f>(B521-1)/9</f>
        <v/>
      </c>
    </row>
    <row r="522">
      <c r="A522" s="2" t="inlineStr">
        <is>
          <t>SC_F+VI_F</t>
        </is>
      </c>
      <c r="B522" s="2" t="n">
        <v>4</v>
      </c>
      <c r="C522">
        <f>(B522-1)/9</f>
        <v/>
      </c>
    </row>
    <row r="523">
      <c r="A523" s="2" t="inlineStr">
        <is>
          <t>SC_F+SG_F</t>
        </is>
      </c>
      <c r="B523" s="2" t="n">
        <v>6</v>
      </c>
      <c r="C523">
        <f>(B523-1)/9</f>
        <v/>
      </c>
    </row>
    <row r="524">
      <c r="A524" s="2" t="inlineStr">
        <is>
          <t>SC_F+CP_F</t>
        </is>
      </c>
      <c r="B524" s="2" t="n">
        <v>5</v>
      </c>
      <c r="C524">
        <f>(B524-1)/9</f>
        <v/>
      </c>
    </row>
    <row r="525">
      <c r="A525" s="2" t="inlineStr">
        <is>
          <t>SC_F+LE_F</t>
        </is>
      </c>
      <c r="B525" s="2" t="n">
        <v>6</v>
      </c>
      <c r="C525">
        <f>(B525-1)/9</f>
        <v/>
      </c>
    </row>
    <row r="526">
      <c r="A526" s="2" t="inlineStr">
        <is>
          <t>SC_F+SC_F</t>
        </is>
      </c>
      <c r="B526" s="2" t="n">
        <v>7</v>
      </c>
      <c r="C526">
        <f>(B526-1)/9</f>
        <v/>
      </c>
    </row>
    <row r="527">
      <c r="A527" s="2" t="inlineStr">
        <is>
          <t>SG_F+CA_F</t>
        </is>
      </c>
      <c r="B527" s="2" t="n">
        <v>6</v>
      </c>
      <c r="C527">
        <f>(B527-1)/9</f>
        <v/>
      </c>
    </row>
    <row r="528">
      <c r="A528" s="2" t="inlineStr">
        <is>
          <t>SC_F+LI_F</t>
        </is>
      </c>
      <c r="B528" s="2" t="n">
        <v>5</v>
      </c>
      <c r="C528">
        <f>(B528-1)/9</f>
        <v/>
      </c>
    </row>
    <row r="529">
      <c r="A529" s="2" t="inlineStr">
        <is>
          <t>SC_F+AQ_F</t>
        </is>
      </c>
      <c r="B529" s="2" t="n">
        <v>4</v>
      </c>
      <c r="C529">
        <f>(B529-1)/9</f>
        <v/>
      </c>
    </row>
    <row r="530">
      <c r="A530" s="2" t="inlineStr">
        <is>
          <t>SG_F+GE_F</t>
        </is>
      </c>
      <c r="B530" s="2" t="n">
        <v>5</v>
      </c>
      <c r="C530">
        <f>(B530-1)/9</f>
        <v/>
      </c>
    </row>
    <row r="531">
      <c r="A531" s="2" t="inlineStr">
        <is>
          <t>SG_F+TA_F</t>
        </is>
      </c>
      <c r="B531" s="2" t="n">
        <v>4</v>
      </c>
      <c r="C531">
        <f>(B531-1)/9</f>
        <v/>
      </c>
    </row>
    <row r="532">
      <c r="A532" s="2" t="inlineStr">
        <is>
          <t>SC_F+PI_F</t>
        </is>
      </c>
      <c r="B532" s="2" t="n">
        <v>8</v>
      </c>
      <c r="C532">
        <f>(B532-1)/9</f>
        <v/>
      </c>
    </row>
    <row r="533">
      <c r="A533" s="2" t="inlineStr">
        <is>
          <t>SG_F+AR_F</t>
        </is>
      </c>
      <c r="B533" s="2" t="n">
        <v>6</v>
      </c>
      <c r="C533">
        <f>(B533-1)/9</f>
        <v/>
      </c>
    </row>
    <row r="534">
      <c r="A534" s="2" t="inlineStr">
        <is>
          <t>SG_F+SC_F</t>
        </is>
      </c>
      <c r="B534" s="2" t="n">
        <v>5</v>
      </c>
      <c r="C534">
        <f>(B534-1)/9</f>
        <v/>
      </c>
    </row>
    <row r="535">
      <c r="A535" s="2" t="inlineStr">
        <is>
          <t>SG_F+SG_F</t>
        </is>
      </c>
      <c r="B535" s="2" t="n">
        <v>6</v>
      </c>
      <c r="C535">
        <f>(B535-1)/9</f>
        <v/>
      </c>
    </row>
    <row r="536">
      <c r="A536" s="2" t="inlineStr">
        <is>
          <t>SG_F+LI_F</t>
        </is>
      </c>
      <c r="B536" s="2" t="n">
        <v>7</v>
      </c>
      <c r="C536">
        <f>(B536-1)/9</f>
        <v/>
      </c>
    </row>
    <row r="537">
      <c r="A537" s="2" t="inlineStr">
        <is>
          <t>CP_F+TA_F</t>
        </is>
      </c>
      <c r="B537" s="2" t="n">
        <v>7</v>
      </c>
      <c r="C537">
        <f>(B537-1)/9</f>
        <v/>
      </c>
    </row>
    <row r="538">
      <c r="A538" s="2" t="inlineStr">
        <is>
          <t>SG_F+LE_F</t>
        </is>
      </c>
      <c r="B538" s="2" t="n">
        <v>8</v>
      </c>
      <c r="C538">
        <f>(B538-1)/9</f>
        <v/>
      </c>
    </row>
    <row r="539">
      <c r="A539" s="2" t="inlineStr">
        <is>
          <t>SG_F+AQ_F</t>
        </is>
      </c>
      <c r="B539" s="2" t="n">
        <v>6</v>
      </c>
      <c r="C539">
        <f>(B539-1)/9</f>
        <v/>
      </c>
    </row>
    <row r="540">
      <c r="A540" s="2" t="inlineStr">
        <is>
          <t>SG_F+CP_F</t>
        </is>
      </c>
      <c r="B540" s="2" t="n">
        <v>4</v>
      </c>
      <c r="C540">
        <f>(B540-1)/9</f>
        <v/>
      </c>
    </row>
    <row r="541">
      <c r="A541" s="2" t="inlineStr">
        <is>
          <t>CP_F+AR_F</t>
        </is>
      </c>
      <c r="B541" s="2" t="n">
        <v>4</v>
      </c>
      <c r="C541">
        <f>(B541-1)/9</f>
        <v/>
      </c>
    </row>
    <row r="542">
      <c r="A542" s="2" t="inlineStr">
        <is>
          <t>SG_F+VI_F</t>
        </is>
      </c>
      <c r="B542" s="2" t="n">
        <v>5</v>
      </c>
      <c r="C542">
        <f>(B542-1)/9</f>
        <v/>
      </c>
    </row>
    <row r="543">
      <c r="A543" s="2" t="inlineStr">
        <is>
          <t>CP_F+CA_F</t>
        </is>
      </c>
      <c r="B543" s="2" t="n">
        <v>6</v>
      </c>
      <c r="C543">
        <f>(B543-1)/9</f>
        <v/>
      </c>
    </row>
    <row r="544">
      <c r="A544" s="2" t="inlineStr">
        <is>
          <t>CP_F+LE_F</t>
        </is>
      </c>
      <c r="B544" s="2" t="n">
        <v>5</v>
      </c>
      <c r="C544">
        <f>(B544-1)/9</f>
        <v/>
      </c>
    </row>
    <row r="545">
      <c r="A545" s="2" t="inlineStr">
        <is>
          <t>CP_F+GE_F</t>
        </is>
      </c>
      <c r="B545" s="2" t="n">
        <v>5</v>
      </c>
      <c r="C545">
        <f>(B545-1)/9</f>
        <v/>
      </c>
    </row>
    <row r="546">
      <c r="A546" s="2" t="inlineStr">
        <is>
          <t>CP_F+SG_F</t>
        </is>
      </c>
      <c r="B546" s="2" t="n">
        <v>4</v>
      </c>
      <c r="C546">
        <f>(B546-1)/9</f>
        <v/>
      </c>
    </row>
    <row r="547">
      <c r="A547" s="2" t="inlineStr">
        <is>
          <t>CP_F+LI_F</t>
        </is>
      </c>
      <c r="B547" s="2" t="n">
        <v>6</v>
      </c>
      <c r="C547">
        <f>(B547-1)/9</f>
        <v/>
      </c>
    </row>
    <row r="548">
      <c r="A548" s="2" t="inlineStr">
        <is>
          <t>CP_F+SC_F</t>
        </is>
      </c>
      <c r="B548" s="2" t="n">
        <v>5</v>
      </c>
      <c r="C548">
        <f>(B548-1)/9</f>
        <v/>
      </c>
    </row>
    <row r="549">
      <c r="A549" s="2" t="inlineStr">
        <is>
          <t>CP_F+CP_F</t>
        </is>
      </c>
      <c r="B549" s="2" t="n">
        <v>7</v>
      </c>
      <c r="C549">
        <f>(B549-1)/9</f>
        <v/>
      </c>
    </row>
    <row r="550">
      <c r="A550" s="2" t="inlineStr">
        <is>
          <t>SG_F+PI_F</t>
        </is>
      </c>
      <c r="B550" s="2" t="n">
        <v>5</v>
      </c>
      <c r="C550">
        <f>(B550-1)/9</f>
        <v/>
      </c>
    </row>
    <row r="551">
      <c r="A551" s="2" t="inlineStr">
        <is>
          <t>CP_F+PI_F</t>
        </is>
      </c>
      <c r="B551" s="2" t="n">
        <v>6</v>
      </c>
      <c r="C551">
        <f>(B551-1)/9</f>
        <v/>
      </c>
    </row>
    <row r="552">
      <c r="A552" s="2" t="inlineStr">
        <is>
          <t>AQ_F+TA_F</t>
        </is>
      </c>
      <c r="B552" s="2" t="n">
        <v>5</v>
      </c>
      <c r="C552">
        <f>(B552-1)/9</f>
        <v/>
      </c>
    </row>
    <row r="553">
      <c r="A553" s="2" t="inlineStr">
        <is>
          <t>AQ_F+GE_F</t>
        </is>
      </c>
      <c r="B553" s="2" t="n">
        <v>6</v>
      </c>
      <c r="C553">
        <f>(B553-1)/9</f>
        <v/>
      </c>
    </row>
    <row r="554">
      <c r="A554" s="2" t="inlineStr">
        <is>
          <t>AQ_F+VI_F</t>
        </is>
      </c>
      <c r="B554" s="2" t="n">
        <v>5</v>
      </c>
      <c r="C554">
        <f>(B554-1)/9</f>
        <v/>
      </c>
    </row>
    <row r="555">
      <c r="A555" s="2" t="inlineStr">
        <is>
          <t>AQ_F+LE_F</t>
        </is>
      </c>
      <c r="B555" s="2" t="n">
        <v>4</v>
      </c>
      <c r="C555">
        <f>(B555-1)/9</f>
        <v/>
      </c>
    </row>
    <row r="556">
      <c r="A556" s="2" t="inlineStr">
        <is>
          <t>CP_F+AQ_F</t>
        </is>
      </c>
      <c r="B556" s="2" t="n">
        <v>5</v>
      </c>
      <c r="C556">
        <f>(B556-1)/9</f>
        <v/>
      </c>
    </row>
    <row r="557">
      <c r="A557" s="2" t="inlineStr">
        <is>
          <t>AQ_F+CA_F</t>
        </is>
      </c>
      <c r="B557" s="2" t="n">
        <v>7</v>
      </c>
      <c r="C557">
        <f>(B557-1)/9</f>
        <v/>
      </c>
    </row>
    <row r="558">
      <c r="A558" s="2" t="inlineStr">
        <is>
          <t>CP_F+VI_F</t>
        </is>
      </c>
      <c r="B558" s="2" t="n">
        <v>8</v>
      </c>
      <c r="C558">
        <f>(B558-1)/9</f>
        <v/>
      </c>
    </row>
    <row r="559">
      <c r="A559" s="2" t="inlineStr">
        <is>
          <t>AQ_F+SC_F</t>
        </is>
      </c>
      <c r="B559" s="2" t="n">
        <v>4</v>
      </c>
      <c r="C559">
        <f>(B559-1)/9</f>
        <v/>
      </c>
    </row>
    <row r="560">
      <c r="A560" s="2" t="inlineStr">
        <is>
          <t>AQ_F+LI_F</t>
        </is>
      </c>
      <c r="B560" s="2" t="n">
        <v>8</v>
      </c>
      <c r="C560">
        <f>(B560-1)/9</f>
        <v/>
      </c>
    </row>
    <row r="561">
      <c r="A561" s="2" t="inlineStr">
        <is>
          <t>AQ_F+AR_F</t>
        </is>
      </c>
      <c r="B561" s="2" t="n">
        <v>6</v>
      </c>
      <c r="C561">
        <f>(B561-1)/9</f>
        <v/>
      </c>
    </row>
    <row r="562">
      <c r="A562" s="2" t="inlineStr">
        <is>
          <t>AQ_F+AQ_F</t>
        </is>
      </c>
      <c r="B562" s="2" t="n">
        <v>6</v>
      </c>
      <c r="C562">
        <f>(B562-1)/9</f>
        <v/>
      </c>
    </row>
    <row r="563">
      <c r="A563" s="2" t="inlineStr">
        <is>
          <t>PI_F+AR_F</t>
        </is>
      </c>
      <c r="B563" s="2" t="n">
        <v>5</v>
      </c>
      <c r="C563">
        <f>(B563-1)/9</f>
        <v/>
      </c>
    </row>
    <row r="564">
      <c r="A564" s="2" t="inlineStr">
        <is>
          <t>PI_F+LI_F</t>
        </is>
      </c>
      <c r="B564" s="2" t="n">
        <v>6</v>
      </c>
      <c r="C564">
        <f>(B564-1)/9</f>
        <v/>
      </c>
    </row>
    <row r="565">
      <c r="A565" s="2" t="inlineStr">
        <is>
          <t>AQ_F+CP_F</t>
        </is>
      </c>
      <c r="B565" s="2" t="n">
        <v>5</v>
      </c>
      <c r="C565">
        <f>(B565-1)/9</f>
        <v/>
      </c>
    </row>
    <row r="566">
      <c r="A566" s="2" t="inlineStr">
        <is>
          <t>AQ_F+PI_F</t>
        </is>
      </c>
      <c r="B566" s="2" t="n">
        <v>7</v>
      </c>
      <c r="C566">
        <f>(B566-1)/9</f>
        <v/>
      </c>
    </row>
    <row r="567">
      <c r="A567" s="2" t="inlineStr">
        <is>
          <t>AQ_F+SG_F</t>
        </is>
      </c>
      <c r="B567" s="2" t="n">
        <v>6</v>
      </c>
      <c r="C567">
        <f>(B567-1)/9</f>
        <v/>
      </c>
    </row>
    <row r="568">
      <c r="A568" s="2" t="inlineStr">
        <is>
          <t>PI_F+LE_F</t>
        </is>
      </c>
      <c r="B568" s="2" t="n">
        <v>7</v>
      </c>
      <c r="C568">
        <f>(B568-1)/9</f>
        <v/>
      </c>
    </row>
    <row r="569">
      <c r="A569" s="2" t="inlineStr">
        <is>
          <t>PI_F+VI_F</t>
        </is>
      </c>
      <c r="B569" s="2" t="n">
        <v>5</v>
      </c>
      <c r="C569">
        <f>(B569-1)/9</f>
        <v/>
      </c>
    </row>
    <row r="570">
      <c r="A570" s="2" t="inlineStr">
        <is>
          <t>PI_F+TA_F</t>
        </is>
      </c>
      <c r="B570" s="2" t="n">
        <v>6</v>
      </c>
      <c r="C570">
        <f>(B570-1)/9</f>
        <v/>
      </c>
    </row>
    <row r="571">
      <c r="A571" s="2" t="inlineStr">
        <is>
          <t>PI_F+SC_F</t>
        </is>
      </c>
      <c r="B571" s="2" t="n">
        <v>8</v>
      </c>
      <c r="C571">
        <f>(B571-1)/9</f>
        <v/>
      </c>
    </row>
    <row r="572">
      <c r="A572" s="2" t="inlineStr">
        <is>
          <t>PI_F+SG_F</t>
        </is>
      </c>
      <c r="B572" s="2" t="n">
        <v>5</v>
      </c>
      <c r="C572">
        <f>(B572-1)/9</f>
        <v/>
      </c>
    </row>
    <row r="573">
      <c r="A573" s="2" t="inlineStr">
        <is>
          <t>PI_F+GE_F</t>
        </is>
      </c>
      <c r="B573" s="2" t="n">
        <v>4</v>
      </c>
      <c r="C573">
        <f>(B573-1)/9</f>
        <v/>
      </c>
    </row>
    <row r="574">
      <c r="A574" s="2" t="inlineStr">
        <is>
          <t>PI_F+AQ_F</t>
        </is>
      </c>
      <c r="B574" s="2" t="n">
        <v>7</v>
      </c>
      <c r="C574">
        <f>(B574-1)/9</f>
        <v/>
      </c>
    </row>
    <row r="575">
      <c r="A575" s="2" t="inlineStr">
        <is>
          <t>PI_F+PI_F</t>
        </is>
      </c>
      <c r="B575" s="2" t="n">
        <v>6</v>
      </c>
      <c r="C575">
        <f>(B575-1)/9</f>
        <v/>
      </c>
    </row>
    <row r="576">
      <c r="A576" s="2" t="inlineStr">
        <is>
          <t>PI_F+CP_F</t>
        </is>
      </c>
      <c r="B576" s="2" t="n">
        <v>6</v>
      </c>
      <c r="C576">
        <f>(B576-1)/9</f>
        <v/>
      </c>
    </row>
    <row r="577">
      <c r="A577" s="2" t="inlineStr">
        <is>
          <t>PI_F+CA_F</t>
        </is>
      </c>
      <c r="B577" s="2" t="n">
        <v>6</v>
      </c>
      <c r="C577">
        <f>(B577-1)/9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1.97265625" customWidth="1" style="10" min="1" max="2"/>
    <col width="13.5859375" customWidth="1" style="10" min="3" max="3"/>
    <col width="20.04296875" customWidth="1" style="10" min="4" max="6"/>
  </cols>
  <sheetData>
    <row r="1" ht="27.75" customHeight="1" s="10">
      <c r="A1" s="1" t="inlineStr">
        <is>
          <t>pair_key</t>
        </is>
      </c>
      <c r="B1" s="1" t="inlineStr">
        <is>
          <t>score_1_10</t>
        </is>
      </c>
      <c r="C1" s="1" t="inlineStr">
        <is>
          <t>weight_points</t>
        </is>
      </c>
      <c r="D1" s="8" t="inlineStr">
        <is>
          <t>numerology_norm</t>
        </is>
      </c>
      <c r="E1" s="8" t="inlineStr">
        <is>
          <t>numerology_confidence</t>
        </is>
      </c>
      <c r="F1" s="8" t="inlineStr">
        <is>
          <t>adjusted_numerology_norm</t>
        </is>
      </c>
    </row>
    <row r="2">
      <c r="A2" s="2" t="inlineStr">
        <is>
          <t>1+2</t>
        </is>
      </c>
      <c r="B2" s="2" t="n">
        <v>6</v>
      </c>
      <c r="C2" s="2" t="n">
        <v>30</v>
      </c>
      <c r="D2">
        <f>(B2-1)/9</f>
        <v/>
      </c>
      <c r="E2">
        <f>MIN(1,C2/30)</f>
        <v/>
      </c>
      <c r="F2">
        <f>0.75*D2+0.25*(D2*E2)</f>
        <v/>
      </c>
    </row>
    <row r="3">
      <c r="A3" s="2" t="inlineStr">
        <is>
          <t>1+1</t>
        </is>
      </c>
      <c r="B3" s="2" t="n">
        <v>7</v>
      </c>
      <c r="C3" s="2" t="n">
        <v>30</v>
      </c>
      <c r="D3">
        <f>(B3-1)/9</f>
        <v/>
      </c>
      <c r="E3">
        <f>MIN(1,C3/30)</f>
        <v/>
      </c>
      <c r="F3">
        <f>0.75*D3+0.25*(D3*E3)</f>
        <v/>
      </c>
    </row>
    <row r="4">
      <c r="A4" s="2" t="inlineStr">
        <is>
          <t>1+5</t>
        </is>
      </c>
      <c r="B4" s="2" t="n">
        <v>9</v>
      </c>
      <c r="C4" s="2" t="n">
        <v>30</v>
      </c>
      <c r="D4">
        <f>(B4-1)/9</f>
        <v/>
      </c>
      <c r="E4">
        <f>MIN(1,C4/30)</f>
        <v/>
      </c>
      <c r="F4">
        <f>0.75*D4+0.25*(D4*E4)</f>
        <v/>
      </c>
    </row>
    <row r="5">
      <c r="A5" s="2" t="inlineStr">
        <is>
          <t>1+3</t>
        </is>
      </c>
      <c r="B5" s="2" t="n">
        <v>6</v>
      </c>
      <c r="C5" s="2" t="n">
        <v>30</v>
      </c>
      <c r="D5">
        <f>(B5-1)/9</f>
        <v/>
      </c>
      <c r="E5">
        <f>MIN(1,C5/30)</f>
        <v/>
      </c>
      <c r="F5">
        <f>0.75*D5+0.25*(D5*E5)</f>
        <v/>
      </c>
    </row>
    <row r="6">
      <c r="A6" s="2" t="inlineStr">
        <is>
          <t>1+8</t>
        </is>
      </c>
      <c r="B6" s="2" t="n">
        <v>6</v>
      </c>
      <c r="C6" s="2" t="n">
        <v>30</v>
      </c>
      <c r="D6">
        <f>(B6-1)/9</f>
        <v/>
      </c>
      <c r="E6">
        <f>MIN(1,C6/30)</f>
        <v/>
      </c>
      <c r="F6">
        <f>0.75*D6+0.25*(D6*E6)</f>
        <v/>
      </c>
    </row>
    <row r="7">
      <c r="A7" s="2" t="inlineStr">
        <is>
          <t>1+11</t>
        </is>
      </c>
      <c r="B7" s="2" t="n">
        <v>6</v>
      </c>
      <c r="C7" s="2" t="n">
        <v>30</v>
      </c>
      <c r="D7">
        <f>(B7-1)/9</f>
        <v/>
      </c>
      <c r="E7">
        <f>MIN(1,C7/30)</f>
        <v/>
      </c>
      <c r="F7">
        <f>0.75*D7+0.25*(D7*E7)</f>
        <v/>
      </c>
    </row>
    <row r="8">
      <c r="A8" s="2" t="inlineStr">
        <is>
          <t>1+6</t>
        </is>
      </c>
      <c r="B8" s="2" t="n">
        <v>6</v>
      </c>
      <c r="C8" s="2" t="n">
        <v>30</v>
      </c>
      <c r="D8">
        <f>(B8-1)/9</f>
        <v/>
      </c>
      <c r="E8">
        <f>MIN(1,C8/30)</f>
        <v/>
      </c>
      <c r="F8">
        <f>0.75*D8+0.25*(D8*E8)</f>
        <v/>
      </c>
    </row>
    <row r="9">
      <c r="A9" s="2" t="inlineStr">
        <is>
          <t>1+7</t>
        </is>
      </c>
      <c r="B9" s="2" t="n">
        <v>8</v>
      </c>
      <c r="C9" s="2" t="n">
        <v>30</v>
      </c>
      <c r="D9">
        <f>(B9-1)/9</f>
        <v/>
      </c>
      <c r="E9">
        <f>MIN(1,C9/30)</f>
        <v/>
      </c>
      <c r="F9">
        <f>0.75*D9+0.25*(D9*E9)</f>
        <v/>
      </c>
    </row>
    <row r="10">
      <c r="A10" s="2" t="inlineStr">
        <is>
          <t>1+4</t>
        </is>
      </c>
      <c r="B10" s="2" t="n">
        <v>6</v>
      </c>
      <c r="C10" s="2" t="n">
        <v>30</v>
      </c>
      <c r="D10">
        <f>(B10-1)/9</f>
        <v/>
      </c>
      <c r="E10">
        <f>MIN(1,C10/30)</f>
        <v/>
      </c>
      <c r="F10">
        <f>0.75*D10+0.25*(D10*E10)</f>
        <v/>
      </c>
    </row>
    <row r="11">
      <c r="A11" s="2" t="inlineStr">
        <is>
          <t>1+9</t>
        </is>
      </c>
      <c r="B11" s="2" t="n">
        <v>8</v>
      </c>
      <c r="C11" s="2" t="n">
        <v>30</v>
      </c>
      <c r="D11">
        <f>(B11-1)/9</f>
        <v/>
      </c>
      <c r="E11">
        <f>MIN(1,C11/30)</f>
        <v/>
      </c>
      <c r="F11">
        <f>0.75*D11+0.25*(D11*E11)</f>
        <v/>
      </c>
    </row>
    <row r="12">
      <c r="A12" s="2" t="inlineStr">
        <is>
          <t>2+3</t>
        </is>
      </c>
      <c r="B12" s="2" t="n">
        <v>6</v>
      </c>
      <c r="C12" s="2" t="n">
        <v>30</v>
      </c>
      <c r="D12">
        <f>(B12-1)/9</f>
        <v/>
      </c>
      <c r="E12">
        <f>MIN(1,C12/30)</f>
        <v/>
      </c>
      <c r="F12">
        <f>0.75*D12+0.25*(D12*E12)</f>
        <v/>
      </c>
    </row>
    <row r="13">
      <c r="A13" s="2" t="inlineStr">
        <is>
          <t>2+2</t>
        </is>
      </c>
      <c r="B13" s="2" t="n">
        <v>7</v>
      </c>
      <c r="C13" s="2" t="n">
        <v>30</v>
      </c>
      <c r="D13">
        <f>(B13-1)/9</f>
        <v/>
      </c>
      <c r="E13">
        <f>MIN(1,C13/30)</f>
        <v/>
      </c>
      <c r="F13">
        <f>0.75*D13+0.25*(D13*E13)</f>
        <v/>
      </c>
    </row>
    <row r="14">
      <c r="A14" s="2" t="inlineStr">
        <is>
          <t>2+7</t>
        </is>
      </c>
      <c r="B14" s="2" t="n">
        <v>8</v>
      </c>
      <c r="C14" s="2" t="n">
        <v>30</v>
      </c>
      <c r="D14">
        <f>(B14-1)/9</f>
        <v/>
      </c>
      <c r="E14">
        <f>MIN(1,C14/30)</f>
        <v/>
      </c>
      <c r="F14">
        <f>0.75*D14+0.25*(D14*E14)</f>
        <v/>
      </c>
    </row>
    <row r="15">
      <c r="A15" s="2" t="inlineStr">
        <is>
          <t>2+6</t>
        </is>
      </c>
      <c r="B15" s="2" t="n">
        <v>10</v>
      </c>
      <c r="C15" s="2" t="n">
        <v>30</v>
      </c>
      <c r="D15">
        <f>(B15-1)/9</f>
        <v/>
      </c>
      <c r="E15">
        <f>MIN(1,C15/30)</f>
        <v/>
      </c>
      <c r="F15">
        <f>0.75*D15+0.25*(D15*E15)</f>
        <v/>
      </c>
    </row>
    <row r="16">
      <c r="A16" s="2" t="inlineStr">
        <is>
          <t>2+8</t>
        </is>
      </c>
      <c r="B16" s="2" t="n">
        <v>6</v>
      </c>
      <c r="C16" s="2" t="n">
        <v>30</v>
      </c>
      <c r="D16">
        <f>(B16-1)/9</f>
        <v/>
      </c>
      <c r="E16">
        <f>MIN(1,C16/30)</f>
        <v/>
      </c>
      <c r="F16">
        <f>0.75*D16+0.25*(D16*E16)</f>
        <v/>
      </c>
    </row>
    <row r="17">
      <c r="A17" s="2" t="inlineStr">
        <is>
          <t>2+5</t>
        </is>
      </c>
      <c r="B17" s="2" t="n">
        <v>6</v>
      </c>
      <c r="C17" s="2" t="n">
        <v>30</v>
      </c>
      <c r="D17">
        <f>(B17-1)/9</f>
        <v/>
      </c>
      <c r="E17">
        <f>MIN(1,C17/30)</f>
        <v/>
      </c>
      <c r="F17">
        <f>0.75*D17+0.25*(D17*E17)</f>
        <v/>
      </c>
    </row>
    <row r="18">
      <c r="A18" s="2" t="inlineStr">
        <is>
          <t>1+22</t>
        </is>
      </c>
      <c r="B18" s="2" t="n">
        <v>6</v>
      </c>
      <c r="C18" s="2" t="n">
        <v>30</v>
      </c>
      <c r="D18">
        <f>(B18-1)/9</f>
        <v/>
      </c>
      <c r="E18">
        <f>MIN(1,C18/30)</f>
        <v/>
      </c>
      <c r="F18">
        <f>0.75*D18+0.25*(D18*E18)</f>
        <v/>
      </c>
    </row>
    <row r="19">
      <c r="A19" s="2" t="inlineStr">
        <is>
          <t>2+4</t>
        </is>
      </c>
      <c r="B19" s="2" t="n">
        <v>6</v>
      </c>
      <c r="C19" s="2" t="n">
        <v>30</v>
      </c>
      <c r="D19">
        <f>(B19-1)/9</f>
        <v/>
      </c>
      <c r="E19">
        <f>MIN(1,C19/30)</f>
        <v/>
      </c>
      <c r="F19">
        <f>0.75*D19+0.25*(D19*E19)</f>
        <v/>
      </c>
    </row>
    <row r="20">
      <c r="A20" s="2" t="inlineStr">
        <is>
          <t>2+11</t>
        </is>
      </c>
      <c r="B20" s="2" t="n">
        <v>9</v>
      </c>
      <c r="C20" s="2" t="n">
        <v>30</v>
      </c>
      <c r="D20">
        <f>(B20-1)/9</f>
        <v/>
      </c>
      <c r="E20">
        <f>MIN(1,C20/30)</f>
        <v/>
      </c>
      <c r="F20">
        <f>0.75*D20+0.25*(D20*E20)</f>
        <v/>
      </c>
    </row>
    <row r="21">
      <c r="A21" s="2" t="inlineStr">
        <is>
          <t>2+9</t>
        </is>
      </c>
      <c r="B21" s="2" t="n">
        <v>8</v>
      </c>
      <c r="C21" s="2" t="n">
        <v>30</v>
      </c>
      <c r="D21">
        <f>(B21-1)/9</f>
        <v/>
      </c>
      <c r="E21">
        <f>MIN(1,C21/30)</f>
        <v/>
      </c>
      <c r="F21">
        <f>0.75*D21+0.25*(D21*E21)</f>
        <v/>
      </c>
    </row>
    <row r="22">
      <c r="A22" s="2" t="inlineStr">
        <is>
          <t>3+11</t>
        </is>
      </c>
      <c r="B22" s="2" t="n">
        <v>6</v>
      </c>
      <c r="C22" s="2" t="n">
        <v>30</v>
      </c>
      <c r="D22">
        <f>(B22-1)/9</f>
        <v/>
      </c>
      <c r="E22">
        <f>MIN(1,C22/30)</f>
        <v/>
      </c>
      <c r="F22">
        <f>0.75*D22+0.25*(D22*E22)</f>
        <v/>
      </c>
    </row>
    <row r="23">
      <c r="A23" s="2" t="inlineStr">
        <is>
          <t>3+22</t>
        </is>
      </c>
      <c r="B23" s="2" t="n">
        <v>6</v>
      </c>
      <c r="C23" s="2" t="n">
        <v>30</v>
      </c>
      <c r="D23">
        <f>(B23-1)/9</f>
        <v/>
      </c>
      <c r="E23">
        <f>MIN(1,C23/30)</f>
        <v/>
      </c>
      <c r="F23">
        <f>0.75*D23+0.25*(D23*E23)</f>
        <v/>
      </c>
    </row>
    <row r="24">
      <c r="A24" s="2" t="inlineStr">
        <is>
          <t>3+9</t>
        </is>
      </c>
      <c r="B24" s="2" t="n">
        <v>8</v>
      </c>
      <c r="C24" s="2" t="n">
        <v>30</v>
      </c>
      <c r="D24">
        <f>(B24-1)/9</f>
        <v/>
      </c>
      <c r="E24">
        <f>MIN(1,C24/30)</f>
        <v/>
      </c>
      <c r="F24">
        <f>0.75*D24+0.25*(D24*E24)</f>
        <v/>
      </c>
    </row>
    <row r="25">
      <c r="A25" s="2" t="inlineStr">
        <is>
          <t>3+3</t>
        </is>
      </c>
      <c r="B25" s="2" t="n">
        <v>7</v>
      </c>
      <c r="C25" s="2" t="n">
        <v>30</v>
      </c>
      <c r="D25">
        <f>(B25-1)/9</f>
        <v/>
      </c>
      <c r="E25">
        <f>MIN(1,C25/30)</f>
        <v/>
      </c>
      <c r="F25">
        <f>0.75*D25+0.25*(D25*E25)</f>
        <v/>
      </c>
    </row>
    <row r="26">
      <c r="A26" s="2" t="inlineStr">
        <is>
          <t>3+8</t>
        </is>
      </c>
      <c r="B26" s="2" t="n">
        <v>6</v>
      </c>
      <c r="C26" s="2" t="n">
        <v>30</v>
      </c>
      <c r="D26">
        <f>(B26-1)/9</f>
        <v/>
      </c>
      <c r="E26">
        <f>MIN(1,C26/30)</f>
        <v/>
      </c>
      <c r="F26">
        <f>0.75*D26+0.25*(D26*E26)</f>
        <v/>
      </c>
    </row>
    <row r="27">
      <c r="A27" s="2" t="inlineStr">
        <is>
          <t>3+7</t>
        </is>
      </c>
      <c r="B27" s="2" t="n">
        <v>8</v>
      </c>
      <c r="C27" s="2" t="n">
        <v>30</v>
      </c>
      <c r="D27">
        <f>(B27-1)/9</f>
        <v/>
      </c>
      <c r="E27">
        <f>MIN(1,C27/30)</f>
        <v/>
      </c>
      <c r="F27">
        <f>0.75*D27+0.25*(D27*E27)</f>
        <v/>
      </c>
    </row>
    <row r="28">
      <c r="A28" s="2" t="inlineStr">
        <is>
          <t>3+5</t>
        </is>
      </c>
      <c r="B28" s="2" t="n">
        <v>6</v>
      </c>
      <c r="C28" s="2" t="n">
        <v>30</v>
      </c>
      <c r="D28">
        <f>(B28-1)/9</f>
        <v/>
      </c>
      <c r="E28">
        <f>MIN(1,C28/30)</f>
        <v/>
      </c>
      <c r="F28">
        <f>0.75*D28+0.25*(D28*E28)</f>
        <v/>
      </c>
    </row>
    <row r="29">
      <c r="A29" s="2" t="inlineStr">
        <is>
          <t>2+22</t>
        </is>
      </c>
      <c r="B29" s="2" t="n">
        <v>6</v>
      </c>
      <c r="C29" s="2" t="n">
        <v>30</v>
      </c>
      <c r="D29">
        <f>(B29-1)/9</f>
        <v/>
      </c>
      <c r="E29">
        <f>MIN(1,C29/30)</f>
        <v/>
      </c>
      <c r="F29">
        <f>0.75*D29+0.25*(D29*E29)</f>
        <v/>
      </c>
    </row>
    <row r="30">
      <c r="A30" s="2" t="inlineStr">
        <is>
          <t>3+4</t>
        </is>
      </c>
      <c r="B30" s="2" t="n">
        <v>6</v>
      </c>
      <c r="C30" s="2" t="n">
        <v>30</v>
      </c>
      <c r="D30">
        <f>(B30-1)/9</f>
        <v/>
      </c>
      <c r="E30">
        <f>MIN(1,C30/30)</f>
        <v/>
      </c>
      <c r="F30">
        <f>0.75*D30+0.25*(D30*E30)</f>
        <v/>
      </c>
    </row>
    <row r="31">
      <c r="A31" s="2" t="inlineStr">
        <is>
          <t>3+6</t>
        </is>
      </c>
      <c r="B31" s="2" t="n">
        <v>9</v>
      </c>
      <c r="C31" s="2" t="n">
        <v>30</v>
      </c>
      <c r="D31">
        <f>(B31-1)/9</f>
        <v/>
      </c>
      <c r="E31">
        <f>MIN(1,C31/30)</f>
        <v/>
      </c>
      <c r="F31">
        <f>0.75*D31+0.25*(D31*E31)</f>
        <v/>
      </c>
    </row>
    <row r="32">
      <c r="A32" s="2" t="inlineStr">
        <is>
          <t>4+6</t>
        </is>
      </c>
      <c r="B32" s="2" t="n">
        <v>6</v>
      </c>
      <c r="C32" s="2" t="n">
        <v>30</v>
      </c>
      <c r="D32">
        <f>(B32-1)/9</f>
        <v/>
      </c>
      <c r="E32">
        <f>MIN(1,C32/30)</f>
        <v/>
      </c>
      <c r="F32">
        <f>0.75*D32+0.25*(D32*E32)</f>
        <v/>
      </c>
    </row>
    <row r="33">
      <c r="A33" s="2" t="inlineStr">
        <is>
          <t>4+7</t>
        </is>
      </c>
      <c r="B33" s="2" t="n">
        <v>6</v>
      </c>
      <c r="C33" s="2" t="n">
        <v>30</v>
      </c>
      <c r="D33">
        <f>(B33-1)/9</f>
        <v/>
      </c>
      <c r="E33">
        <f>MIN(1,C33/30)</f>
        <v/>
      </c>
      <c r="F33">
        <f>0.75*D33+0.25*(D33*E33)</f>
        <v/>
      </c>
    </row>
    <row r="34">
      <c r="A34" s="2" t="inlineStr">
        <is>
          <t>4+5</t>
        </is>
      </c>
      <c r="B34" s="2" t="n">
        <v>3</v>
      </c>
      <c r="C34" s="2" t="n">
        <v>30</v>
      </c>
      <c r="D34">
        <f>(B34-1)/9</f>
        <v/>
      </c>
      <c r="E34">
        <f>MIN(1,C34/30)</f>
        <v/>
      </c>
      <c r="F34">
        <f>0.75*D34+0.25*(D34*E34)</f>
        <v/>
      </c>
    </row>
    <row r="35">
      <c r="A35" s="2" t="inlineStr">
        <is>
          <t>4+4</t>
        </is>
      </c>
      <c r="B35" s="2" t="n">
        <v>7</v>
      </c>
      <c r="C35" s="2" t="n">
        <v>30</v>
      </c>
      <c r="D35">
        <f>(B35-1)/9</f>
        <v/>
      </c>
      <c r="E35">
        <f>MIN(1,C35/30)</f>
        <v/>
      </c>
      <c r="F35">
        <f>0.75*D35+0.25*(D35*E35)</f>
        <v/>
      </c>
    </row>
    <row r="36">
      <c r="A36" s="2" t="inlineStr">
        <is>
          <t>4+8</t>
        </is>
      </c>
      <c r="B36" s="2" t="n">
        <v>9</v>
      </c>
      <c r="C36" s="2" t="n">
        <v>30</v>
      </c>
      <c r="D36">
        <f>(B36-1)/9</f>
        <v/>
      </c>
      <c r="E36">
        <f>MIN(1,C36/30)</f>
        <v/>
      </c>
      <c r="F36">
        <f>0.75*D36+0.25*(D36*E36)</f>
        <v/>
      </c>
    </row>
    <row r="37">
      <c r="A37" s="2" t="inlineStr">
        <is>
          <t>4+9</t>
        </is>
      </c>
      <c r="B37" s="2" t="n">
        <v>6</v>
      </c>
      <c r="C37" s="2" t="n">
        <v>30</v>
      </c>
      <c r="D37">
        <f>(B37-1)/9</f>
        <v/>
      </c>
      <c r="E37">
        <f>MIN(1,C37/30)</f>
        <v/>
      </c>
      <c r="F37">
        <f>0.75*D37+0.25*(D37*E37)</f>
        <v/>
      </c>
    </row>
    <row r="38">
      <c r="A38" s="2" t="inlineStr">
        <is>
          <t>5+5</t>
        </is>
      </c>
      <c r="B38" s="2" t="n">
        <v>7</v>
      </c>
      <c r="C38" s="2" t="n">
        <v>30</v>
      </c>
      <c r="D38">
        <f>(B38-1)/9</f>
        <v/>
      </c>
      <c r="E38">
        <f>MIN(1,C38/30)</f>
        <v/>
      </c>
      <c r="F38">
        <f>0.75*D38+0.25*(D38*E38)</f>
        <v/>
      </c>
    </row>
    <row r="39">
      <c r="A39" s="2" t="inlineStr">
        <is>
          <t>5+6</t>
        </is>
      </c>
      <c r="B39" s="2" t="n">
        <v>6</v>
      </c>
      <c r="C39" s="2" t="n">
        <v>30</v>
      </c>
      <c r="D39">
        <f>(B39-1)/9</f>
        <v/>
      </c>
      <c r="E39">
        <f>MIN(1,C39/30)</f>
        <v/>
      </c>
      <c r="F39">
        <f>0.75*D39+0.25*(D39*E39)</f>
        <v/>
      </c>
    </row>
    <row r="40">
      <c r="A40" s="2" t="inlineStr">
        <is>
          <t>4+11</t>
        </is>
      </c>
      <c r="B40" s="2" t="n">
        <v>6</v>
      </c>
      <c r="C40" s="2" t="n">
        <v>30</v>
      </c>
      <c r="D40">
        <f>(B40-1)/9</f>
        <v/>
      </c>
      <c r="E40">
        <f>MIN(1,C40/30)</f>
        <v/>
      </c>
      <c r="F40">
        <f>0.75*D40+0.25*(D40*E40)</f>
        <v/>
      </c>
    </row>
    <row r="41">
      <c r="A41" s="2" t="inlineStr">
        <is>
          <t>4+22</t>
        </is>
      </c>
      <c r="B41" s="2" t="n">
        <v>9</v>
      </c>
      <c r="C41" s="2" t="n">
        <v>30</v>
      </c>
      <c r="D41">
        <f>(B41-1)/9</f>
        <v/>
      </c>
      <c r="E41">
        <f>MIN(1,C41/30)</f>
        <v/>
      </c>
      <c r="F41">
        <f>0.75*D41+0.25*(D41*E41)</f>
        <v/>
      </c>
    </row>
    <row r="42">
      <c r="A42" s="2" t="inlineStr">
        <is>
          <t>5+8</t>
        </is>
      </c>
      <c r="B42" s="2" t="n">
        <v>3</v>
      </c>
      <c r="C42" s="2" t="n">
        <v>30</v>
      </c>
      <c r="D42">
        <f>(B42-1)/9</f>
        <v/>
      </c>
      <c r="E42">
        <f>MIN(1,C42/30)</f>
        <v/>
      </c>
      <c r="F42">
        <f>0.75*D42+0.25*(D42*E42)</f>
        <v/>
      </c>
    </row>
    <row r="43">
      <c r="A43" s="2" t="inlineStr">
        <is>
          <t>5+22</t>
        </is>
      </c>
      <c r="B43" s="2" t="n">
        <v>6</v>
      </c>
      <c r="C43" s="2" t="n">
        <v>30</v>
      </c>
      <c r="D43">
        <f>(B43-1)/9</f>
        <v/>
      </c>
      <c r="E43">
        <f>MIN(1,C43/30)</f>
        <v/>
      </c>
      <c r="F43">
        <f>0.75*D43+0.25*(D43*E43)</f>
        <v/>
      </c>
    </row>
    <row r="44">
      <c r="A44" s="2" t="inlineStr">
        <is>
          <t>6+9</t>
        </is>
      </c>
      <c r="B44" s="2" t="n">
        <v>6</v>
      </c>
      <c r="C44" s="2" t="n">
        <v>30</v>
      </c>
      <c r="D44">
        <f>(B44-1)/9</f>
        <v/>
      </c>
      <c r="E44">
        <f>MIN(1,C44/30)</f>
        <v/>
      </c>
      <c r="F44">
        <f>0.75*D44+0.25*(D44*E44)</f>
        <v/>
      </c>
    </row>
    <row r="45">
      <c r="A45" s="2" t="inlineStr">
        <is>
          <t>6+7</t>
        </is>
      </c>
      <c r="B45" s="2" t="n">
        <v>6</v>
      </c>
      <c r="C45" s="2" t="n">
        <v>30</v>
      </c>
      <c r="D45">
        <f>(B45-1)/9</f>
        <v/>
      </c>
      <c r="E45">
        <f>MIN(1,C45/30)</f>
        <v/>
      </c>
      <c r="F45">
        <f>0.75*D45+0.25*(D45*E45)</f>
        <v/>
      </c>
    </row>
    <row r="46">
      <c r="A46" s="2" t="inlineStr">
        <is>
          <t>6+6</t>
        </is>
      </c>
      <c r="B46" s="2" t="n">
        <v>7</v>
      </c>
      <c r="C46" s="2" t="n">
        <v>30</v>
      </c>
      <c r="D46">
        <f>(B46-1)/9</f>
        <v/>
      </c>
      <c r="E46">
        <f>MIN(1,C46/30)</f>
        <v/>
      </c>
      <c r="F46">
        <f>0.75*D46+0.25*(D46*E46)</f>
        <v/>
      </c>
    </row>
    <row r="47">
      <c r="A47" s="2" t="inlineStr">
        <is>
          <t>5+7</t>
        </is>
      </c>
      <c r="B47" s="2" t="n">
        <v>3</v>
      </c>
      <c r="C47" s="2" t="n">
        <v>30</v>
      </c>
      <c r="D47">
        <f>(B47-1)/9</f>
        <v/>
      </c>
      <c r="E47">
        <f>MIN(1,C47/30)</f>
        <v/>
      </c>
      <c r="F47">
        <f>0.75*D47+0.25*(D47*E47)</f>
        <v/>
      </c>
    </row>
    <row r="48">
      <c r="A48" s="2" t="inlineStr">
        <is>
          <t>6+8</t>
        </is>
      </c>
      <c r="B48" s="2" t="n">
        <v>6</v>
      </c>
      <c r="C48" s="2" t="n">
        <v>30</v>
      </c>
      <c r="D48">
        <f>(B48-1)/9</f>
        <v/>
      </c>
      <c r="E48">
        <f>MIN(1,C48/30)</f>
        <v/>
      </c>
      <c r="F48">
        <f>0.75*D48+0.25*(D48*E48)</f>
        <v/>
      </c>
    </row>
    <row r="49">
      <c r="A49" s="2" t="inlineStr">
        <is>
          <t>5+11</t>
        </is>
      </c>
      <c r="B49" s="2" t="n">
        <v>6</v>
      </c>
      <c r="C49" s="2" t="n">
        <v>30</v>
      </c>
      <c r="D49">
        <f>(B49-1)/9</f>
        <v/>
      </c>
      <c r="E49">
        <f>MIN(1,C49/30)</f>
        <v/>
      </c>
      <c r="F49">
        <f>0.75*D49+0.25*(D49*E49)</f>
        <v/>
      </c>
    </row>
    <row r="50">
      <c r="A50" s="2" t="inlineStr">
        <is>
          <t>5+9</t>
        </is>
      </c>
      <c r="B50" s="2" t="n">
        <v>8</v>
      </c>
      <c r="C50" s="2" t="n">
        <v>30</v>
      </c>
      <c r="D50">
        <f>(B50-1)/9</f>
        <v/>
      </c>
      <c r="E50">
        <f>MIN(1,C50/30)</f>
        <v/>
      </c>
      <c r="F50">
        <f>0.75*D50+0.25*(D50*E50)</f>
        <v/>
      </c>
    </row>
    <row r="51">
      <c r="A51" s="2" t="inlineStr">
        <is>
          <t>6+11</t>
        </is>
      </c>
      <c r="B51" s="2" t="n">
        <v>6</v>
      </c>
      <c r="C51" s="2" t="n">
        <v>30</v>
      </c>
      <c r="D51">
        <f>(B51-1)/9</f>
        <v/>
      </c>
      <c r="E51">
        <f>MIN(1,C51/30)</f>
        <v/>
      </c>
      <c r="F51">
        <f>0.75*D51+0.25*(D51*E51)</f>
        <v/>
      </c>
    </row>
    <row r="52">
      <c r="A52" s="2" t="inlineStr">
        <is>
          <t>8+8</t>
        </is>
      </c>
      <c r="B52" s="2" t="n">
        <v>7</v>
      </c>
      <c r="C52" s="2" t="n">
        <v>30</v>
      </c>
      <c r="D52">
        <f>(B52-1)/9</f>
        <v/>
      </c>
      <c r="E52">
        <f>MIN(1,C52/30)</f>
        <v/>
      </c>
      <c r="F52">
        <f>0.75*D52+0.25*(D52*E52)</f>
        <v/>
      </c>
    </row>
    <row r="53">
      <c r="A53" s="2" t="inlineStr">
        <is>
          <t>7+22</t>
        </is>
      </c>
      <c r="B53" s="2" t="n">
        <v>6</v>
      </c>
      <c r="C53" s="2" t="n">
        <v>30</v>
      </c>
      <c r="D53">
        <f>(B53-1)/9</f>
        <v/>
      </c>
      <c r="E53">
        <f>MIN(1,C53/30)</f>
        <v/>
      </c>
      <c r="F53">
        <f>0.75*D53+0.25*(D53*E53)</f>
        <v/>
      </c>
    </row>
    <row r="54">
      <c r="A54" s="2" t="inlineStr">
        <is>
          <t>7+7</t>
        </is>
      </c>
      <c r="B54" s="2" t="n">
        <v>7</v>
      </c>
      <c r="C54" s="2" t="n">
        <v>30</v>
      </c>
      <c r="D54">
        <f>(B54-1)/9</f>
        <v/>
      </c>
      <c r="E54">
        <f>MIN(1,C54/30)</f>
        <v/>
      </c>
      <c r="F54">
        <f>0.75*D54+0.25*(D54*E54)</f>
        <v/>
      </c>
    </row>
    <row r="55">
      <c r="A55" s="2" t="inlineStr">
        <is>
          <t>7+9</t>
        </is>
      </c>
      <c r="B55" s="2" t="n">
        <v>9</v>
      </c>
      <c r="C55" s="2" t="n">
        <v>30</v>
      </c>
      <c r="D55">
        <f>(B55-1)/9</f>
        <v/>
      </c>
      <c r="E55">
        <f>MIN(1,C55/30)</f>
        <v/>
      </c>
      <c r="F55">
        <f>0.75*D55+0.25*(D55*E55)</f>
        <v/>
      </c>
    </row>
    <row r="56">
      <c r="A56" s="2" t="inlineStr">
        <is>
          <t>6+22</t>
        </is>
      </c>
      <c r="B56" s="2" t="n">
        <v>6</v>
      </c>
      <c r="C56" s="2" t="n">
        <v>30</v>
      </c>
      <c r="D56">
        <f>(B56-1)/9</f>
        <v/>
      </c>
      <c r="E56">
        <f>MIN(1,C56/30)</f>
        <v/>
      </c>
      <c r="F56">
        <f>0.75*D56+0.25*(D56*E56)</f>
        <v/>
      </c>
    </row>
    <row r="57">
      <c r="A57" s="2" t="inlineStr">
        <is>
          <t>7+11</t>
        </is>
      </c>
      <c r="B57" s="2" t="n">
        <v>10</v>
      </c>
      <c r="C57" s="2" t="n">
        <v>30</v>
      </c>
      <c r="D57">
        <f>(B57-1)/9</f>
        <v/>
      </c>
      <c r="E57">
        <f>MIN(1,C57/30)</f>
        <v/>
      </c>
      <c r="F57">
        <f>0.75*D57+0.25*(D57*E57)</f>
        <v/>
      </c>
    </row>
    <row r="58">
      <c r="A58" s="2" t="inlineStr">
        <is>
          <t>7+8</t>
        </is>
      </c>
      <c r="B58" s="2" t="n">
        <v>6</v>
      </c>
      <c r="C58" s="2" t="n">
        <v>30</v>
      </c>
      <c r="D58">
        <f>(B58-1)/9</f>
        <v/>
      </c>
      <c r="E58">
        <f>MIN(1,C58/30)</f>
        <v/>
      </c>
      <c r="F58">
        <f>0.75*D58+0.25*(D58*E58)</f>
        <v/>
      </c>
    </row>
    <row r="59">
      <c r="A59" s="2" t="inlineStr">
        <is>
          <t>8+11</t>
        </is>
      </c>
      <c r="B59" s="2" t="n">
        <v>6</v>
      </c>
      <c r="C59" s="2" t="n">
        <v>30</v>
      </c>
      <c r="D59">
        <f>(B59-1)/9</f>
        <v/>
      </c>
      <c r="E59">
        <f>MIN(1,C59/30)</f>
        <v/>
      </c>
      <c r="F59">
        <f>0.75*D59+0.25*(D59*E59)</f>
        <v/>
      </c>
    </row>
    <row r="60">
      <c r="A60" s="2" t="inlineStr">
        <is>
          <t>8+9</t>
        </is>
      </c>
      <c r="B60" s="2" t="n">
        <v>6</v>
      </c>
      <c r="C60" s="2" t="n">
        <v>30</v>
      </c>
      <c r="D60">
        <f>(B60-1)/9</f>
        <v/>
      </c>
      <c r="E60">
        <f>MIN(1,C60/30)</f>
        <v/>
      </c>
      <c r="F60">
        <f>0.75*D60+0.25*(D60*E60)</f>
        <v/>
      </c>
    </row>
    <row r="61">
      <c r="A61" s="2" t="inlineStr">
        <is>
          <t>8+22</t>
        </is>
      </c>
      <c r="B61" s="2" t="n">
        <v>9</v>
      </c>
      <c r="C61" s="2" t="n">
        <v>30</v>
      </c>
      <c r="D61">
        <f>(B61-1)/9</f>
        <v/>
      </c>
      <c r="E61">
        <f>MIN(1,C61/30)</f>
        <v/>
      </c>
      <c r="F61">
        <f>0.75*D61+0.25*(D61*E61)</f>
        <v/>
      </c>
    </row>
    <row r="62">
      <c r="A62" s="2" t="inlineStr">
        <is>
          <t>9+9</t>
        </is>
      </c>
      <c r="B62" s="2" t="n">
        <v>7</v>
      </c>
      <c r="C62" s="2" t="n">
        <v>30</v>
      </c>
      <c r="D62">
        <f>(B62-1)/9</f>
        <v/>
      </c>
      <c r="E62">
        <f>MIN(1,C62/30)</f>
        <v/>
      </c>
      <c r="F62">
        <f>0.75*D62+0.25*(D62*E62)</f>
        <v/>
      </c>
    </row>
    <row r="63">
      <c r="A63" s="2" t="inlineStr">
        <is>
          <t>22+22</t>
        </is>
      </c>
      <c r="B63" s="2" t="n">
        <v>7</v>
      </c>
      <c r="C63" s="2" t="n">
        <v>30</v>
      </c>
      <c r="D63">
        <f>(B63-1)/9</f>
        <v/>
      </c>
      <c r="E63">
        <f>MIN(1,C63/30)</f>
        <v/>
      </c>
      <c r="F63">
        <f>0.75*D63+0.25*(D63*E63)</f>
        <v/>
      </c>
    </row>
    <row r="64">
      <c r="A64" s="2" t="inlineStr">
        <is>
          <t>9+11</t>
        </is>
      </c>
      <c r="B64" s="2" t="n">
        <v>6</v>
      </c>
      <c r="C64" s="2" t="n">
        <v>30</v>
      </c>
      <c r="D64">
        <f>(B64-1)/9</f>
        <v/>
      </c>
      <c r="E64">
        <f>MIN(1,C64/30)</f>
        <v/>
      </c>
      <c r="F64">
        <f>0.75*D64+0.25*(D64*E64)</f>
        <v/>
      </c>
    </row>
    <row r="65">
      <c r="A65" s="2" t="inlineStr">
        <is>
          <t>11+11</t>
        </is>
      </c>
      <c r="B65" s="2" t="n">
        <v>7</v>
      </c>
      <c r="C65" s="2" t="n">
        <v>30</v>
      </c>
      <c r="D65">
        <f>(B65-1)/9</f>
        <v/>
      </c>
      <c r="E65">
        <f>MIN(1,C65/30)</f>
        <v/>
      </c>
      <c r="F65">
        <f>0.75*D65+0.25*(D65*E65)</f>
        <v/>
      </c>
    </row>
    <row r="66">
      <c r="A66" s="2" t="inlineStr">
        <is>
          <t>11+22</t>
        </is>
      </c>
      <c r="B66" s="2" t="n">
        <v>3</v>
      </c>
      <c r="C66" s="2" t="n">
        <v>30</v>
      </c>
      <c r="D66">
        <f>(B66-1)/9</f>
        <v/>
      </c>
      <c r="E66">
        <f>MIN(1,C66/30)</f>
        <v/>
      </c>
      <c r="F66">
        <f>0.75*D66+0.25*(D66*E66)</f>
        <v/>
      </c>
    </row>
    <row r="67">
      <c r="A67" s="2" t="inlineStr">
        <is>
          <t>9+22</t>
        </is>
      </c>
      <c r="B67" s="2" t="n">
        <v>10</v>
      </c>
      <c r="C67" s="2" t="n">
        <v>30</v>
      </c>
      <c r="D67">
        <f>(B67-1)/9</f>
        <v/>
      </c>
      <c r="E67">
        <f>MIN(1,C67/30)</f>
        <v/>
      </c>
      <c r="F67">
        <f>0.75*D67+0.25*(D67*E67)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 ht="18.75" customHeight="1" s="10">
      <c r="A1" s="9" t="inlineStr">
        <is>
          <t>Final Scores v4 (deterministic prior, using all matrices)</t>
        </is>
      </c>
    </row>
    <row r="3">
      <c r="A3" t="inlineStr">
        <is>
          <t>Pull from TestHarness_v4</t>
        </is>
      </c>
      <c r="D3" t="inlineStr">
        <is>
          <t>Manual selections (use dropdowns in Excel)</t>
        </is>
      </c>
    </row>
    <row r="4">
      <c r="A4" s="3" t="inlineStr">
        <is>
          <t>BehaviorCore</t>
        </is>
      </c>
      <c r="B4">
        <f>TestHarness_v4!B63</f>
        <v/>
      </c>
      <c r="D4" s="3" t="inlineStr">
        <is>
          <t>PrimaryArchetype_A</t>
        </is>
      </c>
      <c r="E4" t="inlineStr">
        <is>
          <t>REGULATED</t>
        </is>
      </c>
    </row>
    <row r="5">
      <c r="A5" s="3" t="inlineStr">
        <is>
          <t>ClusterPenaltySum_A</t>
        </is>
      </c>
      <c r="B5">
        <f>TestHarness_v4!B66</f>
        <v/>
      </c>
      <c r="D5" s="3" t="inlineStr">
        <is>
          <t>SecondaryArchetype_A</t>
        </is>
      </c>
      <c r="E5" t="inlineStr">
        <is>
          <t>TRANSLATOR</t>
        </is>
      </c>
    </row>
    <row r="6">
      <c r="A6" s="3" t="inlineStr">
        <is>
          <t>ClusterPenaltySum_B</t>
        </is>
      </c>
      <c r="B6">
        <f>TestHarness_v4!B67</f>
        <v/>
      </c>
      <c r="D6" s="3" t="inlineStr">
        <is>
          <t>PrimaryArchetype_B</t>
        </is>
      </c>
      <c r="E6" t="inlineStr">
        <is>
          <t>REGULATED</t>
        </is>
      </c>
    </row>
    <row r="7">
      <c r="A7" s="3" t="inlineStr">
        <is>
          <t>ShadowIntensity_A</t>
        </is>
      </c>
      <c r="B7">
        <f>TestHarness_v4!B83</f>
        <v/>
      </c>
      <c r="D7" s="3" t="inlineStr">
        <is>
          <t>SecondaryArchetype_B</t>
        </is>
      </c>
      <c r="E7" t="inlineStr">
        <is>
          <t>ANALYZER</t>
        </is>
      </c>
    </row>
    <row r="8">
      <c r="A8" s="3" t="inlineStr">
        <is>
          <t>ShadowIntensity_B</t>
        </is>
      </c>
      <c r="B8">
        <f>TestHarness_v4!B84</f>
        <v/>
      </c>
      <c r="D8" s="3" t="n"/>
    </row>
    <row r="9">
      <c r="A9" s="3" t="inlineStr">
        <is>
          <t>IntegrityFlags_A</t>
        </is>
      </c>
      <c r="B9">
        <f>TestHarness_v4!B85</f>
        <v/>
      </c>
      <c r="D9" s="3" t="inlineStr">
        <is>
          <t>CommStyle_A</t>
        </is>
      </c>
      <c r="E9" t="inlineStr">
        <is>
          <t>COMM_Direct</t>
        </is>
      </c>
    </row>
    <row r="10">
      <c r="A10" s="3" t="inlineStr">
        <is>
          <t>IntegrityFlags_B</t>
        </is>
      </c>
      <c r="B10">
        <f>TestHarness_v4!B86</f>
        <v/>
      </c>
      <c r="D10" s="3" t="inlineStr">
        <is>
          <t>CommStyle_B</t>
        </is>
      </c>
      <c r="E10" t="inlineStr">
        <is>
          <t>COMM_Emotional</t>
        </is>
      </c>
    </row>
    <row r="11">
      <c r="A11" s="3" t="inlineStr">
        <is>
          <t>PrimaryShadow_A</t>
        </is>
      </c>
      <c r="B11">
        <f>TestHarness_v4!B87</f>
        <v/>
      </c>
      <c r="D11" s="3" t="inlineStr">
        <is>
          <t>RegStyle_A</t>
        </is>
      </c>
      <c r="E11" t="inlineStr">
        <is>
          <t>REG_CoRegulator</t>
        </is>
      </c>
    </row>
    <row r="12">
      <c r="A12" s="3" t="inlineStr">
        <is>
          <t>PrimaryShadow_B</t>
        </is>
      </c>
      <c r="B12">
        <f>TestHarness_v4!B88</f>
        <v/>
      </c>
      <c r="D12" s="3" t="inlineStr">
        <is>
          <t>RegStyle_B</t>
        </is>
      </c>
      <c r="E12" t="inlineStr">
        <is>
          <t>REG_SelfSoother</t>
        </is>
      </c>
    </row>
    <row r="13">
      <c r="D13" s="3" t="inlineStr">
        <is>
          <t>LoveLang_A</t>
        </is>
      </c>
      <c r="E13" t="inlineStr">
        <is>
          <t>LL_Words</t>
        </is>
      </c>
    </row>
    <row r="14">
      <c r="A14" s="3" t="inlineStr">
        <is>
          <t>CommHealth</t>
        </is>
      </c>
      <c r="B14">
        <f>TestHarness_v4!B70</f>
        <v/>
      </c>
      <c r="D14" s="3" t="inlineStr">
        <is>
          <t>LoveLang_B</t>
        </is>
      </c>
      <c r="E14" t="inlineStr">
        <is>
          <t>LL_Touch</t>
        </is>
      </c>
    </row>
    <row r="15">
      <c r="A15" s="3" t="inlineStr">
        <is>
          <t>ConflictRepair</t>
        </is>
      </c>
      <c r="B15">
        <f>TestHarness_v4!B71</f>
        <v/>
      </c>
    </row>
    <row r="16">
      <c r="A16" s="3" t="inlineStr">
        <is>
          <t>EmotionalReg</t>
        </is>
      </c>
      <c r="B16">
        <f>TestHarness_v4!B72</f>
        <v/>
      </c>
      <c r="D16" s="3" t="inlineStr">
        <is>
          <t>CommConflictNorm</t>
        </is>
      </c>
      <c r="E16">
        <f>IF(E9&lt;E10,E9&amp;"+" &amp;E10,E10&amp;"+" &amp;E9)</f>
        <v/>
      </c>
      <c r="F16">
        <f>IFERROR((VLOOKUP(E16,CommLookup_v4!$A$2:$B$16,2,FALSE)-2)/7,0.5)</f>
        <v/>
      </c>
    </row>
    <row r="17">
      <c r="A17" s="3" t="inlineStr">
        <is>
          <t>CommitmentPace</t>
        </is>
      </c>
      <c r="B17">
        <f>TestHarness_v4!B74</f>
        <v/>
      </c>
      <c r="D17" s="3" t="inlineStr">
        <is>
          <t>RegulationNorm</t>
        </is>
      </c>
      <c r="E17">
        <f>IF(E11&lt;E12,E11&amp;"+" &amp;E12,E12&amp;"+" &amp;E11)</f>
        <v/>
      </c>
      <c r="F17">
        <f>IFERROR((VLOOKUP(E17,RegLookup_v4!$A$2:$B$11,2,FALSE)-3)/7,0.5)</f>
        <v/>
      </c>
    </row>
    <row r="18">
      <c r="D18" s="3" t="inlineStr">
        <is>
          <t>LoveNorm</t>
        </is>
      </c>
      <c r="E18">
        <f>IF(E13&lt;E14,E13&amp;"+" &amp;E14,E14&amp;"+" &amp;E13)</f>
        <v/>
      </c>
      <c r="F18">
        <f>IFERROR((VLOOKUP(E18,LoveLookup_v4!$A$2:$B$16,2,FALSE)-5)/5,0.6)</f>
        <v/>
      </c>
    </row>
    <row r="19">
      <c r="D19" s="3" t="n"/>
    </row>
    <row r="20">
      <c r="D20" s="3" t="inlineStr">
        <is>
          <t>PP</t>
        </is>
      </c>
      <c r="E20">
        <f>IFERROR(VLOOKUP(E4&amp;"|"&amp;E6,ArchetypeLookup_v4!$A$2:$B$101,2,FALSE),7)</f>
        <v/>
      </c>
    </row>
    <row r="21">
      <c r="D21" s="3" t="inlineStr">
        <is>
          <t>PS</t>
        </is>
      </c>
      <c r="E21">
        <f>IFERROR(VLOOKUP(E4&amp;"|"&amp;E7,ArchetypeLookup_v4!$A$2:$B$101,2,FALSE),7)</f>
        <v/>
      </c>
    </row>
    <row r="22">
      <c r="D22" s="3" t="inlineStr">
        <is>
          <t>SP</t>
        </is>
      </c>
      <c r="E22">
        <f>IFERROR(VLOOKUP(E5&amp;"|"&amp;E6,ArchetypeLookup_v4!$A$2:$B$101,2,FALSE),7)</f>
        <v/>
      </c>
    </row>
    <row r="23">
      <c r="D23" s="3" t="inlineStr">
        <is>
          <t>SS</t>
        </is>
      </c>
      <c r="E23">
        <f>IFERROR(VLOOKUP(E5&amp;"|"&amp;E7,ArchetypeLookup_v4!$A$2:$B$101,2,FALSE),7)</f>
        <v/>
      </c>
    </row>
    <row r="24">
      <c r="D24" s="3" t="inlineStr">
        <is>
          <t>A (0..1)</t>
        </is>
      </c>
      <c r="E24">
        <f>((0.5*E20+0.2*E21+0.2*E22+0.1*E23)-2)/7</f>
        <v/>
      </c>
    </row>
    <row r="26">
      <c r="D26" s="3" t="inlineStr">
        <is>
          <t>ShadowKey</t>
        </is>
      </c>
      <c r="E26">
        <f>UPPER(SUBSTITUTE(SUBSTITUTE(B11," ",""),"-",""))</f>
        <v/>
      </c>
      <c r="F26">
        <f>UPPER(SUBSTITUTE(SUBSTITUTE(B12," ",""),"-",""))</f>
        <v/>
      </c>
      <c r="G26">
        <f>IF(E26&lt;F26,E26&amp;"_"&amp;F26,F26&amp;"_"&amp;E26)</f>
        <v/>
      </c>
    </row>
    <row r="27">
      <c r="D27" s="3" t="inlineStr">
        <is>
          <t>ShadowScore</t>
        </is>
      </c>
      <c r="E27">
        <f>IFERROR(VLOOKUP(G26,ShadowLookup_v4!$A$2:$B$37,2,FALSE),3)</f>
        <v/>
      </c>
    </row>
    <row r="28">
      <c r="D28" s="3" t="inlineStr">
        <is>
          <t>S_risk</t>
        </is>
      </c>
      <c r="E28">
        <f>MIN(1,MAX(0,((E27-2)/4)*(0.7+0.15*B7+0.15*B8)))</f>
        <v/>
      </c>
    </row>
    <row r="30">
      <c r="D30" s="3" t="inlineStr">
        <is>
          <t>AstroKey</t>
        </is>
      </c>
      <c r="E30">
        <f>VLOOKUP(TestHarness_v4!B5,AstroSignMap_v4!$A$2:$B$13,2,FALSE)&amp;"_"&amp;TestHarness_v4!B4&amp;"+" &amp; VLOOKUP(TestHarness_v4!G5,AstroSignMap_v4!$A$2:$B$13,2,FALSE)&amp;"_"&amp;TestHarness_v4!G4</f>
        <v/>
      </c>
    </row>
    <row r="31">
      <c r="D31" s="3" t="inlineStr">
        <is>
          <t>Astro</t>
        </is>
      </c>
      <c r="E31">
        <f>IFERROR(VLOOKUP(E30,AstrologyLookup_v5!$A$2:$C$577,3,FALSE),0.5)</f>
        <v/>
      </c>
    </row>
    <row r="32">
      <c r="D32" s="3" t="inlineStr">
        <is>
          <t>NumKey</t>
        </is>
      </c>
      <c r="E32">
        <f>IF(TestHarness_v4!B6&lt;TestHarness_v4!G6,TestHarness_v4!B6&amp;"+" &amp;TestHarness_v4!G6,TestHarness_v4!G6&amp;"+" &amp;TestHarness_v4!B6)</f>
        <v/>
      </c>
    </row>
    <row r="33">
      <c r="D33" s="3" t="inlineStr">
        <is>
          <t>Num</t>
        </is>
      </c>
      <c r="E33">
        <f>IFERROR(VLOOKUP(E32,NumerologyLookup_v5!$A$2:$F$67,6,FALSE),0.5)</f>
        <v/>
      </c>
    </row>
    <row r="35">
      <c r="D35" s="3" t="inlineStr">
        <is>
          <t>P (Polarity)</t>
        </is>
      </c>
      <c r="E35" t="n">
        <v>0.5</v>
      </c>
    </row>
    <row r="37">
      <c r="D37" s="3" t="inlineStr">
        <is>
          <t>B (Behavioral Alignment)</t>
        </is>
      </c>
      <c r="E37">
        <f>0.58*$B$4 + 0.18*$F$16 + 0.14*$F$17 + 0.1*$F$18</f>
        <v/>
      </c>
    </row>
    <row r="39">
      <c r="D39" s="3" t="inlineStr">
        <is>
          <t>ClusterPenaltyPair</t>
        </is>
      </c>
      <c r="E39">
        <f>MIN(35,0.35*(B5+B6))</f>
        <v/>
      </c>
    </row>
    <row r="40">
      <c r="D40" s="3" t="inlineStr">
        <is>
          <t>IntegrityPenalty</t>
        </is>
      </c>
      <c r="E40">
        <f>MIN(80,0.4*(2*B9+0.25*B5+4*B7)+0.4*(2*B10+0.25*B6+4*B8)+0.2*E39)</f>
        <v/>
      </c>
    </row>
    <row r="41">
      <c r="D41" s="3" t="inlineStr">
        <is>
          <t>InteractionCompatModifier</t>
        </is>
      </c>
      <c r="E41" t="n">
        <v>0</v>
      </c>
    </row>
    <row r="42">
      <c r="D42" s="3" t="inlineStr">
        <is>
          <t>InteractionForecastModifier</t>
        </is>
      </c>
      <c r="E42" t="n">
        <v>0</v>
      </c>
    </row>
    <row r="44">
      <c r="D44" s="3" t="inlineStr">
        <is>
          <t>CompatibilityScore (350-850)</t>
        </is>
      </c>
      <c r="E44">
        <f>MIN(850,MAX(350,350+500*(0.3*E37+0.22*E24+0.18*(1-E28)+0.12*E35+0.08*E31+0.05*E33)-E40-E39+E41))</f>
        <v/>
      </c>
    </row>
    <row r="45">
      <c r="D45" s="3" t="inlineStr">
        <is>
          <t>Forecast (0-100)</t>
        </is>
      </c>
      <c r="E45">
        <f>MIN(100,MAX(0, 100*(0.3*$F$17 + 0.25*$B$15 + 0.2*$B$14 + 0.15*$B$17 + 0.1*$E$46) - 20*$E$28 - 0.6*$E$39 + $E$42))</f>
        <v/>
      </c>
    </row>
    <row r="46">
      <c r="D46" s="3" t="inlineStr">
        <is>
          <t>PatternStability</t>
        </is>
      </c>
      <c r="E46">
        <f>0.45*$B$16+0.25*$B$15+0.15*$B$14+0.15*(1-$E$28)</f>
        <v/>
      </c>
    </row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0" min="1" max="1"/>
    <col width="14" customWidth="1" style="10" min="2" max="2"/>
    <col width="95" customWidth="1" style="10" min="3" max="3"/>
  </cols>
  <sheetData>
    <row r="1">
      <c r="A1" s="14" t="inlineStr">
        <is>
          <t>Observed issue from 26x26 simulation</t>
        </is>
      </c>
      <c r="B1" s="14" t="inlineStr">
        <is>
          <t>Value</t>
        </is>
      </c>
      <c r="C1" s="14" t="inlineStr">
        <is>
          <t>Interpretation / required fix</t>
        </is>
      </c>
    </row>
    <row r="2">
      <c r="A2" s="15" t="inlineStr">
        <is>
          <t>Compatibility mean</t>
        </is>
      </c>
      <c r="B2" s="16" t="n">
        <v>610.17</v>
      </c>
      <c r="C2" s="13" t="inlineStr">
        <is>
          <t>Middle is too crowded; engine needs more spread and more gating by weakest link.</t>
        </is>
      </c>
    </row>
    <row r="3">
      <c r="A3" s="15" t="inlineStr">
        <is>
          <t>Compatibility max</t>
        </is>
      </c>
      <c r="B3" s="16" t="n">
        <v>694.13</v>
      </c>
      <c r="C3" s="13" t="inlineStr">
        <is>
          <t>No simulated pair reached high-alignment territory; top end is too compressed.</t>
        </is>
      </c>
    </row>
    <row r="4">
      <c r="A4" s="15" t="inlineStr">
        <is>
          <t>Compatibility min</t>
        </is>
      </c>
      <c r="B4" s="16" t="n">
        <v>519.84</v>
      </c>
      <c r="C4" s="13" t="inlineStr">
        <is>
          <t>Bottom is not punishing enough for random unstable pairings.</t>
        </is>
      </c>
    </row>
    <row r="5">
      <c r="A5" s="15" t="inlineStr">
        <is>
          <t>Stability mean</t>
        </is>
      </c>
      <c r="B5" s="16" t="n">
        <v>43.36</v>
      </c>
      <c r="C5" s="13" t="inlineStr">
        <is>
          <t>Stability is doing more truth-telling than Compatibility and should carry more weight.</t>
        </is>
      </c>
    </row>
    <row r="6">
      <c r="A6" s="15" t="inlineStr">
        <is>
          <t>Chemistry mean</t>
        </is>
      </c>
      <c r="B6" s="16" t="n">
        <v>94.92</v>
      </c>
      <c r="C6" s="13" t="inlineStr">
        <is>
          <t>Chemistry is inflated; polarity / attraction logic needs centering and gating by stability.</t>
        </is>
      </c>
    </row>
    <row r="7">
      <c r="A7" s="15" t="inlineStr">
        <is>
          <t>Primary diagnosis</t>
        </is>
      </c>
      <c r="B7" s="13" t="n"/>
      <c r="C7" s="13" t="inlineStr">
        <is>
          <t>The old model rewards attraction-like signals too easily and uses a fully linear score stack.</t>
        </is>
      </c>
    </row>
    <row r="8">
      <c r="A8" s="15" t="inlineStr">
        <is>
          <t>v7 target</t>
        </is>
      </c>
      <c r="B8" s="13" t="n"/>
      <c r="C8" s="13" t="inlineStr">
        <is>
          <t>Random populations should cluster lower and wider, while only low-risk, high-fit pairs can climb into the upper bands.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0" min="1" max="1"/>
    <col width="32" customWidth="1" style="10" min="2" max="2"/>
    <col width="16" customWidth="1" style="10" min="3" max="3"/>
    <col width="88" customWidth="1" style="10" min="4" max="4"/>
  </cols>
  <sheetData>
    <row r="1">
      <c r="A1" s="14" t="inlineStr">
        <is>
          <t>Category</t>
        </is>
      </c>
      <c r="B1" s="14" t="inlineStr">
        <is>
          <t>Name</t>
        </is>
      </c>
      <c r="C1" s="14" t="inlineStr">
        <is>
          <t>Value</t>
        </is>
      </c>
      <c r="D1" s="14" t="inlineStr">
        <is>
          <t>Notes</t>
        </is>
      </c>
    </row>
    <row r="2">
      <c r="A2" s="13" t="inlineStr">
        <is>
          <t>Normalization</t>
        </is>
      </c>
      <c r="B2" s="13" t="inlineStr">
        <is>
          <t>SCORE_WEIGHT_MIN</t>
        </is>
      </c>
      <c r="C2" s="16" t="n">
        <v>3</v>
      </c>
      <c r="D2" s="13" t="inlineStr">
        <is>
          <t>Copied from existing answer bank</t>
        </is>
      </c>
    </row>
    <row r="3">
      <c r="A3" s="13" t="inlineStr">
        <is>
          <t>Normalization</t>
        </is>
      </c>
      <c r="B3" s="13" t="inlineStr">
        <is>
          <t>SCORE_WEIGHT_MAX</t>
        </is>
      </c>
      <c r="C3" s="16" t="n">
        <v>10</v>
      </c>
      <c r="D3" s="13" t="inlineStr">
        <is>
          <t>Copied from existing answer bank</t>
        </is>
      </c>
    </row>
    <row r="4">
      <c r="A4" s="13" t="inlineStr">
        <is>
          <t>Normalization</t>
        </is>
      </c>
      <c r="B4" s="13" t="inlineStr">
        <is>
          <t>COMP_WEIGHT_MIN</t>
        </is>
      </c>
      <c r="C4" s="16" t="n">
        <v>4</v>
      </c>
      <c r="D4" s="13" t="inlineStr">
        <is>
          <t>Copied from existing answer bank</t>
        </is>
      </c>
    </row>
    <row r="5">
      <c r="A5" s="13" t="inlineStr">
        <is>
          <t>Normalization</t>
        </is>
      </c>
      <c r="B5" s="13" t="inlineStr">
        <is>
          <t>COMP_WEIGHT_MAX</t>
        </is>
      </c>
      <c r="C5" s="16" t="n">
        <v>10</v>
      </c>
      <c r="D5" s="13" t="inlineStr">
        <is>
          <t>Copied from existing answer bank</t>
        </is>
      </c>
    </row>
    <row r="6">
      <c r="A6" s="13" t="inlineStr">
        <is>
          <t>Normalization</t>
        </is>
      </c>
      <c r="B6" s="13" t="inlineStr">
        <is>
          <t>READINESS_MAX</t>
        </is>
      </c>
      <c r="C6" s="16" t="n">
        <v>10</v>
      </c>
      <c r="D6" s="13" t="inlineStr">
        <is>
          <t>Readiness points scale</t>
        </is>
      </c>
    </row>
    <row r="7">
      <c r="A7" s="13" t="inlineStr">
        <is>
          <t>Normalization</t>
        </is>
      </c>
      <c r="B7" s="13" t="inlineStr">
        <is>
          <t>STANCE_MAX</t>
        </is>
      </c>
      <c r="C7" s="16" t="n">
        <v>10</v>
      </c>
      <c r="D7" s="13" t="inlineStr">
        <is>
          <t>Compatibility stance scale</t>
        </is>
      </c>
    </row>
    <row r="8">
      <c r="A8" s="13" t="inlineStr">
        <is>
          <t>Normalization</t>
        </is>
      </c>
      <c r="B8" s="13" t="inlineStr">
        <is>
          <t>FORECAST_MAX</t>
        </is>
      </c>
      <c r="C8" s="16" t="n">
        <v>10</v>
      </c>
      <c r="D8" s="13" t="inlineStr">
        <is>
          <t>Forecast points scale</t>
        </is>
      </c>
    </row>
    <row r="9">
      <c r="A9" s="13" t="inlineStr">
        <is>
          <t>Normalization</t>
        </is>
      </c>
      <c r="B9" s="13" t="inlineStr">
        <is>
          <t>SHADOW_RISK_MAX</t>
        </is>
      </c>
      <c r="C9" s="16" t="n">
        <v>8</v>
      </c>
      <c r="D9" s="13" t="inlineStr">
        <is>
          <t>shadow_risk_points_v3 max</t>
        </is>
      </c>
    </row>
    <row r="10">
      <c r="A10" s="13" t="inlineStr">
        <is>
          <t>Normalization</t>
        </is>
      </c>
      <c r="B10" s="13" t="inlineStr">
        <is>
          <t>PATTERN_RISK_MAX</t>
        </is>
      </c>
      <c r="C10" s="16" t="n">
        <v>1.8</v>
      </c>
      <c r="D10" s="13" t="inlineStr">
        <is>
          <t>pattern_risk max</t>
        </is>
      </c>
    </row>
    <row r="11">
      <c r="A11" s="13" t="inlineStr">
        <is>
          <t>Normalization</t>
        </is>
      </c>
      <c r="B11" s="13" t="inlineStr">
        <is>
          <t>CLUSTER_PENALTY_MAX_PER_ANSWER</t>
        </is>
      </c>
      <c r="C11" s="16" t="n">
        <v>14</v>
      </c>
      <c r="D11" s="13" t="inlineStr">
        <is>
          <t>cluster_penalty_points max per answer</t>
        </is>
      </c>
    </row>
    <row r="12">
      <c r="A12" s="13" t="inlineStr">
        <is>
          <t>Normalization</t>
        </is>
      </c>
      <c r="B12" s="13" t="inlineStr">
        <is>
          <t>POL_MASC_MIN</t>
        </is>
      </c>
      <c r="C12" s="16" t="n">
        <v>-0.4</v>
      </c>
      <c r="D12" s="13" t="inlineStr">
        <is>
          <t>polarity_masc_delta_v3 min</t>
        </is>
      </c>
    </row>
    <row r="13">
      <c r="A13" s="13" t="inlineStr">
        <is>
          <t>Normalization</t>
        </is>
      </c>
      <c r="B13" s="13" t="inlineStr">
        <is>
          <t>POL_MASC_MAX</t>
        </is>
      </c>
      <c r="C13" s="16" t="n">
        <v>1.8</v>
      </c>
      <c r="D13" s="13" t="inlineStr">
        <is>
          <t>polarity_masc_delta_v3 max</t>
        </is>
      </c>
    </row>
    <row r="14">
      <c r="A14" s="13" t="inlineStr">
        <is>
          <t>Normalization</t>
        </is>
      </c>
      <c r="B14" s="13" t="inlineStr">
        <is>
          <t>POL_FEM_MIN</t>
        </is>
      </c>
      <c r="C14" s="16" t="n">
        <v>-1.6</v>
      </c>
      <c r="D14" s="13" t="inlineStr">
        <is>
          <t>polarity_fem_delta_v3 min</t>
        </is>
      </c>
    </row>
    <row r="15">
      <c r="A15" s="13" t="inlineStr">
        <is>
          <t>Normalization</t>
        </is>
      </c>
      <c r="B15" s="13" t="inlineStr">
        <is>
          <t>POL_FEM_MAX</t>
        </is>
      </c>
      <c r="C15" s="16" t="n">
        <v>2</v>
      </c>
      <c r="D15" s="13" t="inlineStr">
        <is>
          <t>polarity_fem_delta_v3 max</t>
        </is>
      </c>
    </row>
    <row r="16">
      <c r="A16" s="17" t="inlineStr">
        <is>
          <t>Core Weights</t>
        </is>
      </c>
      <c r="B16" s="13" t="inlineStr">
        <is>
          <t>W_BEHAVIORAL_CORE</t>
        </is>
      </c>
      <c r="C16" s="16" t="n">
        <v>0.5600000000000001</v>
      </c>
      <c r="D16" s="13" t="inlineStr">
        <is>
          <t>Behavior and fit drive the system</t>
        </is>
      </c>
    </row>
    <row r="17">
      <c r="A17" s="17" t="inlineStr">
        <is>
          <t>Core Weights</t>
        </is>
      </c>
      <c r="B17" s="13" t="inlineStr">
        <is>
          <t>W_STABILITY_CORE</t>
        </is>
      </c>
      <c r="C17" s="16" t="n">
        <v>0.26</v>
      </c>
      <c r="D17" s="13" t="inlineStr">
        <is>
          <t>Hold / repair / risk gating</t>
        </is>
      </c>
    </row>
    <row r="18">
      <c r="A18" s="17" t="inlineStr">
        <is>
          <t>Core Weights</t>
        </is>
      </c>
      <c r="B18" s="13" t="inlineStr">
        <is>
          <t>W_CHEMISTRY_CORE</t>
        </is>
      </c>
      <c r="C18" s="16" t="n">
        <v>0.1</v>
      </c>
      <c r="D18" s="13" t="inlineStr">
        <is>
          <t>Attraction support, not captain</t>
        </is>
      </c>
    </row>
    <row r="19">
      <c r="A19" s="17" t="inlineStr">
        <is>
          <t>Core Weights</t>
        </is>
      </c>
      <c r="B19" s="13" t="inlineStr">
        <is>
          <t>W_COSMIC_CORE</t>
        </is>
      </c>
      <c r="C19" s="16" t="n">
        <v>0.08</v>
      </c>
      <c r="D19" s="13" t="inlineStr">
        <is>
          <t>Overlay only</t>
        </is>
      </c>
    </row>
    <row r="20">
      <c r="A20" s="17" t="inlineStr">
        <is>
          <t>BehavioralCore Mix</t>
        </is>
      </c>
      <c r="B20" s="13" t="inlineStr">
        <is>
          <t>W_ARCHETYPE</t>
        </is>
      </c>
      <c r="C20" s="16" t="n">
        <v>0.24</v>
      </c>
      <c r="D20" s="13" t="inlineStr">
        <is>
          <t>Inside BehavioralCore</t>
        </is>
      </c>
    </row>
    <row r="21">
      <c r="A21" s="17" t="inlineStr">
        <is>
          <t>BehavioralCore Mix</t>
        </is>
      </c>
      <c r="B21" s="13" t="inlineStr">
        <is>
          <t>W_COMM</t>
        </is>
      </c>
      <c r="C21" s="16" t="n">
        <v>0.18</v>
      </c>
      <c r="D21" s="13" t="inlineStr">
        <is>
          <t>Inside BehavioralCore</t>
        </is>
      </c>
    </row>
    <row r="22">
      <c r="A22" s="17" t="inlineStr">
        <is>
          <t>BehavioralCore Mix</t>
        </is>
      </c>
      <c r="B22" s="13" t="inlineStr">
        <is>
          <t>W_REG</t>
        </is>
      </c>
      <c r="C22" s="16" t="n">
        <v>0.18</v>
      </c>
      <c r="D22" s="13" t="inlineStr">
        <is>
          <t>Inside BehavioralCore</t>
        </is>
      </c>
    </row>
    <row r="23">
      <c r="A23" s="17" t="inlineStr">
        <is>
          <t>BehavioralCore Mix</t>
        </is>
      </c>
      <c r="B23" s="13" t="inlineStr">
        <is>
          <t>W_LOVE</t>
        </is>
      </c>
      <c r="C23" s="16" t="n">
        <v>0.08</v>
      </c>
      <c r="D23" s="13" t="inlineStr">
        <is>
          <t>Inside BehavioralCore</t>
        </is>
      </c>
    </row>
    <row r="24">
      <c r="A24" s="17" t="inlineStr">
        <is>
          <t>BehavioralCore Mix</t>
        </is>
      </c>
      <c r="B24" s="13" t="inlineStr">
        <is>
          <t>W_READINESS</t>
        </is>
      </c>
      <c r="C24" s="16" t="n">
        <v>0.14</v>
      </c>
      <c r="D24" s="13" t="inlineStr">
        <is>
          <t>Inside BehavioralCore</t>
        </is>
      </c>
    </row>
    <row r="25">
      <c r="A25" s="17" t="inlineStr">
        <is>
          <t>BehavioralCore Mix</t>
        </is>
      </c>
      <c r="B25" s="13" t="inlineStr">
        <is>
          <t>W_EXECUTION</t>
        </is>
      </c>
      <c r="C25" s="16" t="n">
        <v>0.1</v>
      </c>
      <c r="D25" s="13" t="inlineStr">
        <is>
          <t>Inside BehavioralCore</t>
        </is>
      </c>
    </row>
    <row r="26">
      <c r="A26" s="17" t="inlineStr">
        <is>
          <t>BehavioralCore Mix</t>
        </is>
      </c>
      <c r="B26" s="13" t="inlineStr">
        <is>
          <t>W_OPENNESS</t>
        </is>
      </c>
      <c r="C26" s="16" t="n">
        <v>0.08</v>
      </c>
      <c r="D26" s="13" t="inlineStr">
        <is>
          <t>Inside BehavioralCore</t>
        </is>
      </c>
    </row>
    <row r="27">
      <c r="A27" s="17" t="inlineStr">
        <is>
          <t>StabilityCore Mix</t>
        </is>
      </c>
      <c r="B27" s="13" t="inlineStr">
        <is>
          <t>W_STAB_SHADOW</t>
        </is>
      </c>
      <c r="C27" s="16" t="n">
        <v>0.2</v>
      </c>
      <c r="D27" s="13" t="inlineStr">
        <is>
          <t>Inverse shadow risk</t>
        </is>
      </c>
    </row>
    <row r="28">
      <c r="A28" s="17" t="inlineStr">
        <is>
          <t>StabilityCore Mix</t>
        </is>
      </c>
      <c r="B28" s="13" t="inlineStr">
        <is>
          <t>W_STAB_INTEGRITY</t>
        </is>
      </c>
      <c r="C28" s="16" t="n">
        <v>0.16</v>
      </c>
      <c r="D28" s="13" t="inlineStr">
        <is>
          <t>Inverse integrity penalty</t>
        </is>
      </c>
    </row>
    <row r="29">
      <c r="A29" s="17" t="inlineStr">
        <is>
          <t>StabilityCore Mix</t>
        </is>
      </c>
      <c r="B29" s="13" t="inlineStr">
        <is>
          <t>W_STAB_CLUSTER</t>
        </is>
      </c>
      <c r="C29" s="16" t="n">
        <v>0.14</v>
      </c>
      <c r="D29" s="13" t="inlineStr">
        <is>
          <t>Inverse cluster burden</t>
        </is>
      </c>
    </row>
    <row r="30">
      <c r="A30" s="17" t="inlineStr">
        <is>
          <t>StabilityCore Mix</t>
        </is>
      </c>
      <c r="B30" s="13" t="inlineStr">
        <is>
          <t>W_STAB_FORECAST</t>
        </is>
      </c>
      <c r="C30" s="16" t="n">
        <v>0.14</v>
      </c>
      <c r="D30" s="13" t="inlineStr">
        <is>
          <t>Forecast / viability signal</t>
        </is>
      </c>
    </row>
    <row r="31">
      <c r="A31" s="17" t="inlineStr">
        <is>
          <t>StabilityCore Mix</t>
        </is>
      </c>
      <c r="B31" s="13" t="inlineStr">
        <is>
          <t>W_STAB_REPAIR</t>
        </is>
      </c>
      <c r="C31" s="16" t="n">
        <v>0.18</v>
      </c>
      <c r="D31" s="13" t="inlineStr">
        <is>
          <t>Repair capacity matters heavily</t>
        </is>
      </c>
    </row>
    <row r="32">
      <c r="A32" s="17" t="inlineStr">
        <is>
          <t>StabilityCore Mix</t>
        </is>
      </c>
      <c r="B32" s="13" t="inlineStr">
        <is>
          <t>W_STAB_PACING</t>
        </is>
      </c>
      <c r="C32" s="16" t="n">
        <v>0.1</v>
      </c>
      <c r="D32" s="13" t="inlineStr">
        <is>
          <t>Attachment pace / overwhelm control</t>
        </is>
      </c>
    </row>
    <row r="33">
      <c r="A33" s="17" t="inlineStr">
        <is>
          <t>StabilityCore Mix</t>
        </is>
      </c>
      <c r="B33" s="13" t="inlineStr">
        <is>
          <t>W_STAB_ACCOUNTABILITY</t>
        </is>
      </c>
      <c r="C33" s="16" t="n">
        <v>0.08</v>
      </c>
      <c r="D33" s="13" t="inlineStr">
        <is>
          <t>Can they own and adjust</t>
        </is>
      </c>
    </row>
    <row r="34">
      <c r="A34" s="17" t="inlineStr">
        <is>
          <t>ChemistryCore Mix</t>
        </is>
      </c>
      <c r="B34" s="13" t="inlineStr">
        <is>
          <t>W_CHEM_CENTERED_POLARITY</t>
        </is>
      </c>
      <c r="C34" s="16" t="n">
        <v>0.42</v>
      </c>
      <c r="D34" s="13" t="inlineStr">
        <is>
          <t>Centered, not inflated</t>
        </is>
      </c>
    </row>
    <row r="35">
      <c r="A35" s="17" t="inlineStr">
        <is>
          <t>ChemistryCore Mix</t>
        </is>
      </c>
      <c r="B35" s="13" t="inlineStr">
        <is>
          <t>W_CHEM_ATTRACTION_PATTERN</t>
        </is>
      </c>
      <c r="C35" s="16" t="n">
        <v>0.33</v>
      </c>
      <c r="D35" s="13" t="inlineStr">
        <is>
          <t>Pattern-based attraction</t>
        </is>
      </c>
    </row>
    <row r="36">
      <c r="A36" s="17" t="inlineStr">
        <is>
          <t>ChemistryCore Mix</t>
        </is>
      </c>
      <c r="B36" s="13" t="inlineStr">
        <is>
          <t>W_CHEM_STANCE</t>
        </is>
      </c>
      <c r="C36" s="16" t="n">
        <v>0.15</v>
      </c>
      <c r="D36" s="13" t="inlineStr">
        <is>
          <t>How pro-relationship the answer is</t>
        </is>
      </c>
    </row>
    <row r="37">
      <c r="A37" s="17" t="inlineStr">
        <is>
          <t>ChemistryCore Mix</t>
        </is>
      </c>
      <c r="B37" s="13" t="inlineStr">
        <is>
          <t>W_CHEM_RECIPROCITY</t>
        </is>
      </c>
      <c r="C37" s="16" t="n">
        <v>0.1</v>
      </c>
      <c r="D37" s="13" t="inlineStr">
        <is>
          <t>Mutuality / pursuit balance proxy</t>
        </is>
      </c>
    </row>
    <row r="38">
      <c r="A38" s="17" t="inlineStr">
        <is>
          <t>CosmicCore Mix</t>
        </is>
      </c>
      <c r="B38" s="13" t="inlineStr">
        <is>
          <t>W_ZODIAC</t>
        </is>
      </c>
      <c r="C38" s="16" t="n">
        <v>0.6</v>
      </c>
      <c r="D38" s="13" t="inlineStr">
        <is>
          <t>Directional nuance slightly higher than numerology</t>
        </is>
      </c>
    </row>
    <row r="39">
      <c r="A39" s="17" t="inlineStr">
        <is>
          <t>CosmicCore Mix</t>
        </is>
      </c>
      <c r="B39" s="13" t="inlineStr">
        <is>
          <t>W_NUMEROLOGY</t>
        </is>
      </c>
      <c r="C39" s="16" t="n">
        <v>0.4</v>
      </c>
      <c r="D39" s="13" t="inlineStr">
        <is>
          <t>Overlay / confidence tint</t>
        </is>
      </c>
    </row>
    <row r="40">
      <c r="A40" s="17" t="inlineStr">
        <is>
          <t>Gate Formula</t>
        </is>
      </c>
      <c r="B40" s="13" t="inlineStr">
        <is>
          <t>GATE_BASE</t>
        </is>
      </c>
      <c r="C40" s="16" t="n">
        <v>0.55</v>
      </c>
      <c r="D40" s="13" t="inlineStr">
        <is>
          <t>Compatibility cannot max without hold</t>
        </is>
      </c>
    </row>
    <row r="41">
      <c r="A41" s="17" t="inlineStr">
        <is>
          <t>Gate Formula</t>
        </is>
      </c>
      <c r="B41" s="13" t="inlineStr">
        <is>
          <t>GATE_MIN_BEH_STAB</t>
        </is>
      </c>
      <c r="C41" s="16" t="n">
        <v>0.25</v>
      </c>
      <c r="D41" s="13" t="inlineStr">
        <is>
          <t>min(Behavioral,Stability)</t>
        </is>
      </c>
    </row>
    <row r="42">
      <c r="A42" s="17" t="inlineStr">
        <is>
          <t>Gate Formula</t>
        </is>
      </c>
      <c r="B42" s="13" t="inlineStr">
        <is>
          <t>GATE_STABILITY</t>
        </is>
      </c>
      <c r="C42" s="16" t="n">
        <v>0.1</v>
      </c>
      <c r="D42" s="13" t="inlineStr">
        <is>
          <t>Additional stability gating</t>
        </is>
      </c>
    </row>
    <row r="43">
      <c r="A43" s="17" t="inlineStr">
        <is>
          <t>Gate Formula</t>
        </is>
      </c>
      <c r="B43" s="13" t="inlineStr">
        <is>
          <t>GATE_BEHAVIORAL</t>
        </is>
      </c>
      <c r="C43" s="16" t="n">
        <v>0.05</v>
      </c>
      <c r="D43" s="13" t="inlineStr">
        <is>
          <t>Additional behavioral gating</t>
        </is>
      </c>
    </row>
    <row r="44">
      <c r="A44" s="17" t="inlineStr">
        <is>
          <t>Gate Formula</t>
        </is>
      </c>
      <c r="B44" s="13" t="inlineStr">
        <is>
          <t>GATE_REPAIR</t>
        </is>
      </c>
      <c r="C44" s="16" t="n">
        <v>0.05</v>
      </c>
      <c r="D44" s="13" t="inlineStr">
        <is>
          <t>Repair helps unlock upper tiers</t>
        </is>
      </c>
    </row>
    <row r="45">
      <c r="A45" s="17" t="inlineStr">
        <is>
          <t>Bonuses/Penalties</t>
        </is>
      </c>
      <c r="B45" s="13" t="inlineStr">
        <is>
          <t>INTERACTION_BONUS_MIN</t>
        </is>
      </c>
      <c r="C45" s="16" t="n">
        <v>-0.08</v>
      </c>
      <c r="D45" s="13" t="inlineStr">
        <is>
          <t>Normalized adjustment</t>
        </is>
      </c>
    </row>
    <row r="46">
      <c r="A46" s="17" t="inlineStr">
        <is>
          <t>Bonuses/Penalties</t>
        </is>
      </c>
      <c r="B46" s="13" t="inlineStr">
        <is>
          <t>INTERACTION_BONUS_MAX</t>
        </is>
      </c>
      <c r="C46" s="16" t="n">
        <v>0.08</v>
      </c>
      <c r="D46" s="13" t="inlineStr">
        <is>
          <t>Normalized adjustment</t>
        </is>
      </c>
    </row>
    <row r="47">
      <c r="A47" s="17" t="inlineStr">
        <is>
          <t>Bonuses/Penalties</t>
        </is>
      </c>
      <c r="B47" s="13" t="inlineStr">
        <is>
          <t>HARD_PENALTY_MIN</t>
        </is>
      </c>
      <c r="C47" s="16" t="n">
        <v>0</v>
      </c>
      <c r="D47" s="13" t="inlineStr">
        <is>
          <t>Normalized adjustment</t>
        </is>
      </c>
    </row>
    <row r="48">
      <c r="A48" s="17" t="inlineStr">
        <is>
          <t>Bonuses/Penalties</t>
        </is>
      </c>
      <c r="B48" s="13" t="inlineStr">
        <is>
          <t>HARD_PENALTY_MAX</t>
        </is>
      </c>
      <c r="C48" s="16" t="n">
        <v>0.22</v>
      </c>
      <c r="D48" s="13" t="inlineStr">
        <is>
          <t>Normalized adjustment</t>
        </is>
      </c>
    </row>
    <row r="49">
      <c r="A49" s="17" t="inlineStr">
        <is>
          <t>Main Formula</t>
        </is>
      </c>
      <c r="B49" s="13" t="inlineStr">
        <is>
          <t>BehavioralCore</t>
        </is>
      </c>
      <c r="C49" s="13">
        <f>0.24*ArchetypeNorm + 0.18*CommNorm + 0.18*RegNorm + 0.08*LoveNorm + 0.14*ReadinessNorm + 0.10*ExecutionNorm + 0.08*OpennessNorm</f>
        <v/>
      </c>
      <c r="D49" s="13" t="inlineStr">
        <is>
          <t>v7 behavioral stack</t>
        </is>
      </c>
    </row>
    <row r="50">
      <c r="A50" s="17" t="inlineStr">
        <is>
          <t>Main Formula</t>
        </is>
      </c>
      <c r="B50" s="13" t="inlineStr">
        <is>
          <t>StabilityCore</t>
        </is>
      </c>
      <c r="C50" s="13">
        <f>0.20*(1-ShadowRiskNorm) + 0.16*(1-IntegrityPenaltyNorm) + 0.14*(1-ClusterPenaltyNorm) + 0.14*ForecastNorm + 0.18*RepairNorm + 0.10*PacingNorm + 0.08*AccountabilityNorm</f>
        <v/>
      </c>
      <c r="D50" s="13" t="inlineStr">
        <is>
          <t>v7 stability stack</t>
        </is>
      </c>
    </row>
    <row r="51">
      <c r="A51" s="17" t="inlineStr">
        <is>
          <t>Main Formula</t>
        </is>
      </c>
      <c r="B51" s="13" t="inlineStr">
        <is>
          <t>ChemistryCore</t>
        </is>
      </c>
      <c r="C51" s="13">
        <f>0.42*CenteredPolarityNorm + 0.33*AttractionPatternNorm + 0.15*StanceNorm + 0.10*ReciprocityNorm</f>
        <v/>
      </c>
      <c r="D51" s="13" t="inlineStr">
        <is>
          <t>v7 chemistry stack</t>
        </is>
      </c>
    </row>
    <row r="52">
      <c r="A52" s="17" t="inlineStr">
        <is>
          <t>Main Formula</t>
        </is>
      </c>
      <c r="B52" s="13" t="inlineStr">
        <is>
          <t>CosmicCore</t>
        </is>
      </c>
      <c r="C52" s="13">
        <f>0.60*ZodiacNorm + 0.40*AdjustedNumerologyNorm</f>
        <v/>
      </c>
      <c r="D52" s="13" t="inlineStr">
        <is>
          <t>v7 cosmic stack</t>
        </is>
      </c>
    </row>
    <row r="53">
      <c r="A53" s="17" t="inlineStr">
        <is>
          <t>Main Formula</t>
        </is>
      </c>
      <c r="B53" s="13" t="inlineStr">
        <is>
          <t>AlignmentWeighted</t>
        </is>
      </c>
      <c r="C53" s="13">
        <f>0.56*BehavioralCore + 0.26*StabilityCore + 0.10*ChemistryCore + 0.08*CosmicCore</f>
        <v/>
      </c>
      <c r="D53" s="13" t="inlineStr">
        <is>
          <t>pre-gate weighted alignment</t>
        </is>
      </c>
    </row>
    <row r="54">
      <c r="A54" s="17" t="inlineStr">
        <is>
          <t>Main Formula</t>
        </is>
      </c>
      <c r="B54" s="13" t="inlineStr">
        <is>
          <t>Gate</t>
        </is>
      </c>
      <c r="C54" s="13">
        <f>0.55 + 0.25*MIN(BehavioralCore,StabilityCore) + 0.10*StabilityCore + 0.05*BehavioralCore + 0.05*RepairNorm_pair</f>
        <v/>
      </c>
      <c r="D54" s="13" t="inlineStr">
        <is>
          <t>upper-tier unlock</t>
        </is>
      </c>
    </row>
    <row r="55">
      <c r="A55" s="17" t="inlineStr">
        <is>
          <t>Main Formula</t>
        </is>
      </c>
      <c r="B55" s="13" t="inlineStr">
        <is>
          <t>RawSuccessNorm</t>
        </is>
      </c>
      <c r="C55" s="13">
        <f>MAX(0,MIN(1,(AlignmentWeighted*Gate)+InteractionBonus-HardPenalty))</f>
        <v/>
      </c>
      <c r="D55" s="13" t="inlineStr">
        <is>
          <t>final normalized success</t>
        </is>
      </c>
    </row>
    <row r="56">
      <c r="A56" s="17" t="inlineStr">
        <is>
          <t>Main Formula</t>
        </is>
      </c>
      <c r="B56" s="13" t="inlineStr">
        <is>
          <t>CompatibilityScore</t>
        </is>
      </c>
      <c r="C56" s="13">
        <f>350 + 500*RawSuccessNorm</f>
        <v/>
      </c>
      <c r="D56" s="13" t="inlineStr">
        <is>
          <t>headline score</t>
        </is>
      </c>
    </row>
    <row r="57">
      <c r="A57" s="17" t="inlineStr">
        <is>
          <t>Main Formula</t>
        </is>
      </c>
      <c r="B57" s="13" t="inlineStr">
        <is>
          <t>StabilityScore</t>
        </is>
      </c>
      <c r="C57" s="13">
        <f>100*(0.60*StabilityCore + 0.25*RepairNorm_pair + 0.15*(1-HardPenalty))</f>
        <v/>
      </c>
      <c r="D57" s="13" t="inlineStr">
        <is>
          <t>secondary truth score</t>
        </is>
      </c>
    </row>
    <row r="58">
      <c r="A58" s="17" t="inlineStr">
        <is>
          <t>Main Formula</t>
        </is>
      </c>
      <c r="B58" s="13" t="inlineStr">
        <is>
          <t>ChemistryScore</t>
        </is>
      </c>
      <c r="C58" s="13">
        <f>100*(ChemistryCore*(0.80 + 0.20*MIN(BehavioralCore,StabilityCore)))</f>
        <v/>
      </c>
      <c r="D58" s="13" t="inlineStr">
        <is>
          <t>gated chemistry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0" min="1" max="1"/>
    <col width="24" customWidth="1" style="10" min="2" max="2"/>
    <col width="16" customWidth="1" style="10" min="3" max="3"/>
    <col width="16" customWidth="1" style="10" min="4" max="4"/>
    <col width="72" customWidth="1" style="10" min="5" max="5"/>
  </cols>
  <sheetData>
    <row r="1">
      <c r="A1" s="14" t="inlineStr">
        <is>
          <t>Tier</t>
        </is>
      </c>
      <c r="B1" s="14" t="inlineStr">
        <is>
          <t>Compatibility score rule</t>
        </is>
      </c>
      <c r="C1" s="14" t="inlineStr">
        <is>
          <t>Stability rule</t>
        </is>
      </c>
      <c r="D1" s="14" t="inlineStr">
        <is>
          <t>Chemistry rule</t>
        </is>
      </c>
      <c r="E1" s="14" t="inlineStr">
        <is>
          <t>Meaning</t>
        </is>
      </c>
    </row>
    <row r="2">
      <c r="A2" s="13" t="inlineStr">
        <is>
          <t>Soul-aligned match</t>
        </is>
      </c>
      <c r="B2" s="13" t="inlineStr">
        <is>
          <t>&gt;= 760</t>
        </is>
      </c>
      <c r="C2" s="13" t="inlineStr">
        <is>
          <t>&gt;= 74</t>
        </is>
      </c>
      <c r="D2" s="13" t="inlineStr">
        <is>
          <t>&gt;= 58</t>
        </is>
      </c>
      <c r="E2" s="13" t="inlineStr">
        <is>
          <t>Rare: high fit, hold, and enough spark.</t>
        </is>
      </c>
    </row>
    <row r="3">
      <c r="A3" s="13" t="inlineStr">
        <is>
          <t>Strong potential</t>
        </is>
      </c>
      <c r="B3" s="13" t="inlineStr">
        <is>
          <t>700–759</t>
        </is>
      </c>
      <c r="C3" s="13" t="inlineStr">
        <is>
          <t>&gt;= 62</t>
        </is>
      </c>
      <c r="D3" s="13" t="inlineStr">
        <is>
          <t>&gt;= 48</t>
        </is>
      </c>
      <c r="E3" s="13" t="inlineStr">
        <is>
          <t>Healthy upside with workable friction.</t>
        </is>
      </c>
    </row>
    <row r="4">
      <c r="A4" s="13" t="inlineStr">
        <is>
          <t>Healthy but growing</t>
        </is>
      </c>
      <c r="B4" s="13" t="inlineStr">
        <is>
          <t>650–699</t>
        </is>
      </c>
      <c r="C4" s="13" t="inlineStr">
        <is>
          <t>&gt;= 58</t>
        </is>
      </c>
      <c r="D4" s="13" t="inlineStr">
        <is>
          <t>&gt;= 40</t>
        </is>
      </c>
      <c r="E4" s="13" t="inlineStr">
        <is>
          <t>Not perfect, but buildable and honest.</t>
        </is>
      </c>
    </row>
    <row r="5">
      <c r="A5" s="13" t="inlineStr">
        <is>
          <t>Magnetic but risky</t>
        </is>
      </c>
      <c r="B5" s="13" t="inlineStr">
        <is>
          <t>&gt;= 640</t>
        </is>
      </c>
      <c r="C5" s="13" t="inlineStr">
        <is>
          <t>&lt; 58</t>
        </is>
      </c>
      <c r="D5" s="13" t="inlineStr">
        <is>
          <t>&gt;= 72</t>
        </is>
      </c>
      <c r="E5" s="13" t="inlineStr">
        <is>
          <t>Feels intense but hold is weak; most often mistaken for destiny.</t>
        </is>
      </c>
    </row>
    <row r="6">
      <c r="A6" s="13" t="inlineStr">
        <is>
          <t>Possible but unstable</t>
        </is>
      </c>
      <c r="B6" s="13" t="inlineStr">
        <is>
          <t>560–649</t>
        </is>
      </c>
      <c r="C6" s="13" t="inlineStr">
        <is>
          <t>&gt;= 40</t>
        </is>
      </c>
      <c r="D6" s="13" t="inlineStr">
        <is>
          <t>any</t>
        </is>
      </c>
      <c r="E6" s="13" t="inlineStr">
        <is>
          <t>Some good pieces, but too many drag factors.</t>
        </is>
      </c>
    </row>
    <row r="7">
      <c r="A7" s="13" t="inlineStr">
        <is>
          <t>Red flag zone</t>
        </is>
      </c>
      <c r="B7" s="13" t="inlineStr">
        <is>
          <t>&lt; 560</t>
        </is>
      </c>
      <c r="C7" s="13" t="inlineStr">
        <is>
          <t>or &lt; 40</t>
        </is>
      </c>
      <c r="D7" s="13" t="inlineStr">
        <is>
          <t>any</t>
        </is>
      </c>
      <c r="E7" s="13" t="inlineStr">
        <is>
          <t>Low hold probability or severe risk burden.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0" min="1" max="1"/>
    <col width="28" customWidth="1" style="10" min="2" max="2"/>
    <col width="14" customWidth="1" style="10" min="3" max="3"/>
    <col width="34" customWidth="1" style="10" min="4" max="4"/>
    <col width="70" customWidth="1" style="10" min="5" max="5"/>
  </cols>
  <sheetData>
    <row r="1">
      <c r="A1" s="14" t="inlineStr">
        <is>
          <t>Family</t>
        </is>
      </c>
      <c r="B1" s="14" t="inlineStr">
        <is>
          <t>Field</t>
        </is>
      </c>
      <c r="C1" s="14" t="inlineStr">
        <is>
          <t>Type</t>
        </is>
      </c>
      <c r="D1" s="14" t="inlineStr">
        <is>
          <t>Scale / Example</t>
        </is>
      </c>
      <c r="E1" s="14" t="inlineStr">
        <is>
          <t>Why Genesis OS needs it</t>
        </is>
      </c>
    </row>
    <row r="2">
      <c r="A2" s="13" t="inlineStr">
        <is>
          <t>Identity</t>
        </is>
      </c>
      <c r="B2" s="13" t="inlineStr">
        <is>
          <t>primary_archetype</t>
        </is>
      </c>
      <c r="C2" s="13" t="inlineStr">
        <is>
          <t>categorical</t>
        </is>
      </c>
      <c r="D2" s="13" t="inlineStr">
        <is>
          <t>REGULATED / ANALYZER / TRANSLATOR</t>
        </is>
      </c>
      <c r="E2" s="13" t="inlineStr">
        <is>
          <t>Core behavioral operating style</t>
        </is>
      </c>
    </row>
    <row r="3">
      <c r="A3" s="13" t="inlineStr">
        <is>
          <t>Identity</t>
        </is>
      </c>
      <c r="B3" s="13" t="inlineStr">
        <is>
          <t>secondary_archetype</t>
        </is>
      </c>
      <c r="C3" s="13" t="inlineStr">
        <is>
          <t>categorical</t>
        </is>
      </c>
      <c r="D3" s="13" t="inlineStr">
        <is>
          <t>Optional second influence</t>
        </is>
      </c>
      <c r="E3" s="13" t="inlineStr">
        <is>
          <t>Explains mixed expression</t>
        </is>
      </c>
    </row>
    <row r="4">
      <c r="A4" s="13" t="inlineStr">
        <is>
          <t>Identity</t>
        </is>
      </c>
      <c r="B4" s="13" t="inlineStr">
        <is>
          <t>shadow_type</t>
        </is>
      </c>
      <c r="C4" s="13" t="inlineStr">
        <is>
          <t>categorical</t>
        </is>
      </c>
      <c r="D4" s="13" t="inlineStr">
        <is>
          <t>Manipulator / Stonewaller / Love Bomber etc.</t>
        </is>
      </c>
      <c r="E4" s="13" t="inlineStr">
        <is>
          <t>Pressure-state risk</t>
        </is>
      </c>
    </row>
    <row r="5">
      <c r="A5" s="13" t="inlineStr">
        <is>
          <t>Signals</t>
        </is>
      </c>
      <c r="B5" s="13" t="inlineStr">
        <is>
          <t>behavior_signal_norm_v7</t>
        </is>
      </c>
      <c r="C5" s="13" t="inlineStr">
        <is>
          <t>numeric</t>
        </is>
      </c>
      <c r="D5" s="13" t="inlineStr">
        <is>
          <t>0–1</t>
        </is>
      </c>
      <c r="E5" s="13" t="inlineStr">
        <is>
          <t>How constructive the answer is overall</t>
        </is>
      </c>
    </row>
    <row r="6">
      <c r="A6" s="13" t="inlineStr">
        <is>
          <t>Signals</t>
        </is>
      </c>
      <c r="B6" s="13" t="inlineStr">
        <is>
          <t>stability_signal_norm_v7</t>
        </is>
      </c>
      <c r="C6" s="13" t="inlineStr">
        <is>
          <t>numeric</t>
        </is>
      </c>
      <c r="D6" s="13" t="inlineStr">
        <is>
          <t>0–1</t>
        </is>
      </c>
      <c r="E6" s="13" t="inlineStr">
        <is>
          <t>How likely this answer supports durable connection</t>
        </is>
      </c>
    </row>
    <row r="7">
      <c r="A7" s="13" t="inlineStr">
        <is>
          <t>Signals</t>
        </is>
      </c>
      <c r="B7" s="13" t="inlineStr">
        <is>
          <t>chemistry_support_norm_v7</t>
        </is>
      </c>
      <c r="C7" s="13" t="inlineStr">
        <is>
          <t>numeric</t>
        </is>
      </c>
      <c r="D7" s="13" t="inlineStr">
        <is>
          <t>0–1</t>
        </is>
      </c>
      <c r="E7" s="13" t="inlineStr">
        <is>
          <t>How much spark this answer adds without calling it compatibility</t>
        </is>
      </c>
    </row>
    <row r="8">
      <c r="A8" s="13" t="inlineStr">
        <is>
          <t>Signals</t>
        </is>
      </c>
      <c r="B8" s="13" t="inlineStr">
        <is>
          <t>execution_norm_v7</t>
        </is>
      </c>
      <c r="C8" s="13" t="inlineStr">
        <is>
          <t>numeric</t>
        </is>
      </c>
      <c r="D8" s="13" t="inlineStr">
        <is>
          <t>0–1</t>
        </is>
      </c>
      <c r="E8" s="13" t="inlineStr">
        <is>
          <t>Can the person turn intention into stable behavior</t>
        </is>
      </c>
    </row>
    <row r="9">
      <c r="A9" s="13" t="inlineStr">
        <is>
          <t>Signals</t>
        </is>
      </c>
      <c r="B9" s="13" t="inlineStr">
        <is>
          <t>repair_norm_v7</t>
        </is>
      </c>
      <c r="C9" s="13" t="inlineStr">
        <is>
          <t>numeric</t>
        </is>
      </c>
      <c r="D9" s="13" t="inlineStr">
        <is>
          <t>0–1</t>
        </is>
      </c>
      <c r="E9" s="13" t="inlineStr">
        <is>
          <t>Likelihood of circling back and repairing</t>
        </is>
      </c>
    </row>
    <row r="10">
      <c r="A10" s="13" t="inlineStr">
        <is>
          <t>Signals</t>
        </is>
      </c>
      <c r="B10" s="13" t="inlineStr">
        <is>
          <t>pacing_norm_v7</t>
        </is>
      </c>
      <c r="C10" s="13" t="inlineStr">
        <is>
          <t>numeric</t>
        </is>
      </c>
      <c r="D10" s="13" t="inlineStr">
        <is>
          <t>0–1</t>
        </is>
      </c>
      <c r="E10" s="13" t="inlineStr">
        <is>
          <t>Ability to tolerate bond pace without collapse or rush</t>
        </is>
      </c>
    </row>
    <row r="11">
      <c r="A11" s="13" t="inlineStr">
        <is>
          <t>Signals</t>
        </is>
      </c>
      <c r="B11" s="13" t="inlineStr">
        <is>
          <t>attachment_risk_norm_v7</t>
        </is>
      </c>
      <c r="C11" s="13" t="inlineStr">
        <is>
          <t>numeric</t>
        </is>
      </c>
      <c r="D11" s="13" t="inlineStr">
        <is>
          <t>0–1 (risk)</t>
        </is>
      </c>
      <c r="E11" s="13" t="inlineStr">
        <is>
          <t>How likely closeness triggers defensive patterning</t>
        </is>
      </c>
    </row>
    <row r="12">
      <c r="A12" s="13" t="inlineStr">
        <is>
          <t>Signals</t>
        </is>
      </c>
      <c r="B12" s="13" t="inlineStr">
        <is>
          <t>openness_signal_norm_v7</t>
        </is>
      </c>
      <c r="C12" s="13" t="inlineStr">
        <is>
          <t>numeric</t>
        </is>
      </c>
      <c r="D12" s="13" t="inlineStr">
        <is>
          <t>0–1</t>
        </is>
      </c>
      <c r="E12" s="13" t="inlineStr">
        <is>
          <t>Access / vulnerability range</t>
        </is>
      </c>
    </row>
    <row r="13">
      <c r="A13" s="13" t="inlineStr">
        <is>
          <t>Signals</t>
        </is>
      </c>
      <c r="B13" s="13" t="inlineStr">
        <is>
          <t>accountability_signal_norm_v7</t>
        </is>
      </c>
      <c r="C13" s="13" t="inlineStr">
        <is>
          <t>numeric</t>
        </is>
      </c>
      <c r="D13" s="13" t="inlineStr">
        <is>
          <t>0–1</t>
        </is>
      </c>
      <c r="E13" s="13" t="inlineStr">
        <is>
          <t>Ownership vs deflection</t>
        </is>
      </c>
    </row>
    <row r="14">
      <c r="A14" s="13" t="inlineStr">
        <is>
          <t>Signals</t>
        </is>
      </c>
      <c r="B14" s="13" t="inlineStr">
        <is>
          <t>reciprocity_signal_norm_v7</t>
        </is>
      </c>
      <c r="C14" s="13" t="inlineStr">
        <is>
          <t>numeric</t>
        </is>
      </c>
      <c r="D14" s="13" t="inlineStr">
        <is>
          <t>0–1</t>
        </is>
      </c>
      <c r="E14" s="13" t="inlineStr">
        <is>
          <t>Mutuality / give-and-take</t>
        </is>
      </c>
    </row>
    <row r="15">
      <c r="A15" s="13" t="inlineStr">
        <is>
          <t>Signals</t>
        </is>
      </c>
      <c r="B15" s="13" t="inlineStr">
        <is>
          <t>centered_polarity_norm_v7</t>
        </is>
      </c>
      <c r="C15" s="13" t="inlineStr">
        <is>
          <t>numeric</t>
        </is>
      </c>
      <c r="D15" s="13" t="inlineStr">
        <is>
          <t>0–1</t>
        </is>
      </c>
      <c r="E15" s="13" t="inlineStr">
        <is>
          <t>Attraction energy after centering extremes</t>
        </is>
      </c>
    </row>
    <row r="16">
      <c r="A16" s="13" t="inlineStr">
        <is>
          <t>Signals</t>
        </is>
      </c>
      <c r="B16" s="13" t="inlineStr">
        <is>
          <t>attraction_pattern_norm_v7</t>
        </is>
      </c>
      <c r="C16" s="13" t="inlineStr">
        <is>
          <t>numeric</t>
        </is>
      </c>
      <c r="D16" s="13" t="inlineStr">
        <is>
          <t>0–1</t>
        </is>
      </c>
      <c r="E16" s="13" t="inlineStr">
        <is>
          <t>Preferred attraction pattern without inflating intensity</t>
        </is>
      </c>
    </row>
    <row r="17">
      <c r="A17" s="13" t="inlineStr">
        <is>
          <t>Risk</t>
        </is>
      </c>
      <c r="B17" s="13" t="inlineStr">
        <is>
          <t>shadow_risk_norm_v7</t>
        </is>
      </c>
      <c r="C17" s="13" t="inlineStr">
        <is>
          <t>numeric</t>
        </is>
      </c>
      <c r="D17" s="13" t="inlineStr">
        <is>
          <t>0–1 (risk)</t>
        </is>
      </c>
      <c r="E17" s="13" t="inlineStr">
        <is>
          <t>Pressure-state threat level</t>
        </is>
      </c>
    </row>
    <row r="18">
      <c r="A18" s="13" t="inlineStr">
        <is>
          <t>Risk</t>
        </is>
      </c>
      <c r="B18" s="13" t="inlineStr">
        <is>
          <t>integrity_penalty_norm_v7</t>
        </is>
      </c>
      <c r="C18" s="13" t="inlineStr">
        <is>
          <t>numeric</t>
        </is>
      </c>
      <c r="D18" s="13" t="inlineStr">
        <is>
          <t>0–1 (risk)</t>
        </is>
      </c>
      <c r="E18" s="13" t="inlineStr">
        <is>
          <t>Self-story vs answer integrity gap</t>
        </is>
      </c>
    </row>
    <row r="19">
      <c r="A19" s="13" t="inlineStr">
        <is>
          <t>Risk</t>
        </is>
      </c>
      <c r="B19" s="13" t="inlineStr">
        <is>
          <t>cluster_penalty_norm_v7</t>
        </is>
      </c>
      <c r="C19" s="13" t="inlineStr">
        <is>
          <t>numeric</t>
        </is>
      </c>
      <c r="D19" s="13" t="inlineStr">
        <is>
          <t>0–1 (risk)</t>
        </is>
      </c>
      <c r="E19" s="13" t="inlineStr">
        <is>
          <t>Contradiction / loop burden</t>
        </is>
      </c>
    </row>
    <row r="20">
      <c r="A20" s="13" t="inlineStr">
        <is>
          <t>Risk</t>
        </is>
      </c>
      <c r="B20" s="13" t="inlineStr">
        <is>
          <t>pattern_risk_norm_v7</t>
        </is>
      </c>
      <c r="C20" s="13" t="inlineStr">
        <is>
          <t>numeric</t>
        </is>
      </c>
      <c r="D20" s="13" t="inlineStr">
        <is>
          <t>0–1 (risk)</t>
        </is>
      </c>
      <c r="E20" s="13" t="inlineStr">
        <is>
          <t>Micro-pattern hazard</t>
        </is>
      </c>
    </row>
    <row r="21">
      <c r="A21" s="13" t="inlineStr">
        <is>
          <t>Risk</t>
        </is>
      </c>
      <c r="B21" s="13" t="inlineStr">
        <is>
          <t>hard_penalty_norm</t>
        </is>
      </c>
      <c r="C21" s="13" t="inlineStr">
        <is>
          <t>numeric</t>
        </is>
      </c>
      <c r="D21" s="13" t="inlineStr">
        <is>
          <t>0–1 (risk)</t>
        </is>
      </c>
      <c r="E21" s="13" t="inlineStr">
        <is>
          <t>Severe mismatch / danger cap</t>
        </is>
      </c>
    </row>
    <row r="22">
      <c r="A22" s="13" t="inlineStr">
        <is>
          <t>Dynamics</t>
        </is>
      </c>
      <c r="B22" s="13" t="inlineStr">
        <is>
          <t>access_style_label_v7</t>
        </is>
      </c>
      <c r="C22" s="13" t="inlineStr">
        <is>
          <t>label</t>
        </is>
      </c>
      <c r="D22" s="13" t="inlineStr">
        <is>
          <t>Guarded / Selective / Measured / Open</t>
        </is>
      </c>
      <c r="E22" s="13" t="inlineStr">
        <is>
          <t>How they let people in</t>
        </is>
      </c>
    </row>
    <row r="23">
      <c r="A23" s="13" t="inlineStr">
        <is>
          <t>Dynamics</t>
        </is>
      </c>
      <c r="B23" s="13" t="inlineStr">
        <is>
          <t>conflict_style_label_v7</t>
        </is>
      </c>
      <c r="C23" s="13" t="inlineStr">
        <is>
          <t>label</t>
        </is>
      </c>
      <c r="D23" s="13" t="inlineStr">
        <is>
          <t>Avoidant / Indirect / Direct / Emotional / Logical</t>
        </is>
      </c>
      <c r="E23" s="13" t="inlineStr">
        <is>
          <t>How they handle friction</t>
        </is>
      </c>
    </row>
    <row r="24">
      <c r="A24" s="13" t="inlineStr">
        <is>
          <t>Dynamics</t>
        </is>
      </c>
      <c r="B24" s="13" t="inlineStr">
        <is>
          <t>repair_style_label_v7</t>
        </is>
      </c>
      <c r="C24" s="13" t="inlineStr">
        <is>
          <t>label</t>
        </is>
      </c>
      <c r="D24" s="13" t="inlineStr">
        <is>
          <t>Suppress / Delay / Re-engage / Co-repair</t>
        </is>
      </c>
      <c r="E24" s="13" t="inlineStr">
        <is>
          <t>How they return after rupture</t>
        </is>
      </c>
    </row>
    <row r="25">
      <c r="A25" s="13" t="inlineStr">
        <is>
          <t>Dynamics</t>
        </is>
      </c>
      <c r="B25" s="13" t="inlineStr">
        <is>
          <t>attachment_style_label_v7</t>
        </is>
      </c>
      <c r="C25" s="13" t="inlineStr">
        <is>
          <t>label</t>
        </is>
      </c>
      <c r="D25" s="13" t="inlineStr">
        <is>
          <t>Slow-build / Rush-risk / Retreat-risk / Mixed</t>
        </is>
      </c>
      <c r="E25" s="13" t="inlineStr">
        <is>
          <t>Bonding tempo / threat response</t>
        </is>
      </c>
    </row>
    <row r="26">
      <c r="A26" s="13" t="inlineStr">
        <is>
          <t>Dynamics</t>
        </is>
      </c>
      <c r="B26" s="13" t="inlineStr">
        <is>
          <t>nervous_system_bias_label_v7</t>
        </is>
      </c>
      <c r="C26" s="13" t="inlineStr">
        <is>
          <t>label</t>
        </is>
      </c>
      <c r="D26" s="13" t="inlineStr">
        <is>
          <t>Calm-seeking / Stimulation-seeking / Mixed</t>
        </is>
      </c>
      <c r="E26" s="13" t="inlineStr">
        <is>
          <t>Chemistry vs safety preference</t>
        </is>
      </c>
    </row>
    <row r="27">
      <c r="A27" s="13" t="inlineStr">
        <is>
          <t>Dynamics</t>
        </is>
      </c>
      <c r="B27" s="13" t="inlineStr">
        <is>
          <t>selection_gap_flag_v7</t>
        </is>
      </c>
      <c r="C27" s="13" t="inlineStr">
        <is>
          <t>label</t>
        </is>
      </c>
      <c r="D27" s="13" t="inlineStr">
        <is>
          <t>Low / Medium / High</t>
        </is>
      </c>
      <c r="E27" s="13" t="inlineStr">
        <is>
          <t>Stated desire vs attracted-to mismatch</t>
        </is>
      </c>
    </row>
    <row r="28">
      <c r="A28" s="13" t="inlineStr">
        <is>
          <t>Dynamics</t>
        </is>
      </c>
      <c r="B28" s="13" t="inlineStr">
        <is>
          <t>forecast_relevance</t>
        </is>
      </c>
      <c r="C28" s="13" t="inlineStr">
        <is>
          <t>flag</t>
        </is>
      </c>
      <c r="D28" s="13" t="inlineStr">
        <is>
          <t>yes / no</t>
        </is>
      </c>
      <c r="E28" s="13" t="inlineStr">
        <is>
          <t>Should the answer carry predictive weight</t>
        </is>
      </c>
    </row>
    <row r="29">
      <c r="A29" s="13" t="inlineStr">
        <is>
          <t>Dynamics</t>
        </is>
      </c>
      <c r="B29" s="13" t="inlineStr">
        <is>
          <t>drift_relevance</t>
        </is>
      </c>
      <c r="C29" s="13" t="inlineStr">
        <is>
          <t>flag</t>
        </is>
      </c>
      <c r="D29" s="13" t="inlineStr">
        <is>
          <t>yes / no</t>
        </is>
      </c>
      <c r="E29" s="13" t="inlineStr">
        <is>
          <t>Useful for change-over-time tracking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W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0" min="1" max="2"/>
    <col width="16" customWidth="1" style="10" min="2" max="2"/>
    <col width="16" customWidth="1" style="10" min="3" max="3"/>
    <col width="16" customWidth="1" style="10" min="4" max="4"/>
    <col width="16" customWidth="1" style="10" min="5" max="5"/>
    <col width="16" customWidth="1" style="10" min="6" max="6"/>
    <col width="16" customWidth="1" style="10" min="7" max="7"/>
    <col width="16" customWidth="1" style="10" min="8" max="8"/>
    <col width="16" customWidth="1" style="10" min="9" max="9"/>
    <col width="16" customWidth="1" style="10" min="10" max="10"/>
    <col width="50" customWidth="1" style="10" min="11" max="11"/>
    <col width="12.64453125" customWidth="1" style="10" min="12" max="12"/>
    <col width="20.984375" customWidth="1" style="10" min="13" max="13"/>
    <col width="19.90625" customWidth="1" style="10" min="14" max="14"/>
    <col width="24.2109375" customWidth="1" style="10" min="15" max="15"/>
    <col width="18.83203125" customWidth="1" style="10" min="16" max="16"/>
    <col width="11.97265625" customWidth="1" style="10" min="17" max="17"/>
    <col width="12.64453125" customWidth="1" style="10" min="18" max="18"/>
    <col width="11.97265625" customWidth="1" style="10" min="19" max="19"/>
    <col width="14.66015625" customWidth="1" style="10" min="20" max="20"/>
    <col width="22.05859375" customWidth="1" style="10" min="21" max="21"/>
    <col width="12.64453125" customWidth="1" style="10" min="22" max="22"/>
    <col width="23.13671875" customWidth="1" style="10" min="23" max="23"/>
    <col width="22.05859375" customWidth="1" style="10" min="24" max="24"/>
    <col width="11.97265625" customWidth="1" style="10" min="25" max="25"/>
    <col width="16.8125" customWidth="1" style="10" min="26" max="26"/>
    <col width="13.5859375" customWidth="1" style="10" min="27" max="27"/>
    <col width="12.64453125" customWidth="1" style="10" min="28" max="28"/>
    <col width="11.97265625" customWidth="1" style="10" min="29" max="30"/>
    <col width="23.13671875" customWidth="1" style="10" min="31" max="31"/>
    <col width="11.97265625" customWidth="1" style="10" min="32" max="32"/>
    <col width="18.83203125" customWidth="1" style="10" min="33" max="33"/>
    <col width="12.64453125" customWidth="1" style="10" min="34" max="34"/>
    <col width="16.8125" customWidth="1" style="10" min="35" max="35"/>
    <col width="17.890625" customWidth="1" style="10" min="36" max="36"/>
    <col width="15.73828125" customWidth="1" style="10" min="37" max="37"/>
    <col width="18.83203125" customWidth="1" style="10" min="38" max="38"/>
    <col width="15.73828125" customWidth="1" style="10" min="39" max="39"/>
    <col width="14.66015625" customWidth="1" style="10" min="40" max="40"/>
    <col width="12.64453125" customWidth="1" style="10" min="41" max="41"/>
    <col width="16.8125" customWidth="1" style="10" min="42" max="42"/>
    <col width="18.0234375" customWidth="1" style="10" min="43" max="51"/>
    <col width="18" customWidth="1" style="10" min="52" max="52"/>
    <col width="18" customWidth="1" style="10" min="53" max="53"/>
    <col width="18" customWidth="1" style="10" min="54" max="54"/>
    <col width="18" customWidth="1" style="10" min="55" max="55"/>
    <col width="18" customWidth="1" style="10" min="56" max="56"/>
    <col width="18" customWidth="1" style="10" min="57" max="57"/>
    <col width="18" customWidth="1" style="10" min="58" max="58"/>
    <col width="18" customWidth="1" style="10" min="59" max="59"/>
    <col width="18" customWidth="1" style="10" min="60" max="60"/>
    <col width="18" customWidth="1" style="10" min="61" max="61"/>
    <col width="18" customWidth="1" style="10" min="62" max="62"/>
    <col width="18" customWidth="1" style="10" min="63" max="63"/>
    <col width="18" customWidth="1" style="10" min="64" max="64"/>
    <col width="18" customWidth="1" style="10" min="65" max="65"/>
    <col width="18" customWidth="1" style="10" min="66" max="66"/>
    <col width="18" customWidth="1" style="10" min="67" max="67"/>
    <col width="18" customWidth="1" style="10" min="68" max="68"/>
    <col width="18" customWidth="1" style="10" min="69" max="69"/>
    <col width="18" customWidth="1" style="10" min="70" max="70"/>
    <col width="18" customWidth="1" style="10" min="71" max="71"/>
    <col width="18" customWidth="1" style="10" min="72" max="72"/>
    <col width="18" customWidth="1" style="10" min="73" max="73"/>
    <col width="18" customWidth="1" style="10" min="74" max="74"/>
    <col width="18" customWidth="1" style="10" min="75" max="75"/>
  </cols>
  <sheetData>
    <row r="1" ht="27.75" customHeight="1" s="10">
      <c r="A1" s="18" t="inlineStr">
        <is>
          <t>answer_id</t>
        </is>
      </c>
      <c r="B1" s="18" t="inlineStr">
        <is>
          <t>canonical_q</t>
        </is>
      </c>
      <c r="C1" s="18" t="inlineStr">
        <is>
          <t>question_number_int</t>
        </is>
      </c>
      <c r="D1" s="18" t="inlineStr">
        <is>
          <t>phase</t>
        </is>
      </c>
      <c r="E1" s="18" t="inlineStr">
        <is>
          <t>question_weight_v3</t>
        </is>
      </c>
      <c r="F1" s="18" t="inlineStr">
        <is>
          <t>dimension_primary</t>
        </is>
      </c>
      <c r="G1" s="18" t="inlineStr">
        <is>
          <t>dimension_secondary</t>
        </is>
      </c>
      <c r="H1" s="18" t="inlineStr">
        <is>
          <t>question_text</t>
        </is>
      </c>
      <c r="I1" s="18" t="inlineStr">
        <is>
          <t>answer_option_id</t>
        </is>
      </c>
      <c r="J1" s="18" t="inlineStr">
        <is>
          <t>answer_letter</t>
        </is>
      </c>
      <c r="K1" s="18" t="inlineStr">
        <is>
          <t>answer_text</t>
        </is>
      </c>
      <c r="L1" s="18" t="inlineStr">
        <is>
          <t>score_weight</t>
        </is>
      </c>
      <c r="M1" s="18" t="inlineStr">
        <is>
          <t>compatibility_weight</t>
        </is>
      </c>
      <c r="N1" s="18" t="inlineStr">
        <is>
          <t>readiness_points_v3</t>
        </is>
      </c>
      <c r="O1" s="18" t="inlineStr">
        <is>
          <t>compatibility_stance_v3</t>
        </is>
      </c>
      <c r="P1" s="18" t="inlineStr">
        <is>
          <t>forecast_points_v3</t>
        </is>
      </c>
      <c r="Q1" s="18" t="inlineStr">
        <is>
          <t>archetype</t>
        </is>
      </c>
      <c r="R1" s="18" t="inlineStr">
        <is>
          <t>archetype_id</t>
        </is>
      </c>
      <c r="S1" s="18" t="inlineStr">
        <is>
          <t>shadow_type</t>
        </is>
      </c>
      <c r="T1" s="18" t="inlineStr">
        <is>
          <t>shadow_type_id</t>
        </is>
      </c>
      <c r="U1" s="18" t="inlineStr">
        <is>
          <t>shadow_risk_points_v3</t>
        </is>
      </c>
      <c r="V1" s="18" t="inlineStr">
        <is>
          <t>polarity_tag</t>
        </is>
      </c>
      <c r="W1" s="18" t="inlineStr">
        <is>
          <t>polarity_masc_delta_v3</t>
        </is>
      </c>
      <c r="X1" s="18" t="inlineStr">
        <is>
          <t>polarity_fem_delta_v3</t>
        </is>
      </c>
      <c r="Y1" s="18" t="inlineStr">
        <is>
          <t>comm_style</t>
        </is>
      </c>
      <c r="Z1" s="18" t="inlineStr">
        <is>
          <t>regulation_style</t>
        </is>
      </c>
      <c r="AA1" s="18" t="inlineStr">
        <is>
          <t>love_language</t>
        </is>
      </c>
      <c r="AB1" s="18" t="inlineStr">
        <is>
          <t>cluster_tags</t>
        </is>
      </c>
      <c r="AC1" s="18" t="inlineStr">
        <is>
          <t>cluster_1</t>
        </is>
      </c>
      <c r="AD1" s="18" t="inlineStr">
        <is>
          <t>cluster_2</t>
        </is>
      </c>
      <c r="AE1" s="18" t="inlineStr">
        <is>
          <t>cluster_penalty_points</t>
        </is>
      </c>
      <c r="AF1" s="18" t="inlineStr">
        <is>
          <t>pattern_tag</t>
        </is>
      </c>
      <c r="AG1" s="18" t="inlineStr">
        <is>
          <t>match_behavior_tag</t>
        </is>
      </c>
      <c r="AH1" s="18" t="inlineStr">
        <is>
          <t>pattern_risk</t>
        </is>
      </c>
      <c r="AI1" s="18" t="inlineStr">
        <is>
          <t>consistency_flag</t>
        </is>
      </c>
      <c r="AJ1" s="18" t="inlineStr">
        <is>
          <t>integrity_flag_v3</t>
        </is>
      </c>
      <c r="AK1" s="18" t="inlineStr">
        <is>
          <t>drift_relevance</t>
        </is>
      </c>
      <c r="AL1" s="18" t="inlineStr">
        <is>
          <t>forecast_relevance</t>
        </is>
      </c>
      <c r="AM1" s="18" t="inlineStr">
        <is>
          <t>energy_type_tag</t>
        </is>
      </c>
      <c r="AN1" s="18" t="inlineStr">
        <is>
          <t>emotion_family</t>
        </is>
      </c>
      <c r="AO1" s="18" t="inlineStr">
        <is>
          <t>emotion_cell</t>
        </is>
      </c>
      <c r="AP1" s="18" t="inlineStr">
        <is>
          <t>version_snapshot</t>
        </is>
      </c>
      <c r="AQ1" s="19" t="inlineStr">
        <is>
          <t>score_weight_norm</t>
        </is>
      </c>
      <c r="AR1" s="19" t="inlineStr">
        <is>
          <t>compat_weight_norm</t>
        </is>
      </c>
      <c r="AS1" s="19" t="inlineStr">
        <is>
          <t>readiness_norm</t>
        </is>
      </c>
      <c r="AT1" s="19" t="inlineStr">
        <is>
          <t>stance_norm</t>
        </is>
      </c>
      <c r="AU1" s="19" t="inlineStr">
        <is>
          <t>forecast_norm</t>
        </is>
      </c>
      <c r="AV1" s="19" t="inlineStr">
        <is>
          <t>pattern_risk_norm</t>
        </is>
      </c>
      <c r="AW1" s="19" t="inlineStr">
        <is>
          <t>cluster_penalty_norm</t>
        </is>
      </c>
      <c r="AX1" s="19" t="inlineStr">
        <is>
          <t>polarity_masc_norm</t>
        </is>
      </c>
      <c r="AY1" s="19" t="inlineStr">
        <is>
          <t>polarity_fem_norm</t>
        </is>
      </c>
      <c r="AZ1" s="19" t="inlineStr">
        <is>
          <t>shadow_risk_norm_v7</t>
        </is>
      </c>
      <c r="BA1" s="19" t="inlineStr">
        <is>
          <t>integrity_penalty_norm_v7</t>
        </is>
      </c>
      <c r="BB1" s="19" t="inlineStr">
        <is>
          <t>consistency_bonus_norm_v7</t>
        </is>
      </c>
      <c r="BC1" s="19" t="inlineStr">
        <is>
          <t>comm_health_norm_v7</t>
        </is>
      </c>
      <c r="BD1" s="19" t="inlineStr">
        <is>
          <t>reg_health_norm_v7</t>
        </is>
      </c>
      <c r="BE1" s="19" t="inlineStr">
        <is>
          <t>love_relational_norm_v7</t>
        </is>
      </c>
      <c r="BF1" s="19" t="inlineStr">
        <is>
          <t>execution_norm_v7</t>
        </is>
      </c>
      <c r="BG1" s="19" t="inlineStr">
        <is>
          <t>repair_norm_v7</t>
        </is>
      </c>
      <c r="BH1" s="19" t="inlineStr">
        <is>
          <t>pacing_norm_v7</t>
        </is>
      </c>
      <c r="BI1" s="19" t="inlineStr">
        <is>
          <t>attachment_risk_norm_v7</t>
        </is>
      </c>
      <c r="BJ1" s="19" t="inlineStr">
        <is>
          <t>centered_polarity_norm_v7</t>
        </is>
      </c>
      <c r="BK1" s="19" t="inlineStr">
        <is>
          <t>attraction_pattern_norm_v7</t>
        </is>
      </c>
      <c r="BL1" s="19" t="inlineStr">
        <is>
          <t>behavior_signal_norm_v7</t>
        </is>
      </c>
      <c r="BM1" s="19" t="inlineStr">
        <is>
          <t>stability_signal_norm_v7</t>
        </is>
      </c>
      <c r="BN1" s="19" t="inlineStr">
        <is>
          <t>chemistry_support_norm_v7</t>
        </is>
      </c>
      <c r="BO1" s="19" t="inlineStr">
        <is>
          <t>openness_signal_norm_v7</t>
        </is>
      </c>
      <c r="BP1" s="19" t="inlineStr">
        <is>
          <t>accountability_signal_norm_v7</t>
        </is>
      </c>
      <c r="BQ1" s="19" t="inlineStr">
        <is>
          <t>reciprocity_signal_norm_v7</t>
        </is>
      </c>
      <c r="BR1" s="19" t="inlineStr">
        <is>
          <t>access_style_label_v7</t>
        </is>
      </c>
      <c r="BS1" s="19" t="inlineStr">
        <is>
          <t>conflict_style_label_v7</t>
        </is>
      </c>
      <c r="BT1" s="19" t="inlineStr">
        <is>
          <t>repair_style_label_v7</t>
        </is>
      </c>
      <c r="BU1" s="19" t="inlineStr">
        <is>
          <t>attachment_style_label_v7</t>
        </is>
      </c>
      <c r="BV1" s="19" t="inlineStr">
        <is>
          <t>nervous_system_bias_label_v7</t>
        </is>
      </c>
      <c r="BW1" s="19" t="inlineStr">
        <is>
          <t>selection_gap_flag_v7</t>
        </is>
      </c>
    </row>
    <row r="2" ht="135" customHeight="1" s="10">
      <c r="A2" s="2" t="inlineStr">
        <is>
          <t>Q01_A</t>
        </is>
      </c>
      <c r="B2" s="2" t="n">
        <v>1</v>
      </c>
      <c r="C2" s="2" t="n">
        <v>1</v>
      </c>
      <c r="D2" s="2" t="inlineStr">
        <is>
          <t>Core</t>
        </is>
      </c>
      <c r="E2" s="2" t="n">
        <v>1</v>
      </c>
      <c r="F2" s="2" t="inlineStr">
        <is>
          <t>CommunicationHealth</t>
        </is>
      </c>
      <c r="G2" s="2" t="inlineStr">
        <is>
          <t>EmotionalNeeds</t>
        </is>
      </c>
      <c r="H2" s="2" t="inlineStr">
        <is>
          <t>When something feels off between you and someone you're dating, what usually happens next-internally or outwardly?</t>
        </is>
      </c>
      <c r="I2" s="2" t="inlineStr">
        <is>
          <t>A</t>
        </is>
      </c>
      <c r="J2" s="2" t="inlineStr">
        <is>
          <t>A</t>
        </is>
      </c>
      <c r="K2" s="2" t="inlineStr">
        <is>
          <t>It's probably nothing. I just shift into neutral and let it play out. If they bring it up, cool. If not, I'm not pushing it.</t>
        </is>
      </c>
      <c r="L2" s="2" t="n">
        <v>3</v>
      </c>
      <c r="M2" s="2" t="n">
        <v>4</v>
      </c>
      <c r="N2" s="2" t="n">
        <v>0</v>
      </c>
      <c r="O2" s="2" t="n">
        <v>0</v>
      </c>
      <c r="P2" s="2" t="n">
        <v>0</v>
      </c>
      <c r="Q2" s="2" t="inlineStr">
        <is>
          <t>Icebox</t>
        </is>
      </c>
      <c r="R2" s="2" t="n">
        <v>1</v>
      </c>
      <c r="S2" s="2" t="n"/>
      <c r="T2" s="2" t="n"/>
      <c r="U2" s="2" t="n">
        <v>0</v>
      </c>
      <c r="V2" s="2" t="inlineStr">
        <is>
          <t>masc:1.8;fem:-1.6</t>
        </is>
      </c>
      <c r="W2" s="2" t="n">
        <v>1.8</v>
      </c>
      <c r="X2" s="2" t="n">
        <v>-1.6</v>
      </c>
      <c r="Y2" s="2" t="inlineStr">
        <is>
          <t>COMM_Avoidant</t>
        </is>
      </c>
      <c r="Z2" s="2" t="inlineStr">
        <is>
          <t>REG_Suppressor</t>
        </is>
      </c>
      <c r="AA2" s="2" t="inlineStr">
        <is>
          <t>LANG_Time</t>
        </is>
      </c>
      <c r="AB2" s="2" t="inlineStr">
        <is>
          <t>Vulnerability_Loop , Pursuer_Distancer</t>
        </is>
      </c>
      <c r="AC2" s="2" t="inlineStr">
        <is>
          <t>Vulnerability_Loop</t>
        </is>
      </c>
      <c r="AD2" s="2" t="inlineStr">
        <is>
          <t>Pursuer_Distancer</t>
        </is>
      </c>
      <c r="AE2" s="2" t="n">
        <v>11</v>
      </c>
      <c r="AF2" s="2" t="inlineStr">
        <is>
          <t>emotional disengage</t>
        </is>
      </c>
      <c r="AG2" s="2" t="inlineStr">
        <is>
          <t>passive drifter</t>
        </is>
      </c>
      <c r="AH2" s="2" t="n">
        <v>0</v>
      </c>
      <c r="AI2" s="2" t="inlineStr">
        <is>
          <t>yes</t>
        </is>
      </c>
      <c r="AJ2" s="2" t="inlineStr">
        <is>
          <t>no</t>
        </is>
      </c>
      <c r="AK2" s="2" t="inlineStr">
        <is>
          <t>yes</t>
        </is>
      </c>
      <c r="AL2" s="2" t="inlineStr">
        <is>
          <t>yes</t>
        </is>
      </c>
      <c r="AM2" s="2" t="n"/>
      <c r="AN2" s="2" t="n"/>
      <c r="AO2" s="2" t="n"/>
      <c r="AP2" s="2" t="inlineStr">
        <is>
          <t>v3_2026-03-19</t>
        </is>
      </c>
      <c r="AQ2">
        <f>(L2-Schema_v5!$C2)/(Schema_v5!$C3-Schema_v5!$C2)</f>
        <v/>
      </c>
      <c r="AR2">
        <f>(M2-Schema_v5!$C4)/(Schema_v5!$C5-Schema_v5!$C4)</f>
        <v/>
      </c>
      <c r="AS2">
        <f>N2/Schema_v5!$C6</f>
        <v/>
      </c>
      <c r="AT2">
        <f>O2/Schema_v5!$C7</f>
        <v/>
      </c>
      <c r="AU2">
        <f>P2/Schema_v5!$C8</f>
        <v/>
      </c>
      <c r="AV2">
        <f>IF(Schema_v5!$C9=0,0,AH2/Schema_v5!$C9)</f>
        <v/>
      </c>
      <c r="AW2">
        <f>IF(Schema_v5!$C10=0,0,AE2/Schema_v5!$C10)</f>
        <v/>
      </c>
      <c r="AX2">
        <f>(W2-Schema_v5!$C11)/(Schema_v5!$C12-Schema_v5!$C11)</f>
        <v/>
      </c>
      <c r="AY2">
        <f>(X2-Schema_v5!$C13)/(Schema_v5!$C14-Schema_v5!$C13)</f>
        <v/>
      </c>
      <c r="AZ2">
        <f>MIN(1,MAX(0,U2/Schema_v7!$C$9))</f>
        <v/>
      </c>
      <c r="BA2">
        <f>IF(AJ2="yes",0.55,0)</f>
        <v/>
      </c>
      <c r="BB2">
        <f>IF(AI2="yes",0.10,0)</f>
        <v/>
      </c>
      <c r="BC2">
        <f>IF(Y2="COMM_Direct",0.92,IF(Y2="COMM_Emotional",0.70,IF(Y2="COMM_Logical",0.65,IF(Y2="COMM_Indirect",0.55,0.35))))</f>
        <v/>
      </c>
      <c r="BD2">
        <f>IF(Z2="REG_CoRegulator",0.92,IF(Z2="REG_SelfSoother",0.76,IF(Z2="REG_Distractor",0.48,0.35)))</f>
        <v/>
      </c>
      <c r="BE2">
        <f>IF(AA2="LANG_Time",0.76,IF(AA2="LANG_Service",0.70,IF(AA2="LANG_Words",0.72,IF(AA2="LANG_Touch",0.68,0.60))))</f>
        <v/>
      </c>
      <c r="BF2">
        <f>MAX(0,MIN(1,0.28*AS2+0.16*AT2+0.18*BC2+0.18*BD2+0.10*(1-AZ2)+0.10*(1-BA2)+BB2))</f>
        <v/>
      </c>
      <c r="BG2">
        <f>MAX(0,MIN(1,0.24*AU2+0.18*AS2+0.18*BC2+0.20*BD2+0.10*(1-AW2)+0.10*(1-BA2)))</f>
        <v/>
      </c>
      <c r="BH2">
        <f>MAX(0,MIN(1,0.28*AR2+0.18*AT2+0.16*AU2+0.18*(1-AV2)+0.10*(1-AW2)+0.10*BF2))</f>
        <v/>
      </c>
      <c r="BI2">
        <f>MAX(0,MIN(1,0.30*AV2+0.20*AZ2+0.20*AW2+0.15*(1-BH2)+0.15*(1-BO2)))</f>
        <v/>
      </c>
      <c r="BJ2">
        <f>MAX(0,1-(ABS(((( AX2+AY2)/2)-0.55)*1.6)))</f>
        <v/>
      </c>
      <c r="BK2">
        <f>MAX(0,MIN(1,0.28*AR2+0.18*AT2+0.16*BJ2+0.14*(1-AV2)+0.12*BQ2+0.12*BO2))</f>
        <v/>
      </c>
      <c r="BL2">
        <f>MAX(0,MIN(1,0.22*AQ2+0.18*AS2+0.18*BC2+0.18*BD2+0.08*BE2+0.10*BF2+0.06*BO2))</f>
        <v/>
      </c>
      <c r="BM2">
        <f>MAX(0,MIN(1,0.20*(1-AZ2)+0.16*(1-BA2)+0.14*(1-AW2)+0.14*AU2+0.18*BG2+0.10*BH2+0.08*BP2))</f>
        <v/>
      </c>
      <c r="BN2">
        <f>MAX(0,MIN(1,0.42*BJ2+0.33*BK2+0.15*AT2+0.10*BQ2))</f>
        <v/>
      </c>
      <c r="BO2">
        <f>MAX(0,MIN(1,0.30*BC2+0.24*BD2+0.18*AS2+0.14*(1-BI2)+0.14*AT2))</f>
        <v/>
      </c>
      <c r="BP2">
        <f>MAX(0,MIN(1,0.26*AS2+0.20*(1-BA2)+0.16*(1-AW2)+0.18*BG2+0.10*AU2+0.10+BB2))</f>
        <v/>
      </c>
      <c r="BQ2">
        <f>MAX(0,MIN(1,0.24*AT2+0.18*BF2+0.14*AR2+0.14*BO2+0.14*(1-AV2)+0.16*(1-AZ2)))</f>
        <v/>
      </c>
      <c r="BR2">
        <f>IF(BO2&gt;=0.80,"Open",IF(BO2&gt;=0.62,"Measured",IF(BO2&gt;=0.45,"Selective","Guarded")))</f>
        <v/>
      </c>
      <c r="BS2">
        <f>IF(Y2="COMM_Direct","Direct",IF(Y2="COMM_Emotional","Emotional",IF(Y2="COMM_Logical","Logical",IF(Y2="COMM_Indirect","Indirect","Avoidant"))))</f>
        <v/>
      </c>
      <c r="BT2">
        <f>IF(BG2&gt;=0.78,"Co-repair",IF(BG2&gt;=0.58,"Re-engage",IF(BG2&gt;=0.40,"Delay","Suppress")))</f>
        <v/>
      </c>
      <c r="BU2">
        <f>IF(BI2&gt;=0.70,"Retreat-risk",IF(BH2&lt;=0.40,"Rush-risk",IF(BH2&gt;=0.65,"Slow-build","Mixed")))</f>
        <v/>
      </c>
      <c r="BV2">
        <f>IF(BL2-BM2&gt;=0.15,"Stimulation-seeking",IF(BM2-BL2&gt;=0.15,"Calm-seeking","Mixed")))</f>
        <v/>
      </c>
      <c r="BW2">
        <f>IF(AND(BL2&gt;=0.72,BM2&lt;0.48),"High",IF(AND(BL2&gt;=0.60,BM2&lt;0.58),"Medium","Low"))</f>
        <v/>
      </c>
    </row>
    <row r="3" ht="148.5" customHeight="1" s="10">
      <c r="A3" s="2" t="inlineStr">
        <is>
          <t>Q01_B</t>
        </is>
      </c>
      <c r="B3" s="2" t="n">
        <v>1</v>
      </c>
      <c r="C3" s="2" t="n">
        <v>1</v>
      </c>
      <c r="D3" s="2" t="inlineStr">
        <is>
          <t>Core</t>
        </is>
      </c>
      <c r="E3" s="2" t="n">
        <v>1</v>
      </c>
      <c r="F3" s="2" t="inlineStr">
        <is>
          <t>CommunicationHealth</t>
        </is>
      </c>
      <c r="G3" s="2" t="inlineStr">
        <is>
          <t>EmotionalNeeds</t>
        </is>
      </c>
      <c r="H3" s="2" t="n"/>
      <c r="I3" s="2" t="inlineStr">
        <is>
          <t>B</t>
        </is>
      </c>
      <c r="J3" s="2" t="inlineStr">
        <is>
          <t>B</t>
        </is>
      </c>
      <c r="K3" s="2" t="inlineStr">
        <is>
          <t>I start rereading everything. The tone in a text. A pause that felt a little too long. I like turning it into a puzzle to solve.</t>
        </is>
      </c>
      <c r="L3" s="2" t="n">
        <v>6</v>
      </c>
      <c r="M3" s="2" t="n">
        <v>7</v>
      </c>
      <c r="N3" s="2" t="n">
        <v>4</v>
      </c>
      <c r="O3" s="2" t="n">
        <v>6</v>
      </c>
      <c r="P3" s="2" t="n">
        <v>4</v>
      </c>
      <c r="Q3" s="2" t="inlineStr">
        <is>
          <t>Analyzer</t>
        </is>
      </c>
      <c r="R3" s="2" t="n">
        <v>2</v>
      </c>
      <c r="S3" s="2" t="n"/>
      <c r="T3" s="2" t="n"/>
      <c r="U3" s="2" t="n">
        <v>0</v>
      </c>
      <c r="V3" s="2" t="inlineStr">
        <is>
          <t>masc:1.4;fem:0.1</t>
        </is>
      </c>
      <c r="W3" s="2" t="n">
        <v>1.4</v>
      </c>
      <c r="X3" s="2" t="n">
        <v>0.1</v>
      </c>
      <c r="Y3" s="2" t="inlineStr">
        <is>
          <t>COMM_Logical</t>
        </is>
      </c>
      <c r="Z3" s="2" t="inlineStr">
        <is>
          <t>REG_SelfSoother</t>
        </is>
      </c>
      <c r="AA3" s="2" t="inlineStr">
        <is>
          <t>LANG_Service</t>
        </is>
      </c>
      <c r="AB3" s="2" t="inlineStr">
        <is>
          <t>Trust_Tension</t>
        </is>
      </c>
      <c r="AC3" s="2" t="inlineStr">
        <is>
          <t>Trust_Tension</t>
        </is>
      </c>
      <c r="AD3" s="2" t="n"/>
      <c r="AE3" s="2" t="n">
        <v>6</v>
      </c>
      <c r="AF3" s="2" t="inlineStr">
        <is>
          <t>overanalysis</t>
        </is>
      </c>
      <c r="AG3" s="2" t="inlineStr">
        <is>
          <t>hyper-vigilant decoder</t>
        </is>
      </c>
      <c r="AH3" s="2" t="n">
        <v>0</v>
      </c>
      <c r="AI3" s="2" t="inlineStr">
        <is>
          <t>yes</t>
        </is>
      </c>
      <c r="AJ3" s="2" t="inlineStr">
        <is>
          <t>no</t>
        </is>
      </c>
      <c r="AK3" s="2" t="inlineStr">
        <is>
          <t>yes</t>
        </is>
      </c>
      <c r="AL3" s="2" t="inlineStr">
        <is>
          <t>yes</t>
        </is>
      </c>
      <c r="AM3" s="2" t="n"/>
      <c r="AN3" s="2" t="n"/>
      <c r="AO3" s="2" t="n"/>
      <c r="AP3" s="2" t="inlineStr">
        <is>
          <t>v3_2026-03-19</t>
        </is>
      </c>
      <c r="AQ3">
        <f>(L3-Schema_v5!$C2)/(Schema_v5!$C3-Schema_v5!$C2)</f>
        <v/>
      </c>
      <c r="AR3">
        <f>(M3-Schema_v5!$C4)/(Schema_v5!$C5-Schema_v5!$C4)</f>
        <v/>
      </c>
      <c r="AS3">
        <f>N3/Schema_v5!$C6</f>
        <v/>
      </c>
      <c r="AT3">
        <f>O3/Schema_v5!$C7</f>
        <v/>
      </c>
      <c r="AU3">
        <f>P3/Schema_v5!$C8</f>
        <v/>
      </c>
      <c r="AV3">
        <f>IF(Schema_v5!$C9=0,0,AH3/Schema_v5!$C9)</f>
        <v/>
      </c>
      <c r="AW3">
        <f>IF(Schema_v5!$C10=0,0,AE3/Schema_v5!$C10)</f>
        <v/>
      </c>
      <c r="AX3">
        <f>(W3-Schema_v5!$C11)/(Schema_v5!$C12-Schema_v5!$C11)</f>
        <v/>
      </c>
      <c r="AY3">
        <f>(X3-Schema_v5!$C13)/(Schema_v5!$C14-Schema_v5!$C13)</f>
        <v/>
      </c>
      <c r="AZ3">
        <f>MIN(1,MAX(0,U3/Schema_v7!$C$9))</f>
        <v/>
      </c>
      <c r="BA3">
        <f>IF(AJ3="yes",0.55,0)</f>
        <v/>
      </c>
      <c r="BB3">
        <f>IF(AI3="yes",0.10,0)</f>
        <v/>
      </c>
      <c r="BC3">
        <f>IF(Y3="COMM_Direct",0.92,IF(Y3="COMM_Emotional",0.70,IF(Y3="COMM_Logical",0.65,IF(Y3="COMM_Indirect",0.55,0.35))))</f>
        <v/>
      </c>
      <c r="BD3">
        <f>IF(Z3="REG_CoRegulator",0.92,IF(Z3="REG_SelfSoother",0.76,IF(Z3="REG_Distractor",0.48,0.35)))</f>
        <v/>
      </c>
      <c r="BE3">
        <f>IF(AA3="LANG_Time",0.76,IF(AA3="LANG_Service",0.70,IF(AA3="LANG_Words",0.72,IF(AA3="LANG_Touch",0.68,0.60))))</f>
        <v/>
      </c>
      <c r="BF3">
        <f>MAX(0,MIN(1,0.28*AS3+0.16*AT3+0.18*BC3+0.18*BD3+0.10*(1-AZ3)+0.10*(1-BA3)+BB3))</f>
        <v/>
      </c>
      <c r="BG3">
        <f>MAX(0,MIN(1,0.24*AU3+0.18*AS3+0.18*BC3+0.20*BD3+0.10*(1-AW3)+0.10*(1-BA3)))</f>
        <v/>
      </c>
      <c r="BH3">
        <f>MAX(0,MIN(1,0.28*AR3+0.18*AT3+0.16*AU3+0.18*(1-AV3)+0.10*(1-AW3)+0.10*BF3))</f>
        <v/>
      </c>
      <c r="BI3">
        <f>MAX(0,MIN(1,0.30*AV3+0.20*AZ3+0.20*AW3+0.15*(1-BH3)+0.15*(1-BO3)))</f>
        <v/>
      </c>
      <c r="BJ3">
        <f>MAX(0,1-(ABS(((( AX3+AY3)/2)-0.55)*1.6)))</f>
        <v/>
      </c>
      <c r="BK3">
        <f>MAX(0,MIN(1,0.28*AR3+0.18*AT3+0.16*BJ3+0.14*(1-AV3)+0.12*BQ3+0.12*BO3))</f>
        <v/>
      </c>
      <c r="BL3">
        <f>MAX(0,MIN(1,0.22*AQ3+0.18*AS3+0.18*BC3+0.18*BD3+0.08*BE3+0.10*BF3+0.06*BO3))</f>
        <v/>
      </c>
      <c r="BM3">
        <f>MAX(0,MIN(1,0.20*(1-AZ3)+0.16*(1-BA3)+0.14*(1-AW3)+0.14*AU3+0.18*BG3+0.10*BH3+0.08*BP3))</f>
        <v/>
      </c>
      <c r="BN3">
        <f>MAX(0,MIN(1,0.42*BJ3+0.33*BK3+0.15*AT3+0.10*BQ3))</f>
        <v/>
      </c>
      <c r="BO3">
        <f>MAX(0,MIN(1,0.30*BC3+0.24*BD3+0.18*AS3+0.14*(1-BI3)+0.14*AT3))</f>
        <v/>
      </c>
      <c r="BP3">
        <f>MAX(0,MIN(1,0.26*AS3+0.20*(1-BA3)+0.16*(1-AW3)+0.18*BG3+0.10*AU3+0.10+BB3))</f>
        <v/>
      </c>
      <c r="BQ3">
        <f>MAX(0,MIN(1,0.24*AT3+0.18*BF3+0.14*AR3+0.14*BO3+0.14*(1-AV3)+0.16*(1-AZ3)))</f>
        <v/>
      </c>
      <c r="BR3">
        <f>IF(BO3&gt;=0.80,"Open",IF(BO3&gt;=0.62,"Measured",IF(BO3&gt;=0.45,"Selective","Guarded")))</f>
        <v/>
      </c>
      <c r="BS3">
        <f>IF(Y3="COMM_Direct","Direct",IF(Y3="COMM_Emotional","Emotional",IF(Y3="COMM_Logical","Logical",IF(Y3="COMM_Indirect","Indirect","Avoidant"))))</f>
        <v/>
      </c>
      <c r="BT3">
        <f>IF(BG3&gt;=0.78,"Co-repair",IF(BG3&gt;=0.58,"Re-engage",IF(BG3&gt;=0.40,"Delay","Suppress")))</f>
        <v/>
      </c>
      <c r="BU3">
        <f>IF(BI3&gt;=0.70,"Retreat-risk",IF(BH3&lt;=0.40,"Rush-risk",IF(BH3&gt;=0.65,"Slow-build","Mixed")))</f>
        <v/>
      </c>
      <c r="BV3">
        <f>IF(BL3-BM3&gt;=0.15,"Stimulation-seeking",IF(BM3-BL3&gt;=0.15,"Calm-seeking","Mixed")))</f>
        <v/>
      </c>
      <c r="BW3">
        <f>IF(AND(BL3&gt;=0.72,BM3&lt;0.48),"High",IF(AND(BL3&gt;=0.60,BM3&lt;0.58),"Medium","Low"))</f>
        <v/>
      </c>
    </row>
    <row r="4" ht="148.5" customHeight="1" s="10">
      <c r="A4" s="2" t="inlineStr">
        <is>
          <t>Q01_C</t>
        </is>
      </c>
      <c r="B4" s="2" t="n">
        <v>1</v>
      </c>
      <c r="C4" s="2" t="n">
        <v>1</v>
      </c>
      <c r="D4" s="2" t="inlineStr">
        <is>
          <t>Core</t>
        </is>
      </c>
      <c r="E4" s="2" t="n">
        <v>1</v>
      </c>
      <c r="F4" s="2" t="inlineStr">
        <is>
          <t>CommunicationHealth</t>
        </is>
      </c>
      <c r="G4" s="2" t="inlineStr">
        <is>
          <t>EmotionalNeeds</t>
        </is>
      </c>
      <c r="H4" s="2" t="n"/>
      <c r="I4" s="2" t="inlineStr">
        <is>
          <t>C</t>
        </is>
      </c>
      <c r="J4" s="2" t="inlineStr">
        <is>
          <t>C</t>
        </is>
      </c>
      <c r="K4" s="2" t="inlineStr">
        <is>
          <t>I'll bring something up, but I usually wrap it in a joke or a side comment. I'd rather ease into it than make it feel too serious.</t>
        </is>
      </c>
      <c r="L4" s="2" t="n">
        <v>7</v>
      </c>
      <c r="M4" s="2" t="n">
        <v>8</v>
      </c>
      <c r="N4" s="2" t="n">
        <v>6</v>
      </c>
      <c r="O4" s="2" t="n">
        <v>8</v>
      </c>
      <c r="P4" s="2" t="n">
        <v>8</v>
      </c>
      <c r="Q4" s="2" t="inlineStr">
        <is>
          <t>Translator</t>
        </is>
      </c>
      <c r="R4" s="2" t="n">
        <v>3</v>
      </c>
      <c r="S4" s="2" t="n"/>
      <c r="T4" s="2" t="n"/>
      <c r="U4" s="2" t="n">
        <v>0</v>
      </c>
      <c r="V4" s="2" t="inlineStr">
        <is>
          <t>masc:-0.1;fem:1.6</t>
        </is>
      </c>
      <c r="W4" s="2" t="n">
        <v>-0.1</v>
      </c>
      <c r="X4" s="2" t="n">
        <v>1.6</v>
      </c>
      <c r="Y4" s="2" t="inlineStr">
        <is>
          <t>COMM_Indirect</t>
        </is>
      </c>
      <c r="Z4" s="2" t="inlineStr">
        <is>
          <t>REG_CoRegulator</t>
        </is>
      </c>
      <c r="AA4" s="2" t="inlineStr">
        <is>
          <t>LANG_Words</t>
        </is>
      </c>
      <c r="AB4" s="2" t="n"/>
      <c r="AC4" s="2" t="n"/>
      <c r="AD4" s="2" t="n"/>
      <c r="AE4" s="2" t="n">
        <v>0</v>
      </c>
      <c r="AF4" s="2" t="inlineStr">
        <is>
          <t>soft entry communication</t>
        </is>
      </c>
      <c r="AG4" s="2" t="inlineStr">
        <is>
          <t>light approach</t>
        </is>
      </c>
      <c r="AH4" s="2" t="n">
        <v>0</v>
      </c>
      <c r="AI4" s="2" t="inlineStr">
        <is>
          <t>no</t>
        </is>
      </c>
      <c r="AJ4" s="2" t="inlineStr">
        <is>
          <t>no</t>
        </is>
      </c>
      <c r="AK4" s="2" t="inlineStr">
        <is>
          <t>yes</t>
        </is>
      </c>
      <c r="AL4" s="2" t="inlineStr">
        <is>
          <t>yes</t>
        </is>
      </c>
      <c r="AM4" s="2" t="n"/>
      <c r="AN4" s="2" t="n"/>
      <c r="AO4" s="2" t="n"/>
      <c r="AP4" s="2" t="inlineStr">
        <is>
          <t>v3_2026-03-19</t>
        </is>
      </c>
      <c r="AQ4">
        <f>(L4-Schema_v5!$C2)/(Schema_v5!$C3-Schema_v5!$C2)</f>
        <v/>
      </c>
      <c r="AR4">
        <f>(M4-Schema_v5!$C4)/(Schema_v5!$C5-Schema_v5!$C4)</f>
        <v/>
      </c>
      <c r="AS4">
        <f>N4/Schema_v5!$C6</f>
        <v/>
      </c>
      <c r="AT4">
        <f>O4/Schema_v5!$C7</f>
        <v/>
      </c>
      <c r="AU4">
        <f>P4/Schema_v5!$C8</f>
        <v/>
      </c>
      <c r="AV4">
        <f>IF(Schema_v5!$C9=0,0,AH4/Schema_v5!$C9)</f>
        <v/>
      </c>
      <c r="AW4">
        <f>IF(Schema_v5!$C10=0,0,AE4/Schema_v5!$C10)</f>
        <v/>
      </c>
      <c r="AX4">
        <f>(W4-Schema_v5!$C11)/(Schema_v5!$C12-Schema_v5!$C11)</f>
        <v/>
      </c>
      <c r="AY4">
        <f>(X4-Schema_v5!$C13)/(Schema_v5!$C14-Schema_v5!$C13)</f>
        <v/>
      </c>
      <c r="AZ4">
        <f>MIN(1,MAX(0,U4/Schema_v7!$C$9))</f>
        <v/>
      </c>
      <c r="BA4">
        <f>IF(AJ4="yes",0.55,0)</f>
        <v/>
      </c>
      <c r="BB4">
        <f>IF(AI4="yes",0.10,0)</f>
        <v/>
      </c>
      <c r="BC4">
        <f>IF(Y4="COMM_Direct",0.92,IF(Y4="COMM_Emotional",0.70,IF(Y4="COMM_Logical",0.65,IF(Y4="COMM_Indirect",0.55,0.35))))</f>
        <v/>
      </c>
      <c r="BD4">
        <f>IF(Z4="REG_CoRegulator",0.92,IF(Z4="REG_SelfSoother",0.76,IF(Z4="REG_Distractor",0.48,0.35)))</f>
        <v/>
      </c>
      <c r="BE4">
        <f>IF(AA4="LANG_Time",0.76,IF(AA4="LANG_Service",0.70,IF(AA4="LANG_Words",0.72,IF(AA4="LANG_Touch",0.68,0.60))))</f>
        <v/>
      </c>
      <c r="BF4">
        <f>MAX(0,MIN(1,0.28*AS4+0.16*AT4+0.18*BC4+0.18*BD4+0.10*(1-AZ4)+0.10*(1-BA4)+BB4))</f>
        <v/>
      </c>
      <c r="BG4">
        <f>MAX(0,MIN(1,0.24*AU4+0.18*AS4+0.18*BC4+0.20*BD4+0.10*(1-AW4)+0.10*(1-BA4)))</f>
        <v/>
      </c>
      <c r="BH4">
        <f>MAX(0,MIN(1,0.28*AR4+0.18*AT4+0.16*AU4+0.18*(1-AV4)+0.10*(1-AW4)+0.10*BF4))</f>
        <v/>
      </c>
      <c r="BI4">
        <f>MAX(0,MIN(1,0.30*AV4+0.20*AZ4+0.20*AW4+0.15*(1-BH4)+0.15*(1-BO4)))</f>
        <v/>
      </c>
      <c r="BJ4">
        <f>MAX(0,1-(ABS(((( AX4+AY4)/2)-0.55)*1.6)))</f>
        <v/>
      </c>
      <c r="BK4">
        <f>MAX(0,MIN(1,0.28*AR4+0.18*AT4+0.16*BJ4+0.14*(1-AV4)+0.12*BQ4+0.12*BO4))</f>
        <v/>
      </c>
      <c r="BL4">
        <f>MAX(0,MIN(1,0.22*AQ4+0.18*AS4+0.18*BC4+0.18*BD4+0.08*BE4+0.10*BF4+0.06*BO4))</f>
        <v/>
      </c>
      <c r="BM4">
        <f>MAX(0,MIN(1,0.20*(1-AZ4)+0.16*(1-BA4)+0.14*(1-AW4)+0.14*AU4+0.18*BG4+0.10*BH4+0.08*BP4))</f>
        <v/>
      </c>
      <c r="BN4">
        <f>MAX(0,MIN(1,0.42*BJ4+0.33*BK4+0.15*AT4+0.10*BQ4))</f>
        <v/>
      </c>
      <c r="BO4">
        <f>MAX(0,MIN(1,0.30*BC4+0.24*BD4+0.18*AS4+0.14*(1-BI4)+0.14*AT4))</f>
        <v/>
      </c>
      <c r="BP4">
        <f>MAX(0,MIN(1,0.26*AS4+0.20*(1-BA4)+0.16*(1-AW4)+0.18*BG4+0.10*AU4+0.10+BB4))</f>
        <v/>
      </c>
      <c r="BQ4">
        <f>MAX(0,MIN(1,0.24*AT4+0.18*BF4+0.14*AR4+0.14*BO4+0.14*(1-AV4)+0.16*(1-AZ4)))</f>
        <v/>
      </c>
      <c r="BR4">
        <f>IF(BO4&gt;=0.80,"Open",IF(BO4&gt;=0.62,"Measured",IF(BO4&gt;=0.45,"Selective","Guarded")))</f>
        <v/>
      </c>
      <c r="BS4">
        <f>IF(Y4="COMM_Direct","Direct",IF(Y4="COMM_Emotional","Emotional",IF(Y4="COMM_Logical","Logical",IF(Y4="COMM_Indirect","Indirect","Avoidant"))))</f>
        <v/>
      </c>
      <c r="BT4">
        <f>IF(BG4&gt;=0.78,"Co-repair",IF(BG4&gt;=0.58,"Re-engage",IF(BG4&gt;=0.40,"Delay","Suppress")))</f>
        <v/>
      </c>
      <c r="BU4">
        <f>IF(BI4&gt;=0.70,"Retreat-risk",IF(BH4&lt;=0.40,"Rush-risk",IF(BH4&gt;=0.65,"Slow-build","Mixed")))</f>
        <v/>
      </c>
      <c r="BV4">
        <f>IF(BL4-BM4&gt;=0.15,"Stimulation-seeking",IF(BM4-BL4&gt;=0.15,"Calm-seeking","Mixed")))</f>
        <v/>
      </c>
      <c r="BW4">
        <f>IF(AND(BL4&gt;=0.72,BM4&lt;0.48),"High",IF(AND(BL4&gt;=0.60,BM4&lt;0.58),"Medium","Low"))</f>
        <v/>
      </c>
    </row>
    <row r="5" ht="162" customHeight="1" s="10">
      <c r="A5" s="2" t="inlineStr">
        <is>
          <t>Q01_D</t>
        </is>
      </c>
      <c r="B5" s="2" t="n">
        <v>1</v>
      </c>
      <c r="C5" s="2" t="n">
        <v>1</v>
      </c>
      <c r="D5" s="2" t="inlineStr">
        <is>
          <t>Core</t>
        </is>
      </c>
      <c r="E5" s="2" t="n">
        <v>1</v>
      </c>
      <c r="F5" s="2" t="inlineStr">
        <is>
          <t>CommunicationHealth</t>
        </is>
      </c>
      <c r="G5" s="2" t="inlineStr">
        <is>
          <t>EmotionalNeeds</t>
        </is>
      </c>
      <c r="H5" s="2" t="n"/>
      <c r="I5" s="2" t="inlineStr">
        <is>
          <t>D</t>
        </is>
      </c>
      <c r="J5" s="2" t="inlineStr">
        <is>
          <t>D</t>
        </is>
      </c>
      <c r="K5" s="2" t="inlineStr">
        <is>
          <t>I usually wait. Not to avoid it, just to feel it out first. I've learned not everything needs a reaction, but if it lingers, I'll say something.</t>
        </is>
      </c>
      <c r="L5" s="2" t="n">
        <v>8</v>
      </c>
      <c r="M5" s="2" t="n">
        <v>8</v>
      </c>
      <c r="N5" s="2" t="n">
        <v>8</v>
      </c>
      <c r="O5" s="2" t="n">
        <v>8</v>
      </c>
      <c r="P5" s="2" t="n">
        <v>6</v>
      </c>
      <c r="Q5" s="2" t="inlineStr">
        <is>
          <t>Survivor</t>
        </is>
      </c>
      <c r="R5" s="2" t="n">
        <v>8</v>
      </c>
      <c r="S5" s="2" t="n"/>
      <c r="T5" s="2" t="n"/>
      <c r="U5" s="2" t="n">
        <v>0</v>
      </c>
      <c r="V5" s="2" t="inlineStr">
        <is>
          <t>masc:0.3;fem:1.3</t>
        </is>
      </c>
      <c r="W5" s="2" t="n">
        <v>0.3</v>
      </c>
      <c r="X5" s="2" t="n">
        <v>1.3</v>
      </c>
      <c r="Y5" s="2" t="inlineStr">
        <is>
          <t>COMM_Emotional</t>
        </is>
      </c>
      <c r="Z5" s="2" t="inlineStr">
        <is>
          <t>REG_SelfSoother</t>
        </is>
      </c>
      <c r="AA5" s="2" t="inlineStr">
        <is>
          <t>LANG_Service</t>
        </is>
      </c>
      <c r="AB5" s="2" t="n"/>
      <c r="AC5" s="2" t="n"/>
      <c r="AD5" s="2" t="n"/>
      <c r="AE5" s="2" t="n">
        <v>0</v>
      </c>
      <c r="AF5" s="2" t="inlineStr">
        <is>
          <t>measured patience</t>
        </is>
      </c>
      <c r="AG5" s="2" t="inlineStr">
        <is>
          <t>cautious feeler</t>
        </is>
      </c>
      <c r="AH5" s="2" t="n">
        <v>0.6</v>
      </c>
      <c r="AI5" s="2" t="inlineStr">
        <is>
          <t>no</t>
        </is>
      </c>
      <c r="AJ5" s="2" t="inlineStr">
        <is>
          <t>no</t>
        </is>
      </c>
      <c r="AK5" s="2" t="inlineStr">
        <is>
          <t>yes</t>
        </is>
      </c>
      <c r="AL5" s="2" t="inlineStr">
        <is>
          <t>yes</t>
        </is>
      </c>
      <c r="AM5" s="2" t="n"/>
      <c r="AN5" s="2" t="n"/>
      <c r="AO5" s="2" t="n"/>
      <c r="AP5" s="2" t="inlineStr">
        <is>
          <t>v3_2026-03-19</t>
        </is>
      </c>
      <c r="AQ5">
        <f>(L5-Schema_v5!$C2)/(Schema_v5!$C3-Schema_v5!$C2)</f>
        <v/>
      </c>
      <c r="AR5">
        <f>(M5-Schema_v5!$C4)/(Schema_v5!$C5-Schema_v5!$C4)</f>
        <v/>
      </c>
      <c r="AS5">
        <f>N5/Schema_v5!$C6</f>
        <v/>
      </c>
      <c r="AT5">
        <f>O5/Schema_v5!$C7</f>
        <v/>
      </c>
      <c r="AU5">
        <f>P5/Schema_v5!$C8</f>
        <v/>
      </c>
      <c r="AV5">
        <f>IF(Schema_v5!$C9=0,0,AH5/Schema_v5!$C9)</f>
        <v/>
      </c>
      <c r="AW5">
        <f>IF(Schema_v5!$C10=0,0,AE5/Schema_v5!$C10)</f>
        <v/>
      </c>
      <c r="AX5">
        <f>(W5-Schema_v5!$C11)/(Schema_v5!$C12-Schema_v5!$C11)</f>
        <v/>
      </c>
      <c r="AY5">
        <f>(X5-Schema_v5!$C13)/(Schema_v5!$C14-Schema_v5!$C13)</f>
        <v/>
      </c>
      <c r="AZ5">
        <f>MIN(1,MAX(0,U5/Schema_v7!$C$9))</f>
        <v/>
      </c>
      <c r="BA5">
        <f>IF(AJ5="yes",0.55,0)</f>
        <v/>
      </c>
      <c r="BB5">
        <f>IF(AI5="yes",0.10,0)</f>
        <v/>
      </c>
      <c r="BC5">
        <f>IF(Y5="COMM_Direct",0.92,IF(Y5="COMM_Emotional",0.70,IF(Y5="COMM_Logical",0.65,IF(Y5="COMM_Indirect",0.55,0.35))))</f>
        <v/>
      </c>
      <c r="BD5">
        <f>IF(Z5="REG_CoRegulator",0.92,IF(Z5="REG_SelfSoother",0.76,IF(Z5="REG_Distractor",0.48,0.35)))</f>
        <v/>
      </c>
      <c r="BE5">
        <f>IF(AA5="LANG_Time",0.76,IF(AA5="LANG_Service",0.70,IF(AA5="LANG_Words",0.72,IF(AA5="LANG_Touch",0.68,0.60))))</f>
        <v/>
      </c>
      <c r="BF5">
        <f>MAX(0,MIN(1,0.28*AS5+0.16*AT5+0.18*BC5+0.18*BD5+0.10*(1-AZ5)+0.10*(1-BA5)+BB5))</f>
        <v/>
      </c>
      <c r="BG5">
        <f>MAX(0,MIN(1,0.24*AU5+0.18*AS5+0.18*BC5+0.20*BD5+0.10*(1-AW5)+0.10*(1-BA5)))</f>
        <v/>
      </c>
      <c r="BH5">
        <f>MAX(0,MIN(1,0.28*AR5+0.18*AT5+0.16*AU5+0.18*(1-AV5)+0.10*(1-AW5)+0.10*BF5))</f>
        <v/>
      </c>
      <c r="BI5">
        <f>MAX(0,MIN(1,0.30*AV5+0.20*AZ5+0.20*AW5+0.15*(1-BH5)+0.15*(1-BO5)))</f>
        <v/>
      </c>
      <c r="BJ5">
        <f>MAX(0,1-(ABS(((( AX5+AY5)/2)-0.55)*1.6)))</f>
        <v/>
      </c>
      <c r="BK5">
        <f>MAX(0,MIN(1,0.28*AR5+0.18*AT5+0.16*BJ5+0.14*(1-AV5)+0.12*BQ5+0.12*BO5))</f>
        <v/>
      </c>
      <c r="BL5">
        <f>MAX(0,MIN(1,0.22*AQ5+0.18*AS5+0.18*BC5+0.18*BD5+0.08*BE5+0.10*BF5+0.06*BO5))</f>
        <v/>
      </c>
      <c r="BM5">
        <f>MAX(0,MIN(1,0.20*(1-AZ5)+0.16*(1-BA5)+0.14*(1-AW5)+0.14*AU5+0.18*BG5+0.10*BH5+0.08*BP5))</f>
        <v/>
      </c>
      <c r="BN5">
        <f>MAX(0,MIN(1,0.42*BJ5+0.33*BK5+0.15*AT5+0.10*BQ5))</f>
        <v/>
      </c>
      <c r="BO5">
        <f>MAX(0,MIN(1,0.30*BC5+0.24*BD5+0.18*AS5+0.14*(1-BI5)+0.14*AT5))</f>
        <v/>
      </c>
      <c r="BP5">
        <f>MAX(0,MIN(1,0.26*AS5+0.20*(1-BA5)+0.16*(1-AW5)+0.18*BG5+0.10*AU5+0.10+BB5))</f>
        <v/>
      </c>
      <c r="BQ5">
        <f>MAX(0,MIN(1,0.24*AT5+0.18*BF5+0.14*AR5+0.14*BO5+0.14*(1-AV5)+0.16*(1-AZ5)))</f>
        <v/>
      </c>
      <c r="BR5">
        <f>IF(BO5&gt;=0.80,"Open",IF(BO5&gt;=0.62,"Measured",IF(BO5&gt;=0.45,"Selective","Guarded")))</f>
        <v/>
      </c>
      <c r="BS5">
        <f>IF(Y5="COMM_Direct","Direct",IF(Y5="COMM_Emotional","Emotional",IF(Y5="COMM_Logical","Logical",IF(Y5="COMM_Indirect","Indirect","Avoidant"))))</f>
        <v/>
      </c>
      <c r="BT5">
        <f>IF(BG5&gt;=0.78,"Co-repair",IF(BG5&gt;=0.58,"Re-engage",IF(BG5&gt;=0.40,"Delay","Suppress")))</f>
        <v/>
      </c>
      <c r="BU5">
        <f>IF(BI5&gt;=0.70,"Retreat-risk",IF(BH5&lt;=0.40,"Rush-risk",IF(BH5&gt;=0.65,"Slow-build","Mixed")))</f>
        <v/>
      </c>
      <c r="BV5">
        <f>IF(BL5-BM5&gt;=0.15,"Stimulation-seeking",IF(BM5-BL5&gt;=0.15,"Calm-seeking","Mixed")))</f>
        <v/>
      </c>
      <c r="BW5">
        <f>IF(AND(BL5&gt;=0.72,BM5&lt;0.48),"High",IF(AND(BL5&gt;=0.60,BM5&lt;0.58),"Medium","Low"))</f>
        <v/>
      </c>
    </row>
    <row r="6" ht="135" customHeight="1" s="10">
      <c r="A6" s="2" t="inlineStr">
        <is>
          <t>Q01_E</t>
        </is>
      </c>
      <c r="B6" s="2" t="n">
        <v>1</v>
      </c>
      <c r="C6" s="2" t="n">
        <v>1</v>
      </c>
      <c r="D6" s="2" t="inlineStr">
        <is>
          <t>Core</t>
        </is>
      </c>
      <c r="E6" s="2" t="n">
        <v>1</v>
      </c>
      <c r="F6" s="2" t="inlineStr">
        <is>
          <t>CommunicationHealth</t>
        </is>
      </c>
      <c r="G6" s="2" t="inlineStr">
        <is>
          <t>EmotionalNeeds</t>
        </is>
      </c>
      <c r="H6" s="2" t="n"/>
      <c r="I6" s="2" t="inlineStr">
        <is>
          <t>E</t>
        </is>
      </c>
      <c r="J6" s="2" t="inlineStr">
        <is>
          <t>E</t>
        </is>
      </c>
      <c r="K6" s="2" t="inlineStr">
        <is>
          <t>I don't do weird energy. I'm not unkind, but I also don't pretend. If something's off, I'm not sitting in it quietly.</t>
        </is>
      </c>
      <c r="L6" s="2" t="n">
        <v>9</v>
      </c>
      <c r="M6" s="2" t="n">
        <v>9</v>
      </c>
      <c r="N6" s="2" t="n">
        <v>10</v>
      </c>
      <c r="O6" s="2" t="n">
        <v>10</v>
      </c>
      <c r="P6" s="2" t="n">
        <v>10</v>
      </c>
      <c r="Q6" s="2" t="inlineStr">
        <is>
          <t>Regulated Grown-Up</t>
        </is>
      </c>
      <c r="R6" s="2" t="n">
        <v>9</v>
      </c>
      <c r="S6" s="2" t="n"/>
      <c r="T6" s="2" t="n"/>
      <c r="U6" s="2" t="n">
        <v>0</v>
      </c>
      <c r="V6" s="2" t="inlineStr">
        <is>
          <t>masc:1.1;fem:0.9</t>
        </is>
      </c>
      <c r="W6" s="2" t="n">
        <v>1.1</v>
      </c>
      <c r="X6" s="2" t="n">
        <v>0.9</v>
      </c>
      <c r="Y6" s="2" t="inlineStr">
        <is>
          <t>COMM_Direct</t>
        </is>
      </c>
      <c r="Z6" s="2" t="inlineStr">
        <is>
          <t>REG_CoRegulator</t>
        </is>
      </c>
      <c r="AA6" s="2" t="inlineStr">
        <is>
          <t>LANG_Words</t>
        </is>
      </c>
      <c r="AB6" s="2" t="n"/>
      <c r="AC6" s="2" t="n"/>
      <c r="AD6" s="2" t="n"/>
      <c r="AE6" s="2" t="n">
        <v>0</v>
      </c>
      <c r="AF6" s="2" t="inlineStr">
        <is>
          <t>direct boundary setting</t>
        </is>
      </c>
      <c r="AG6" s="2" t="inlineStr">
        <is>
          <t>clear communicator</t>
        </is>
      </c>
      <c r="AH6" s="2" t="n">
        <v>0</v>
      </c>
      <c r="AI6" s="2" t="inlineStr">
        <is>
          <t>no</t>
        </is>
      </c>
      <c r="AJ6" s="2" t="inlineStr">
        <is>
          <t>no</t>
        </is>
      </c>
      <c r="AK6" s="2" t="inlineStr">
        <is>
          <t>yes</t>
        </is>
      </c>
      <c r="AL6" s="2" t="inlineStr">
        <is>
          <t>yes</t>
        </is>
      </c>
      <c r="AM6" s="2" t="n"/>
      <c r="AN6" s="2" t="n"/>
      <c r="AO6" s="2" t="n"/>
      <c r="AP6" s="2" t="inlineStr">
        <is>
          <t>v3_2026-03-19</t>
        </is>
      </c>
      <c r="AQ6">
        <f>(L6-Schema_v5!$C2)/(Schema_v5!$C3-Schema_v5!$C2)</f>
        <v/>
      </c>
      <c r="AR6">
        <f>(M6-Schema_v5!$C4)/(Schema_v5!$C5-Schema_v5!$C4)</f>
        <v/>
      </c>
      <c r="AS6">
        <f>N6/Schema_v5!$C6</f>
        <v/>
      </c>
      <c r="AT6">
        <f>O6/Schema_v5!$C7</f>
        <v/>
      </c>
      <c r="AU6">
        <f>P6/Schema_v5!$C8</f>
        <v/>
      </c>
      <c r="AV6">
        <f>IF(Schema_v5!$C9=0,0,AH6/Schema_v5!$C9)</f>
        <v/>
      </c>
      <c r="AW6">
        <f>IF(Schema_v5!$C10=0,0,AE6/Schema_v5!$C10)</f>
        <v/>
      </c>
      <c r="AX6">
        <f>(W6-Schema_v5!$C11)/(Schema_v5!$C12-Schema_v5!$C11)</f>
        <v/>
      </c>
      <c r="AY6">
        <f>(X6-Schema_v5!$C13)/(Schema_v5!$C14-Schema_v5!$C13)</f>
        <v/>
      </c>
      <c r="AZ6">
        <f>MIN(1,MAX(0,U6/Schema_v7!$C$9))</f>
        <v/>
      </c>
      <c r="BA6">
        <f>IF(AJ6="yes",0.55,0)</f>
        <v/>
      </c>
      <c r="BB6">
        <f>IF(AI6="yes",0.10,0)</f>
        <v/>
      </c>
      <c r="BC6">
        <f>IF(Y6="COMM_Direct",0.92,IF(Y6="COMM_Emotional",0.70,IF(Y6="COMM_Logical",0.65,IF(Y6="COMM_Indirect",0.55,0.35))))</f>
        <v/>
      </c>
      <c r="BD6">
        <f>IF(Z6="REG_CoRegulator",0.92,IF(Z6="REG_SelfSoother",0.76,IF(Z6="REG_Distractor",0.48,0.35)))</f>
        <v/>
      </c>
      <c r="BE6">
        <f>IF(AA6="LANG_Time",0.76,IF(AA6="LANG_Service",0.70,IF(AA6="LANG_Words",0.72,IF(AA6="LANG_Touch",0.68,0.60))))</f>
        <v/>
      </c>
      <c r="BF6">
        <f>MAX(0,MIN(1,0.28*AS6+0.16*AT6+0.18*BC6+0.18*BD6+0.10*(1-AZ6)+0.10*(1-BA6)+BB6))</f>
        <v/>
      </c>
      <c r="BG6">
        <f>MAX(0,MIN(1,0.24*AU6+0.18*AS6+0.18*BC6+0.20*BD6+0.10*(1-AW6)+0.10*(1-BA6)))</f>
        <v/>
      </c>
      <c r="BH6">
        <f>MAX(0,MIN(1,0.28*AR6+0.18*AT6+0.16*AU6+0.18*(1-AV6)+0.10*(1-AW6)+0.10*BF6))</f>
        <v/>
      </c>
      <c r="BI6">
        <f>MAX(0,MIN(1,0.30*AV6+0.20*AZ6+0.20*AW6+0.15*(1-BH6)+0.15*(1-BO6)))</f>
        <v/>
      </c>
      <c r="BJ6">
        <f>MAX(0,1-(ABS(((( AX6+AY6)/2)-0.55)*1.6)))</f>
        <v/>
      </c>
      <c r="BK6">
        <f>MAX(0,MIN(1,0.28*AR6+0.18*AT6+0.16*BJ6+0.14*(1-AV6)+0.12*BQ6+0.12*BO6))</f>
        <v/>
      </c>
      <c r="BL6">
        <f>MAX(0,MIN(1,0.22*AQ6+0.18*AS6+0.18*BC6+0.18*BD6+0.08*BE6+0.10*BF6+0.06*BO6))</f>
        <v/>
      </c>
      <c r="BM6">
        <f>MAX(0,MIN(1,0.20*(1-AZ6)+0.16*(1-BA6)+0.14*(1-AW6)+0.14*AU6+0.18*BG6+0.10*BH6+0.08*BP6))</f>
        <v/>
      </c>
      <c r="BN6">
        <f>MAX(0,MIN(1,0.42*BJ6+0.33*BK6+0.15*AT6+0.10*BQ6))</f>
        <v/>
      </c>
      <c r="BO6">
        <f>MAX(0,MIN(1,0.30*BC6+0.24*BD6+0.18*AS6+0.14*(1-BI6)+0.14*AT6))</f>
        <v/>
      </c>
      <c r="BP6">
        <f>MAX(0,MIN(1,0.26*AS6+0.20*(1-BA6)+0.16*(1-AW6)+0.18*BG6+0.10*AU6+0.10+BB6))</f>
        <v/>
      </c>
      <c r="BQ6">
        <f>MAX(0,MIN(1,0.24*AT6+0.18*BF6+0.14*AR6+0.14*BO6+0.14*(1-AV6)+0.16*(1-AZ6)))</f>
        <v/>
      </c>
      <c r="BR6">
        <f>IF(BO6&gt;=0.80,"Open",IF(BO6&gt;=0.62,"Measured",IF(BO6&gt;=0.45,"Selective","Guarded")))</f>
        <v/>
      </c>
      <c r="BS6">
        <f>IF(Y6="COMM_Direct","Direct",IF(Y6="COMM_Emotional","Emotional",IF(Y6="COMM_Logical","Logical",IF(Y6="COMM_Indirect","Indirect","Avoidant"))))</f>
        <v/>
      </c>
      <c r="BT6">
        <f>IF(BG6&gt;=0.78,"Co-repair",IF(BG6&gt;=0.58,"Re-engage",IF(BG6&gt;=0.40,"Delay","Suppress")))</f>
        <v/>
      </c>
      <c r="BU6">
        <f>IF(BI6&gt;=0.70,"Retreat-risk",IF(BH6&lt;=0.40,"Rush-risk",IF(BH6&gt;=0.65,"Slow-build","Mixed")))</f>
        <v/>
      </c>
      <c r="BV6">
        <f>IF(BL6-BM6&gt;=0.15,"Stimulation-seeking",IF(BM6-BL6&gt;=0.15,"Calm-seeking","Mixed")))</f>
        <v/>
      </c>
      <c r="BW6">
        <f>IF(AND(BL6&gt;=0.72,BM6&lt;0.48),"High",IF(AND(BL6&gt;=0.60,BM6&lt;0.58),"Medium","Low"))</f>
        <v/>
      </c>
    </row>
    <row r="7" ht="148.5" customHeight="1" s="10">
      <c r="A7" s="2" t="inlineStr">
        <is>
          <t>Q02_A</t>
        </is>
      </c>
      <c r="B7" s="2" t="n">
        <v>2</v>
      </c>
      <c r="C7" s="2" t="n">
        <v>2</v>
      </c>
      <c r="D7" s="2" t="inlineStr">
        <is>
          <t>Core</t>
        </is>
      </c>
      <c r="E7" s="2" t="n">
        <v>1</v>
      </c>
      <c r="F7" s="2" t="inlineStr">
        <is>
          <t>CommunicationHealth</t>
        </is>
      </c>
      <c r="G7" s="2" t="inlineStr">
        <is>
          <t>EmotionalNeeds</t>
        </is>
      </c>
      <c r="H7" s="2" t="inlineStr">
        <is>
          <t>You bring up something that bothered you. They brush it off or make a joke. What's your honest reaction?</t>
        </is>
      </c>
      <c r="I7" s="2" t="inlineStr">
        <is>
          <t>A</t>
        </is>
      </c>
      <c r="J7" s="2" t="inlineStr">
        <is>
          <t>A</t>
        </is>
      </c>
      <c r="K7" s="2" t="inlineStr">
        <is>
          <t>Not surprised. I usually go quieter after that. I've seen this play out before, no point chasing clarity where it's not offered.</t>
        </is>
      </c>
      <c r="L7" s="2" t="n">
        <v>5</v>
      </c>
      <c r="M7" s="2" t="n">
        <v>6</v>
      </c>
      <c r="N7" s="2" t="n">
        <v>0</v>
      </c>
      <c r="O7" s="2" t="n">
        <v>0</v>
      </c>
      <c r="P7" s="2" t="n">
        <v>0</v>
      </c>
      <c r="Q7" s="2" t="inlineStr">
        <is>
          <t>Quiet Exit</t>
        </is>
      </c>
      <c r="R7" s="2" t="n">
        <v>4</v>
      </c>
      <c r="S7" s="2" t="n"/>
      <c r="T7" s="2" t="n"/>
      <c r="U7" s="2" t="n">
        <v>0</v>
      </c>
      <c r="V7" s="2" t="inlineStr">
        <is>
          <t>masc:1.4;fem:-1.3</t>
        </is>
      </c>
      <c r="W7" s="2" t="n">
        <v>1.4</v>
      </c>
      <c r="X7" s="2" t="n">
        <v>-1.3</v>
      </c>
      <c r="Y7" s="2" t="inlineStr">
        <is>
          <t>COMM_Avoidant</t>
        </is>
      </c>
      <c r="Z7" s="2" t="inlineStr">
        <is>
          <t>REG_Suppressor</t>
        </is>
      </c>
      <c r="AA7" s="2" t="inlineStr">
        <is>
          <t>LANG_Time</t>
        </is>
      </c>
      <c r="AB7" s="2" t="inlineStr">
        <is>
          <t>Vulnerability_Loop , Pursuer_Distancer</t>
        </is>
      </c>
      <c r="AC7" s="2" t="inlineStr">
        <is>
          <t>Vulnerability_Loop</t>
        </is>
      </c>
      <c r="AD7" s="2" t="inlineStr">
        <is>
          <t>Pursuer_Distancer</t>
        </is>
      </c>
      <c r="AE7" s="2" t="n">
        <v>11</v>
      </c>
      <c r="AF7" s="2" t="inlineStr">
        <is>
          <t>withdrawal after dismissal</t>
        </is>
      </c>
      <c r="AG7" s="2" t="inlineStr">
        <is>
          <t>silent step-back</t>
        </is>
      </c>
      <c r="AH7" s="2" t="n">
        <v>0.8</v>
      </c>
      <c r="AI7" s="2" t="inlineStr">
        <is>
          <t>yes</t>
        </is>
      </c>
      <c r="AJ7" s="2" t="inlineStr">
        <is>
          <t>no</t>
        </is>
      </c>
      <c r="AK7" s="2" t="inlineStr">
        <is>
          <t>yes</t>
        </is>
      </c>
      <c r="AL7" s="2" t="inlineStr">
        <is>
          <t>yes</t>
        </is>
      </c>
      <c r="AM7" s="2" t="n"/>
      <c r="AN7" s="2" t="n"/>
      <c r="AO7" s="2" t="n"/>
      <c r="AP7" s="2" t="inlineStr">
        <is>
          <t>v3_2026-03-19</t>
        </is>
      </c>
      <c r="AQ7">
        <f>(L7-Schema_v5!$C2)/(Schema_v5!$C3-Schema_v5!$C2)</f>
        <v/>
      </c>
      <c r="AR7">
        <f>(M7-Schema_v5!$C4)/(Schema_v5!$C5-Schema_v5!$C4)</f>
        <v/>
      </c>
      <c r="AS7">
        <f>N7/Schema_v5!$C6</f>
        <v/>
      </c>
      <c r="AT7">
        <f>O7/Schema_v5!$C7</f>
        <v/>
      </c>
      <c r="AU7">
        <f>P7/Schema_v5!$C8</f>
        <v/>
      </c>
      <c r="AV7">
        <f>IF(Schema_v5!$C9=0,0,AH7/Schema_v5!$C9)</f>
        <v/>
      </c>
      <c r="AW7">
        <f>IF(Schema_v5!$C10=0,0,AE7/Schema_v5!$C10)</f>
        <v/>
      </c>
      <c r="AX7">
        <f>(W7-Schema_v5!$C11)/(Schema_v5!$C12-Schema_v5!$C11)</f>
        <v/>
      </c>
      <c r="AY7">
        <f>(X7-Schema_v5!$C13)/(Schema_v5!$C14-Schema_v5!$C13)</f>
        <v/>
      </c>
      <c r="AZ7">
        <f>MIN(1,MAX(0,U7/Schema_v7!$C$9))</f>
        <v/>
      </c>
      <c r="BA7">
        <f>IF(AJ7="yes",0.55,0)</f>
        <v/>
      </c>
      <c r="BB7">
        <f>IF(AI7="yes",0.10,0)</f>
        <v/>
      </c>
      <c r="BC7">
        <f>IF(Y7="COMM_Direct",0.92,IF(Y7="COMM_Emotional",0.70,IF(Y7="COMM_Logical",0.65,IF(Y7="COMM_Indirect",0.55,0.35))))</f>
        <v/>
      </c>
      <c r="BD7">
        <f>IF(Z7="REG_CoRegulator",0.92,IF(Z7="REG_SelfSoother",0.76,IF(Z7="REG_Distractor",0.48,0.35)))</f>
        <v/>
      </c>
      <c r="BE7">
        <f>IF(AA7="LANG_Time",0.76,IF(AA7="LANG_Service",0.70,IF(AA7="LANG_Words",0.72,IF(AA7="LANG_Touch",0.68,0.60))))</f>
        <v/>
      </c>
      <c r="BF7">
        <f>MAX(0,MIN(1,0.28*AS7+0.16*AT7+0.18*BC7+0.18*BD7+0.10*(1-AZ7)+0.10*(1-BA7)+BB7))</f>
        <v/>
      </c>
      <c r="BG7">
        <f>MAX(0,MIN(1,0.24*AU7+0.18*AS7+0.18*BC7+0.20*BD7+0.10*(1-AW7)+0.10*(1-BA7)))</f>
        <v/>
      </c>
      <c r="BH7">
        <f>MAX(0,MIN(1,0.28*AR7+0.18*AT7+0.16*AU7+0.18*(1-AV7)+0.10*(1-AW7)+0.10*BF7))</f>
        <v/>
      </c>
      <c r="BI7">
        <f>MAX(0,MIN(1,0.30*AV7+0.20*AZ7+0.20*AW7+0.15*(1-BH7)+0.15*(1-BO7)))</f>
        <v/>
      </c>
      <c r="BJ7">
        <f>MAX(0,1-(ABS(((( AX7+AY7)/2)-0.55)*1.6)))</f>
        <v/>
      </c>
      <c r="BK7">
        <f>MAX(0,MIN(1,0.28*AR7+0.18*AT7+0.16*BJ7+0.14*(1-AV7)+0.12*BQ7+0.12*BO7))</f>
        <v/>
      </c>
      <c r="BL7">
        <f>MAX(0,MIN(1,0.22*AQ7+0.18*AS7+0.18*BC7+0.18*BD7+0.08*BE7+0.10*BF7+0.06*BO7))</f>
        <v/>
      </c>
      <c r="BM7">
        <f>MAX(0,MIN(1,0.20*(1-AZ7)+0.16*(1-BA7)+0.14*(1-AW7)+0.14*AU7+0.18*BG7+0.10*BH7+0.08*BP7))</f>
        <v/>
      </c>
      <c r="BN7">
        <f>MAX(0,MIN(1,0.42*BJ7+0.33*BK7+0.15*AT7+0.10*BQ7))</f>
        <v/>
      </c>
      <c r="BO7">
        <f>MAX(0,MIN(1,0.30*BC7+0.24*BD7+0.18*AS7+0.14*(1-BI7)+0.14*AT7))</f>
        <v/>
      </c>
      <c r="BP7">
        <f>MAX(0,MIN(1,0.26*AS7+0.20*(1-BA7)+0.16*(1-AW7)+0.18*BG7+0.10*AU7+0.10+BB7))</f>
        <v/>
      </c>
      <c r="BQ7">
        <f>MAX(0,MIN(1,0.24*AT7+0.18*BF7+0.14*AR7+0.14*BO7+0.14*(1-AV7)+0.16*(1-AZ7)))</f>
        <v/>
      </c>
      <c r="BR7">
        <f>IF(BO7&gt;=0.80,"Open",IF(BO7&gt;=0.62,"Measured",IF(BO7&gt;=0.45,"Selective","Guarded")))</f>
        <v/>
      </c>
      <c r="BS7">
        <f>IF(Y7="COMM_Direct","Direct",IF(Y7="COMM_Emotional","Emotional",IF(Y7="COMM_Logical","Logical",IF(Y7="COMM_Indirect","Indirect","Avoidant"))))</f>
        <v/>
      </c>
      <c r="BT7">
        <f>IF(BG7&gt;=0.78,"Co-repair",IF(BG7&gt;=0.58,"Re-engage",IF(BG7&gt;=0.40,"Delay","Suppress")))</f>
        <v/>
      </c>
      <c r="BU7">
        <f>IF(BI7&gt;=0.70,"Retreat-risk",IF(BH7&lt;=0.40,"Rush-risk",IF(BH7&gt;=0.65,"Slow-build","Mixed")))</f>
        <v/>
      </c>
      <c r="BV7">
        <f>IF(BL7-BM7&gt;=0.15,"Stimulation-seeking",IF(BM7-BL7&gt;=0.15,"Calm-seeking","Mixed")))</f>
        <v/>
      </c>
      <c r="BW7">
        <f>IF(AND(BL7&gt;=0.72,BM7&lt;0.48),"High",IF(AND(BL7&gt;=0.60,BM7&lt;0.58),"Medium","Low"))</f>
        <v/>
      </c>
    </row>
    <row r="8" ht="121.5" customHeight="1" s="10">
      <c r="A8" s="2" t="inlineStr">
        <is>
          <t>Q02_B</t>
        </is>
      </c>
      <c r="B8" s="2" t="n">
        <v>2</v>
      </c>
      <c r="C8" s="2" t="n">
        <v>2</v>
      </c>
      <c r="D8" s="2" t="inlineStr">
        <is>
          <t>Core</t>
        </is>
      </c>
      <c r="E8" s="2" t="n">
        <v>1</v>
      </c>
      <c r="F8" s="2" t="inlineStr">
        <is>
          <t>CommunicationHealth</t>
        </is>
      </c>
      <c r="G8" s="2" t="inlineStr">
        <is>
          <t>EmotionalNeeds</t>
        </is>
      </c>
      <c r="H8" s="2" t="n"/>
      <c r="I8" s="2" t="inlineStr">
        <is>
          <t>B</t>
        </is>
      </c>
      <c r="J8" s="2" t="inlineStr">
        <is>
          <t>B</t>
        </is>
      </c>
      <c r="K8" s="2" t="inlineStr">
        <is>
          <t>I'll play along, but it definitely changes how I see them. I keep score, even if they never know it.</t>
        </is>
      </c>
      <c r="L8" s="2" t="n">
        <v>4</v>
      </c>
      <c r="M8" s="2" t="n">
        <v>5</v>
      </c>
      <c r="N8" s="2" t="n">
        <v>0</v>
      </c>
      <c r="O8" s="2" t="n">
        <v>0</v>
      </c>
      <c r="P8" s="2" t="n">
        <v>0</v>
      </c>
      <c r="Q8" s="2" t="inlineStr">
        <is>
          <t>Performer</t>
        </is>
      </c>
      <c r="R8" s="2" t="n">
        <v>7</v>
      </c>
      <c r="S8" s="2" t="n"/>
      <c r="T8" s="2" t="n"/>
      <c r="U8" s="2" t="n">
        <v>0</v>
      </c>
      <c r="V8" s="2" t="inlineStr">
        <is>
          <t>masc:0.3;fem:0.5</t>
        </is>
      </c>
      <c r="W8" s="2" t="n">
        <v>0.3</v>
      </c>
      <c r="X8" s="2" t="n">
        <v>0.5</v>
      </c>
      <c r="Y8" s="2" t="inlineStr">
        <is>
          <t>COMM_Indirect</t>
        </is>
      </c>
      <c r="Z8" s="2" t="inlineStr">
        <is>
          <t>REG_Distractor</t>
        </is>
      </c>
      <c r="AA8" s="2" t="inlineStr">
        <is>
          <t>LANG_Gifts</t>
        </is>
      </c>
      <c r="AB8" s="2" t="inlineStr">
        <is>
          <t>Control_Avoidance , Scorekeeping_Echo</t>
        </is>
      </c>
      <c r="AC8" s="2" t="inlineStr">
        <is>
          <t>Control_Avoidance</t>
        </is>
      </c>
      <c r="AD8" s="2" t="inlineStr">
        <is>
          <t>Scorekeeping_Echo</t>
        </is>
      </c>
      <c r="AE8" s="2" t="n">
        <v>14</v>
      </c>
      <c r="AF8" s="2" t="inlineStr">
        <is>
          <t>private resentment</t>
        </is>
      </c>
      <c r="AG8" s="2" t="inlineStr">
        <is>
          <t>image-based keeper</t>
        </is>
      </c>
      <c r="AH8" s="2" t="n">
        <v>1.2</v>
      </c>
      <c r="AI8" s="2" t="inlineStr">
        <is>
          <t>yes</t>
        </is>
      </c>
      <c r="AJ8" s="2" t="inlineStr">
        <is>
          <t>no</t>
        </is>
      </c>
      <c r="AK8" s="2" t="inlineStr">
        <is>
          <t>yes</t>
        </is>
      </c>
      <c r="AL8" s="2" t="inlineStr">
        <is>
          <t>yes</t>
        </is>
      </c>
      <c r="AM8" s="2" t="n"/>
      <c r="AN8" s="2" t="n"/>
      <c r="AO8" s="2" t="n"/>
      <c r="AP8" s="2" t="inlineStr">
        <is>
          <t>v3_2026-03-19</t>
        </is>
      </c>
      <c r="AQ8">
        <f>(L8-Schema_v5!$C2)/(Schema_v5!$C3-Schema_v5!$C2)</f>
        <v/>
      </c>
      <c r="AR8">
        <f>(M8-Schema_v5!$C4)/(Schema_v5!$C5-Schema_v5!$C4)</f>
        <v/>
      </c>
      <c r="AS8">
        <f>N8/Schema_v5!$C6</f>
        <v/>
      </c>
      <c r="AT8">
        <f>O8/Schema_v5!$C7</f>
        <v/>
      </c>
      <c r="AU8">
        <f>P8/Schema_v5!$C8</f>
        <v/>
      </c>
      <c r="AV8">
        <f>IF(Schema_v5!$C9=0,0,AH8/Schema_v5!$C9)</f>
        <v/>
      </c>
      <c r="AW8">
        <f>IF(Schema_v5!$C10=0,0,AE8/Schema_v5!$C10)</f>
        <v/>
      </c>
      <c r="AX8">
        <f>(W8-Schema_v5!$C11)/(Schema_v5!$C12-Schema_v5!$C11)</f>
        <v/>
      </c>
      <c r="AY8">
        <f>(X8-Schema_v5!$C13)/(Schema_v5!$C14-Schema_v5!$C13)</f>
        <v/>
      </c>
      <c r="AZ8">
        <f>MIN(1,MAX(0,U8/Schema_v7!$C$9))</f>
        <v/>
      </c>
      <c r="BA8">
        <f>IF(AJ8="yes",0.55,0)</f>
        <v/>
      </c>
      <c r="BB8">
        <f>IF(AI8="yes",0.10,0)</f>
        <v/>
      </c>
      <c r="BC8">
        <f>IF(Y8="COMM_Direct",0.92,IF(Y8="COMM_Emotional",0.70,IF(Y8="COMM_Logical",0.65,IF(Y8="COMM_Indirect",0.55,0.35))))</f>
        <v/>
      </c>
      <c r="BD8">
        <f>IF(Z8="REG_CoRegulator",0.92,IF(Z8="REG_SelfSoother",0.76,IF(Z8="REG_Distractor",0.48,0.35)))</f>
        <v/>
      </c>
      <c r="BE8">
        <f>IF(AA8="LANG_Time",0.76,IF(AA8="LANG_Service",0.70,IF(AA8="LANG_Words",0.72,IF(AA8="LANG_Touch",0.68,0.60))))</f>
        <v/>
      </c>
      <c r="BF8">
        <f>MAX(0,MIN(1,0.28*AS8+0.16*AT8+0.18*BC8+0.18*BD8+0.10*(1-AZ8)+0.10*(1-BA8)+BB8))</f>
        <v/>
      </c>
      <c r="BG8">
        <f>MAX(0,MIN(1,0.24*AU8+0.18*AS8+0.18*BC8+0.20*BD8+0.10*(1-AW8)+0.10*(1-BA8)))</f>
        <v/>
      </c>
      <c r="BH8">
        <f>MAX(0,MIN(1,0.28*AR8+0.18*AT8+0.16*AU8+0.18*(1-AV8)+0.10*(1-AW8)+0.10*BF8))</f>
        <v/>
      </c>
      <c r="BI8">
        <f>MAX(0,MIN(1,0.30*AV8+0.20*AZ8+0.20*AW8+0.15*(1-BH8)+0.15*(1-BO8)))</f>
        <v/>
      </c>
      <c r="BJ8">
        <f>MAX(0,1-(ABS(((( AX8+AY8)/2)-0.55)*1.6)))</f>
        <v/>
      </c>
      <c r="BK8">
        <f>MAX(0,MIN(1,0.28*AR8+0.18*AT8+0.16*BJ8+0.14*(1-AV8)+0.12*BQ8+0.12*BO8))</f>
        <v/>
      </c>
      <c r="BL8">
        <f>MAX(0,MIN(1,0.22*AQ8+0.18*AS8+0.18*BC8+0.18*BD8+0.08*BE8+0.10*BF8+0.06*BO8))</f>
        <v/>
      </c>
      <c r="BM8">
        <f>MAX(0,MIN(1,0.20*(1-AZ8)+0.16*(1-BA8)+0.14*(1-AW8)+0.14*AU8+0.18*BG8+0.10*BH8+0.08*BP8))</f>
        <v/>
      </c>
      <c r="BN8">
        <f>MAX(0,MIN(1,0.42*BJ8+0.33*BK8+0.15*AT8+0.10*BQ8))</f>
        <v/>
      </c>
      <c r="BO8">
        <f>MAX(0,MIN(1,0.30*BC8+0.24*BD8+0.18*AS8+0.14*(1-BI8)+0.14*AT8))</f>
        <v/>
      </c>
      <c r="BP8">
        <f>MAX(0,MIN(1,0.26*AS8+0.20*(1-BA8)+0.16*(1-AW8)+0.18*BG8+0.10*AU8+0.10+BB8))</f>
        <v/>
      </c>
      <c r="BQ8">
        <f>MAX(0,MIN(1,0.24*AT8+0.18*BF8+0.14*AR8+0.14*BO8+0.14*(1-AV8)+0.16*(1-AZ8)))</f>
        <v/>
      </c>
      <c r="BR8">
        <f>IF(BO8&gt;=0.80,"Open",IF(BO8&gt;=0.62,"Measured",IF(BO8&gt;=0.45,"Selective","Guarded")))</f>
        <v/>
      </c>
      <c r="BS8">
        <f>IF(Y8="COMM_Direct","Direct",IF(Y8="COMM_Emotional","Emotional",IF(Y8="COMM_Logical","Logical",IF(Y8="COMM_Indirect","Indirect","Avoidant"))))</f>
        <v/>
      </c>
      <c r="BT8">
        <f>IF(BG8&gt;=0.78,"Co-repair",IF(BG8&gt;=0.58,"Re-engage",IF(BG8&gt;=0.40,"Delay","Suppress")))</f>
        <v/>
      </c>
      <c r="BU8">
        <f>IF(BI8&gt;=0.70,"Retreat-risk",IF(BH8&lt;=0.40,"Rush-risk",IF(BH8&gt;=0.65,"Slow-build","Mixed")))</f>
        <v/>
      </c>
      <c r="BV8">
        <f>IF(BL8-BM8&gt;=0.15,"Stimulation-seeking",IF(BM8-BL8&gt;=0.15,"Calm-seeking","Mixed")))</f>
        <v/>
      </c>
      <c r="BW8">
        <f>IF(AND(BL8&gt;=0.72,BM8&lt;0.48),"High",IF(AND(BL8&gt;=0.60,BM8&lt;0.58),"Medium","Low"))</f>
        <v/>
      </c>
    </row>
    <row r="9" ht="162" customHeight="1" s="10">
      <c r="A9" s="2" t="inlineStr">
        <is>
          <t>Q02_C</t>
        </is>
      </c>
      <c r="B9" s="2" t="n">
        <v>2</v>
      </c>
      <c r="C9" s="2" t="n">
        <v>2</v>
      </c>
      <c r="D9" s="2" t="inlineStr">
        <is>
          <t>Core</t>
        </is>
      </c>
      <c r="E9" s="2" t="n">
        <v>1</v>
      </c>
      <c r="F9" s="2" t="inlineStr">
        <is>
          <t>CommunicationHealth</t>
        </is>
      </c>
      <c r="G9" s="2" t="inlineStr">
        <is>
          <t>EmotionalNeeds</t>
        </is>
      </c>
      <c r="H9" s="2" t="n"/>
      <c r="I9" s="2" t="inlineStr">
        <is>
          <t>C</t>
        </is>
      </c>
      <c r="J9" s="2" t="inlineStr">
        <is>
          <t>C</t>
        </is>
      </c>
      <c r="K9" s="2" t="inlineStr">
        <is>
          <t>I bring it up again, but this time they can probably hear the shift in my tone. I'm not trying to argue, I just need them to actually hear me.</t>
        </is>
      </c>
      <c r="L9" s="2" t="n">
        <v>8</v>
      </c>
      <c r="M9" s="2" t="n">
        <v>8</v>
      </c>
      <c r="N9" s="2" t="n">
        <v>8</v>
      </c>
      <c r="O9" s="2" t="n">
        <v>8</v>
      </c>
      <c r="P9" s="2" t="n">
        <v>8</v>
      </c>
      <c r="Q9" s="2" t="inlineStr">
        <is>
          <t>Fixer</t>
        </is>
      </c>
      <c r="R9" s="2" t="n">
        <v>5</v>
      </c>
      <c r="S9" s="2" t="n"/>
      <c r="T9" s="2" t="n"/>
      <c r="U9" s="2" t="n">
        <v>0</v>
      </c>
      <c r="V9" s="2" t="inlineStr">
        <is>
          <t>masc:-0.4;fem:2.0</t>
        </is>
      </c>
      <c r="W9" s="2" t="n">
        <v>-0.4</v>
      </c>
      <c r="X9" s="2" t="n">
        <v>2</v>
      </c>
      <c r="Y9" s="2" t="inlineStr">
        <is>
          <t>COMM_Emotional</t>
        </is>
      </c>
      <c r="Z9" s="2" t="inlineStr">
        <is>
          <t>REG_CoRegulator</t>
        </is>
      </c>
      <c r="AA9" s="2" t="inlineStr">
        <is>
          <t>LANG_Service</t>
        </is>
      </c>
      <c r="AB9" s="2" t="n"/>
      <c r="AC9" s="2" t="n"/>
      <c r="AD9" s="2" t="n"/>
      <c r="AE9" s="2" t="n">
        <v>0</v>
      </c>
      <c r="AF9" s="2" t="inlineStr">
        <is>
          <t>persistence for resolution</t>
        </is>
      </c>
      <c r="AG9" s="2" t="inlineStr">
        <is>
          <t>consistent communicator</t>
        </is>
      </c>
      <c r="AH9" s="2" t="n">
        <v>0</v>
      </c>
      <c r="AI9" s="2" t="inlineStr">
        <is>
          <t>no</t>
        </is>
      </c>
      <c r="AJ9" s="2" t="inlineStr">
        <is>
          <t>no</t>
        </is>
      </c>
      <c r="AK9" s="2" t="inlineStr">
        <is>
          <t>yes</t>
        </is>
      </c>
      <c r="AL9" s="2" t="inlineStr">
        <is>
          <t>yes</t>
        </is>
      </c>
      <c r="AM9" s="2" t="n"/>
      <c r="AN9" s="2" t="n"/>
      <c r="AO9" s="2" t="n"/>
      <c r="AP9" s="2" t="inlineStr">
        <is>
          <t>v3_2026-03-19</t>
        </is>
      </c>
      <c r="AQ9">
        <f>(L9-Schema_v5!$C2)/(Schema_v5!$C3-Schema_v5!$C2)</f>
        <v/>
      </c>
      <c r="AR9">
        <f>(M9-Schema_v5!$C4)/(Schema_v5!$C5-Schema_v5!$C4)</f>
        <v/>
      </c>
      <c r="AS9">
        <f>N9/Schema_v5!$C6</f>
        <v/>
      </c>
      <c r="AT9">
        <f>O9/Schema_v5!$C7</f>
        <v/>
      </c>
      <c r="AU9">
        <f>P9/Schema_v5!$C8</f>
        <v/>
      </c>
      <c r="AV9">
        <f>IF(Schema_v5!$C9=0,0,AH9/Schema_v5!$C9)</f>
        <v/>
      </c>
      <c r="AW9">
        <f>IF(Schema_v5!$C10=0,0,AE9/Schema_v5!$C10)</f>
        <v/>
      </c>
      <c r="AX9">
        <f>(W9-Schema_v5!$C11)/(Schema_v5!$C12-Schema_v5!$C11)</f>
        <v/>
      </c>
      <c r="AY9">
        <f>(X9-Schema_v5!$C13)/(Schema_v5!$C14-Schema_v5!$C13)</f>
        <v/>
      </c>
      <c r="AZ9">
        <f>MIN(1,MAX(0,U9/Schema_v7!$C$9))</f>
        <v/>
      </c>
      <c r="BA9">
        <f>IF(AJ9="yes",0.55,0)</f>
        <v/>
      </c>
      <c r="BB9">
        <f>IF(AI9="yes",0.10,0)</f>
        <v/>
      </c>
      <c r="BC9">
        <f>IF(Y9="COMM_Direct",0.92,IF(Y9="COMM_Emotional",0.70,IF(Y9="COMM_Logical",0.65,IF(Y9="COMM_Indirect",0.55,0.35))))</f>
        <v/>
      </c>
      <c r="BD9">
        <f>IF(Z9="REG_CoRegulator",0.92,IF(Z9="REG_SelfSoother",0.76,IF(Z9="REG_Distractor",0.48,0.35)))</f>
        <v/>
      </c>
      <c r="BE9">
        <f>IF(AA9="LANG_Time",0.76,IF(AA9="LANG_Service",0.70,IF(AA9="LANG_Words",0.72,IF(AA9="LANG_Touch",0.68,0.60))))</f>
        <v/>
      </c>
      <c r="BF9">
        <f>MAX(0,MIN(1,0.28*AS9+0.16*AT9+0.18*BC9+0.18*BD9+0.10*(1-AZ9)+0.10*(1-BA9)+BB9))</f>
        <v/>
      </c>
      <c r="BG9">
        <f>MAX(0,MIN(1,0.24*AU9+0.18*AS9+0.18*BC9+0.20*BD9+0.10*(1-AW9)+0.10*(1-BA9)))</f>
        <v/>
      </c>
      <c r="BH9">
        <f>MAX(0,MIN(1,0.28*AR9+0.18*AT9+0.16*AU9+0.18*(1-AV9)+0.10*(1-AW9)+0.10*BF9))</f>
        <v/>
      </c>
      <c r="BI9">
        <f>MAX(0,MIN(1,0.30*AV9+0.20*AZ9+0.20*AW9+0.15*(1-BH9)+0.15*(1-BO9)))</f>
        <v/>
      </c>
      <c r="BJ9">
        <f>MAX(0,1-(ABS(((( AX9+AY9)/2)-0.55)*1.6)))</f>
        <v/>
      </c>
      <c r="BK9">
        <f>MAX(0,MIN(1,0.28*AR9+0.18*AT9+0.16*BJ9+0.14*(1-AV9)+0.12*BQ9+0.12*BO9))</f>
        <v/>
      </c>
      <c r="BL9">
        <f>MAX(0,MIN(1,0.22*AQ9+0.18*AS9+0.18*BC9+0.18*BD9+0.08*BE9+0.10*BF9+0.06*BO9))</f>
        <v/>
      </c>
      <c r="BM9">
        <f>MAX(0,MIN(1,0.20*(1-AZ9)+0.16*(1-BA9)+0.14*(1-AW9)+0.14*AU9+0.18*BG9+0.10*BH9+0.08*BP9))</f>
        <v/>
      </c>
      <c r="BN9">
        <f>MAX(0,MIN(1,0.42*BJ9+0.33*BK9+0.15*AT9+0.10*BQ9))</f>
        <v/>
      </c>
      <c r="BO9">
        <f>MAX(0,MIN(1,0.30*BC9+0.24*BD9+0.18*AS9+0.14*(1-BI9)+0.14*AT9))</f>
        <v/>
      </c>
      <c r="BP9">
        <f>MAX(0,MIN(1,0.26*AS9+0.20*(1-BA9)+0.16*(1-AW9)+0.18*BG9+0.10*AU9+0.10+BB9))</f>
        <v/>
      </c>
      <c r="BQ9">
        <f>MAX(0,MIN(1,0.24*AT9+0.18*BF9+0.14*AR9+0.14*BO9+0.14*(1-AV9)+0.16*(1-AZ9)))</f>
        <v/>
      </c>
      <c r="BR9">
        <f>IF(BO9&gt;=0.80,"Open",IF(BO9&gt;=0.62,"Measured",IF(BO9&gt;=0.45,"Selective","Guarded")))</f>
        <v/>
      </c>
      <c r="BS9">
        <f>IF(Y9="COMM_Direct","Direct",IF(Y9="COMM_Emotional","Emotional",IF(Y9="COMM_Logical","Logical",IF(Y9="COMM_Indirect","Indirect","Avoidant"))))</f>
        <v/>
      </c>
      <c r="BT9">
        <f>IF(BG9&gt;=0.78,"Co-repair",IF(BG9&gt;=0.58,"Re-engage",IF(BG9&gt;=0.40,"Delay","Suppress")))</f>
        <v/>
      </c>
      <c r="BU9">
        <f>IF(BI9&gt;=0.70,"Retreat-risk",IF(BH9&lt;=0.40,"Rush-risk",IF(BH9&gt;=0.65,"Slow-build","Mixed")))</f>
        <v/>
      </c>
      <c r="BV9">
        <f>IF(BL9-BM9&gt;=0.15,"Stimulation-seeking",IF(BM9-BL9&gt;=0.15,"Calm-seeking","Mixed")))</f>
        <v/>
      </c>
      <c r="BW9">
        <f>IF(AND(BL9&gt;=0.72,BM9&lt;0.48),"High",IF(AND(BL9&gt;=0.60,BM9&lt;0.58),"Medium","Low"))</f>
        <v/>
      </c>
    </row>
    <row r="10" ht="135" customHeight="1" s="10">
      <c r="A10" s="2" t="inlineStr">
        <is>
          <t>Q02_D</t>
        </is>
      </c>
      <c r="B10" s="2" t="n">
        <v>2</v>
      </c>
      <c r="C10" s="2" t="n">
        <v>2</v>
      </c>
      <c r="D10" s="2" t="inlineStr">
        <is>
          <t>Core</t>
        </is>
      </c>
      <c r="E10" s="2" t="n">
        <v>1</v>
      </c>
      <c r="F10" s="2" t="inlineStr">
        <is>
          <t>CommunicationHealth</t>
        </is>
      </c>
      <c r="G10" s="2" t="inlineStr">
        <is>
          <t>EmotionalNeeds</t>
        </is>
      </c>
      <c r="H10" s="2" t="n"/>
      <c r="I10" s="2" t="inlineStr">
        <is>
          <t>D</t>
        </is>
      </c>
      <c r="J10" s="2" t="inlineStr">
        <is>
          <t>D</t>
        </is>
      </c>
      <c r="K10" s="2" t="inlineStr">
        <is>
          <t>I laugh too, but it sticks with me. Hours later I'm still replaying what I said, wondering if I should've just kept quiet.</t>
        </is>
      </c>
      <c r="L10" s="2" t="n">
        <v>5</v>
      </c>
      <c r="M10" s="2" t="n">
        <v>6</v>
      </c>
      <c r="N10" s="2" t="n">
        <v>2</v>
      </c>
      <c r="O10" s="2" t="n">
        <v>4</v>
      </c>
      <c r="P10" s="2" t="n">
        <v>2</v>
      </c>
      <c r="Q10" s="2" t="inlineStr">
        <is>
          <t>Phantom Seeker</t>
        </is>
      </c>
      <c r="R10" s="2" t="n">
        <v>10</v>
      </c>
      <c r="S10" s="2" t="n"/>
      <c r="T10" s="2" t="n"/>
      <c r="U10" s="2" t="n">
        <v>0</v>
      </c>
      <c r="V10" s="2" t="inlineStr">
        <is>
          <t>masc:-0.2;fem:1.5</t>
        </is>
      </c>
      <c r="W10" s="2" t="n">
        <v>-0.2</v>
      </c>
      <c r="X10" s="2" t="n">
        <v>1.5</v>
      </c>
      <c r="Y10" s="2" t="inlineStr">
        <is>
          <t>COMM_Emotional</t>
        </is>
      </c>
      <c r="Z10" s="2" t="inlineStr">
        <is>
          <t>REG_SelfSoother</t>
        </is>
      </c>
      <c r="AA10" s="2" t="inlineStr">
        <is>
          <t>LANG_Touch</t>
        </is>
      </c>
      <c r="AB10" s="2" t="inlineStr">
        <is>
          <t>Conflict_Flip</t>
        </is>
      </c>
      <c r="AC10" s="2" t="inlineStr">
        <is>
          <t>Conflict_Flip</t>
        </is>
      </c>
      <c r="AD10" s="2" t="n"/>
      <c r="AE10" s="2" t="n">
        <v>4</v>
      </c>
      <c r="AF10" s="2" t="inlineStr">
        <is>
          <t>quiet rumination</t>
        </is>
      </c>
      <c r="AG10" s="2" t="inlineStr">
        <is>
          <t>soft stewer</t>
        </is>
      </c>
      <c r="AH10" s="2" t="n">
        <v>0</v>
      </c>
      <c r="AI10" s="2" t="inlineStr">
        <is>
          <t>yes</t>
        </is>
      </c>
      <c r="AJ10" s="2" t="inlineStr">
        <is>
          <t>no</t>
        </is>
      </c>
      <c r="AK10" s="2" t="inlineStr">
        <is>
          <t>yes</t>
        </is>
      </c>
      <c r="AL10" s="2" t="inlineStr">
        <is>
          <t>yes</t>
        </is>
      </c>
      <c r="AM10" s="2" t="n"/>
      <c r="AN10" s="2" t="n"/>
      <c r="AO10" s="2" t="n"/>
      <c r="AP10" s="2" t="inlineStr">
        <is>
          <t>v3_2026-03-19</t>
        </is>
      </c>
      <c r="AQ10">
        <f>(L10-Schema_v5!$C2)/(Schema_v5!$C3-Schema_v5!$C2)</f>
        <v/>
      </c>
      <c r="AR10">
        <f>(M10-Schema_v5!$C4)/(Schema_v5!$C5-Schema_v5!$C4)</f>
        <v/>
      </c>
      <c r="AS10">
        <f>N10/Schema_v5!$C6</f>
        <v/>
      </c>
      <c r="AT10">
        <f>O10/Schema_v5!$C7</f>
        <v/>
      </c>
      <c r="AU10">
        <f>P10/Schema_v5!$C8</f>
        <v/>
      </c>
      <c r="AV10">
        <f>IF(Schema_v5!$C9=0,0,AH10/Schema_v5!$C9)</f>
        <v/>
      </c>
      <c r="AW10">
        <f>IF(Schema_v5!$C10=0,0,AE10/Schema_v5!$C10)</f>
        <v/>
      </c>
      <c r="AX10">
        <f>(W10-Schema_v5!$C11)/(Schema_v5!$C12-Schema_v5!$C11)</f>
        <v/>
      </c>
      <c r="AY10">
        <f>(X10-Schema_v5!$C13)/(Schema_v5!$C14-Schema_v5!$C13)</f>
        <v/>
      </c>
      <c r="AZ10">
        <f>MIN(1,MAX(0,U10/Schema_v7!$C$9))</f>
        <v/>
      </c>
      <c r="BA10">
        <f>IF(AJ10="yes",0.55,0)</f>
        <v/>
      </c>
      <c r="BB10">
        <f>IF(AI10="yes",0.10,0)</f>
        <v/>
      </c>
      <c r="BC10">
        <f>IF(Y10="COMM_Direct",0.92,IF(Y10="COMM_Emotional",0.70,IF(Y10="COMM_Logical",0.65,IF(Y10="COMM_Indirect",0.55,0.35))))</f>
        <v/>
      </c>
      <c r="BD10">
        <f>IF(Z10="REG_CoRegulator",0.92,IF(Z10="REG_SelfSoother",0.76,IF(Z10="REG_Distractor",0.48,0.35)))</f>
        <v/>
      </c>
      <c r="BE10">
        <f>IF(AA10="LANG_Time",0.76,IF(AA10="LANG_Service",0.70,IF(AA10="LANG_Words",0.72,IF(AA10="LANG_Touch",0.68,0.60))))</f>
        <v/>
      </c>
      <c r="BF10">
        <f>MAX(0,MIN(1,0.28*AS10+0.16*AT10+0.18*BC10+0.18*BD10+0.10*(1-AZ10)+0.10*(1-BA10)+BB10))</f>
        <v/>
      </c>
      <c r="BG10">
        <f>MAX(0,MIN(1,0.24*AU10+0.18*AS10+0.18*BC10+0.20*BD10+0.10*(1-AW10)+0.10*(1-BA10)))</f>
        <v/>
      </c>
      <c r="BH10">
        <f>MAX(0,MIN(1,0.28*AR10+0.18*AT10+0.16*AU10+0.18*(1-AV10)+0.10*(1-AW10)+0.10*BF10))</f>
        <v/>
      </c>
      <c r="BI10">
        <f>MAX(0,MIN(1,0.30*AV10+0.20*AZ10+0.20*AW10+0.15*(1-BH10)+0.15*(1-BO10)))</f>
        <v/>
      </c>
      <c r="BJ10">
        <f>MAX(0,1-(ABS(((( AX10+AY10)/2)-0.55)*1.6)))</f>
        <v/>
      </c>
      <c r="BK10">
        <f>MAX(0,MIN(1,0.28*AR10+0.18*AT10+0.16*BJ10+0.14*(1-AV10)+0.12*BQ10+0.12*BO10))</f>
        <v/>
      </c>
      <c r="BL10">
        <f>MAX(0,MIN(1,0.22*AQ10+0.18*AS10+0.18*BC10+0.18*BD10+0.08*BE10+0.10*BF10+0.06*BO10))</f>
        <v/>
      </c>
      <c r="BM10">
        <f>MAX(0,MIN(1,0.20*(1-AZ10)+0.16*(1-BA10)+0.14*(1-AW10)+0.14*AU10+0.18*BG10+0.10*BH10+0.08*BP10))</f>
        <v/>
      </c>
      <c r="BN10">
        <f>MAX(0,MIN(1,0.42*BJ10+0.33*BK10+0.15*AT10+0.10*BQ10))</f>
        <v/>
      </c>
      <c r="BO10">
        <f>MAX(0,MIN(1,0.30*BC10+0.24*BD10+0.18*AS10+0.14*(1-BI10)+0.14*AT10))</f>
        <v/>
      </c>
      <c r="BP10">
        <f>MAX(0,MIN(1,0.26*AS10+0.20*(1-BA10)+0.16*(1-AW10)+0.18*BG10+0.10*AU10+0.10+BB10))</f>
        <v/>
      </c>
      <c r="BQ10">
        <f>MAX(0,MIN(1,0.24*AT10+0.18*BF10+0.14*AR10+0.14*BO10+0.14*(1-AV10)+0.16*(1-AZ10)))</f>
        <v/>
      </c>
      <c r="BR10">
        <f>IF(BO10&gt;=0.80,"Open",IF(BO10&gt;=0.62,"Measured",IF(BO10&gt;=0.45,"Selective","Guarded")))</f>
        <v/>
      </c>
      <c r="BS10">
        <f>IF(Y10="COMM_Direct","Direct",IF(Y10="COMM_Emotional","Emotional",IF(Y10="COMM_Logical","Logical",IF(Y10="COMM_Indirect","Indirect","Avoidant"))))</f>
        <v/>
      </c>
      <c r="BT10">
        <f>IF(BG10&gt;=0.78,"Co-repair",IF(BG10&gt;=0.58,"Re-engage",IF(BG10&gt;=0.40,"Delay","Suppress")))</f>
        <v/>
      </c>
      <c r="BU10">
        <f>IF(BI10&gt;=0.70,"Retreat-risk",IF(BH10&lt;=0.40,"Rush-risk",IF(BH10&gt;=0.65,"Slow-build","Mixed")))</f>
        <v/>
      </c>
      <c r="BV10">
        <f>IF(BL10-BM10&gt;=0.15,"Stimulation-seeking",IF(BM10-BL10&gt;=0.15,"Calm-seeking","Mixed")))</f>
        <v/>
      </c>
      <c r="BW10">
        <f>IF(AND(BL10&gt;=0.72,BM10&lt;0.48),"High",IF(AND(BL10&gt;=0.60,BM10&lt;0.58),"Medium","Low"))</f>
        <v/>
      </c>
    </row>
    <row r="11" ht="175.5" customHeight="1" s="10">
      <c r="A11" s="2" t="inlineStr">
        <is>
          <t>Q02_E</t>
        </is>
      </c>
      <c r="B11" s="2" t="n">
        <v>2</v>
      </c>
      <c r="C11" s="2" t="n">
        <v>2</v>
      </c>
      <c r="D11" s="2" t="inlineStr">
        <is>
          <t>Core</t>
        </is>
      </c>
      <c r="E11" s="2" t="n">
        <v>1</v>
      </c>
      <c r="F11" s="2" t="inlineStr">
        <is>
          <t>CommunicationHealth</t>
        </is>
      </c>
      <c r="G11" s="2" t="inlineStr">
        <is>
          <t>EmotionalNeeds</t>
        </is>
      </c>
      <c r="H11" s="2" t="n"/>
      <c r="I11" s="2" t="inlineStr">
        <is>
          <t>E</t>
        </is>
      </c>
      <c r="J11" s="2" t="inlineStr">
        <is>
          <t>E</t>
        </is>
      </c>
      <c r="K11" s="2" t="inlineStr">
        <is>
          <t>I clock that fast. If I opened up and they shrugged it off, I don't ask again. I don't mind being the bad guy if it means protecting my peace.</t>
        </is>
      </c>
      <c r="L11" s="2" t="n">
        <v>9</v>
      </c>
      <c r="M11" s="2" t="n">
        <v>9</v>
      </c>
      <c r="N11" s="2" t="n">
        <v>10</v>
      </c>
      <c r="O11" s="2" t="n">
        <v>10</v>
      </c>
      <c r="P11" s="2" t="n">
        <v>10</v>
      </c>
      <c r="Q11" s="2" t="inlineStr">
        <is>
          <t>Regulated Grown-Up</t>
        </is>
      </c>
      <c r="R11" s="2" t="n">
        <v>9</v>
      </c>
      <c r="S11" s="2" t="n"/>
      <c r="T11" s="2" t="n"/>
      <c r="U11" s="2" t="n">
        <v>0</v>
      </c>
      <c r="V11" s="2" t="inlineStr">
        <is>
          <t>masc:1.1;fem:0.9</t>
        </is>
      </c>
      <c r="W11" s="2" t="n">
        <v>1.1</v>
      </c>
      <c r="X11" s="2" t="n">
        <v>0.9</v>
      </c>
      <c r="Y11" s="2" t="inlineStr">
        <is>
          <t>COMM_Direct</t>
        </is>
      </c>
      <c r="Z11" s="2" t="inlineStr">
        <is>
          <t>REG_CoRegulator</t>
        </is>
      </c>
      <c r="AA11" s="2" t="inlineStr">
        <is>
          <t>LANG_Words</t>
        </is>
      </c>
      <c r="AB11" s="2" t="n"/>
      <c r="AC11" s="2" t="n"/>
      <c r="AD11" s="2" t="n"/>
      <c r="AE11" s="2" t="n">
        <v>0</v>
      </c>
      <c r="AF11" s="2" t="inlineStr">
        <is>
          <t>fast boundary recognition</t>
        </is>
      </c>
      <c r="AG11" s="2" t="inlineStr">
        <is>
          <t>peace protector</t>
        </is>
      </c>
      <c r="AH11" s="2" t="n">
        <v>0</v>
      </c>
      <c r="AI11" s="2" t="inlineStr">
        <is>
          <t>no</t>
        </is>
      </c>
      <c r="AJ11" s="2" t="inlineStr">
        <is>
          <t>no</t>
        </is>
      </c>
      <c r="AK11" s="2" t="inlineStr">
        <is>
          <t>yes</t>
        </is>
      </c>
      <c r="AL11" s="2" t="inlineStr">
        <is>
          <t>yes</t>
        </is>
      </c>
      <c r="AM11" s="2" t="n"/>
      <c r="AN11" s="2" t="n"/>
      <c r="AO11" s="2" t="n"/>
      <c r="AP11" s="2" t="inlineStr">
        <is>
          <t>v3_2026-03-19</t>
        </is>
      </c>
      <c r="AQ11">
        <f>(L11-Schema_v5!$C2)/(Schema_v5!$C3-Schema_v5!$C2)</f>
        <v/>
      </c>
      <c r="AR11">
        <f>(M11-Schema_v5!$C4)/(Schema_v5!$C5-Schema_v5!$C4)</f>
        <v/>
      </c>
      <c r="AS11">
        <f>N11/Schema_v5!$C6</f>
        <v/>
      </c>
      <c r="AT11">
        <f>O11/Schema_v5!$C7</f>
        <v/>
      </c>
      <c r="AU11">
        <f>P11/Schema_v5!$C8</f>
        <v/>
      </c>
      <c r="AV11">
        <f>IF(Schema_v5!$C9=0,0,AH11/Schema_v5!$C9)</f>
        <v/>
      </c>
      <c r="AW11">
        <f>IF(Schema_v5!$C10=0,0,AE11/Schema_v5!$C10)</f>
        <v/>
      </c>
      <c r="AX11">
        <f>(W11-Schema_v5!$C11)/(Schema_v5!$C12-Schema_v5!$C11)</f>
        <v/>
      </c>
      <c r="AY11">
        <f>(X11-Schema_v5!$C13)/(Schema_v5!$C14-Schema_v5!$C13)</f>
        <v/>
      </c>
      <c r="AZ11">
        <f>MIN(1,MAX(0,U11/Schema_v7!$C$9))</f>
        <v/>
      </c>
      <c r="BA11">
        <f>IF(AJ11="yes",0.55,0)</f>
        <v/>
      </c>
      <c r="BB11">
        <f>IF(AI11="yes",0.10,0)</f>
        <v/>
      </c>
      <c r="BC11">
        <f>IF(Y11="COMM_Direct",0.92,IF(Y11="COMM_Emotional",0.70,IF(Y11="COMM_Logical",0.65,IF(Y11="COMM_Indirect",0.55,0.35))))</f>
        <v/>
      </c>
      <c r="BD11">
        <f>IF(Z11="REG_CoRegulator",0.92,IF(Z11="REG_SelfSoother",0.76,IF(Z11="REG_Distractor",0.48,0.35)))</f>
        <v/>
      </c>
      <c r="BE11">
        <f>IF(AA11="LANG_Time",0.76,IF(AA11="LANG_Service",0.70,IF(AA11="LANG_Words",0.72,IF(AA11="LANG_Touch",0.68,0.60))))</f>
        <v/>
      </c>
      <c r="BF11">
        <f>MAX(0,MIN(1,0.28*AS11+0.16*AT11+0.18*BC11+0.18*BD11+0.10*(1-AZ11)+0.10*(1-BA11)+BB11))</f>
        <v/>
      </c>
      <c r="BG11">
        <f>MAX(0,MIN(1,0.24*AU11+0.18*AS11+0.18*BC11+0.20*BD11+0.10*(1-AW11)+0.10*(1-BA11)))</f>
        <v/>
      </c>
      <c r="BH11">
        <f>MAX(0,MIN(1,0.28*AR11+0.18*AT11+0.16*AU11+0.18*(1-AV11)+0.10*(1-AW11)+0.10*BF11))</f>
        <v/>
      </c>
      <c r="BI11">
        <f>MAX(0,MIN(1,0.30*AV11+0.20*AZ11+0.20*AW11+0.15*(1-BH11)+0.15*(1-BO11)))</f>
        <v/>
      </c>
      <c r="BJ11">
        <f>MAX(0,1-(ABS(((( AX11+AY11)/2)-0.55)*1.6)))</f>
        <v/>
      </c>
      <c r="BK11">
        <f>MAX(0,MIN(1,0.28*AR11+0.18*AT11+0.16*BJ11+0.14*(1-AV11)+0.12*BQ11+0.12*BO11))</f>
        <v/>
      </c>
      <c r="BL11">
        <f>MAX(0,MIN(1,0.22*AQ11+0.18*AS11+0.18*BC11+0.18*BD11+0.08*BE11+0.10*BF11+0.06*BO11))</f>
        <v/>
      </c>
      <c r="BM11">
        <f>MAX(0,MIN(1,0.20*(1-AZ11)+0.16*(1-BA11)+0.14*(1-AW11)+0.14*AU11+0.18*BG11+0.10*BH11+0.08*BP11))</f>
        <v/>
      </c>
      <c r="BN11">
        <f>MAX(0,MIN(1,0.42*BJ11+0.33*BK11+0.15*AT11+0.10*BQ11))</f>
        <v/>
      </c>
      <c r="BO11">
        <f>MAX(0,MIN(1,0.30*BC11+0.24*BD11+0.18*AS11+0.14*(1-BI11)+0.14*AT11))</f>
        <v/>
      </c>
      <c r="BP11">
        <f>MAX(0,MIN(1,0.26*AS11+0.20*(1-BA11)+0.16*(1-AW11)+0.18*BG11+0.10*AU11+0.10+BB11))</f>
        <v/>
      </c>
      <c r="BQ11">
        <f>MAX(0,MIN(1,0.24*AT11+0.18*BF11+0.14*AR11+0.14*BO11+0.14*(1-AV11)+0.16*(1-AZ11)))</f>
        <v/>
      </c>
      <c r="BR11">
        <f>IF(BO11&gt;=0.80,"Open",IF(BO11&gt;=0.62,"Measured",IF(BO11&gt;=0.45,"Selective","Guarded")))</f>
        <v/>
      </c>
      <c r="BS11">
        <f>IF(Y11="COMM_Direct","Direct",IF(Y11="COMM_Emotional","Emotional",IF(Y11="COMM_Logical","Logical",IF(Y11="COMM_Indirect","Indirect","Avoidant"))))</f>
        <v/>
      </c>
      <c r="BT11">
        <f>IF(BG11&gt;=0.78,"Co-repair",IF(BG11&gt;=0.58,"Re-engage",IF(BG11&gt;=0.40,"Delay","Suppress")))</f>
        <v/>
      </c>
      <c r="BU11">
        <f>IF(BI11&gt;=0.70,"Retreat-risk",IF(BH11&lt;=0.40,"Rush-risk",IF(BH11&gt;=0.65,"Slow-build","Mixed")))</f>
        <v/>
      </c>
      <c r="BV11">
        <f>IF(BL11-BM11&gt;=0.15,"Stimulation-seeking",IF(BM11-BL11&gt;=0.15,"Calm-seeking","Mixed")))</f>
        <v/>
      </c>
      <c r="BW11">
        <f>IF(AND(BL11&gt;=0.72,BM11&lt;0.48),"High",IF(AND(BL11&gt;=0.60,BM11&lt;0.58),"Medium","Low"))</f>
        <v/>
      </c>
    </row>
    <row r="12" ht="121.5" customHeight="1" s="10">
      <c r="A12" s="2" t="inlineStr">
        <is>
          <t>Q03_A</t>
        </is>
      </c>
      <c r="B12" s="2" t="n">
        <v>3</v>
      </c>
      <c r="C12" s="2" t="n">
        <v>3</v>
      </c>
      <c r="D12" s="2" t="inlineStr">
        <is>
          <t>Core</t>
        </is>
      </c>
      <c r="E12" s="2" t="n">
        <v>1</v>
      </c>
      <c r="F12" s="2" t="inlineStr">
        <is>
          <t>CommunicationHealth</t>
        </is>
      </c>
      <c r="G12" s="2" t="inlineStr">
        <is>
          <t>EmotionalNeeds</t>
        </is>
      </c>
      <c r="H12" s="2" t="inlineStr">
        <is>
          <t>You start catching feelings and realizing you actually like this person. How does your energy shift?</t>
        </is>
      </c>
      <c r="I12" s="2" t="inlineStr">
        <is>
          <t>A</t>
        </is>
      </c>
      <c r="J12" s="2" t="inlineStr">
        <is>
          <t>A</t>
        </is>
      </c>
      <c r="K12" s="2" t="inlineStr">
        <is>
          <t>I pull back a little. Not to play games, I just need space to check if I'm seeing it clearly before I lean in.</t>
        </is>
      </c>
      <c r="L12" s="2" t="n">
        <v>6</v>
      </c>
      <c r="M12" s="2" t="n">
        <v>7</v>
      </c>
      <c r="N12" s="2" t="n">
        <v>2</v>
      </c>
      <c r="O12" s="2" t="n">
        <v>2</v>
      </c>
      <c r="P12" s="2" t="n">
        <v>0</v>
      </c>
      <c r="Q12" s="2" t="inlineStr">
        <is>
          <t>Icebox</t>
        </is>
      </c>
      <c r="R12" s="2" t="n">
        <v>1</v>
      </c>
      <c r="S12" s="2" t="n"/>
      <c r="T12" s="2" t="n"/>
      <c r="U12" s="2" t="n">
        <v>0</v>
      </c>
      <c r="V12" s="2" t="inlineStr">
        <is>
          <t>masc:1.8;fem:-1.6</t>
        </is>
      </c>
      <c r="W12" s="2" t="n">
        <v>1.8</v>
      </c>
      <c r="X12" s="2" t="n">
        <v>-1.6</v>
      </c>
      <c r="Y12" s="2" t="inlineStr">
        <is>
          <t>COMM_Avoidant</t>
        </is>
      </c>
      <c r="Z12" s="2" t="inlineStr">
        <is>
          <t>REG_Suppressor</t>
        </is>
      </c>
      <c r="AA12" s="2" t="inlineStr">
        <is>
          <t>LANG_Time</t>
        </is>
      </c>
      <c r="AB12" s="2" t="n"/>
      <c r="AC12" s="2" t="n"/>
      <c r="AD12" s="2" t="n"/>
      <c r="AE12" s="2" t="n">
        <v>0</v>
      </c>
      <c r="AF12" s="2" t="inlineStr">
        <is>
          <t>cautious distance</t>
        </is>
      </c>
      <c r="AG12" s="2" t="inlineStr">
        <is>
          <t>safety checker</t>
        </is>
      </c>
      <c r="AH12" s="2" t="n">
        <v>0.5</v>
      </c>
      <c r="AI12" s="2" t="inlineStr">
        <is>
          <t>no</t>
        </is>
      </c>
      <c r="AJ12" s="2" t="inlineStr">
        <is>
          <t>no</t>
        </is>
      </c>
      <c r="AK12" s="2" t="inlineStr">
        <is>
          <t>yes</t>
        </is>
      </c>
      <c r="AL12" s="2" t="inlineStr">
        <is>
          <t>yes</t>
        </is>
      </c>
      <c r="AM12" s="2" t="n"/>
      <c r="AN12" s="2" t="n"/>
      <c r="AO12" s="2" t="n"/>
      <c r="AP12" s="2" t="inlineStr">
        <is>
          <t>v3_2026-03-19</t>
        </is>
      </c>
      <c r="AQ12">
        <f>(L12-Schema_v5!$C2)/(Schema_v5!$C3-Schema_v5!$C2)</f>
        <v/>
      </c>
      <c r="AR12">
        <f>(M12-Schema_v5!$C4)/(Schema_v5!$C5-Schema_v5!$C4)</f>
        <v/>
      </c>
      <c r="AS12">
        <f>N12/Schema_v5!$C6</f>
        <v/>
      </c>
      <c r="AT12">
        <f>O12/Schema_v5!$C7</f>
        <v/>
      </c>
      <c r="AU12">
        <f>P12/Schema_v5!$C8</f>
        <v/>
      </c>
      <c r="AV12">
        <f>IF(Schema_v5!$C9=0,0,AH12/Schema_v5!$C9)</f>
        <v/>
      </c>
      <c r="AW12">
        <f>IF(Schema_v5!$C10=0,0,AE12/Schema_v5!$C10)</f>
        <v/>
      </c>
      <c r="AX12">
        <f>(W12-Schema_v5!$C11)/(Schema_v5!$C12-Schema_v5!$C11)</f>
        <v/>
      </c>
      <c r="AY12">
        <f>(X12-Schema_v5!$C13)/(Schema_v5!$C14-Schema_v5!$C13)</f>
        <v/>
      </c>
      <c r="AZ12">
        <f>MIN(1,MAX(0,U12/Schema_v7!$C$9))</f>
        <v/>
      </c>
      <c r="BA12">
        <f>IF(AJ12="yes",0.55,0)</f>
        <v/>
      </c>
      <c r="BB12">
        <f>IF(AI12="yes",0.10,0)</f>
        <v/>
      </c>
      <c r="BC12">
        <f>IF(Y12="COMM_Direct",0.92,IF(Y12="COMM_Emotional",0.70,IF(Y12="COMM_Logical",0.65,IF(Y12="COMM_Indirect",0.55,0.35))))</f>
        <v/>
      </c>
      <c r="BD12">
        <f>IF(Z12="REG_CoRegulator",0.92,IF(Z12="REG_SelfSoother",0.76,IF(Z12="REG_Distractor",0.48,0.35)))</f>
        <v/>
      </c>
      <c r="BE12">
        <f>IF(AA12="LANG_Time",0.76,IF(AA12="LANG_Service",0.70,IF(AA12="LANG_Words",0.72,IF(AA12="LANG_Touch",0.68,0.60))))</f>
        <v/>
      </c>
      <c r="BF12">
        <f>MAX(0,MIN(1,0.28*AS12+0.16*AT12+0.18*BC12+0.18*BD12+0.10*(1-AZ12)+0.10*(1-BA12)+BB12))</f>
        <v/>
      </c>
      <c r="BG12">
        <f>MAX(0,MIN(1,0.24*AU12+0.18*AS12+0.18*BC12+0.20*BD12+0.10*(1-AW12)+0.10*(1-BA12)))</f>
        <v/>
      </c>
      <c r="BH12">
        <f>MAX(0,MIN(1,0.28*AR12+0.18*AT12+0.16*AU12+0.18*(1-AV12)+0.10*(1-AW12)+0.10*BF12))</f>
        <v/>
      </c>
      <c r="BI12">
        <f>MAX(0,MIN(1,0.30*AV12+0.20*AZ12+0.20*AW12+0.15*(1-BH12)+0.15*(1-BO12)))</f>
        <v/>
      </c>
      <c r="BJ12">
        <f>MAX(0,1-(ABS(((( AX12+AY12)/2)-0.55)*1.6)))</f>
        <v/>
      </c>
      <c r="BK12">
        <f>MAX(0,MIN(1,0.28*AR12+0.18*AT12+0.16*BJ12+0.14*(1-AV12)+0.12*BQ12+0.12*BO12))</f>
        <v/>
      </c>
      <c r="BL12">
        <f>MAX(0,MIN(1,0.22*AQ12+0.18*AS12+0.18*BC12+0.18*BD12+0.08*BE12+0.10*BF12+0.06*BO12))</f>
        <v/>
      </c>
      <c r="BM12">
        <f>MAX(0,MIN(1,0.20*(1-AZ12)+0.16*(1-BA12)+0.14*(1-AW12)+0.14*AU12+0.18*BG12+0.10*BH12+0.08*BP12))</f>
        <v/>
      </c>
      <c r="BN12">
        <f>MAX(0,MIN(1,0.42*BJ12+0.33*BK12+0.15*AT12+0.10*BQ12))</f>
        <v/>
      </c>
      <c r="BO12">
        <f>MAX(0,MIN(1,0.30*BC12+0.24*BD12+0.18*AS12+0.14*(1-BI12)+0.14*AT12))</f>
        <v/>
      </c>
      <c r="BP12">
        <f>MAX(0,MIN(1,0.26*AS12+0.20*(1-BA12)+0.16*(1-AW12)+0.18*BG12+0.10*AU12+0.10+BB12))</f>
        <v/>
      </c>
      <c r="BQ12">
        <f>MAX(0,MIN(1,0.24*AT12+0.18*BF12+0.14*AR12+0.14*BO12+0.14*(1-AV12)+0.16*(1-AZ12)))</f>
        <v/>
      </c>
      <c r="BR12">
        <f>IF(BO12&gt;=0.80,"Open",IF(BO12&gt;=0.62,"Measured",IF(BO12&gt;=0.45,"Selective","Guarded")))</f>
        <v/>
      </c>
      <c r="BS12">
        <f>IF(Y12="COMM_Direct","Direct",IF(Y12="COMM_Emotional","Emotional",IF(Y12="COMM_Logical","Logical",IF(Y12="COMM_Indirect","Indirect","Avoidant"))))</f>
        <v/>
      </c>
      <c r="BT12">
        <f>IF(BG12&gt;=0.78,"Co-repair",IF(BG12&gt;=0.58,"Re-engage",IF(BG12&gt;=0.40,"Delay","Suppress")))</f>
        <v/>
      </c>
      <c r="BU12">
        <f>IF(BI12&gt;=0.70,"Retreat-risk",IF(BH12&lt;=0.40,"Rush-risk",IF(BH12&gt;=0.65,"Slow-build","Mixed")))</f>
        <v/>
      </c>
      <c r="BV12">
        <f>IF(BL12-BM12&gt;=0.15,"Stimulation-seeking",IF(BM12-BL12&gt;=0.15,"Calm-seeking","Mixed")))</f>
        <v/>
      </c>
      <c r="BW12">
        <f>IF(AND(BL12&gt;=0.72,BM12&lt;0.48),"High",IF(AND(BL12&gt;=0.60,BM12&lt;0.58),"Medium","Low"))</f>
        <v/>
      </c>
    </row>
    <row r="13" ht="121.5" customHeight="1" s="10">
      <c r="A13" s="2" t="inlineStr">
        <is>
          <t>Q03_B</t>
        </is>
      </c>
      <c r="B13" s="2" t="n">
        <v>3</v>
      </c>
      <c r="C13" s="2" t="n">
        <v>3</v>
      </c>
      <c r="D13" s="2" t="inlineStr">
        <is>
          <t>Core</t>
        </is>
      </c>
      <c r="E13" s="2" t="n">
        <v>1</v>
      </c>
      <c r="F13" s="2" t="inlineStr">
        <is>
          <t>CommunicationHealth</t>
        </is>
      </c>
      <c r="G13" s="2" t="inlineStr">
        <is>
          <t>EmotionalNeeds</t>
        </is>
      </c>
      <c r="H13" s="2" t="n"/>
      <c r="I13" s="2" t="inlineStr">
        <is>
          <t>B</t>
        </is>
      </c>
      <c r="J13" s="2" t="inlineStr">
        <is>
          <t>B</t>
        </is>
      </c>
      <c r="K13" s="2" t="inlineStr">
        <is>
          <t>I start imagining what it could be. I try not to get ahead of myself, I just like feeling what it can be.</t>
        </is>
      </c>
      <c r="L13" s="2" t="n">
        <v>7</v>
      </c>
      <c r="M13" s="2" t="n">
        <v>8</v>
      </c>
      <c r="N13" s="2" t="n">
        <v>4</v>
      </c>
      <c r="O13" s="2" t="n">
        <v>6</v>
      </c>
      <c r="P13" s="2" t="n">
        <v>4</v>
      </c>
      <c r="Q13" s="2" t="inlineStr">
        <is>
          <t>Romantic Idealist</t>
        </is>
      </c>
      <c r="R13" s="2" t="n">
        <v>6</v>
      </c>
      <c r="S13" s="2" t="n"/>
      <c r="T13" s="2" t="n"/>
      <c r="U13" s="2" t="n">
        <v>0</v>
      </c>
      <c r="V13" s="2" t="inlineStr">
        <is>
          <t>masc:-0.4;fem:1.5</t>
        </is>
      </c>
      <c r="W13" s="2" t="n">
        <v>-0.4</v>
      </c>
      <c r="X13" s="2" t="n">
        <v>1.5</v>
      </c>
      <c r="Y13" s="2" t="inlineStr">
        <is>
          <t>COMM_Emotional</t>
        </is>
      </c>
      <c r="Z13" s="2" t="inlineStr">
        <is>
          <t>REG_Distractor</t>
        </is>
      </c>
      <c r="AA13" s="2" t="inlineStr">
        <is>
          <t>LANG_Gifts</t>
        </is>
      </c>
      <c r="AB13" s="2" t="inlineStr">
        <is>
          <t>Humor_Shield , Affection_Mismatch</t>
        </is>
      </c>
      <c r="AC13" s="2" t="inlineStr">
        <is>
          <t>Humor_Shield</t>
        </is>
      </c>
      <c r="AD13" s="2" t="inlineStr">
        <is>
          <t>Affection_Mismatch</t>
        </is>
      </c>
      <c r="AE13" s="2" t="n">
        <v>7</v>
      </c>
      <c r="AF13" s="2" t="inlineStr">
        <is>
          <t>guarded playfulness</t>
        </is>
      </c>
      <c r="AG13" s="2" t="inlineStr">
        <is>
          <t>safe tester</t>
        </is>
      </c>
      <c r="AH13" s="2" t="n">
        <v>0.2</v>
      </c>
      <c r="AI13" s="2" t="inlineStr">
        <is>
          <t>yes</t>
        </is>
      </c>
      <c r="AJ13" s="2" t="inlineStr">
        <is>
          <t>no</t>
        </is>
      </c>
      <c r="AK13" s="2" t="inlineStr">
        <is>
          <t>yes</t>
        </is>
      </c>
      <c r="AL13" s="2" t="inlineStr">
        <is>
          <t>yes</t>
        </is>
      </c>
      <c r="AM13" s="2" t="n"/>
      <c r="AN13" s="2" t="n"/>
      <c r="AO13" s="2" t="n"/>
      <c r="AP13" s="2" t="inlineStr">
        <is>
          <t>v3_2026-03-19</t>
        </is>
      </c>
      <c r="AQ13">
        <f>(L13-Schema_v5!$C2)/(Schema_v5!$C3-Schema_v5!$C2)</f>
        <v/>
      </c>
      <c r="AR13">
        <f>(M13-Schema_v5!$C4)/(Schema_v5!$C5-Schema_v5!$C4)</f>
        <v/>
      </c>
      <c r="AS13">
        <f>N13/Schema_v5!$C6</f>
        <v/>
      </c>
      <c r="AT13">
        <f>O13/Schema_v5!$C7</f>
        <v/>
      </c>
      <c r="AU13">
        <f>P13/Schema_v5!$C8</f>
        <v/>
      </c>
      <c r="AV13">
        <f>IF(Schema_v5!$C9=0,0,AH13/Schema_v5!$C9)</f>
        <v/>
      </c>
      <c r="AW13">
        <f>IF(Schema_v5!$C10=0,0,AE13/Schema_v5!$C10)</f>
        <v/>
      </c>
      <c r="AX13">
        <f>(W13-Schema_v5!$C11)/(Schema_v5!$C12-Schema_v5!$C11)</f>
        <v/>
      </c>
      <c r="AY13">
        <f>(X13-Schema_v5!$C13)/(Schema_v5!$C14-Schema_v5!$C13)</f>
        <v/>
      </c>
      <c r="AZ13">
        <f>MIN(1,MAX(0,U13/Schema_v7!$C$9))</f>
        <v/>
      </c>
      <c r="BA13">
        <f>IF(AJ13="yes",0.55,0)</f>
        <v/>
      </c>
      <c r="BB13">
        <f>IF(AI13="yes",0.10,0)</f>
        <v/>
      </c>
      <c r="BC13">
        <f>IF(Y13="COMM_Direct",0.92,IF(Y13="COMM_Emotional",0.70,IF(Y13="COMM_Logical",0.65,IF(Y13="COMM_Indirect",0.55,0.35))))</f>
        <v/>
      </c>
      <c r="BD13">
        <f>IF(Z13="REG_CoRegulator",0.92,IF(Z13="REG_SelfSoother",0.76,IF(Z13="REG_Distractor",0.48,0.35)))</f>
        <v/>
      </c>
      <c r="BE13">
        <f>IF(AA13="LANG_Time",0.76,IF(AA13="LANG_Service",0.70,IF(AA13="LANG_Words",0.72,IF(AA13="LANG_Touch",0.68,0.60))))</f>
        <v/>
      </c>
      <c r="BF13">
        <f>MAX(0,MIN(1,0.28*AS13+0.16*AT13+0.18*BC13+0.18*BD13+0.10*(1-AZ13)+0.10*(1-BA13)+BB13))</f>
        <v/>
      </c>
      <c r="BG13">
        <f>MAX(0,MIN(1,0.24*AU13+0.18*AS13+0.18*BC13+0.20*BD13+0.10*(1-AW13)+0.10*(1-BA13)))</f>
        <v/>
      </c>
      <c r="BH13">
        <f>MAX(0,MIN(1,0.28*AR13+0.18*AT13+0.16*AU13+0.18*(1-AV13)+0.10*(1-AW13)+0.10*BF13))</f>
        <v/>
      </c>
      <c r="BI13">
        <f>MAX(0,MIN(1,0.30*AV13+0.20*AZ13+0.20*AW13+0.15*(1-BH13)+0.15*(1-BO13)))</f>
        <v/>
      </c>
      <c r="BJ13">
        <f>MAX(0,1-(ABS(((( AX13+AY13)/2)-0.55)*1.6)))</f>
        <v/>
      </c>
      <c r="BK13">
        <f>MAX(0,MIN(1,0.28*AR13+0.18*AT13+0.16*BJ13+0.14*(1-AV13)+0.12*BQ13+0.12*BO13))</f>
        <v/>
      </c>
      <c r="BL13">
        <f>MAX(0,MIN(1,0.22*AQ13+0.18*AS13+0.18*BC13+0.18*BD13+0.08*BE13+0.10*BF13+0.06*BO13))</f>
        <v/>
      </c>
      <c r="BM13">
        <f>MAX(0,MIN(1,0.20*(1-AZ13)+0.16*(1-BA13)+0.14*(1-AW13)+0.14*AU13+0.18*BG13+0.10*BH13+0.08*BP13))</f>
        <v/>
      </c>
      <c r="BN13">
        <f>MAX(0,MIN(1,0.42*BJ13+0.33*BK13+0.15*AT13+0.10*BQ13))</f>
        <v/>
      </c>
      <c r="BO13">
        <f>MAX(0,MIN(1,0.30*BC13+0.24*BD13+0.18*AS13+0.14*(1-BI13)+0.14*AT13))</f>
        <v/>
      </c>
      <c r="BP13">
        <f>MAX(0,MIN(1,0.26*AS13+0.20*(1-BA13)+0.16*(1-AW13)+0.18*BG13+0.10*AU13+0.10+BB13))</f>
        <v/>
      </c>
      <c r="BQ13">
        <f>MAX(0,MIN(1,0.24*AT13+0.18*BF13+0.14*AR13+0.14*BO13+0.14*(1-AV13)+0.16*(1-AZ13)))</f>
        <v/>
      </c>
      <c r="BR13">
        <f>IF(BO13&gt;=0.80,"Open",IF(BO13&gt;=0.62,"Measured",IF(BO13&gt;=0.45,"Selective","Guarded")))</f>
        <v/>
      </c>
      <c r="BS13">
        <f>IF(Y13="COMM_Direct","Direct",IF(Y13="COMM_Emotional","Emotional",IF(Y13="COMM_Logical","Logical",IF(Y13="COMM_Indirect","Indirect","Avoidant"))))</f>
        <v/>
      </c>
      <c r="BT13">
        <f>IF(BG13&gt;=0.78,"Co-repair",IF(BG13&gt;=0.58,"Re-engage",IF(BG13&gt;=0.40,"Delay","Suppress")))</f>
        <v/>
      </c>
      <c r="BU13">
        <f>IF(BI13&gt;=0.70,"Retreat-risk",IF(BH13&lt;=0.40,"Rush-risk",IF(BH13&gt;=0.65,"Slow-build","Mixed")))</f>
        <v/>
      </c>
      <c r="BV13">
        <f>IF(BL13-BM13&gt;=0.15,"Stimulation-seeking",IF(BM13-BL13&gt;=0.15,"Calm-seeking","Mixed")))</f>
        <v/>
      </c>
      <c r="BW13">
        <f>IF(AND(BL13&gt;=0.72,BM13&lt;0.48),"High",IF(AND(BL13&gt;=0.60,BM13&lt;0.58),"Medium","Low"))</f>
        <v/>
      </c>
    </row>
    <row r="14" ht="148.5" customHeight="1" s="10">
      <c r="A14" s="2" t="inlineStr">
        <is>
          <t>Q03_C</t>
        </is>
      </c>
      <c r="B14" s="2" t="n">
        <v>3</v>
      </c>
      <c r="C14" s="2" t="n">
        <v>3</v>
      </c>
      <c r="D14" s="2" t="inlineStr">
        <is>
          <t>Core</t>
        </is>
      </c>
      <c r="E14" s="2" t="n">
        <v>1</v>
      </c>
      <c r="F14" s="2" t="inlineStr">
        <is>
          <t>CommunicationHealth</t>
        </is>
      </c>
      <c r="G14" s="2" t="inlineStr">
        <is>
          <t>EmotionalNeeds</t>
        </is>
      </c>
      <c r="H14" s="2" t="n"/>
      <c r="I14" s="2" t="inlineStr">
        <is>
          <t>C</t>
        </is>
      </c>
      <c r="J14" s="2" t="inlineStr">
        <is>
          <t>C</t>
        </is>
      </c>
      <c r="K14" s="2" t="inlineStr">
        <is>
          <t>I don't say much, but I start showing up more, checking in, remembering little things. That's usually how I start showing my interest.</t>
        </is>
      </c>
      <c r="L14" s="2" t="n">
        <v>8</v>
      </c>
      <c r="M14" s="2" t="n">
        <v>9</v>
      </c>
      <c r="N14" s="2" t="n">
        <v>8</v>
      </c>
      <c r="O14" s="2" t="n">
        <v>8</v>
      </c>
      <c r="P14" s="2" t="n">
        <v>8</v>
      </c>
      <c r="Q14" s="2" t="inlineStr">
        <is>
          <t>Analyzer</t>
        </is>
      </c>
      <c r="R14" s="2" t="n">
        <v>2</v>
      </c>
      <c r="S14" s="2" t="n"/>
      <c r="T14" s="2" t="n"/>
      <c r="U14" s="2" t="n">
        <v>0</v>
      </c>
      <c r="V14" s="2" t="inlineStr">
        <is>
          <t>masc:1.4;fem:0.1</t>
        </is>
      </c>
      <c r="W14" s="2" t="n">
        <v>1.4</v>
      </c>
      <c r="X14" s="2" t="n">
        <v>0.1</v>
      </c>
      <c r="Y14" s="2" t="inlineStr">
        <is>
          <t>COMM_Logical</t>
        </is>
      </c>
      <c r="Z14" s="2" t="inlineStr">
        <is>
          <t>REG_SelfSoother</t>
        </is>
      </c>
      <c r="AA14" s="2" t="inlineStr">
        <is>
          <t>LANG_Service</t>
        </is>
      </c>
      <c r="AB14" s="2" t="n"/>
      <c r="AC14" s="2" t="n"/>
      <c r="AD14" s="2" t="n"/>
      <c r="AE14" s="2" t="n">
        <v>0</v>
      </c>
      <c r="AF14" s="2" t="inlineStr">
        <is>
          <t>steady investment</t>
        </is>
      </c>
      <c r="AG14" s="2" t="inlineStr">
        <is>
          <t>quiet prover</t>
        </is>
      </c>
      <c r="AH14" s="2" t="n">
        <v>0</v>
      </c>
      <c r="AI14" s="2" t="inlineStr">
        <is>
          <t>no</t>
        </is>
      </c>
      <c r="AJ14" s="2" t="inlineStr">
        <is>
          <t>no</t>
        </is>
      </c>
      <c r="AK14" s="2" t="inlineStr">
        <is>
          <t>yes</t>
        </is>
      </c>
      <c r="AL14" s="2" t="inlineStr">
        <is>
          <t>yes</t>
        </is>
      </c>
      <c r="AM14" s="2" t="n"/>
      <c r="AN14" s="2" t="n"/>
      <c r="AO14" s="2" t="n"/>
      <c r="AP14" s="2" t="inlineStr">
        <is>
          <t>v3_2026-03-19</t>
        </is>
      </c>
      <c r="AQ14">
        <f>(L14-Schema_v5!$C2)/(Schema_v5!$C3-Schema_v5!$C2)</f>
        <v/>
      </c>
      <c r="AR14">
        <f>(M14-Schema_v5!$C4)/(Schema_v5!$C5-Schema_v5!$C4)</f>
        <v/>
      </c>
      <c r="AS14">
        <f>N14/Schema_v5!$C6</f>
        <v/>
      </c>
      <c r="AT14">
        <f>O14/Schema_v5!$C7</f>
        <v/>
      </c>
      <c r="AU14">
        <f>P14/Schema_v5!$C8</f>
        <v/>
      </c>
      <c r="AV14">
        <f>IF(Schema_v5!$C9=0,0,AH14/Schema_v5!$C9)</f>
        <v/>
      </c>
      <c r="AW14">
        <f>IF(Schema_v5!$C10=0,0,AE14/Schema_v5!$C10)</f>
        <v/>
      </c>
      <c r="AX14">
        <f>(W14-Schema_v5!$C11)/(Schema_v5!$C12-Schema_v5!$C11)</f>
        <v/>
      </c>
      <c r="AY14">
        <f>(X14-Schema_v5!$C13)/(Schema_v5!$C14-Schema_v5!$C13)</f>
        <v/>
      </c>
      <c r="AZ14">
        <f>MIN(1,MAX(0,U14/Schema_v7!$C$9))</f>
        <v/>
      </c>
      <c r="BA14">
        <f>IF(AJ14="yes",0.55,0)</f>
        <v/>
      </c>
      <c r="BB14">
        <f>IF(AI14="yes",0.10,0)</f>
        <v/>
      </c>
      <c r="BC14">
        <f>IF(Y14="COMM_Direct",0.92,IF(Y14="COMM_Emotional",0.70,IF(Y14="COMM_Logical",0.65,IF(Y14="COMM_Indirect",0.55,0.35))))</f>
        <v/>
      </c>
      <c r="BD14">
        <f>IF(Z14="REG_CoRegulator",0.92,IF(Z14="REG_SelfSoother",0.76,IF(Z14="REG_Distractor",0.48,0.35)))</f>
        <v/>
      </c>
      <c r="BE14">
        <f>IF(AA14="LANG_Time",0.76,IF(AA14="LANG_Service",0.70,IF(AA14="LANG_Words",0.72,IF(AA14="LANG_Touch",0.68,0.60))))</f>
        <v/>
      </c>
      <c r="BF14">
        <f>MAX(0,MIN(1,0.28*AS14+0.16*AT14+0.18*BC14+0.18*BD14+0.10*(1-AZ14)+0.10*(1-BA14)+BB14))</f>
        <v/>
      </c>
      <c r="BG14">
        <f>MAX(0,MIN(1,0.24*AU14+0.18*AS14+0.18*BC14+0.20*BD14+0.10*(1-AW14)+0.10*(1-BA14)))</f>
        <v/>
      </c>
      <c r="BH14">
        <f>MAX(0,MIN(1,0.28*AR14+0.18*AT14+0.16*AU14+0.18*(1-AV14)+0.10*(1-AW14)+0.10*BF14))</f>
        <v/>
      </c>
      <c r="BI14">
        <f>MAX(0,MIN(1,0.30*AV14+0.20*AZ14+0.20*AW14+0.15*(1-BH14)+0.15*(1-BO14)))</f>
        <v/>
      </c>
      <c r="BJ14">
        <f>MAX(0,1-(ABS(((( AX14+AY14)/2)-0.55)*1.6)))</f>
        <v/>
      </c>
      <c r="BK14">
        <f>MAX(0,MIN(1,0.28*AR14+0.18*AT14+0.16*BJ14+0.14*(1-AV14)+0.12*BQ14+0.12*BO14))</f>
        <v/>
      </c>
      <c r="BL14">
        <f>MAX(0,MIN(1,0.22*AQ14+0.18*AS14+0.18*BC14+0.18*BD14+0.08*BE14+0.10*BF14+0.06*BO14))</f>
        <v/>
      </c>
      <c r="BM14">
        <f>MAX(0,MIN(1,0.20*(1-AZ14)+0.16*(1-BA14)+0.14*(1-AW14)+0.14*AU14+0.18*BG14+0.10*BH14+0.08*BP14))</f>
        <v/>
      </c>
      <c r="BN14">
        <f>MAX(0,MIN(1,0.42*BJ14+0.33*BK14+0.15*AT14+0.10*BQ14))</f>
        <v/>
      </c>
      <c r="BO14">
        <f>MAX(0,MIN(1,0.30*BC14+0.24*BD14+0.18*AS14+0.14*(1-BI14)+0.14*AT14))</f>
        <v/>
      </c>
      <c r="BP14">
        <f>MAX(0,MIN(1,0.26*AS14+0.20*(1-BA14)+0.16*(1-AW14)+0.18*BG14+0.10*AU14+0.10+BB14))</f>
        <v/>
      </c>
      <c r="BQ14">
        <f>MAX(0,MIN(1,0.24*AT14+0.18*BF14+0.14*AR14+0.14*BO14+0.14*(1-AV14)+0.16*(1-AZ14)))</f>
        <v/>
      </c>
      <c r="BR14">
        <f>IF(BO14&gt;=0.80,"Open",IF(BO14&gt;=0.62,"Measured",IF(BO14&gt;=0.45,"Selective","Guarded")))</f>
        <v/>
      </c>
      <c r="BS14">
        <f>IF(Y14="COMM_Direct","Direct",IF(Y14="COMM_Emotional","Emotional",IF(Y14="COMM_Logical","Logical",IF(Y14="COMM_Indirect","Indirect","Avoidant"))))</f>
        <v/>
      </c>
      <c r="BT14">
        <f>IF(BG14&gt;=0.78,"Co-repair",IF(BG14&gt;=0.58,"Re-engage",IF(BG14&gt;=0.40,"Delay","Suppress")))</f>
        <v/>
      </c>
      <c r="BU14">
        <f>IF(BI14&gt;=0.70,"Retreat-risk",IF(BH14&lt;=0.40,"Rush-risk",IF(BH14&gt;=0.65,"Slow-build","Mixed")))</f>
        <v/>
      </c>
      <c r="BV14">
        <f>IF(BL14-BM14&gt;=0.15,"Stimulation-seeking",IF(BM14-BL14&gt;=0.15,"Calm-seeking","Mixed")))</f>
        <v/>
      </c>
      <c r="BW14">
        <f>IF(AND(BL14&gt;=0.72,BM14&lt;0.48),"High",IF(AND(BL14&gt;=0.60,BM14&lt;0.58),"Medium","Low"))</f>
        <v/>
      </c>
    </row>
    <row r="15" ht="121.5" customHeight="1" s="10">
      <c r="A15" s="2" t="inlineStr">
        <is>
          <t>Q03_D</t>
        </is>
      </c>
      <c r="B15" s="2" t="n">
        <v>3</v>
      </c>
      <c r="C15" s="2" t="n">
        <v>3</v>
      </c>
      <c r="D15" s="2" t="inlineStr">
        <is>
          <t>Core</t>
        </is>
      </c>
      <c r="E15" s="2" t="n">
        <v>1</v>
      </c>
      <c r="F15" s="2" t="inlineStr">
        <is>
          <t>CommunicationHealth</t>
        </is>
      </c>
      <c r="G15" s="2" t="inlineStr">
        <is>
          <t>EmotionalNeeds</t>
        </is>
      </c>
      <c r="H15" s="2" t="n"/>
      <c r="I15" s="2" t="inlineStr">
        <is>
          <t>D</t>
        </is>
      </c>
      <c r="J15" s="2" t="inlineStr">
        <is>
          <t>D</t>
        </is>
      </c>
      <c r="K15" s="2" t="inlineStr">
        <is>
          <t>I want them to like me back, but I need to know it's safe first. So I keep it light while I wait on their actions.</t>
        </is>
      </c>
      <c r="L15" s="2" t="n">
        <v>6</v>
      </c>
      <c r="M15" s="2" t="n">
        <v>6</v>
      </c>
      <c r="N15" s="2" t="n">
        <v>4</v>
      </c>
      <c r="O15" s="2" t="n">
        <v>2</v>
      </c>
      <c r="P15" s="2" t="n">
        <v>2</v>
      </c>
      <c r="Q15" s="2" t="inlineStr">
        <is>
          <t>Phantom Seeker</t>
        </is>
      </c>
      <c r="R15" s="2" t="n">
        <v>10</v>
      </c>
      <c r="S15" s="2" t="n"/>
      <c r="T15" s="2" t="n"/>
      <c r="U15" s="2" t="n">
        <v>0</v>
      </c>
      <c r="V15" s="2" t="inlineStr">
        <is>
          <t>masc:-0.2;fem:1.5</t>
        </is>
      </c>
      <c r="W15" s="2" t="n">
        <v>-0.2</v>
      </c>
      <c r="X15" s="2" t="n">
        <v>1.5</v>
      </c>
      <c r="Y15" s="2" t="inlineStr">
        <is>
          <t>COMM_Emotional</t>
        </is>
      </c>
      <c r="Z15" s="2" t="inlineStr">
        <is>
          <t>REG_SelfSoother</t>
        </is>
      </c>
      <c r="AA15" s="2" t="inlineStr">
        <is>
          <t>LANG_Touch</t>
        </is>
      </c>
      <c r="AB15" s="2" t="inlineStr">
        <is>
          <t>Humor_Shield , Affection_Mismatch</t>
        </is>
      </c>
      <c r="AC15" s="2" t="inlineStr">
        <is>
          <t>Humor_Shield</t>
        </is>
      </c>
      <c r="AD15" s="2" t="inlineStr">
        <is>
          <t>Affection_Mismatch</t>
        </is>
      </c>
      <c r="AE15" s="2" t="n">
        <v>7</v>
      </c>
      <c r="AF15" s="2" t="inlineStr">
        <is>
          <t>guarded playfulness</t>
        </is>
      </c>
      <c r="AG15" s="2" t="inlineStr">
        <is>
          <t>safe tester</t>
        </is>
      </c>
      <c r="AH15" s="2" t="n">
        <v>0</v>
      </c>
      <c r="AI15" s="2" t="inlineStr">
        <is>
          <t>yes</t>
        </is>
      </c>
      <c r="AJ15" s="2" t="inlineStr">
        <is>
          <t>no</t>
        </is>
      </c>
      <c r="AK15" s="2" t="inlineStr">
        <is>
          <t>yes</t>
        </is>
      </c>
      <c r="AL15" s="2" t="inlineStr">
        <is>
          <t>yes</t>
        </is>
      </c>
      <c r="AM15" s="2" t="n"/>
      <c r="AN15" s="2" t="n"/>
      <c r="AO15" s="2" t="n"/>
      <c r="AP15" s="2" t="inlineStr">
        <is>
          <t>v3_2026-03-19</t>
        </is>
      </c>
      <c r="AQ15">
        <f>(L15-Schema_v5!$C2)/(Schema_v5!$C3-Schema_v5!$C2)</f>
        <v/>
      </c>
      <c r="AR15">
        <f>(M15-Schema_v5!$C4)/(Schema_v5!$C5-Schema_v5!$C4)</f>
        <v/>
      </c>
      <c r="AS15">
        <f>N15/Schema_v5!$C6</f>
        <v/>
      </c>
      <c r="AT15">
        <f>O15/Schema_v5!$C7</f>
        <v/>
      </c>
      <c r="AU15">
        <f>P15/Schema_v5!$C8</f>
        <v/>
      </c>
      <c r="AV15">
        <f>IF(Schema_v5!$C9=0,0,AH15/Schema_v5!$C9)</f>
        <v/>
      </c>
      <c r="AW15">
        <f>IF(Schema_v5!$C10=0,0,AE15/Schema_v5!$C10)</f>
        <v/>
      </c>
      <c r="AX15">
        <f>(W15-Schema_v5!$C11)/(Schema_v5!$C12-Schema_v5!$C11)</f>
        <v/>
      </c>
      <c r="AY15">
        <f>(X15-Schema_v5!$C13)/(Schema_v5!$C14-Schema_v5!$C13)</f>
        <v/>
      </c>
      <c r="AZ15">
        <f>MIN(1,MAX(0,U15/Schema_v7!$C$9))</f>
        <v/>
      </c>
      <c r="BA15">
        <f>IF(AJ15="yes",0.55,0)</f>
        <v/>
      </c>
      <c r="BB15">
        <f>IF(AI15="yes",0.10,0)</f>
        <v/>
      </c>
      <c r="BC15">
        <f>IF(Y15="COMM_Direct",0.92,IF(Y15="COMM_Emotional",0.70,IF(Y15="COMM_Logical",0.65,IF(Y15="COMM_Indirect",0.55,0.35))))</f>
        <v/>
      </c>
      <c r="BD15">
        <f>IF(Z15="REG_CoRegulator",0.92,IF(Z15="REG_SelfSoother",0.76,IF(Z15="REG_Distractor",0.48,0.35)))</f>
        <v/>
      </c>
      <c r="BE15">
        <f>IF(AA15="LANG_Time",0.76,IF(AA15="LANG_Service",0.70,IF(AA15="LANG_Words",0.72,IF(AA15="LANG_Touch",0.68,0.60))))</f>
        <v/>
      </c>
      <c r="BF15">
        <f>MAX(0,MIN(1,0.28*AS15+0.16*AT15+0.18*BC15+0.18*BD15+0.10*(1-AZ15)+0.10*(1-BA15)+BB15))</f>
        <v/>
      </c>
      <c r="BG15">
        <f>MAX(0,MIN(1,0.24*AU15+0.18*AS15+0.18*BC15+0.20*BD15+0.10*(1-AW15)+0.10*(1-BA15)))</f>
        <v/>
      </c>
      <c r="BH15">
        <f>MAX(0,MIN(1,0.28*AR15+0.18*AT15+0.16*AU15+0.18*(1-AV15)+0.10*(1-AW15)+0.10*BF15))</f>
        <v/>
      </c>
      <c r="BI15">
        <f>MAX(0,MIN(1,0.30*AV15+0.20*AZ15+0.20*AW15+0.15*(1-BH15)+0.15*(1-BO15)))</f>
        <v/>
      </c>
      <c r="BJ15">
        <f>MAX(0,1-(ABS(((( AX15+AY15)/2)-0.55)*1.6)))</f>
        <v/>
      </c>
      <c r="BK15">
        <f>MAX(0,MIN(1,0.28*AR15+0.18*AT15+0.16*BJ15+0.14*(1-AV15)+0.12*BQ15+0.12*BO15))</f>
        <v/>
      </c>
      <c r="BL15">
        <f>MAX(0,MIN(1,0.22*AQ15+0.18*AS15+0.18*BC15+0.18*BD15+0.08*BE15+0.10*BF15+0.06*BO15))</f>
        <v/>
      </c>
      <c r="BM15">
        <f>MAX(0,MIN(1,0.20*(1-AZ15)+0.16*(1-BA15)+0.14*(1-AW15)+0.14*AU15+0.18*BG15+0.10*BH15+0.08*BP15))</f>
        <v/>
      </c>
      <c r="BN15">
        <f>MAX(0,MIN(1,0.42*BJ15+0.33*BK15+0.15*AT15+0.10*BQ15))</f>
        <v/>
      </c>
      <c r="BO15">
        <f>MAX(0,MIN(1,0.30*BC15+0.24*BD15+0.18*AS15+0.14*(1-BI15)+0.14*AT15))</f>
        <v/>
      </c>
      <c r="BP15">
        <f>MAX(0,MIN(1,0.26*AS15+0.20*(1-BA15)+0.16*(1-AW15)+0.18*BG15+0.10*AU15+0.10+BB15))</f>
        <v/>
      </c>
      <c r="BQ15">
        <f>MAX(0,MIN(1,0.24*AT15+0.18*BF15+0.14*AR15+0.14*BO15+0.14*(1-AV15)+0.16*(1-AZ15)))</f>
        <v/>
      </c>
      <c r="BR15">
        <f>IF(BO15&gt;=0.80,"Open",IF(BO15&gt;=0.62,"Measured",IF(BO15&gt;=0.45,"Selective","Guarded")))</f>
        <v/>
      </c>
      <c r="BS15">
        <f>IF(Y15="COMM_Direct","Direct",IF(Y15="COMM_Emotional","Emotional",IF(Y15="COMM_Logical","Logical",IF(Y15="COMM_Indirect","Indirect","Avoidant"))))</f>
        <v/>
      </c>
      <c r="BT15">
        <f>IF(BG15&gt;=0.78,"Co-repair",IF(BG15&gt;=0.58,"Re-engage",IF(BG15&gt;=0.40,"Delay","Suppress")))</f>
        <v/>
      </c>
      <c r="BU15">
        <f>IF(BI15&gt;=0.70,"Retreat-risk",IF(BH15&lt;=0.40,"Rush-risk",IF(BH15&gt;=0.65,"Slow-build","Mixed")))</f>
        <v/>
      </c>
      <c r="BV15">
        <f>IF(BL15-BM15&gt;=0.15,"Stimulation-seeking",IF(BM15-BL15&gt;=0.15,"Calm-seeking","Mixed")))</f>
        <v/>
      </c>
      <c r="BW15">
        <f>IF(AND(BL15&gt;=0.72,BM15&lt;0.48),"High",IF(AND(BL15&gt;=0.60,BM15&lt;0.58),"Medium","Low"))</f>
        <v/>
      </c>
    </row>
    <row r="16" ht="175.5" customHeight="1" s="10">
      <c r="A16" s="2" t="inlineStr">
        <is>
          <t>Q03_E</t>
        </is>
      </c>
      <c r="B16" s="2" t="n">
        <v>3</v>
      </c>
      <c r="C16" s="2" t="n">
        <v>3</v>
      </c>
      <c r="D16" s="2" t="inlineStr">
        <is>
          <t>Core</t>
        </is>
      </c>
      <c r="E16" s="2" t="n">
        <v>1</v>
      </c>
      <c r="F16" s="2" t="inlineStr">
        <is>
          <t>CommunicationHealth</t>
        </is>
      </c>
      <c r="G16" s="2" t="inlineStr">
        <is>
          <t>EmotionalNeeds</t>
        </is>
      </c>
      <c r="H16" s="2" t="n"/>
      <c r="I16" s="2" t="inlineStr">
        <is>
          <t>E</t>
        </is>
      </c>
      <c r="J16" s="2" t="inlineStr">
        <is>
          <t>E</t>
        </is>
      </c>
      <c r="K16" s="2" t="inlineStr">
        <is>
          <t>If I like someone, yeah, it shows. But I've learned not to lean too far until I know they're showing up too. I'm not trying to guess where I stand.</t>
        </is>
      </c>
      <c r="L16" s="2" t="n">
        <v>9</v>
      </c>
      <c r="M16" s="2" t="n">
        <v>9</v>
      </c>
      <c r="N16" s="2" t="n">
        <v>10</v>
      </c>
      <c r="O16" s="2" t="n">
        <v>10</v>
      </c>
      <c r="P16" s="2" t="n">
        <v>10</v>
      </c>
      <c r="Q16" s="2" t="inlineStr">
        <is>
          <t>Regulated Grown-Up</t>
        </is>
      </c>
      <c r="R16" s="2" t="n">
        <v>9</v>
      </c>
      <c r="S16" s="2" t="n"/>
      <c r="T16" s="2" t="n"/>
      <c r="U16" s="2" t="n">
        <v>0</v>
      </c>
      <c r="V16" s="2" t="inlineStr">
        <is>
          <t>masc:1.1;fem:0.9</t>
        </is>
      </c>
      <c r="W16" s="2" t="n">
        <v>1.1</v>
      </c>
      <c r="X16" s="2" t="n">
        <v>0.9</v>
      </c>
      <c r="Y16" s="2" t="inlineStr">
        <is>
          <t>COMM_Direct</t>
        </is>
      </c>
      <c r="Z16" s="2" t="inlineStr">
        <is>
          <t>REG_CoRegulator</t>
        </is>
      </c>
      <c r="AA16" s="2" t="inlineStr">
        <is>
          <t>LANG_Words</t>
        </is>
      </c>
      <c r="AB16" s="2" t="n"/>
      <c r="AC16" s="2" t="n"/>
      <c r="AD16" s="2" t="n"/>
      <c r="AE16" s="2" t="n">
        <v>0</v>
      </c>
      <c r="AF16" s="2" t="inlineStr">
        <is>
          <t>balanced openness</t>
        </is>
      </c>
      <c r="AG16" s="2" t="inlineStr">
        <is>
          <t>readiness matcher</t>
        </is>
      </c>
      <c r="AH16" s="2" t="n">
        <v>0.2</v>
      </c>
      <c r="AI16" s="2" t="inlineStr">
        <is>
          <t>no</t>
        </is>
      </c>
      <c r="AJ16" s="2" t="inlineStr">
        <is>
          <t>no</t>
        </is>
      </c>
      <c r="AK16" s="2" t="inlineStr">
        <is>
          <t>yes</t>
        </is>
      </c>
      <c r="AL16" s="2" t="inlineStr">
        <is>
          <t>yes</t>
        </is>
      </c>
      <c r="AM16" s="2" t="n"/>
      <c r="AN16" s="2" t="n"/>
      <c r="AO16" s="2" t="n"/>
      <c r="AP16" s="2" t="inlineStr">
        <is>
          <t>v3_2026-03-19</t>
        </is>
      </c>
      <c r="AQ16">
        <f>(L16-Schema_v5!$C2)/(Schema_v5!$C3-Schema_v5!$C2)</f>
        <v/>
      </c>
      <c r="AR16">
        <f>(M16-Schema_v5!$C4)/(Schema_v5!$C5-Schema_v5!$C4)</f>
        <v/>
      </c>
      <c r="AS16">
        <f>N16/Schema_v5!$C6</f>
        <v/>
      </c>
      <c r="AT16">
        <f>O16/Schema_v5!$C7</f>
        <v/>
      </c>
      <c r="AU16">
        <f>P16/Schema_v5!$C8</f>
        <v/>
      </c>
      <c r="AV16">
        <f>IF(Schema_v5!$C9=0,0,AH16/Schema_v5!$C9)</f>
        <v/>
      </c>
      <c r="AW16">
        <f>IF(Schema_v5!$C10=0,0,AE16/Schema_v5!$C10)</f>
        <v/>
      </c>
      <c r="AX16">
        <f>(W16-Schema_v5!$C11)/(Schema_v5!$C12-Schema_v5!$C11)</f>
        <v/>
      </c>
      <c r="AY16">
        <f>(X16-Schema_v5!$C13)/(Schema_v5!$C14-Schema_v5!$C13)</f>
        <v/>
      </c>
      <c r="AZ16">
        <f>MIN(1,MAX(0,U16/Schema_v7!$C$9))</f>
        <v/>
      </c>
      <c r="BA16">
        <f>IF(AJ16="yes",0.55,0)</f>
        <v/>
      </c>
      <c r="BB16">
        <f>IF(AI16="yes",0.10,0)</f>
        <v/>
      </c>
      <c r="BC16">
        <f>IF(Y16="COMM_Direct",0.92,IF(Y16="COMM_Emotional",0.70,IF(Y16="COMM_Logical",0.65,IF(Y16="COMM_Indirect",0.55,0.35))))</f>
        <v/>
      </c>
      <c r="BD16">
        <f>IF(Z16="REG_CoRegulator",0.92,IF(Z16="REG_SelfSoother",0.76,IF(Z16="REG_Distractor",0.48,0.35)))</f>
        <v/>
      </c>
      <c r="BE16">
        <f>IF(AA16="LANG_Time",0.76,IF(AA16="LANG_Service",0.70,IF(AA16="LANG_Words",0.72,IF(AA16="LANG_Touch",0.68,0.60))))</f>
        <v/>
      </c>
      <c r="BF16">
        <f>MAX(0,MIN(1,0.28*AS16+0.16*AT16+0.18*BC16+0.18*BD16+0.10*(1-AZ16)+0.10*(1-BA16)+BB16))</f>
        <v/>
      </c>
      <c r="BG16">
        <f>MAX(0,MIN(1,0.24*AU16+0.18*AS16+0.18*BC16+0.20*BD16+0.10*(1-AW16)+0.10*(1-BA16)))</f>
        <v/>
      </c>
      <c r="BH16">
        <f>MAX(0,MIN(1,0.28*AR16+0.18*AT16+0.16*AU16+0.18*(1-AV16)+0.10*(1-AW16)+0.10*BF16))</f>
        <v/>
      </c>
      <c r="BI16">
        <f>MAX(0,MIN(1,0.30*AV16+0.20*AZ16+0.20*AW16+0.15*(1-BH16)+0.15*(1-BO16)))</f>
        <v/>
      </c>
      <c r="BJ16">
        <f>MAX(0,1-(ABS(((( AX16+AY16)/2)-0.55)*1.6)))</f>
        <v/>
      </c>
      <c r="BK16">
        <f>MAX(0,MIN(1,0.28*AR16+0.18*AT16+0.16*BJ16+0.14*(1-AV16)+0.12*BQ16+0.12*BO16))</f>
        <v/>
      </c>
      <c r="BL16">
        <f>MAX(0,MIN(1,0.22*AQ16+0.18*AS16+0.18*BC16+0.18*BD16+0.08*BE16+0.10*BF16+0.06*BO16))</f>
        <v/>
      </c>
      <c r="BM16">
        <f>MAX(0,MIN(1,0.20*(1-AZ16)+0.16*(1-BA16)+0.14*(1-AW16)+0.14*AU16+0.18*BG16+0.10*BH16+0.08*BP16))</f>
        <v/>
      </c>
      <c r="BN16">
        <f>MAX(0,MIN(1,0.42*BJ16+0.33*BK16+0.15*AT16+0.10*BQ16))</f>
        <v/>
      </c>
      <c r="BO16">
        <f>MAX(0,MIN(1,0.30*BC16+0.24*BD16+0.18*AS16+0.14*(1-BI16)+0.14*AT16))</f>
        <v/>
      </c>
      <c r="BP16">
        <f>MAX(0,MIN(1,0.26*AS16+0.20*(1-BA16)+0.16*(1-AW16)+0.18*BG16+0.10*AU16+0.10+BB16))</f>
        <v/>
      </c>
      <c r="BQ16">
        <f>MAX(0,MIN(1,0.24*AT16+0.18*BF16+0.14*AR16+0.14*BO16+0.14*(1-AV16)+0.16*(1-AZ16)))</f>
        <v/>
      </c>
      <c r="BR16">
        <f>IF(BO16&gt;=0.80,"Open",IF(BO16&gt;=0.62,"Measured",IF(BO16&gt;=0.45,"Selective","Guarded")))</f>
        <v/>
      </c>
      <c r="BS16">
        <f>IF(Y16="COMM_Direct","Direct",IF(Y16="COMM_Emotional","Emotional",IF(Y16="COMM_Logical","Logical",IF(Y16="COMM_Indirect","Indirect","Avoidant"))))</f>
        <v/>
      </c>
      <c r="BT16">
        <f>IF(BG16&gt;=0.78,"Co-repair",IF(BG16&gt;=0.58,"Re-engage",IF(BG16&gt;=0.40,"Delay","Suppress")))</f>
        <v/>
      </c>
      <c r="BU16">
        <f>IF(BI16&gt;=0.70,"Retreat-risk",IF(BH16&lt;=0.40,"Rush-risk",IF(BH16&gt;=0.65,"Slow-build","Mixed")))</f>
        <v/>
      </c>
      <c r="BV16">
        <f>IF(BL16-BM16&gt;=0.15,"Stimulation-seeking",IF(BM16-BL16&gt;=0.15,"Calm-seeking","Mixed")))</f>
        <v/>
      </c>
      <c r="BW16">
        <f>IF(AND(BL16&gt;=0.72,BM16&lt;0.48),"High",IF(AND(BL16&gt;=0.60,BM16&lt;0.58),"Medium","Low"))</f>
        <v/>
      </c>
    </row>
    <row r="17" ht="135" customHeight="1" s="10">
      <c r="A17" s="2" t="inlineStr">
        <is>
          <t>Q04_A</t>
        </is>
      </c>
      <c r="B17" s="2" t="n">
        <v>4</v>
      </c>
      <c r="C17" s="2" t="n">
        <v>4</v>
      </c>
      <c r="D17" s="2" t="inlineStr">
        <is>
          <t>Core</t>
        </is>
      </c>
      <c r="E17" s="2" t="n">
        <v>1</v>
      </c>
      <c r="F17" s="2" t="inlineStr">
        <is>
          <t>CommunicationHealth</t>
        </is>
      </c>
      <c r="G17" s="2" t="inlineStr">
        <is>
          <t>EmotionalNeeds</t>
        </is>
      </c>
      <c r="H17" s="2" t="inlineStr">
        <is>
          <t>You're starting to notice some red flags. Nothing explosive, just little things that don't sit right. What do you do with that feeling?</t>
        </is>
      </c>
      <c r="I17" s="2" t="inlineStr">
        <is>
          <t>A</t>
        </is>
      </c>
      <c r="J17" s="2" t="inlineStr">
        <is>
          <t>A</t>
        </is>
      </c>
      <c r="K17" s="2" t="inlineStr">
        <is>
          <t>I keep watching. I've learned not to bring things up too early. People need time to reveal themselves.</t>
        </is>
      </c>
      <c r="L17" s="2" t="n">
        <v>7</v>
      </c>
      <c r="M17" s="2" t="n">
        <v>8</v>
      </c>
      <c r="N17" s="2" t="n">
        <v>6</v>
      </c>
      <c r="O17" s="2" t="n">
        <v>6</v>
      </c>
      <c r="P17" s="2" t="n">
        <v>6</v>
      </c>
      <c r="Q17" s="2" t="inlineStr">
        <is>
          <t>Analyzer</t>
        </is>
      </c>
      <c r="R17" s="2" t="n">
        <v>2</v>
      </c>
      <c r="S17" s="2" t="n"/>
      <c r="T17" s="2" t="n"/>
      <c r="U17" s="2" t="n">
        <v>0</v>
      </c>
      <c r="V17" s="2" t="inlineStr">
        <is>
          <t>masc:1.4;fem:0.1</t>
        </is>
      </c>
      <c r="W17" s="2" t="n">
        <v>1.4</v>
      </c>
      <c r="X17" s="2" t="n">
        <v>0.1</v>
      </c>
      <c r="Y17" s="2" t="inlineStr">
        <is>
          <t>COMM_Logical</t>
        </is>
      </c>
      <c r="Z17" s="2" t="inlineStr">
        <is>
          <t>REG_SelfSoother</t>
        </is>
      </c>
      <c r="AA17" s="2" t="inlineStr">
        <is>
          <t>LANG_Service</t>
        </is>
      </c>
      <c r="AB17" s="2" t="n"/>
      <c r="AC17" s="2" t="n"/>
      <c r="AD17" s="2" t="n"/>
      <c r="AE17" s="2" t="n">
        <v>0</v>
      </c>
      <c r="AF17" s="2" t="inlineStr">
        <is>
          <t>silent observation</t>
        </is>
      </c>
      <c r="AG17" s="2" t="inlineStr">
        <is>
          <t>patient tracker</t>
        </is>
      </c>
      <c r="AH17" s="2" t="n">
        <v>1.2</v>
      </c>
      <c r="AI17" s="2" t="inlineStr">
        <is>
          <t>no</t>
        </is>
      </c>
      <c r="AJ17" s="2" t="inlineStr">
        <is>
          <t>no</t>
        </is>
      </c>
      <c r="AK17" s="2" t="inlineStr">
        <is>
          <t>yes</t>
        </is>
      </c>
      <c r="AL17" s="2" t="inlineStr">
        <is>
          <t>yes</t>
        </is>
      </c>
      <c r="AM17" s="2" t="n"/>
      <c r="AN17" s="2" t="n"/>
      <c r="AO17" s="2" t="n"/>
      <c r="AP17" s="2" t="inlineStr">
        <is>
          <t>v3_2026-03-19</t>
        </is>
      </c>
      <c r="AQ17">
        <f>(L17-Schema_v5!$C2)/(Schema_v5!$C3-Schema_v5!$C2)</f>
        <v/>
      </c>
      <c r="AR17">
        <f>(M17-Schema_v5!$C4)/(Schema_v5!$C5-Schema_v5!$C4)</f>
        <v/>
      </c>
      <c r="AS17">
        <f>N17/Schema_v5!$C6</f>
        <v/>
      </c>
      <c r="AT17">
        <f>O17/Schema_v5!$C7</f>
        <v/>
      </c>
      <c r="AU17">
        <f>P17/Schema_v5!$C8</f>
        <v/>
      </c>
      <c r="AV17">
        <f>IF(Schema_v5!$C9=0,0,AH17/Schema_v5!$C9)</f>
        <v/>
      </c>
      <c r="AW17">
        <f>IF(Schema_v5!$C10=0,0,AE17/Schema_v5!$C10)</f>
        <v/>
      </c>
      <c r="AX17">
        <f>(W17-Schema_v5!$C11)/(Schema_v5!$C12-Schema_v5!$C11)</f>
        <v/>
      </c>
      <c r="AY17">
        <f>(X17-Schema_v5!$C13)/(Schema_v5!$C14-Schema_v5!$C13)</f>
        <v/>
      </c>
      <c r="AZ17">
        <f>MIN(1,MAX(0,U17/Schema_v7!$C$9))</f>
        <v/>
      </c>
      <c r="BA17">
        <f>IF(AJ17="yes",0.55,0)</f>
        <v/>
      </c>
      <c r="BB17">
        <f>IF(AI17="yes",0.10,0)</f>
        <v/>
      </c>
      <c r="BC17">
        <f>IF(Y17="COMM_Direct",0.92,IF(Y17="COMM_Emotional",0.70,IF(Y17="COMM_Logical",0.65,IF(Y17="COMM_Indirect",0.55,0.35))))</f>
        <v/>
      </c>
      <c r="BD17">
        <f>IF(Z17="REG_CoRegulator",0.92,IF(Z17="REG_SelfSoother",0.76,IF(Z17="REG_Distractor",0.48,0.35)))</f>
        <v/>
      </c>
      <c r="BE17">
        <f>IF(AA17="LANG_Time",0.76,IF(AA17="LANG_Service",0.70,IF(AA17="LANG_Words",0.72,IF(AA17="LANG_Touch",0.68,0.60))))</f>
        <v/>
      </c>
      <c r="BF17">
        <f>MAX(0,MIN(1,0.28*AS17+0.16*AT17+0.18*BC17+0.18*BD17+0.10*(1-AZ17)+0.10*(1-BA17)+BB17))</f>
        <v/>
      </c>
      <c r="BG17">
        <f>MAX(0,MIN(1,0.24*AU17+0.18*AS17+0.18*BC17+0.20*BD17+0.10*(1-AW17)+0.10*(1-BA17)))</f>
        <v/>
      </c>
      <c r="BH17">
        <f>MAX(0,MIN(1,0.28*AR17+0.18*AT17+0.16*AU17+0.18*(1-AV17)+0.10*(1-AW17)+0.10*BF17))</f>
        <v/>
      </c>
      <c r="BI17">
        <f>MAX(0,MIN(1,0.30*AV17+0.20*AZ17+0.20*AW17+0.15*(1-BH17)+0.15*(1-BO17)))</f>
        <v/>
      </c>
      <c r="BJ17">
        <f>MAX(0,1-(ABS(((( AX17+AY17)/2)-0.55)*1.6)))</f>
        <v/>
      </c>
      <c r="BK17">
        <f>MAX(0,MIN(1,0.28*AR17+0.18*AT17+0.16*BJ17+0.14*(1-AV17)+0.12*BQ17+0.12*BO17))</f>
        <v/>
      </c>
      <c r="BL17">
        <f>MAX(0,MIN(1,0.22*AQ17+0.18*AS17+0.18*BC17+0.18*BD17+0.08*BE17+0.10*BF17+0.06*BO17))</f>
        <v/>
      </c>
      <c r="BM17">
        <f>MAX(0,MIN(1,0.20*(1-AZ17)+0.16*(1-BA17)+0.14*(1-AW17)+0.14*AU17+0.18*BG17+0.10*BH17+0.08*BP17))</f>
        <v/>
      </c>
      <c r="BN17">
        <f>MAX(0,MIN(1,0.42*BJ17+0.33*BK17+0.15*AT17+0.10*BQ17))</f>
        <v/>
      </c>
      <c r="BO17">
        <f>MAX(0,MIN(1,0.30*BC17+0.24*BD17+0.18*AS17+0.14*(1-BI17)+0.14*AT17))</f>
        <v/>
      </c>
      <c r="BP17">
        <f>MAX(0,MIN(1,0.26*AS17+0.20*(1-BA17)+0.16*(1-AW17)+0.18*BG17+0.10*AU17+0.10+BB17))</f>
        <v/>
      </c>
      <c r="BQ17">
        <f>MAX(0,MIN(1,0.24*AT17+0.18*BF17+0.14*AR17+0.14*BO17+0.14*(1-AV17)+0.16*(1-AZ17)))</f>
        <v/>
      </c>
      <c r="BR17">
        <f>IF(BO17&gt;=0.80,"Open",IF(BO17&gt;=0.62,"Measured",IF(BO17&gt;=0.45,"Selective","Guarded")))</f>
        <v/>
      </c>
      <c r="BS17">
        <f>IF(Y17="COMM_Direct","Direct",IF(Y17="COMM_Emotional","Emotional",IF(Y17="COMM_Logical","Logical",IF(Y17="COMM_Indirect","Indirect","Avoidant"))))</f>
        <v/>
      </c>
      <c r="BT17">
        <f>IF(BG17&gt;=0.78,"Co-repair",IF(BG17&gt;=0.58,"Re-engage",IF(BG17&gt;=0.40,"Delay","Suppress")))</f>
        <v/>
      </c>
      <c r="BU17">
        <f>IF(BI17&gt;=0.70,"Retreat-risk",IF(BH17&lt;=0.40,"Rush-risk",IF(BH17&gt;=0.65,"Slow-build","Mixed")))</f>
        <v/>
      </c>
      <c r="BV17">
        <f>IF(BL17-BM17&gt;=0.15,"Stimulation-seeking",IF(BM17-BL17&gt;=0.15,"Calm-seeking","Mixed")))</f>
        <v/>
      </c>
      <c r="BW17">
        <f>IF(AND(BL17&gt;=0.72,BM17&lt;0.48),"High",IF(AND(BL17&gt;=0.60,BM17&lt;0.58),"Medium","Low"))</f>
        <v/>
      </c>
    </row>
    <row r="18" ht="121.5" customHeight="1" s="10">
      <c r="A18" s="2" t="inlineStr">
        <is>
          <t>Q04_B</t>
        </is>
      </c>
      <c r="B18" s="2" t="n">
        <v>4</v>
      </c>
      <c r="C18" s="2" t="n">
        <v>4</v>
      </c>
      <c r="D18" s="2" t="inlineStr">
        <is>
          <t>Core</t>
        </is>
      </c>
      <c r="E18" s="2" t="n">
        <v>1</v>
      </c>
      <c r="F18" s="2" t="inlineStr">
        <is>
          <t>CommunicationHealth</t>
        </is>
      </c>
      <c r="G18" s="2" t="inlineStr">
        <is>
          <t>EmotionalNeeds</t>
        </is>
      </c>
      <c r="H18" s="2" t="n"/>
      <c r="I18" s="2" t="inlineStr">
        <is>
          <t>B</t>
        </is>
      </c>
      <c r="J18" s="2" t="inlineStr">
        <is>
          <t>B</t>
        </is>
      </c>
      <c r="K18" s="2" t="inlineStr">
        <is>
          <t>I ignore it at first. I don't want to ruin a good thing by overthinking. Sometimes I just want it to stay good for a little while.</t>
        </is>
      </c>
      <c r="L18" s="2" t="n">
        <v>5</v>
      </c>
      <c r="M18" s="2" t="n">
        <v>6</v>
      </c>
      <c r="N18" s="2" t="n">
        <v>2</v>
      </c>
      <c r="O18" s="2" t="n">
        <v>2</v>
      </c>
      <c r="P18" s="2" t="n">
        <v>0</v>
      </c>
      <c r="Q18" s="2" t="inlineStr">
        <is>
          <t>Romantic Idealist</t>
        </is>
      </c>
      <c r="R18" s="2" t="n">
        <v>6</v>
      </c>
      <c r="S18" s="2" t="n"/>
      <c r="T18" s="2" t="n"/>
      <c r="U18" s="2" t="n">
        <v>0</v>
      </c>
      <c r="V18" s="2" t="inlineStr">
        <is>
          <t>masc:-0.4;fem:1.5</t>
        </is>
      </c>
      <c r="W18" s="2" t="n">
        <v>-0.4</v>
      </c>
      <c r="X18" s="2" t="n">
        <v>1.5</v>
      </c>
      <c r="Y18" s="2" t="inlineStr">
        <is>
          <t>COMM_Emotional</t>
        </is>
      </c>
      <c r="Z18" s="2" t="inlineStr">
        <is>
          <t>REG_Distractor</t>
        </is>
      </c>
      <c r="AA18" s="2" t="inlineStr">
        <is>
          <t>LANG_Gifts</t>
        </is>
      </c>
      <c r="AB18" s="2" t="inlineStr">
        <is>
          <t>Commitment_Ambiguity</t>
        </is>
      </c>
      <c r="AC18" s="2" t="inlineStr">
        <is>
          <t>Commitment_Ambiguity</t>
        </is>
      </c>
      <c r="AD18" s="2" t="n"/>
      <c r="AE18" s="2" t="n">
        <v>5</v>
      </c>
      <c r="AF18" s="2" t="inlineStr">
        <is>
          <t>optimism over caution</t>
        </is>
      </c>
      <c r="AG18" s="2" t="inlineStr">
        <is>
          <t>avoidant hope</t>
        </is>
      </c>
      <c r="AH18" s="2" t="n">
        <v>0.6</v>
      </c>
      <c r="AI18" s="2" t="inlineStr">
        <is>
          <t>yes</t>
        </is>
      </c>
      <c r="AJ18" s="2" t="inlineStr">
        <is>
          <t>no</t>
        </is>
      </c>
      <c r="AK18" s="2" t="inlineStr">
        <is>
          <t>yes</t>
        </is>
      </c>
      <c r="AL18" s="2" t="inlineStr">
        <is>
          <t>yes</t>
        </is>
      </c>
      <c r="AM18" s="2" t="n"/>
      <c r="AN18" s="2" t="n"/>
      <c r="AO18" s="2" t="n"/>
      <c r="AP18" s="2" t="inlineStr">
        <is>
          <t>v3_2026-03-19</t>
        </is>
      </c>
      <c r="AQ18">
        <f>(L18-Schema_v5!$C2)/(Schema_v5!$C3-Schema_v5!$C2)</f>
        <v/>
      </c>
      <c r="AR18">
        <f>(M18-Schema_v5!$C4)/(Schema_v5!$C5-Schema_v5!$C4)</f>
        <v/>
      </c>
      <c r="AS18">
        <f>N18/Schema_v5!$C6</f>
        <v/>
      </c>
      <c r="AT18">
        <f>O18/Schema_v5!$C7</f>
        <v/>
      </c>
      <c r="AU18">
        <f>P18/Schema_v5!$C8</f>
        <v/>
      </c>
      <c r="AV18">
        <f>IF(Schema_v5!$C9=0,0,AH18/Schema_v5!$C9)</f>
        <v/>
      </c>
      <c r="AW18">
        <f>IF(Schema_v5!$C10=0,0,AE18/Schema_v5!$C10)</f>
        <v/>
      </c>
      <c r="AX18">
        <f>(W18-Schema_v5!$C11)/(Schema_v5!$C12-Schema_v5!$C11)</f>
        <v/>
      </c>
      <c r="AY18">
        <f>(X18-Schema_v5!$C13)/(Schema_v5!$C14-Schema_v5!$C13)</f>
        <v/>
      </c>
      <c r="AZ18">
        <f>MIN(1,MAX(0,U18/Schema_v7!$C$9))</f>
        <v/>
      </c>
      <c r="BA18">
        <f>IF(AJ18="yes",0.55,0)</f>
        <v/>
      </c>
      <c r="BB18">
        <f>IF(AI18="yes",0.10,0)</f>
        <v/>
      </c>
      <c r="BC18">
        <f>IF(Y18="COMM_Direct",0.92,IF(Y18="COMM_Emotional",0.70,IF(Y18="COMM_Logical",0.65,IF(Y18="COMM_Indirect",0.55,0.35))))</f>
        <v/>
      </c>
      <c r="BD18">
        <f>IF(Z18="REG_CoRegulator",0.92,IF(Z18="REG_SelfSoother",0.76,IF(Z18="REG_Distractor",0.48,0.35)))</f>
        <v/>
      </c>
      <c r="BE18">
        <f>IF(AA18="LANG_Time",0.76,IF(AA18="LANG_Service",0.70,IF(AA18="LANG_Words",0.72,IF(AA18="LANG_Touch",0.68,0.60))))</f>
        <v/>
      </c>
      <c r="BF18">
        <f>MAX(0,MIN(1,0.28*AS18+0.16*AT18+0.18*BC18+0.18*BD18+0.10*(1-AZ18)+0.10*(1-BA18)+BB18))</f>
        <v/>
      </c>
      <c r="BG18">
        <f>MAX(0,MIN(1,0.24*AU18+0.18*AS18+0.18*BC18+0.20*BD18+0.10*(1-AW18)+0.10*(1-BA18)))</f>
        <v/>
      </c>
      <c r="BH18">
        <f>MAX(0,MIN(1,0.28*AR18+0.18*AT18+0.16*AU18+0.18*(1-AV18)+0.10*(1-AW18)+0.10*BF18))</f>
        <v/>
      </c>
      <c r="BI18">
        <f>MAX(0,MIN(1,0.30*AV18+0.20*AZ18+0.20*AW18+0.15*(1-BH18)+0.15*(1-BO18)))</f>
        <v/>
      </c>
      <c r="BJ18">
        <f>MAX(0,1-(ABS(((( AX18+AY18)/2)-0.55)*1.6)))</f>
        <v/>
      </c>
      <c r="BK18">
        <f>MAX(0,MIN(1,0.28*AR18+0.18*AT18+0.16*BJ18+0.14*(1-AV18)+0.12*BQ18+0.12*BO18))</f>
        <v/>
      </c>
      <c r="BL18">
        <f>MAX(0,MIN(1,0.22*AQ18+0.18*AS18+0.18*BC18+0.18*BD18+0.08*BE18+0.10*BF18+0.06*BO18))</f>
        <v/>
      </c>
      <c r="BM18">
        <f>MAX(0,MIN(1,0.20*(1-AZ18)+0.16*(1-BA18)+0.14*(1-AW18)+0.14*AU18+0.18*BG18+0.10*BH18+0.08*BP18))</f>
        <v/>
      </c>
      <c r="BN18">
        <f>MAX(0,MIN(1,0.42*BJ18+0.33*BK18+0.15*AT18+0.10*BQ18))</f>
        <v/>
      </c>
      <c r="BO18">
        <f>MAX(0,MIN(1,0.30*BC18+0.24*BD18+0.18*AS18+0.14*(1-BI18)+0.14*AT18))</f>
        <v/>
      </c>
      <c r="BP18">
        <f>MAX(0,MIN(1,0.26*AS18+0.20*(1-BA18)+0.16*(1-AW18)+0.18*BG18+0.10*AU18+0.10+BB18))</f>
        <v/>
      </c>
      <c r="BQ18">
        <f>MAX(0,MIN(1,0.24*AT18+0.18*BF18+0.14*AR18+0.14*BO18+0.14*(1-AV18)+0.16*(1-AZ18)))</f>
        <v/>
      </c>
      <c r="BR18">
        <f>IF(BO18&gt;=0.80,"Open",IF(BO18&gt;=0.62,"Measured",IF(BO18&gt;=0.45,"Selective","Guarded")))</f>
        <v/>
      </c>
      <c r="BS18">
        <f>IF(Y18="COMM_Direct","Direct",IF(Y18="COMM_Emotional","Emotional",IF(Y18="COMM_Logical","Logical",IF(Y18="COMM_Indirect","Indirect","Avoidant"))))</f>
        <v/>
      </c>
      <c r="BT18">
        <f>IF(BG18&gt;=0.78,"Co-repair",IF(BG18&gt;=0.58,"Re-engage",IF(BG18&gt;=0.40,"Delay","Suppress")))</f>
        <v/>
      </c>
      <c r="BU18">
        <f>IF(BI18&gt;=0.70,"Retreat-risk",IF(BH18&lt;=0.40,"Rush-risk",IF(BH18&gt;=0.65,"Slow-build","Mixed")))</f>
        <v/>
      </c>
      <c r="BV18">
        <f>IF(BL18-BM18&gt;=0.15,"Stimulation-seeking",IF(BM18-BL18&gt;=0.15,"Calm-seeking","Mixed")))</f>
        <v/>
      </c>
      <c r="BW18">
        <f>IF(AND(BL18&gt;=0.72,BM18&lt;0.48),"High",IF(AND(BL18&gt;=0.60,BM18&lt;0.58),"Medium","Low"))</f>
        <v/>
      </c>
    </row>
    <row r="19" ht="81" customHeight="1" s="10">
      <c r="A19" s="2" t="inlineStr">
        <is>
          <t>Q04_C</t>
        </is>
      </c>
      <c r="B19" s="2" t="n">
        <v>4</v>
      </c>
      <c r="C19" s="2" t="n">
        <v>4</v>
      </c>
      <c r="D19" s="2" t="inlineStr">
        <is>
          <t>Core</t>
        </is>
      </c>
      <c r="E19" s="2" t="n">
        <v>1</v>
      </c>
      <c r="F19" s="2" t="inlineStr">
        <is>
          <t>CommunicationHealth</t>
        </is>
      </c>
      <c r="G19" s="2" t="inlineStr">
        <is>
          <t>EmotionalNeeds</t>
        </is>
      </c>
      <c r="H19" s="2" t="n"/>
      <c r="I19" s="2" t="inlineStr">
        <is>
          <t>C</t>
        </is>
      </c>
      <c r="J19" s="2" t="inlineStr">
        <is>
          <t>C</t>
        </is>
      </c>
      <c r="K19" s="2" t="inlineStr">
        <is>
          <t>I call it out. I just say what I see. I'd rather know now than waste time.</t>
        </is>
      </c>
      <c r="L19" s="2" t="n">
        <v>10</v>
      </c>
      <c r="M19" s="2" t="n">
        <v>10</v>
      </c>
      <c r="N19" s="2" t="n">
        <v>10</v>
      </c>
      <c r="O19" s="2" t="n">
        <v>10</v>
      </c>
      <c r="P19" s="2" t="n">
        <v>10</v>
      </c>
      <c r="Q19" s="2" t="inlineStr">
        <is>
          <t>Regulated Grown-Up</t>
        </is>
      </c>
      <c r="R19" s="2" t="n">
        <v>9</v>
      </c>
      <c r="S19" s="2" t="n"/>
      <c r="T19" s="2" t="n"/>
      <c r="U19" s="2" t="n">
        <v>0</v>
      </c>
      <c r="V19" s="2" t="inlineStr">
        <is>
          <t>masc:1.1;fem:0.9</t>
        </is>
      </c>
      <c r="W19" s="2" t="n">
        <v>1.1</v>
      </c>
      <c r="X19" s="2" t="n">
        <v>0.9</v>
      </c>
      <c r="Y19" s="2" t="inlineStr">
        <is>
          <t>COMM_Direct</t>
        </is>
      </c>
      <c r="Z19" s="2" t="inlineStr">
        <is>
          <t>REG_CoRegulator</t>
        </is>
      </c>
      <c r="AA19" s="2" t="inlineStr">
        <is>
          <t>LANG_Words</t>
        </is>
      </c>
      <c r="AB19" s="2" t="n"/>
      <c r="AC19" s="2" t="n"/>
      <c r="AD19" s="2" t="n"/>
      <c r="AE19" s="2" t="n">
        <v>0</v>
      </c>
      <c r="AF19" s="2" t="inlineStr">
        <is>
          <t>early clarity</t>
        </is>
      </c>
      <c r="AG19" s="2" t="inlineStr">
        <is>
          <t>straight talker</t>
        </is>
      </c>
      <c r="AH19" s="2" t="n">
        <v>0</v>
      </c>
      <c r="AI19" s="2" t="inlineStr">
        <is>
          <t>no</t>
        </is>
      </c>
      <c r="AJ19" s="2" t="inlineStr">
        <is>
          <t>no</t>
        </is>
      </c>
      <c r="AK19" s="2" t="inlineStr">
        <is>
          <t>yes</t>
        </is>
      </c>
      <c r="AL19" s="2" t="inlineStr">
        <is>
          <t>yes</t>
        </is>
      </c>
      <c r="AM19" s="2" t="n"/>
      <c r="AN19" s="2" t="n"/>
      <c r="AO19" s="2" t="n"/>
      <c r="AP19" s="2" t="inlineStr">
        <is>
          <t>v3_2026-03-19</t>
        </is>
      </c>
      <c r="AQ19">
        <f>(L19-Schema_v5!$C2)/(Schema_v5!$C3-Schema_v5!$C2)</f>
        <v/>
      </c>
      <c r="AR19">
        <f>(M19-Schema_v5!$C4)/(Schema_v5!$C5-Schema_v5!$C4)</f>
        <v/>
      </c>
      <c r="AS19">
        <f>N19/Schema_v5!$C6</f>
        <v/>
      </c>
      <c r="AT19">
        <f>O19/Schema_v5!$C7</f>
        <v/>
      </c>
      <c r="AU19">
        <f>P19/Schema_v5!$C8</f>
        <v/>
      </c>
      <c r="AV19">
        <f>IF(Schema_v5!$C9=0,0,AH19/Schema_v5!$C9)</f>
        <v/>
      </c>
      <c r="AW19">
        <f>IF(Schema_v5!$C10=0,0,AE19/Schema_v5!$C10)</f>
        <v/>
      </c>
      <c r="AX19">
        <f>(W19-Schema_v5!$C11)/(Schema_v5!$C12-Schema_v5!$C11)</f>
        <v/>
      </c>
      <c r="AY19">
        <f>(X19-Schema_v5!$C13)/(Schema_v5!$C14-Schema_v5!$C13)</f>
        <v/>
      </c>
      <c r="AZ19">
        <f>MIN(1,MAX(0,U19/Schema_v7!$C$9))</f>
        <v/>
      </c>
      <c r="BA19">
        <f>IF(AJ19="yes",0.55,0)</f>
        <v/>
      </c>
      <c r="BB19">
        <f>IF(AI19="yes",0.10,0)</f>
        <v/>
      </c>
      <c r="BC19">
        <f>IF(Y19="COMM_Direct",0.92,IF(Y19="COMM_Emotional",0.70,IF(Y19="COMM_Logical",0.65,IF(Y19="COMM_Indirect",0.55,0.35))))</f>
        <v/>
      </c>
      <c r="BD19">
        <f>IF(Z19="REG_CoRegulator",0.92,IF(Z19="REG_SelfSoother",0.76,IF(Z19="REG_Distractor",0.48,0.35)))</f>
        <v/>
      </c>
      <c r="BE19">
        <f>IF(AA19="LANG_Time",0.76,IF(AA19="LANG_Service",0.70,IF(AA19="LANG_Words",0.72,IF(AA19="LANG_Touch",0.68,0.60))))</f>
        <v/>
      </c>
      <c r="BF19">
        <f>MAX(0,MIN(1,0.28*AS19+0.16*AT19+0.18*BC19+0.18*BD19+0.10*(1-AZ19)+0.10*(1-BA19)+BB19))</f>
        <v/>
      </c>
      <c r="BG19">
        <f>MAX(0,MIN(1,0.24*AU19+0.18*AS19+0.18*BC19+0.20*BD19+0.10*(1-AW19)+0.10*(1-BA19)))</f>
        <v/>
      </c>
      <c r="BH19">
        <f>MAX(0,MIN(1,0.28*AR19+0.18*AT19+0.16*AU19+0.18*(1-AV19)+0.10*(1-AW19)+0.10*BF19))</f>
        <v/>
      </c>
      <c r="BI19">
        <f>MAX(0,MIN(1,0.30*AV19+0.20*AZ19+0.20*AW19+0.15*(1-BH19)+0.15*(1-BO19)))</f>
        <v/>
      </c>
      <c r="BJ19">
        <f>MAX(0,1-(ABS(((( AX19+AY19)/2)-0.55)*1.6)))</f>
        <v/>
      </c>
      <c r="BK19">
        <f>MAX(0,MIN(1,0.28*AR19+0.18*AT19+0.16*BJ19+0.14*(1-AV19)+0.12*BQ19+0.12*BO19))</f>
        <v/>
      </c>
      <c r="BL19">
        <f>MAX(0,MIN(1,0.22*AQ19+0.18*AS19+0.18*BC19+0.18*BD19+0.08*BE19+0.10*BF19+0.06*BO19))</f>
        <v/>
      </c>
      <c r="BM19">
        <f>MAX(0,MIN(1,0.20*(1-AZ19)+0.16*(1-BA19)+0.14*(1-AW19)+0.14*AU19+0.18*BG19+0.10*BH19+0.08*BP19))</f>
        <v/>
      </c>
      <c r="BN19">
        <f>MAX(0,MIN(1,0.42*BJ19+0.33*BK19+0.15*AT19+0.10*BQ19))</f>
        <v/>
      </c>
      <c r="BO19">
        <f>MAX(0,MIN(1,0.30*BC19+0.24*BD19+0.18*AS19+0.14*(1-BI19)+0.14*AT19))</f>
        <v/>
      </c>
      <c r="BP19">
        <f>MAX(0,MIN(1,0.26*AS19+0.20*(1-BA19)+0.16*(1-AW19)+0.18*BG19+0.10*AU19+0.10+BB19))</f>
        <v/>
      </c>
      <c r="BQ19">
        <f>MAX(0,MIN(1,0.24*AT19+0.18*BF19+0.14*AR19+0.14*BO19+0.14*(1-AV19)+0.16*(1-AZ19)))</f>
        <v/>
      </c>
      <c r="BR19">
        <f>IF(BO19&gt;=0.80,"Open",IF(BO19&gt;=0.62,"Measured",IF(BO19&gt;=0.45,"Selective","Guarded")))</f>
        <v/>
      </c>
      <c r="BS19">
        <f>IF(Y19="COMM_Direct","Direct",IF(Y19="COMM_Emotional","Emotional",IF(Y19="COMM_Logical","Logical",IF(Y19="COMM_Indirect","Indirect","Avoidant"))))</f>
        <v/>
      </c>
      <c r="BT19">
        <f>IF(BG19&gt;=0.78,"Co-repair",IF(BG19&gt;=0.58,"Re-engage",IF(BG19&gt;=0.40,"Delay","Suppress")))</f>
        <v/>
      </c>
      <c r="BU19">
        <f>IF(BI19&gt;=0.70,"Retreat-risk",IF(BH19&lt;=0.40,"Rush-risk",IF(BH19&gt;=0.65,"Slow-build","Mixed")))</f>
        <v/>
      </c>
      <c r="BV19">
        <f>IF(BL19-BM19&gt;=0.15,"Stimulation-seeking",IF(BM19-BL19&gt;=0.15,"Calm-seeking","Mixed")))</f>
        <v/>
      </c>
      <c r="BW19">
        <f>IF(AND(BL19&gt;=0.72,BM19&lt;0.48),"High",IF(AND(BL19&gt;=0.60,BM19&lt;0.58),"Medium","Low"))</f>
        <v/>
      </c>
    </row>
    <row r="20" ht="121.5" customHeight="1" s="10">
      <c r="A20" s="2" t="inlineStr">
        <is>
          <t>Q04_D</t>
        </is>
      </c>
      <c r="B20" s="2" t="n">
        <v>4</v>
      </c>
      <c r="C20" s="2" t="n">
        <v>4</v>
      </c>
      <c r="D20" s="2" t="inlineStr">
        <is>
          <t>Core</t>
        </is>
      </c>
      <c r="E20" s="2" t="n">
        <v>1</v>
      </c>
      <c r="F20" s="2" t="inlineStr">
        <is>
          <t>CommunicationHealth</t>
        </is>
      </c>
      <c r="G20" s="2" t="inlineStr">
        <is>
          <t>EmotionalNeeds</t>
        </is>
      </c>
      <c r="H20" s="2" t="n"/>
      <c r="I20" s="2" t="inlineStr">
        <is>
          <t>D</t>
        </is>
      </c>
      <c r="J20" s="2" t="inlineStr">
        <is>
          <t>D</t>
        </is>
      </c>
      <c r="K20" s="2" t="inlineStr">
        <is>
          <t>I tell myself I'm just being too picky or expecting too much. So I wait. I just stop texting first and start holding back.</t>
        </is>
      </c>
      <c r="L20" s="2" t="n">
        <v>4</v>
      </c>
      <c r="M20" s="2" t="n">
        <v>5</v>
      </c>
      <c r="N20" s="2" t="n">
        <v>0</v>
      </c>
      <c r="O20" s="2" t="n">
        <v>2</v>
      </c>
      <c r="P20" s="2" t="n">
        <v>0</v>
      </c>
      <c r="Q20" s="2" t="inlineStr">
        <is>
          <t>Phantom Seeker</t>
        </is>
      </c>
      <c r="R20" s="2" t="n">
        <v>10</v>
      </c>
      <c r="S20" s="2" t="n"/>
      <c r="T20" s="2" t="n"/>
      <c r="U20" s="2" t="n">
        <v>0</v>
      </c>
      <c r="V20" s="2" t="inlineStr">
        <is>
          <t>masc:-0.2;fem:1.5</t>
        </is>
      </c>
      <c r="W20" s="2" t="n">
        <v>-0.2</v>
      </c>
      <c r="X20" s="2" t="n">
        <v>1.5</v>
      </c>
      <c r="Y20" s="2" t="inlineStr">
        <is>
          <t>COMM_Emotional</t>
        </is>
      </c>
      <c r="Z20" s="2" t="inlineStr">
        <is>
          <t>REG_SelfSoother</t>
        </is>
      </c>
      <c r="AA20" s="2" t="inlineStr">
        <is>
          <t>LANG_Touch</t>
        </is>
      </c>
      <c r="AB20" s="2" t="inlineStr">
        <is>
          <t>Commitment_Ambiguity</t>
        </is>
      </c>
      <c r="AC20" s="2" t="inlineStr">
        <is>
          <t>Commitment_Ambiguity</t>
        </is>
      </c>
      <c r="AD20" s="2" t="n"/>
      <c r="AE20" s="2" t="n">
        <v>5</v>
      </c>
      <c r="AF20" s="2" t="inlineStr">
        <is>
          <t>self-doubt delay</t>
        </is>
      </c>
      <c r="AG20" s="2" t="inlineStr">
        <is>
          <t>pullback protector</t>
        </is>
      </c>
      <c r="AH20" s="2" t="n">
        <v>0.6</v>
      </c>
      <c r="AI20" s="2" t="inlineStr">
        <is>
          <t>yes</t>
        </is>
      </c>
      <c r="AJ20" s="2" t="inlineStr">
        <is>
          <t>no</t>
        </is>
      </c>
      <c r="AK20" s="2" t="inlineStr">
        <is>
          <t>yes</t>
        </is>
      </c>
      <c r="AL20" s="2" t="inlineStr">
        <is>
          <t>yes</t>
        </is>
      </c>
      <c r="AM20" s="2" t="n"/>
      <c r="AN20" s="2" t="n"/>
      <c r="AO20" s="2" t="n"/>
      <c r="AP20" s="2" t="inlineStr">
        <is>
          <t>v3_2026-03-19</t>
        </is>
      </c>
      <c r="AQ20">
        <f>(L20-Schema_v5!$C2)/(Schema_v5!$C3-Schema_v5!$C2)</f>
        <v/>
      </c>
      <c r="AR20">
        <f>(M20-Schema_v5!$C4)/(Schema_v5!$C5-Schema_v5!$C4)</f>
        <v/>
      </c>
      <c r="AS20">
        <f>N20/Schema_v5!$C6</f>
        <v/>
      </c>
      <c r="AT20">
        <f>O20/Schema_v5!$C7</f>
        <v/>
      </c>
      <c r="AU20">
        <f>P20/Schema_v5!$C8</f>
        <v/>
      </c>
      <c r="AV20">
        <f>IF(Schema_v5!$C9=0,0,AH20/Schema_v5!$C9)</f>
        <v/>
      </c>
      <c r="AW20">
        <f>IF(Schema_v5!$C10=0,0,AE20/Schema_v5!$C10)</f>
        <v/>
      </c>
      <c r="AX20">
        <f>(W20-Schema_v5!$C11)/(Schema_v5!$C12-Schema_v5!$C11)</f>
        <v/>
      </c>
      <c r="AY20">
        <f>(X20-Schema_v5!$C13)/(Schema_v5!$C14-Schema_v5!$C13)</f>
        <v/>
      </c>
      <c r="AZ20">
        <f>MIN(1,MAX(0,U20/Schema_v7!$C$9))</f>
        <v/>
      </c>
      <c r="BA20">
        <f>IF(AJ20="yes",0.55,0)</f>
        <v/>
      </c>
      <c r="BB20">
        <f>IF(AI20="yes",0.10,0)</f>
        <v/>
      </c>
      <c r="BC20">
        <f>IF(Y20="COMM_Direct",0.92,IF(Y20="COMM_Emotional",0.70,IF(Y20="COMM_Logical",0.65,IF(Y20="COMM_Indirect",0.55,0.35))))</f>
        <v/>
      </c>
      <c r="BD20">
        <f>IF(Z20="REG_CoRegulator",0.92,IF(Z20="REG_SelfSoother",0.76,IF(Z20="REG_Distractor",0.48,0.35)))</f>
        <v/>
      </c>
      <c r="BE20">
        <f>IF(AA20="LANG_Time",0.76,IF(AA20="LANG_Service",0.70,IF(AA20="LANG_Words",0.72,IF(AA20="LANG_Touch",0.68,0.60))))</f>
        <v/>
      </c>
      <c r="BF20">
        <f>MAX(0,MIN(1,0.28*AS20+0.16*AT20+0.18*BC20+0.18*BD20+0.10*(1-AZ20)+0.10*(1-BA20)+BB20))</f>
        <v/>
      </c>
      <c r="BG20">
        <f>MAX(0,MIN(1,0.24*AU20+0.18*AS20+0.18*BC20+0.20*BD20+0.10*(1-AW20)+0.10*(1-BA20)))</f>
        <v/>
      </c>
      <c r="BH20">
        <f>MAX(0,MIN(1,0.28*AR20+0.18*AT20+0.16*AU20+0.18*(1-AV20)+0.10*(1-AW20)+0.10*BF20))</f>
        <v/>
      </c>
      <c r="BI20">
        <f>MAX(0,MIN(1,0.30*AV20+0.20*AZ20+0.20*AW20+0.15*(1-BH20)+0.15*(1-BO20)))</f>
        <v/>
      </c>
      <c r="BJ20">
        <f>MAX(0,1-(ABS(((( AX20+AY20)/2)-0.55)*1.6)))</f>
        <v/>
      </c>
      <c r="BK20">
        <f>MAX(0,MIN(1,0.28*AR20+0.18*AT20+0.16*BJ20+0.14*(1-AV20)+0.12*BQ20+0.12*BO20))</f>
        <v/>
      </c>
      <c r="BL20">
        <f>MAX(0,MIN(1,0.22*AQ20+0.18*AS20+0.18*BC20+0.18*BD20+0.08*BE20+0.10*BF20+0.06*BO20))</f>
        <v/>
      </c>
      <c r="BM20">
        <f>MAX(0,MIN(1,0.20*(1-AZ20)+0.16*(1-BA20)+0.14*(1-AW20)+0.14*AU20+0.18*BG20+0.10*BH20+0.08*BP20))</f>
        <v/>
      </c>
      <c r="BN20">
        <f>MAX(0,MIN(1,0.42*BJ20+0.33*BK20+0.15*AT20+0.10*BQ20))</f>
        <v/>
      </c>
      <c r="BO20">
        <f>MAX(0,MIN(1,0.30*BC20+0.24*BD20+0.18*AS20+0.14*(1-BI20)+0.14*AT20))</f>
        <v/>
      </c>
      <c r="BP20">
        <f>MAX(0,MIN(1,0.26*AS20+0.20*(1-BA20)+0.16*(1-AW20)+0.18*BG20+0.10*AU20+0.10+BB20))</f>
        <v/>
      </c>
      <c r="BQ20">
        <f>MAX(0,MIN(1,0.24*AT20+0.18*BF20+0.14*AR20+0.14*BO20+0.14*(1-AV20)+0.16*(1-AZ20)))</f>
        <v/>
      </c>
      <c r="BR20">
        <f>IF(BO20&gt;=0.80,"Open",IF(BO20&gt;=0.62,"Measured",IF(BO20&gt;=0.45,"Selective","Guarded")))</f>
        <v/>
      </c>
      <c r="BS20">
        <f>IF(Y20="COMM_Direct","Direct",IF(Y20="COMM_Emotional","Emotional",IF(Y20="COMM_Logical","Logical",IF(Y20="COMM_Indirect","Indirect","Avoidant"))))</f>
        <v/>
      </c>
      <c r="BT20">
        <f>IF(BG20&gt;=0.78,"Co-repair",IF(BG20&gt;=0.58,"Re-engage",IF(BG20&gt;=0.40,"Delay","Suppress")))</f>
        <v/>
      </c>
      <c r="BU20">
        <f>IF(BI20&gt;=0.70,"Retreat-risk",IF(BH20&lt;=0.40,"Rush-risk",IF(BH20&gt;=0.65,"Slow-build","Mixed")))</f>
        <v/>
      </c>
      <c r="BV20">
        <f>IF(BL20-BM20&gt;=0.15,"Stimulation-seeking",IF(BM20-BL20&gt;=0.15,"Calm-seeking","Mixed")))</f>
        <v/>
      </c>
      <c r="BW20">
        <f>IF(AND(BL20&gt;=0.72,BM20&lt;0.48),"High",IF(AND(BL20&gt;=0.60,BM20&lt;0.58),"Medium","Low"))</f>
        <v/>
      </c>
    </row>
    <row r="21" ht="162" customHeight="1" s="10">
      <c r="A21" s="2" t="inlineStr">
        <is>
          <t>Q04_E</t>
        </is>
      </c>
      <c r="B21" s="2" t="n">
        <v>4</v>
      </c>
      <c r="C21" s="2" t="n">
        <v>4</v>
      </c>
      <c r="D21" s="2" t="inlineStr">
        <is>
          <t>Core</t>
        </is>
      </c>
      <c r="E21" s="2" t="n">
        <v>1</v>
      </c>
      <c r="F21" s="2" t="inlineStr">
        <is>
          <t>CommunicationHealth</t>
        </is>
      </c>
      <c r="G21" s="2" t="inlineStr">
        <is>
          <t>EmotionalNeeds</t>
        </is>
      </c>
      <c r="H21" s="2" t="n"/>
      <c r="I21" s="2" t="inlineStr">
        <is>
          <t>E</t>
        </is>
      </c>
      <c r="J21" s="2" t="inlineStr">
        <is>
          <t>E</t>
        </is>
      </c>
      <c r="K21" s="2" t="inlineStr">
        <is>
          <t>I've learned not to announce when I'm done, I just leave when I'm sure. I downplay it out loud, but mentally I start planning my exit.</t>
        </is>
      </c>
      <c r="L21" s="2" t="n">
        <v>8</v>
      </c>
      <c r="M21" s="2" t="n">
        <v>8</v>
      </c>
      <c r="N21" s="2" t="n">
        <v>4</v>
      </c>
      <c r="O21" s="2" t="n">
        <v>4</v>
      </c>
      <c r="P21" s="2" t="n">
        <v>0</v>
      </c>
      <c r="Q21" s="2" t="inlineStr">
        <is>
          <t>Quiet Exit</t>
        </is>
      </c>
      <c r="R21" s="2" t="n">
        <v>4</v>
      </c>
      <c r="S21" s="2" t="n"/>
      <c r="T21" s="2" t="n"/>
      <c r="U21" s="2" t="n">
        <v>0</v>
      </c>
      <c r="V21" s="2" t="inlineStr">
        <is>
          <t>masc:1.4;fem:-1.3</t>
        </is>
      </c>
      <c r="W21" s="2" t="n">
        <v>1.4</v>
      </c>
      <c r="X21" s="2" t="n">
        <v>-1.3</v>
      </c>
      <c r="Y21" s="2" t="inlineStr">
        <is>
          <t>COMM_Avoidant</t>
        </is>
      </c>
      <c r="Z21" s="2" t="inlineStr">
        <is>
          <t>REG_Suppressor</t>
        </is>
      </c>
      <c r="AA21" s="2" t="inlineStr">
        <is>
          <t>LANG_Time</t>
        </is>
      </c>
      <c r="AB21" s="2" t="n"/>
      <c r="AC21" s="2" t="n"/>
      <c r="AD21" s="2" t="n"/>
      <c r="AE21" s="2" t="n">
        <v>0</v>
      </c>
      <c r="AF21" s="2" t="inlineStr">
        <is>
          <t>silent exit plan</t>
        </is>
      </c>
      <c r="AG21" s="2" t="inlineStr">
        <is>
          <t>strategic withdrawer</t>
        </is>
      </c>
      <c r="AH21" s="2" t="n">
        <v>1.2</v>
      </c>
      <c r="AI21" s="2" t="inlineStr">
        <is>
          <t>no</t>
        </is>
      </c>
      <c r="AJ21" s="2" t="inlineStr">
        <is>
          <t>no</t>
        </is>
      </c>
      <c r="AK21" s="2" t="inlineStr">
        <is>
          <t>yes</t>
        </is>
      </c>
      <c r="AL21" s="2" t="inlineStr">
        <is>
          <t>yes</t>
        </is>
      </c>
      <c r="AM21" s="2" t="n"/>
      <c r="AN21" s="2" t="n"/>
      <c r="AO21" s="2" t="n"/>
      <c r="AP21" s="2" t="inlineStr">
        <is>
          <t>v3_2026-03-19</t>
        </is>
      </c>
      <c r="AQ21">
        <f>(L21-Schema_v5!$C2)/(Schema_v5!$C3-Schema_v5!$C2)</f>
        <v/>
      </c>
      <c r="AR21">
        <f>(M21-Schema_v5!$C4)/(Schema_v5!$C5-Schema_v5!$C4)</f>
        <v/>
      </c>
      <c r="AS21">
        <f>N21/Schema_v5!$C6</f>
        <v/>
      </c>
      <c r="AT21">
        <f>O21/Schema_v5!$C7</f>
        <v/>
      </c>
      <c r="AU21">
        <f>P21/Schema_v5!$C8</f>
        <v/>
      </c>
      <c r="AV21">
        <f>IF(Schema_v5!$C9=0,0,AH21/Schema_v5!$C9)</f>
        <v/>
      </c>
      <c r="AW21">
        <f>IF(Schema_v5!$C10=0,0,AE21/Schema_v5!$C10)</f>
        <v/>
      </c>
      <c r="AX21">
        <f>(W21-Schema_v5!$C11)/(Schema_v5!$C12-Schema_v5!$C11)</f>
        <v/>
      </c>
      <c r="AY21">
        <f>(X21-Schema_v5!$C13)/(Schema_v5!$C14-Schema_v5!$C13)</f>
        <v/>
      </c>
      <c r="AZ21">
        <f>MIN(1,MAX(0,U21/Schema_v7!$C$9))</f>
        <v/>
      </c>
      <c r="BA21">
        <f>IF(AJ21="yes",0.55,0)</f>
        <v/>
      </c>
      <c r="BB21">
        <f>IF(AI21="yes",0.10,0)</f>
        <v/>
      </c>
      <c r="BC21">
        <f>IF(Y21="COMM_Direct",0.92,IF(Y21="COMM_Emotional",0.70,IF(Y21="COMM_Logical",0.65,IF(Y21="COMM_Indirect",0.55,0.35))))</f>
        <v/>
      </c>
      <c r="BD21">
        <f>IF(Z21="REG_CoRegulator",0.92,IF(Z21="REG_SelfSoother",0.76,IF(Z21="REG_Distractor",0.48,0.35)))</f>
        <v/>
      </c>
      <c r="BE21">
        <f>IF(AA21="LANG_Time",0.76,IF(AA21="LANG_Service",0.70,IF(AA21="LANG_Words",0.72,IF(AA21="LANG_Touch",0.68,0.60))))</f>
        <v/>
      </c>
      <c r="BF21">
        <f>MAX(0,MIN(1,0.28*AS21+0.16*AT21+0.18*BC21+0.18*BD21+0.10*(1-AZ21)+0.10*(1-BA21)+BB21))</f>
        <v/>
      </c>
      <c r="BG21">
        <f>MAX(0,MIN(1,0.24*AU21+0.18*AS21+0.18*BC21+0.20*BD21+0.10*(1-AW21)+0.10*(1-BA21)))</f>
        <v/>
      </c>
      <c r="BH21">
        <f>MAX(0,MIN(1,0.28*AR21+0.18*AT21+0.16*AU21+0.18*(1-AV21)+0.10*(1-AW21)+0.10*BF21))</f>
        <v/>
      </c>
      <c r="BI21">
        <f>MAX(0,MIN(1,0.30*AV21+0.20*AZ21+0.20*AW21+0.15*(1-BH21)+0.15*(1-BO21)))</f>
        <v/>
      </c>
      <c r="BJ21">
        <f>MAX(0,1-(ABS(((( AX21+AY21)/2)-0.55)*1.6)))</f>
        <v/>
      </c>
      <c r="BK21">
        <f>MAX(0,MIN(1,0.28*AR21+0.18*AT21+0.16*BJ21+0.14*(1-AV21)+0.12*BQ21+0.12*BO21))</f>
        <v/>
      </c>
      <c r="BL21">
        <f>MAX(0,MIN(1,0.22*AQ21+0.18*AS21+0.18*BC21+0.18*BD21+0.08*BE21+0.10*BF21+0.06*BO21))</f>
        <v/>
      </c>
      <c r="BM21">
        <f>MAX(0,MIN(1,0.20*(1-AZ21)+0.16*(1-BA21)+0.14*(1-AW21)+0.14*AU21+0.18*BG21+0.10*BH21+0.08*BP21))</f>
        <v/>
      </c>
      <c r="BN21">
        <f>MAX(0,MIN(1,0.42*BJ21+0.33*BK21+0.15*AT21+0.10*BQ21))</f>
        <v/>
      </c>
      <c r="BO21">
        <f>MAX(0,MIN(1,0.30*BC21+0.24*BD21+0.18*AS21+0.14*(1-BI21)+0.14*AT21))</f>
        <v/>
      </c>
      <c r="BP21">
        <f>MAX(0,MIN(1,0.26*AS21+0.20*(1-BA21)+0.16*(1-AW21)+0.18*BG21+0.10*AU21+0.10+BB21))</f>
        <v/>
      </c>
      <c r="BQ21">
        <f>MAX(0,MIN(1,0.24*AT21+0.18*BF21+0.14*AR21+0.14*BO21+0.14*(1-AV21)+0.16*(1-AZ21)))</f>
        <v/>
      </c>
      <c r="BR21">
        <f>IF(BO21&gt;=0.80,"Open",IF(BO21&gt;=0.62,"Measured",IF(BO21&gt;=0.45,"Selective","Guarded")))</f>
        <v/>
      </c>
      <c r="BS21">
        <f>IF(Y21="COMM_Direct","Direct",IF(Y21="COMM_Emotional","Emotional",IF(Y21="COMM_Logical","Logical",IF(Y21="COMM_Indirect","Indirect","Avoidant"))))</f>
        <v/>
      </c>
      <c r="BT21">
        <f>IF(BG21&gt;=0.78,"Co-repair",IF(BG21&gt;=0.58,"Re-engage",IF(BG21&gt;=0.40,"Delay","Suppress")))</f>
        <v/>
      </c>
      <c r="BU21">
        <f>IF(BI21&gt;=0.70,"Retreat-risk",IF(BH21&lt;=0.40,"Rush-risk",IF(BH21&gt;=0.65,"Slow-build","Mixed")))</f>
        <v/>
      </c>
      <c r="BV21">
        <f>IF(BL21-BM21&gt;=0.15,"Stimulation-seeking",IF(BM21-BL21&gt;=0.15,"Calm-seeking","Mixed")))</f>
        <v/>
      </c>
      <c r="BW21">
        <f>IF(AND(BL21&gt;=0.72,BM21&lt;0.48),"High",IF(AND(BL21&gt;=0.60,BM21&lt;0.58),"Medium","Low"))</f>
        <v/>
      </c>
    </row>
    <row r="22" ht="175.5" customHeight="1" s="10">
      <c r="A22" s="2" t="inlineStr">
        <is>
          <t>Q05_A</t>
        </is>
      </c>
      <c r="B22" s="2" t="n">
        <v>5</v>
      </c>
      <c r="C22" s="2" t="n">
        <v>5</v>
      </c>
      <c r="D22" s="2" t="inlineStr">
        <is>
          <t>Core</t>
        </is>
      </c>
      <c r="E22" s="2" t="n">
        <v>1</v>
      </c>
      <c r="F22" s="2" t="inlineStr">
        <is>
          <t>CommunicationHealth</t>
        </is>
      </c>
      <c r="G22" s="2" t="inlineStr">
        <is>
          <t>EmotionalNeeds</t>
        </is>
      </c>
      <c r="H22" s="2" t="inlineStr">
        <is>
          <t>You open up about something personal. They listen, but they don't really respond or say much. How do you take that?</t>
        </is>
      </c>
      <c r="I22" s="2" t="inlineStr">
        <is>
          <t>A</t>
        </is>
      </c>
      <c r="J22" s="2" t="inlineStr">
        <is>
          <t>A</t>
        </is>
      </c>
      <c r="K22" s="2" t="inlineStr">
        <is>
          <t>I don't expect much from people emotionally. I just log it as "noted" and move on. No point getting deep with someone who doesn't meet you there.</t>
        </is>
      </c>
      <c r="L22" s="2" t="n">
        <v>4</v>
      </c>
      <c r="M22" s="2" t="n">
        <v>5</v>
      </c>
      <c r="N22" s="2" t="n">
        <v>0</v>
      </c>
      <c r="O22" s="2" t="n">
        <v>0</v>
      </c>
      <c r="P22" s="2" t="n">
        <v>0</v>
      </c>
      <c r="Q22" s="2" t="inlineStr">
        <is>
          <t>Icebox</t>
        </is>
      </c>
      <c r="R22" s="2" t="n">
        <v>1</v>
      </c>
      <c r="S22" s="2" t="n"/>
      <c r="T22" s="2" t="n"/>
      <c r="U22" s="2" t="n">
        <v>0</v>
      </c>
      <c r="V22" s="2" t="inlineStr">
        <is>
          <t>masc:1.8;fem:-1.6</t>
        </is>
      </c>
      <c r="W22" s="2" t="n">
        <v>1.8</v>
      </c>
      <c r="X22" s="2" t="n">
        <v>-1.6</v>
      </c>
      <c r="Y22" s="2" t="inlineStr">
        <is>
          <t>COMM_Avoidant</t>
        </is>
      </c>
      <c r="Z22" s="2" t="inlineStr">
        <is>
          <t>REG_Suppressor</t>
        </is>
      </c>
      <c r="AA22" s="2" t="inlineStr">
        <is>
          <t>LANG_Time</t>
        </is>
      </c>
      <c r="AB22" s="2" t="inlineStr">
        <is>
          <t>Scorekeeping_Echo , Vulnerability_Loop</t>
        </is>
      </c>
      <c r="AC22" s="2" t="inlineStr">
        <is>
          <t>Scorekeeping_Echo</t>
        </is>
      </c>
      <c r="AD22" s="2" t="inlineStr">
        <is>
          <t>Vulnerability_Loop</t>
        </is>
      </c>
      <c r="AE22" s="2" t="n">
        <v>13</v>
      </c>
      <c r="AF22" s="2" t="inlineStr">
        <is>
          <t>low expectation logging</t>
        </is>
      </c>
      <c r="AG22" s="2" t="inlineStr">
        <is>
          <t>cool detacher</t>
        </is>
      </c>
      <c r="AH22" s="2" t="n">
        <v>0.6</v>
      </c>
      <c r="AI22" s="2" t="inlineStr">
        <is>
          <t>yes</t>
        </is>
      </c>
      <c r="AJ22" s="2" t="inlineStr">
        <is>
          <t>no</t>
        </is>
      </c>
      <c r="AK22" s="2" t="inlineStr">
        <is>
          <t>yes</t>
        </is>
      </c>
      <c r="AL22" s="2" t="inlineStr">
        <is>
          <t>yes</t>
        </is>
      </c>
      <c r="AM22" s="2" t="n"/>
      <c r="AN22" s="2" t="n"/>
      <c r="AO22" s="2" t="n"/>
      <c r="AP22" s="2" t="inlineStr">
        <is>
          <t>v3_2026-03-19</t>
        </is>
      </c>
      <c r="AQ22">
        <f>(L22-Schema_v5!$C2)/(Schema_v5!$C3-Schema_v5!$C2)</f>
        <v/>
      </c>
      <c r="AR22">
        <f>(M22-Schema_v5!$C4)/(Schema_v5!$C5-Schema_v5!$C4)</f>
        <v/>
      </c>
      <c r="AS22">
        <f>N22/Schema_v5!$C6</f>
        <v/>
      </c>
      <c r="AT22">
        <f>O22/Schema_v5!$C7</f>
        <v/>
      </c>
      <c r="AU22">
        <f>P22/Schema_v5!$C8</f>
        <v/>
      </c>
      <c r="AV22">
        <f>IF(Schema_v5!$C9=0,0,AH22/Schema_v5!$C9)</f>
        <v/>
      </c>
      <c r="AW22">
        <f>IF(Schema_v5!$C10=0,0,AE22/Schema_v5!$C10)</f>
        <v/>
      </c>
      <c r="AX22">
        <f>(W22-Schema_v5!$C11)/(Schema_v5!$C12-Schema_v5!$C11)</f>
        <v/>
      </c>
      <c r="AY22">
        <f>(X22-Schema_v5!$C13)/(Schema_v5!$C14-Schema_v5!$C13)</f>
        <v/>
      </c>
      <c r="AZ22">
        <f>MIN(1,MAX(0,U22/Schema_v7!$C$9))</f>
        <v/>
      </c>
      <c r="BA22">
        <f>IF(AJ22="yes",0.55,0)</f>
        <v/>
      </c>
      <c r="BB22">
        <f>IF(AI22="yes",0.10,0)</f>
        <v/>
      </c>
      <c r="BC22">
        <f>IF(Y22="COMM_Direct",0.92,IF(Y22="COMM_Emotional",0.70,IF(Y22="COMM_Logical",0.65,IF(Y22="COMM_Indirect",0.55,0.35))))</f>
        <v/>
      </c>
      <c r="BD22">
        <f>IF(Z22="REG_CoRegulator",0.92,IF(Z22="REG_SelfSoother",0.76,IF(Z22="REG_Distractor",0.48,0.35)))</f>
        <v/>
      </c>
      <c r="BE22">
        <f>IF(AA22="LANG_Time",0.76,IF(AA22="LANG_Service",0.70,IF(AA22="LANG_Words",0.72,IF(AA22="LANG_Touch",0.68,0.60))))</f>
        <v/>
      </c>
      <c r="BF22">
        <f>MAX(0,MIN(1,0.28*AS22+0.16*AT22+0.18*BC22+0.18*BD22+0.10*(1-AZ22)+0.10*(1-BA22)+BB22))</f>
        <v/>
      </c>
      <c r="BG22">
        <f>MAX(0,MIN(1,0.24*AU22+0.18*AS22+0.18*BC22+0.20*BD22+0.10*(1-AW22)+0.10*(1-BA22)))</f>
        <v/>
      </c>
      <c r="BH22">
        <f>MAX(0,MIN(1,0.28*AR22+0.18*AT22+0.16*AU22+0.18*(1-AV22)+0.10*(1-AW22)+0.10*BF22))</f>
        <v/>
      </c>
      <c r="BI22">
        <f>MAX(0,MIN(1,0.30*AV22+0.20*AZ22+0.20*AW22+0.15*(1-BH22)+0.15*(1-BO22)))</f>
        <v/>
      </c>
      <c r="BJ22">
        <f>MAX(0,1-(ABS(((( AX22+AY22)/2)-0.55)*1.6)))</f>
        <v/>
      </c>
      <c r="BK22">
        <f>MAX(0,MIN(1,0.28*AR22+0.18*AT22+0.16*BJ22+0.14*(1-AV22)+0.12*BQ22+0.12*BO22))</f>
        <v/>
      </c>
      <c r="BL22">
        <f>MAX(0,MIN(1,0.22*AQ22+0.18*AS22+0.18*BC22+0.18*BD22+0.08*BE22+0.10*BF22+0.06*BO22))</f>
        <v/>
      </c>
      <c r="BM22">
        <f>MAX(0,MIN(1,0.20*(1-AZ22)+0.16*(1-BA22)+0.14*(1-AW22)+0.14*AU22+0.18*BG22+0.10*BH22+0.08*BP22))</f>
        <v/>
      </c>
      <c r="BN22">
        <f>MAX(0,MIN(1,0.42*BJ22+0.33*BK22+0.15*AT22+0.10*BQ22))</f>
        <v/>
      </c>
      <c r="BO22">
        <f>MAX(0,MIN(1,0.30*BC22+0.24*BD22+0.18*AS22+0.14*(1-BI22)+0.14*AT22))</f>
        <v/>
      </c>
      <c r="BP22">
        <f>MAX(0,MIN(1,0.26*AS22+0.20*(1-BA22)+0.16*(1-AW22)+0.18*BG22+0.10*AU22+0.10+BB22))</f>
        <v/>
      </c>
      <c r="BQ22">
        <f>MAX(0,MIN(1,0.24*AT22+0.18*BF22+0.14*AR22+0.14*BO22+0.14*(1-AV22)+0.16*(1-AZ22)))</f>
        <v/>
      </c>
      <c r="BR22">
        <f>IF(BO22&gt;=0.80,"Open",IF(BO22&gt;=0.62,"Measured",IF(BO22&gt;=0.45,"Selective","Guarded")))</f>
        <v/>
      </c>
      <c r="BS22">
        <f>IF(Y22="COMM_Direct","Direct",IF(Y22="COMM_Emotional","Emotional",IF(Y22="COMM_Logical","Logical",IF(Y22="COMM_Indirect","Indirect","Avoidant"))))</f>
        <v/>
      </c>
      <c r="BT22">
        <f>IF(BG22&gt;=0.78,"Co-repair",IF(BG22&gt;=0.58,"Re-engage",IF(BG22&gt;=0.40,"Delay","Suppress")))</f>
        <v/>
      </c>
      <c r="BU22">
        <f>IF(BI22&gt;=0.70,"Retreat-risk",IF(BH22&lt;=0.40,"Rush-risk",IF(BH22&gt;=0.65,"Slow-build","Mixed")))</f>
        <v/>
      </c>
      <c r="BV22">
        <f>IF(BL22-BM22&gt;=0.15,"Stimulation-seeking",IF(BM22-BL22&gt;=0.15,"Calm-seeking","Mixed")))</f>
        <v/>
      </c>
      <c r="BW22">
        <f>IF(AND(BL22&gt;=0.72,BM22&lt;0.48),"High",IF(AND(BL22&gt;=0.60,BM22&lt;0.58),"Medium","Low"))</f>
        <v/>
      </c>
    </row>
    <row r="23" ht="135" customHeight="1" s="10">
      <c r="A23" s="2" t="inlineStr">
        <is>
          <t>Q05_B</t>
        </is>
      </c>
      <c r="B23" s="2" t="n">
        <v>5</v>
      </c>
      <c r="C23" s="2" t="n">
        <v>5</v>
      </c>
      <c r="D23" s="2" t="inlineStr">
        <is>
          <t>Core</t>
        </is>
      </c>
      <c r="E23" s="2" t="n">
        <v>1</v>
      </c>
      <c r="F23" s="2" t="inlineStr">
        <is>
          <t>CommunicationHealth</t>
        </is>
      </c>
      <c r="G23" s="2" t="inlineStr">
        <is>
          <t>EmotionalNeeds</t>
        </is>
      </c>
      <c r="H23" s="2" t="n"/>
      <c r="I23" s="2" t="inlineStr">
        <is>
          <t>B</t>
        </is>
      </c>
      <c r="J23" s="2" t="inlineStr">
        <is>
          <t>B</t>
        </is>
      </c>
      <c r="K23" s="2" t="inlineStr">
        <is>
          <t>I brush it off, but I don't forget it. Stuff like that reminds me who's safe and who just wants the easy version of me.</t>
        </is>
      </c>
      <c r="L23" s="2" t="n">
        <v>6</v>
      </c>
      <c r="M23" s="2" t="n">
        <v>7</v>
      </c>
      <c r="N23" s="2" t="n">
        <v>4</v>
      </c>
      <c r="O23" s="2" t="n">
        <v>6</v>
      </c>
      <c r="P23" s="2" t="n">
        <v>6</v>
      </c>
      <c r="Q23" s="2" t="inlineStr">
        <is>
          <t>Survivor</t>
        </is>
      </c>
      <c r="R23" s="2" t="n">
        <v>8</v>
      </c>
      <c r="S23" s="2" t="n"/>
      <c r="T23" s="2" t="n"/>
      <c r="U23" s="2" t="n">
        <v>0</v>
      </c>
      <c r="V23" s="2" t="inlineStr">
        <is>
          <t>masc:0.3;fem:1.3</t>
        </is>
      </c>
      <c r="W23" s="2" t="n">
        <v>0.3</v>
      </c>
      <c r="X23" s="2" t="n">
        <v>1.3</v>
      </c>
      <c r="Y23" s="2" t="inlineStr">
        <is>
          <t>COMM_Emotional</t>
        </is>
      </c>
      <c r="Z23" s="2" t="inlineStr">
        <is>
          <t>REG_SelfSoother</t>
        </is>
      </c>
      <c r="AA23" s="2" t="inlineStr">
        <is>
          <t>LANG_Service</t>
        </is>
      </c>
      <c r="AB23" s="2" t="n"/>
      <c r="AC23" s="2" t="n"/>
      <c r="AD23" s="2" t="n"/>
      <c r="AE23" s="2" t="n">
        <v>0</v>
      </c>
      <c r="AF23" s="2" t="inlineStr">
        <is>
          <t>guarded memory</t>
        </is>
      </c>
      <c r="AG23" s="2" t="inlineStr">
        <is>
          <t>loyalty filter</t>
        </is>
      </c>
      <c r="AH23" s="2" t="n">
        <v>0</v>
      </c>
      <c r="AI23" s="2" t="inlineStr">
        <is>
          <t>no</t>
        </is>
      </c>
      <c r="AJ23" s="2" t="inlineStr">
        <is>
          <t>no</t>
        </is>
      </c>
      <c r="AK23" s="2" t="inlineStr">
        <is>
          <t>yes</t>
        </is>
      </c>
      <c r="AL23" s="2" t="inlineStr">
        <is>
          <t>yes</t>
        </is>
      </c>
      <c r="AM23" s="2" t="n"/>
      <c r="AN23" s="2" t="n"/>
      <c r="AO23" s="2" t="n"/>
      <c r="AP23" s="2" t="inlineStr">
        <is>
          <t>v3_2026-03-19</t>
        </is>
      </c>
      <c r="AQ23">
        <f>(L23-Schema_v5!$C2)/(Schema_v5!$C3-Schema_v5!$C2)</f>
        <v/>
      </c>
      <c r="AR23">
        <f>(M23-Schema_v5!$C4)/(Schema_v5!$C5-Schema_v5!$C4)</f>
        <v/>
      </c>
      <c r="AS23">
        <f>N23/Schema_v5!$C6</f>
        <v/>
      </c>
      <c r="AT23">
        <f>O23/Schema_v5!$C7</f>
        <v/>
      </c>
      <c r="AU23">
        <f>P23/Schema_v5!$C8</f>
        <v/>
      </c>
      <c r="AV23">
        <f>IF(Schema_v5!$C9=0,0,AH23/Schema_v5!$C9)</f>
        <v/>
      </c>
      <c r="AW23">
        <f>IF(Schema_v5!$C10=0,0,AE23/Schema_v5!$C10)</f>
        <v/>
      </c>
      <c r="AX23">
        <f>(W23-Schema_v5!$C11)/(Schema_v5!$C12-Schema_v5!$C11)</f>
        <v/>
      </c>
      <c r="AY23">
        <f>(X23-Schema_v5!$C13)/(Schema_v5!$C14-Schema_v5!$C13)</f>
        <v/>
      </c>
      <c r="AZ23">
        <f>MIN(1,MAX(0,U23/Schema_v7!$C$9))</f>
        <v/>
      </c>
      <c r="BA23">
        <f>IF(AJ23="yes",0.55,0)</f>
        <v/>
      </c>
      <c r="BB23">
        <f>IF(AI23="yes",0.10,0)</f>
        <v/>
      </c>
      <c r="BC23">
        <f>IF(Y23="COMM_Direct",0.92,IF(Y23="COMM_Emotional",0.70,IF(Y23="COMM_Logical",0.65,IF(Y23="COMM_Indirect",0.55,0.35))))</f>
        <v/>
      </c>
      <c r="BD23">
        <f>IF(Z23="REG_CoRegulator",0.92,IF(Z23="REG_SelfSoother",0.76,IF(Z23="REG_Distractor",0.48,0.35)))</f>
        <v/>
      </c>
      <c r="BE23">
        <f>IF(AA23="LANG_Time",0.76,IF(AA23="LANG_Service",0.70,IF(AA23="LANG_Words",0.72,IF(AA23="LANG_Touch",0.68,0.60))))</f>
        <v/>
      </c>
      <c r="BF23">
        <f>MAX(0,MIN(1,0.28*AS23+0.16*AT23+0.18*BC23+0.18*BD23+0.10*(1-AZ23)+0.10*(1-BA23)+BB23))</f>
        <v/>
      </c>
      <c r="BG23">
        <f>MAX(0,MIN(1,0.24*AU23+0.18*AS23+0.18*BC23+0.20*BD23+0.10*(1-AW23)+0.10*(1-BA23)))</f>
        <v/>
      </c>
      <c r="BH23">
        <f>MAX(0,MIN(1,0.28*AR23+0.18*AT23+0.16*AU23+0.18*(1-AV23)+0.10*(1-AW23)+0.10*BF23))</f>
        <v/>
      </c>
      <c r="BI23">
        <f>MAX(0,MIN(1,0.30*AV23+0.20*AZ23+0.20*AW23+0.15*(1-BH23)+0.15*(1-BO23)))</f>
        <v/>
      </c>
      <c r="BJ23">
        <f>MAX(0,1-(ABS(((( AX23+AY23)/2)-0.55)*1.6)))</f>
        <v/>
      </c>
      <c r="BK23">
        <f>MAX(0,MIN(1,0.28*AR23+0.18*AT23+0.16*BJ23+0.14*(1-AV23)+0.12*BQ23+0.12*BO23))</f>
        <v/>
      </c>
      <c r="BL23">
        <f>MAX(0,MIN(1,0.22*AQ23+0.18*AS23+0.18*BC23+0.18*BD23+0.08*BE23+0.10*BF23+0.06*BO23))</f>
        <v/>
      </c>
      <c r="BM23">
        <f>MAX(0,MIN(1,0.20*(1-AZ23)+0.16*(1-BA23)+0.14*(1-AW23)+0.14*AU23+0.18*BG23+0.10*BH23+0.08*BP23))</f>
        <v/>
      </c>
      <c r="BN23">
        <f>MAX(0,MIN(1,0.42*BJ23+0.33*BK23+0.15*AT23+0.10*BQ23))</f>
        <v/>
      </c>
      <c r="BO23">
        <f>MAX(0,MIN(1,0.30*BC23+0.24*BD23+0.18*AS23+0.14*(1-BI23)+0.14*AT23))</f>
        <v/>
      </c>
      <c r="BP23">
        <f>MAX(0,MIN(1,0.26*AS23+0.20*(1-BA23)+0.16*(1-AW23)+0.18*BG23+0.10*AU23+0.10+BB23))</f>
        <v/>
      </c>
      <c r="BQ23">
        <f>MAX(0,MIN(1,0.24*AT23+0.18*BF23+0.14*AR23+0.14*BO23+0.14*(1-AV23)+0.16*(1-AZ23)))</f>
        <v/>
      </c>
      <c r="BR23">
        <f>IF(BO23&gt;=0.80,"Open",IF(BO23&gt;=0.62,"Measured",IF(BO23&gt;=0.45,"Selective","Guarded")))</f>
        <v/>
      </c>
      <c r="BS23">
        <f>IF(Y23="COMM_Direct","Direct",IF(Y23="COMM_Emotional","Emotional",IF(Y23="COMM_Logical","Logical",IF(Y23="COMM_Indirect","Indirect","Avoidant"))))</f>
        <v/>
      </c>
      <c r="BT23">
        <f>IF(BG23&gt;=0.78,"Co-repair",IF(BG23&gt;=0.58,"Re-engage",IF(BG23&gt;=0.40,"Delay","Suppress")))</f>
        <v/>
      </c>
      <c r="BU23">
        <f>IF(BI23&gt;=0.70,"Retreat-risk",IF(BH23&lt;=0.40,"Rush-risk",IF(BH23&gt;=0.65,"Slow-build","Mixed")))</f>
        <v/>
      </c>
      <c r="BV23">
        <f>IF(BL23-BM23&gt;=0.15,"Stimulation-seeking",IF(BM23-BL23&gt;=0.15,"Calm-seeking","Mixed")))</f>
        <v/>
      </c>
      <c r="BW23">
        <f>IF(AND(BL23&gt;=0.72,BM23&lt;0.48),"High",IF(AND(BL23&gt;=0.60,BM23&lt;0.58),"Medium","Low"))</f>
        <v/>
      </c>
    </row>
    <row r="24" ht="148.5" customHeight="1" s="10">
      <c r="A24" s="2" t="inlineStr">
        <is>
          <t>Q05_C</t>
        </is>
      </c>
      <c r="B24" s="2" t="n">
        <v>5</v>
      </c>
      <c r="C24" s="2" t="n">
        <v>5</v>
      </c>
      <c r="D24" s="2" t="inlineStr">
        <is>
          <t>Core</t>
        </is>
      </c>
      <c r="E24" s="2" t="n">
        <v>1</v>
      </c>
      <c r="F24" s="2" t="inlineStr">
        <is>
          <t>CommunicationHealth</t>
        </is>
      </c>
      <c r="G24" s="2" t="inlineStr">
        <is>
          <t>EmotionalNeeds</t>
        </is>
      </c>
      <c r="H24" s="2" t="n"/>
      <c r="I24" s="2" t="inlineStr">
        <is>
          <t>C</t>
        </is>
      </c>
      <c r="J24" s="2" t="inlineStr">
        <is>
          <t>C</t>
        </is>
      </c>
      <c r="K24" s="2" t="inlineStr">
        <is>
          <t>I try to explain again, maybe they didn't get it. And if they still don't? I stop showing that side to someone who doesn't see me.</t>
        </is>
      </c>
      <c r="L24" s="2" t="n">
        <v>8</v>
      </c>
      <c r="M24" s="2" t="n">
        <v>9</v>
      </c>
      <c r="N24" s="2" t="n">
        <v>8</v>
      </c>
      <c r="O24" s="2" t="n">
        <v>10</v>
      </c>
      <c r="P24" s="2" t="n">
        <v>8</v>
      </c>
      <c r="Q24" s="2" t="inlineStr">
        <is>
          <t>Fixer</t>
        </is>
      </c>
      <c r="R24" s="2" t="n">
        <v>5</v>
      </c>
      <c r="S24" s="2" t="n"/>
      <c r="T24" s="2" t="n"/>
      <c r="U24" s="2" t="n">
        <v>0</v>
      </c>
      <c r="V24" s="2" t="inlineStr">
        <is>
          <t>masc:-0.4;fem:2.0</t>
        </is>
      </c>
      <c r="W24" s="2" t="n">
        <v>-0.4</v>
      </c>
      <c r="X24" s="2" t="n">
        <v>2</v>
      </c>
      <c r="Y24" s="2" t="inlineStr">
        <is>
          <t>COMM_Emotional</t>
        </is>
      </c>
      <c r="Z24" s="2" t="inlineStr">
        <is>
          <t>REG_CoRegulator</t>
        </is>
      </c>
      <c r="AA24" s="2" t="inlineStr">
        <is>
          <t>LANG_Service</t>
        </is>
      </c>
      <c r="AB24" s="2" t="n"/>
      <c r="AC24" s="2" t="n"/>
      <c r="AD24" s="2" t="n"/>
      <c r="AE24" s="2" t="n">
        <v>0</v>
      </c>
      <c r="AF24" s="2" t="inlineStr">
        <is>
          <t>repair attempt</t>
        </is>
      </c>
      <c r="AG24" s="2" t="inlineStr">
        <is>
          <t>persistent helper</t>
        </is>
      </c>
      <c r="AH24" s="2" t="n">
        <v>0</v>
      </c>
      <c r="AI24" s="2" t="inlineStr">
        <is>
          <t>no</t>
        </is>
      </c>
      <c r="AJ24" s="2" t="inlineStr">
        <is>
          <t>no</t>
        </is>
      </c>
      <c r="AK24" s="2" t="inlineStr">
        <is>
          <t>yes</t>
        </is>
      </c>
      <c r="AL24" s="2" t="inlineStr">
        <is>
          <t>yes</t>
        </is>
      </c>
      <c r="AM24" s="2" t="n"/>
      <c r="AN24" s="2" t="n"/>
      <c r="AO24" s="2" t="n"/>
      <c r="AP24" s="2" t="inlineStr">
        <is>
          <t>v3_2026-03-19</t>
        </is>
      </c>
      <c r="AQ24">
        <f>(L24-Schema_v5!$C2)/(Schema_v5!$C3-Schema_v5!$C2)</f>
        <v/>
      </c>
      <c r="AR24">
        <f>(M24-Schema_v5!$C4)/(Schema_v5!$C5-Schema_v5!$C4)</f>
        <v/>
      </c>
      <c r="AS24">
        <f>N24/Schema_v5!$C6</f>
        <v/>
      </c>
      <c r="AT24">
        <f>O24/Schema_v5!$C7</f>
        <v/>
      </c>
      <c r="AU24">
        <f>P24/Schema_v5!$C8</f>
        <v/>
      </c>
      <c r="AV24">
        <f>IF(Schema_v5!$C9=0,0,AH24/Schema_v5!$C9)</f>
        <v/>
      </c>
      <c r="AW24">
        <f>IF(Schema_v5!$C10=0,0,AE24/Schema_v5!$C10)</f>
        <v/>
      </c>
      <c r="AX24">
        <f>(W24-Schema_v5!$C11)/(Schema_v5!$C12-Schema_v5!$C11)</f>
        <v/>
      </c>
      <c r="AY24">
        <f>(X24-Schema_v5!$C13)/(Schema_v5!$C14-Schema_v5!$C13)</f>
        <v/>
      </c>
      <c r="AZ24">
        <f>MIN(1,MAX(0,U24/Schema_v7!$C$9))</f>
        <v/>
      </c>
      <c r="BA24">
        <f>IF(AJ24="yes",0.55,0)</f>
        <v/>
      </c>
      <c r="BB24">
        <f>IF(AI24="yes",0.10,0)</f>
        <v/>
      </c>
      <c r="BC24">
        <f>IF(Y24="COMM_Direct",0.92,IF(Y24="COMM_Emotional",0.70,IF(Y24="COMM_Logical",0.65,IF(Y24="COMM_Indirect",0.55,0.35))))</f>
        <v/>
      </c>
      <c r="BD24">
        <f>IF(Z24="REG_CoRegulator",0.92,IF(Z24="REG_SelfSoother",0.76,IF(Z24="REG_Distractor",0.48,0.35)))</f>
        <v/>
      </c>
      <c r="BE24">
        <f>IF(AA24="LANG_Time",0.76,IF(AA24="LANG_Service",0.70,IF(AA24="LANG_Words",0.72,IF(AA24="LANG_Touch",0.68,0.60))))</f>
        <v/>
      </c>
      <c r="BF24">
        <f>MAX(0,MIN(1,0.28*AS24+0.16*AT24+0.18*BC24+0.18*BD24+0.10*(1-AZ24)+0.10*(1-BA24)+BB24))</f>
        <v/>
      </c>
      <c r="BG24">
        <f>MAX(0,MIN(1,0.24*AU24+0.18*AS24+0.18*BC24+0.20*BD24+0.10*(1-AW24)+0.10*(1-BA24)))</f>
        <v/>
      </c>
      <c r="BH24">
        <f>MAX(0,MIN(1,0.28*AR24+0.18*AT24+0.16*AU24+0.18*(1-AV24)+0.10*(1-AW24)+0.10*BF24))</f>
        <v/>
      </c>
      <c r="BI24">
        <f>MAX(0,MIN(1,0.30*AV24+0.20*AZ24+0.20*AW24+0.15*(1-BH24)+0.15*(1-BO24)))</f>
        <v/>
      </c>
      <c r="BJ24">
        <f>MAX(0,1-(ABS(((( AX24+AY24)/2)-0.55)*1.6)))</f>
        <v/>
      </c>
      <c r="BK24">
        <f>MAX(0,MIN(1,0.28*AR24+0.18*AT24+0.16*BJ24+0.14*(1-AV24)+0.12*BQ24+0.12*BO24))</f>
        <v/>
      </c>
      <c r="BL24">
        <f>MAX(0,MIN(1,0.22*AQ24+0.18*AS24+0.18*BC24+0.18*BD24+0.08*BE24+0.10*BF24+0.06*BO24))</f>
        <v/>
      </c>
      <c r="BM24">
        <f>MAX(0,MIN(1,0.20*(1-AZ24)+0.16*(1-BA24)+0.14*(1-AW24)+0.14*AU24+0.18*BG24+0.10*BH24+0.08*BP24))</f>
        <v/>
      </c>
      <c r="BN24">
        <f>MAX(0,MIN(1,0.42*BJ24+0.33*BK24+0.15*AT24+0.10*BQ24))</f>
        <v/>
      </c>
      <c r="BO24">
        <f>MAX(0,MIN(1,0.30*BC24+0.24*BD24+0.18*AS24+0.14*(1-BI24)+0.14*AT24))</f>
        <v/>
      </c>
      <c r="BP24">
        <f>MAX(0,MIN(1,0.26*AS24+0.20*(1-BA24)+0.16*(1-AW24)+0.18*BG24+0.10*AU24+0.10+BB24))</f>
        <v/>
      </c>
      <c r="BQ24">
        <f>MAX(0,MIN(1,0.24*AT24+0.18*BF24+0.14*AR24+0.14*BO24+0.14*(1-AV24)+0.16*(1-AZ24)))</f>
        <v/>
      </c>
      <c r="BR24">
        <f>IF(BO24&gt;=0.80,"Open",IF(BO24&gt;=0.62,"Measured",IF(BO24&gt;=0.45,"Selective","Guarded")))</f>
        <v/>
      </c>
      <c r="BS24">
        <f>IF(Y24="COMM_Direct","Direct",IF(Y24="COMM_Emotional","Emotional",IF(Y24="COMM_Logical","Logical",IF(Y24="COMM_Indirect","Indirect","Avoidant"))))</f>
        <v/>
      </c>
      <c r="BT24">
        <f>IF(BG24&gt;=0.78,"Co-repair",IF(BG24&gt;=0.58,"Re-engage",IF(BG24&gt;=0.40,"Delay","Suppress")))</f>
        <v/>
      </c>
      <c r="BU24">
        <f>IF(BI24&gt;=0.70,"Retreat-risk",IF(BH24&lt;=0.40,"Rush-risk",IF(BH24&gt;=0.65,"Slow-build","Mixed")))</f>
        <v/>
      </c>
      <c r="BV24">
        <f>IF(BL24-BM24&gt;=0.15,"Stimulation-seeking",IF(BM24-BL24&gt;=0.15,"Calm-seeking","Mixed")))</f>
        <v/>
      </c>
      <c r="BW24">
        <f>IF(AND(BL24&gt;=0.72,BM24&lt;0.48),"High",IF(AND(BL24&gt;=0.60,BM24&lt;0.58),"Medium","Low"))</f>
        <v/>
      </c>
    </row>
    <row r="25" ht="162" customHeight="1" s="10">
      <c r="A25" s="2" t="inlineStr">
        <is>
          <t>Q05_D</t>
        </is>
      </c>
      <c r="B25" s="2" t="n">
        <v>5</v>
      </c>
      <c r="C25" s="2" t="n">
        <v>5</v>
      </c>
      <c r="D25" s="2" t="inlineStr">
        <is>
          <t>Core</t>
        </is>
      </c>
      <c r="E25" s="2" t="n">
        <v>1</v>
      </c>
      <c r="F25" s="2" t="inlineStr">
        <is>
          <t>CommunicationHealth</t>
        </is>
      </c>
      <c r="G25" s="2" t="inlineStr">
        <is>
          <t>EmotionalNeeds</t>
        </is>
      </c>
      <c r="H25" s="2" t="n"/>
      <c r="I25" s="2" t="inlineStr">
        <is>
          <t>D</t>
        </is>
      </c>
      <c r="J25" s="2" t="inlineStr">
        <is>
          <t>D</t>
        </is>
      </c>
      <c r="K25" s="2" t="inlineStr">
        <is>
          <t>I keep it smooth, but I notice the shift. Makes me rethink what I share next time, it's easier to just stay surface when people don't respond.</t>
        </is>
      </c>
      <c r="L25" s="2" t="n">
        <v>5</v>
      </c>
      <c r="M25" s="2" t="n">
        <v>6</v>
      </c>
      <c r="N25" s="2" t="n">
        <v>0</v>
      </c>
      <c r="O25" s="2" t="n">
        <v>2</v>
      </c>
      <c r="P25" s="2" t="n">
        <v>0</v>
      </c>
      <c r="Q25" s="2" t="inlineStr">
        <is>
          <t>Performer</t>
        </is>
      </c>
      <c r="R25" s="2" t="n">
        <v>7</v>
      </c>
      <c r="S25" s="2" t="n"/>
      <c r="T25" s="2" t="n"/>
      <c r="U25" s="2" t="n">
        <v>0</v>
      </c>
      <c r="V25" s="2" t="inlineStr">
        <is>
          <t>masc:0.3;fem:0.5</t>
        </is>
      </c>
      <c r="W25" s="2" t="n">
        <v>0.3</v>
      </c>
      <c r="X25" s="2" t="n">
        <v>0.5</v>
      </c>
      <c r="Y25" s="2" t="inlineStr">
        <is>
          <t>COMM_Indirect</t>
        </is>
      </c>
      <c r="Z25" s="2" t="inlineStr">
        <is>
          <t>REG_Distractor</t>
        </is>
      </c>
      <c r="AA25" s="2" t="inlineStr">
        <is>
          <t>LANG_Gifts</t>
        </is>
      </c>
      <c r="AB25" s="2" t="inlineStr">
        <is>
          <t>Public_Private_Split , Conflict_Flip</t>
        </is>
      </c>
      <c r="AC25" s="2" t="inlineStr">
        <is>
          <t>Public_Private_Split</t>
        </is>
      </c>
      <c r="AD25" s="2" t="inlineStr">
        <is>
          <t>Conflict_Flip</t>
        </is>
      </c>
      <c r="AE25" s="2" t="n">
        <v>8</v>
      </c>
      <c r="AF25" s="2" t="inlineStr">
        <is>
          <t>image-based withdrawal</t>
        </is>
      </c>
      <c r="AG25" s="2" t="inlineStr">
        <is>
          <t>surface masker</t>
        </is>
      </c>
      <c r="AH25" s="2" t="n">
        <v>1.2</v>
      </c>
      <c r="AI25" s="2" t="inlineStr">
        <is>
          <t>yes</t>
        </is>
      </c>
      <c r="AJ25" s="2" t="inlineStr">
        <is>
          <t>no</t>
        </is>
      </c>
      <c r="AK25" s="2" t="inlineStr">
        <is>
          <t>yes</t>
        </is>
      </c>
      <c r="AL25" s="2" t="inlineStr">
        <is>
          <t>yes</t>
        </is>
      </c>
      <c r="AM25" s="2" t="n"/>
      <c r="AN25" s="2" t="n"/>
      <c r="AO25" s="2" t="n"/>
      <c r="AP25" s="2" t="inlineStr">
        <is>
          <t>v3_2026-03-19</t>
        </is>
      </c>
      <c r="AQ25">
        <f>(L25-Schema_v5!$C2)/(Schema_v5!$C3-Schema_v5!$C2)</f>
        <v/>
      </c>
      <c r="AR25">
        <f>(M25-Schema_v5!$C4)/(Schema_v5!$C5-Schema_v5!$C4)</f>
        <v/>
      </c>
      <c r="AS25">
        <f>N25/Schema_v5!$C6</f>
        <v/>
      </c>
      <c r="AT25">
        <f>O25/Schema_v5!$C7</f>
        <v/>
      </c>
      <c r="AU25">
        <f>P25/Schema_v5!$C8</f>
        <v/>
      </c>
      <c r="AV25">
        <f>IF(Schema_v5!$C9=0,0,AH25/Schema_v5!$C9)</f>
        <v/>
      </c>
      <c r="AW25">
        <f>IF(Schema_v5!$C10=0,0,AE25/Schema_v5!$C10)</f>
        <v/>
      </c>
      <c r="AX25">
        <f>(W25-Schema_v5!$C11)/(Schema_v5!$C12-Schema_v5!$C11)</f>
        <v/>
      </c>
      <c r="AY25">
        <f>(X25-Schema_v5!$C13)/(Schema_v5!$C14-Schema_v5!$C13)</f>
        <v/>
      </c>
      <c r="AZ25">
        <f>MIN(1,MAX(0,U25/Schema_v7!$C$9))</f>
        <v/>
      </c>
      <c r="BA25">
        <f>IF(AJ25="yes",0.55,0)</f>
        <v/>
      </c>
      <c r="BB25">
        <f>IF(AI25="yes",0.10,0)</f>
        <v/>
      </c>
      <c r="BC25">
        <f>IF(Y25="COMM_Direct",0.92,IF(Y25="COMM_Emotional",0.70,IF(Y25="COMM_Logical",0.65,IF(Y25="COMM_Indirect",0.55,0.35))))</f>
        <v/>
      </c>
      <c r="BD25">
        <f>IF(Z25="REG_CoRegulator",0.92,IF(Z25="REG_SelfSoother",0.76,IF(Z25="REG_Distractor",0.48,0.35)))</f>
        <v/>
      </c>
      <c r="BE25">
        <f>IF(AA25="LANG_Time",0.76,IF(AA25="LANG_Service",0.70,IF(AA25="LANG_Words",0.72,IF(AA25="LANG_Touch",0.68,0.60))))</f>
        <v/>
      </c>
      <c r="BF25">
        <f>MAX(0,MIN(1,0.28*AS25+0.16*AT25+0.18*BC25+0.18*BD25+0.10*(1-AZ25)+0.10*(1-BA25)+BB25))</f>
        <v/>
      </c>
      <c r="BG25">
        <f>MAX(0,MIN(1,0.24*AU25+0.18*AS25+0.18*BC25+0.20*BD25+0.10*(1-AW25)+0.10*(1-BA25)))</f>
        <v/>
      </c>
      <c r="BH25">
        <f>MAX(0,MIN(1,0.28*AR25+0.18*AT25+0.16*AU25+0.18*(1-AV25)+0.10*(1-AW25)+0.10*BF25))</f>
        <v/>
      </c>
      <c r="BI25">
        <f>MAX(0,MIN(1,0.30*AV25+0.20*AZ25+0.20*AW25+0.15*(1-BH25)+0.15*(1-BO25)))</f>
        <v/>
      </c>
      <c r="BJ25">
        <f>MAX(0,1-(ABS(((( AX25+AY25)/2)-0.55)*1.6)))</f>
        <v/>
      </c>
      <c r="BK25">
        <f>MAX(0,MIN(1,0.28*AR25+0.18*AT25+0.16*BJ25+0.14*(1-AV25)+0.12*BQ25+0.12*BO25))</f>
        <v/>
      </c>
      <c r="BL25">
        <f>MAX(0,MIN(1,0.22*AQ25+0.18*AS25+0.18*BC25+0.18*BD25+0.08*BE25+0.10*BF25+0.06*BO25))</f>
        <v/>
      </c>
      <c r="BM25">
        <f>MAX(0,MIN(1,0.20*(1-AZ25)+0.16*(1-BA25)+0.14*(1-AW25)+0.14*AU25+0.18*BG25+0.10*BH25+0.08*BP25))</f>
        <v/>
      </c>
      <c r="BN25">
        <f>MAX(0,MIN(1,0.42*BJ25+0.33*BK25+0.15*AT25+0.10*BQ25))</f>
        <v/>
      </c>
      <c r="BO25">
        <f>MAX(0,MIN(1,0.30*BC25+0.24*BD25+0.18*AS25+0.14*(1-BI25)+0.14*AT25))</f>
        <v/>
      </c>
      <c r="BP25">
        <f>MAX(0,MIN(1,0.26*AS25+0.20*(1-BA25)+0.16*(1-AW25)+0.18*BG25+0.10*AU25+0.10+BB25))</f>
        <v/>
      </c>
      <c r="BQ25">
        <f>MAX(0,MIN(1,0.24*AT25+0.18*BF25+0.14*AR25+0.14*BO25+0.14*(1-AV25)+0.16*(1-AZ25)))</f>
        <v/>
      </c>
      <c r="BR25">
        <f>IF(BO25&gt;=0.80,"Open",IF(BO25&gt;=0.62,"Measured",IF(BO25&gt;=0.45,"Selective","Guarded")))</f>
        <v/>
      </c>
      <c r="BS25">
        <f>IF(Y25="COMM_Direct","Direct",IF(Y25="COMM_Emotional","Emotional",IF(Y25="COMM_Logical","Logical",IF(Y25="COMM_Indirect","Indirect","Avoidant"))))</f>
        <v/>
      </c>
      <c r="BT25">
        <f>IF(BG25&gt;=0.78,"Co-repair",IF(BG25&gt;=0.58,"Re-engage",IF(BG25&gt;=0.40,"Delay","Suppress")))</f>
        <v/>
      </c>
      <c r="BU25">
        <f>IF(BI25&gt;=0.70,"Retreat-risk",IF(BH25&lt;=0.40,"Rush-risk",IF(BH25&gt;=0.65,"Slow-build","Mixed")))</f>
        <v/>
      </c>
      <c r="BV25">
        <f>IF(BL25-BM25&gt;=0.15,"Stimulation-seeking",IF(BM25-BL25&gt;=0.15,"Calm-seeking","Mixed")))</f>
        <v/>
      </c>
      <c r="BW25">
        <f>IF(AND(BL25&gt;=0.72,BM25&lt;0.48),"High",IF(AND(BL25&gt;=0.60,BM25&lt;0.58),"Medium","Low"))</f>
        <v/>
      </c>
    </row>
    <row r="26" ht="121.5" customHeight="1" s="10">
      <c r="A26" s="2" t="inlineStr">
        <is>
          <t>Q05_E</t>
        </is>
      </c>
      <c r="B26" s="2" t="n">
        <v>5</v>
      </c>
      <c r="C26" s="2" t="n">
        <v>5</v>
      </c>
      <c r="D26" s="2" t="inlineStr">
        <is>
          <t>Core</t>
        </is>
      </c>
      <c r="E26" s="2" t="n">
        <v>1</v>
      </c>
      <c r="F26" s="2" t="inlineStr">
        <is>
          <t>CommunicationHealth</t>
        </is>
      </c>
      <c r="G26" s="2" t="inlineStr">
        <is>
          <t>EmotionalNeeds</t>
        </is>
      </c>
      <c r="H26" s="2" t="n"/>
      <c r="I26" s="2" t="inlineStr">
        <is>
          <t>E</t>
        </is>
      </c>
      <c r="J26" s="2" t="inlineStr">
        <is>
          <t>E</t>
        </is>
      </c>
      <c r="K26" s="2" t="inlineStr">
        <is>
          <t>Silence says a lot. I take note. If they care, it'll show later, if not, I don't open that part of me again.</t>
        </is>
      </c>
      <c r="L26" s="2" t="n">
        <v>9</v>
      </c>
      <c r="M26" s="2" t="n">
        <v>9</v>
      </c>
      <c r="N26" s="2" t="n">
        <v>10</v>
      </c>
      <c r="O26" s="2" t="n">
        <v>10</v>
      </c>
      <c r="P26" s="2" t="n">
        <v>10</v>
      </c>
      <c r="Q26" s="2" t="inlineStr">
        <is>
          <t>Regulated Grown-Up</t>
        </is>
      </c>
      <c r="R26" s="2" t="n">
        <v>9</v>
      </c>
      <c r="S26" s="2" t="n"/>
      <c r="T26" s="2" t="n"/>
      <c r="U26" s="2" t="n">
        <v>0</v>
      </c>
      <c r="V26" s="2" t="inlineStr">
        <is>
          <t>masc:1.1;fem:0.9</t>
        </is>
      </c>
      <c r="W26" s="2" t="n">
        <v>1.1</v>
      </c>
      <c r="X26" s="2" t="n">
        <v>0.9</v>
      </c>
      <c r="Y26" s="2" t="inlineStr">
        <is>
          <t>COMM_Direct</t>
        </is>
      </c>
      <c r="Z26" s="2" t="inlineStr">
        <is>
          <t>REG_CoRegulator</t>
        </is>
      </c>
      <c r="AA26" s="2" t="inlineStr">
        <is>
          <t>LANG_Words</t>
        </is>
      </c>
      <c r="AB26" s="2" t="n"/>
      <c r="AC26" s="2" t="n"/>
      <c r="AD26" s="2" t="n"/>
      <c r="AE26" s="2" t="n">
        <v>0</v>
      </c>
      <c r="AF26" s="2" t="inlineStr">
        <is>
          <t>high awareness</t>
        </is>
      </c>
      <c r="AG26" s="2" t="inlineStr">
        <is>
          <t>calm sentinel</t>
        </is>
      </c>
      <c r="AH26" s="2" t="n">
        <v>0</v>
      </c>
      <c r="AI26" s="2" t="inlineStr">
        <is>
          <t>no</t>
        </is>
      </c>
      <c r="AJ26" s="2" t="inlineStr">
        <is>
          <t>no</t>
        </is>
      </c>
      <c r="AK26" s="2" t="inlineStr">
        <is>
          <t>yes</t>
        </is>
      </c>
      <c r="AL26" s="2" t="inlineStr">
        <is>
          <t>yes</t>
        </is>
      </c>
      <c r="AM26" s="2" t="n"/>
      <c r="AN26" s="2" t="n"/>
      <c r="AO26" s="2" t="n"/>
      <c r="AP26" s="2" t="inlineStr">
        <is>
          <t>v3_2026-03-19</t>
        </is>
      </c>
      <c r="AQ26">
        <f>(L26-Schema_v5!$C2)/(Schema_v5!$C3-Schema_v5!$C2)</f>
        <v/>
      </c>
      <c r="AR26">
        <f>(M26-Schema_v5!$C4)/(Schema_v5!$C5-Schema_v5!$C4)</f>
        <v/>
      </c>
      <c r="AS26">
        <f>N26/Schema_v5!$C6</f>
        <v/>
      </c>
      <c r="AT26">
        <f>O26/Schema_v5!$C7</f>
        <v/>
      </c>
      <c r="AU26">
        <f>P26/Schema_v5!$C8</f>
        <v/>
      </c>
      <c r="AV26">
        <f>IF(Schema_v5!$C9=0,0,AH26/Schema_v5!$C9)</f>
        <v/>
      </c>
      <c r="AW26">
        <f>IF(Schema_v5!$C10=0,0,AE26/Schema_v5!$C10)</f>
        <v/>
      </c>
      <c r="AX26">
        <f>(W26-Schema_v5!$C11)/(Schema_v5!$C12-Schema_v5!$C11)</f>
        <v/>
      </c>
      <c r="AY26">
        <f>(X26-Schema_v5!$C13)/(Schema_v5!$C14-Schema_v5!$C13)</f>
        <v/>
      </c>
      <c r="AZ26">
        <f>MIN(1,MAX(0,U26/Schema_v7!$C$9))</f>
        <v/>
      </c>
      <c r="BA26">
        <f>IF(AJ26="yes",0.55,0)</f>
        <v/>
      </c>
      <c r="BB26">
        <f>IF(AI26="yes",0.10,0)</f>
        <v/>
      </c>
      <c r="BC26">
        <f>IF(Y26="COMM_Direct",0.92,IF(Y26="COMM_Emotional",0.70,IF(Y26="COMM_Logical",0.65,IF(Y26="COMM_Indirect",0.55,0.35))))</f>
        <v/>
      </c>
      <c r="BD26">
        <f>IF(Z26="REG_CoRegulator",0.92,IF(Z26="REG_SelfSoother",0.76,IF(Z26="REG_Distractor",0.48,0.35)))</f>
        <v/>
      </c>
      <c r="BE26">
        <f>IF(AA26="LANG_Time",0.76,IF(AA26="LANG_Service",0.70,IF(AA26="LANG_Words",0.72,IF(AA26="LANG_Touch",0.68,0.60))))</f>
        <v/>
      </c>
      <c r="BF26">
        <f>MAX(0,MIN(1,0.28*AS26+0.16*AT26+0.18*BC26+0.18*BD26+0.10*(1-AZ26)+0.10*(1-BA26)+BB26))</f>
        <v/>
      </c>
      <c r="BG26">
        <f>MAX(0,MIN(1,0.24*AU26+0.18*AS26+0.18*BC26+0.20*BD26+0.10*(1-AW26)+0.10*(1-BA26)))</f>
        <v/>
      </c>
      <c r="BH26">
        <f>MAX(0,MIN(1,0.28*AR26+0.18*AT26+0.16*AU26+0.18*(1-AV26)+0.10*(1-AW26)+0.10*BF26))</f>
        <v/>
      </c>
      <c r="BI26">
        <f>MAX(0,MIN(1,0.30*AV26+0.20*AZ26+0.20*AW26+0.15*(1-BH26)+0.15*(1-BO26)))</f>
        <v/>
      </c>
      <c r="BJ26">
        <f>MAX(0,1-(ABS(((( AX26+AY26)/2)-0.55)*1.6)))</f>
        <v/>
      </c>
      <c r="BK26">
        <f>MAX(0,MIN(1,0.28*AR26+0.18*AT26+0.16*BJ26+0.14*(1-AV26)+0.12*BQ26+0.12*BO26))</f>
        <v/>
      </c>
      <c r="BL26">
        <f>MAX(0,MIN(1,0.22*AQ26+0.18*AS26+0.18*BC26+0.18*BD26+0.08*BE26+0.10*BF26+0.06*BO26))</f>
        <v/>
      </c>
      <c r="BM26">
        <f>MAX(0,MIN(1,0.20*(1-AZ26)+0.16*(1-BA26)+0.14*(1-AW26)+0.14*AU26+0.18*BG26+0.10*BH26+0.08*BP26))</f>
        <v/>
      </c>
      <c r="BN26">
        <f>MAX(0,MIN(1,0.42*BJ26+0.33*BK26+0.15*AT26+0.10*BQ26))</f>
        <v/>
      </c>
      <c r="BO26">
        <f>MAX(0,MIN(1,0.30*BC26+0.24*BD26+0.18*AS26+0.14*(1-BI26)+0.14*AT26))</f>
        <v/>
      </c>
      <c r="BP26">
        <f>MAX(0,MIN(1,0.26*AS26+0.20*(1-BA26)+0.16*(1-AW26)+0.18*BG26+0.10*AU26+0.10+BB26))</f>
        <v/>
      </c>
      <c r="BQ26">
        <f>MAX(0,MIN(1,0.24*AT26+0.18*BF26+0.14*AR26+0.14*BO26+0.14*(1-AV26)+0.16*(1-AZ26)))</f>
        <v/>
      </c>
      <c r="BR26">
        <f>IF(BO26&gt;=0.80,"Open",IF(BO26&gt;=0.62,"Measured",IF(BO26&gt;=0.45,"Selective","Guarded")))</f>
        <v/>
      </c>
      <c r="BS26">
        <f>IF(Y26="COMM_Direct","Direct",IF(Y26="COMM_Emotional","Emotional",IF(Y26="COMM_Logical","Logical",IF(Y26="COMM_Indirect","Indirect","Avoidant"))))</f>
        <v/>
      </c>
      <c r="BT26">
        <f>IF(BG26&gt;=0.78,"Co-repair",IF(BG26&gt;=0.58,"Re-engage",IF(BG26&gt;=0.40,"Delay","Suppress")))</f>
        <v/>
      </c>
      <c r="BU26">
        <f>IF(BI26&gt;=0.70,"Retreat-risk",IF(BH26&lt;=0.40,"Rush-risk",IF(BH26&gt;=0.65,"Slow-build","Mixed")))</f>
        <v/>
      </c>
      <c r="BV26">
        <f>IF(BL26-BM26&gt;=0.15,"Stimulation-seeking",IF(BM26-BL26&gt;=0.15,"Calm-seeking","Mixed")))</f>
        <v/>
      </c>
      <c r="BW26">
        <f>IF(AND(BL26&gt;=0.72,BM26&lt;0.48),"High",IF(AND(BL26&gt;=0.60,BM26&lt;0.58),"Medium","Low"))</f>
        <v/>
      </c>
    </row>
    <row r="27" ht="108" customHeight="1" s="10">
      <c r="A27" s="2" t="inlineStr">
        <is>
          <t>Q06_A</t>
        </is>
      </c>
      <c r="B27" s="2" t="n">
        <v>6</v>
      </c>
      <c r="C27" s="2" t="n">
        <v>6</v>
      </c>
      <c r="D27" s="2" t="inlineStr">
        <is>
          <t>Core</t>
        </is>
      </c>
      <c r="E27" s="2" t="n">
        <v>1</v>
      </c>
      <c r="F27" s="2" t="inlineStr">
        <is>
          <t>CommunicationHealth</t>
        </is>
      </c>
      <c r="G27" s="2" t="inlineStr">
        <is>
          <t>EmotionalNeeds</t>
        </is>
      </c>
      <c r="H27" s="2" t="inlineStr">
        <is>
          <t>Question 6: One day they're into you, then distant the next. How do you handle the mixed signals?</t>
        </is>
      </c>
      <c r="I27" s="2" t="inlineStr">
        <is>
          <t>A</t>
        </is>
      </c>
      <c r="J27" s="2" t="inlineStr">
        <is>
          <t>A</t>
        </is>
      </c>
      <c r="K27" s="2" t="inlineStr">
        <is>
          <t>If you're hot and cold, I'm room temperature and gone. I'm not here to decode moods.</t>
        </is>
      </c>
      <c r="L27" s="2" t="n">
        <v>9</v>
      </c>
      <c r="M27" s="2" t="n">
        <v>9</v>
      </c>
      <c r="N27" s="2" t="n">
        <v>10</v>
      </c>
      <c r="O27" s="2" t="n">
        <v>10</v>
      </c>
      <c r="P27" s="2" t="n">
        <v>10</v>
      </c>
      <c r="Q27" s="2" t="inlineStr">
        <is>
          <t>Regulated Grown-Up</t>
        </is>
      </c>
      <c r="R27" s="2" t="n">
        <v>9</v>
      </c>
      <c r="S27" s="2" t="n"/>
      <c r="T27" s="2" t="n"/>
      <c r="U27" s="2" t="n">
        <v>0</v>
      </c>
      <c r="V27" s="2" t="inlineStr">
        <is>
          <t>masc:1.1;fem:0.9</t>
        </is>
      </c>
      <c r="W27" s="2" t="n">
        <v>1.1</v>
      </c>
      <c r="X27" s="2" t="n">
        <v>0.9</v>
      </c>
      <c r="Y27" s="2" t="inlineStr">
        <is>
          <t>COMM_Direct</t>
        </is>
      </c>
      <c r="Z27" s="2" t="inlineStr">
        <is>
          <t>REG_CoRegulator</t>
        </is>
      </c>
      <c r="AA27" s="2" t="inlineStr">
        <is>
          <t>LANG_Words</t>
        </is>
      </c>
      <c r="AB27" s="2" t="n"/>
      <c r="AC27" s="2" t="n"/>
      <c r="AD27" s="2" t="n"/>
      <c r="AE27" s="2" t="n">
        <v>0</v>
      </c>
      <c r="AF27" s="2" t="inlineStr">
        <is>
          <t>blunt detachment</t>
        </is>
      </c>
      <c r="AG27" s="2" t="inlineStr">
        <is>
          <t>immediate cutoff</t>
        </is>
      </c>
      <c r="AH27" s="2" t="n">
        <v>1.2</v>
      </c>
      <c r="AI27" s="2" t="inlineStr">
        <is>
          <t>no</t>
        </is>
      </c>
      <c r="AJ27" s="2" t="inlineStr">
        <is>
          <t>no</t>
        </is>
      </c>
      <c r="AK27" s="2" t="inlineStr">
        <is>
          <t>yes</t>
        </is>
      </c>
      <c r="AL27" s="2" t="inlineStr">
        <is>
          <t>yes</t>
        </is>
      </c>
      <c r="AM27" s="2" t="n"/>
      <c r="AN27" s="2" t="n"/>
      <c r="AO27" s="2" t="n"/>
      <c r="AP27" s="2" t="inlineStr">
        <is>
          <t>v3_2026-03-19</t>
        </is>
      </c>
      <c r="AQ27">
        <f>(L27-Schema_v5!$C2)/(Schema_v5!$C3-Schema_v5!$C2)</f>
        <v/>
      </c>
      <c r="AR27">
        <f>(M27-Schema_v5!$C4)/(Schema_v5!$C5-Schema_v5!$C4)</f>
        <v/>
      </c>
      <c r="AS27">
        <f>N27/Schema_v5!$C6</f>
        <v/>
      </c>
      <c r="AT27">
        <f>O27/Schema_v5!$C7</f>
        <v/>
      </c>
      <c r="AU27">
        <f>P27/Schema_v5!$C8</f>
        <v/>
      </c>
      <c r="AV27">
        <f>IF(Schema_v5!$C9=0,0,AH27/Schema_v5!$C9)</f>
        <v/>
      </c>
      <c r="AW27">
        <f>IF(Schema_v5!$C10=0,0,AE27/Schema_v5!$C10)</f>
        <v/>
      </c>
      <c r="AX27">
        <f>(W27-Schema_v5!$C11)/(Schema_v5!$C12-Schema_v5!$C11)</f>
        <v/>
      </c>
      <c r="AY27">
        <f>(X27-Schema_v5!$C13)/(Schema_v5!$C14-Schema_v5!$C13)</f>
        <v/>
      </c>
      <c r="AZ27">
        <f>MIN(1,MAX(0,U27/Schema_v7!$C$9))</f>
        <v/>
      </c>
      <c r="BA27">
        <f>IF(AJ27="yes",0.55,0)</f>
        <v/>
      </c>
      <c r="BB27">
        <f>IF(AI27="yes",0.10,0)</f>
        <v/>
      </c>
      <c r="BC27">
        <f>IF(Y27="COMM_Direct",0.92,IF(Y27="COMM_Emotional",0.70,IF(Y27="COMM_Logical",0.65,IF(Y27="COMM_Indirect",0.55,0.35))))</f>
        <v/>
      </c>
      <c r="BD27">
        <f>IF(Z27="REG_CoRegulator",0.92,IF(Z27="REG_SelfSoother",0.76,IF(Z27="REG_Distractor",0.48,0.35)))</f>
        <v/>
      </c>
      <c r="BE27">
        <f>IF(AA27="LANG_Time",0.76,IF(AA27="LANG_Service",0.70,IF(AA27="LANG_Words",0.72,IF(AA27="LANG_Touch",0.68,0.60))))</f>
        <v/>
      </c>
      <c r="BF27">
        <f>MAX(0,MIN(1,0.28*AS27+0.16*AT27+0.18*BC27+0.18*BD27+0.10*(1-AZ27)+0.10*(1-BA27)+BB27))</f>
        <v/>
      </c>
      <c r="BG27">
        <f>MAX(0,MIN(1,0.24*AU27+0.18*AS27+0.18*BC27+0.20*BD27+0.10*(1-AW27)+0.10*(1-BA27)))</f>
        <v/>
      </c>
      <c r="BH27">
        <f>MAX(0,MIN(1,0.28*AR27+0.18*AT27+0.16*AU27+0.18*(1-AV27)+0.10*(1-AW27)+0.10*BF27))</f>
        <v/>
      </c>
      <c r="BI27">
        <f>MAX(0,MIN(1,0.30*AV27+0.20*AZ27+0.20*AW27+0.15*(1-BH27)+0.15*(1-BO27)))</f>
        <v/>
      </c>
      <c r="BJ27">
        <f>MAX(0,1-(ABS(((( AX27+AY27)/2)-0.55)*1.6)))</f>
        <v/>
      </c>
      <c r="BK27">
        <f>MAX(0,MIN(1,0.28*AR27+0.18*AT27+0.16*BJ27+0.14*(1-AV27)+0.12*BQ27+0.12*BO27))</f>
        <v/>
      </c>
      <c r="BL27">
        <f>MAX(0,MIN(1,0.22*AQ27+0.18*AS27+0.18*BC27+0.18*BD27+0.08*BE27+0.10*BF27+0.06*BO27))</f>
        <v/>
      </c>
      <c r="BM27">
        <f>MAX(0,MIN(1,0.20*(1-AZ27)+0.16*(1-BA27)+0.14*(1-AW27)+0.14*AU27+0.18*BG27+0.10*BH27+0.08*BP27))</f>
        <v/>
      </c>
      <c r="BN27">
        <f>MAX(0,MIN(1,0.42*BJ27+0.33*BK27+0.15*AT27+0.10*BQ27))</f>
        <v/>
      </c>
      <c r="BO27">
        <f>MAX(0,MIN(1,0.30*BC27+0.24*BD27+0.18*AS27+0.14*(1-BI27)+0.14*AT27))</f>
        <v/>
      </c>
      <c r="BP27">
        <f>MAX(0,MIN(1,0.26*AS27+0.20*(1-BA27)+0.16*(1-AW27)+0.18*BG27+0.10*AU27+0.10+BB27))</f>
        <v/>
      </c>
      <c r="BQ27">
        <f>MAX(0,MIN(1,0.24*AT27+0.18*BF27+0.14*AR27+0.14*BO27+0.14*(1-AV27)+0.16*(1-AZ27)))</f>
        <v/>
      </c>
      <c r="BR27">
        <f>IF(BO27&gt;=0.80,"Open",IF(BO27&gt;=0.62,"Measured",IF(BO27&gt;=0.45,"Selective","Guarded")))</f>
        <v/>
      </c>
      <c r="BS27">
        <f>IF(Y27="COMM_Direct","Direct",IF(Y27="COMM_Emotional","Emotional",IF(Y27="COMM_Logical","Logical",IF(Y27="COMM_Indirect","Indirect","Avoidant"))))</f>
        <v/>
      </c>
      <c r="BT27">
        <f>IF(BG27&gt;=0.78,"Co-repair",IF(BG27&gt;=0.58,"Re-engage",IF(BG27&gt;=0.40,"Delay","Suppress")))</f>
        <v/>
      </c>
      <c r="BU27">
        <f>IF(BI27&gt;=0.70,"Retreat-risk",IF(BH27&lt;=0.40,"Rush-risk",IF(BH27&gt;=0.65,"Slow-build","Mixed")))</f>
        <v/>
      </c>
      <c r="BV27">
        <f>IF(BL27-BM27&gt;=0.15,"Stimulation-seeking",IF(BM27-BL27&gt;=0.15,"Calm-seeking","Mixed")))</f>
        <v/>
      </c>
      <c r="BW27">
        <f>IF(AND(BL27&gt;=0.72,BM27&lt;0.48),"High",IF(AND(BL27&gt;=0.60,BM27&lt;0.58),"Medium","Low"))</f>
        <v/>
      </c>
    </row>
    <row r="28" ht="175.5" customHeight="1" s="10">
      <c r="A28" s="2" t="inlineStr">
        <is>
          <t>Q06_B</t>
        </is>
      </c>
      <c r="B28" s="2" t="n">
        <v>6</v>
      </c>
      <c r="C28" s="2" t="n">
        <v>6</v>
      </c>
      <c r="D28" s="2" t="inlineStr">
        <is>
          <t>Core</t>
        </is>
      </c>
      <c r="E28" s="2" t="n">
        <v>1</v>
      </c>
      <c r="F28" s="2" t="inlineStr">
        <is>
          <t>CommunicationHealth</t>
        </is>
      </c>
      <c r="G28" s="2" t="inlineStr">
        <is>
          <t>EmotionalNeeds</t>
        </is>
      </c>
      <c r="H28" s="2" t="n"/>
      <c r="I28" s="2" t="inlineStr">
        <is>
          <t>B</t>
        </is>
      </c>
      <c r="J28" s="2" t="inlineStr">
        <is>
          <t>B</t>
        </is>
      </c>
      <c r="K28" s="2" t="inlineStr">
        <is>
          <t>I recheck our last texts. Then I reread mine. Then I wonder if I should've said less, or more. I don't bring it up, but it definitely rewires how I respond.</t>
        </is>
      </c>
      <c r="L28" s="2" t="n">
        <v>5</v>
      </c>
      <c r="M28" s="2" t="n">
        <v>6</v>
      </c>
      <c r="N28" s="2" t="n">
        <v>4</v>
      </c>
      <c r="O28" s="2" t="n">
        <v>4</v>
      </c>
      <c r="P28" s="2" t="n">
        <v>2</v>
      </c>
      <c r="Q28" s="2" t="inlineStr">
        <is>
          <t>Analyzer</t>
        </is>
      </c>
      <c r="R28" s="2" t="n">
        <v>2</v>
      </c>
      <c r="S28" s="2" t="n"/>
      <c r="T28" s="2" t="n"/>
      <c r="U28" s="2" t="n">
        <v>0</v>
      </c>
      <c r="V28" s="2" t="inlineStr">
        <is>
          <t>masc:1.4;fem:0.1</t>
        </is>
      </c>
      <c r="W28" s="2" t="n">
        <v>1.4</v>
      </c>
      <c r="X28" s="2" t="n">
        <v>0.1</v>
      </c>
      <c r="Y28" s="2" t="inlineStr">
        <is>
          <t>COMM_Logical</t>
        </is>
      </c>
      <c r="Z28" s="2" t="inlineStr">
        <is>
          <t>REG_SelfSoother</t>
        </is>
      </c>
      <c r="AA28" s="2" t="inlineStr">
        <is>
          <t>LANG_Service</t>
        </is>
      </c>
      <c r="AB28" s="2" t="inlineStr">
        <is>
          <t>Trust_Tension</t>
        </is>
      </c>
      <c r="AC28" s="2" t="inlineStr">
        <is>
          <t>Trust_Tension</t>
        </is>
      </c>
      <c r="AD28" s="2" t="n"/>
      <c r="AE28" s="2" t="n">
        <v>6</v>
      </c>
      <c r="AF28" s="2" t="inlineStr">
        <is>
          <t>emotional spiral</t>
        </is>
      </c>
      <c r="AG28" s="2" t="inlineStr">
        <is>
          <t>overanalyzer</t>
        </is>
      </c>
      <c r="AH28" s="2" t="n">
        <v>0</v>
      </c>
      <c r="AI28" s="2" t="inlineStr">
        <is>
          <t>yes</t>
        </is>
      </c>
      <c r="AJ28" s="2" t="inlineStr">
        <is>
          <t>no</t>
        </is>
      </c>
      <c r="AK28" s="2" t="inlineStr">
        <is>
          <t>yes</t>
        </is>
      </c>
      <c r="AL28" s="2" t="inlineStr">
        <is>
          <t>yes</t>
        </is>
      </c>
      <c r="AM28" s="2" t="n"/>
      <c r="AN28" s="2" t="n"/>
      <c r="AO28" s="2" t="n"/>
      <c r="AP28" s="2" t="inlineStr">
        <is>
          <t>v3_2026-03-19</t>
        </is>
      </c>
      <c r="AQ28">
        <f>(L28-Schema_v5!$C2)/(Schema_v5!$C3-Schema_v5!$C2)</f>
        <v/>
      </c>
      <c r="AR28">
        <f>(M28-Schema_v5!$C4)/(Schema_v5!$C5-Schema_v5!$C4)</f>
        <v/>
      </c>
      <c r="AS28">
        <f>N28/Schema_v5!$C6</f>
        <v/>
      </c>
      <c r="AT28">
        <f>O28/Schema_v5!$C7</f>
        <v/>
      </c>
      <c r="AU28">
        <f>P28/Schema_v5!$C8</f>
        <v/>
      </c>
      <c r="AV28">
        <f>IF(Schema_v5!$C9=0,0,AH28/Schema_v5!$C9)</f>
        <v/>
      </c>
      <c r="AW28">
        <f>IF(Schema_v5!$C10=0,0,AE28/Schema_v5!$C10)</f>
        <v/>
      </c>
      <c r="AX28">
        <f>(W28-Schema_v5!$C11)/(Schema_v5!$C12-Schema_v5!$C11)</f>
        <v/>
      </c>
      <c r="AY28">
        <f>(X28-Schema_v5!$C13)/(Schema_v5!$C14-Schema_v5!$C13)</f>
        <v/>
      </c>
      <c r="AZ28">
        <f>MIN(1,MAX(0,U28/Schema_v7!$C$9))</f>
        <v/>
      </c>
      <c r="BA28">
        <f>IF(AJ28="yes",0.55,0)</f>
        <v/>
      </c>
      <c r="BB28">
        <f>IF(AI28="yes",0.10,0)</f>
        <v/>
      </c>
      <c r="BC28">
        <f>IF(Y28="COMM_Direct",0.92,IF(Y28="COMM_Emotional",0.70,IF(Y28="COMM_Logical",0.65,IF(Y28="COMM_Indirect",0.55,0.35))))</f>
        <v/>
      </c>
      <c r="BD28">
        <f>IF(Z28="REG_CoRegulator",0.92,IF(Z28="REG_SelfSoother",0.76,IF(Z28="REG_Distractor",0.48,0.35)))</f>
        <v/>
      </c>
      <c r="BE28">
        <f>IF(AA28="LANG_Time",0.76,IF(AA28="LANG_Service",0.70,IF(AA28="LANG_Words",0.72,IF(AA28="LANG_Touch",0.68,0.60))))</f>
        <v/>
      </c>
      <c r="BF28">
        <f>MAX(0,MIN(1,0.28*AS28+0.16*AT28+0.18*BC28+0.18*BD28+0.10*(1-AZ28)+0.10*(1-BA28)+BB28))</f>
        <v/>
      </c>
      <c r="BG28">
        <f>MAX(0,MIN(1,0.24*AU28+0.18*AS28+0.18*BC28+0.20*BD28+0.10*(1-AW28)+0.10*(1-BA28)))</f>
        <v/>
      </c>
      <c r="BH28">
        <f>MAX(0,MIN(1,0.28*AR28+0.18*AT28+0.16*AU28+0.18*(1-AV28)+0.10*(1-AW28)+0.10*BF28))</f>
        <v/>
      </c>
      <c r="BI28">
        <f>MAX(0,MIN(1,0.30*AV28+0.20*AZ28+0.20*AW28+0.15*(1-BH28)+0.15*(1-BO28)))</f>
        <v/>
      </c>
      <c r="BJ28">
        <f>MAX(0,1-(ABS(((( AX28+AY28)/2)-0.55)*1.6)))</f>
        <v/>
      </c>
      <c r="BK28">
        <f>MAX(0,MIN(1,0.28*AR28+0.18*AT28+0.16*BJ28+0.14*(1-AV28)+0.12*BQ28+0.12*BO28))</f>
        <v/>
      </c>
      <c r="BL28">
        <f>MAX(0,MIN(1,0.22*AQ28+0.18*AS28+0.18*BC28+0.18*BD28+0.08*BE28+0.10*BF28+0.06*BO28))</f>
        <v/>
      </c>
      <c r="BM28">
        <f>MAX(0,MIN(1,0.20*(1-AZ28)+0.16*(1-BA28)+0.14*(1-AW28)+0.14*AU28+0.18*BG28+0.10*BH28+0.08*BP28))</f>
        <v/>
      </c>
      <c r="BN28">
        <f>MAX(0,MIN(1,0.42*BJ28+0.33*BK28+0.15*AT28+0.10*BQ28))</f>
        <v/>
      </c>
      <c r="BO28">
        <f>MAX(0,MIN(1,0.30*BC28+0.24*BD28+0.18*AS28+0.14*(1-BI28)+0.14*AT28))</f>
        <v/>
      </c>
      <c r="BP28">
        <f>MAX(0,MIN(1,0.26*AS28+0.20*(1-BA28)+0.16*(1-AW28)+0.18*BG28+0.10*AU28+0.10+BB28))</f>
        <v/>
      </c>
      <c r="BQ28">
        <f>MAX(0,MIN(1,0.24*AT28+0.18*BF28+0.14*AR28+0.14*BO28+0.14*(1-AV28)+0.16*(1-AZ28)))</f>
        <v/>
      </c>
      <c r="BR28">
        <f>IF(BO28&gt;=0.80,"Open",IF(BO28&gt;=0.62,"Measured",IF(BO28&gt;=0.45,"Selective","Guarded")))</f>
        <v/>
      </c>
      <c r="BS28">
        <f>IF(Y28="COMM_Direct","Direct",IF(Y28="COMM_Emotional","Emotional",IF(Y28="COMM_Logical","Logical",IF(Y28="COMM_Indirect","Indirect","Avoidant"))))</f>
        <v/>
      </c>
      <c r="BT28">
        <f>IF(BG28&gt;=0.78,"Co-repair",IF(BG28&gt;=0.58,"Re-engage",IF(BG28&gt;=0.40,"Delay","Suppress")))</f>
        <v/>
      </c>
      <c r="BU28">
        <f>IF(BI28&gt;=0.70,"Retreat-risk",IF(BH28&lt;=0.40,"Rush-risk",IF(BH28&gt;=0.65,"Slow-build","Mixed")))</f>
        <v/>
      </c>
      <c r="BV28">
        <f>IF(BL28-BM28&gt;=0.15,"Stimulation-seeking",IF(BM28-BL28&gt;=0.15,"Calm-seeking","Mixed")))</f>
        <v/>
      </c>
      <c r="BW28">
        <f>IF(AND(BL28&gt;=0.72,BM28&lt;0.48),"High",IF(AND(BL28&gt;=0.60,BM28&lt;0.58),"Medium","Low"))</f>
        <v/>
      </c>
    </row>
    <row r="29" ht="121.5" customHeight="1" s="10">
      <c r="A29" s="2" t="inlineStr">
        <is>
          <t>Q06_C</t>
        </is>
      </c>
      <c r="B29" s="2" t="n">
        <v>6</v>
      </c>
      <c r="C29" s="2" t="n">
        <v>6</v>
      </c>
      <c r="D29" s="2" t="inlineStr">
        <is>
          <t>Core</t>
        </is>
      </c>
      <c r="E29" s="2" t="n">
        <v>1</v>
      </c>
      <c r="F29" s="2" t="inlineStr">
        <is>
          <t>CommunicationHealth</t>
        </is>
      </c>
      <c r="G29" s="2" t="inlineStr">
        <is>
          <t>EmotionalNeeds</t>
        </is>
      </c>
      <c r="H29" s="2" t="n"/>
      <c r="I29" s="2" t="inlineStr">
        <is>
          <t>C</t>
        </is>
      </c>
      <c r="J29" s="2" t="inlineStr">
        <is>
          <t>C</t>
        </is>
      </c>
      <c r="K29" s="2" t="inlineStr">
        <is>
          <t>I back off. They'll either notice or they won't. I'm not chasing people who don't know what they want.</t>
        </is>
      </c>
      <c r="L29" s="2" t="n">
        <v>4</v>
      </c>
      <c r="M29" s="2" t="n">
        <v>5</v>
      </c>
      <c r="N29" s="2" t="n">
        <v>0</v>
      </c>
      <c r="O29" s="2" t="n">
        <v>0</v>
      </c>
      <c r="P29" s="2" t="n">
        <v>0</v>
      </c>
      <c r="Q29" s="2" t="inlineStr">
        <is>
          <t>Icebox</t>
        </is>
      </c>
      <c r="R29" s="2" t="n">
        <v>1</v>
      </c>
      <c r="S29" s="2" t="n"/>
      <c r="T29" s="2" t="n"/>
      <c r="U29" s="2" t="n">
        <v>0</v>
      </c>
      <c r="V29" s="2" t="inlineStr">
        <is>
          <t>masc:1.8;fem:-1.6</t>
        </is>
      </c>
      <c r="W29" s="2" t="n">
        <v>1.8</v>
      </c>
      <c r="X29" s="2" t="n">
        <v>-1.6</v>
      </c>
      <c r="Y29" s="2" t="inlineStr">
        <is>
          <t>COMM_Avoidant</t>
        </is>
      </c>
      <c r="Z29" s="2" t="inlineStr">
        <is>
          <t>REG_Suppressor</t>
        </is>
      </c>
      <c r="AA29" s="2" t="inlineStr">
        <is>
          <t>LANG_Time</t>
        </is>
      </c>
      <c r="AB29" s="2" t="inlineStr">
        <is>
          <t>Vulnerability_Loop</t>
        </is>
      </c>
      <c r="AC29" s="2" t="inlineStr">
        <is>
          <t>Vulnerability_Loop</t>
        </is>
      </c>
      <c r="AD29" s="2" t="n"/>
      <c r="AE29" s="2" t="n">
        <v>5</v>
      </c>
      <c r="AF29" s="2" t="inlineStr">
        <is>
          <t>quiet burn</t>
        </is>
      </c>
      <c r="AG29" s="2" t="inlineStr">
        <is>
          <t>disengaged pullback</t>
        </is>
      </c>
      <c r="AH29" s="2" t="n">
        <v>0.6</v>
      </c>
      <c r="AI29" s="2" t="inlineStr">
        <is>
          <t>yes</t>
        </is>
      </c>
      <c r="AJ29" s="2" t="inlineStr">
        <is>
          <t>no</t>
        </is>
      </c>
      <c r="AK29" s="2" t="inlineStr">
        <is>
          <t>yes</t>
        </is>
      </c>
      <c r="AL29" s="2" t="inlineStr">
        <is>
          <t>yes</t>
        </is>
      </c>
      <c r="AM29" s="2" t="n"/>
      <c r="AN29" s="2" t="n"/>
      <c r="AO29" s="2" t="n"/>
      <c r="AP29" s="2" t="inlineStr">
        <is>
          <t>v3_2026-03-19</t>
        </is>
      </c>
      <c r="AQ29">
        <f>(L29-Schema_v5!$C2)/(Schema_v5!$C3-Schema_v5!$C2)</f>
        <v/>
      </c>
      <c r="AR29">
        <f>(M29-Schema_v5!$C4)/(Schema_v5!$C5-Schema_v5!$C4)</f>
        <v/>
      </c>
      <c r="AS29">
        <f>N29/Schema_v5!$C6</f>
        <v/>
      </c>
      <c r="AT29">
        <f>O29/Schema_v5!$C7</f>
        <v/>
      </c>
      <c r="AU29">
        <f>P29/Schema_v5!$C8</f>
        <v/>
      </c>
      <c r="AV29">
        <f>IF(Schema_v5!$C9=0,0,AH29/Schema_v5!$C9)</f>
        <v/>
      </c>
      <c r="AW29">
        <f>IF(Schema_v5!$C10=0,0,AE29/Schema_v5!$C10)</f>
        <v/>
      </c>
      <c r="AX29">
        <f>(W29-Schema_v5!$C11)/(Schema_v5!$C12-Schema_v5!$C11)</f>
        <v/>
      </c>
      <c r="AY29">
        <f>(X29-Schema_v5!$C13)/(Schema_v5!$C14-Schema_v5!$C13)</f>
        <v/>
      </c>
      <c r="AZ29">
        <f>MIN(1,MAX(0,U29/Schema_v7!$C$9))</f>
        <v/>
      </c>
      <c r="BA29">
        <f>IF(AJ29="yes",0.55,0)</f>
        <v/>
      </c>
      <c r="BB29">
        <f>IF(AI29="yes",0.10,0)</f>
        <v/>
      </c>
      <c r="BC29">
        <f>IF(Y29="COMM_Direct",0.92,IF(Y29="COMM_Emotional",0.70,IF(Y29="COMM_Logical",0.65,IF(Y29="COMM_Indirect",0.55,0.35))))</f>
        <v/>
      </c>
      <c r="BD29">
        <f>IF(Z29="REG_CoRegulator",0.92,IF(Z29="REG_SelfSoother",0.76,IF(Z29="REG_Distractor",0.48,0.35)))</f>
        <v/>
      </c>
      <c r="BE29">
        <f>IF(AA29="LANG_Time",0.76,IF(AA29="LANG_Service",0.70,IF(AA29="LANG_Words",0.72,IF(AA29="LANG_Touch",0.68,0.60))))</f>
        <v/>
      </c>
      <c r="BF29">
        <f>MAX(0,MIN(1,0.28*AS29+0.16*AT29+0.18*BC29+0.18*BD29+0.10*(1-AZ29)+0.10*(1-BA29)+BB29))</f>
        <v/>
      </c>
      <c r="BG29">
        <f>MAX(0,MIN(1,0.24*AU29+0.18*AS29+0.18*BC29+0.20*BD29+0.10*(1-AW29)+0.10*(1-BA29)))</f>
        <v/>
      </c>
      <c r="BH29">
        <f>MAX(0,MIN(1,0.28*AR29+0.18*AT29+0.16*AU29+0.18*(1-AV29)+0.10*(1-AW29)+0.10*BF29))</f>
        <v/>
      </c>
      <c r="BI29">
        <f>MAX(0,MIN(1,0.30*AV29+0.20*AZ29+0.20*AW29+0.15*(1-BH29)+0.15*(1-BO29)))</f>
        <v/>
      </c>
      <c r="BJ29">
        <f>MAX(0,1-(ABS(((( AX29+AY29)/2)-0.55)*1.6)))</f>
        <v/>
      </c>
      <c r="BK29">
        <f>MAX(0,MIN(1,0.28*AR29+0.18*AT29+0.16*BJ29+0.14*(1-AV29)+0.12*BQ29+0.12*BO29))</f>
        <v/>
      </c>
      <c r="BL29">
        <f>MAX(0,MIN(1,0.22*AQ29+0.18*AS29+0.18*BC29+0.18*BD29+0.08*BE29+0.10*BF29+0.06*BO29))</f>
        <v/>
      </c>
      <c r="BM29">
        <f>MAX(0,MIN(1,0.20*(1-AZ29)+0.16*(1-BA29)+0.14*(1-AW29)+0.14*AU29+0.18*BG29+0.10*BH29+0.08*BP29))</f>
        <v/>
      </c>
      <c r="BN29">
        <f>MAX(0,MIN(1,0.42*BJ29+0.33*BK29+0.15*AT29+0.10*BQ29))</f>
        <v/>
      </c>
      <c r="BO29">
        <f>MAX(0,MIN(1,0.30*BC29+0.24*BD29+0.18*AS29+0.14*(1-BI29)+0.14*AT29))</f>
        <v/>
      </c>
      <c r="BP29">
        <f>MAX(0,MIN(1,0.26*AS29+0.20*(1-BA29)+0.16*(1-AW29)+0.18*BG29+0.10*AU29+0.10+BB29))</f>
        <v/>
      </c>
      <c r="BQ29">
        <f>MAX(0,MIN(1,0.24*AT29+0.18*BF29+0.14*AR29+0.14*BO29+0.14*(1-AV29)+0.16*(1-AZ29)))</f>
        <v/>
      </c>
      <c r="BR29">
        <f>IF(BO29&gt;=0.80,"Open",IF(BO29&gt;=0.62,"Measured",IF(BO29&gt;=0.45,"Selective","Guarded")))</f>
        <v/>
      </c>
      <c r="BS29">
        <f>IF(Y29="COMM_Direct","Direct",IF(Y29="COMM_Emotional","Emotional",IF(Y29="COMM_Logical","Logical",IF(Y29="COMM_Indirect","Indirect","Avoidant"))))</f>
        <v/>
      </c>
      <c r="BT29">
        <f>IF(BG29&gt;=0.78,"Co-repair",IF(BG29&gt;=0.58,"Re-engage",IF(BG29&gt;=0.40,"Delay","Suppress")))</f>
        <v/>
      </c>
      <c r="BU29">
        <f>IF(BI29&gt;=0.70,"Retreat-risk",IF(BH29&lt;=0.40,"Rush-risk",IF(BH29&gt;=0.65,"Slow-build","Mixed")))</f>
        <v/>
      </c>
      <c r="BV29">
        <f>IF(BL29-BM29&gt;=0.15,"Stimulation-seeking",IF(BM29-BL29&gt;=0.15,"Calm-seeking","Mixed")))</f>
        <v/>
      </c>
      <c r="BW29">
        <f>IF(AND(BL29&gt;=0.72,BM29&lt;0.48),"High",IF(AND(BL29&gt;=0.60,BM29&lt;0.58),"Medium","Low"))</f>
        <v/>
      </c>
    </row>
    <row r="30" ht="148.5" customHeight="1" s="10">
      <c r="A30" s="2" t="inlineStr">
        <is>
          <t>Q06_D</t>
        </is>
      </c>
      <c r="B30" s="2" t="n">
        <v>6</v>
      </c>
      <c r="C30" s="2" t="n">
        <v>6</v>
      </c>
      <c r="D30" s="2" t="inlineStr">
        <is>
          <t>Core</t>
        </is>
      </c>
      <c r="E30" s="2" t="n">
        <v>1</v>
      </c>
      <c r="F30" s="2" t="inlineStr">
        <is>
          <t>CommunicationHealth</t>
        </is>
      </c>
      <c r="G30" s="2" t="inlineStr">
        <is>
          <t>EmotionalNeeds</t>
        </is>
      </c>
      <c r="H30" s="2" t="n"/>
      <c r="I30" s="2" t="inlineStr">
        <is>
          <t>D</t>
        </is>
      </c>
      <c r="J30" s="2" t="inlineStr">
        <is>
          <t>D</t>
        </is>
      </c>
      <c r="K30" s="2" t="inlineStr">
        <is>
          <t>I stop bringing things up. If they don't want me, I'm not going to beg to be understood. I've played that game before.</t>
        </is>
      </c>
      <c r="L30" s="2" t="n">
        <v>6</v>
      </c>
      <c r="M30" s="2" t="n">
        <v>7</v>
      </c>
      <c r="N30" s="2" t="n">
        <v>4</v>
      </c>
      <c r="O30" s="2" t="n">
        <v>4</v>
      </c>
      <c r="P30" s="2" t="n">
        <v>4</v>
      </c>
      <c r="Q30" s="2" t="inlineStr">
        <is>
          <t>Fixer</t>
        </is>
      </c>
      <c r="R30" s="2" t="n">
        <v>5</v>
      </c>
      <c r="S30" s="2" t="n"/>
      <c r="T30" s="2" t="n"/>
      <c r="U30" s="2" t="n">
        <v>0</v>
      </c>
      <c r="V30" s="2" t="inlineStr">
        <is>
          <t>masc:-0.4;fem:2.0</t>
        </is>
      </c>
      <c r="W30" s="2" t="n">
        <v>-0.4</v>
      </c>
      <c r="X30" s="2" t="n">
        <v>2</v>
      </c>
      <c r="Y30" s="2" t="inlineStr">
        <is>
          <t>COMM_Emotional</t>
        </is>
      </c>
      <c r="Z30" s="2" t="inlineStr">
        <is>
          <t>REG_CoRegulator</t>
        </is>
      </c>
      <c r="AA30" s="2" t="inlineStr">
        <is>
          <t>LANG_Service</t>
        </is>
      </c>
      <c r="AB30" s="2" t="inlineStr">
        <is>
          <t>Affection_Mismatch , Independence_Collision</t>
        </is>
      </c>
      <c r="AC30" s="2" t="inlineStr">
        <is>
          <t>Affection_Mismatch</t>
        </is>
      </c>
      <c r="AD30" s="2" t="inlineStr">
        <is>
          <t>Independence_Collision</t>
        </is>
      </c>
      <c r="AE30" s="2" t="n">
        <v>9</v>
      </c>
      <c r="AF30" s="2" t="inlineStr">
        <is>
          <t>resigned caregiver</t>
        </is>
      </c>
      <c r="AG30" s="2" t="inlineStr">
        <is>
          <t>silent surrender</t>
        </is>
      </c>
      <c r="AH30" s="2" t="n">
        <v>1.2</v>
      </c>
      <c r="AI30" s="2" t="inlineStr">
        <is>
          <t>yes</t>
        </is>
      </c>
      <c r="AJ30" s="2" t="inlineStr">
        <is>
          <t>no</t>
        </is>
      </c>
      <c r="AK30" s="2" t="inlineStr">
        <is>
          <t>yes</t>
        </is>
      </c>
      <c r="AL30" s="2" t="inlineStr">
        <is>
          <t>yes</t>
        </is>
      </c>
      <c r="AM30" s="2" t="n"/>
      <c r="AN30" s="2" t="n"/>
      <c r="AO30" s="2" t="n"/>
      <c r="AP30" s="2" t="inlineStr">
        <is>
          <t>v3_2026-03-19</t>
        </is>
      </c>
      <c r="AQ30">
        <f>(L30-Schema_v5!$C2)/(Schema_v5!$C3-Schema_v5!$C2)</f>
        <v/>
      </c>
      <c r="AR30">
        <f>(M30-Schema_v5!$C4)/(Schema_v5!$C5-Schema_v5!$C4)</f>
        <v/>
      </c>
      <c r="AS30">
        <f>N30/Schema_v5!$C6</f>
        <v/>
      </c>
      <c r="AT30">
        <f>O30/Schema_v5!$C7</f>
        <v/>
      </c>
      <c r="AU30">
        <f>P30/Schema_v5!$C8</f>
        <v/>
      </c>
      <c r="AV30">
        <f>IF(Schema_v5!$C9=0,0,AH30/Schema_v5!$C9)</f>
        <v/>
      </c>
      <c r="AW30">
        <f>IF(Schema_v5!$C10=0,0,AE30/Schema_v5!$C10)</f>
        <v/>
      </c>
      <c r="AX30">
        <f>(W30-Schema_v5!$C11)/(Schema_v5!$C12-Schema_v5!$C11)</f>
        <v/>
      </c>
      <c r="AY30">
        <f>(X30-Schema_v5!$C13)/(Schema_v5!$C14-Schema_v5!$C13)</f>
        <v/>
      </c>
      <c r="AZ30">
        <f>MIN(1,MAX(0,U30/Schema_v7!$C$9))</f>
        <v/>
      </c>
      <c r="BA30">
        <f>IF(AJ30="yes",0.55,0)</f>
        <v/>
      </c>
      <c r="BB30">
        <f>IF(AI30="yes",0.10,0)</f>
        <v/>
      </c>
      <c r="BC30">
        <f>IF(Y30="COMM_Direct",0.92,IF(Y30="COMM_Emotional",0.70,IF(Y30="COMM_Logical",0.65,IF(Y30="COMM_Indirect",0.55,0.35))))</f>
        <v/>
      </c>
      <c r="BD30">
        <f>IF(Z30="REG_CoRegulator",0.92,IF(Z30="REG_SelfSoother",0.76,IF(Z30="REG_Distractor",0.48,0.35)))</f>
        <v/>
      </c>
      <c r="BE30">
        <f>IF(AA30="LANG_Time",0.76,IF(AA30="LANG_Service",0.70,IF(AA30="LANG_Words",0.72,IF(AA30="LANG_Touch",0.68,0.60))))</f>
        <v/>
      </c>
      <c r="BF30">
        <f>MAX(0,MIN(1,0.28*AS30+0.16*AT30+0.18*BC30+0.18*BD30+0.10*(1-AZ30)+0.10*(1-BA30)+BB30))</f>
        <v/>
      </c>
      <c r="BG30">
        <f>MAX(0,MIN(1,0.24*AU30+0.18*AS30+0.18*BC30+0.20*BD30+0.10*(1-AW30)+0.10*(1-BA30)))</f>
        <v/>
      </c>
      <c r="BH30">
        <f>MAX(0,MIN(1,0.28*AR30+0.18*AT30+0.16*AU30+0.18*(1-AV30)+0.10*(1-AW30)+0.10*BF30))</f>
        <v/>
      </c>
      <c r="BI30">
        <f>MAX(0,MIN(1,0.30*AV30+0.20*AZ30+0.20*AW30+0.15*(1-BH30)+0.15*(1-BO30)))</f>
        <v/>
      </c>
      <c r="BJ30">
        <f>MAX(0,1-(ABS(((( AX30+AY30)/2)-0.55)*1.6)))</f>
        <v/>
      </c>
      <c r="BK30">
        <f>MAX(0,MIN(1,0.28*AR30+0.18*AT30+0.16*BJ30+0.14*(1-AV30)+0.12*BQ30+0.12*BO30))</f>
        <v/>
      </c>
      <c r="BL30">
        <f>MAX(0,MIN(1,0.22*AQ30+0.18*AS30+0.18*BC30+0.18*BD30+0.08*BE30+0.10*BF30+0.06*BO30))</f>
        <v/>
      </c>
      <c r="BM30">
        <f>MAX(0,MIN(1,0.20*(1-AZ30)+0.16*(1-BA30)+0.14*(1-AW30)+0.14*AU30+0.18*BG30+0.10*BH30+0.08*BP30))</f>
        <v/>
      </c>
      <c r="BN30">
        <f>MAX(0,MIN(1,0.42*BJ30+0.33*BK30+0.15*AT30+0.10*BQ30))</f>
        <v/>
      </c>
      <c r="BO30">
        <f>MAX(0,MIN(1,0.30*BC30+0.24*BD30+0.18*AS30+0.14*(1-BI30)+0.14*AT30))</f>
        <v/>
      </c>
      <c r="BP30">
        <f>MAX(0,MIN(1,0.26*AS30+0.20*(1-BA30)+0.16*(1-AW30)+0.18*BG30+0.10*AU30+0.10+BB30))</f>
        <v/>
      </c>
      <c r="BQ30">
        <f>MAX(0,MIN(1,0.24*AT30+0.18*BF30+0.14*AR30+0.14*BO30+0.14*(1-AV30)+0.16*(1-AZ30)))</f>
        <v/>
      </c>
      <c r="BR30">
        <f>IF(BO30&gt;=0.80,"Open",IF(BO30&gt;=0.62,"Measured",IF(BO30&gt;=0.45,"Selective","Guarded")))</f>
        <v/>
      </c>
      <c r="BS30">
        <f>IF(Y30="COMM_Direct","Direct",IF(Y30="COMM_Emotional","Emotional",IF(Y30="COMM_Logical","Logical",IF(Y30="COMM_Indirect","Indirect","Avoidant"))))</f>
        <v/>
      </c>
      <c r="BT30">
        <f>IF(BG30&gt;=0.78,"Co-repair",IF(BG30&gt;=0.58,"Re-engage",IF(BG30&gt;=0.40,"Delay","Suppress")))</f>
        <v/>
      </c>
      <c r="BU30">
        <f>IF(BI30&gt;=0.70,"Retreat-risk",IF(BH30&lt;=0.40,"Rush-risk",IF(BH30&gt;=0.65,"Slow-build","Mixed")))</f>
        <v/>
      </c>
      <c r="BV30">
        <f>IF(BL30-BM30&gt;=0.15,"Stimulation-seeking",IF(BM30-BL30&gt;=0.15,"Calm-seeking","Mixed")))</f>
        <v/>
      </c>
      <c r="BW30">
        <f>IF(AND(BL30&gt;=0.72,BM30&lt;0.48),"High",IF(AND(BL30&gt;=0.60,BM30&lt;0.58),"Medium","Low"))</f>
        <v/>
      </c>
    </row>
    <row r="31" ht="135" customHeight="1" s="10">
      <c r="A31" s="2" t="inlineStr">
        <is>
          <t>Q06_E</t>
        </is>
      </c>
      <c r="B31" s="2" t="n">
        <v>6</v>
      </c>
      <c r="C31" s="2" t="n">
        <v>6</v>
      </c>
      <c r="D31" s="2" t="inlineStr">
        <is>
          <t>Core</t>
        </is>
      </c>
      <c r="E31" s="2" t="n">
        <v>1</v>
      </c>
      <c r="F31" s="2" t="inlineStr">
        <is>
          <t>CommunicationHealth</t>
        </is>
      </c>
      <c r="G31" s="2" t="inlineStr">
        <is>
          <t>EmotionalNeeds</t>
        </is>
      </c>
      <c r="H31" s="2" t="n"/>
      <c r="I31" s="2" t="inlineStr">
        <is>
          <t>E</t>
        </is>
      </c>
      <c r="J31" s="2" t="inlineStr">
        <is>
          <t>E</t>
        </is>
      </c>
      <c r="K31" s="2" t="inlineStr">
        <is>
          <t>I tell myself it's probably just stress or a bad week. I don't want to give up too early, but it's hard not to notice when it shifts.</t>
        </is>
      </c>
      <c r="L31" s="2" t="n">
        <v>7</v>
      </c>
      <c r="M31" s="2" t="n">
        <v>8</v>
      </c>
      <c r="N31" s="2" t="n">
        <v>6</v>
      </c>
      <c r="O31" s="2" t="n">
        <v>6</v>
      </c>
      <c r="P31" s="2" t="n">
        <v>4</v>
      </c>
      <c r="Q31" s="2" t="inlineStr">
        <is>
          <t>Romantic Idealist</t>
        </is>
      </c>
      <c r="R31" s="2" t="n">
        <v>6</v>
      </c>
      <c r="S31" s="2" t="n"/>
      <c r="T31" s="2" t="n"/>
      <c r="U31" s="2" t="n">
        <v>0</v>
      </c>
      <c r="V31" s="2" t="inlineStr">
        <is>
          <t>masc:-0.4;fem:1.5</t>
        </is>
      </c>
      <c r="W31" s="2" t="n">
        <v>-0.4</v>
      </c>
      <c r="X31" s="2" t="n">
        <v>1.5</v>
      </c>
      <c r="Y31" s="2" t="inlineStr">
        <is>
          <t>COMM_Emotional</t>
        </is>
      </c>
      <c r="Z31" s="2" t="inlineStr">
        <is>
          <t>REG_Distractor</t>
        </is>
      </c>
      <c r="AA31" s="2" t="inlineStr">
        <is>
          <t>LANG_Gifts</t>
        </is>
      </c>
      <c r="AB31" s="2" t="n"/>
      <c r="AC31" s="2" t="n"/>
      <c r="AD31" s="2" t="n"/>
      <c r="AE31" s="2" t="n">
        <v>0</v>
      </c>
      <c r="AF31" s="2" t="inlineStr">
        <is>
          <t>tired hope</t>
        </is>
      </c>
      <c r="AG31" s="2" t="inlineStr">
        <is>
          <t>cautious optimist</t>
        </is>
      </c>
      <c r="AH31" s="2" t="n">
        <v>0</v>
      </c>
      <c r="AI31" s="2" t="inlineStr">
        <is>
          <t>no</t>
        </is>
      </c>
      <c r="AJ31" s="2" t="inlineStr">
        <is>
          <t>no</t>
        </is>
      </c>
      <c r="AK31" s="2" t="inlineStr">
        <is>
          <t>yes</t>
        </is>
      </c>
      <c r="AL31" s="2" t="inlineStr">
        <is>
          <t>yes</t>
        </is>
      </c>
      <c r="AM31" s="2" t="n"/>
      <c r="AN31" s="2" t="n"/>
      <c r="AO31" s="2" t="n"/>
      <c r="AP31" s="2" t="inlineStr">
        <is>
          <t>v3_2026-03-19</t>
        </is>
      </c>
      <c r="AQ31">
        <f>(L31-Schema_v5!$C2)/(Schema_v5!$C3-Schema_v5!$C2)</f>
        <v/>
      </c>
      <c r="AR31">
        <f>(M31-Schema_v5!$C4)/(Schema_v5!$C5-Schema_v5!$C4)</f>
        <v/>
      </c>
      <c r="AS31">
        <f>N31/Schema_v5!$C6</f>
        <v/>
      </c>
      <c r="AT31">
        <f>O31/Schema_v5!$C7</f>
        <v/>
      </c>
      <c r="AU31">
        <f>P31/Schema_v5!$C8</f>
        <v/>
      </c>
      <c r="AV31">
        <f>IF(Schema_v5!$C9=0,0,AH31/Schema_v5!$C9)</f>
        <v/>
      </c>
      <c r="AW31">
        <f>IF(Schema_v5!$C10=0,0,AE31/Schema_v5!$C10)</f>
        <v/>
      </c>
      <c r="AX31">
        <f>(W31-Schema_v5!$C11)/(Schema_v5!$C12-Schema_v5!$C11)</f>
        <v/>
      </c>
      <c r="AY31">
        <f>(X31-Schema_v5!$C13)/(Schema_v5!$C14-Schema_v5!$C13)</f>
        <v/>
      </c>
      <c r="AZ31">
        <f>MIN(1,MAX(0,U31/Schema_v7!$C$9))</f>
        <v/>
      </c>
      <c r="BA31">
        <f>IF(AJ31="yes",0.55,0)</f>
        <v/>
      </c>
      <c r="BB31">
        <f>IF(AI31="yes",0.10,0)</f>
        <v/>
      </c>
      <c r="BC31">
        <f>IF(Y31="COMM_Direct",0.92,IF(Y31="COMM_Emotional",0.70,IF(Y31="COMM_Logical",0.65,IF(Y31="COMM_Indirect",0.55,0.35))))</f>
        <v/>
      </c>
      <c r="BD31">
        <f>IF(Z31="REG_CoRegulator",0.92,IF(Z31="REG_SelfSoother",0.76,IF(Z31="REG_Distractor",0.48,0.35)))</f>
        <v/>
      </c>
      <c r="BE31">
        <f>IF(AA31="LANG_Time",0.76,IF(AA31="LANG_Service",0.70,IF(AA31="LANG_Words",0.72,IF(AA31="LANG_Touch",0.68,0.60))))</f>
        <v/>
      </c>
      <c r="BF31">
        <f>MAX(0,MIN(1,0.28*AS31+0.16*AT31+0.18*BC31+0.18*BD31+0.10*(1-AZ31)+0.10*(1-BA31)+BB31))</f>
        <v/>
      </c>
      <c r="BG31">
        <f>MAX(0,MIN(1,0.24*AU31+0.18*AS31+0.18*BC31+0.20*BD31+0.10*(1-AW31)+0.10*(1-BA31)))</f>
        <v/>
      </c>
      <c r="BH31">
        <f>MAX(0,MIN(1,0.28*AR31+0.18*AT31+0.16*AU31+0.18*(1-AV31)+0.10*(1-AW31)+0.10*BF31))</f>
        <v/>
      </c>
      <c r="BI31">
        <f>MAX(0,MIN(1,0.30*AV31+0.20*AZ31+0.20*AW31+0.15*(1-BH31)+0.15*(1-BO31)))</f>
        <v/>
      </c>
      <c r="BJ31">
        <f>MAX(0,1-(ABS(((( AX31+AY31)/2)-0.55)*1.6)))</f>
        <v/>
      </c>
      <c r="BK31">
        <f>MAX(0,MIN(1,0.28*AR31+0.18*AT31+0.16*BJ31+0.14*(1-AV31)+0.12*BQ31+0.12*BO31))</f>
        <v/>
      </c>
      <c r="BL31">
        <f>MAX(0,MIN(1,0.22*AQ31+0.18*AS31+0.18*BC31+0.18*BD31+0.08*BE31+0.10*BF31+0.06*BO31))</f>
        <v/>
      </c>
      <c r="BM31">
        <f>MAX(0,MIN(1,0.20*(1-AZ31)+0.16*(1-BA31)+0.14*(1-AW31)+0.14*AU31+0.18*BG31+0.10*BH31+0.08*BP31))</f>
        <v/>
      </c>
      <c r="BN31">
        <f>MAX(0,MIN(1,0.42*BJ31+0.33*BK31+0.15*AT31+0.10*BQ31))</f>
        <v/>
      </c>
      <c r="BO31">
        <f>MAX(0,MIN(1,0.30*BC31+0.24*BD31+0.18*AS31+0.14*(1-BI31)+0.14*AT31))</f>
        <v/>
      </c>
      <c r="BP31">
        <f>MAX(0,MIN(1,0.26*AS31+0.20*(1-BA31)+0.16*(1-AW31)+0.18*BG31+0.10*AU31+0.10+BB31))</f>
        <v/>
      </c>
      <c r="BQ31">
        <f>MAX(0,MIN(1,0.24*AT31+0.18*BF31+0.14*AR31+0.14*BO31+0.14*(1-AV31)+0.16*(1-AZ31)))</f>
        <v/>
      </c>
      <c r="BR31">
        <f>IF(BO31&gt;=0.80,"Open",IF(BO31&gt;=0.62,"Measured",IF(BO31&gt;=0.45,"Selective","Guarded")))</f>
        <v/>
      </c>
      <c r="BS31">
        <f>IF(Y31="COMM_Direct","Direct",IF(Y31="COMM_Emotional","Emotional",IF(Y31="COMM_Logical","Logical",IF(Y31="COMM_Indirect","Indirect","Avoidant"))))</f>
        <v/>
      </c>
      <c r="BT31">
        <f>IF(BG31&gt;=0.78,"Co-repair",IF(BG31&gt;=0.58,"Re-engage",IF(BG31&gt;=0.40,"Delay","Suppress")))</f>
        <v/>
      </c>
      <c r="BU31">
        <f>IF(BI31&gt;=0.70,"Retreat-risk",IF(BH31&lt;=0.40,"Rush-risk",IF(BH31&gt;=0.65,"Slow-build","Mixed")))</f>
        <v/>
      </c>
      <c r="BV31">
        <f>IF(BL31-BM31&gt;=0.15,"Stimulation-seeking",IF(BM31-BL31&gt;=0.15,"Calm-seeking","Mixed")))</f>
        <v/>
      </c>
      <c r="BW31">
        <f>IF(AND(BL31&gt;=0.72,BM31&lt;0.48),"High",IF(AND(BL31&gt;=0.60,BM31&lt;0.58),"Medium","Low"))</f>
        <v/>
      </c>
    </row>
    <row r="32" ht="108" customHeight="1" s="10">
      <c r="A32" s="2" t="inlineStr">
        <is>
          <t>Q07_A</t>
        </is>
      </c>
      <c r="B32" s="2" t="n">
        <v>7</v>
      </c>
      <c r="C32" s="2" t="n">
        <v>7</v>
      </c>
      <c r="D32" s="2" t="inlineStr">
        <is>
          <t>Core</t>
        </is>
      </c>
      <c r="E32" s="2" t="n">
        <v>1</v>
      </c>
      <c r="F32" s="2" t="inlineStr">
        <is>
          <t>CommunicationHealth</t>
        </is>
      </c>
      <c r="G32" s="2" t="inlineStr">
        <is>
          <t>EmotionalNeeds</t>
        </is>
      </c>
      <c r="H32" s="2" t="inlineStr">
        <is>
          <t>Question 7: You're deep in conversation and they suddenly shut down or go cold. What's your move?</t>
        </is>
      </c>
      <c r="I32" s="2" t="inlineStr">
        <is>
          <t>A</t>
        </is>
      </c>
      <c r="J32" s="2" t="inlineStr">
        <is>
          <t>A</t>
        </is>
      </c>
      <c r="K32" s="2" t="inlineStr">
        <is>
          <t>I pause. I've learned not everything's about me. If they want to talk, they will. If not, I don't chase silence.</t>
        </is>
      </c>
      <c r="L32" s="2" t="n">
        <v>8</v>
      </c>
      <c r="M32" s="2" t="n">
        <v>8</v>
      </c>
      <c r="N32" s="2" t="n">
        <v>4</v>
      </c>
      <c r="O32" s="2" t="n">
        <v>4</v>
      </c>
      <c r="P32" s="2" t="n">
        <v>0</v>
      </c>
      <c r="Q32" s="2" t="inlineStr">
        <is>
          <t>Icebox</t>
        </is>
      </c>
      <c r="R32" s="2" t="n">
        <v>1</v>
      </c>
      <c r="S32" s="2" t="n"/>
      <c r="T32" s="2" t="n"/>
      <c r="U32" s="2" t="n">
        <v>0</v>
      </c>
      <c r="V32" s="2" t="inlineStr">
        <is>
          <t>masc:1.8;fem:-1.6</t>
        </is>
      </c>
      <c r="W32" s="2" t="n">
        <v>1.8</v>
      </c>
      <c r="X32" s="2" t="n">
        <v>-1.6</v>
      </c>
      <c r="Y32" s="2" t="inlineStr">
        <is>
          <t>COMM_Avoidant</t>
        </is>
      </c>
      <c r="Z32" s="2" t="inlineStr">
        <is>
          <t>REG_Suppressor</t>
        </is>
      </c>
      <c r="AA32" s="2" t="inlineStr">
        <is>
          <t>LANG_Time</t>
        </is>
      </c>
      <c r="AB32" s="2" t="n"/>
      <c r="AC32" s="2" t="n"/>
      <c r="AD32" s="2" t="n"/>
      <c r="AE32" s="2" t="n">
        <v>0</v>
      </c>
      <c r="AF32" s="2" t="inlineStr">
        <is>
          <t>calm detachment</t>
        </is>
      </c>
      <c r="AG32" s="2" t="inlineStr">
        <is>
          <t>patient withdrawer</t>
        </is>
      </c>
      <c r="AH32" s="2" t="n">
        <v>0.8</v>
      </c>
      <c r="AI32" s="2" t="inlineStr">
        <is>
          <t>no</t>
        </is>
      </c>
      <c r="AJ32" s="2" t="inlineStr">
        <is>
          <t>no</t>
        </is>
      </c>
      <c r="AK32" s="2" t="inlineStr">
        <is>
          <t>yes</t>
        </is>
      </c>
      <c r="AL32" s="2" t="inlineStr">
        <is>
          <t>yes</t>
        </is>
      </c>
      <c r="AM32" s="2" t="n"/>
      <c r="AN32" s="2" t="n"/>
      <c r="AO32" s="2" t="n"/>
      <c r="AP32" s="2" t="inlineStr">
        <is>
          <t>v3_2026-03-19</t>
        </is>
      </c>
      <c r="AQ32">
        <f>(L32-Schema_v5!$C2)/(Schema_v5!$C3-Schema_v5!$C2)</f>
        <v/>
      </c>
      <c r="AR32">
        <f>(M32-Schema_v5!$C4)/(Schema_v5!$C5-Schema_v5!$C4)</f>
        <v/>
      </c>
      <c r="AS32">
        <f>N32/Schema_v5!$C6</f>
        <v/>
      </c>
      <c r="AT32">
        <f>O32/Schema_v5!$C7</f>
        <v/>
      </c>
      <c r="AU32">
        <f>P32/Schema_v5!$C8</f>
        <v/>
      </c>
      <c r="AV32">
        <f>IF(Schema_v5!$C9=0,0,AH32/Schema_v5!$C9)</f>
        <v/>
      </c>
      <c r="AW32">
        <f>IF(Schema_v5!$C10=0,0,AE32/Schema_v5!$C10)</f>
        <v/>
      </c>
      <c r="AX32">
        <f>(W32-Schema_v5!$C11)/(Schema_v5!$C12-Schema_v5!$C11)</f>
        <v/>
      </c>
      <c r="AY32">
        <f>(X32-Schema_v5!$C13)/(Schema_v5!$C14-Schema_v5!$C13)</f>
        <v/>
      </c>
      <c r="AZ32">
        <f>MIN(1,MAX(0,U32/Schema_v7!$C$9))</f>
        <v/>
      </c>
      <c r="BA32">
        <f>IF(AJ32="yes",0.55,0)</f>
        <v/>
      </c>
      <c r="BB32">
        <f>IF(AI32="yes",0.10,0)</f>
        <v/>
      </c>
      <c r="BC32">
        <f>IF(Y32="COMM_Direct",0.92,IF(Y32="COMM_Emotional",0.70,IF(Y32="COMM_Logical",0.65,IF(Y32="COMM_Indirect",0.55,0.35))))</f>
        <v/>
      </c>
      <c r="BD32">
        <f>IF(Z32="REG_CoRegulator",0.92,IF(Z32="REG_SelfSoother",0.76,IF(Z32="REG_Distractor",0.48,0.35)))</f>
        <v/>
      </c>
      <c r="BE32">
        <f>IF(AA32="LANG_Time",0.76,IF(AA32="LANG_Service",0.70,IF(AA32="LANG_Words",0.72,IF(AA32="LANG_Touch",0.68,0.60))))</f>
        <v/>
      </c>
      <c r="BF32">
        <f>MAX(0,MIN(1,0.28*AS32+0.16*AT32+0.18*BC32+0.18*BD32+0.10*(1-AZ32)+0.10*(1-BA32)+BB32))</f>
        <v/>
      </c>
      <c r="BG32">
        <f>MAX(0,MIN(1,0.24*AU32+0.18*AS32+0.18*BC32+0.20*BD32+0.10*(1-AW32)+0.10*(1-BA32)))</f>
        <v/>
      </c>
      <c r="BH32">
        <f>MAX(0,MIN(1,0.28*AR32+0.18*AT32+0.16*AU32+0.18*(1-AV32)+0.10*(1-AW32)+0.10*BF32))</f>
        <v/>
      </c>
      <c r="BI32">
        <f>MAX(0,MIN(1,0.30*AV32+0.20*AZ32+0.20*AW32+0.15*(1-BH32)+0.15*(1-BO32)))</f>
        <v/>
      </c>
      <c r="BJ32">
        <f>MAX(0,1-(ABS(((( AX32+AY32)/2)-0.55)*1.6)))</f>
        <v/>
      </c>
      <c r="BK32">
        <f>MAX(0,MIN(1,0.28*AR32+0.18*AT32+0.16*BJ32+0.14*(1-AV32)+0.12*BQ32+0.12*BO32))</f>
        <v/>
      </c>
      <c r="BL32">
        <f>MAX(0,MIN(1,0.22*AQ32+0.18*AS32+0.18*BC32+0.18*BD32+0.08*BE32+0.10*BF32+0.06*BO32))</f>
        <v/>
      </c>
      <c r="BM32">
        <f>MAX(0,MIN(1,0.20*(1-AZ32)+0.16*(1-BA32)+0.14*(1-AW32)+0.14*AU32+0.18*BG32+0.10*BH32+0.08*BP32))</f>
        <v/>
      </c>
      <c r="BN32">
        <f>MAX(0,MIN(1,0.42*BJ32+0.33*BK32+0.15*AT32+0.10*BQ32))</f>
        <v/>
      </c>
      <c r="BO32">
        <f>MAX(0,MIN(1,0.30*BC32+0.24*BD32+0.18*AS32+0.14*(1-BI32)+0.14*AT32))</f>
        <v/>
      </c>
      <c r="BP32">
        <f>MAX(0,MIN(1,0.26*AS32+0.20*(1-BA32)+0.16*(1-AW32)+0.18*BG32+0.10*AU32+0.10+BB32))</f>
        <v/>
      </c>
      <c r="BQ32">
        <f>MAX(0,MIN(1,0.24*AT32+0.18*BF32+0.14*AR32+0.14*BO32+0.14*(1-AV32)+0.16*(1-AZ32)))</f>
        <v/>
      </c>
      <c r="BR32">
        <f>IF(BO32&gt;=0.80,"Open",IF(BO32&gt;=0.62,"Measured",IF(BO32&gt;=0.45,"Selective","Guarded")))</f>
        <v/>
      </c>
      <c r="BS32">
        <f>IF(Y32="COMM_Direct","Direct",IF(Y32="COMM_Emotional","Emotional",IF(Y32="COMM_Logical","Logical",IF(Y32="COMM_Indirect","Indirect","Avoidant"))))</f>
        <v/>
      </c>
      <c r="BT32">
        <f>IF(BG32&gt;=0.78,"Co-repair",IF(BG32&gt;=0.58,"Re-engage",IF(BG32&gt;=0.40,"Delay","Suppress")))</f>
        <v/>
      </c>
      <c r="BU32">
        <f>IF(BI32&gt;=0.70,"Retreat-risk",IF(BH32&lt;=0.40,"Rush-risk",IF(BH32&gt;=0.65,"Slow-build","Mixed")))</f>
        <v/>
      </c>
      <c r="BV32">
        <f>IF(BL32-BM32&gt;=0.15,"Stimulation-seeking",IF(BM32-BL32&gt;=0.15,"Calm-seeking","Mixed")))</f>
        <v/>
      </c>
      <c r="BW32">
        <f>IF(AND(BL32&gt;=0.72,BM32&lt;0.48),"High",IF(AND(BL32&gt;=0.60,BM32&lt;0.58),"Medium","Low"))</f>
        <v/>
      </c>
    </row>
    <row r="33" ht="135" customHeight="1" s="10">
      <c r="A33" s="2" t="inlineStr">
        <is>
          <t>Q07_B</t>
        </is>
      </c>
      <c r="B33" s="2" t="n">
        <v>7</v>
      </c>
      <c r="C33" s="2" t="n">
        <v>7</v>
      </c>
      <c r="D33" s="2" t="inlineStr">
        <is>
          <t>Core</t>
        </is>
      </c>
      <c r="E33" s="2" t="n">
        <v>1</v>
      </c>
      <c r="F33" s="2" t="inlineStr">
        <is>
          <t>CommunicationHealth</t>
        </is>
      </c>
      <c r="G33" s="2" t="inlineStr">
        <is>
          <t>EmotionalNeeds</t>
        </is>
      </c>
      <c r="H33" s="2" t="n"/>
      <c r="I33" s="2" t="inlineStr">
        <is>
          <t>B</t>
        </is>
      </c>
      <c r="J33" s="2" t="inlineStr">
        <is>
          <t>B</t>
        </is>
      </c>
      <c r="K33" s="2" t="inlineStr">
        <is>
          <t>I immediately think I said something wrong. I start scanning every word trying to figure out what triggered it.</t>
        </is>
      </c>
      <c r="L33" s="2" t="n">
        <v>5</v>
      </c>
      <c r="M33" s="2" t="n">
        <v>6</v>
      </c>
      <c r="N33" s="2" t="n">
        <v>4</v>
      </c>
      <c r="O33" s="2" t="n">
        <v>4</v>
      </c>
      <c r="P33" s="2" t="n">
        <v>2</v>
      </c>
      <c r="Q33" s="2" t="inlineStr">
        <is>
          <t>Analyzer</t>
        </is>
      </c>
      <c r="R33" s="2" t="n">
        <v>2</v>
      </c>
      <c r="S33" s="2" t="n"/>
      <c r="T33" s="2" t="n"/>
      <c r="U33" s="2" t="n">
        <v>0</v>
      </c>
      <c r="V33" s="2" t="inlineStr">
        <is>
          <t>masc:1.4;fem:0.1</t>
        </is>
      </c>
      <c r="W33" s="2" t="n">
        <v>1.4</v>
      </c>
      <c r="X33" s="2" t="n">
        <v>0.1</v>
      </c>
      <c r="Y33" s="2" t="inlineStr">
        <is>
          <t>COMM_Logical</t>
        </is>
      </c>
      <c r="Z33" s="2" t="inlineStr">
        <is>
          <t>REG_SelfSoother</t>
        </is>
      </c>
      <c r="AA33" s="2" t="inlineStr">
        <is>
          <t>LANG_Service</t>
        </is>
      </c>
      <c r="AB33" s="2" t="inlineStr">
        <is>
          <t>Vulnerability_Loop</t>
        </is>
      </c>
      <c r="AC33" s="2" t="inlineStr">
        <is>
          <t>Vulnerability_Loop</t>
        </is>
      </c>
      <c r="AD33" s="2" t="n"/>
      <c r="AE33" s="2" t="n">
        <v>5</v>
      </c>
      <c r="AF33" s="2" t="inlineStr">
        <is>
          <t>inner spiral</t>
        </is>
      </c>
      <c r="AG33" s="2" t="inlineStr">
        <is>
          <t>self-blamer</t>
        </is>
      </c>
      <c r="AH33" s="2" t="n">
        <v>0</v>
      </c>
      <c r="AI33" s="2" t="inlineStr">
        <is>
          <t>yes</t>
        </is>
      </c>
      <c r="AJ33" s="2" t="inlineStr">
        <is>
          <t>no</t>
        </is>
      </c>
      <c r="AK33" s="2" t="inlineStr">
        <is>
          <t>yes</t>
        </is>
      </c>
      <c r="AL33" s="2" t="inlineStr">
        <is>
          <t>yes</t>
        </is>
      </c>
      <c r="AM33" s="2" t="n"/>
      <c r="AN33" s="2" t="n"/>
      <c r="AO33" s="2" t="n"/>
      <c r="AP33" s="2" t="inlineStr">
        <is>
          <t>v3_2026-03-19</t>
        </is>
      </c>
      <c r="AQ33">
        <f>(L33-Schema_v5!$C2)/(Schema_v5!$C3-Schema_v5!$C2)</f>
        <v/>
      </c>
      <c r="AR33">
        <f>(M33-Schema_v5!$C4)/(Schema_v5!$C5-Schema_v5!$C4)</f>
        <v/>
      </c>
      <c r="AS33">
        <f>N33/Schema_v5!$C6</f>
        <v/>
      </c>
      <c r="AT33">
        <f>O33/Schema_v5!$C7</f>
        <v/>
      </c>
      <c r="AU33">
        <f>P33/Schema_v5!$C8</f>
        <v/>
      </c>
      <c r="AV33">
        <f>IF(Schema_v5!$C9=0,0,AH33/Schema_v5!$C9)</f>
        <v/>
      </c>
      <c r="AW33">
        <f>IF(Schema_v5!$C10=0,0,AE33/Schema_v5!$C10)</f>
        <v/>
      </c>
      <c r="AX33">
        <f>(W33-Schema_v5!$C11)/(Schema_v5!$C12-Schema_v5!$C11)</f>
        <v/>
      </c>
      <c r="AY33">
        <f>(X33-Schema_v5!$C13)/(Schema_v5!$C14-Schema_v5!$C13)</f>
        <v/>
      </c>
      <c r="AZ33">
        <f>MIN(1,MAX(0,U33/Schema_v7!$C$9))</f>
        <v/>
      </c>
      <c r="BA33">
        <f>IF(AJ33="yes",0.55,0)</f>
        <v/>
      </c>
      <c r="BB33">
        <f>IF(AI33="yes",0.10,0)</f>
        <v/>
      </c>
      <c r="BC33">
        <f>IF(Y33="COMM_Direct",0.92,IF(Y33="COMM_Emotional",0.70,IF(Y33="COMM_Logical",0.65,IF(Y33="COMM_Indirect",0.55,0.35))))</f>
        <v/>
      </c>
      <c r="BD33">
        <f>IF(Z33="REG_CoRegulator",0.92,IF(Z33="REG_SelfSoother",0.76,IF(Z33="REG_Distractor",0.48,0.35)))</f>
        <v/>
      </c>
      <c r="BE33">
        <f>IF(AA33="LANG_Time",0.76,IF(AA33="LANG_Service",0.70,IF(AA33="LANG_Words",0.72,IF(AA33="LANG_Touch",0.68,0.60))))</f>
        <v/>
      </c>
      <c r="BF33">
        <f>MAX(0,MIN(1,0.28*AS33+0.16*AT33+0.18*BC33+0.18*BD33+0.10*(1-AZ33)+0.10*(1-BA33)+BB33))</f>
        <v/>
      </c>
      <c r="BG33">
        <f>MAX(0,MIN(1,0.24*AU33+0.18*AS33+0.18*BC33+0.20*BD33+0.10*(1-AW33)+0.10*(1-BA33)))</f>
        <v/>
      </c>
      <c r="BH33">
        <f>MAX(0,MIN(1,0.28*AR33+0.18*AT33+0.16*AU33+0.18*(1-AV33)+0.10*(1-AW33)+0.10*BF33))</f>
        <v/>
      </c>
      <c r="BI33">
        <f>MAX(0,MIN(1,0.30*AV33+0.20*AZ33+0.20*AW33+0.15*(1-BH33)+0.15*(1-BO33)))</f>
        <v/>
      </c>
      <c r="BJ33">
        <f>MAX(0,1-(ABS(((( AX33+AY33)/2)-0.55)*1.6)))</f>
        <v/>
      </c>
      <c r="BK33">
        <f>MAX(0,MIN(1,0.28*AR33+0.18*AT33+0.16*BJ33+0.14*(1-AV33)+0.12*BQ33+0.12*BO33))</f>
        <v/>
      </c>
      <c r="BL33">
        <f>MAX(0,MIN(1,0.22*AQ33+0.18*AS33+0.18*BC33+0.18*BD33+0.08*BE33+0.10*BF33+0.06*BO33))</f>
        <v/>
      </c>
      <c r="BM33">
        <f>MAX(0,MIN(1,0.20*(1-AZ33)+0.16*(1-BA33)+0.14*(1-AW33)+0.14*AU33+0.18*BG33+0.10*BH33+0.08*BP33))</f>
        <v/>
      </c>
      <c r="BN33">
        <f>MAX(0,MIN(1,0.42*BJ33+0.33*BK33+0.15*AT33+0.10*BQ33))</f>
        <v/>
      </c>
      <c r="BO33">
        <f>MAX(0,MIN(1,0.30*BC33+0.24*BD33+0.18*AS33+0.14*(1-BI33)+0.14*AT33))</f>
        <v/>
      </c>
      <c r="BP33">
        <f>MAX(0,MIN(1,0.26*AS33+0.20*(1-BA33)+0.16*(1-AW33)+0.18*BG33+0.10*AU33+0.10+BB33))</f>
        <v/>
      </c>
      <c r="BQ33">
        <f>MAX(0,MIN(1,0.24*AT33+0.18*BF33+0.14*AR33+0.14*BO33+0.14*(1-AV33)+0.16*(1-AZ33)))</f>
        <v/>
      </c>
      <c r="BR33">
        <f>IF(BO33&gt;=0.80,"Open",IF(BO33&gt;=0.62,"Measured",IF(BO33&gt;=0.45,"Selective","Guarded")))</f>
        <v/>
      </c>
      <c r="BS33">
        <f>IF(Y33="COMM_Direct","Direct",IF(Y33="COMM_Emotional","Emotional",IF(Y33="COMM_Logical","Logical",IF(Y33="COMM_Indirect","Indirect","Avoidant"))))</f>
        <v/>
      </c>
      <c r="BT33">
        <f>IF(BG33&gt;=0.78,"Co-repair",IF(BG33&gt;=0.58,"Re-engage",IF(BG33&gt;=0.40,"Delay","Suppress")))</f>
        <v/>
      </c>
      <c r="BU33">
        <f>IF(BI33&gt;=0.70,"Retreat-risk",IF(BH33&lt;=0.40,"Rush-risk",IF(BH33&gt;=0.65,"Slow-build","Mixed")))</f>
        <v/>
      </c>
      <c r="BV33">
        <f>IF(BL33-BM33&gt;=0.15,"Stimulation-seeking",IF(BM33-BL33&gt;=0.15,"Calm-seeking","Mixed")))</f>
        <v/>
      </c>
      <c r="BW33">
        <f>IF(AND(BL33&gt;=0.72,BM33&lt;0.48),"High",IF(AND(BL33&gt;=0.60,BM33&lt;0.58),"Medium","Low"))</f>
        <v/>
      </c>
    </row>
    <row r="34" ht="121.5" customHeight="1" s="10">
      <c r="A34" s="2" t="inlineStr">
        <is>
          <t>Q07_C</t>
        </is>
      </c>
      <c r="B34" s="2" t="n">
        <v>7</v>
      </c>
      <c r="C34" s="2" t="n">
        <v>7</v>
      </c>
      <c r="D34" s="2" t="inlineStr">
        <is>
          <t>Core</t>
        </is>
      </c>
      <c r="E34" s="2" t="n">
        <v>1</v>
      </c>
      <c r="F34" s="2" t="inlineStr">
        <is>
          <t>CommunicationHealth</t>
        </is>
      </c>
      <c r="G34" s="2" t="inlineStr">
        <is>
          <t>EmotionalNeeds</t>
        </is>
      </c>
      <c r="H34" s="2" t="n"/>
      <c r="I34" s="2" t="inlineStr">
        <is>
          <t>C</t>
        </is>
      </c>
      <c r="J34" s="2" t="inlineStr">
        <is>
          <t>C</t>
        </is>
      </c>
      <c r="K34" s="2" t="inlineStr">
        <is>
          <t>I'll ask once. If it's brushed off or ignored, I shift. I'm not the type to sit in someone else's silence for long.</t>
        </is>
      </c>
      <c r="L34" s="2" t="n">
        <v>9</v>
      </c>
      <c r="M34" s="2" t="n">
        <v>9</v>
      </c>
      <c r="N34" s="2" t="n">
        <v>10</v>
      </c>
      <c r="O34" s="2" t="n">
        <v>10</v>
      </c>
      <c r="P34" s="2" t="n">
        <v>10</v>
      </c>
      <c r="Q34" s="2" t="inlineStr">
        <is>
          <t>Regulated Grown-Up</t>
        </is>
      </c>
      <c r="R34" s="2" t="n">
        <v>9</v>
      </c>
      <c r="S34" s="2" t="n"/>
      <c r="T34" s="2" t="n"/>
      <c r="U34" s="2" t="n">
        <v>0</v>
      </c>
      <c r="V34" s="2" t="inlineStr">
        <is>
          <t>masc:1.1;fem:0.9</t>
        </is>
      </c>
      <c r="W34" s="2" t="n">
        <v>1.1</v>
      </c>
      <c r="X34" s="2" t="n">
        <v>0.9</v>
      </c>
      <c r="Y34" s="2" t="inlineStr">
        <is>
          <t>COMM_Direct</t>
        </is>
      </c>
      <c r="Z34" s="2" t="inlineStr">
        <is>
          <t>REG_CoRegulator</t>
        </is>
      </c>
      <c r="AA34" s="2" t="inlineStr">
        <is>
          <t>LANG_Words</t>
        </is>
      </c>
      <c r="AB34" s="2" t="n"/>
      <c r="AC34" s="2" t="n"/>
      <c r="AD34" s="2" t="n"/>
      <c r="AE34" s="2" t="n">
        <v>0</v>
      </c>
      <c r="AF34" s="2" t="inlineStr">
        <is>
          <t>direct with boundaries</t>
        </is>
      </c>
      <c r="AG34" s="2" t="inlineStr">
        <is>
          <t>firm line-setter</t>
        </is>
      </c>
      <c r="AH34" s="2" t="n">
        <v>0</v>
      </c>
      <c r="AI34" s="2" t="inlineStr">
        <is>
          <t>no</t>
        </is>
      </c>
      <c r="AJ34" s="2" t="inlineStr">
        <is>
          <t>no</t>
        </is>
      </c>
      <c r="AK34" s="2" t="inlineStr">
        <is>
          <t>yes</t>
        </is>
      </c>
      <c r="AL34" s="2" t="inlineStr">
        <is>
          <t>yes</t>
        </is>
      </c>
      <c r="AM34" s="2" t="n"/>
      <c r="AN34" s="2" t="n"/>
      <c r="AO34" s="2" t="n"/>
      <c r="AP34" s="2" t="inlineStr">
        <is>
          <t>v3_2026-03-19</t>
        </is>
      </c>
      <c r="AQ34">
        <f>(L34-Schema_v5!$C2)/(Schema_v5!$C3-Schema_v5!$C2)</f>
        <v/>
      </c>
      <c r="AR34">
        <f>(M34-Schema_v5!$C4)/(Schema_v5!$C5-Schema_v5!$C4)</f>
        <v/>
      </c>
      <c r="AS34">
        <f>N34/Schema_v5!$C6</f>
        <v/>
      </c>
      <c r="AT34">
        <f>O34/Schema_v5!$C7</f>
        <v/>
      </c>
      <c r="AU34">
        <f>P34/Schema_v5!$C8</f>
        <v/>
      </c>
      <c r="AV34">
        <f>IF(Schema_v5!$C9=0,0,AH34/Schema_v5!$C9)</f>
        <v/>
      </c>
      <c r="AW34">
        <f>IF(Schema_v5!$C10=0,0,AE34/Schema_v5!$C10)</f>
        <v/>
      </c>
      <c r="AX34">
        <f>(W34-Schema_v5!$C11)/(Schema_v5!$C12-Schema_v5!$C11)</f>
        <v/>
      </c>
      <c r="AY34">
        <f>(X34-Schema_v5!$C13)/(Schema_v5!$C14-Schema_v5!$C13)</f>
        <v/>
      </c>
      <c r="AZ34">
        <f>MIN(1,MAX(0,U34/Schema_v7!$C$9))</f>
        <v/>
      </c>
      <c r="BA34">
        <f>IF(AJ34="yes",0.55,0)</f>
        <v/>
      </c>
      <c r="BB34">
        <f>IF(AI34="yes",0.10,0)</f>
        <v/>
      </c>
      <c r="BC34">
        <f>IF(Y34="COMM_Direct",0.92,IF(Y34="COMM_Emotional",0.70,IF(Y34="COMM_Logical",0.65,IF(Y34="COMM_Indirect",0.55,0.35))))</f>
        <v/>
      </c>
      <c r="BD34">
        <f>IF(Z34="REG_CoRegulator",0.92,IF(Z34="REG_SelfSoother",0.76,IF(Z34="REG_Distractor",0.48,0.35)))</f>
        <v/>
      </c>
      <c r="BE34">
        <f>IF(AA34="LANG_Time",0.76,IF(AA34="LANG_Service",0.70,IF(AA34="LANG_Words",0.72,IF(AA34="LANG_Touch",0.68,0.60))))</f>
        <v/>
      </c>
      <c r="BF34">
        <f>MAX(0,MIN(1,0.28*AS34+0.16*AT34+0.18*BC34+0.18*BD34+0.10*(1-AZ34)+0.10*(1-BA34)+BB34))</f>
        <v/>
      </c>
      <c r="BG34">
        <f>MAX(0,MIN(1,0.24*AU34+0.18*AS34+0.18*BC34+0.20*BD34+0.10*(1-AW34)+0.10*(1-BA34)))</f>
        <v/>
      </c>
      <c r="BH34">
        <f>MAX(0,MIN(1,0.28*AR34+0.18*AT34+0.16*AU34+0.18*(1-AV34)+0.10*(1-AW34)+0.10*BF34))</f>
        <v/>
      </c>
      <c r="BI34">
        <f>MAX(0,MIN(1,0.30*AV34+0.20*AZ34+0.20*AW34+0.15*(1-BH34)+0.15*(1-BO34)))</f>
        <v/>
      </c>
      <c r="BJ34">
        <f>MAX(0,1-(ABS(((( AX34+AY34)/2)-0.55)*1.6)))</f>
        <v/>
      </c>
      <c r="BK34">
        <f>MAX(0,MIN(1,0.28*AR34+0.18*AT34+0.16*BJ34+0.14*(1-AV34)+0.12*BQ34+0.12*BO34))</f>
        <v/>
      </c>
      <c r="BL34">
        <f>MAX(0,MIN(1,0.22*AQ34+0.18*AS34+0.18*BC34+0.18*BD34+0.08*BE34+0.10*BF34+0.06*BO34))</f>
        <v/>
      </c>
      <c r="BM34">
        <f>MAX(0,MIN(1,0.20*(1-AZ34)+0.16*(1-BA34)+0.14*(1-AW34)+0.14*AU34+0.18*BG34+0.10*BH34+0.08*BP34))</f>
        <v/>
      </c>
      <c r="BN34">
        <f>MAX(0,MIN(1,0.42*BJ34+0.33*BK34+0.15*AT34+0.10*BQ34))</f>
        <v/>
      </c>
      <c r="BO34">
        <f>MAX(0,MIN(1,0.30*BC34+0.24*BD34+0.18*AS34+0.14*(1-BI34)+0.14*AT34))</f>
        <v/>
      </c>
      <c r="BP34">
        <f>MAX(0,MIN(1,0.26*AS34+0.20*(1-BA34)+0.16*(1-AW34)+0.18*BG34+0.10*AU34+0.10+BB34))</f>
        <v/>
      </c>
      <c r="BQ34">
        <f>MAX(0,MIN(1,0.24*AT34+0.18*BF34+0.14*AR34+0.14*BO34+0.14*(1-AV34)+0.16*(1-AZ34)))</f>
        <v/>
      </c>
      <c r="BR34">
        <f>IF(BO34&gt;=0.80,"Open",IF(BO34&gt;=0.62,"Measured",IF(BO34&gt;=0.45,"Selective","Guarded")))</f>
        <v/>
      </c>
      <c r="BS34">
        <f>IF(Y34="COMM_Direct","Direct",IF(Y34="COMM_Emotional","Emotional",IF(Y34="COMM_Logical","Logical",IF(Y34="COMM_Indirect","Indirect","Avoidant"))))</f>
        <v/>
      </c>
      <c r="BT34">
        <f>IF(BG34&gt;=0.78,"Co-repair",IF(BG34&gt;=0.58,"Re-engage",IF(BG34&gt;=0.40,"Delay","Suppress")))</f>
        <v/>
      </c>
      <c r="BU34">
        <f>IF(BI34&gt;=0.70,"Retreat-risk",IF(BH34&lt;=0.40,"Rush-risk",IF(BH34&gt;=0.65,"Slow-build","Mixed")))</f>
        <v/>
      </c>
      <c r="BV34">
        <f>IF(BL34-BM34&gt;=0.15,"Stimulation-seeking",IF(BM34-BL34&gt;=0.15,"Calm-seeking","Mixed")))</f>
        <v/>
      </c>
      <c r="BW34">
        <f>IF(AND(BL34&gt;=0.72,BM34&lt;0.48),"High",IF(AND(BL34&gt;=0.60,BM34&lt;0.58),"Medium","Low"))</f>
        <v/>
      </c>
    </row>
    <row r="35" ht="121.5" customHeight="1" s="10">
      <c r="A35" s="2" t="inlineStr">
        <is>
          <t>Q07_D</t>
        </is>
      </c>
      <c r="B35" s="2" t="n">
        <v>7</v>
      </c>
      <c r="C35" s="2" t="n">
        <v>7</v>
      </c>
      <c r="D35" s="2" t="inlineStr">
        <is>
          <t>Core</t>
        </is>
      </c>
      <c r="E35" s="2" t="n">
        <v>1</v>
      </c>
      <c r="F35" s="2" t="inlineStr">
        <is>
          <t>CommunicationHealth</t>
        </is>
      </c>
      <c r="G35" s="2" t="inlineStr">
        <is>
          <t>EmotionalNeeds</t>
        </is>
      </c>
      <c r="H35" s="2" t="n"/>
      <c r="I35" s="2" t="inlineStr">
        <is>
          <t>D</t>
        </is>
      </c>
      <c r="J35" s="2" t="inlineStr">
        <is>
          <t>D</t>
        </is>
      </c>
      <c r="K35" s="2" t="inlineStr">
        <is>
          <t>I try to keep the mood up, shift the subject, make it feel less tense, even if I'm freaking out a little inside.</t>
        </is>
      </c>
      <c r="L35" s="2" t="n">
        <v>6</v>
      </c>
      <c r="M35" s="2" t="n">
        <v>7</v>
      </c>
      <c r="N35" s="2" t="n">
        <v>4</v>
      </c>
      <c r="O35" s="2" t="n">
        <v>4</v>
      </c>
      <c r="P35" s="2" t="n">
        <v>2</v>
      </c>
      <c r="Q35" s="2" t="inlineStr">
        <is>
          <t>Performer</t>
        </is>
      </c>
      <c r="R35" s="2" t="n">
        <v>7</v>
      </c>
      <c r="S35" s="2" t="n"/>
      <c r="T35" s="2" t="n"/>
      <c r="U35" s="2" t="n">
        <v>0</v>
      </c>
      <c r="V35" s="2" t="inlineStr">
        <is>
          <t>masc:0.3;fem:0.5</t>
        </is>
      </c>
      <c r="W35" s="2" t="n">
        <v>0.3</v>
      </c>
      <c r="X35" s="2" t="n">
        <v>0.5</v>
      </c>
      <c r="Y35" s="2" t="inlineStr">
        <is>
          <t>COMM_Indirect</t>
        </is>
      </c>
      <c r="Z35" s="2" t="inlineStr">
        <is>
          <t>REG_Distractor</t>
        </is>
      </c>
      <c r="AA35" s="2" t="inlineStr">
        <is>
          <t>LANG_Gifts</t>
        </is>
      </c>
      <c r="AB35" s="2" t="inlineStr">
        <is>
          <t>Vulnerability_Loop</t>
        </is>
      </c>
      <c r="AC35" s="2" t="inlineStr">
        <is>
          <t>Vulnerability_Loop</t>
        </is>
      </c>
      <c r="AD35" s="2" t="n"/>
      <c r="AE35" s="2" t="n">
        <v>5</v>
      </c>
      <c r="AF35" s="2" t="inlineStr">
        <is>
          <t>smooth cover-up</t>
        </is>
      </c>
      <c r="AG35" s="2" t="inlineStr">
        <is>
          <t>tension diffuser</t>
        </is>
      </c>
      <c r="AH35" s="2" t="n">
        <v>0</v>
      </c>
      <c r="AI35" s="2" t="inlineStr">
        <is>
          <t>yes</t>
        </is>
      </c>
      <c r="AJ35" s="2" t="inlineStr">
        <is>
          <t>no</t>
        </is>
      </c>
      <c r="AK35" s="2" t="inlineStr">
        <is>
          <t>yes</t>
        </is>
      </c>
      <c r="AL35" s="2" t="inlineStr">
        <is>
          <t>yes</t>
        </is>
      </c>
      <c r="AM35" s="2" t="n"/>
      <c r="AN35" s="2" t="n"/>
      <c r="AO35" s="2" t="n"/>
      <c r="AP35" s="2" t="inlineStr">
        <is>
          <t>v3_2026-03-19</t>
        </is>
      </c>
      <c r="AQ35">
        <f>(L35-Schema_v5!$C2)/(Schema_v5!$C3-Schema_v5!$C2)</f>
        <v/>
      </c>
      <c r="AR35">
        <f>(M35-Schema_v5!$C4)/(Schema_v5!$C5-Schema_v5!$C4)</f>
        <v/>
      </c>
      <c r="AS35">
        <f>N35/Schema_v5!$C6</f>
        <v/>
      </c>
      <c r="AT35">
        <f>O35/Schema_v5!$C7</f>
        <v/>
      </c>
      <c r="AU35">
        <f>P35/Schema_v5!$C8</f>
        <v/>
      </c>
      <c r="AV35">
        <f>IF(Schema_v5!$C9=0,0,AH35/Schema_v5!$C9)</f>
        <v/>
      </c>
      <c r="AW35">
        <f>IF(Schema_v5!$C10=0,0,AE35/Schema_v5!$C10)</f>
        <v/>
      </c>
      <c r="AX35">
        <f>(W35-Schema_v5!$C11)/(Schema_v5!$C12-Schema_v5!$C11)</f>
        <v/>
      </c>
      <c r="AY35">
        <f>(X35-Schema_v5!$C13)/(Schema_v5!$C14-Schema_v5!$C13)</f>
        <v/>
      </c>
      <c r="AZ35">
        <f>MIN(1,MAX(0,U35/Schema_v7!$C$9))</f>
        <v/>
      </c>
      <c r="BA35">
        <f>IF(AJ35="yes",0.55,0)</f>
        <v/>
      </c>
      <c r="BB35">
        <f>IF(AI35="yes",0.10,0)</f>
        <v/>
      </c>
      <c r="BC35">
        <f>IF(Y35="COMM_Direct",0.92,IF(Y35="COMM_Emotional",0.70,IF(Y35="COMM_Logical",0.65,IF(Y35="COMM_Indirect",0.55,0.35))))</f>
        <v/>
      </c>
      <c r="BD35">
        <f>IF(Z35="REG_CoRegulator",0.92,IF(Z35="REG_SelfSoother",0.76,IF(Z35="REG_Distractor",0.48,0.35)))</f>
        <v/>
      </c>
      <c r="BE35">
        <f>IF(AA35="LANG_Time",0.76,IF(AA35="LANG_Service",0.70,IF(AA35="LANG_Words",0.72,IF(AA35="LANG_Touch",0.68,0.60))))</f>
        <v/>
      </c>
      <c r="BF35">
        <f>MAX(0,MIN(1,0.28*AS35+0.16*AT35+0.18*BC35+0.18*BD35+0.10*(1-AZ35)+0.10*(1-BA35)+BB35))</f>
        <v/>
      </c>
      <c r="BG35">
        <f>MAX(0,MIN(1,0.24*AU35+0.18*AS35+0.18*BC35+0.20*BD35+0.10*(1-AW35)+0.10*(1-BA35)))</f>
        <v/>
      </c>
      <c r="BH35">
        <f>MAX(0,MIN(1,0.28*AR35+0.18*AT35+0.16*AU35+0.18*(1-AV35)+0.10*(1-AW35)+0.10*BF35))</f>
        <v/>
      </c>
      <c r="BI35">
        <f>MAX(0,MIN(1,0.30*AV35+0.20*AZ35+0.20*AW35+0.15*(1-BH35)+0.15*(1-BO35)))</f>
        <v/>
      </c>
      <c r="BJ35">
        <f>MAX(0,1-(ABS(((( AX35+AY35)/2)-0.55)*1.6)))</f>
        <v/>
      </c>
      <c r="BK35">
        <f>MAX(0,MIN(1,0.28*AR35+0.18*AT35+0.16*BJ35+0.14*(1-AV35)+0.12*BQ35+0.12*BO35))</f>
        <v/>
      </c>
      <c r="BL35">
        <f>MAX(0,MIN(1,0.22*AQ35+0.18*AS35+0.18*BC35+0.18*BD35+0.08*BE35+0.10*BF35+0.06*BO35))</f>
        <v/>
      </c>
      <c r="BM35">
        <f>MAX(0,MIN(1,0.20*(1-AZ35)+0.16*(1-BA35)+0.14*(1-AW35)+0.14*AU35+0.18*BG35+0.10*BH35+0.08*BP35))</f>
        <v/>
      </c>
      <c r="BN35">
        <f>MAX(0,MIN(1,0.42*BJ35+0.33*BK35+0.15*AT35+0.10*BQ35))</f>
        <v/>
      </c>
      <c r="BO35">
        <f>MAX(0,MIN(1,0.30*BC35+0.24*BD35+0.18*AS35+0.14*(1-BI35)+0.14*AT35))</f>
        <v/>
      </c>
      <c r="BP35">
        <f>MAX(0,MIN(1,0.26*AS35+0.20*(1-BA35)+0.16*(1-AW35)+0.18*BG35+0.10*AU35+0.10+BB35))</f>
        <v/>
      </c>
      <c r="BQ35">
        <f>MAX(0,MIN(1,0.24*AT35+0.18*BF35+0.14*AR35+0.14*BO35+0.14*(1-AV35)+0.16*(1-AZ35)))</f>
        <v/>
      </c>
      <c r="BR35">
        <f>IF(BO35&gt;=0.80,"Open",IF(BO35&gt;=0.62,"Measured",IF(BO35&gt;=0.45,"Selective","Guarded")))</f>
        <v/>
      </c>
      <c r="BS35">
        <f>IF(Y35="COMM_Direct","Direct",IF(Y35="COMM_Emotional","Emotional",IF(Y35="COMM_Logical","Logical",IF(Y35="COMM_Indirect","Indirect","Avoidant"))))</f>
        <v/>
      </c>
      <c r="BT35">
        <f>IF(BG35&gt;=0.78,"Co-repair",IF(BG35&gt;=0.58,"Re-engage",IF(BG35&gt;=0.40,"Delay","Suppress")))</f>
        <v/>
      </c>
      <c r="BU35">
        <f>IF(BI35&gt;=0.70,"Retreat-risk",IF(BH35&lt;=0.40,"Rush-risk",IF(BH35&gt;=0.65,"Slow-build","Mixed")))</f>
        <v/>
      </c>
      <c r="BV35">
        <f>IF(BL35-BM35&gt;=0.15,"Stimulation-seeking",IF(BM35-BL35&gt;=0.15,"Calm-seeking","Mixed")))</f>
        <v/>
      </c>
      <c r="BW35">
        <f>IF(AND(BL35&gt;=0.72,BM35&lt;0.48),"High",IF(AND(BL35&gt;=0.60,BM35&lt;0.58),"Medium","Low"))</f>
        <v/>
      </c>
    </row>
    <row r="36" ht="108" customHeight="1" s="10">
      <c r="A36" s="2" t="inlineStr">
        <is>
          <t>Q07_E</t>
        </is>
      </c>
      <c r="B36" s="2" t="n">
        <v>7</v>
      </c>
      <c r="C36" s="2" t="n">
        <v>7</v>
      </c>
      <c r="D36" s="2" t="inlineStr">
        <is>
          <t>Core</t>
        </is>
      </c>
      <c r="E36" s="2" t="n">
        <v>1</v>
      </c>
      <c r="F36" s="2" t="inlineStr">
        <is>
          <t>CommunicationHealth</t>
        </is>
      </c>
      <c r="G36" s="2" t="inlineStr">
        <is>
          <t>EmotionalNeeds</t>
        </is>
      </c>
      <c r="H36" s="2" t="n"/>
      <c r="I36" s="2" t="inlineStr">
        <is>
          <t>E</t>
        </is>
      </c>
      <c r="J36" s="2" t="inlineStr">
        <is>
          <t>E</t>
        </is>
      </c>
      <c r="K36" s="2" t="inlineStr">
        <is>
          <t>I feel it, but I don't say anything. I stay present, hoping they'll come back to me on their own.</t>
        </is>
      </c>
      <c r="L36" s="2" t="n">
        <v>6</v>
      </c>
      <c r="M36" s="2" t="n">
        <v>6</v>
      </c>
      <c r="N36" s="2" t="n">
        <v>4</v>
      </c>
      <c r="O36" s="2" t="n">
        <v>4</v>
      </c>
      <c r="P36" s="2" t="n">
        <v>4</v>
      </c>
      <c r="Q36" s="2" t="inlineStr">
        <is>
          <t>Translator</t>
        </is>
      </c>
      <c r="R36" s="2" t="n">
        <v>3</v>
      </c>
      <c r="S36" s="2" t="n"/>
      <c r="T36" s="2" t="n"/>
      <c r="U36" s="2" t="n">
        <v>0</v>
      </c>
      <c r="V36" s="2" t="inlineStr">
        <is>
          <t>masc:-0.1;fem:1.6</t>
        </is>
      </c>
      <c r="W36" s="2" t="n">
        <v>-0.1</v>
      </c>
      <c r="X36" s="2" t="n">
        <v>1.6</v>
      </c>
      <c r="Y36" s="2" t="inlineStr">
        <is>
          <t>COMM_Indirect</t>
        </is>
      </c>
      <c r="Z36" s="2" t="inlineStr">
        <is>
          <t>REG_CoRegulator</t>
        </is>
      </c>
      <c r="AA36" s="2" t="inlineStr">
        <is>
          <t>LANG_Words</t>
        </is>
      </c>
      <c r="AB36" s="2" t="inlineStr">
        <is>
          <t>Vulnerability_Loop</t>
        </is>
      </c>
      <c r="AC36" s="2" t="inlineStr">
        <is>
          <t>Vulnerability_Loop</t>
        </is>
      </c>
      <c r="AD36" s="2" t="n"/>
      <c r="AE36" s="2" t="n">
        <v>5</v>
      </c>
      <c r="AF36" s="2" t="inlineStr">
        <is>
          <t>gentle waiter</t>
        </is>
      </c>
      <c r="AG36" s="2" t="inlineStr">
        <is>
          <t>silent holder</t>
        </is>
      </c>
      <c r="AH36" s="2" t="n">
        <v>0.6</v>
      </c>
      <c r="AI36" s="2" t="inlineStr">
        <is>
          <t>yes</t>
        </is>
      </c>
      <c r="AJ36" s="2" t="inlineStr">
        <is>
          <t>no</t>
        </is>
      </c>
      <c r="AK36" s="2" t="inlineStr">
        <is>
          <t>yes</t>
        </is>
      </c>
      <c r="AL36" s="2" t="inlineStr">
        <is>
          <t>yes</t>
        </is>
      </c>
      <c r="AM36" s="2" t="n"/>
      <c r="AN36" s="2" t="n"/>
      <c r="AO36" s="2" t="n"/>
      <c r="AP36" s="2" t="inlineStr">
        <is>
          <t>v3_2026-03-19</t>
        </is>
      </c>
      <c r="AQ36">
        <f>(L36-Schema_v5!$C2)/(Schema_v5!$C3-Schema_v5!$C2)</f>
        <v/>
      </c>
      <c r="AR36">
        <f>(M36-Schema_v5!$C4)/(Schema_v5!$C5-Schema_v5!$C4)</f>
        <v/>
      </c>
      <c r="AS36">
        <f>N36/Schema_v5!$C6</f>
        <v/>
      </c>
      <c r="AT36">
        <f>O36/Schema_v5!$C7</f>
        <v/>
      </c>
      <c r="AU36">
        <f>P36/Schema_v5!$C8</f>
        <v/>
      </c>
      <c r="AV36">
        <f>IF(Schema_v5!$C9=0,0,AH36/Schema_v5!$C9)</f>
        <v/>
      </c>
      <c r="AW36">
        <f>IF(Schema_v5!$C10=0,0,AE36/Schema_v5!$C10)</f>
        <v/>
      </c>
      <c r="AX36">
        <f>(W36-Schema_v5!$C11)/(Schema_v5!$C12-Schema_v5!$C11)</f>
        <v/>
      </c>
      <c r="AY36">
        <f>(X36-Schema_v5!$C13)/(Schema_v5!$C14-Schema_v5!$C13)</f>
        <v/>
      </c>
      <c r="AZ36">
        <f>MIN(1,MAX(0,U36/Schema_v7!$C$9))</f>
        <v/>
      </c>
      <c r="BA36">
        <f>IF(AJ36="yes",0.55,0)</f>
        <v/>
      </c>
      <c r="BB36">
        <f>IF(AI36="yes",0.10,0)</f>
        <v/>
      </c>
      <c r="BC36">
        <f>IF(Y36="COMM_Direct",0.92,IF(Y36="COMM_Emotional",0.70,IF(Y36="COMM_Logical",0.65,IF(Y36="COMM_Indirect",0.55,0.35))))</f>
        <v/>
      </c>
      <c r="BD36">
        <f>IF(Z36="REG_CoRegulator",0.92,IF(Z36="REG_SelfSoother",0.76,IF(Z36="REG_Distractor",0.48,0.35)))</f>
        <v/>
      </c>
      <c r="BE36">
        <f>IF(AA36="LANG_Time",0.76,IF(AA36="LANG_Service",0.70,IF(AA36="LANG_Words",0.72,IF(AA36="LANG_Touch",0.68,0.60))))</f>
        <v/>
      </c>
      <c r="BF36">
        <f>MAX(0,MIN(1,0.28*AS36+0.16*AT36+0.18*BC36+0.18*BD36+0.10*(1-AZ36)+0.10*(1-BA36)+BB36))</f>
        <v/>
      </c>
      <c r="BG36">
        <f>MAX(0,MIN(1,0.24*AU36+0.18*AS36+0.18*BC36+0.20*BD36+0.10*(1-AW36)+0.10*(1-BA36)))</f>
        <v/>
      </c>
      <c r="BH36">
        <f>MAX(0,MIN(1,0.28*AR36+0.18*AT36+0.16*AU36+0.18*(1-AV36)+0.10*(1-AW36)+0.10*BF36))</f>
        <v/>
      </c>
      <c r="BI36">
        <f>MAX(0,MIN(1,0.30*AV36+0.20*AZ36+0.20*AW36+0.15*(1-BH36)+0.15*(1-BO36)))</f>
        <v/>
      </c>
      <c r="BJ36">
        <f>MAX(0,1-(ABS(((( AX36+AY36)/2)-0.55)*1.6)))</f>
        <v/>
      </c>
      <c r="BK36">
        <f>MAX(0,MIN(1,0.28*AR36+0.18*AT36+0.16*BJ36+0.14*(1-AV36)+0.12*BQ36+0.12*BO36))</f>
        <v/>
      </c>
      <c r="BL36">
        <f>MAX(0,MIN(1,0.22*AQ36+0.18*AS36+0.18*BC36+0.18*BD36+0.08*BE36+0.10*BF36+0.06*BO36))</f>
        <v/>
      </c>
      <c r="BM36">
        <f>MAX(0,MIN(1,0.20*(1-AZ36)+0.16*(1-BA36)+0.14*(1-AW36)+0.14*AU36+0.18*BG36+0.10*BH36+0.08*BP36))</f>
        <v/>
      </c>
      <c r="BN36">
        <f>MAX(0,MIN(1,0.42*BJ36+0.33*BK36+0.15*AT36+0.10*BQ36))</f>
        <v/>
      </c>
      <c r="BO36">
        <f>MAX(0,MIN(1,0.30*BC36+0.24*BD36+0.18*AS36+0.14*(1-BI36)+0.14*AT36))</f>
        <v/>
      </c>
      <c r="BP36">
        <f>MAX(0,MIN(1,0.26*AS36+0.20*(1-BA36)+0.16*(1-AW36)+0.18*BG36+0.10*AU36+0.10+BB36))</f>
        <v/>
      </c>
      <c r="BQ36">
        <f>MAX(0,MIN(1,0.24*AT36+0.18*BF36+0.14*AR36+0.14*BO36+0.14*(1-AV36)+0.16*(1-AZ36)))</f>
        <v/>
      </c>
      <c r="BR36">
        <f>IF(BO36&gt;=0.80,"Open",IF(BO36&gt;=0.62,"Measured",IF(BO36&gt;=0.45,"Selective","Guarded")))</f>
        <v/>
      </c>
      <c r="BS36">
        <f>IF(Y36="COMM_Direct","Direct",IF(Y36="COMM_Emotional","Emotional",IF(Y36="COMM_Logical","Logical",IF(Y36="COMM_Indirect","Indirect","Avoidant"))))</f>
        <v/>
      </c>
      <c r="BT36">
        <f>IF(BG36&gt;=0.78,"Co-repair",IF(BG36&gt;=0.58,"Re-engage",IF(BG36&gt;=0.40,"Delay","Suppress")))</f>
        <v/>
      </c>
      <c r="BU36">
        <f>IF(BI36&gt;=0.70,"Retreat-risk",IF(BH36&lt;=0.40,"Rush-risk",IF(BH36&gt;=0.65,"Slow-build","Mixed")))</f>
        <v/>
      </c>
      <c r="BV36">
        <f>IF(BL36-BM36&gt;=0.15,"Stimulation-seeking",IF(BM36-BL36&gt;=0.15,"Calm-seeking","Mixed")))</f>
        <v/>
      </c>
      <c r="BW36">
        <f>IF(AND(BL36&gt;=0.72,BM36&lt;0.48),"High",IF(AND(BL36&gt;=0.60,BM36&lt;0.58),"Medium","Low"))</f>
        <v/>
      </c>
    </row>
    <row r="37" ht="135" customHeight="1" s="10">
      <c r="A37" s="2" t="inlineStr">
        <is>
          <t>Q08_A</t>
        </is>
      </c>
      <c r="B37" s="2" t="n">
        <v>8</v>
      </c>
      <c r="C37" s="2" t="n">
        <v>8</v>
      </c>
      <c r="D37" s="2" t="inlineStr">
        <is>
          <t>Core</t>
        </is>
      </c>
      <c r="E37" s="2" t="n">
        <v>1</v>
      </c>
      <c r="F37" s="2" t="inlineStr">
        <is>
          <t>CommunicationHealth</t>
        </is>
      </c>
      <c r="G37" s="2" t="inlineStr">
        <is>
          <t>EmotionalNeeds</t>
        </is>
      </c>
      <c r="H37" s="2" t="inlineStr">
        <is>
          <t>Question 8: You feel them pulling away. They haven't said it, but the shift is obvious. What runs through your head first?</t>
        </is>
      </c>
      <c r="I37" s="2" t="inlineStr">
        <is>
          <t>A</t>
        </is>
      </c>
      <c r="J37" s="2" t="inlineStr">
        <is>
          <t>A</t>
        </is>
      </c>
      <c r="K37" s="2" t="inlineStr">
        <is>
          <t>Here we go again. I already know how this plays out. I stop trying the second I feel myself caring more than they do.</t>
        </is>
      </c>
      <c r="L37" s="2" t="n">
        <v>5</v>
      </c>
      <c r="M37" s="2" t="n">
        <v>5</v>
      </c>
      <c r="N37" s="2" t="n">
        <v>4</v>
      </c>
      <c r="O37" s="2" t="n">
        <v>2</v>
      </c>
      <c r="P37" s="2" t="n">
        <v>2</v>
      </c>
      <c r="Q37" s="2" t="inlineStr">
        <is>
          <t>Survivor</t>
        </is>
      </c>
      <c r="R37" s="2" t="n">
        <v>8</v>
      </c>
      <c r="S37" s="2" t="n"/>
      <c r="T37" s="2" t="n"/>
      <c r="U37" s="2" t="n">
        <v>0</v>
      </c>
      <c r="V37" s="2" t="inlineStr">
        <is>
          <t>masc:0.3;fem:1.3</t>
        </is>
      </c>
      <c r="W37" s="2" t="n">
        <v>0.3</v>
      </c>
      <c r="X37" s="2" t="n">
        <v>1.3</v>
      </c>
      <c r="Y37" s="2" t="inlineStr">
        <is>
          <t>COMM_Emotional</t>
        </is>
      </c>
      <c r="Z37" s="2" t="inlineStr">
        <is>
          <t>REG_SelfSoother</t>
        </is>
      </c>
      <c r="AA37" s="2" t="inlineStr">
        <is>
          <t>LANG_Service</t>
        </is>
      </c>
      <c r="AB37" s="2" t="inlineStr">
        <is>
          <t>Vulnerability_Loop</t>
        </is>
      </c>
      <c r="AC37" s="2" t="inlineStr">
        <is>
          <t>Vulnerability_Loop</t>
        </is>
      </c>
      <c r="AD37" s="2" t="n"/>
      <c r="AE37" s="2" t="n">
        <v>5</v>
      </c>
      <c r="AF37" s="2" t="inlineStr">
        <is>
          <t>pain-calibrated exit</t>
        </is>
      </c>
      <c r="AG37" s="2" t="inlineStr">
        <is>
          <t>early withdrawer</t>
        </is>
      </c>
      <c r="AH37" s="2" t="n">
        <v>0.6</v>
      </c>
      <c r="AI37" s="2" t="inlineStr">
        <is>
          <t>yes</t>
        </is>
      </c>
      <c r="AJ37" s="2" t="inlineStr">
        <is>
          <t>no</t>
        </is>
      </c>
      <c r="AK37" s="2" t="inlineStr">
        <is>
          <t>yes</t>
        </is>
      </c>
      <c r="AL37" s="2" t="inlineStr">
        <is>
          <t>yes</t>
        </is>
      </c>
      <c r="AM37" s="2" t="n"/>
      <c r="AN37" s="2" t="n"/>
      <c r="AO37" s="2" t="n"/>
      <c r="AP37" s="2" t="inlineStr">
        <is>
          <t>v3_2026-03-19</t>
        </is>
      </c>
      <c r="AQ37">
        <f>(L37-Schema_v5!$C2)/(Schema_v5!$C3-Schema_v5!$C2)</f>
        <v/>
      </c>
      <c r="AR37">
        <f>(M37-Schema_v5!$C4)/(Schema_v5!$C5-Schema_v5!$C4)</f>
        <v/>
      </c>
      <c r="AS37">
        <f>N37/Schema_v5!$C6</f>
        <v/>
      </c>
      <c r="AT37">
        <f>O37/Schema_v5!$C7</f>
        <v/>
      </c>
      <c r="AU37">
        <f>P37/Schema_v5!$C8</f>
        <v/>
      </c>
      <c r="AV37">
        <f>IF(Schema_v5!$C9=0,0,AH37/Schema_v5!$C9)</f>
        <v/>
      </c>
      <c r="AW37">
        <f>IF(Schema_v5!$C10=0,0,AE37/Schema_v5!$C10)</f>
        <v/>
      </c>
      <c r="AX37">
        <f>(W37-Schema_v5!$C11)/(Schema_v5!$C12-Schema_v5!$C11)</f>
        <v/>
      </c>
      <c r="AY37">
        <f>(X37-Schema_v5!$C13)/(Schema_v5!$C14-Schema_v5!$C13)</f>
        <v/>
      </c>
      <c r="AZ37">
        <f>MIN(1,MAX(0,U37/Schema_v7!$C$9))</f>
        <v/>
      </c>
      <c r="BA37">
        <f>IF(AJ37="yes",0.55,0)</f>
        <v/>
      </c>
      <c r="BB37">
        <f>IF(AI37="yes",0.10,0)</f>
        <v/>
      </c>
      <c r="BC37">
        <f>IF(Y37="COMM_Direct",0.92,IF(Y37="COMM_Emotional",0.70,IF(Y37="COMM_Logical",0.65,IF(Y37="COMM_Indirect",0.55,0.35))))</f>
        <v/>
      </c>
      <c r="BD37">
        <f>IF(Z37="REG_CoRegulator",0.92,IF(Z37="REG_SelfSoother",0.76,IF(Z37="REG_Distractor",0.48,0.35)))</f>
        <v/>
      </c>
      <c r="BE37">
        <f>IF(AA37="LANG_Time",0.76,IF(AA37="LANG_Service",0.70,IF(AA37="LANG_Words",0.72,IF(AA37="LANG_Touch",0.68,0.60))))</f>
        <v/>
      </c>
      <c r="BF37">
        <f>MAX(0,MIN(1,0.28*AS37+0.16*AT37+0.18*BC37+0.18*BD37+0.10*(1-AZ37)+0.10*(1-BA37)+BB37))</f>
        <v/>
      </c>
      <c r="BG37">
        <f>MAX(0,MIN(1,0.24*AU37+0.18*AS37+0.18*BC37+0.20*BD37+0.10*(1-AW37)+0.10*(1-BA37)))</f>
        <v/>
      </c>
      <c r="BH37">
        <f>MAX(0,MIN(1,0.28*AR37+0.18*AT37+0.16*AU37+0.18*(1-AV37)+0.10*(1-AW37)+0.10*BF37))</f>
        <v/>
      </c>
      <c r="BI37">
        <f>MAX(0,MIN(1,0.30*AV37+0.20*AZ37+0.20*AW37+0.15*(1-BH37)+0.15*(1-BO37)))</f>
        <v/>
      </c>
      <c r="BJ37">
        <f>MAX(0,1-(ABS(((( AX37+AY37)/2)-0.55)*1.6)))</f>
        <v/>
      </c>
      <c r="BK37">
        <f>MAX(0,MIN(1,0.28*AR37+0.18*AT37+0.16*BJ37+0.14*(1-AV37)+0.12*BQ37+0.12*BO37))</f>
        <v/>
      </c>
      <c r="BL37">
        <f>MAX(0,MIN(1,0.22*AQ37+0.18*AS37+0.18*BC37+0.18*BD37+0.08*BE37+0.10*BF37+0.06*BO37))</f>
        <v/>
      </c>
      <c r="BM37">
        <f>MAX(0,MIN(1,0.20*(1-AZ37)+0.16*(1-BA37)+0.14*(1-AW37)+0.14*AU37+0.18*BG37+0.10*BH37+0.08*BP37))</f>
        <v/>
      </c>
      <c r="BN37">
        <f>MAX(0,MIN(1,0.42*BJ37+0.33*BK37+0.15*AT37+0.10*BQ37))</f>
        <v/>
      </c>
      <c r="BO37">
        <f>MAX(0,MIN(1,0.30*BC37+0.24*BD37+0.18*AS37+0.14*(1-BI37)+0.14*AT37))</f>
        <v/>
      </c>
      <c r="BP37">
        <f>MAX(0,MIN(1,0.26*AS37+0.20*(1-BA37)+0.16*(1-AW37)+0.18*BG37+0.10*AU37+0.10+BB37))</f>
        <v/>
      </c>
      <c r="BQ37">
        <f>MAX(0,MIN(1,0.24*AT37+0.18*BF37+0.14*AR37+0.14*BO37+0.14*(1-AV37)+0.16*(1-AZ37)))</f>
        <v/>
      </c>
      <c r="BR37">
        <f>IF(BO37&gt;=0.80,"Open",IF(BO37&gt;=0.62,"Measured",IF(BO37&gt;=0.45,"Selective","Guarded")))</f>
        <v/>
      </c>
      <c r="BS37">
        <f>IF(Y37="COMM_Direct","Direct",IF(Y37="COMM_Emotional","Emotional",IF(Y37="COMM_Logical","Logical",IF(Y37="COMM_Indirect","Indirect","Avoidant"))))</f>
        <v/>
      </c>
      <c r="BT37">
        <f>IF(BG37&gt;=0.78,"Co-repair",IF(BG37&gt;=0.58,"Re-engage",IF(BG37&gt;=0.40,"Delay","Suppress")))</f>
        <v/>
      </c>
      <c r="BU37">
        <f>IF(BI37&gt;=0.70,"Retreat-risk",IF(BH37&lt;=0.40,"Rush-risk",IF(BH37&gt;=0.65,"Slow-build","Mixed")))</f>
        <v/>
      </c>
      <c r="BV37">
        <f>IF(BL37-BM37&gt;=0.15,"Stimulation-seeking",IF(BM37-BL37&gt;=0.15,"Calm-seeking","Mixed")))</f>
        <v/>
      </c>
      <c r="BW37">
        <f>IF(AND(BL37&gt;=0.72,BM37&lt;0.48),"High",IF(AND(BL37&gt;=0.60,BM37&lt;0.58),"Medium","Low"))</f>
        <v/>
      </c>
    </row>
    <row r="38" ht="148.5" customHeight="1" s="10">
      <c r="A38" s="2" t="inlineStr">
        <is>
          <t>Q08_B</t>
        </is>
      </c>
      <c r="B38" s="2" t="n">
        <v>8</v>
      </c>
      <c r="C38" s="2" t="n">
        <v>8</v>
      </c>
      <c r="D38" s="2" t="inlineStr">
        <is>
          <t>Core</t>
        </is>
      </c>
      <c r="E38" s="2" t="n">
        <v>1</v>
      </c>
      <c r="F38" s="2" t="inlineStr">
        <is>
          <t>CommunicationHealth</t>
        </is>
      </c>
      <c r="G38" s="2" t="inlineStr">
        <is>
          <t>EmotionalNeeds</t>
        </is>
      </c>
      <c r="H38" s="2" t="n"/>
      <c r="I38" s="2" t="inlineStr">
        <is>
          <t>B</t>
        </is>
      </c>
      <c r="J38" s="2" t="inlineStr">
        <is>
          <t>B</t>
        </is>
      </c>
      <c r="K38" s="2" t="inlineStr">
        <is>
          <t>It's subtle, but I clock everything. Less emojis. Slower replies. Something's off, I just haven't figured out what yet.</t>
        </is>
      </c>
      <c r="L38" s="2" t="n">
        <v>7</v>
      </c>
      <c r="M38" s="2" t="n">
        <v>8</v>
      </c>
      <c r="N38" s="2" t="n">
        <v>6</v>
      </c>
      <c r="O38" s="2" t="n">
        <v>6</v>
      </c>
      <c r="P38" s="2" t="n">
        <v>6</v>
      </c>
      <c r="Q38" s="2" t="inlineStr">
        <is>
          <t>Analyzer</t>
        </is>
      </c>
      <c r="R38" s="2" t="n">
        <v>2</v>
      </c>
      <c r="S38" s="2" t="n"/>
      <c r="T38" s="2" t="n"/>
      <c r="U38" s="2" t="n">
        <v>0</v>
      </c>
      <c r="V38" s="2" t="inlineStr">
        <is>
          <t>masc:1.4;fem:0.1</t>
        </is>
      </c>
      <c r="W38" s="2" t="n">
        <v>1.4</v>
      </c>
      <c r="X38" s="2" t="n">
        <v>0.1</v>
      </c>
      <c r="Y38" s="2" t="inlineStr">
        <is>
          <t>COMM_Logical</t>
        </is>
      </c>
      <c r="Z38" s="2" t="inlineStr">
        <is>
          <t>REG_SelfSoother</t>
        </is>
      </c>
      <c r="AA38" s="2" t="inlineStr">
        <is>
          <t>LANG_Service</t>
        </is>
      </c>
      <c r="AB38" s="2" t="n"/>
      <c r="AC38" s="2" t="n"/>
      <c r="AD38" s="2" t="n"/>
      <c r="AE38" s="2" t="n">
        <v>0</v>
      </c>
      <c r="AF38" s="2" t="inlineStr">
        <is>
          <t>pattern tracker</t>
        </is>
      </c>
      <c r="AG38" s="2" t="inlineStr">
        <is>
          <t>micro-signal reader</t>
        </is>
      </c>
      <c r="AH38" s="2" t="n">
        <v>0.6</v>
      </c>
      <c r="AI38" s="2" t="inlineStr">
        <is>
          <t>no</t>
        </is>
      </c>
      <c r="AJ38" s="2" t="inlineStr">
        <is>
          <t>no</t>
        </is>
      </c>
      <c r="AK38" s="2" t="inlineStr">
        <is>
          <t>yes</t>
        </is>
      </c>
      <c r="AL38" s="2" t="inlineStr">
        <is>
          <t>yes</t>
        </is>
      </c>
      <c r="AM38" s="2" t="n"/>
      <c r="AN38" s="2" t="n"/>
      <c r="AO38" s="2" t="n"/>
      <c r="AP38" s="2" t="inlineStr">
        <is>
          <t>v3_2026-03-19</t>
        </is>
      </c>
      <c r="AQ38">
        <f>(L38-Schema_v5!$C2)/(Schema_v5!$C3-Schema_v5!$C2)</f>
        <v/>
      </c>
      <c r="AR38">
        <f>(M38-Schema_v5!$C4)/(Schema_v5!$C5-Schema_v5!$C4)</f>
        <v/>
      </c>
      <c r="AS38">
        <f>N38/Schema_v5!$C6</f>
        <v/>
      </c>
      <c r="AT38">
        <f>O38/Schema_v5!$C7</f>
        <v/>
      </c>
      <c r="AU38">
        <f>P38/Schema_v5!$C8</f>
        <v/>
      </c>
      <c r="AV38">
        <f>IF(Schema_v5!$C9=0,0,AH38/Schema_v5!$C9)</f>
        <v/>
      </c>
      <c r="AW38">
        <f>IF(Schema_v5!$C10=0,0,AE38/Schema_v5!$C10)</f>
        <v/>
      </c>
      <c r="AX38">
        <f>(W38-Schema_v5!$C11)/(Schema_v5!$C12-Schema_v5!$C11)</f>
        <v/>
      </c>
      <c r="AY38">
        <f>(X38-Schema_v5!$C13)/(Schema_v5!$C14-Schema_v5!$C13)</f>
        <v/>
      </c>
      <c r="AZ38">
        <f>MIN(1,MAX(0,U38/Schema_v7!$C$9))</f>
        <v/>
      </c>
      <c r="BA38">
        <f>IF(AJ38="yes",0.55,0)</f>
        <v/>
      </c>
      <c r="BB38">
        <f>IF(AI38="yes",0.10,0)</f>
        <v/>
      </c>
      <c r="BC38">
        <f>IF(Y38="COMM_Direct",0.92,IF(Y38="COMM_Emotional",0.70,IF(Y38="COMM_Logical",0.65,IF(Y38="COMM_Indirect",0.55,0.35))))</f>
        <v/>
      </c>
      <c r="BD38">
        <f>IF(Z38="REG_CoRegulator",0.92,IF(Z38="REG_SelfSoother",0.76,IF(Z38="REG_Distractor",0.48,0.35)))</f>
        <v/>
      </c>
      <c r="BE38">
        <f>IF(AA38="LANG_Time",0.76,IF(AA38="LANG_Service",0.70,IF(AA38="LANG_Words",0.72,IF(AA38="LANG_Touch",0.68,0.60))))</f>
        <v/>
      </c>
      <c r="BF38">
        <f>MAX(0,MIN(1,0.28*AS38+0.16*AT38+0.18*BC38+0.18*BD38+0.10*(1-AZ38)+0.10*(1-BA38)+BB38))</f>
        <v/>
      </c>
      <c r="BG38">
        <f>MAX(0,MIN(1,0.24*AU38+0.18*AS38+0.18*BC38+0.20*BD38+0.10*(1-AW38)+0.10*(1-BA38)))</f>
        <v/>
      </c>
      <c r="BH38">
        <f>MAX(0,MIN(1,0.28*AR38+0.18*AT38+0.16*AU38+0.18*(1-AV38)+0.10*(1-AW38)+0.10*BF38))</f>
        <v/>
      </c>
      <c r="BI38">
        <f>MAX(0,MIN(1,0.30*AV38+0.20*AZ38+0.20*AW38+0.15*(1-BH38)+0.15*(1-BO38)))</f>
        <v/>
      </c>
      <c r="BJ38">
        <f>MAX(0,1-(ABS(((( AX38+AY38)/2)-0.55)*1.6)))</f>
        <v/>
      </c>
      <c r="BK38">
        <f>MAX(0,MIN(1,0.28*AR38+0.18*AT38+0.16*BJ38+0.14*(1-AV38)+0.12*BQ38+0.12*BO38))</f>
        <v/>
      </c>
      <c r="BL38">
        <f>MAX(0,MIN(1,0.22*AQ38+0.18*AS38+0.18*BC38+0.18*BD38+0.08*BE38+0.10*BF38+0.06*BO38))</f>
        <v/>
      </c>
      <c r="BM38">
        <f>MAX(0,MIN(1,0.20*(1-AZ38)+0.16*(1-BA38)+0.14*(1-AW38)+0.14*AU38+0.18*BG38+0.10*BH38+0.08*BP38))</f>
        <v/>
      </c>
      <c r="BN38">
        <f>MAX(0,MIN(1,0.42*BJ38+0.33*BK38+0.15*AT38+0.10*BQ38))</f>
        <v/>
      </c>
      <c r="BO38">
        <f>MAX(0,MIN(1,0.30*BC38+0.24*BD38+0.18*AS38+0.14*(1-BI38)+0.14*AT38))</f>
        <v/>
      </c>
      <c r="BP38">
        <f>MAX(0,MIN(1,0.26*AS38+0.20*(1-BA38)+0.16*(1-AW38)+0.18*BG38+0.10*AU38+0.10+BB38))</f>
        <v/>
      </c>
      <c r="BQ38">
        <f>MAX(0,MIN(1,0.24*AT38+0.18*BF38+0.14*AR38+0.14*BO38+0.14*(1-AV38)+0.16*(1-AZ38)))</f>
        <v/>
      </c>
      <c r="BR38">
        <f>IF(BO38&gt;=0.80,"Open",IF(BO38&gt;=0.62,"Measured",IF(BO38&gt;=0.45,"Selective","Guarded")))</f>
        <v/>
      </c>
      <c r="BS38">
        <f>IF(Y38="COMM_Direct","Direct",IF(Y38="COMM_Emotional","Emotional",IF(Y38="COMM_Logical","Logical",IF(Y38="COMM_Indirect","Indirect","Avoidant"))))</f>
        <v/>
      </c>
      <c r="BT38">
        <f>IF(BG38&gt;=0.78,"Co-repair",IF(BG38&gt;=0.58,"Re-engage",IF(BG38&gt;=0.40,"Delay","Suppress")))</f>
        <v/>
      </c>
      <c r="BU38">
        <f>IF(BI38&gt;=0.70,"Retreat-risk",IF(BH38&lt;=0.40,"Rush-risk",IF(BH38&gt;=0.65,"Slow-build","Mixed")))</f>
        <v/>
      </c>
      <c r="BV38">
        <f>IF(BL38-BM38&gt;=0.15,"Stimulation-seeking",IF(BM38-BL38&gt;=0.15,"Calm-seeking","Mixed")))</f>
        <v/>
      </c>
      <c r="BW38">
        <f>IF(AND(BL38&gt;=0.72,BM38&lt;0.48),"High",IF(AND(BL38&gt;=0.60,BM38&lt;0.58),"Medium","Low"))</f>
        <v/>
      </c>
    </row>
    <row r="39" ht="148.5" customHeight="1" s="10">
      <c r="A39" s="2" t="inlineStr">
        <is>
          <t>Q08_C</t>
        </is>
      </c>
      <c r="B39" s="2" t="n">
        <v>8</v>
      </c>
      <c r="C39" s="2" t="n">
        <v>8</v>
      </c>
      <c r="D39" s="2" t="inlineStr">
        <is>
          <t>Core</t>
        </is>
      </c>
      <c r="E39" s="2" t="n">
        <v>1</v>
      </c>
      <c r="F39" s="2" t="inlineStr">
        <is>
          <t>CommunicationHealth</t>
        </is>
      </c>
      <c r="G39" s="2" t="inlineStr">
        <is>
          <t>EmotionalNeeds</t>
        </is>
      </c>
      <c r="H39" s="2" t="n"/>
      <c r="I39" s="2" t="inlineStr">
        <is>
          <t>C</t>
        </is>
      </c>
      <c r="J39" s="2" t="inlineStr">
        <is>
          <t>C</t>
        </is>
      </c>
      <c r="K39" s="2" t="inlineStr">
        <is>
          <t>I don't ask. I just start detaching. If you're fading, I'm not chasing. I've done that before, and I don't owe anyone a meltdown.</t>
        </is>
      </c>
      <c r="L39" s="2" t="n">
        <v>5</v>
      </c>
      <c r="M39" s="2" t="n">
        <v>6</v>
      </c>
      <c r="N39" s="2" t="n">
        <v>0</v>
      </c>
      <c r="O39" s="2" t="n">
        <v>2</v>
      </c>
      <c r="P39" s="2" t="n">
        <v>0</v>
      </c>
      <c r="Q39" s="2" t="inlineStr">
        <is>
          <t>Quiet Exit</t>
        </is>
      </c>
      <c r="R39" s="2" t="n">
        <v>4</v>
      </c>
      <c r="S39" s="2" t="n"/>
      <c r="T39" s="2" t="n"/>
      <c r="U39" s="2" t="n">
        <v>0</v>
      </c>
      <c r="V39" s="2" t="inlineStr">
        <is>
          <t>masc:1.4;fem:-1.3</t>
        </is>
      </c>
      <c r="W39" s="2" t="n">
        <v>1.4</v>
      </c>
      <c r="X39" s="2" t="n">
        <v>-1.3</v>
      </c>
      <c r="Y39" s="2" t="inlineStr">
        <is>
          <t>COMM_Avoidant</t>
        </is>
      </c>
      <c r="Z39" s="2" t="inlineStr">
        <is>
          <t>REG_Suppressor</t>
        </is>
      </c>
      <c r="AA39" s="2" t="inlineStr">
        <is>
          <t>LANG_Time</t>
        </is>
      </c>
      <c r="AB39" s="2" t="inlineStr">
        <is>
          <t>Vulnerability_Loop</t>
        </is>
      </c>
      <c r="AC39" s="2" t="inlineStr">
        <is>
          <t>Vulnerability_Loop</t>
        </is>
      </c>
      <c r="AD39" s="2" t="n"/>
      <c r="AE39" s="2" t="n">
        <v>5</v>
      </c>
      <c r="AF39" s="2" t="inlineStr">
        <is>
          <t>soft boundary</t>
        </is>
      </c>
      <c r="AG39" s="2" t="inlineStr">
        <is>
          <t>quiet exit</t>
        </is>
      </c>
      <c r="AH39" s="2" t="n">
        <v>0.2</v>
      </c>
      <c r="AI39" s="2" t="inlineStr">
        <is>
          <t>yes</t>
        </is>
      </c>
      <c r="AJ39" s="2" t="inlineStr">
        <is>
          <t>no</t>
        </is>
      </c>
      <c r="AK39" s="2" t="inlineStr">
        <is>
          <t>yes</t>
        </is>
      </c>
      <c r="AL39" s="2" t="inlineStr">
        <is>
          <t>yes</t>
        </is>
      </c>
      <c r="AM39" s="2" t="n"/>
      <c r="AN39" s="2" t="n"/>
      <c r="AO39" s="2" t="n"/>
      <c r="AP39" s="2" t="inlineStr">
        <is>
          <t>v3_2026-03-19</t>
        </is>
      </c>
      <c r="AQ39">
        <f>(L39-Schema_v5!$C2)/(Schema_v5!$C3-Schema_v5!$C2)</f>
        <v/>
      </c>
      <c r="AR39">
        <f>(M39-Schema_v5!$C4)/(Schema_v5!$C5-Schema_v5!$C4)</f>
        <v/>
      </c>
      <c r="AS39">
        <f>N39/Schema_v5!$C6</f>
        <v/>
      </c>
      <c r="AT39">
        <f>O39/Schema_v5!$C7</f>
        <v/>
      </c>
      <c r="AU39">
        <f>P39/Schema_v5!$C8</f>
        <v/>
      </c>
      <c r="AV39">
        <f>IF(Schema_v5!$C9=0,0,AH39/Schema_v5!$C9)</f>
        <v/>
      </c>
      <c r="AW39">
        <f>IF(Schema_v5!$C10=0,0,AE39/Schema_v5!$C10)</f>
        <v/>
      </c>
      <c r="AX39">
        <f>(W39-Schema_v5!$C11)/(Schema_v5!$C12-Schema_v5!$C11)</f>
        <v/>
      </c>
      <c r="AY39">
        <f>(X39-Schema_v5!$C13)/(Schema_v5!$C14-Schema_v5!$C13)</f>
        <v/>
      </c>
      <c r="AZ39">
        <f>MIN(1,MAX(0,U39/Schema_v7!$C$9))</f>
        <v/>
      </c>
      <c r="BA39">
        <f>IF(AJ39="yes",0.55,0)</f>
        <v/>
      </c>
      <c r="BB39">
        <f>IF(AI39="yes",0.10,0)</f>
        <v/>
      </c>
      <c r="BC39">
        <f>IF(Y39="COMM_Direct",0.92,IF(Y39="COMM_Emotional",0.70,IF(Y39="COMM_Logical",0.65,IF(Y39="COMM_Indirect",0.55,0.35))))</f>
        <v/>
      </c>
      <c r="BD39">
        <f>IF(Z39="REG_CoRegulator",0.92,IF(Z39="REG_SelfSoother",0.76,IF(Z39="REG_Distractor",0.48,0.35)))</f>
        <v/>
      </c>
      <c r="BE39">
        <f>IF(AA39="LANG_Time",0.76,IF(AA39="LANG_Service",0.70,IF(AA39="LANG_Words",0.72,IF(AA39="LANG_Touch",0.68,0.60))))</f>
        <v/>
      </c>
      <c r="BF39">
        <f>MAX(0,MIN(1,0.28*AS39+0.16*AT39+0.18*BC39+0.18*BD39+0.10*(1-AZ39)+0.10*(1-BA39)+BB39))</f>
        <v/>
      </c>
      <c r="BG39">
        <f>MAX(0,MIN(1,0.24*AU39+0.18*AS39+0.18*BC39+0.20*BD39+0.10*(1-AW39)+0.10*(1-BA39)))</f>
        <v/>
      </c>
      <c r="BH39">
        <f>MAX(0,MIN(1,0.28*AR39+0.18*AT39+0.16*AU39+0.18*(1-AV39)+0.10*(1-AW39)+0.10*BF39))</f>
        <v/>
      </c>
      <c r="BI39">
        <f>MAX(0,MIN(1,0.30*AV39+0.20*AZ39+0.20*AW39+0.15*(1-BH39)+0.15*(1-BO39)))</f>
        <v/>
      </c>
      <c r="BJ39">
        <f>MAX(0,1-(ABS(((( AX39+AY39)/2)-0.55)*1.6)))</f>
        <v/>
      </c>
      <c r="BK39">
        <f>MAX(0,MIN(1,0.28*AR39+0.18*AT39+0.16*BJ39+0.14*(1-AV39)+0.12*BQ39+0.12*BO39))</f>
        <v/>
      </c>
      <c r="BL39">
        <f>MAX(0,MIN(1,0.22*AQ39+0.18*AS39+0.18*BC39+0.18*BD39+0.08*BE39+0.10*BF39+0.06*BO39))</f>
        <v/>
      </c>
      <c r="BM39">
        <f>MAX(0,MIN(1,0.20*(1-AZ39)+0.16*(1-BA39)+0.14*(1-AW39)+0.14*AU39+0.18*BG39+0.10*BH39+0.08*BP39))</f>
        <v/>
      </c>
      <c r="BN39">
        <f>MAX(0,MIN(1,0.42*BJ39+0.33*BK39+0.15*AT39+0.10*BQ39))</f>
        <v/>
      </c>
      <c r="BO39">
        <f>MAX(0,MIN(1,0.30*BC39+0.24*BD39+0.18*AS39+0.14*(1-BI39)+0.14*AT39))</f>
        <v/>
      </c>
      <c r="BP39">
        <f>MAX(0,MIN(1,0.26*AS39+0.20*(1-BA39)+0.16*(1-AW39)+0.18*BG39+0.10*AU39+0.10+BB39))</f>
        <v/>
      </c>
      <c r="BQ39">
        <f>MAX(0,MIN(1,0.24*AT39+0.18*BF39+0.14*AR39+0.14*BO39+0.14*(1-AV39)+0.16*(1-AZ39)))</f>
        <v/>
      </c>
      <c r="BR39">
        <f>IF(BO39&gt;=0.80,"Open",IF(BO39&gt;=0.62,"Measured",IF(BO39&gt;=0.45,"Selective","Guarded")))</f>
        <v/>
      </c>
      <c r="BS39">
        <f>IF(Y39="COMM_Direct","Direct",IF(Y39="COMM_Emotional","Emotional",IF(Y39="COMM_Logical","Logical",IF(Y39="COMM_Indirect","Indirect","Avoidant"))))</f>
        <v/>
      </c>
      <c r="BT39">
        <f>IF(BG39&gt;=0.78,"Co-repair",IF(BG39&gt;=0.58,"Re-engage",IF(BG39&gt;=0.40,"Delay","Suppress")))</f>
        <v/>
      </c>
      <c r="BU39">
        <f>IF(BI39&gt;=0.70,"Retreat-risk",IF(BH39&lt;=0.40,"Rush-risk",IF(BH39&gt;=0.65,"Slow-build","Mixed")))</f>
        <v/>
      </c>
      <c r="BV39">
        <f>IF(BL39-BM39&gt;=0.15,"Stimulation-seeking",IF(BM39-BL39&gt;=0.15,"Calm-seeking","Mixed")))</f>
        <v/>
      </c>
      <c r="BW39">
        <f>IF(AND(BL39&gt;=0.72,BM39&lt;0.48),"High",IF(AND(BL39&gt;=0.60,BM39&lt;0.58),"Medium","Low"))</f>
        <v/>
      </c>
    </row>
    <row r="40" ht="121.5" customHeight="1" s="10">
      <c r="A40" s="2" t="inlineStr">
        <is>
          <t>Q08_D</t>
        </is>
      </c>
      <c r="B40" s="2" t="n">
        <v>8</v>
      </c>
      <c r="C40" s="2" t="n">
        <v>8</v>
      </c>
      <c r="D40" s="2" t="inlineStr">
        <is>
          <t>Core</t>
        </is>
      </c>
      <c r="E40" s="2" t="n">
        <v>1</v>
      </c>
      <c r="F40" s="2" t="inlineStr">
        <is>
          <t>CommunicationHealth</t>
        </is>
      </c>
      <c r="G40" s="2" t="inlineStr">
        <is>
          <t>EmotionalNeeds</t>
        </is>
      </c>
      <c r="H40" s="2" t="n"/>
      <c r="I40" s="2" t="inlineStr">
        <is>
          <t>D</t>
        </is>
      </c>
      <c r="J40" s="2" t="inlineStr">
        <is>
          <t>D</t>
        </is>
      </c>
      <c r="K40" s="2" t="inlineStr">
        <is>
          <t>Maybe they just need space. I try not to assume the worst... but yeah, it's hard not to take it personal.</t>
        </is>
      </c>
      <c r="L40" s="2" t="n">
        <v>7</v>
      </c>
      <c r="M40" s="2" t="n">
        <v>8</v>
      </c>
      <c r="N40" s="2" t="n">
        <v>6</v>
      </c>
      <c r="O40" s="2" t="n">
        <v>6</v>
      </c>
      <c r="P40" s="2" t="n">
        <v>4</v>
      </c>
      <c r="Q40" s="2" t="inlineStr">
        <is>
          <t>Romantic Idealist</t>
        </is>
      </c>
      <c r="R40" s="2" t="n">
        <v>6</v>
      </c>
      <c r="S40" s="2" t="n"/>
      <c r="T40" s="2" t="n"/>
      <c r="U40" s="2" t="n">
        <v>0</v>
      </c>
      <c r="V40" s="2" t="inlineStr">
        <is>
          <t>masc:-0.4;fem:1.5</t>
        </is>
      </c>
      <c r="W40" s="2" t="n">
        <v>-0.4</v>
      </c>
      <c r="X40" s="2" t="n">
        <v>1.5</v>
      </c>
      <c r="Y40" s="2" t="inlineStr">
        <is>
          <t>COMM_Emotional</t>
        </is>
      </c>
      <c r="Z40" s="2" t="inlineStr">
        <is>
          <t>REG_Distractor</t>
        </is>
      </c>
      <c r="AA40" s="2" t="inlineStr">
        <is>
          <t>LANG_Gifts</t>
        </is>
      </c>
      <c r="AB40" s="2" t="n"/>
      <c r="AC40" s="2" t="n"/>
      <c r="AD40" s="2" t="n"/>
      <c r="AE40" s="2" t="n">
        <v>0</v>
      </c>
      <c r="AF40" s="2" t="inlineStr">
        <is>
          <t>fragile optimism</t>
        </is>
      </c>
      <c r="AG40" s="2" t="inlineStr">
        <is>
          <t>tentative hope</t>
        </is>
      </c>
      <c r="AH40" s="2" t="n">
        <v>0</v>
      </c>
      <c r="AI40" s="2" t="inlineStr">
        <is>
          <t>no</t>
        </is>
      </c>
      <c r="AJ40" s="2" t="inlineStr">
        <is>
          <t>no</t>
        </is>
      </c>
      <c r="AK40" s="2" t="inlineStr">
        <is>
          <t>yes</t>
        </is>
      </c>
      <c r="AL40" s="2" t="inlineStr">
        <is>
          <t>yes</t>
        </is>
      </c>
      <c r="AM40" s="2" t="n"/>
      <c r="AN40" s="2" t="n"/>
      <c r="AO40" s="2" t="n"/>
      <c r="AP40" s="2" t="inlineStr">
        <is>
          <t>v3_2026-03-19</t>
        </is>
      </c>
      <c r="AQ40">
        <f>(L40-Schema_v5!$C2)/(Schema_v5!$C3-Schema_v5!$C2)</f>
        <v/>
      </c>
      <c r="AR40">
        <f>(M40-Schema_v5!$C4)/(Schema_v5!$C5-Schema_v5!$C4)</f>
        <v/>
      </c>
      <c r="AS40">
        <f>N40/Schema_v5!$C6</f>
        <v/>
      </c>
      <c r="AT40">
        <f>O40/Schema_v5!$C7</f>
        <v/>
      </c>
      <c r="AU40">
        <f>P40/Schema_v5!$C8</f>
        <v/>
      </c>
      <c r="AV40">
        <f>IF(Schema_v5!$C9=0,0,AH40/Schema_v5!$C9)</f>
        <v/>
      </c>
      <c r="AW40">
        <f>IF(Schema_v5!$C10=0,0,AE40/Schema_v5!$C10)</f>
        <v/>
      </c>
      <c r="AX40">
        <f>(W40-Schema_v5!$C11)/(Schema_v5!$C12-Schema_v5!$C11)</f>
        <v/>
      </c>
      <c r="AY40">
        <f>(X40-Schema_v5!$C13)/(Schema_v5!$C14-Schema_v5!$C13)</f>
        <v/>
      </c>
      <c r="AZ40">
        <f>MIN(1,MAX(0,U40/Schema_v7!$C$9))</f>
        <v/>
      </c>
      <c r="BA40">
        <f>IF(AJ40="yes",0.55,0)</f>
        <v/>
      </c>
      <c r="BB40">
        <f>IF(AI40="yes",0.10,0)</f>
        <v/>
      </c>
      <c r="BC40">
        <f>IF(Y40="COMM_Direct",0.92,IF(Y40="COMM_Emotional",0.70,IF(Y40="COMM_Logical",0.65,IF(Y40="COMM_Indirect",0.55,0.35))))</f>
        <v/>
      </c>
      <c r="BD40">
        <f>IF(Z40="REG_CoRegulator",0.92,IF(Z40="REG_SelfSoother",0.76,IF(Z40="REG_Distractor",0.48,0.35)))</f>
        <v/>
      </c>
      <c r="BE40">
        <f>IF(AA40="LANG_Time",0.76,IF(AA40="LANG_Service",0.70,IF(AA40="LANG_Words",0.72,IF(AA40="LANG_Touch",0.68,0.60))))</f>
        <v/>
      </c>
      <c r="BF40">
        <f>MAX(0,MIN(1,0.28*AS40+0.16*AT40+0.18*BC40+0.18*BD40+0.10*(1-AZ40)+0.10*(1-BA40)+BB40))</f>
        <v/>
      </c>
      <c r="BG40">
        <f>MAX(0,MIN(1,0.24*AU40+0.18*AS40+0.18*BC40+0.20*BD40+0.10*(1-AW40)+0.10*(1-BA40)))</f>
        <v/>
      </c>
      <c r="BH40">
        <f>MAX(0,MIN(1,0.28*AR40+0.18*AT40+0.16*AU40+0.18*(1-AV40)+0.10*(1-AW40)+0.10*BF40))</f>
        <v/>
      </c>
      <c r="BI40">
        <f>MAX(0,MIN(1,0.30*AV40+0.20*AZ40+0.20*AW40+0.15*(1-BH40)+0.15*(1-BO40)))</f>
        <v/>
      </c>
      <c r="BJ40">
        <f>MAX(0,1-(ABS(((( AX40+AY40)/2)-0.55)*1.6)))</f>
        <v/>
      </c>
      <c r="BK40">
        <f>MAX(0,MIN(1,0.28*AR40+0.18*AT40+0.16*BJ40+0.14*(1-AV40)+0.12*BQ40+0.12*BO40))</f>
        <v/>
      </c>
      <c r="BL40">
        <f>MAX(0,MIN(1,0.22*AQ40+0.18*AS40+0.18*BC40+0.18*BD40+0.08*BE40+0.10*BF40+0.06*BO40))</f>
        <v/>
      </c>
      <c r="BM40">
        <f>MAX(0,MIN(1,0.20*(1-AZ40)+0.16*(1-BA40)+0.14*(1-AW40)+0.14*AU40+0.18*BG40+0.10*BH40+0.08*BP40))</f>
        <v/>
      </c>
      <c r="BN40">
        <f>MAX(0,MIN(1,0.42*BJ40+0.33*BK40+0.15*AT40+0.10*BQ40))</f>
        <v/>
      </c>
      <c r="BO40">
        <f>MAX(0,MIN(1,0.30*BC40+0.24*BD40+0.18*AS40+0.14*(1-BI40)+0.14*AT40))</f>
        <v/>
      </c>
      <c r="BP40">
        <f>MAX(0,MIN(1,0.26*AS40+0.20*(1-BA40)+0.16*(1-AW40)+0.18*BG40+0.10*AU40+0.10+BB40))</f>
        <v/>
      </c>
      <c r="BQ40">
        <f>MAX(0,MIN(1,0.24*AT40+0.18*BF40+0.14*AR40+0.14*BO40+0.14*(1-AV40)+0.16*(1-AZ40)))</f>
        <v/>
      </c>
      <c r="BR40">
        <f>IF(BO40&gt;=0.80,"Open",IF(BO40&gt;=0.62,"Measured",IF(BO40&gt;=0.45,"Selective","Guarded")))</f>
        <v/>
      </c>
      <c r="BS40">
        <f>IF(Y40="COMM_Direct","Direct",IF(Y40="COMM_Emotional","Emotional",IF(Y40="COMM_Logical","Logical",IF(Y40="COMM_Indirect","Indirect","Avoidant"))))</f>
        <v/>
      </c>
      <c r="BT40">
        <f>IF(BG40&gt;=0.78,"Co-repair",IF(BG40&gt;=0.58,"Re-engage",IF(BG40&gt;=0.40,"Delay","Suppress")))</f>
        <v/>
      </c>
      <c r="BU40">
        <f>IF(BI40&gt;=0.70,"Retreat-risk",IF(BH40&lt;=0.40,"Rush-risk",IF(BH40&gt;=0.65,"Slow-build","Mixed")))</f>
        <v/>
      </c>
      <c r="BV40">
        <f>IF(BL40-BM40&gt;=0.15,"Stimulation-seeking",IF(BM40-BL40&gt;=0.15,"Calm-seeking","Mixed")))</f>
        <v/>
      </c>
      <c r="BW40">
        <f>IF(AND(BL40&gt;=0.72,BM40&lt;0.48),"High",IF(AND(BL40&gt;=0.60,BM40&lt;0.58),"Medium","Low"))</f>
        <v/>
      </c>
    </row>
    <row r="41" ht="108" customHeight="1" s="10">
      <c r="A41" s="2" t="inlineStr">
        <is>
          <t>Q08_E</t>
        </is>
      </c>
      <c r="B41" s="2" t="n">
        <v>8</v>
      </c>
      <c r="C41" s="2" t="n">
        <v>8</v>
      </c>
      <c r="D41" s="2" t="inlineStr">
        <is>
          <t>Core</t>
        </is>
      </c>
      <c r="E41" s="2" t="n">
        <v>1</v>
      </c>
      <c r="F41" s="2" t="inlineStr">
        <is>
          <t>CommunicationHealth</t>
        </is>
      </c>
      <c r="G41" s="2" t="inlineStr">
        <is>
          <t>EmotionalNeeds</t>
        </is>
      </c>
      <c r="H41" s="2" t="n"/>
      <c r="I41" s="2" t="inlineStr">
        <is>
          <t>E</t>
        </is>
      </c>
      <c r="J41" s="2" t="inlineStr">
        <is>
          <t>E</t>
        </is>
      </c>
      <c r="K41" s="2" t="inlineStr">
        <is>
          <t>Cool. If they're gonna play distant, I'll be busy too. I'm not built to beg for consistency.</t>
        </is>
      </c>
      <c r="L41" s="2" t="n">
        <v>4</v>
      </c>
      <c r="M41" s="2" t="n">
        <v>5</v>
      </c>
      <c r="N41" s="2" t="n">
        <v>0</v>
      </c>
      <c r="O41" s="2" t="n">
        <v>0</v>
      </c>
      <c r="P41" s="2" t="n">
        <v>0</v>
      </c>
      <c r="Q41" s="2" t="inlineStr">
        <is>
          <t>Icebox</t>
        </is>
      </c>
      <c r="R41" s="2" t="n">
        <v>1</v>
      </c>
      <c r="S41" s="2" t="n"/>
      <c r="T41" s="2" t="n"/>
      <c r="U41" s="2" t="n">
        <v>0</v>
      </c>
      <c r="V41" s="2" t="inlineStr">
        <is>
          <t>masc:1.8;fem:-1.6</t>
        </is>
      </c>
      <c r="W41" s="2" t="n">
        <v>1.8</v>
      </c>
      <c r="X41" s="2" t="n">
        <v>-1.6</v>
      </c>
      <c r="Y41" s="2" t="inlineStr">
        <is>
          <t>COMM_Avoidant</t>
        </is>
      </c>
      <c r="Z41" s="2" t="inlineStr">
        <is>
          <t>REG_Suppressor</t>
        </is>
      </c>
      <c r="AA41" s="2" t="inlineStr">
        <is>
          <t>LANG_Time</t>
        </is>
      </c>
      <c r="AB41" s="2" t="inlineStr">
        <is>
          <t>Vulnerability_Loop , Pursuer_Distancer</t>
        </is>
      </c>
      <c r="AC41" s="2" t="inlineStr">
        <is>
          <t>Vulnerability_Loop</t>
        </is>
      </c>
      <c r="AD41" s="2" t="inlineStr">
        <is>
          <t>Pursuer_Distancer</t>
        </is>
      </c>
      <c r="AE41" s="2" t="n">
        <v>11</v>
      </c>
      <c r="AF41" s="2" t="inlineStr">
        <is>
          <t>defensive control</t>
        </is>
      </c>
      <c r="AG41" s="2" t="inlineStr">
        <is>
          <t>mirrored distance</t>
        </is>
      </c>
      <c r="AH41" s="2" t="n">
        <v>0</v>
      </c>
      <c r="AI41" s="2" t="inlineStr">
        <is>
          <t>yes</t>
        </is>
      </c>
      <c r="AJ41" s="2" t="inlineStr">
        <is>
          <t>no</t>
        </is>
      </c>
      <c r="AK41" s="2" t="inlineStr">
        <is>
          <t>yes</t>
        </is>
      </c>
      <c r="AL41" s="2" t="inlineStr">
        <is>
          <t>yes</t>
        </is>
      </c>
      <c r="AM41" s="2" t="n"/>
      <c r="AN41" s="2" t="n"/>
      <c r="AO41" s="2" t="n"/>
      <c r="AP41" s="2" t="inlineStr">
        <is>
          <t>v3_2026-03-19</t>
        </is>
      </c>
      <c r="AQ41">
        <f>(L41-Schema_v5!$C2)/(Schema_v5!$C3-Schema_v5!$C2)</f>
        <v/>
      </c>
      <c r="AR41">
        <f>(M41-Schema_v5!$C4)/(Schema_v5!$C5-Schema_v5!$C4)</f>
        <v/>
      </c>
      <c r="AS41">
        <f>N41/Schema_v5!$C6</f>
        <v/>
      </c>
      <c r="AT41">
        <f>O41/Schema_v5!$C7</f>
        <v/>
      </c>
      <c r="AU41">
        <f>P41/Schema_v5!$C8</f>
        <v/>
      </c>
      <c r="AV41">
        <f>IF(Schema_v5!$C9=0,0,AH41/Schema_v5!$C9)</f>
        <v/>
      </c>
      <c r="AW41">
        <f>IF(Schema_v5!$C10=0,0,AE41/Schema_v5!$C10)</f>
        <v/>
      </c>
      <c r="AX41">
        <f>(W41-Schema_v5!$C11)/(Schema_v5!$C12-Schema_v5!$C11)</f>
        <v/>
      </c>
      <c r="AY41">
        <f>(X41-Schema_v5!$C13)/(Schema_v5!$C14-Schema_v5!$C13)</f>
        <v/>
      </c>
      <c r="AZ41">
        <f>MIN(1,MAX(0,U41/Schema_v7!$C$9))</f>
        <v/>
      </c>
      <c r="BA41">
        <f>IF(AJ41="yes",0.55,0)</f>
        <v/>
      </c>
      <c r="BB41">
        <f>IF(AI41="yes",0.10,0)</f>
        <v/>
      </c>
      <c r="BC41">
        <f>IF(Y41="COMM_Direct",0.92,IF(Y41="COMM_Emotional",0.70,IF(Y41="COMM_Logical",0.65,IF(Y41="COMM_Indirect",0.55,0.35))))</f>
        <v/>
      </c>
      <c r="BD41">
        <f>IF(Z41="REG_CoRegulator",0.92,IF(Z41="REG_SelfSoother",0.76,IF(Z41="REG_Distractor",0.48,0.35)))</f>
        <v/>
      </c>
      <c r="BE41">
        <f>IF(AA41="LANG_Time",0.76,IF(AA41="LANG_Service",0.70,IF(AA41="LANG_Words",0.72,IF(AA41="LANG_Touch",0.68,0.60))))</f>
        <v/>
      </c>
      <c r="BF41">
        <f>MAX(0,MIN(1,0.28*AS41+0.16*AT41+0.18*BC41+0.18*BD41+0.10*(1-AZ41)+0.10*(1-BA41)+BB41))</f>
        <v/>
      </c>
      <c r="BG41">
        <f>MAX(0,MIN(1,0.24*AU41+0.18*AS41+0.18*BC41+0.20*BD41+0.10*(1-AW41)+0.10*(1-BA41)))</f>
        <v/>
      </c>
      <c r="BH41">
        <f>MAX(0,MIN(1,0.28*AR41+0.18*AT41+0.16*AU41+0.18*(1-AV41)+0.10*(1-AW41)+0.10*BF41))</f>
        <v/>
      </c>
      <c r="BI41">
        <f>MAX(0,MIN(1,0.30*AV41+0.20*AZ41+0.20*AW41+0.15*(1-BH41)+0.15*(1-BO41)))</f>
        <v/>
      </c>
      <c r="BJ41">
        <f>MAX(0,1-(ABS(((( AX41+AY41)/2)-0.55)*1.6)))</f>
        <v/>
      </c>
      <c r="BK41">
        <f>MAX(0,MIN(1,0.28*AR41+0.18*AT41+0.16*BJ41+0.14*(1-AV41)+0.12*BQ41+0.12*BO41))</f>
        <v/>
      </c>
      <c r="BL41">
        <f>MAX(0,MIN(1,0.22*AQ41+0.18*AS41+0.18*BC41+0.18*BD41+0.08*BE41+0.10*BF41+0.06*BO41))</f>
        <v/>
      </c>
      <c r="BM41">
        <f>MAX(0,MIN(1,0.20*(1-AZ41)+0.16*(1-BA41)+0.14*(1-AW41)+0.14*AU41+0.18*BG41+0.10*BH41+0.08*BP41))</f>
        <v/>
      </c>
      <c r="BN41">
        <f>MAX(0,MIN(1,0.42*BJ41+0.33*BK41+0.15*AT41+0.10*BQ41))</f>
        <v/>
      </c>
      <c r="BO41">
        <f>MAX(0,MIN(1,0.30*BC41+0.24*BD41+0.18*AS41+0.14*(1-BI41)+0.14*AT41))</f>
        <v/>
      </c>
      <c r="BP41">
        <f>MAX(0,MIN(1,0.26*AS41+0.20*(1-BA41)+0.16*(1-AW41)+0.18*BG41+0.10*AU41+0.10+BB41))</f>
        <v/>
      </c>
      <c r="BQ41">
        <f>MAX(0,MIN(1,0.24*AT41+0.18*BF41+0.14*AR41+0.14*BO41+0.14*(1-AV41)+0.16*(1-AZ41)))</f>
        <v/>
      </c>
      <c r="BR41">
        <f>IF(BO41&gt;=0.80,"Open",IF(BO41&gt;=0.62,"Measured",IF(BO41&gt;=0.45,"Selective","Guarded")))</f>
        <v/>
      </c>
      <c r="BS41">
        <f>IF(Y41="COMM_Direct","Direct",IF(Y41="COMM_Emotional","Emotional",IF(Y41="COMM_Logical","Logical",IF(Y41="COMM_Indirect","Indirect","Avoidant"))))</f>
        <v/>
      </c>
      <c r="BT41">
        <f>IF(BG41&gt;=0.78,"Co-repair",IF(BG41&gt;=0.58,"Re-engage",IF(BG41&gt;=0.40,"Delay","Suppress")))</f>
        <v/>
      </c>
      <c r="BU41">
        <f>IF(BI41&gt;=0.70,"Retreat-risk",IF(BH41&lt;=0.40,"Rush-risk",IF(BH41&gt;=0.65,"Slow-build","Mixed")))</f>
        <v/>
      </c>
      <c r="BV41">
        <f>IF(BL41-BM41&gt;=0.15,"Stimulation-seeking",IF(BM41-BL41&gt;=0.15,"Calm-seeking","Mixed")))</f>
        <v/>
      </c>
      <c r="BW41">
        <f>IF(AND(BL41&gt;=0.72,BM41&lt;0.48),"High",IF(AND(BL41&gt;=0.60,BM41&lt;0.58),"Medium","Low"))</f>
        <v/>
      </c>
    </row>
    <row r="42" ht="121.5" customHeight="1" s="10">
      <c r="A42" s="2" t="inlineStr">
        <is>
          <t>Q09_A</t>
        </is>
      </c>
      <c r="B42" s="2" t="n">
        <v>9</v>
      </c>
      <c r="C42" s="2" t="n">
        <v>9</v>
      </c>
      <c r="D42" s="2" t="inlineStr">
        <is>
          <t>Core</t>
        </is>
      </c>
      <c r="E42" s="2" t="n">
        <v>1.05</v>
      </c>
      <c r="F42" s="2" t="inlineStr">
        <is>
          <t>ConflictRepair</t>
        </is>
      </c>
      <c r="G42" s="2" t="inlineStr">
        <is>
          <t>CommunicationHealth</t>
        </is>
      </c>
      <c r="H42" s="2" t="inlineStr">
        <is>
          <t>Question 9: They cancel plans last minute. No real reason, no reschedule. How do you take it?</t>
        </is>
      </c>
      <c r="I42" s="2" t="inlineStr">
        <is>
          <t>A</t>
        </is>
      </c>
      <c r="J42" s="2" t="inlineStr">
        <is>
          <t>A</t>
        </is>
      </c>
      <c r="K42" s="2" t="inlineStr">
        <is>
          <t>Noted. That's usually my cue to start pulling my energy back. I don't throw a fit, I just stop handing out access.</t>
        </is>
      </c>
      <c r="L42" s="2" t="n">
        <v>7</v>
      </c>
      <c r="M42" s="2" t="n">
        <v>8</v>
      </c>
      <c r="N42" s="2" t="n">
        <v>4</v>
      </c>
      <c r="O42" s="2" t="n">
        <v>4</v>
      </c>
      <c r="P42" s="2" t="n">
        <v>0</v>
      </c>
      <c r="Q42" s="2" t="inlineStr">
        <is>
          <t>Quiet Exit</t>
        </is>
      </c>
      <c r="R42" s="2" t="n">
        <v>4</v>
      </c>
      <c r="S42" s="2" t="n"/>
      <c r="T42" s="2" t="n"/>
      <c r="U42" s="2" t="n">
        <v>0</v>
      </c>
      <c r="V42" s="2" t="inlineStr">
        <is>
          <t>masc:1.4;fem:-1.3</t>
        </is>
      </c>
      <c r="W42" s="2" t="n">
        <v>1.4</v>
      </c>
      <c r="X42" s="2" t="n">
        <v>-1.3</v>
      </c>
      <c r="Y42" s="2" t="inlineStr">
        <is>
          <t>COMM_Avoidant</t>
        </is>
      </c>
      <c r="Z42" s="2" t="inlineStr">
        <is>
          <t>REG_Suppressor</t>
        </is>
      </c>
      <c r="AA42" s="2" t="inlineStr">
        <is>
          <t>LANG_Time</t>
        </is>
      </c>
      <c r="AB42" s="2" t="n"/>
      <c r="AC42" s="2" t="n"/>
      <c r="AD42" s="2" t="n"/>
      <c r="AE42" s="2" t="n">
        <v>0</v>
      </c>
      <c r="AF42" s="2" t="inlineStr">
        <is>
          <t>soft withdrawal</t>
        </is>
      </c>
      <c r="AG42" s="2" t="inlineStr">
        <is>
          <t>quiet boundary</t>
        </is>
      </c>
      <c r="AH42" s="2" t="n">
        <v>0.2</v>
      </c>
      <c r="AI42" s="2" t="inlineStr">
        <is>
          <t>no</t>
        </is>
      </c>
      <c r="AJ42" s="2" t="inlineStr">
        <is>
          <t>no</t>
        </is>
      </c>
      <c r="AK42" s="2" t="inlineStr">
        <is>
          <t>yes</t>
        </is>
      </c>
      <c r="AL42" s="2" t="inlineStr">
        <is>
          <t>yes</t>
        </is>
      </c>
      <c r="AM42" s="2" t="n"/>
      <c r="AN42" s="2" t="n"/>
      <c r="AO42" s="2" t="n"/>
      <c r="AP42" s="2" t="inlineStr">
        <is>
          <t>v3_2026-03-19</t>
        </is>
      </c>
      <c r="AQ42">
        <f>(L42-Schema_v5!$C2)/(Schema_v5!$C3-Schema_v5!$C2)</f>
        <v/>
      </c>
      <c r="AR42">
        <f>(M42-Schema_v5!$C4)/(Schema_v5!$C5-Schema_v5!$C4)</f>
        <v/>
      </c>
      <c r="AS42">
        <f>N42/Schema_v5!$C6</f>
        <v/>
      </c>
      <c r="AT42">
        <f>O42/Schema_v5!$C7</f>
        <v/>
      </c>
      <c r="AU42">
        <f>P42/Schema_v5!$C8</f>
        <v/>
      </c>
      <c r="AV42">
        <f>IF(Schema_v5!$C9=0,0,AH42/Schema_v5!$C9)</f>
        <v/>
      </c>
      <c r="AW42">
        <f>IF(Schema_v5!$C10=0,0,AE42/Schema_v5!$C10)</f>
        <v/>
      </c>
      <c r="AX42">
        <f>(W42-Schema_v5!$C11)/(Schema_v5!$C12-Schema_v5!$C11)</f>
        <v/>
      </c>
      <c r="AY42">
        <f>(X42-Schema_v5!$C13)/(Schema_v5!$C14-Schema_v5!$C13)</f>
        <v/>
      </c>
      <c r="AZ42">
        <f>MIN(1,MAX(0,U42/Schema_v7!$C$9))</f>
        <v/>
      </c>
      <c r="BA42">
        <f>IF(AJ42="yes",0.55,0)</f>
        <v/>
      </c>
      <c r="BB42">
        <f>IF(AI42="yes",0.10,0)</f>
        <v/>
      </c>
      <c r="BC42">
        <f>IF(Y42="COMM_Direct",0.92,IF(Y42="COMM_Emotional",0.70,IF(Y42="COMM_Logical",0.65,IF(Y42="COMM_Indirect",0.55,0.35))))</f>
        <v/>
      </c>
      <c r="BD42">
        <f>IF(Z42="REG_CoRegulator",0.92,IF(Z42="REG_SelfSoother",0.76,IF(Z42="REG_Distractor",0.48,0.35)))</f>
        <v/>
      </c>
      <c r="BE42">
        <f>IF(AA42="LANG_Time",0.76,IF(AA42="LANG_Service",0.70,IF(AA42="LANG_Words",0.72,IF(AA42="LANG_Touch",0.68,0.60))))</f>
        <v/>
      </c>
      <c r="BF42">
        <f>MAX(0,MIN(1,0.28*AS42+0.16*AT42+0.18*BC42+0.18*BD42+0.10*(1-AZ42)+0.10*(1-BA42)+BB42))</f>
        <v/>
      </c>
      <c r="BG42">
        <f>MAX(0,MIN(1,0.24*AU42+0.18*AS42+0.18*BC42+0.20*BD42+0.10*(1-AW42)+0.10*(1-BA42)))</f>
        <v/>
      </c>
      <c r="BH42">
        <f>MAX(0,MIN(1,0.28*AR42+0.18*AT42+0.16*AU42+0.18*(1-AV42)+0.10*(1-AW42)+0.10*BF42))</f>
        <v/>
      </c>
      <c r="BI42">
        <f>MAX(0,MIN(1,0.30*AV42+0.20*AZ42+0.20*AW42+0.15*(1-BH42)+0.15*(1-BO42)))</f>
        <v/>
      </c>
      <c r="BJ42">
        <f>MAX(0,1-(ABS(((( AX42+AY42)/2)-0.55)*1.6)))</f>
        <v/>
      </c>
      <c r="BK42">
        <f>MAX(0,MIN(1,0.28*AR42+0.18*AT42+0.16*BJ42+0.14*(1-AV42)+0.12*BQ42+0.12*BO42))</f>
        <v/>
      </c>
      <c r="BL42">
        <f>MAX(0,MIN(1,0.22*AQ42+0.18*AS42+0.18*BC42+0.18*BD42+0.08*BE42+0.10*BF42+0.06*BO42))</f>
        <v/>
      </c>
      <c r="BM42">
        <f>MAX(0,MIN(1,0.20*(1-AZ42)+0.16*(1-BA42)+0.14*(1-AW42)+0.14*AU42+0.18*BG42+0.10*BH42+0.08*BP42))</f>
        <v/>
      </c>
      <c r="BN42">
        <f>MAX(0,MIN(1,0.42*BJ42+0.33*BK42+0.15*AT42+0.10*BQ42))</f>
        <v/>
      </c>
      <c r="BO42">
        <f>MAX(0,MIN(1,0.30*BC42+0.24*BD42+0.18*AS42+0.14*(1-BI42)+0.14*AT42))</f>
        <v/>
      </c>
      <c r="BP42">
        <f>MAX(0,MIN(1,0.26*AS42+0.20*(1-BA42)+0.16*(1-AW42)+0.18*BG42+0.10*AU42+0.10+BB42))</f>
        <v/>
      </c>
      <c r="BQ42">
        <f>MAX(0,MIN(1,0.24*AT42+0.18*BF42+0.14*AR42+0.14*BO42+0.14*(1-AV42)+0.16*(1-AZ42)))</f>
        <v/>
      </c>
      <c r="BR42">
        <f>IF(BO42&gt;=0.80,"Open",IF(BO42&gt;=0.62,"Measured",IF(BO42&gt;=0.45,"Selective","Guarded")))</f>
        <v/>
      </c>
      <c r="BS42">
        <f>IF(Y42="COMM_Direct","Direct",IF(Y42="COMM_Emotional","Emotional",IF(Y42="COMM_Logical","Logical",IF(Y42="COMM_Indirect","Indirect","Avoidant"))))</f>
        <v/>
      </c>
      <c r="BT42">
        <f>IF(BG42&gt;=0.78,"Co-repair",IF(BG42&gt;=0.58,"Re-engage",IF(BG42&gt;=0.40,"Delay","Suppress")))</f>
        <v/>
      </c>
      <c r="BU42">
        <f>IF(BI42&gt;=0.70,"Retreat-risk",IF(BH42&lt;=0.40,"Rush-risk",IF(BH42&gt;=0.65,"Slow-build","Mixed")))</f>
        <v/>
      </c>
      <c r="BV42">
        <f>IF(BL42-BM42&gt;=0.15,"Stimulation-seeking",IF(BM42-BL42&gt;=0.15,"Calm-seeking","Mixed")))</f>
        <v/>
      </c>
      <c r="BW42">
        <f>IF(AND(BL42&gt;=0.72,BM42&lt;0.48),"High",IF(AND(BL42&gt;=0.60,BM42&lt;0.58),"Medium","Low"))</f>
        <v/>
      </c>
    </row>
    <row r="43" ht="148.5" customHeight="1" s="10">
      <c r="A43" s="2" t="inlineStr">
        <is>
          <t>Q09_B</t>
        </is>
      </c>
      <c r="B43" s="2" t="n">
        <v>9</v>
      </c>
      <c r="C43" s="2" t="n">
        <v>9</v>
      </c>
      <c r="D43" s="2" t="inlineStr">
        <is>
          <t>Core</t>
        </is>
      </c>
      <c r="E43" s="2" t="n">
        <v>1.05</v>
      </c>
      <c r="F43" s="2" t="inlineStr">
        <is>
          <t>ConflictRepair</t>
        </is>
      </c>
      <c r="G43" s="2" t="inlineStr">
        <is>
          <t>CommunicationHealth</t>
        </is>
      </c>
      <c r="H43" s="2" t="n"/>
      <c r="I43" s="2" t="inlineStr">
        <is>
          <t>B</t>
        </is>
      </c>
      <c r="J43" s="2" t="inlineStr">
        <is>
          <t>B</t>
        </is>
      </c>
      <c r="K43" s="2" t="inlineStr">
        <is>
          <t>I act like it's fine, but it lingers. Now I'm checking who else they were with, what story that timing fits into. I overthink for a living.</t>
        </is>
      </c>
      <c r="L43" s="2" t="n">
        <v>5</v>
      </c>
      <c r="M43" s="2" t="n">
        <v>6</v>
      </c>
      <c r="N43" s="2" t="n">
        <v>4</v>
      </c>
      <c r="O43" s="2" t="n">
        <v>4</v>
      </c>
      <c r="P43" s="2" t="n">
        <v>2</v>
      </c>
      <c r="Q43" s="2" t="inlineStr">
        <is>
          <t>Analyzer</t>
        </is>
      </c>
      <c r="R43" s="2" t="n">
        <v>2</v>
      </c>
      <c r="S43" s="2" t="n"/>
      <c r="T43" s="2" t="n"/>
      <c r="U43" s="2" t="n">
        <v>0</v>
      </c>
      <c r="V43" s="2" t="inlineStr">
        <is>
          <t>masc:1.4;fem:0.1</t>
        </is>
      </c>
      <c r="W43" s="2" t="n">
        <v>1.4</v>
      </c>
      <c r="X43" s="2" t="n">
        <v>0.1</v>
      </c>
      <c r="Y43" s="2" t="inlineStr">
        <is>
          <t>COMM_Logical</t>
        </is>
      </c>
      <c r="Z43" s="2" t="inlineStr">
        <is>
          <t>REG_SelfSoother</t>
        </is>
      </c>
      <c r="AA43" s="2" t="inlineStr">
        <is>
          <t>LANG_Service</t>
        </is>
      </c>
      <c r="AB43" s="2" t="inlineStr">
        <is>
          <t>Vulnerability_Loop</t>
        </is>
      </c>
      <c r="AC43" s="2" t="inlineStr">
        <is>
          <t>Vulnerability_Loop</t>
        </is>
      </c>
      <c r="AD43" s="2" t="n"/>
      <c r="AE43" s="2" t="n">
        <v>5</v>
      </c>
      <c r="AF43" s="2" t="inlineStr">
        <is>
          <t>obsessive cross-referencer</t>
        </is>
      </c>
      <c r="AG43" s="2" t="inlineStr">
        <is>
          <t>trust checker</t>
        </is>
      </c>
      <c r="AH43" s="2" t="n">
        <v>0</v>
      </c>
      <c r="AI43" s="2" t="inlineStr">
        <is>
          <t>yes</t>
        </is>
      </c>
      <c r="AJ43" s="2" t="inlineStr">
        <is>
          <t>no</t>
        </is>
      </c>
      <c r="AK43" s="2" t="inlineStr">
        <is>
          <t>yes</t>
        </is>
      </c>
      <c r="AL43" s="2" t="inlineStr">
        <is>
          <t>yes</t>
        </is>
      </c>
      <c r="AM43" s="2" t="n"/>
      <c r="AN43" s="2" t="n"/>
      <c r="AO43" s="2" t="n"/>
      <c r="AP43" s="2" t="inlineStr">
        <is>
          <t>v3_2026-03-19</t>
        </is>
      </c>
      <c r="AQ43">
        <f>(L43-Schema_v5!$C2)/(Schema_v5!$C3-Schema_v5!$C2)</f>
        <v/>
      </c>
      <c r="AR43">
        <f>(M43-Schema_v5!$C4)/(Schema_v5!$C5-Schema_v5!$C4)</f>
        <v/>
      </c>
      <c r="AS43">
        <f>N43/Schema_v5!$C6</f>
        <v/>
      </c>
      <c r="AT43">
        <f>O43/Schema_v5!$C7</f>
        <v/>
      </c>
      <c r="AU43">
        <f>P43/Schema_v5!$C8</f>
        <v/>
      </c>
      <c r="AV43">
        <f>IF(Schema_v5!$C9=0,0,AH43/Schema_v5!$C9)</f>
        <v/>
      </c>
      <c r="AW43">
        <f>IF(Schema_v5!$C10=0,0,AE43/Schema_v5!$C10)</f>
        <v/>
      </c>
      <c r="AX43">
        <f>(W43-Schema_v5!$C11)/(Schema_v5!$C12-Schema_v5!$C11)</f>
        <v/>
      </c>
      <c r="AY43">
        <f>(X43-Schema_v5!$C13)/(Schema_v5!$C14-Schema_v5!$C13)</f>
        <v/>
      </c>
      <c r="AZ43">
        <f>MIN(1,MAX(0,U43/Schema_v7!$C$9))</f>
        <v/>
      </c>
      <c r="BA43">
        <f>IF(AJ43="yes",0.55,0)</f>
        <v/>
      </c>
      <c r="BB43">
        <f>IF(AI43="yes",0.10,0)</f>
        <v/>
      </c>
      <c r="BC43">
        <f>IF(Y43="COMM_Direct",0.92,IF(Y43="COMM_Emotional",0.70,IF(Y43="COMM_Logical",0.65,IF(Y43="COMM_Indirect",0.55,0.35))))</f>
        <v/>
      </c>
      <c r="BD43">
        <f>IF(Z43="REG_CoRegulator",0.92,IF(Z43="REG_SelfSoother",0.76,IF(Z43="REG_Distractor",0.48,0.35)))</f>
        <v/>
      </c>
      <c r="BE43">
        <f>IF(AA43="LANG_Time",0.76,IF(AA43="LANG_Service",0.70,IF(AA43="LANG_Words",0.72,IF(AA43="LANG_Touch",0.68,0.60))))</f>
        <v/>
      </c>
      <c r="BF43">
        <f>MAX(0,MIN(1,0.28*AS43+0.16*AT43+0.18*BC43+0.18*BD43+0.10*(1-AZ43)+0.10*(1-BA43)+BB43))</f>
        <v/>
      </c>
      <c r="BG43">
        <f>MAX(0,MIN(1,0.24*AU43+0.18*AS43+0.18*BC43+0.20*BD43+0.10*(1-AW43)+0.10*(1-BA43)))</f>
        <v/>
      </c>
      <c r="BH43">
        <f>MAX(0,MIN(1,0.28*AR43+0.18*AT43+0.16*AU43+0.18*(1-AV43)+0.10*(1-AW43)+0.10*BF43))</f>
        <v/>
      </c>
      <c r="BI43">
        <f>MAX(0,MIN(1,0.30*AV43+0.20*AZ43+0.20*AW43+0.15*(1-BH43)+0.15*(1-BO43)))</f>
        <v/>
      </c>
      <c r="BJ43">
        <f>MAX(0,1-(ABS(((( AX43+AY43)/2)-0.55)*1.6)))</f>
        <v/>
      </c>
      <c r="BK43">
        <f>MAX(0,MIN(1,0.28*AR43+0.18*AT43+0.16*BJ43+0.14*(1-AV43)+0.12*BQ43+0.12*BO43))</f>
        <v/>
      </c>
      <c r="BL43">
        <f>MAX(0,MIN(1,0.22*AQ43+0.18*AS43+0.18*BC43+0.18*BD43+0.08*BE43+0.10*BF43+0.06*BO43))</f>
        <v/>
      </c>
      <c r="BM43">
        <f>MAX(0,MIN(1,0.20*(1-AZ43)+0.16*(1-BA43)+0.14*(1-AW43)+0.14*AU43+0.18*BG43+0.10*BH43+0.08*BP43))</f>
        <v/>
      </c>
      <c r="BN43">
        <f>MAX(0,MIN(1,0.42*BJ43+0.33*BK43+0.15*AT43+0.10*BQ43))</f>
        <v/>
      </c>
      <c r="BO43">
        <f>MAX(0,MIN(1,0.30*BC43+0.24*BD43+0.18*AS43+0.14*(1-BI43)+0.14*AT43))</f>
        <v/>
      </c>
      <c r="BP43">
        <f>MAX(0,MIN(1,0.26*AS43+0.20*(1-BA43)+0.16*(1-AW43)+0.18*BG43+0.10*AU43+0.10+BB43))</f>
        <v/>
      </c>
      <c r="BQ43">
        <f>MAX(0,MIN(1,0.24*AT43+0.18*BF43+0.14*AR43+0.14*BO43+0.14*(1-AV43)+0.16*(1-AZ43)))</f>
        <v/>
      </c>
      <c r="BR43">
        <f>IF(BO43&gt;=0.80,"Open",IF(BO43&gt;=0.62,"Measured",IF(BO43&gt;=0.45,"Selective","Guarded")))</f>
        <v/>
      </c>
      <c r="BS43">
        <f>IF(Y43="COMM_Direct","Direct",IF(Y43="COMM_Emotional","Emotional",IF(Y43="COMM_Logical","Logical",IF(Y43="COMM_Indirect","Indirect","Avoidant"))))</f>
        <v/>
      </c>
      <c r="BT43">
        <f>IF(BG43&gt;=0.78,"Co-repair",IF(BG43&gt;=0.58,"Re-engage",IF(BG43&gt;=0.40,"Delay","Suppress")))</f>
        <v/>
      </c>
      <c r="BU43">
        <f>IF(BI43&gt;=0.70,"Retreat-risk",IF(BH43&lt;=0.40,"Rush-risk",IF(BH43&gt;=0.65,"Slow-build","Mixed")))</f>
        <v/>
      </c>
      <c r="BV43">
        <f>IF(BL43-BM43&gt;=0.15,"Stimulation-seeking",IF(BM43-BL43&gt;=0.15,"Calm-seeking","Mixed")))</f>
        <v/>
      </c>
      <c r="BW43">
        <f>IF(AND(BL43&gt;=0.72,BM43&lt;0.48),"High",IF(AND(BL43&gt;=0.60,BM43&lt;0.58),"Medium","Low"))</f>
        <v/>
      </c>
    </row>
    <row r="44" ht="162" customHeight="1" s="10">
      <c r="A44" s="2" t="inlineStr">
        <is>
          <t>Q09_C</t>
        </is>
      </c>
      <c r="B44" s="2" t="n">
        <v>9</v>
      </c>
      <c r="C44" s="2" t="n">
        <v>9</v>
      </c>
      <c r="D44" s="2" t="inlineStr">
        <is>
          <t>Core</t>
        </is>
      </c>
      <c r="E44" s="2" t="n">
        <v>1.05</v>
      </c>
      <c r="F44" s="2" t="inlineStr">
        <is>
          <t>ConflictRepair</t>
        </is>
      </c>
      <c r="G44" s="2" t="inlineStr">
        <is>
          <t>CommunicationHealth</t>
        </is>
      </c>
      <c r="H44" s="2" t="n"/>
      <c r="I44" s="2" t="inlineStr">
        <is>
          <t>C</t>
        </is>
      </c>
      <c r="J44" s="2" t="inlineStr">
        <is>
          <t>C</t>
        </is>
      </c>
      <c r="K44" s="2" t="inlineStr">
        <is>
          <t>It stings. I replay the texts a few times, wondering what I said or didn't say. I don't bring it up, but I definitely adjust after that.</t>
        </is>
      </c>
      <c r="L44" s="2" t="n">
        <v>5</v>
      </c>
      <c r="M44" s="2" t="n">
        <v>6</v>
      </c>
      <c r="N44" s="2" t="n">
        <v>2</v>
      </c>
      <c r="O44" s="2" t="n">
        <v>4</v>
      </c>
      <c r="P44" s="2" t="n">
        <v>2</v>
      </c>
      <c r="Q44" s="2" t="inlineStr">
        <is>
          <t>Phantom Seeker</t>
        </is>
      </c>
      <c r="R44" s="2" t="n">
        <v>10</v>
      </c>
      <c r="S44" s="2" t="n"/>
      <c r="T44" s="2" t="n"/>
      <c r="U44" s="2" t="n">
        <v>0</v>
      </c>
      <c r="V44" s="2" t="inlineStr">
        <is>
          <t>masc:-0.2;fem:1.5</t>
        </is>
      </c>
      <c r="W44" s="2" t="n">
        <v>-0.2</v>
      </c>
      <c r="X44" s="2" t="n">
        <v>1.5</v>
      </c>
      <c r="Y44" s="2" t="inlineStr">
        <is>
          <t>COMM_Emotional</t>
        </is>
      </c>
      <c r="Z44" s="2" t="inlineStr">
        <is>
          <t>REG_SelfSoother</t>
        </is>
      </c>
      <c r="AA44" s="2" t="inlineStr">
        <is>
          <t>LANG_Touch</t>
        </is>
      </c>
      <c r="AB44" s="2" t="inlineStr">
        <is>
          <t>Vulnerability_Loop</t>
        </is>
      </c>
      <c r="AC44" s="2" t="inlineStr">
        <is>
          <t>Vulnerability_Loop</t>
        </is>
      </c>
      <c r="AD44" s="2" t="n"/>
      <c r="AE44" s="2" t="n">
        <v>5</v>
      </c>
      <c r="AF44" s="2" t="inlineStr">
        <is>
          <t>internalizer pullback</t>
        </is>
      </c>
      <c r="AG44" s="2" t="inlineStr">
        <is>
          <t>cautious retreater</t>
        </is>
      </c>
      <c r="AH44" s="2" t="n">
        <v>0</v>
      </c>
      <c r="AI44" s="2" t="inlineStr">
        <is>
          <t>yes</t>
        </is>
      </c>
      <c r="AJ44" s="2" t="inlineStr">
        <is>
          <t>no</t>
        </is>
      </c>
      <c r="AK44" s="2" t="inlineStr">
        <is>
          <t>yes</t>
        </is>
      </c>
      <c r="AL44" s="2" t="inlineStr">
        <is>
          <t>yes</t>
        </is>
      </c>
      <c r="AM44" s="2" t="n"/>
      <c r="AN44" s="2" t="n"/>
      <c r="AO44" s="2" t="n"/>
      <c r="AP44" s="2" t="inlineStr">
        <is>
          <t>v3_2026-03-19</t>
        </is>
      </c>
      <c r="AQ44">
        <f>(L44-Schema_v5!$C2)/(Schema_v5!$C3-Schema_v5!$C2)</f>
        <v/>
      </c>
      <c r="AR44">
        <f>(M44-Schema_v5!$C4)/(Schema_v5!$C5-Schema_v5!$C4)</f>
        <v/>
      </c>
      <c r="AS44">
        <f>N44/Schema_v5!$C6</f>
        <v/>
      </c>
      <c r="AT44">
        <f>O44/Schema_v5!$C7</f>
        <v/>
      </c>
      <c r="AU44">
        <f>P44/Schema_v5!$C8</f>
        <v/>
      </c>
      <c r="AV44">
        <f>IF(Schema_v5!$C9=0,0,AH44/Schema_v5!$C9)</f>
        <v/>
      </c>
      <c r="AW44">
        <f>IF(Schema_v5!$C10=0,0,AE44/Schema_v5!$C10)</f>
        <v/>
      </c>
      <c r="AX44">
        <f>(W44-Schema_v5!$C11)/(Schema_v5!$C12-Schema_v5!$C11)</f>
        <v/>
      </c>
      <c r="AY44">
        <f>(X44-Schema_v5!$C13)/(Schema_v5!$C14-Schema_v5!$C13)</f>
        <v/>
      </c>
      <c r="AZ44">
        <f>MIN(1,MAX(0,U44/Schema_v7!$C$9))</f>
        <v/>
      </c>
      <c r="BA44">
        <f>IF(AJ44="yes",0.55,0)</f>
        <v/>
      </c>
      <c r="BB44">
        <f>IF(AI44="yes",0.10,0)</f>
        <v/>
      </c>
      <c r="BC44">
        <f>IF(Y44="COMM_Direct",0.92,IF(Y44="COMM_Emotional",0.70,IF(Y44="COMM_Logical",0.65,IF(Y44="COMM_Indirect",0.55,0.35))))</f>
        <v/>
      </c>
      <c r="BD44">
        <f>IF(Z44="REG_CoRegulator",0.92,IF(Z44="REG_SelfSoother",0.76,IF(Z44="REG_Distractor",0.48,0.35)))</f>
        <v/>
      </c>
      <c r="BE44">
        <f>IF(AA44="LANG_Time",0.76,IF(AA44="LANG_Service",0.70,IF(AA44="LANG_Words",0.72,IF(AA44="LANG_Touch",0.68,0.60))))</f>
        <v/>
      </c>
      <c r="BF44">
        <f>MAX(0,MIN(1,0.28*AS44+0.16*AT44+0.18*BC44+0.18*BD44+0.10*(1-AZ44)+0.10*(1-BA44)+BB44))</f>
        <v/>
      </c>
      <c r="BG44">
        <f>MAX(0,MIN(1,0.24*AU44+0.18*AS44+0.18*BC44+0.20*BD44+0.10*(1-AW44)+0.10*(1-BA44)))</f>
        <v/>
      </c>
      <c r="BH44">
        <f>MAX(0,MIN(1,0.28*AR44+0.18*AT44+0.16*AU44+0.18*(1-AV44)+0.10*(1-AW44)+0.10*BF44))</f>
        <v/>
      </c>
      <c r="BI44">
        <f>MAX(0,MIN(1,0.30*AV44+0.20*AZ44+0.20*AW44+0.15*(1-BH44)+0.15*(1-BO44)))</f>
        <v/>
      </c>
      <c r="BJ44">
        <f>MAX(0,1-(ABS(((( AX44+AY44)/2)-0.55)*1.6)))</f>
        <v/>
      </c>
      <c r="BK44">
        <f>MAX(0,MIN(1,0.28*AR44+0.18*AT44+0.16*BJ44+0.14*(1-AV44)+0.12*BQ44+0.12*BO44))</f>
        <v/>
      </c>
      <c r="BL44">
        <f>MAX(0,MIN(1,0.22*AQ44+0.18*AS44+0.18*BC44+0.18*BD44+0.08*BE44+0.10*BF44+0.06*BO44))</f>
        <v/>
      </c>
      <c r="BM44">
        <f>MAX(0,MIN(1,0.20*(1-AZ44)+0.16*(1-BA44)+0.14*(1-AW44)+0.14*AU44+0.18*BG44+0.10*BH44+0.08*BP44))</f>
        <v/>
      </c>
      <c r="BN44">
        <f>MAX(0,MIN(1,0.42*BJ44+0.33*BK44+0.15*AT44+0.10*BQ44))</f>
        <v/>
      </c>
      <c r="BO44">
        <f>MAX(0,MIN(1,0.30*BC44+0.24*BD44+0.18*AS44+0.14*(1-BI44)+0.14*AT44))</f>
        <v/>
      </c>
      <c r="BP44">
        <f>MAX(0,MIN(1,0.26*AS44+0.20*(1-BA44)+0.16*(1-AW44)+0.18*BG44+0.10*AU44+0.10+BB44))</f>
        <v/>
      </c>
      <c r="BQ44">
        <f>MAX(0,MIN(1,0.24*AT44+0.18*BF44+0.14*AR44+0.14*BO44+0.14*(1-AV44)+0.16*(1-AZ44)))</f>
        <v/>
      </c>
      <c r="BR44">
        <f>IF(BO44&gt;=0.80,"Open",IF(BO44&gt;=0.62,"Measured",IF(BO44&gt;=0.45,"Selective","Guarded")))</f>
        <v/>
      </c>
      <c r="BS44">
        <f>IF(Y44="COMM_Direct","Direct",IF(Y44="COMM_Emotional","Emotional",IF(Y44="COMM_Logical","Logical",IF(Y44="COMM_Indirect","Indirect","Avoidant"))))</f>
        <v/>
      </c>
      <c r="BT44">
        <f>IF(BG44&gt;=0.78,"Co-repair",IF(BG44&gt;=0.58,"Re-engage",IF(BG44&gt;=0.40,"Delay","Suppress")))</f>
        <v/>
      </c>
      <c r="BU44">
        <f>IF(BI44&gt;=0.70,"Retreat-risk",IF(BH44&lt;=0.40,"Rush-risk",IF(BH44&gt;=0.65,"Slow-build","Mixed")))</f>
        <v/>
      </c>
      <c r="BV44">
        <f>IF(BL44-BM44&gt;=0.15,"Stimulation-seeking",IF(BM44-BL44&gt;=0.15,"Calm-seeking","Mixed")))</f>
        <v/>
      </c>
      <c r="BW44">
        <f>IF(AND(BL44&gt;=0.72,BM44&lt;0.48),"High",IF(AND(BL44&gt;=0.60,BM44&lt;0.58),"Medium","Low"))</f>
        <v/>
      </c>
    </row>
    <row r="45" ht="175.5" customHeight="1" s="10">
      <c r="A45" s="2" t="inlineStr">
        <is>
          <t>Q09_D</t>
        </is>
      </c>
      <c r="B45" s="2" t="n">
        <v>9</v>
      </c>
      <c r="C45" s="2" t="n">
        <v>9</v>
      </c>
      <c r="D45" s="2" t="inlineStr">
        <is>
          <t>Core</t>
        </is>
      </c>
      <c r="E45" s="2" t="n">
        <v>1.05</v>
      </c>
      <c r="F45" s="2" t="inlineStr">
        <is>
          <t>ConflictRepair</t>
        </is>
      </c>
      <c r="G45" s="2" t="inlineStr">
        <is>
          <t>CommunicationHealth</t>
        </is>
      </c>
      <c r="H45" s="2" t="n"/>
      <c r="I45" s="2" t="inlineStr">
        <is>
          <t>D</t>
        </is>
      </c>
      <c r="J45" s="2" t="inlineStr">
        <is>
          <t>D</t>
        </is>
      </c>
      <c r="K45" s="2" t="inlineStr">
        <is>
          <t>I get annoyed, then weirdly try harder. Like maybe if I'm more consistent, they'll start matching that. It never really works, but I still do it.</t>
        </is>
      </c>
      <c r="L45" s="2" t="n">
        <v>4</v>
      </c>
      <c r="M45" s="2" t="n">
        <v>5</v>
      </c>
      <c r="N45" s="2" t="n">
        <v>2</v>
      </c>
      <c r="O45" s="2" t="n">
        <v>2</v>
      </c>
      <c r="P45" s="2" t="n">
        <v>2</v>
      </c>
      <c r="Q45" s="2" t="inlineStr">
        <is>
          <t>Fixer</t>
        </is>
      </c>
      <c r="R45" s="2" t="n">
        <v>5</v>
      </c>
      <c r="S45" s="2" t="n"/>
      <c r="T45" s="2" t="n"/>
      <c r="U45" s="2" t="n">
        <v>0</v>
      </c>
      <c r="V45" s="2" t="inlineStr">
        <is>
          <t>masc:-0.4;fem:2.0</t>
        </is>
      </c>
      <c r="W45" s="2" t="n">
        <v>-0.4</v>
      </c>
      <c r="X45" s="2" t="n">
        <v>2</v>
      </c>
      <c r="Y45" s="2" t="inlineStr">
        <is>
          <t>COMM_Emotional</t>
        </is>
      </c>
      <c r="Z45" s="2" t="inlineStr">
        <is>
          <t>REG_CoRegulator</t>
        </is>
      </c>
      <c r="AA45" s="2" t="inlineStr">
        <is>
          <t>LANG_Service</t>
        </is>
      </c>
      <c r="AB45" s="2" t="inlineStr">
        <is>
          <t>Commitment_Ambiguity</t>
        </is>
      </c>
      <c r="AC45" s="2" t="inlineStr">
        <is>
          <t>Commitment_Ambiguity</t>
        </is>
      </c>
      <c r="AD45" s="2" t="n"/>
      <c r="AE45" s="2" t="n">
        <v>5</v>
      </c>
      <c r="AF45" s="2" t="inlineStr">
        <is>
          <t>conditional effort loop</t>
        </is>
      </c>
      <c r="AG45" s="2" t="inlineStr">
        <is>
          <t>overcompensator</t>
        </is>
      </c>
      <c r="AH45" s="2" t="n">
        <v>0</v>
      </c>
      <c r="AI45" s="2" t="inlineStr">
        <is>
          <t>yes</t>
        </is>
      </c>
      <c r="AJ45" s="2" t="inlineStr">
        <is>
          <t>no</t>
        </is>
      </c>
      <c r="AK45" s="2" t="inlineStr">
        <is>
          <t>yes</t>
        </is>
      </c>
      <c r="AL45" s="2" t="inlineStr">
        <is>
          <t>yes</t>
        </is>
      </c>
      <c r="AM45" s="2" t="n"/>
      <c r="AN45" s="2" t="n"/>
      <c r="AO45" s="2" t="n"/>
      <c r="AP45" s="2" t="inlineStr">
        <is>
          <t>v3_2026-03-19</t>
        </is>
      </c>
      <c r="AQ45">
        <f>(L45-Schema_v5!$C2)/(Schema_v5!$C3-Schema_v5!$C2)</f>
        <v/>
      </c>
      <c r="AR45">
        <f>(M45-Schema_v5!$C4)/(Schema_v5!$C5-Schema_v5!$C4)</f>
        <v/>
      </c>
      <c r="AS45">
        <f>N45/Schema_v5!$C6</f>
        <v/>
      </c>
      <c r="AT45">
        <f>O45/Schema_v5!$C7</f>
        <v/>
      </c>
      <c r="AU45">
        <f>P45/Schema_v5!$C8</f>
        <v/>
      </c>
      <c r="AV45">
        <f>IF(Schema_v5!$C9=0,0,AH45/Schema_v5!$C9)</f>
        <v/>
      </c>
      <c r="AW45">
        <f>IF(Schema_v5!$C10=0,0,AE45/Schema_v5!$C10)</f>
        <v/>
      </c>
      <c r="AX45">
        <f>(W45-Schema_v5!$C11)/(Schema_v5!$C12-Schema_v5!$C11)</f>
        <v/>
      </c>
      <c r="AY45">
        <f>(X45-Schema_v5!$C13)/(Schema_v5!$C14-Schema_v5!$C13)</f>
        <v/>
      </c>
      <c r="AZ45">
        <f>MIN(1,MAX(0,U45/Schema_v7!$C$9))</f>
        <v/>
      </c>
      <c r="BA45">
        <f>IF(AJ45="yes",0.55,0)</f>
        <v/>
      </c>
      <c r="BB45">
        <f>IF(AI45="yes",0.10,0)</f>
        <v/>
      </c>
      <c r="BC45">
        <f>IF(Y45="COMM_Direct",0.92,IF(Y45="COMM_Emotional",0.70,IF(Y45="COMM_Logical",0.65,IF(Y45="COMM_Indirect",0.55,0.35))))</f>
        <v/>
      </c>
      <c r="BD45">
        <f>IF(Z45="REG_CoRegulator",0.92,IF(Z45="REG_SelfSoother",0.76,IF(Z45="REG_Distractor",0.48,0.35)))</f>
        <v/>
      </c>
      <c r="BE45">
        <f>IF(AA45="LANG_Time",0.76,IF(AA45="LANG_Service",0.70,IF(AA45="LANG_Words",0.72,IF(AA45="LANG_Touch",0.68,0.60))))</f>
        <v/>
      </c>
      <c r="BF45">
        <f>MAX(0,MIN(1,0.28*AS45+0.16*AT45+0.18*BC45+0.18*BD45+0.10*(1-AZ45)+0.10*(1-BA45)+BB45))</f>
        <v/>
      </c>
      <c r="BG45">
        <f>MAX(0,MIN(1,0.24*AU45+0.18*AS45+0.18*BC45+0.20*BD45+0.10*(1-AW45)+0.10*(1-BA45)))</f>
        <v/>
      </c>
      <c r="BH45">
        <f>MAX(0,MIN(1,0.28*AR45+0.18*AT45+0.16*AU45+0.18*(1-AV45)+0.10*(1-AW45)+0.10*BF45))</f>
        <v/>
      </c>
      <c r="BI45">
        <f>MAX(0,MIN(1,0.30*AV45+0.20*AZ45+0.20*AW45+0.15*(1-BH45)+0.15*(1-BO45)))</f>
        <v/>
      </c>
      <c r="BJ45">
        <f>MAX(0,1-(ABS(((( AX45+AY45)/2)-0.55)*1.6)))</f>
        <v/>
      </c>
      <c r="BK45">
        <f>MAX(0,MIN(1,0.28*AR45+0.18*AT45+0.16*BJ45+0.14*(1-AV45)+0.12*BQ45+0.12*BO45))</f>
        <v/>
      </c>
      <c r="BL45">
        <f>MAX(0,MIN(1,0.22*AQ45+0.18*AS45+0.18*BC45+0.18*BD45+0.08*BE45+0.10*BF45+0.06*BO45))</f>
        <v/>
      </c>
      <c r="BM45">
        <f>MAX(0,MIN(1,0.20*(1-AZ45)+0.16*(1-BA45)+0.14*(1-AW45)+0.14*AU45+0.18*BG45+0.10*BH45+0.08*BP45))</f>
        <v/>
      </c>
      <c r="BN45">
        <f>MAX(0,MIN(1,0.42*BJ45+0.33*BK45+0.15*AT45+0.10*BQ45))</f>
        <v/>
      </c>
      <c r="BO45">
        <f>MAX(0,MIN(1,0.30*BC45+0.24*BD45+0.18*AS45+0.14*(1-BI45)+0.14*AT45))</f>
        <v/>
      </c>
      <c r="BP45">
        <f>MAX(0,MIN(1,0.26*AS45+0.20*(1-BA45)+0.16*(1-AW45)+0.18*BG45+0.10*AU45+0.10+BB45))</f>
        <v/>
      </c>
      <c r="BQ45">
        <f>MAX(0,MIN(1,0.24*AT45+0.18*BF45+0.14*AR45+0.14*BO45+0.14*(1-AV45)+0.16*(1-AZ45)))</f>
        <v/>
      </c>
      <c r="BR45">
        <f>IF(BO45&gt;=0.80,"Open",IF(BO45&gt;=0.62,"Measured",IF(BO45&gt;=0.45,"Selective","Guarded")))</f>
        <v/>
      </c>
      <c r="BS45">
        <f>IF(Y45="COMM_Direct","Direct",IF(Y45="COMM_Emotional","Emotional",IF(Y45="COMM_Logical","Logical",IF(Y45="COMM_Indirect","Indirect","Avoidant"))))</f>
        <v/>
      </c>
      <c r="BT45">
        <f>IF(BG45&gt;=0.78,"Co-repair",IF(BG45&gt;=0.58,"Re-engage",IF(BG45&gt;=0.40,"Delay","Suppress")))</f>
        <v/>
      </c>
      <c r="BU45">
        <f>IF(BI45&gt;=0.70,"Retreat-risk",IF(BH45&lt;=0.40,"Rush-risk",IF(BH45&gt;=0.65,"Slow-build","Mixed")))</f>
        <v/>
      </c>
      <c r="BV45">
        <f>IF(BL45-BM45&gt;=0.15,"Stimulation-seeking",IF(BM45-BL45&gt;=0.15,"Calm-seeking","Mixed")))</f>
        <v/>
      </c>
      <c r="BW45">
        <f>IF(AND(BL45&gt;=0.72,BM45&lt;0.48),"High",IF(AND(BL45&gt;=0.60,BM45&lt;0.58),"Medium","Low"))</f>
        <v/>
      </c>
    </row>
    <row r="46" ht="121.5" customHeight="1" s="10">
      <c r="A46" s="2" t="inlineStr">
        <is>
          <t>Q09_E</t>
        </is>
      </c>
      <c r="B46" s="2" t="n">
        <v>9</v>
      </c>
      <c r="C46" s="2" t="n">
        <v>9</v>
      </c>
      <c r="D46" s="2" t="inlineStr">
        <is>
          <t>Core</t>
        </is>
      </c>
      <c r="E46" s="2" t="n">
        <v>1.05</v>
      </c>
      <c r="F46" s="2" t="inlineStr">
        <is>
          <t>ConflictRepair</t>
        </is>
      </c>
      <c r="G46" s="2" t="inlineStr">
        <is>
          <t>CommunicationHealth</t>
        </is>
      </c>
      <c r="H46" s="2" t="n"/>
      <c r="I46" s="2" t="inlineStr">
        <is>
          <t>E</t>
        </is>
      </c>
      <c r="J46" s="2" t="inlineStr">
        <is>
          <t>E</t>
        </is>
      </c>
      <c r="K46" s="2" t="inlineStr">
        <is>
          <t>Cool. That tells me everything I needed to know. I move different after that, no announcement required.</t>
        </is>
      </c>
      <c r="L46" s="2" t="n">
        <v>4</v>
      </c>
      <c r="M46" s="2" t="n">
        <v>5</v>
      </c>
      <c r="N46" s="2" t="n">
        <v>0</v>
      </c>
      <c r="O46" s="2" t="n">
        <v>0</v>
      </c>
      <c r="P46" s="2" t="n">
        <v>0</v>
      </c>
      <c r="Q46" s="2" t="inlineStr">
        <is>
          <t>Icebox</t>
        </is>
      </c>
      <c r="R46" s="2" t="n">
        <v>1</v>
      </c>
      <c r="S46" s="2" t="n"/>
      <c r="T46" s="2" t="n"/>
      <c r="U46" s="2" t="n">
        <v>0</v>
      </c>
      <c r="V46" s="2" t="inlineStr">
        <is>
          <t>masc:1.8;fem:-1.6</t>
        </is>
      </c>
      <c r="W46" s="2" t="n">
        <v>1.8</v>
      </c>
      <c r="X46" s="2" t="n">
        <v>-1.6</v>
      </c>
      <c r="Y46" s="2" t="inlineStr">
        <is>
          <t>COMM_Avoidant</t>
        </is>
      </c>
      <c r="Z46" s="2" t="inlineStr">
        <is>
          <t>REG_Suppressor</t>
        </is>
      </c>
      <c r="AA46" s="2" t="inlineStr">
        <is>
          <t>LANG_Time</t>
        </is>
      </c>
      <c r="AB46" s="2" t="n"/>
      <c r="AC46" s="2" t="n"/>
      <c r="AD46" s="2" t="n"/>
      <c r="AE46" s="2" t="n">
        <v>0</v>
      </c>
      <c r="AF46" s="2" t="inlineStr">
        <is>
          <t>cold logic</t>
        </is>
      </c>
      <c r="AG46" s="2" t="inlineStr">
        <is>
          <t>decisive exit</t>
        </is>
      </c>
      <c r="AH46" s="2" t="n">
        <v>0.6</v>
      </c>
      <c r="AI46" s="2" t="inlineStr">
        <is>
          <t>no</t>
        </is>
      </c>
      <c r="AJ46" s="2" t="inlineStr">
        <is>
          <t>no</t>
        </is>
      </c>
      <c r="AK46" s="2" t="inlineStr">
        <is>
          <t>yes</t>
        </is>
      </c>
      <c r="AL46" s="2" t="inlineStr">
        <is>
          <t>yes</t>
        </is>
      </c>
      <c r="AM46" s="2" t="n"/>
      <c r="AN46" s="2" t="n"/>
      <c r="AO46" s="2" t="n"/>
      <c r="AP46" s="2" t="inlineStr">
        <is>
          <t>v3_2026-03-19</t>
        </is>
      </c>
      <c r="AQ46">
        <f>(L46-Schema_v5!$C2)/(Schema_v5!$C3-Schema_v5!$C2)</f>
        <v/>
      </c>
      <c r="AR46">
        <f>(M46-Schema_v5!$C4)/(Schema_v5!$C5-Schema_v5!$C4)</f>
        <v/>
      </c>
      <c r="AS46">
        <f>N46/Schema_v5!$C6</f>
        <v/>
      </c>
      <c r="AT46">
        <f>O46/Schema_v5!$C7</f>
        <v/>
      </c>
      <c r="AU46">
        <f>P46/Schema_v5!$C8</f>
        <v/>
      </c>
      <c r="AV46">
        <f>IF(Schema_v5!$C9=0,0,AH46/Schema_v5!$C9)</f>
        <v/>
      </c>
      <c r="AW46">
        <f>IF(Schema_v5!$C10=0,0,AE46/Schema_v5!$C10)</f>
        <v/>
      </c>
      <c r="AX46">
        <f>(W46-Schema_v5!$C11)/(Schema_v5!$C12-Schema_v5!$C11)</f>
        <v/>
      </c>
      <c r="AY46">
        <f>(X46-Schema_v5!$C13)/(Schema_v5!$C14-Schema_v5!$C13)</f>
        <v/>
      </c>
      <c r="AZ46">
        <f>MIN(1,MAX(0,U46/Schema_v7!$C$9))</f>
        <v/>
      </c>
      <c r="BA46">
        <f>IF(AJ46="yes",0.55,0)</f>
        <v/>
      </c>
      <c r="BB46">
        <f>IF(AI46="yes",0.10,0)</f>
        <v/>
      </c>
      <c r="BC46">
        <f>IF(Y46="COMM_Direct",0.92,IF(Y46="COMM_Emotional",0.70,IF(Y46="COMM_Logical",0.65,IF(Y46="COMM_Indirect",0.55,0.35))))</f>
        <v/>
      </c>
      <c r="BD46">
        <f>IF(Z46="REG_CoRegulator",0.92,IF(Z46="REG_SelfSoother",0.76,IF(Z46="REG_Distractor",0.48,0.35)))</f>
        <v/>
      </c>
      <c r="BE46">
        <f>IF(AA46="LANG_Time",0.76,IF(AA46="LANG_Service",0.70,IF(AA46="LANG_Words",0.72,IF(AA46="LANG_Touch",0.68,0.60))))</f>
        <v/>
      </c>
      <c r="BF46">
        <f>MAX(0,MIN(1,0.28*AS46+0.16*AT46+0.18*BC46+0.18*BD46+0.10*(1-AZ46)+0.10*(1-BA46)+BB46))</f>
        <v/>
      </c>
      <c r="BG46">
        <f>MAX(0,MIN(1,0.24*AU46+0.18*AS46+0.18*BC46+0.20*BD46+0.10*(1-AW46)+0.10*(1-BA46)))</f>
        <v/>
      </c>
      <c r="BH46">
        <f>MAX(0,MIN(1,0.28*AR46+0.18*AT46+0.16*AU46+0.18*(1-AV46)+0.10*(1-AW46)+0.10*BF46))</f>
        <v/>
      </c>
      <c r="BI46">
        <f>MAX(0,MIN(1,0.30*AV46+0.20*AZ46+0.20*AW46+0.15*(1-BH46)+0.15*(1-BO46)))</f>
        <v/>
      </c>
      <c r="BJ46">
        <f>MAX(0,1-(ABS(((( AX46+AY46)/2)-0.55)*1.6)))</f>
        <v/>
      </c>
      <c r="BK46">
        <f>MAX(0,MIN(1,0.28*AR46+0.18*AT46+0.16*BJ46+0.14*(1-AV46)+0.12*BQ46+0.12*BO46))</f>
        <v/>
      </c>
      <c r="BL46">
        <f>MAX(0,MIN(1,0.22*AQ46+0.18*AS46+0.18*BC46+0.18*BD46+0.08*BE46+0.10*BF46+0.06*BO46))</f>
        <v/>
      </c>
      <c r="BM46">
        <f>MAX(0,MIN(1,0.20*(1-AZ46)+0.16*(1-BA46)+0.14*(1-AW46)+0.14*AU46+0.18*BG46+0.10*BH46+0.08*BP46))</f>
        <v/>
      </c>
      <c r="BN46">
        <f>MAX(0,MIN(1,0.42*BJ46+0.33*BK46+0.15*AT46+0.10*BQ46))</f>
        <v/>
      </c>
      <c r="BO46">
        <f>MAX(0,MIN(1,0.30*BC46+0.24*BD46+0.18*AS46+0.14*(1-BI46)+0.14*AT46))</f>
        <v/>
      </c>
      <c r="BP46">
        <f>MAX(0,MIN(1,0.26*AS46+0.20*(1-BA46)+0.16*(1-AW46)+0.18*BG46+0.10*AU46+0.10+BB46))</f>
        <v/>
      </c>
      <c r="BQ46">
        <f>MAX(0,MIN(1,0.24*AT46+0.18*BF46+0.14*AR46+0.14*BO46+0.14*(1-AV46)+0.16*(1-AZ46)))</f>
        <v/>
      </c>
      <c r="BR46">
        <f>IF(BO46&gt;=0.80,"Open",IF(BO46&gt;=0.62,"Measured",IF(BO46&gt;=0.45,"Selective","Guarded")))</f>
        <v/>
      </c>
      <c r="BS46">
        <f>IF(Y46="COMM_Direct","Direct",IF(Y46="COMM_Emotional","Emotional",IF(Y46="COMM_Logical","Logical",IF(Y46="COMM_Indirect","Indirect","Avoidant"))))</f>
        <v/>
      </c>
      <c r="BT46">
        <f>IF(BG46&gt;=0.78,"Co-repair",IF(BG46&gt;=0.58,"Re-engage",IF(BG46&gt;=0.40,"Delay","Suppress")))</f>
        <v/>
      </c>
      <c r="BU46">
        <f>IF(BI46&gt;=0.70,"Retreat-risk",IF(BH46&lt;=0.40,"Rush-risk",IF(BH46&gt;=0.65,"Slow-build","Mixed")))</f>
        <v/>
      </c>
      <c r="BV46">
        <f>IF(BL46-BM46&gt;=0.15,"Stimulation-seeking",IF(BM46-BL46&gt;=0.15,"Calm-seeking","Mixed")))</f>
        <v/>
      </c>
      <c r="BW46">
        <f>IF(AND(BL46&gt;=0.72,BM46&lt;0.48),"High",IF(AND(BL46&gt;=0.60,BM46&lt;0.58),"Medium","Low"))</f>
        <v/>
      </c>
    </row>
    <row r="47" ht="148.5" customHeight="1" s="10">
      <c r="A47" s="2" t="inlineStr">
        <is>
          <t>Q10_A</t>
        </is>
      </c>
      <c r="B47" s="2" t="n">
        <v>10</v>
      </c>
      <c r="C47" s="2" t="n">
        <v>10</v>
      </c>
      <c r="D47" s="2" t="inlineStr">
        <is>
          <t>Core</t>
        </is>
      </c>
      <c r="E47" s="2" t="n">
        <v>1.05</v>
      </c>
      <c r="F47" s="2" t="inlineStr">
        <is>
          <t>ConflictRepair</t>
        </is>
      </c>
      <c r="G47" s="2" t="inlineStr">
        <is>
          <t>CommunicationHealth</t>
        </is>
      </c>
      <c r="H47" s="2" t="inlineStr">
        <is>
          <t>Question 10: They come to you for comfort when things go wrong-but you're not sure they'd do the same for you. What runs through your mind?</t>
        </is>
      </c>
      <c r="I47" s="2" t="inlineStr">
        <is>
          <t>A</t>
        </is>
      </c>
      <c r="J47" s="2" t="inlineStr">
        <is>
          <t>A</t>
        </is>
      </c>
      <c r="K47" s="2" t="inlineStr">
        <is>
          <t>I play the part, but I clock the imbalance. I've been the safe place before, doesn't mean they ever planned to stay.</t>
        </is>
      </c>
      <c r="L47" s="2" t="n">
        <v>7</v>
      </c>
      <c r="M47" s="2" t="n">
        <v>8</v>
      </c>
      <c r="N47" s="2" t="n">
        <v>6</v>
      </c>
      <c r="O47" s="2" t="n">
        <v>8</v>
      </c>
      <c r="P47" s="2" t="n">
        <v>6</v>
      </c>
      <c r="Q47" s="2" t="inlineStr">
        <is>
          <t>Survivor</t>
        </is>
      </c>
      <c r="R47" s="2" t="n">
        <v>8</v>
      </c>
      <c r="S47" s="2" t="n"/>
      <c r="T47" s="2" t="n"/>
      <c r="U47" s="2" t="n">
        <v>0</v>
      </c>
      <c r="V47" s="2" t="inlineStr">
        <is>
          <t>masc:0.3;fem:1.3</t>
        </is>
      </c>
      <c r="W47" s="2" t="n">
        <v>0.3</v>
      </c>
      <c r="X47" s="2" t="n">
        <v>1.3</v>
      </c>
      <c r="Y47" s="2" t="inlineStr">
        <is>
          <t>COMM_Emotional</t>
        </is>
      </c>
      <c r="Z47" s="2" t="inlineStr">
        <is>
          <t>REG_SelfSoother</t>
        </is>
      </c>
      <c r="AA47" s="2" t="inlineStr">
        <is>
          <t>LANG_Service</t>
        </is>
      </c>
      <c r="AB47" s="2" t="n"/>
      <c r="AC47" s="2" t="n"/>
      <c r="AD47" s="2" t="n"/>
      <c r="AE47" s="2" t="n">
        <v>0</v>
      </c>
      <c r="AF47" s="2" t="inlineStr">
        <is>
          <t>burned-out responder</t>
        </is>
      </c>
      <c r="AG47" s="2" t="inlineStr">
        <is>
          <t>guarded giver</t>
        </is>
      </c>
      <c r="AH47" s="2" t="n">
        <v>0</v>
      </c>
      <c r="AI47" s="2" t="inlineStr">
        <is>
          <t>no</t>
        </is>
      </c>
      <c r="AJ47" s="2" t="inlineStr">
        <is>
          <t>no</t>
        </is>
      </c>
      <c r="AK47" s="2" t="inlineStr">
        <is>
          <t>yes</t>
        </is>
      </c>
      <c r="AL47" s="2" t="inlineStr">
        <is>
          <t>yes</t>
        </is>
      </c>
      <c r="AM47" s="2" t="n"/>
      <c r="AN47" s="2" t="n"/>
      <c r="AO47" s="2" t="n"/>
      <c r="AP47" s="2" t="inlineStr">
        <is>
          <t>v3_2026-03-19</t>
        </is>
      </c>
      <c r="AQ47">
        <f>(L47-Schema_v5!$C2)/(Schema_v5!$C3-Schema_v5!$C2)</f>
        <v/>
      </c>
      <c r="AR47">
        <f>(M47-Schema_v5!$C4)/(Schema_v5!$C5-Schema_v5!$C4)</f>
        <v/>
      </c>
      <c r="AS47">
        <f>N47/Schema_v5!$C6</f>
        <v/>
      </c>
      <c r="AT47">
        <f>O47/Schema_v5!$C7</f>
        <v/>
      </c>
      <c r="AU47">
        <f>P47/Schema_v5!$C8</f>
        <v/>
      </c>
      <c r="AV47">
        <f>IF(Schema_v5!$C9=0,0,AH47/Schema_v5!$C9)</f>
        <v/>
      </c>
      <c r="AW47">
        <f>IF(Schema_v5!$C10=0,0,AE47/Schema_v5!$C10)</f>
        <v/>
      </c>
      <c r="AX47">
        <f>(W47-Schema_v5!$C11)/(Schema_v5!$C12-Schema_v5!$C11)</f>
        <v/>
      </c>
      <c r="AY47">
        <f>(X47-Schema_v5!$C13)/(Schema_v5!$C14-Schema_v5!$C13)</f>
        <v/>
      </c>
      <c r="AZ47">
        <f>MIN(1,MAX(0,U47/Schema_v7!$C$9))</f>
        <v/>
      </c>
      <c r="BA47">
        <f>IF(AJ47="yes",0.55,0)</f>
        <v/>
      </c>
      <c r="BB47">
        <f>IF(AI47="yes",0.10,0)</f>
        <v/>
      </c>
      <c r="BC47">
        <f>IF(Y47="COMM_Direct",0.92,IF(Y47="COMM_Emotional",0.70,IF(Y47="COMM_Logical",0.65,IF(Y47="COMM_Indirect",0.55,0.35))))</f>
        <v/>
      </c>
      <c r="BD47">
        <f>IF(Z47="REG_CoRegulator",0.92,IF(Z47="REG_SelfSoother",0.76,IF(Z47="REG_Distractor",0.48,0.35)))</f>
        <v/>
      </c>
      <c r="BE47">
        <f>IF(AA47="LANG_Time",0.76,IF(AA47="LANG_Service",0.70,IF(AA47="LANG_Words",0.72,IF(AA47="LANG_Touch",0.68,0.60))))</f>
        <v/>
      </c>
      <c r="BF47">
        <f>MAX(0,MIN(1,0.28*AS47+0.16*AT47+0.18*BC47+0.18*BD47+0.10*(1-AZ47)+0.10*(1-BA47)+BB47))</f>
        <v/>
      </c>
      <c r="BG47">
        <f>MAX(0,MIN(1,0.24*AU47+0.18*AS47+0.18*BC47+0.20*BD47+0.10*(1-AW47)+0.10*(1-BA47)))</f>
        <v/>
      </c>
      <c r="BH47">
        <f>MAX(0,MIN(1,0.28*AR47+0.18*AT47+0.16*AU47+0.18*(1-AV47)+0.10*(1-AW47)+0.10*BF47))</f>
        <v/>
      </c>
      <c r="BI47">
        <f>MAX(0,MIN(1,0.30*AV47+0.20*AZ47+0.20*AW47+0.15*(1-BH47)+0.15*(1-BO47)))</f>
        <v/>
      </c>
      <c r="BJ47">
        <f>MAX(0,1-(ABS(((( AX47+AY47)/2)-0.55)*1.6)))</f>
        <v/>
      </c>
      <c r="BK47">
        <f>MAX(0,MIN(1,0.28*AR47+0.18*AT47+0.16*BJ47+0.14*(1-AV47)+0.12*BQ47+0.12*BO47))</f>
        <v/>
      </c>
      <c r="BL47">
        <f>MAX(0,MIN(1,0.22*AQ47+0.18*AS47+0.18*BC47+0.18*BD47+0.08*BE47+0.10*BF47+0.06*BO47))</f>
        <v/>
      </c>
      <c r="BM47">
        <f>MAX(0,MIN(1,0.20*(1-AZ47)+0.16*(1-BA47)+0.14*(1-AW47)+0.14*AU47+0.18*BG47+0.10*BH47+0.08*BP47))</f>
        <v/>
      </c>
      <c r="BN47">
        <f>MAX(0,MIN(1,0.42*BJ47+0.33*BK47+0.15*AT47+0.10*BQ47))</f>
        <v/>
      </c>
      <c r="BO47">
        <f>MAX(0,MIN(1,0.30*BC47+0.24*BD47+0.18*AS47+0.14*(1-BI47)+0.14*AT47))</f>
        <v/>
      </c>
      <c r="BP47">
        <f>MAX(0,MIN(1,0.26*AS47+0.20*(1-BA47)+0.16*(1-AW47)+0.18*BG47+0.10*AU47+0.10+BB47))</f>
        <v/>
      </c>
      <c r="BQ47">
        <f>MAX(0,MIN(1,0.24*AT47+0.18*BF47+0.14*AR47+0.14*BO47+0.14*(1-AV47)+0.16*(1-AZ47)))</f>
        <v/>
      </c>
      <c r="BR47">
        <f>IF(BO47&gt;=0.80,"Open",IF(BO47&gt;=0.62,"Measured",IF(BO47&gt;=0.45,"Selective","Guarded")))</f>
        <v/>
      </c>
      <c r="BS47">
        <f>IF(Y47="COMM_Direct","Direct",IF(Y47="COMM_Emotional","Emotional",IF(Y47="COMM_Logical","Logical",IF(Y47="COMM_Indirect","Indirect","Avoidant"))))</f>
        <v/>
      </c>
      <c r="BT47">
        <f>IF(BG47&gt;=0.78,"Co-repair",IF(BG47&gt;=0.58,"Re-engage",IF(BG47&gt;=0.40,"Delay","Suppress")))</f>
        <v/>
      </c>
      <c r="BU47">
        <f>IF(BI47&gt;=0.70,"Retreat-risk",IF(BH47&lt;=0.40,"Rush-risk",IF(BH47&gt;=0.65,"Slow-build","Mixed")))</f>
        <v/>
      </c>
      <c r="BV47">
        <f>IF(BL47-BM47&gt;=0.15,"Stimulation-seeking",IF(BM47-BL47&gt;=0.15,"Calm-seeking","Mixed")))</f>
        <v/>
      </c>
      <c r="BW47">
        <f>IF(AND(BL47&gt;=0.72,BM47&lt;0.48),"High",IF(AND(BL47&gt;=0.60,BM47&lt;0.58),"Medium","Low"))</f>
        <v/>
      </c>
    </row>
    <row r="48" ht="108" customHeight="1" s="10">
      <c r="A48" s="2" t="inlineStr">
        <is>
          <t>Q10_B</t>
        </is>
      </c>
      <c r="B48" s="2" t="n">
        <v>10</v>
      </c>
      <c r="C48" s="2" t="n">
        <v>10</v>
      </c>
      <c r="D48" s="2" t="inlineStr">
        <is>
          <t>Core</t>
        </is>
      </c>
      <c r="E48" s="2" t="n">
        <v>1.05</v>
      </c>
      <c r="F48" s="2" t="inlineStr">
        <is>
          <t>ConflictRepair</t>
        </is>
      </c>
      <c r="G48" s="2" t="inlineStr">
        <is>
          <t>CommunicationHealth</t>
        </is>
      </c>
      <c r="H48" s="2" t="n"/>
      <c r="I48" s="2" t="inlineStr">
        <is>
          <t>B</t>
        </is>
      </c>
      <c r="J48" s="2" t="inlineStr">
        <is>
          <t>B</t>
        </is>
      </c>
      <c r="K48" s="2" t="inlineStr">
        <is>
          <t>I try to be what they need, hoping maybe this time they'll realize I'm more than a backup plan.</t>
        </is>
      </c>
      <c r="L48" s="2" t="n">
        <v>6</v>
      </c>
      <c r="M48" s="2" t="n">
        <v>7</v>
      </c>
      <c r="N48" s="2" t="n">
        <v>4</v>
      </c>
      <c r="O48" s="2" t="n">
        <v>6</v>
      </c>
      <c r="P48" s="2" t="n">
        <v>4</v>
      </c>
      <c r="Q48" s="2" t="inlineStr">
        <is>
          <t>Fixer</t>
        </is>
      </c>
      <c r="R48" s="2" t="n">
        <v>5</v>
      </c>
      <c r="S48" s="2" t="n"/>
      <c r="T48" s="2" t="n"/>
      <c r="U48" s="2" t="n">
        <v>0</v>
      </c>
      <c r="V48" s="2" t="inlineStr">
        <is>
          <t>masc:-0.4;fem:2.0</t>
        </is>
      </c>
      <c r="W48" s="2" t="n">
        <v>-0.4</v>
      </c>
      <c r="X48" s="2" t="n">
        <v>2</v>
      </c>
      <c r="Y48" s="2" t="inlineStr">
        <is>
          <t>COMM_Emotional</t>
        </is>
      </c>
      <c r="Z48" s="2" t="inlineStr">
        <is>
          <t>REG_CoRegulator</t>
        </is>
      </c>
      <c r="AA48" s="2" t="inlineStr">
        <is>
          <t>LANG_Service</t>
        </is>
      </c>
      <c r="AB48" s="2" t="inlineStr">
        <is>
          <t>Commitment_Ambiguity</t>
        </is>
      </c>
      <c r="AC48" s="2" t="inlineStr">
        <is>
          <t>Commitment_Ambiguity</t>
        </is>
      </c>
      <c r="AD48" s="2" t="n"/>
      <c r="AE48" s="2" t="n">
        <v>5</v>
      </c>
      <c r="AF48" s="2" t="inlineStr">
        <is>
          <t>approval-seeking caretaker</t>
        </is>
      </c>
      <c r="AG48" s="2" t="inlineStr">
        <is>
          <t>hopeful server</t>
        </is>
      </c>
      <c r="AH48" s="2" t="n">
        <v>0</v>
      </c>
      <c r="AI48" s="2" t="inlineStr">
        <is>
          <t>yes</t>
        </is>
      </c>
      <c r="AJ48" s="2" t="inlineStr">
        <is>
          <t>no</t>
        </is>
      </c>
      <c r="AK48" s="2" t="inlineStr">
        <is>
          <t>yes</t>
        </is>
      </c>
      <c r="AL48" s="2" t="inlineStr">
        <is>
          <t>yes</t>
        </is>
      </c>
      <c r="AM48" s="2" t="n"/>
      <c r="AN48" s="2" t="n"/>
      <c r="AO48" s="2" t="n"/>
      <c r="AP48" s="2" t="inlineStr">
        <is>
          <t>v3_2026-03-19</t>
        </is>
      </c>
      <c r="AQ48">
        <f>(L48-Schema_v5!$C2)/(Schema_v5!$C3-Schema_v5!$C2)</f>
        <v/>
      </c>
      <c r="AR48">
        <f>(M48-Schema_v5!$C4)/(Schema_v5!$C5-Schema_v5!$C4)</f>
        <v/>
      </c>
      <c r="AS48">
        <f>N48/Schema_v5!$C6</f>
        <v/>
      </c>
      <c r="AT48">
        <f>O48/Schema_v5!$C7</f>
        <v/>
      </c>
      <c r="AU48">
        <f>P48/Schema_v5!$C8</f>
        <v/>
      </c>
      <c r="AV48">
        <f>IF(Schema_v5!$C9=0,0,AH48/Schema_v5!$C9)</f>
        <v/>
      </c>
      <c r="AW48">
        <f>IF(Schema_v5!$C10=0,0,AE48/Schema_v5!$C10)</f>
        <v/>
      </c>
      <c r="AX48">
        <f>(W48-Schema_v5!$C11)/(Schema_v5!$C12-Schema_v5!$C11)</f>
        <v/>
      </c>
      <c r="AY48">
        <f>(X48-Schema_v5!$C13)/(Schema_v5!$C14-Schema_v5!$C13)</f>
        <v/>
      </c>
      <c r="AZ48">
        <f>MIN(1,MAX(0,U48/Schema_v7!$C$9))</f>
        <v/>
      </c>
      <c r="BA48">
        <f>IF(AJ48="yes",0.55,0)</f>
        <v/>
      </c>
      <c r="BB48">
        <f>IF(AI48="yes",0.10,0)</f>
        <v/>
      </c>
      <c r="BC48">
        <f>IF(Y48="COMM_Direct",0.92,IF(Y48="COMM_Emotional",0.70,IF(Y48="COMM_Logical",0.65,IF(Y48="COMM_Indirect",0.55,0.35))))</f>
        <v/>
      </c>
      <c r="BD48">
        <f>IF(Z48="REG_CoRegulator",0.92,IF(Z48="REG_SelfSoother",0.76,IF(Z48="REG_Distractor",0.48,0.35)))</f>
        <v/>
      </c>
      <c r="BE48">
        <f>IF(AA48="LANG_Time",0.76,IF(AA48="LANG_Service",0.70,IF(AA48="LANG_Words",0.72,IF(AA48="LANG_Touch",0.68,0.60))))</f>
        <v/>
      </c>
      <c r="BF48">
        <f>MAX(0,MIN(1,0.28*AS48+0.16*AT48+0.18*BC48+0.18*BD48+0.10*(1-AZ48)+0.10*(1-BA48)+BB48))</f>
        <v/>
      </c>
      <c r="BG48">
        <f>MAX(0,MIN(1,0.24*AU48+0.18*AS48+0.18*BC48+0.20*BD48+0.10*(1-AW48)+0.10*(1-BA48)))</f>
        <v/>
      </c>
      <c r="BH48">
        <f>MAX(0,MIN(1,0.28*AR48+0.18*AT48+0.16*AU48+0.18*(1-AV48)+0.10*(1-AW48)+0.10*BF48))</f>
        <v/>
      </c>
      <c r="BI48">
        <f>MAX(0,MIN(1,0.30*AV48+0.20*AZ48+0.20*AW48+0.15*(1-BH48)+0.15*(1-BO48)))</f>
        <v/>
      </c>
      <c r="BJ48">
        <f>MAX(0,1-(ABS(((( AX48+AY48)/2)-0.55)*1.6)))</f>
        <v/>
      </c>
      <c r="BK48">
        <f>MAX(0,MIN(1,0.28*AR48+0.18*AT48+0.16*BJ48+0.14*(1-AV48)+0.12*BQ48+0.12*BO48))</f>
        <v/>
      </c>
      <c r="BL48">
        <f>MAX(0,MIN(1,0.22*AQ48+0.18*AS48+0.18*BC48+0.18*BD48+0.08*BE48+0.10*BF48+0.06*BO48))</f>
        <v/>
      </c>
      <c r="BM48">
        <f>MAX(0,MIN(1,0.20*(1-AZ48)+0.16*(1-BA48)+0.14*(1-AW48)+0.14*AU48+0.18*BG48+0.10*BH48+0.08*BP48))</f>
        <v/>
      </c>
      <c r="BN48">
        <f>MAX(0,MIN(1,0.42*BJ48+0.33*BK48+0.15*AT48+0.10*BQ48))</f>
        <v/>
      </c>
      <c r="BO48">
        <f>MAX(0,MIN(1,0.30*BC48+0.24*BD48+0.18*AS48+0.14*(1-BI48)+0.14*AT48))</f>
        <v/>
      </c>
      <c r="BP48">
        <f>MAX(0,MIN(1,0.26*AS48+0.20*(1-BA48)+0.16*(1-AW48)+0.18*BG48+0.10*AU48+0.10+BB48))</f>
        <v/>
      </c>
      <c r="BQ48">
        <f>MAX(0,MIN(1,0.24*AT48+0.18*BF48+0.14*AR48+0.14*BO48+0.14*(1-AV48)+0.16*(1-AZ48)))</f>
        <v/>
      </c>
      <c r="BR48">
        <f>IF(BO48&gt;=0.80,"Open",IF(BO48&gt;=0.62,"Measured",IF(BO48&gt;=0.45,"Selective","Guarded")))</f>
        <v/>
      </c>
      <c r="BS48">
        <f>IF(Y48="COMM_Direct","Direct",IF(Y48="COMM_Emotional","Emotional",IF(Y48="COMM_Logical","Logical",IF(Y48="COMM_Indirect","Indirect","Avoidant"))))</f>
        <v/>
      </c>
      <c r="BT48">
        <f>IF(BG48&gt;=0.78,"Co-repair",IF(BG48&gt;=0.58,"Re-engage",IF(BG48&gt;=0.40,"Delay","Suppress")))</f>
        <v/>
      </c>
      <c r="BU48">
        <f>IF(BI48&gt;=0.70,"Retreat-risk",IF(BH48&lt;=0.40,"Rush-risk",IF(BH48&gt;=0.65,"Slow-build","Mixed")))</f>
        <v/>
      </c>
      <c r="BV48">
        <f>IF(BL48-BM48&gt;=0.15,"Stimulation-seeking",IF(BM48-BL48&gt;=0.15,"Calm-seeking","Mixed")))</f>
        <v/>
      </c>
      <c r="BW48">
        <f>IF(AND(BL48&gt;=0.72,BM48&lt;0.48),"High",IF(AND(BL48&gt;=0.60,BM48&lt;0.58),"Medium","Low"))</f>
        <v/>
      </c>
    </row>
    <row r="49" ht="148.5" customHeight="1" s="10">
      <c r="A49" s="2" t="inlineStr">
        <is>
          <t>Q10_C</t>
        </is>
      </c>
      <c r="B49" s="2" t="n">
        <v>10</v>
      </c>
      <c r="C49" s="2" t="n">
        <v>10</v>
      </c>
      <c r="D49" s="2" t="inlineStr">
        <is>
          <t>Core</t>
        </is>
      </c>
      <c r="E49" s="2" t="n">
        <v>1.05</v>
      </c>
      <c r="F49" s="2" t="inlineStr">
        <is>
          <t>ConflictRepair</t>
        </is>
      </c>
      <c r="G49" s="2" t="inlineStr">
        <is>
          <t>CommunicationHealth</t>
        </is>
      </c>
      <c r="H49" s="2" t="n"/>
      <c r="I49" s="2" t="inlineStr">
        <is>
          <t>C</t>
        </is>
      </c>
      <c r="J49" s="2" t="inlineStr">
        <is>
          <t>C</t>
        </is>
      </c>
      <c r="K49" s="2" t="inlineStr">
        <is>
          <t>I comfort them, but in my head I'm already creating distance. If I can't count on them too, this whole thing is one-sided.</t>
        </is>
      </c>
      <c r="L49" s="2" t="n">
        <v>7</v>
      </c>
      <c r="M49" s="2" t="n">
        <v>8</v>
      </c>
      <c r="N49" s="2" t="n">
        <v>6</v>
      </c>
      <c r="O49" s="2" t="n">
        <v>8</v>
      </c>
      <c r="P49" s="2" t="n">
        <v>6</v>
      </c>
      <c r="Q49" s="2" t="inlineStr">
        <is>
          <t>Analyzer</t>
        </is>
      </c>
      <c r="R49" s="2" t="n">
        <v>2</v>
      </c>
      <c r="S49" s="2" t="n"/>
      <c r="T49" s="2" t="n"/>
      <c r="U49" s="2" t="n">
        <v>0</v>
      </c>
      <c r="V49" s="2" t="inlineStr">
        <is>
          <t>masc:1.4;fem:0.1</t>
        </is>
      </c>
      <c r="W49" s="2" t="n">
        <v>1.4</v>
      </c>
      <c r="X49" s="2" t="n">
        <v>0.1</v>
      </c>
      <c r="Y49" s="2" t="inlineStr">
        <is>
          <t>COMM_Logical</t>
        </is>
      </c>
      <c r="Z49" s="2" t="inlineStr">
        <is>
          <t>REG_SelfSoother</t>
        </is>
      </c>
      <c r="AA49" s="2" t="inlineStr">
        <is>
          <t>LANG_Service</t>
        </is>
      </c>
      <c r="AB49" s="2" t="n"/>
      <c r="AC49" s="2" t="n"/>
      <c r="AD49" s="2" t="n"/>
      <c r="AE49" s="2" t="n">
        <v>0</v>
      </c>
      <c r="AF49" s="2" t="inlineStr">
        <is>
          <t>measured pullback</t>
        </is>
      </c>
      <c r="AG49" s="2" t="inlineStr">
        <is>
          <t>quiet assessor</t>
        </is>
      </c>
      <c r="AH49" s="2" t="n">
        <v>0</v>
      </c>
      <c r="AI49" s="2" t="inlineStr">
        <is>
          <t>no</t>
        </is>
      </c>
      <c r="AJ49" s="2" t="inlineStr">
        <is>
          <t>no</t>
        </is>
      </c>
      <c r="AK49" s="2" t="inlineStr">
        <is>
          <t>yes</t>
        </is>
      </c>
      <c r="AL49" s="2" t="inlineStr">
        <is>
          <t>yes</t>
        </is>
      </c>
      <c r="AM49" s="2" t="n"/>
      <c r="AN49" s="2" t="n"/>
      <c r="AO49" s="2" t="n"/>
      <c r="AP49" s="2" t="inlineStr">
        <is>
          <t>v3_2026-03-19</t>
        </is>
      </c>
      <c r="AQ49">
        <f>(L49-Schema_v5!$C2)/(Schema_v5!$C3-Schema_v5!$C2)</f>
        <v/>
      </c>
      <c r="AR49">
        <f>(M49-Schema_v5!$C4)/(Schema_v5!$C5-Schema_v5!$C4)</f>
        <v/>
      </c>
      <c r="AS49">
        <f>N49/Schema_v5!$C6</f>
        <v/>
      </c>
      <c r="AT49">
        <f>O49/Schema_v5!$C7</f>
        <v/>
      </c>
      <c r="AU49">
        <f>P49/Schema_v5!$C8</f>
        <v/>
      </c>
      <c r="AV49">
        <f>IF(Schema_v5!$C9=0,0,AH49/Schema_v5!$C9)</f>
        <v/>
      </c>
      <c r="AW49">
        <f>IF(Schema_v5!$C10=0,0,AE49/Schema_v5!$C10)</f>
        <v/>
      </c>
      <c r="AX49">
        <f>(W49-Schema_v5!$C11)/(Schema_v5!$C12-Schema_v5!$C11)</f>
        <v/>
      </c>
      <c r="AY49">
        <f>(X49-Schema_v5!$C13)/(Schema_v5!$C14-Schema_v5!$C13)</f>
        <v/>
      </c>
      <c r="AZ49">
        <f>MIN(1,MAX(0,U49/Schema_v7!$C$9))</f>
        <v/>
      </c>
      <c r="BA49">
        <f>IF(AJ49="yes",0.55,0)</f>
        <v/>
      </c>
      <c r="BB49">
        <f>IF(AI49="yes",0.10,0)</f>
        <v/>
      </c>
      <c r="BC49">
        <f>IF(Y49="COMM_Direct",0.92,IF(Y49="COMM_Emotional",0.70,IF(Y49="COMM_Logical",0.65,IF(Y49="COMM_Indirect",0.55,0.35))))</f>
        <v/>
      </c>
      <c r="BD49">
        <f>IF(Z49="REG_CoRegulator",0.92,IF(Z49="REG_SelfSoother",0.76,IF(Z49="REG_Distractor",0.48,0.35)))</f>
        <v/>
      </c>
      <c r="BE49">
        <f>IF(AA49="LANG_Time",0.76,IF(AA49="LANG_Service",0.70,IF(AA49="LANG_Words",0.72,IF(AA49="LANG_Touch",0.68,0.60))))</f>
        <v/>
      </c>
      <c r="BF49">
        <f>MAX(0,MIN(1,0.28*AS49+0.16*AT49+0.18*BC49+0.18*BD49+0.10*(1-AZ49)+0.10*(1-BA49)+BB49))</f>
        <v/>
      </c>
      <c r="BG49">
        <f>MAX(0,MIN(1,0.24*AU49+0.18*AS49+0.18*BC49+0.20*BD49+0.10*(1-AW49)+0.10*(1-BA49)))</f>
        <v/>
      </c>
      <c r="BH49">
        <f>MAX(0,MIN(1,0.28*AR49+0.18*AT49+0.16*AU49+0.18*(1-AV49)+0.10*(1-AW49)+0.10*BF49))</f>
        <v/>
      </c>
      <c r="BI49">
        <f>MAX(0,MIN(1,0.30*AV49+0.20*AZ49+0.20*AW49+0.15*(1-BH49)+0.15*(1-BO49)))</f>
        <v/>
      </c>
      <c r="BJ49">
        <f>MAX(0,1-(ABS(((( AX49+AY49)/2)-0.55)*1.6)))</f>
        <v/>
      </c>
      <c r="BK49">
        <f>MAX(0,MIN(1,0.28*AR49+0.18*AT49+0.16*BJ49+0.14*(1-AV49)+0.12*BQ49+0.12*BO49))</f>
        <v/>
      </c>
      <c r="BL49">
        <f>MAX(0,MIN(1,0.22*AQ49+0.18*AS49+0.18*BC49+0.18*BD49+0.08*BE49+0.10*BF49+0.06*BO49))</f>
        <v/>
      </c>
      <c r="BM49">
        <f>MAX(0,MIN(1,0.20*(1-AZ49)+0.16*(1-BA49)+0.14*(1-AW49)+0.14*AU49+0.18*BG49+0.10*BH49+0.08*BP49))</f>
        <v/>
      </c>
      <c r="BN49">
        <f>MAX(0,MIN(1,0.42*BJ49+0.33*BK49+0.15*AT49+0.10*BQ49))</f>
        <v/>
      </c>
      <c r="BO49">
        <f>MAX(0,MIN(1,0.30*BC49+0.24*BD49+0.18*AS49+0.14*(1-BI49)+0.14*AT49))</f>
        <v/>
      </c>
      <c r="BP49">
        <f>MAX(0,MIN(1,0.26*AS49+0.20*(1-BA49)+0.16*(1-AW49)+0.18*BG49+0.10*AU49+0.10+BB49))</f>
        <v/>
      </c>
      <c r="BQ49">
        <f>MAX(0,MIN(1,0.24*AT49+0.18*BF49+0.14*AR49+0.14*BO49+0.14*(1-AV49)+0.16*(1-AZ49)))</f>
        <v/>
      </c>
      <c r="BR49">
        <f>IF(BO49&gt;=0.80,"Open",IF(BO49&gt;=0.62,"Measured",IF(BO49&gt;=0.45,"Selective","Guarded")))</f>
        <v/>
      </c>
      <c r="BS49">
        <f>IF(Y49="COMM_Direct","Direct",IF(Y49="COMM_Emotional","Emotional",IF(Y49="COMM_Logical","Logical",IF(Y49="COMM_Indirect","Indirect","Avoidant"))))</f>
        <v/>
      </c>
      <c r="BT49">
        <f>IF(BG49&gt;=0.78,"Co-repair",IF(BG49&gt;=0.58,"Re-engage",IF(BG49&gt;=0.40,"Delay","Suppress")))</f>
        <v/>
      </c>
      <c r="BU49">
        <f>IF(BI49&gt;=0.70,"Retreat-risk",IF(BH49&lt;=0.40,"Rush-risk",IF(BH49&gt;=0.65,"Slow-build","Mixed")))</f>
        <v/>
      </c>
      <c r="BV49">
        <f>IF(BL49-BM49&gt;=0.15,"Stimulation-seeking",IF(BM49-BL49&gt;=0.15,"Calm-seeking","Mixed")))</f>
        <v/>
      </c>
      <c r="BW49">
        <f>IF(AND(BL49&gt;=0.72,BM49&lt;0.48),"High",IF(AND(BL49&gt;=0.60,BM49&lt;0.58),"Medium","Low"))</f>
        <v/>
      </c>
    </row>
    <row r="50" ht="148.5" customHeight="1" s="10">
      <c r="A50" s="2" t="inlineStr">
        <is>
          <t>Q10_D</t>
        </is>
      </c>
      <c r="B50" s="2" t="n">
        <v>10</v>
      </c>
      <c r="C50" s="2" t="n">
        <v>10</v>
      </c>
      <c r="D50" s="2" t="inlineStr">
        <is>
          <t>Core</t>
        </is>
      </c>
      <c r="E50" s="2" t="n">
        <v>1.05</v>
      </c>
      <c r="F50" s="2" t="inlineStr">
        <is>
          <t>ConflictRepair</t>
        </is>
      </c>
      <c r="G50" s="2" t="inlineStr">
        <is>
          <t>CommunicationHealth</t>
        </is>
      </c>
      <c r="H50" s="2" t="n"/>
      <c r="I50" s="2" t="inlineStr">
        <is>
          <t>D</t>
        </is>
      </c>
      <c r="J50" s="2" t="inlineStr">
        <is>
          <t>D</t>
        </is>
      </c>
      <c r="K50" s="2" t="inlineStr">
        <is>
          <t>I act calm, but I feel it. When I need someone, I keep it to myself, so watching them lean on me makes the silence louder.</t>
        </is>
      </c>
      <c r="L50" s="2" t="n">
        <v>5</v>
      </c>
      <c r="M50" s="2" t="n">
        <v>6</v>
      </c>
      <c r="N50" s="2" t="n">
        <v>2</v>
      </c>
      <c r="O50" s="2" t="n">
        <v>4</v>
      </c>
      <c r="P50" s="2" t="n">
        <v>2</v>
      </c>
      <c r="Q50" s="2" t="inlineStr">
        <is>
          <t>Phantom Seeker</t>
        </is>
      </c>
      <c r="R50" s="2" t="n">
        <v>10</v>
      </c>
      <c r="S50" s="2" t="n"/>
      <c r="T50" s="2" t="n"/>
      <c r="U50" s="2" t="n">
        <v>0</v>
      </c>
      <c r="V50" s="2" t="inlineStr">
        <is>
          <t>masc:-0.2;fem:1.5</t>
        </is>
      </c>
      <c r="W50" s="2" t="n">
        <v>-0.2</v>
      </c>
      <c r="X50" s="2" t="n">
        <v>1.5</v>
      </c>
      <c r="Y50" s="2" t="inlineStr">
        <is>
          <t>COMM_Emotional</t>
        </is>
      </c>
      <c r="Z50" s="2" t="inlineStr">
        <is>
          <t>REG_SelfSoother</t>
        </is>
      </c>
      <c r="AA50" s="2" t="inlineStr">
        <is>
          <t>LANG_Touch</t>
        </is>
      </c>
      <c r="AB50" s="2" t="inlineStr">
        <is>
          <t>Transparency_Gap</t>
        </is>
      </c>
      <c r="AC50" s="2" t="inlineStr">
        <is>
          <t>Transparency_Gap</t>
        </is>
      </c>
      <c r="AD50" s="2" t="n"/>
      <c r="AE50" s="2" t="n">
        <v>5</v>
      </c>
      <c r="AF50" s="2" t="inlineStr">
        <is>
          <t>quiet resentment</t>
        </is>
      </c>
      <c r="AG50" s="2" t="inlineStr">
        <is>
          <t>unspoken holder</t>
        </is>
      </c>
      <c r="AH50" s="2" t="n">
        <v>0</v>
      </c>
      <c r="AI50" s="2" t="inlineStr">
        <is>
          <t>yes</t>
        </is>
      </c>
      <c r="AJ50" s="2" t="inlineStr">
        <is>
          <t>no</t>
        </is>
      </c>
      <c r="AK50" s="2" t="inlineStr">
        <is>
          <t>yes</t>
        </is>
      </c>
      <c r="AL50" s="2" t="inlineStr">
        <is>
          <t>yes</t>
        </is>
      </c>
      <c r="AM50" s="2" t="n"/>
      <c r="AN50" s="2" t="n"/>
      <c r="AO50" s="2" t="n"/>
      <c r="AP50" s="2" t="inlineStr">
        <is>
          <t>v3_2026-03-19</t>
        </is>
      </c>
      <c r="AQ50">
        <f>(L50-Schema_v5!$C2)/(Schema_v5!$C3-Schema_v5!$C2)</f>
        <v/>
      </c>
      <c r="AR50">
        <f>(M50-Schema_v5!$C4)/(Schema_v5!$C5-Schema_v5!$C4)</f>
        <v/>
      </c>
      <c r="AS50">
        <f>N50/Schema_v5!$C6</f>
        <v/>
      </c>
      <c r="AT50">
        <f>O50/Schema_v5!$C7</f>
        <v/>
      </c>
      <c r="AU50">
        <f>P50/Schema_v5!$C8</f>
        <v/>
      </c>
      <c r="AV50">
        <f>IF(Schema_v5!$C9=0,0,AH50/Schema_v5!$C9)</f>
        <v/>
      </c>
      <c r="AW50">
        <f>IF(Schema_v5!$C10=0,0,AE50/Schema_v5!$C10)</f>
        <v/>
      </c>
      <c r="AX50">
        <f>(W50-Schema_v5!$C11)/(Schema_v5!$C12-Schema_v5!$C11)</f>
        <v/>
      </c>
      <c r="AY50">
        <f>(X50-Schema_v5!$C13)/(Schema_v5!$C14-Schema_v5!$C13)</f>
        <v/>
      </c>
      <c r="AZ50">
        <f>MIN(1,MAX(0,U50/Schema_v7!$C$9))</f>
        <v/>
      </c>
      <c r="BA50">
        <f>IF(AJ50="yes",0.55,0)</f>
        <v/>
      </c>
      <c r="BB50">
        <f>IF(AI50="yes",0.10,0)</f>
        <v/>
      </c>
      <c r="BC50">
        <f>IF(Y50="COMM_Direct",0.92,IF(Y50="COMM_Emotional",0.70,IF(Y50="COMM_Logical",0.65,IF(Y50="COMM_Indirect",0.55,0.35))))</f>
        <v/>
      </c>
      <c r="BD50">
        <f>IF(Z50="REG_CoRegulator",0.92,IF(Z50="REG_SelfSoother",0.76,IF(Z50="REG_Distractor",0.48,0.35)))</f>
        <v/>
      </c>
      <c r="BE50">
        <f>IF(AA50="LANG_Time",0.76,IF(AA50="LANG_Service",0.70,IF(AA50="LANG_Words",0.72,IF(AA50="LANG_Touch",0.68,0.60))))</f>
        <v/>
      </c>
      <c r="BF50">
        <f>MAX(0,MIN(1,0.28*AS50+0.16*AT50+0.18*BC50+0.18*BD50+0.10*(1-AZ50)+0.10*(1-BA50)+BB50))</f>
        <v/>
      </c>
      <c r="BG50">
        <f>MAX(0,MIN(1,0.24*AU50+0.18*AS50+0.18*BC50+0.20*BD50+0.10*(1-AW50)+0.10*(1-BA50)))</f>
        <v/>
      </c>
      <c r="BH50">
        <f>MAX(0,MIN(1,0.28*AR50+0.18*AT50+0.16*AU50+0.18*(1-AV50)+0.10*(1-AW50)+0.10*BF50))</f>
        <v/>
      </c>
      <c r="BI50">
        <f>MAX(0,MIN(1,0.30*AV50+0.20*AZ50+0.20*AW50+0.15*(1-BH50)+0.15*(1-BO50)))</f>
        <v/>
      </c>
      <c r="BJ50">
        <f>MAX(0,1-(ABS(((( AX50+AY50)/2)-0.55)*1.6)))</f>
        <v/>
      </c>
      <c r="BK50">
        <f>MAX(0,MIN(1,0.28*AR50+0.18*AT50+0.16*BJ50+0.14*(1-AV50)+0.12*BQ50+0.12*BO50))</f>
        <v/>
      </c>
      <c r="BL50">
        <f>MAX(0,MIN(1,0.22*AQ50+0.18*AS50+0.18*BC50+0.18*BD50+0.08*BE50+0.10*BF50+0.06*BO50))</f>
        <v/>
      </c>
      <c r="BM50">
        <f>MAX(0,MIN(1,0.20*(1-AZ50)+0.16*(1-BA50)+0.14*(1-AW50)+0.14*AU50+0.18*BG50+0.10*BH50+0.08*BP50))</f>
        <v/>
      </c>
      <c r="BN50">
        <f>MAX(0,MIN(1,0.42*BJ50+0.33*BK50+0.15*AT50+0.10*BQ50))</f>
        <v/>
      </c>
      <c r="BO50">
        <f>MAX(0,MIN(1,0.30*BC50+0.24*BD50+0.18*AS50+0.14*(1-BI50)+0.14*AT50))</f>
        <v/>
      </c>
      <c r="BP50">
        <f>MAX(0,MIN(1,0.26*AS50+0.20*(1-BA50)+0.16*(1-AW50)+0.18*BG50+0.10*AU50+0.10+BB50))</f>
        <v/>
      </c>
      <c r="BQ50">
        <f>MAX(0,MIN(1,0.24*AT50+0.18*BF50+0.14*AR50+0.14*BO50+0.14*(1-AV50)+0.16*(1-AZ50)))</f>
        <v/>
      </c>
      <c r="BR50">
        <f>IF(BO50&gt;=0.80,"Open",IF(BO50&gt;=0.62,"Measured",IF(BO50&gt;=0.45,"Selective","Guarded")))</f>
        <v/>
      </c>
      <c r="BS50">
        <f>IF(Y50="COMM_Direct","Direct",IF(Y50="COMM_Emotional","Emotional",IF(Y50="COMM_Logical","Logical",IF(Y50="COMM_Indirect","Indirect","Avoidant"))))</f>
        <v/>
      </c>
      <c r="BT50">
        <f>IF(BG50&gt;=0.78,"Co-repair",IF(BG50&gt;=0.58,"Re-engage",IF(BG50&gt;=0.40,"Delay","Suppress")))</f>
        <v/>
      </c>
      <c r="BU50">
        <f>IF(BI50&gt;=0.70,"Retreat-risk",IF(BH50&lt;=0.40,"Rush-risk",IF(BH50&gt;=0.65,"Slow-build","Mixed")))</f>
        <v/>
      </c>
      <c r="BV50">
        <f>IF(BL50-BM50&gt;=0.15,"Stimulation-seeking",IF(BM50-BL50&gt;=0.15,"Calm-seeking","Mixed")))</f>
        <v/>
      </c>
      <c r="BW50">
        <f>IF(AND(BL50&gt;=0.72,BM50&lt;0.48),"High",IF(AND(BL50&gt;=0.60,BM50&lt;0.58),"Medium","Low"))</f>
        <v/>
      </c>
    </row>
    <row r="51" ht="162" customHeight="1" s="10">
      <c r="A51" s="2" t="inlineStr">
        <is>
          <t>Q10_E</t>
        </is>
      </c>
      <c r="B51" s="2" t="n">
        <v>10</v>
      </c>
      <c r="C51" s="2" t="n">
        <v>10</v>
      </c>
      <c r="D51" s="2" t="inlineStr">
        <is>
          <t>Core</t>
        </is>
      </c>
      <c r="E51" s="2" t="n">
        <v>1.05</v>
      </c>
      <c r="F51" s="2" t="inlineStr">
        <is>
          <t>ConflictRepair</t>
        </is>
      </c>
      <c r="G51" s="2" t="inlineStr">
        <is>
          <t>CommunicationHealth</t>
        </is>
      </c>
      <c r="H51" s="2" t="n"/>
      <c r="I51" s="2" t="inlineStr">
        <is>
          <t>E</t>
        </is>
      </c>
      <c r="J51" s="2" t="inlineStr">
        <is>
          <t>E</t>
        </is>
      </c>
      <c r="K51" s="2" t="inlineStr">
        <is>
          <t>I give them what they need in the moment. Then I sit with the feeling later, wondering why I always end up being the one who shows up.</t>
        </is>
      </c>
      <c r="L51" s="2" t="n">
        <v>6</v>
      </c>
      <c r="M51" s="2" t="n">
        <v>7</v>
      </c>
      <c r="N51" s="2" t="n">
        <v>4</v>
      </c>
      <c r="O51" s="2" t="n">
        <v>4</v>
      </c>
      <c r="P51" s="2" t="n">
        <v>4</v>
      </c>
      <c r="Q51" s="2" t="inlineStr">
        <is>
          <t>Romantic Idealist</t>
        </is>
      </c>
      <c r="R51" s="2" t="n">
        <v>6</v>
      </c>
      <c r="S51" s="2" t="n"/>
      <c r="T51" s="2" t="n"/>
      <c r="U51" s="2" t="n">
        <v>0</v>
      </c>
      <c r="V51" s="2" t="inlineStr">
        <is>
          <t>masc:-0.4;fem:1.5</t>
        </is>
      </c>
      <c r="W51" s="2" t="n">
        <v>-0.4</v>
      </c>
      <c r="X51" s="2" t="n">
        <v>1.5</v>
      </c>
      <c r="Y51" s="2" t="inlineStr">
        <is>
          <t>COMM_Emotional</t>
        </is>
      </c>
      <c r="Z51" s="2" t="inlineStr">
        <is>
          <t>REG_Distractor</t>
        </is>
      </c>
      <c r="AA51" s="2" t="inlineStr">
        <is>
          <t>LANG_Gifts</t>
        </is>
      </c>
      <c r="AB51" s="2" t="n"/>
      <c r="AC51" s="2" t="n"/>
      <c r="AD51" s="2" t="n"/>
      <c r="AE51" s="2" t="n">
        <v>0</v>
      </c>
      <c r="AF51" s="2" t="inlineStr">
        <is>
          <t>tired loyal dreamer</t>
        </is>
      </c>
      <c r="AG51" s="2" t="inlineStr">
        <is>
          <t>devoted but drained</t>
        </is>
      </c>
      <c r="AH51" s="2" t="n">
        <v>0</v>
      </c>
      <c r="AI51" s="2" t="inlineStr">
        <is>
          <t>no</t>
        </is>
      </c>
      <c r="AJ51" s="2" t="inlineStr">
        <is>
          <t>no</t>
        </is>
      </c>
      <c r="AK51" s="2" t="inlineStr">
        <is>
          <t>yes</t>
        </is>
      </c>
      <c r="AL51" s="2" t="inlineStr">
        <is>
          <t>yes</t>
        </is>
      </c>
      <c r="AM51" s="2" t="n"/>
      <c r="AN51" s="2" t="n"/>
      <c r="AO51" s="2" t="n"/>
      <c r="AP51" s="2" t="inlineStr">
        <is>
          <t>v3_2026-03-19</t>
        </is>
      </c>
      <c r="AQ51">
        <f>(L51-Schema_v5!$C2)/(Schema_v5!$C3-Schema_v5!$C2)</f>
        <v/>
      </c>
      <c r="AR51">
        <f>(M51-Schema_v5!$C4)/(Schema_v5!$C5-Schema_v5!$C4)</f>
        <v/>
      </c>
      <c r="AS51">
        <f>N51/Schema_v5!$C6</f>
        <v/>
      </c>
      <c r="AT51">
        <f>O51/Schema_v5!$C7</f>
        <v/>
      </c>
      <c r="AU51">
        <f>P51/Schema_v5!$C8</f>
        <v/>
      </c>
      <c r="AV51">
        <f>IF(Schema_v5!$C9=0,0,AH51/Schema_v5!$C9)</f>
        <v/>
      </c>
      <c r="AW51">
        <f>IF(Schema_v5!$C10=0,0,AE51/Schema_v5!$C10)</f>
        <v/>
      </c>
      <c r="AX51">
        <f>(W51-Schema_v5!$C11)/(Schema_v5!$C12-Schema_v5!$C11)</f>
        <v/>
      </c>
      <c r="AY51">
        <f>(X51-Schema_v5!$C13)/(Schema_v5!$C14-Schema_v5!$C13)</f>
        <v/>
      </c>
      <c r="AZ51">
        <f>MIN(1,MAX(0,U51/Schema_v7!$C$9))</f>
        <v/>
      </c>
      <c r="BA51">
        <f>IF(AJ51="yes",0.55,0)</f>
        <v/>
      </c>
      <c r="BB51">
        <f>IF(AI51="yes",0.10,0)</f>
        <v/>
      </c>
      <c r="BC51">
        <f>IF(Y51="COMM_Direct",0.92,IF(Y51="COMM_Emotional",0.70,IF(Y51="COMM_Logical",0.65,IF(Y51="COMM_Indirect",0.55,0.35))))</f>
        <v/>
      </c>
      <c r="BD51">
        <f>IF(Z51="REG_CoRegulator",0.92,IF(Z51="REG_SelfSoother",0.76,IF(Z51="REG_Distractor",0.48,0.35)))</f>
        <v/>
      </c>
      <c r="BE51">
        <f>IF(AA51="LANG_Time",0.76,IF(AA51="LANG_Service",0.70,IF(AA51="LANG_Words",0.72,IF(AA51="LANG_Touch",0.68,0.60))))</f>
        <v/>
      </c>
      <c r="BF51">
        <f>MAX(0,MIN(1,0.28*AS51+0.16*AT51+0.18*BC51+0.18*BD51+0.10*(1-AZ51)+0.10*(1-BA51)+BB51))</f>
        <v/>
      </c>
      <c r="BG51">
        <f>MAX(0,MIN(1,0.24*AU51+0.18*AS51+0.18*BC51+0.20*BD51+0.10*(1-AW51)+0.10*(1-BA51)))</f>
        <v/>
      </c>
      <c r="BH51">
        <f>MAX(0,MIN(1,0.28*AR51+0.18*AT51+0.16*AU51+0.18*(1-AV51)+0.10*(1-AW51)+0.10*BF51))</f>
        <v/>
      </c>
      <c r="BI51">
        <f>MAX(0,MIN(1,0.30*AV51+0.20*AZ51+0.20*AW51+0.15*(1-BH51)+0.15*(1-BO51)))</f>
        <v/>
      </c>
      <c r="BJ51">
        <f>MAX(0,1-(ABS(((( AX51+AY51)/2)-0.55)*1.6)))</f>
        <v/>
      </c>
      <c r="BK51">
        <f>MAX(0,MIN(1,0.28*AR51+0.18*AT51+0.16*BJ51+0.14*(1-AV51)+0.12*BQ51+0.12*BO51))</f>
        <v/>
      </c>
      <c r="BL51">
        <f>MAX(0,MIN(1,0.22*AQ51+0.18*AS51+0.18*BC51+0.18*BD51+0.08*BE51+0.10*BF51+0.06*BO51))</f>
        <v/>
      </c>
      <c r="BM51">
        <f>MAX(0,MIN(1,0.20*(1-AZ51)+0.16*(1-BA51)+0.14*(1-AW51)+0.14*AU51+0.18*BG51+0.10*BH51+0.08*BP51))</f>
        <v/>
      </c>
      <c r="BN51">
        <f>MAX(0,MIN(1,0.42*BJ51+0.33*BK51+0.15*AT51+0.10*BQ51))</f>
        <v/>
      </c>
      <c r="BO51">
        <f>MAX(0,MIN(1,0.30*BC51+0.24*BD51+0.18*AS51+0.14*(1-BI51)+0.14*AT51))</f>
        <v/>
      </c>
      <c r="BP51">
        <f>MAX(0,MIN(1,0.26*AS51+0.20*(1-BA51)+0.16*(1-AW51)+0.18*BG51+0.10*AU51+0.10+BB51))</f>
        <v/>
      </c>
      <c r="BQ51">
        <f>MAX(0,MIN(1,0.24*AT51+0.18*BF51+0.14*AR51+0.14*BO51+0.14*(1-AV51)+0.16*(1-AZ51)))</f>
        <v/>
      </c>
      <c r="BR51">
        <f>IF(BO51&gt;=0.80,"Open",IF(BO51&gt;=0.62,"Measured",IF(BO51&gt;=0.45,"Selective","Guarded")))</f>
        <v/>
      </c>
      <c r="BS51">
        <f>IF(Y51="COMM_Direct","Direct",IF(Y51="COMM_Emotional","Emotional",IF(Y51="COMM_Logical","Logical",IF(Y51="COMM_Indirect","Indirect","Avoidant"))))</f>
        <v/>
      </c>
      <c r="BT51">
        <f>IF(BG51&gt;=0.78,"Co-repair",IF(BG51&gt;=0.58,"Re-engage",IF(BG51&gt;=0.40,"Delay","Suppress")))</f>
        <v/>
      </c>
      <c r="BU51">
        <f>IF(BI51&gt;=0.70,"Retreat-risk",IF(BH51&lt;=0.40,"Rush-risk",IF(BH51&gt;=0.65,"Slow-build","Mixed")))</f>
        <v/>
      </c>
      <c r="BV51">
        <f>IF(BL51-BM51&gt;=0.15,"Stimulation-seeking",IF(BM51-BL51&gt;=0.15,"Calm-seeking","Mixed")))</f>
        <v/>
      </c>
      <c r="BW51">
        <f>IF(AND(BL51&gt;=0.72,BM51&lt;0.48),"High",IF(AND(BL51&gt;=0.60,BM51&lt;0.58),"Medium","Low"))</f>
        <v/>
      </c>
    </row>
    <row r="52" ht="94.5" customHeight="1" s="10">
      <c r="A52" s="2" t="inlineStr">
        <is>
          <t>Q11_A</t>
        </is>
      </c>
      <c r="B52" s="2" t="n">
        <v>11</v>
      </c>
      <c r="C52" s="2" t="n">
        <v>11</v>
      </c>
      <c r="D52" s="2" t="inlineStr">
        <is>
          <t>Core</t>
        </is>
      </c>
      <c r="E52" s="2" t="n">
        <v>1.05</v>
      </c>
      <c r="F52" s="2" t="inlineStr">
        <is>
          <t>ConflictRepair</t>
        </is>
      </c>
      <c r="G52" s="2" t="inlineStr">
        <is>
          <t>CommunicationHealth</t>
        </is>
      </c>
      <c r="H52" s="2" t="inlineStr">
        <is>
          <t>They start acting distant-less replies, colder tone, still polite. What's your first move?</t>
        </is>
      </c>
      <c r="I52" s="2" t="inlineStr">
        <is>
          <t>A</t>
        </is>
      </c>
      <c r="J52" s="2" t="inlineStr">
        <is>
          <t>A</t>
        </is>
      </c>
      <c r="K52" s="2" t="inlineStr">
        <is>
          <t>I give them space. If they want to talk, they will. If not, I take the hint.</t>
        </is>
      </c>
      <c r="L52" s="2" t="n">
        <v>7</v>
      </c>
      <c r="M52" s="2" t="n">
        <v>8</v>
      </c>
      <c r="N52" s="2" t="n">
        <v>4</v>
      </c>
      <c r="O52" s="2" t="n">
        <v>4</v>
      </c>
      <c r="P52" s="2" t="n">
        <v>0</v>
      </c>
      <c r="Q52" s="2" t="inlineStr">
        <is>
          <t>Icebox</t>
        </is>
      </c>
      <c r="R52" s="2" t="n">
        <v>1</v>
      </c>
      <c r="S52" s="2" t="n"/>
      <c r="T52" s="2" t="n"/>
      <c r="U52" s="2" t="n">
        <v>0</v>
      </c>
      <c r="V52" s="2" t="inlineStr">
        <is>
          <t>masc:1.8;fem:-1.6</t>
        </is>
      </c>
      <c r="W52" s="2" t="n">
        <v>1.8</v>
      </c>
      <c r="X52" s="2" t="n">
        <v>-1.6</v>
      </c>
      <c r="Y52" s="2" t="inlineStr">
        <is>
          <t>COMM_Avoidant</t>
        </is>
      </c>
      <c r="Z52" s="2" t="inlineStr">
        <is>
          <t>REG_Suppressor</t>
        </is>
      </c>
      <c r="AA52" s="2" t="inlineStr">
        <is>
          <t>LANG_Time</t>
        </is>
      </c>
      <c r="AB52" s="2" t="n"/>
      <c r="AC52" s="2" t="n"/>
      <c r="AD52" s="2" t="n"/>
      <c r="AE52" s="2" t="n">
        <v>0</v>
      </c>
      <c r="AF52" s="2" t="inlineStr">
        <is>
          <t>detached cool</t>
        </is>
      </c>
      <c r="AG52" s="2" t="inlineStr">
        <is>
          <t>patient withdrawer</t>
        </is>
      </c>
      <c r="AH52" s="2" t="n">
        <v>1.2</v>
      </c>
      <c r="AI52" s="2" t="inlineStr">
        <is>
          <t>no</t>
        </is>
      </c>
      <c r="AJ52" s="2" t="inlineStr">
        <is>
          <t>no</t>
        </is>
      </c>
      <c r="AK52" s="2" t="inlineStr">
        <is>
          <t>yes</t>
        </is>
      </c>
      <c r="AL52" s="2" t="inlineStr">
        <is>
          <t>yes</t>
        </is>
      </c>
      <c r="AM52" s="2" t="n"/>
      <c r="AN52" s="2" t="n"/>
      <c r="AO52" s="2" t="n"/>
      <c r="AP52" s="2" t="inlineStr">
        <is>
          <t>v3_2026-03-19</t>
        </is>
      </c>
      <c r="AQ52">
        <f>(L52-Schema_v5!$C2)/(Schema_v5!$C3-Schema_v5!$C2)</f>
        <v/>
      </c>
      <c r="AR52">
        <f>(M52-Schema_v5!$C4)/(Schema_v5!$C5-Schema_v5!$C4)</f>
        <v/>
      </c>
      <c r="AS52">
        <f>N52/Schema_v5!$C6</f>
        <v/>
      </c>
      <c r="AT52">
        <f>O52/Schema_v5!$C7</f>
        <v/>
      </c>
      <c r="AU52">
        <f>P52/Schema_v5!$C8</f>
        <v/>
      </c>
      <c r="AV52">
        <f>IF(Schema_v5!$C9=0,0,AH52/Schema_v5!$C9)</f>
        <v/>
      </c>
      <c r="AW52">
        <f>IF(Schema_v5!$C10=0,0,AE52/Schema_v5!$C10)</f>
        <v/>
      </c>
      <c r="AX52">
        <f>(W52-Schema_v5!$C11)/(Schema_v5!$C12-Schema_v5!$C11)</f>
        <v/>
      </c>
      <c r="AY52">
        <f>(X52-Schema_v5!$C13)/(Schema_v5!$C14-Schema_v5!$C13)</f>
        <v/>
      </c>
      <c r="AZ52">
        <f>MIN(1,MAX(0,U52/Schema_v7!$C$9))</f>
        <v/>
      </c>
      <c r="BA52">
        <f>IF(AJ52="yes",0.55,0)</f>
        <v/>
      </c>
      <c r="BB52">
        <f>IF(AI52="yes",0.10,0)</f>
        <v/>
      </c>
      <c r="BC52">
        <f>IF(Y52="COMM_Direct",0.92,IF(Y52="COMM_Emotional",0.70,IF(Y52="COMM_Logical",0.65,IF(Y52="COMM_Indirect",0.55,0.35))))</f>
        <v/>
      </c>
      <c r="BD52">
        <f>IF(Z52="REG_CoRegulator",0.92,IF(Z52="REG_SelfSoother",0.76,IF(Z52="REG_Distractor",0.48,0.35)))</f>
        <v/>
      </c>
      <c r="BE52">
        <f>IF(AA52="LANG_Time",0.76,IF(AA52="LANG_Service",0.70,IF(AA52="LANG_Words",0.72,IF(AA52="LANG_Touch",0.68,0.60))))</f>
        <v/>
      </c>
      <c r="BF52">
        <f>MAX(0,MIN(1,0.28*AS52+0.16*AT52+0.18*BC52+0.18*BD52+0.10*(1-AZ52)+0.10*(1-BA52)+BB52))</f>
        <v/>
      </c>
      <c r="BG52">
        <f>MAX(0,MIN(1,0.24*AU52+0.18*AS52+0.18*BC52+0.20*BD52+0.10*(1-AW52)+0.10*(1-BA52)))</f>
        <v/>
      </c>
      <c r="BH52">
        <f>MAX(0,MIN(1,0.28*AR52+0.18*AT52+0.16*AU52+0.18*(1-AV52)+0.10*(1-AW52)+0.10*BF52))</f>
        <v/>
      </c>
      <c r="BI52">
        <f>MAX(0,MIN(1,0.30*AV52+0.20*AZ52+0.20*AW52+0.15*(1-BH52)+0.15*(1-BO52)))</f>
        <v/>
      </c>
      <c r="BJ52">
        <f>MAX(0,1-(ABS(((( AX52+AY52)/2)-0.55)*1.6)))</f>
        <v/>
      </c>
      <c r="BK52">
        <f>MAX(0,MIN(1,0.28*AR52+0.18*AT52+0.16*BJ52+0.14*(1-AV52)+0.12*BQ52+0.12*BO52))</f>
        <v/>
      </c>
      <c r="BL52">
        <f>MAX(0,MIN(1,0.22*AQ52+0.18*AS52+0.18*BC52+0.18*BD52+0.08*BE52+0.10*BF52+0.06*BO52))</f>
        <v/>
      </c>
      <c r="BM52">
        <f>MAX(0,MIN(1,0.20*(1-AZ52)+0.16*(1-BA52)+0.14*(1-AW52)+0.14*AU52+0.18*BG52+0.10*BH52+0.08*BP52))</f>
        <v/>
      </c>
      <c r="BN52">
        <f>MAX(0,MIN(1,0.42*BJ52+0.33*BK52+0.15*AT52+0.10*BQ52))</f>
        <v/>
      </c>
      <c r="BO52">
        <f>MAX(0,MIN(1,0.30*BC52+0.24*BD52+0.18*AS52+0.14*(1-BI52)+0.14*AT52))</f>
        <v/>
      </c>
      <c r="BP52">
        <f>MAX(0,MIN(1,0.26*AS52+0.20*(1-BA52)+0.16*(1-AW52)+0.18*BG52+0.10*AU52+0.10+BB52))</f>
        <v/>
      </c>
      <c r="BQ52">
        <f>MAX(0,MIN(1,0.24*AT52+0.18*BF52+0.14*AR52+0.14*BO52+0.14*(1-AV52)+0.16*(1-AZ52)))</f>
        <v/>
      </c>
      <c r="BR52">
        <f>IF(BO52&gt;=0.80,"Open",IF(BO52&gt;=0.62,"Measured",IF(BO52&gt;=0.45,"Selective","Guarded")))</f>
        <v/>
      </c>
      <c r="BS52">
        <f>IF(Y52="COMM_Direct","Direct",IF(Y52="COMM_Emotional","Emotional",IF(Y52="COMM_Logical","Logical",IF(Y52="COMM_Indirect","Indirect","Avoidant"))))</f>
        <v/>
      </c>
      <c r="BT52">
        <f>IF(BG52&gt;=0.78,"Co-repair",IF(BG52&gt;=0.58,"Re-engage",IF(BG52&gt;=0.40,"Delay","Suppress")))</f>
        <v/>
      </c>
      <c r="BU52">
        <f>IF(BI52&gt;=0.70,"Retreat-risk",IF(BH52&lt;=0.40,"Rush-risk",IF(BH52&gt;=0.65,"Slow-build","Mixed")))</f>
        <v/>
      </c>
      <c r="BV52">
        <f>IF(BL52-BM52&gt;=0.15,"Stimulation-seeking",IF(BM52-BL52&gt;=0.15,"Calm-seeking","Mixed")))</f>
        <v/>
      </c>
      <c r="BW52">
        <f>IF(AND(BL52&gt;=0.72,BM52&lt;0.48),"High",IF(AND(BL52&gt;=0.60,BM52&lt;0.58),"Medium","Low"))</f>
        <v/>
      </c>
    </row>
    <row r="53" ht="94.5" customHeight="1" s="10">
      <c r="A53" s="2" t="inlineStr">
        <is>
          <t>Q11_B</t>
        </is>
      </c>
      <c r="B53" s="2" t="n">
        <v>11</v>
      </c>
      <c r="C53" s="2" t="n">
        <v>11</v>
      </c>
      <c r="D53" s="2" t="inlineStr">
        <is>
          <t>Core</t>
        </is>
      </c>
      <c r="E53" s="2" t="n">
        <v>1.05</v>
      </c>
      <c r="F53" s="2" t="inlineStr">
        <is>
          <t>ConflictRepair</t>
        </is>
      </c>
      <c r="G53" s="2" t="inlineStr">
        <is>
          <t>CommunicationHealth</t>
        </is>
      </c>
      <c r="H53" s="2" t="n"/>
      <c r="I53" s="2" t="inlineStr">
        <is>
          <t>B</t>
        </is>
      </c>
      <c r="J53" s="2" t="inlineStr">
        <is>
          <t>B</t>
        </is>
      </c>
      <c r="K53" s="2" t="inlineStr">
        <is>
          <t>I reread every text. Then I spiral into what I should've said differently.</t>
        </is>
      </c>
      <c r="L53" s="2" t="n">
        <v>4</v>
      </c>
      <c r="M53" s="2" t="n">
        <v>5</v>
      </c>
      <c r="N53" s="2" t="n">
        <v>2</v>
      </c>
      <c r="O53" s="2" t="n">
        <v>2</v>
      </c>
      <c r="P53" s="2" t="n">
        <v>2</v>
      </c>
      <c r="Q53" s="2" t="inlineStr">
        <is>
          <t>Analyzer</t>
        </is>
      </c>
      <c r="R53" s="2" t="n">
        <v>2</v>
      </c>
      <c r="S53" s="2" t="n"/>
      <c r="T53" s="2" t="n"/>
      <c r="U53" s="2" t="n">
        <v>0</v>
      </c>
      <c r="V53" s="2" t="inlineStr">
        <is>
          <t>masc:1.4;fem:0.1</t>
        </is>
      </c>
      <c r="W53" s="2" t="n">
        <v>1.4</v>
      </c>
      <c r="X53" s="2" t="n">
        <v>0.1</v>
      </c>
      <c r="Y53" s="2" t="inlineStr">
        <is>
          <t>COMM_Logical</t>
        </is>
      </c>
      <c r="Z53" s="2" t="inlineStr">
        <is>
          <t>REG_SelfSoother</t>
        </is>
      </c>
      <c r="AA53" s="2" t="inlineStr">
        <is>
          <t>LANG_Service</t>
        </is>
      </c>
      <c r="AB53" s="2" t="inlineStr">
        <is>
          <t>Trust_Tension</t>
        </is>
      </c>
      <c r="AC53" s="2" t="inlineStr">
        <is>
          <t>Trust_Tension</t>
        </is>
      </c>
      <c r="AD53" s="2" t="n"/>
      <c r="AE53" s="2" t="n">
        <v>6</v>
      </c>
      <c r="AF53" s="2" t="inlineStr">
        <is>
          <t>ruminating replayer</t>
        </is>
      </c>
      <c r="AG53" s="2" t="inlineStr">
        <is>
          <t>overanalyzer</t>
        </is>
      </c>
      <c r="AH53" s="2" t="n">
        <v>0</v>
      </c>
      <c r="AI53" s="2" t="inlineStr">
        <is>
          <t>yes</t>
        </is>
      </c>
      <c r="AJ53" s="2" t="inlineStr">
        <is>
          <t>no</t>
        </is>
      </c>
      <c r="AK53" s="2" t="inlineStr">
        <is>
          <t>yes</t>
        </is>
      </c>
      <c r="AL53" s="2" t="inlineStr">
        <is>
          <t>yes</t>
        </is>
      </c>
      <c r="AM53" s="2" t="n"/>
      <c r="AN53" s="2" t="n"/>
      <c r="AO53" s="2" t="n"/>
      <c r="AP53" s="2" t="inlineStr">
        <is>
          <t>v3_2026-03-19</t>
        </is>
      </c>
      <c r="AQ53">
        <f>(L53-Schema_v5!$C2)/(Schema_v5!$C3-Schema_v5!$C2)</f>
        <v/>
      </c>
      <c r="AR53">
        <f>(M53-Schema_v5!$C4)/(Schema_v5!$C5-Schema_v5!$C4)</f>
        <v/>
      </c>
      <c r="AS53">
        <f>N53/Schema_v5!$C6</f>
        <v/>
      </c>
      <c r="AT53">
        <f>O53/Schema_v5!$C7</f>
        <v/>
      </c>
      <c r="AU53">
        <f>P53/Schema_v5!$C8</f>
        <v/>
      </c>
      <c r="AV53">
        <f>IF(Schema_v5!$C9=0,0,AH53/Schema_v5!$C9)</f>
        <v/>
      </c>
      <c r="AW53">
        <f>IF(Schema_v5!$C10=0,0,AE53/Schema_v5!$C10)</f>
        <v/>
      </c>
      <c r="AX53">
        <f>(W53-Schema_v5!$C11)/(Schema_v5!$C12-Schema_v5!$C11)</f>
        <v/>
      </c>
      <c r="AY53">
        <f>(X53-Schema_v5!$C13)/(Schema_v5!$C14-Schema_v5!$C13)</f>
        <v/>
      </c>
      <c r="AZ53">
        <f>MIN(1,MAX(0,U53/Schema_v7!$C$9))</f>
        <v/>
      </c>
      <c r="BA53">
        <f>IF(AJ53="yes",0.55,0)</f>
        <v/>
      </c>
      <c r="BB53">
        <f>IF(AI53="yes",0.10,0)</f>
        <v/>
      </c>
      <c r="BC53">
        <f>IF(Y53="COMM_Direct",0.92,IF(Y53="COMM_Emotional",0.70,IF(Y53="COMM_Logical",0.65,IF(Y53="COMM_Indirect",0.55,0.35))))</f>
        <v/>
      </c>
      <c r="BD53">
        <f>IF(Z53="REG_CoRegulator",0.92,IF(Z53="REG_SelfSoother",0.76,IF(Z53="REG_Distractor",0.48,0.35)))</f>
        <v/>
      </c>
      <c r="BE53">
        <f>IF(AA53="LANG_Time",0.76,IF(AA53="LANG_Service",0.70,IF(AA53="LANG_Words",0.72,IF(AA53="LANG_Touch",0.68,0.60))))</f>
        <v/>
      </c>
      <c r="BF53">
        <f>MAX(0,MIN(1,0.28*AS53+0.16*AT53+0.18*BC53+0.18*BD53+0.10*(1-AZ53)+0.10*(1-BA53)+BB53))</f>
        <v/>
      </c>
      <c r="BG53">
        <f>MAX(0,MIN(1,0.24*AU53+0.18*AS53+0.18*BC53+0.20*BD53+0.10*(1-AW53)+0.10*(1-BA53)))</f>
        <v/>
      </c>
      <c r="BH53">
        <f>MAX(0,MIN(1,0.28*AR53+0.18*AT53+0.16*AU53+0.18*(1-AV53)+0.10*(1-AW53)+0.10*BF53))</f>
        <v/>
      </c>
      <c r="BI53">
        <f>MAX(0,MIN(1,0.30*AV53+0.20*AZ53+0.20*AW53+0.15*(1-BH53)+0.15*(1-BO53)))</f>
        <v/>
      </c>
      <c r="BJ53">
        <f>MAX(0,1-(ABS(((( AX53+AY53)/2)-0.55)*1.6)))</f>
        <v/>
      </c>
      <c r="BK53">
        <f>MAX(0,MIN(1,0.28*AR53+0.18*AT53+0.16*BJ53+0.14*(1-AV53)+0.12*BQ53+0.12*BO53))</f>
        <v/>
      </c>
      <c r="BL53">
        <f>MAX(0,MIN(1,0.22*AQ53+0.18*AS53+0.18*BC53+0.18*BD53+0.08*BE53+0.10*BF53+0.06*BO53))</f>
        <v/>
      </c>
      <c r="BM53">
        <f>MAX(0,MIN(1,0.20*(1-AZ53)+0.16*(1-BA53)+0.14*(1-AW53)+0.14*AU53+0.18*BG53+0.10*BH53+0.08*BP53))</f>
        <v/>
      </c>
      <c r="BN53">
        <f>MAX(0,MIN(1,0.42*BJ53+0.33*BK53+0.15*AT53+0.10*BQ53))</f>
        <v/>
      </c>
      <c r="BO53">
        <f>MAX(0,MIN(1,0.30*BC53+0.24*BD53+0.18*AS53+0.14*(1-BI53)+0.14*AT53))</f>
        <v/>
      </c>
      <c r="BP53">
        <f>MAX(0,MIN(1,0.26*AS53+0.20*(1-BA53)+0.16*(1-AW53)+0.18*BG53+0.10*AU53+0.10+BB53))</f>
        <v/>
      </c>
      <c r="BQ53">
        <f>MAX(0,MIN(1,0.24*AT53+0.18*BF53+0.14*AR53+0.14*BO53+0.14*(1-AV53)+0.16*(1-AZ53)))</f>
        <v/>
      </c>
      <c r="BR53">
        <f>IF(BO53&gt;=0.80,"Open",IF(BO53&gt;=0.62,"Measured",IF(BO53&gt;=0.45,"Selective","Guarded")))</f>
        <v/>
      </c>
      <c r="BS53">
        <f>IF(Y53="COMM_Direct","Direct",IF(Y53="COMM_Emotional","Emotional",IF(Y53="COMM_Logical","Logical",IF(Y53="COMM_Indirect","Indirect","Avoidant"))))</f>
        <v/>
      </c>
      <c r="BT53">
        <f>IF(BG53&gt;=0.78,"Co-repair",IF(BG53&gt;=0.58,"Re-engage",IF(BG53&gt;=0.40,"Delay","Suppress")))</f>
        <v/>
      </c>
      <c r="BU53">
        <f>IF(BI53&gt;=0.70,"Retreat-risk",IF(BH53&lt;=0.40,"Rush-risk",IF(BH53&gt;=0.65,"Slow-build","Mixed")))</f>
        <v/>
      </c>
      <c r="BV53">
        <f>IF(BL53-BM53&gt;=0.15,"Stimulation-seeking",IF(BM53-BL53&gt;=0.15,"Calm-seeking","Mixed")))</f>
        <v/>
      </c>
      <c r="BW53">
        <f>IF(AND(BL53&gt;=0.72,BM53&lt;0.48),"High",IF(AND(BL53&gt;=0.60,BM53&lt;0.58),"Medium","Low"))</f>
        <v/>
      </c>
    </row>
    <row r="54" ht="81" customHeight="1" s="10">
      <c r="A54" s="2" t="inlineStr">
        <is>
          <t>Q11_C</t>
        </is>
      </c>
      <c r="B54" s="2" t="n">
        <v>11</v>
      </c>
      <c r="C54" s="2" t="n">
        <v>11</v>
      </c>
      <c r="D54" s="2" t="inlineStr">
        <is>
          <t>Core</t>
        </is>
      </c>
      <c r="E54" s="2" t="n">
        <v>1.05</v>
      </c>
      <c r="F54" s="2" t="inlineStr">
        <is>
          <t>ConflictRepair</t>
        </is>
      </c>
      <c r="G54" s="2" t="inlineStr">
        <is>
          <t>CommunicationHealth</t>
        </is>
      </c>
      <c r="H54" s="2" t="n"/>
      <c r="I54" s="2" t="inlineStr">
        <is>
          <t>C</t>
        </is>
      </c>
      <c r="J54" s="2" t="inlineStr">
        <is>
          <t>C</t>
        </is>
      </c>
      <c r="K54" s="2" t="inlineStr">
        <is>
          <t>I mirror their shift. If they're pulling back, so am I, no explanations.</t>
        </is>
      </c>
      <c r="L54" s="2" t="n">
        <v>6</v>
      </c>
      <c r="M54" s="2" t="n">
        <v>7</v>
      </c>
      <c r="N54" s="2" t="n">
        <v>2</v>
      </c>
      <c r="O54" s="2" t="n">
        <v>2</v>
      </c>
      <c r="P54" s="2" t="n">
        <v>0</v>
      </c>
      <c r="Q54" s="2" t="inlineStr">
        <is>
          <t>Quiet Exit</t>
        </is>
      </c>
      <c r="R54" s="2" t="n">
        <v>4</v>
      </c>
      <c r="S54" s="2" t="n"/>
      <c r="T54" s="2" t="n"/>
      <c r="U54" s="2" t="n">
        <v>0</v>
      </c>
      <c r="V54" s="2" t="inlineStr">
        <is>
          <t>masc:1.4;fem:-1.3</t>
        </is>
      </c>
      <c r="W54" s="2" t="n">
        <v>1.4</v>
      </c>
      <c r="X54" s="2" t="n">
        <v>-1.3</v>
      </c>
      <c r="Y54" s="2" t="inlineStr">
        <is>
          <t>COMM_Avoidant</t>
        </is>
      </c>
      <c r="Z54" s="2" t="inlineStr">
        <is>
          <t>REG_Suppressor</t>
        </is>
      </c>
      <c r="AA54" s="2" t="inlineStr">
        <is>
          <t>LANG_Time</t>
        </is>
      </c>
      <c r="AB54" s="2" t="inlineStr">
        <is>
          <t>Pursuer_Distancer</t>
        </is>
      </c>
      <c r="AC54" s="2" t="inlineStr">
        <is>
          <t>Pursuer_Distancer</t>
        </is>
      </c>
      <c r="AD54" s="2" t="n"/>
      <c r="AE54" s="2" t="n">
        <v>6</v>
      </c>
      <c r="AF54" s="2" t="inlineStr">
        <is>
          <t>soft echo</t>
        </is>
      </c>
      <c r="AG54" s="2" t="inlineStr">
        <is>
          <t>mirrored withdrawal</t>
        </is>
      </c>
      <c r="AH54" s="2" t="n">
        <v>0.6</v>
      </c>
      <c r="AI54" s="2" t="inlineStr">
        <is>
          <t>yes</t>
        </is>
      </c>
      <c r="AJ54" s="2" t="inlineStr">
        <is>
          <t>no</t>
        </is>
      </c>
      <c r="AK54" s="2" t="inlineStr">
        <is>
          <t>yes</t>
        </is>
      </c>
      <c r="AL54" s="2" t="inlineStr">
        <is>
          <t>yes</t>
        </is>
      </c>
      <c r="AM54" s="2" t="n"/>
      <c r="AN54" s="2" t="n"/>
      <c r="AO54" s="2" t="n"/>
      <c r="AP54" s="2" t="inlineStr">
        <is>
          <t>v3_2026-03-19</t>
        </is>
      </c>
      <c r="AQ54">
        <f>(L54-Schema_v5!$C2)/(Schema_v5!$C3-Schema_v5!$C2)</f>
        <v/>
      </c>
      <c r="AR54">
        <f>(M54-Schema_v5!$C4)/(Schema_v5!$C5-Schema_v5!$C4)</f>
        <v/>
      </c>
      <c r="AS54">
        <f>N54/Schema_v5!$C6</f>
        <v/>
      </c>
      <c r="AT54">
        <f>O54/Schema_v5!$C7</f>
        <v/>
      </c>
      <c r="AU54">
        <f>P54/Schema_v5!$C8</f>
        <v/>
      </c>
      <c r="AV54">
        <f>IF(Schema_v5!$C9=0,0,AH54/Schema_v5!$C9)</f>
        <v/>
      </c>
      <c r="AW54">
        <f>IF(Schema_v5!$C10=0,0,AE54/Schema_v5!$C10)</f>
        <v/>
      </c>
      <c r="AX54">
        <f>(W54-Schema_v5!$C11)/(Schema_v5!$C12-Schema_v5!$C11)</f>
        <v/>
      </c>
      <c r="AY54">
        <f>(X54-Schema_v5!$C13)/(Schema_v5!$C14-Schema_v5!$C13)</f>
        <v/>
      </c>
      <c r="AZ54">
        <f>MIN(1,MAX(0,U54/Schema_v7!$C$9))</f>
        <v/>
      </c>
      <c r="BA54">
        <f>IF(AJ54="yes",0.55,0)</f>
        <v/>
      </c>
      <c r="BB54">
        <f>IF(AI54="yes",0.10,0)</f>
        <v/>
      </c>
      <c r="BC54">
        <f>IF(Y54="COMM_Direct",0.92,IF(Y54="COMM_Emotional",0.70,IF(Y54="COMM_Logical",0.65,IF(Y54="COMM_Indirect",0.55,0.35))))</f>
        <v/>
      </c>
      <c r="BD54">
        <f>IF(Z54="REG_CoRegulator",0.92,IF(Z54="REG_SelfSoother",0.76,IF(Z54="REG_Distractor",0.48,0.35)))</f>
        <v/>
      </c>
      <c r="BE54">
        <f>IF(AA54="LANG_Time",0.76,IF(AA54="LANG_Service",0.70,IF(AA54="LANG_Words",0.72,IF(AA54="LANG_Touch",0.68,0.60))))</f>
        <v/>
      </c>
      <c r="BF54">
        <f>MAX(0,MIN(1,0.28*AS54+0.16*AT54+0.18*BC54+0.18*BD54+0.10*(1-AZ54)+0.10*(1-BA54)+BB54))</f>
        <v/>
      </c>
      <c r="BG54">
        <f>MAX(0,MIN(1,0.24*AU54+0.18*AS54+0.18*BC54+0.20*BD54+0.10*(1-AW54)+0.10*(1-BA54)))</f>
        <v/>
      </c>
      <c r="BH54">
        <f>MAX(0,MIN(1,0.28*AR54+0.18*AT54+0.16*AU54+0.18*(1-AV54)+0.10*(1-AW54)+0.10*BF54))</f>
        <v/>
      </c>
      <c r="BI54">
        <f>MAX(0,MIN(1,0.30*AV54+0.20*AZ54+0.20*AW54+0.15*(1-BH54)+0.15*(1-BO54)))</f>
        <v/>
      </c>
      <c r="BJ54">
        <f>MAX(0,1-(ABS(((( AX54+AY54)/2)-0.55)*1.6)))</f>
        <v/>
      </c>
      <c r="BK54">
        <f>MAX(0,MIN(1,0.28*AR54+0.18*AT54+0.16*BJ54+0.14*(1-AV54)+0.12*BQ54+0.12*BO54))</f>
        <v/>
      </c>
      <c r="BL54">
        <f>MAX(0,MIN(1,0.22*AQ54+0.18*AS54+0.18*BC54+0.18*BD54+0.08*BE54+0.10*BF54+0.06*BO54))</f>
        <v/>
      </c>
      <c r="BM54">
        <f>MAX(0,MIN(1,0.20*(1-AZ54)+0.16*(1-BA54)+0.14*(1-AW54)+0.14*AU54+0.18*BG54+0.10*BH54+0.08*BP54))</f>
        <v/>
      </c>
      <c r="BN54">
        <f>MAX(0,MIN(1,0.42*BJ54+0.33*BK54+0.15*AT54+0.10*BQ54))</f>
        <v/>
      </c>
      <c r="BO54">
        <f>MAX(0,MIN(1,0.30*BC54+0.24*BD54+0.18*AS54+0.14*(1-BI54)+0.14*AT54))</f>
        <v/>
      </c>
      <c r="BP54">
        <f>MAX(0,MIN(1,0.26*AS54+0.20*(1-BA54)+0.16*(1-AW54)+0.18*BG54+0.10*AU54+0.10+BB54))</f>
        <v/>
      </c>
      <c r="BQ54">
        <f>MAX(0,MIN(1,0.24*AT54+0.18*BF54+0.14*AR54+0.14*BO54+0.14*(1-AV54)+0.16*(1-AZ54)))</f>
        <v/>
      </c>
      <c r="BR54">
        <f>IF(BO54&gt;=0.80,"Open",IF(BO54&gt;=0.62,"Measured",IF(BO54&gt;=0.45,"Selective","Guarded")))</f>
        <v/>
      </c>
      <c r="BS54">
        <f>IF(Y54="COMM_Direct","Direct",IF(Y54="COMM_Emotional","Emotional",IF(Y54="COMM_Logical","Logical",IF(Y54="COMM_Indirect","Indirect","Avoidant"))))</f>
        <v/>
      </c>
      <c r="BT54">
        <f>IF(BG54&gt;=0.78,"Co-repair",IF(BG54&gt;=0.58,"Re-engage",IF(BG54&gt;=0.40,"Delay","Suppress")))</f>
        <v/>
      </c>
      <c r="BU54">
        <f>IF(BI54&gt;=0.70,"Retreat-risk",IF(BH54&lt;=0.40,"Rush-risk",IF(BH54&gt;=0.65,"Slow-build","Mixed")))</f>
        <v/>
      </c>
      <c r="BV54">
        <f>IF(BL54-BM54&gt;=0.15,"Stimulation-seeking",IF(BM54-BL54&gt;=0.15,"Calm-seeking","Mixed")))</f>
        <v/>
      </c>
      <c r="BW54">
        <f>IF(AND(BL54&gt;=0.72,BM54&lt;0.48),"High",IF(AND(BL54&gt;=0.60,BM54&lt;0.58),"Medium","Low"))</f>
        <v/>
      </c>
    </row>
    <row r="55" ht="94.5" customHeight="1" s="10">
      <c r="A55" s="2" t="inlineStr">
        <is>
          <t>Q11_D</t>
        </is>
      </c>
      <c r="B55" s="2" t="n">
        <v>11</v>
      </c>
      <c r="C55" s="2" t="n">
        <v>11</v>
      </c>
      <c r="D55" s="2" t="inlineStr">
        <is>
          <t>Core</t>
        </is>
      </c>
      <c r="E55" s="2" t="n">
        <v>1.05</v>
      </c>
      <c r="F55" s="2" t="inlineStr">
        <is>
          <t>ConflictRepair</t>
        </is>
      </c>
      <c r="G55" s="2" t="inlineStr">
        <is>
          <t>CommunicationHealth</t>
        </is>
      </c>
      <c r="H55" s="2" t="n"/>
      <c r="I55" s="2" t="inlineStr">
        <is>
          <t>D</t>
        </is>
      </c>
      <c r="J55" s="2" t="inlineStr">
        <is>
          <t>D</t>
        </is>
      </c>
      <c r="K55" s="2" t="inlineStr">
        <is>
          <t>I try to re-engage them. Make them laugh. Be light. I don't want to feel the shift.</t>
        </is>
      </c>
      <c r="L55" s="2" t="n">
        <v>6</v>
      </c>
      <c r="M55" s="2" t="n">
        <v>7</v>
      </c>
      <c r="N55" s="2" t="n">
        <v>4</v>
      </c>
      <c r="O55" s="2" t="n">
        <v>4</v>
      </c>
      <c r="P55" s="2" t="n">
        <v>2</v>
      </c>
      <c r="Q55" s="2" t="inlineStr">
        <is>
          <t>Performer</t>
        </is>
      </c>
      <c r="R55" s="2" t="n">
        <v>7</v>
      </c>
      <c r="S55" s="2" t="n"/>
      <c r="T55" s="2" t="n"/>
      <c r="U55" s="2" t="n">
        <v>0</v>
      </c>
      <c r="V55" s="2" t="inlineStr">
        <is>
          <t>masc:0.3;fem:0.5</t>
        </is>
      </c>
      <c r="W55" s="2" t="n">
        <v>0.3</v>
      </c>
      <c r="X55" s="2" t="n">
        <v>0.5</v>
      </c>
      <c r="Y55" s="2" t="inlineStr">
        <is>
          <t>COMM_Indirect</t>
        </is>
      </c>
      <c r="Z55" s="2" t="inlineStr">
        <is>
          <t>REG_Distractor</t>
        </is>
      </c>
      <c r="AA55" s="2" t="inlineStr">
        <is>
          <t>LANG_Gifts</t>
        </is>
      </c>
      <c r="AB55" s="2" t="inlineStr">
        <is>
          <t>Vulnerability_Loop</t>
        </is>
      </c>
      <c r="AC55" s="2" t="inlineStr">
        <is>
          <t>Vulnerability_Loop</t>
        </is>
      </c>
      <c r="AD55" s="2" t="n"/>
      <c r="AE55" s="2" t="n">
        <v>5</v>
      </c>
      <c r="AF55" s="2" t="inlineStr">
        <is>
          <t>mood manager</t>
        </is>
      </c>
      <c r="AG55" s="2" t="inlineStr">
        <is>
          <t>tension diffuser</t>
        </is>
      </c>
      <c r="AH55" s="2" t="n">
        <v>0</v>
      </c>
      <c r="AI55" s="2" t="inlineStr">
        <is>
          <t>yes</t>
        </is>
      </c>
      <c r="AJ55" s="2" t="inlineStr">
        <is>
          <t>no</t>
        </is>
      </c>
      <c r="AK55" s="2" t="inlineStr">
        <is>
          <t>yes</t>
        </is>
      </c>
      <c r="AL55" s="2" t="inlineStr">
        <is>
          <t>yes</t>
        </is>
      </c>
      <c r="AM55" s="2" t="n"/>
      <c r="AN55" s="2" t="n"/>
      <c r="AO55" s="2" t="n"/>
      <c r="AP55" s="2" t="inlineStr">
        <is>
          <t>v3_2026-03-19</t>
        </is>
      </c>
      <c r="AQ55">
        <f>(L55-Schema_v5!$C2)/(Schema_v5!$C3-Schema_v5!$C2)</f>
        <v/>
      </c>
      <c r="AR55">
        <f>(M55-Schema_v5!$C4)/(Schema_v5!$C5-Schema_v5!$C4)</f>
        <v/>
      </c>
      <c r="AS55">
        <f>N55/Schema_v5!$C6</f>
        <v/>
      </c>
      <c r="AT55">
        <f>O55/Schema_v5!$C7</f>
        <v/>
      </c>
      <c r="AU55">
        <f>P55/Schema_v5!$C8</f>
        <v/>
      </c>
      <c r="AV55">
        <f>IF(Schema_v5!$C9=0,0,AH55/Schema_v5!$C9)</f>
        <v/>
      </c>
      <c r="AW55">
        <f>IF(Schema_v5!$C10=0,0,AE55/Schema_v5!$C10)</f>
        <v/>
      </c>
      <c r="AX55">
        <f>(W55-Schema_v5!$C11)/(Schema_v5!$C12-Schema_v5!$C11)</f>
        <v/>
      </c>
      <c r="AY55">
        <f>(X55-Schema_v5!$C13)/(Schema_v5!$C14-Schema_v5!$C13)</f>
        <v/>
      </c>
      <c r="AZ55">
        <f>MIN(1,MAX(0,U55/Schema_v7!$C$9))</f>
        <v/>
      </c>
      <c r="BA55">
        <f>IF(AJ55="yes",0.55,0)</f>
        <v/>
      </c>
      <c r="BB55">
        <f>IF(AI55="yes",0.10,0)</f>
        <v/>
      </c>
      <c r="BC55">
        <f>IF(Y55="COMM_Direct",0.92,IF(Y55="COMM_Emotional",0.70,IF(Y55="COMM_Logical",0.65,IF(Y55="COMM_Indirect",0.55,0.35))))</f>
        <v/>
      </c>
      <c r="BD55">
        <f>IF(Z55="REG_CoRegulator",0.92,IF(Z55="REG_SelfSoother",0.76,IF(Z55="REG_Distractor",0.48,0.35)))</f>
        <v/>
      </c>
      <c r="BE55">
        <f>IF(AA55="LANG_Time",0.76,IF(AA55="LANG_Service",0.70,IF(AA55="LANG_Words",0.72,IF(AA55="LANG_Touch",0.68,0.60))))</f>
        <v/>
      </c>
      <c r="BF55">
        <f>MAX(0,MIN(1,0.28*AS55+0.16*AT55+0.18*BC55+0.18*BD55+0.10*(1-AZ55)+0.10*(1-BA55)+BB55))</f>
        <v/>
      </c>
      <c r="BG55">
        <f>MAX(0,MIN(1,0.24*AU55+0.18*AS55+0.18*BC55+0.20*BD55+0.10*(1-AW55)+0.10*(1-BA55)))</f>
        <v/>
      </c>
      <c r="BH55">
        <f>MAX(0,MIN(1,0.28*AR55+0.18*AT55+0.16*AU55+0.18*(1-AV55)+0.10*(1-AW55)+0.10*BF55))</f>
        <v/>
      </c>
      <c r="BI55">
        <f>MAX(0,MIN(1,0.30*AV55+0.20*AZ55+0.20*AW55+0.15*(1-BH55)+0.15*(1-BO55)))</f>
        <v/>
      </c>
      <c r="BJ55">
        <f>MAX(0,1-(ABS(((( AX55+AY55)/2)-0.55)*1.6)))</f>
        <v/>
      </c>
      <c r="BK55">
        <f>MAX(0,MIN(1,0.28*AR55+0.18*AT55+0.16*BJ55+0.14*(1-AV55)+0.12*BQ55+0.12*BO55))</f>
        <v/>
      </c>
      <c r="BL55">
        <f>MAX(0,MIN(1,0.22*AQ55+0.18*AS55+0.18*BC55+0.18*BD55+0.08*BE55+0.10*BF55+0.06*BO55))</f>
        <v/>
      </c>
      <c r="BM55">
        <f>MAX(0,MIN(1,0.20*(1-AZ55)+0.16*(1-BA55)+0.14*(1-AW55)+0.14*AU55+0.18*BG55+0.10*BH55+0.08*BP55))</f>
        <v/>
      </c>
      <c r="BN55">
        <f>MAX(0,MIN(1,0.42*BJ55+0.33*BK55+0.15*AT55+0.10*BQ55))</f>
        <v/>
      </c>
      <c r="BO55">
        <f>MAX(0,MIN(1,0.30*BC55+0.24*BD55+0.18*AS55+0.14*(1-BI55)+0.14*AT55))</f>
        <v/>
      </c>
      <c r="BP55">
        <f>MAX(0,MIN(1,0.26*AS55+0.20*(1-BA55)+0.16*(1-AW55)+0.18*BG55+0.10*AU55+0.10+BB55))</f>
        <v/>
      </c>
      <c r="BQ55">
        <f>MAX(0,MIN(1,0.24*AT55+0.18*BF55+0.14*AR55+0.14*BO55+0.14*(1-AV55)+0.16*(1-AZ55)))</f>
        <v/>
      </c>
      <c r="BR55">
        <f>IF(BO55&gt;=0.80,"Open",IF(BO55&gt;=0.62,"Measured",IF(BO55&gt;=0.45,"Selective","Guarded")))</f>
        <v/>
      </c>
      <c r="BS55">
        <f>IF(Y55="COMM_Direct","Direct",IF(Y55="COMM_Emotional","Emotional",IF(Y55="COMM_Logical","Logical",IF(Y55="COMM_Indirect","Indirect","Avoidant"))))</f>
        <v/>
      </c>
      <c r="BT55">
        <f>IF(BG55&gt;=0.78,"Co-repair",IF(BG55&gt;=0.58,"Re-engage",IF(BG55&gt;=0.40,"Delay","Suppress")))</f>
        <v/>
      </c>
      <c r="BU55">
        <f>IF(BI55&gt;=0.70,"Retreat-risk",IF(BH55&lt;=0.40,"Rush-risk",IF(BH55&gt;=0.65,"Slow-build","Mixed")))</f>
        <v/>
      </c>
      <c r="BV55">
        <f>IF(BL55-BM55&gt;=0.15,"Stimulation-seeking",IF(BM55-BL55&gt;=0.15,"Calm-seeking","Mixed")))</f>
        <v/>
      </c>
      <c r="BW55">
        <f>IF(AND(BL55&gt;=0.72,BM55&lt;0.48),"High",IF(AND(BL55&gt;=0.60,BM55&lt;0.58),"Medium","Low"))</f>
        <v/>
      </c>
    </row>
    <row r="56" ht="81" customHeight="1" s="10">
      <c r="A56" s="2" t="inlineStr">
        <is>
          <t>Q11_E</t>
        </is>
      </c>
      <c r="B56" s="2" t="n">
        <v>11</v>
      </c>
      <c r="C56" s="2" t="n">
        <v>11</v>
      </c>
      <c r="D56" s="2" t="inlineStr">
        <is>
          <t>Core</t>
        </is>
      </c>
      <c r="E56" s="2" t="n">
        <v>1.05</v>
      </c>
      <c r="F56" s="2" t="inlineStr">
        <is>
          <t>ConflictRepair</t>
        </is>
      </c>
      <c r="G56" s="2" t="inlineStr">
        <is>
          <t>CommunicationHealth</t>
        </is>
      </c>
      <c r="H56" s="2" t="n"/>
      <c r="I56" s="2" t="inlineStr">
        <is>
          <t>E</t>
        </is>
      </c>
      <c r="J56" s="2" t="inlineStr">
        <is>
          <t>E</t>
        </is>
      </c>
      <c r="K56" s="2" t="inlineStr">
        <is>
          <t>I sit with it, hoping they'll come back on their own. I don't press. I just wait.</t>
        </is>
      </c>
      <c r="L56" s="2" t="n">
        <v>7</v>
      </c>
      <c r="M56" s="2" t="n">
        <v>8</v>
      </c>
      <c r="N56" s="2" t="n">
        <v>6</v>
      </c>
      <c r="O56" s="2" t="n">
        <v>8</v>
      </c>
      <c r="P56" s="2" t="n">
        <v>8</v>
      </c>
      <c r="Q56" s="2" t="inlineStr">
        <is>
          <t>Translator</t>
        </is>
      </c>
      <c r="R56" s="2" t="n">
        <v>3</v>
      </c>
      <c r="S56" s="2" t="n"/>
      <c r="T56" s="2" t="n"/>
      <c r="U56" s="2" t="n">
        <v>0</v>
      </c>
      <c r="V56" s="2" t="inlineStr">
        <is>
          <t>masc:-0.1;fem:1.6</t>
        </is>
      </c>
      <c r="W56" s="2" t="n">
        <v>-0.1</v>
      </c>
      <c r="X56" s="2" t="n">
        <v>1.6</v>
      </c>
      <c r="Y56" s="2" t="inlineStr">
        <is>
          <t>COMM_Indirect</t>
        </is>
      </c>
      <c r="Z56" s="2" t="inlineStr">
        <is>
          <t>REG_CoRegulator</t>
        </is>
      </c>
      <c r="AA56" s="2" t="inlineStr">
        <is>
          <t>LANG_Words</t>
        </is>
      </c>
      <c r="AB56" s="2" t="n"/>
      <c r="AC56" s="2" t="n"/>
      <c r="AD56" s="2" t="n"/>
      <c r="AE56" s="2" t="n">
        <v>0</v>
      </c>
      <c r="AF56" s="2" t="inlineStr">
        <is>
          <t>gentle responder</t>
        </is>
      </c>
      <c r="AG56" s="2" t="inlineStr">
        <is>
          <t>quiet holder</t>
        </is>
      </c>
      <c r="AH56" s="2" t="n">
        <v>0</v>
      </c>
      <c r="AI56" s="2" t="inlineStr">
        <is>
          <t>no</t>
        </is>
      </c>
      <c r="AJ56" s="2" t="inlineStr">
        <is>
          <t>no</t>
        </is>
      </c>
      <c r="AK56" s="2" t="inlineStr">
        <is>
          <t>yes</t>
        </is>
      </c>
      <c r="AL56" s="2" t="inlineStr">
        <is>
          <t>yes</t>
        </is>
      </c>
      <c r="AM56" s="2" t="n"/>
      <c r="AN56" s="2" t="n"/>
      <c r="AO56" s="2" t="n"/>
      <c r="AP56" s="2" t="inlineStr">
        <is>
          <t>v3_2026-03-19</t>
        </is>
      </c>
      <c r="AQ56">
        <f>(L56-Schema_v5!$C2)/(Schema_v5!$C3-Schema_v5!$C2)</f>
        <v/>
      </c>
      <c r="AR56">
        <f>(M56-Schema_v5!$C4)/(Schema_v5!$C5-Schema_v5!$C4)</f>
        <v/>
      </c>
      <c r="AS56">
        <f>N56/Schema_v5!$C6</f>
        <v/>
      </c>
      <c r="AT56">
        <f>O56/Schema_v5!$C7</f>
        <v/>
      </c>
      <c r="AU56">
        <f>P56/Schema_v5!$C8</f>
        <v/>
      </c>
      <c r="AV56">
        <f>IF(Schema_v5!$C9=0,0,AH56/Schema_v5!$C9)</f>
        <v/>
      </c>
      <c r="AW56">
        <f>IF(Schema_v5!$C10=0,0,AE56/Schema_v5!$C10)</f>
        <v/>
      </c>
      <c r="AX56">
        <f>(W56-Schema_v5!$C11)/(Schema_v5!$C12-Schema_v5!$C11)</f>
        <v/>
      </c>
      <c r="AY56">
        <f>(X56-Schema_v5!$C13)/(Schema_v5!$C14-Schema_v5!$C13)</f>
        <v/>
      </c>
      <c r="AZ56">
        <f>MIN(1,MAX(0,U56/Schema_v7!$C$9))</f>
        <v/>
      </c>
      <c r="BA56">
        <f>IF(AJ56="yes",0.55,0)</f>
        <v/>
      </c>
      <c r="BB56">
        <f>IF(AI56="yes",0.10,0)</f>
        <v/>
      </c>
      <c r="BC56">
        <f>IF(Y56="COMM_Direct",0.92,IF(Y56="COMM_Emotional",0.70,IF(Y56="COMM_Logical",0.65,IF(Y56="COMM_Indirect",0.55,0.35))))</f>
        <v/>
      </c>
      <c r="BD56">
        <f>IF(Z56="REG_CoRegulator",0.92,IF(Z56="REG_SelfSoother",0.76,IF(Z56="REG_Distractor",0.48,0.35)))</f>
        <v/>
      </c>
      <c r="BE56">
        <f>IF(AA56="LANG_Time",0.76,IF(AA56="LANG_Service",0.70,IF(AA56="LANG_Words",0.72,IF(AA56="LANG_Touch",0.68,0.60))))</f>
        <v/>
      </c>
      <c r="BF56">
        <f>MAX(0,MIN(1,0.28*AS56+0.16*AT56+0.18*BC56+0.18*BD56+0.10*(1-AZ56)+0.10*(1-BA56)+BB56))</f>
        <v/>
      </c>
      <c r="BG56">
        <f>MAX(0,MIN(1,0.24*AU56+0.18*AS56+0.18*BC56+0.20*BD56+0.10*(1-AW56)+0.10*(1-BA56)))</f>
        <v/>
      </c>
      <c r="BH56">
        <f>MAX(0,MIN(1,0.28*AR56+0.18*AT56+0.16*AU56+0.18*(1-AV56)+0.10*(1-AW56)+0.10*BF56))</f>
        <v/>
      </c>
      <c r="BI56">
        <f>MAX(0,MIN(1,0.30*AV56+0.20*AZ56+0.20*AW56+0.15*(1-BH56)+0.15*(1-BO56)))</f>
        <v/>
      </c>
      <c r="BJ56">
        <f>MAX(0,1-(ABS(((( AX56+AY56)/2)-0.55)*1.6)))</f>
        <v/>
      </c>
      <c r="BK56">
        <f>MAX(0,MIN(1,0.28*AR56+0.18*AT56+0.16*BJ56+0.14*(1-AV56)+0.12*BQ56+0.12*BO56))</f>
        <v/>
      </c>
      <c r="BL56">
        <f>MAX(0,MIN(1,0.22*AQ56+0.18*AS56+0.18*BC56+0.18*BD56+0.08*BE56+0.10*BF56+0.06*BO56))</f>
        <v/>
      </c>
      <c r="BM56">
        <f>MAX(0,MIN(1,0.20*(1-AZ56)+0.16*(1-BA56)+0.14*(1-AW56)+0.14*AU56+0.18*BG56+0.10*BH56+0.08*BP56))</f>
        <v/>
      </c>
      <c r="BN56">
        <f>MAX(0,MIN(1,0.42*BJ56+0.33*BK56+0.15*AT56+0.10*BQ56))</f>
        <v/>
      </c>
      <c r="BO56">
        <f>MAX(0,MIN(1,0.30*BC56+0.24*BD56+0.18*AS56+0.14*(1-BI56)+0.14*AT56))</f>
        <v/>
      </c>
      <c r="BP56">
        <f>MAX(0,MIN(1,0.26*AS56+0.20*(1-BA56)+0.16*(1-AW56)+0.18*BG56+0.10*AU56+0.10+BB56))</f>
        <v/>
      </c>
      <c r="BQ56">
        <f>MAX(0,MIN(1,0.24*AT56+0.18*BF56+0.14*AR56+0.14*BO56+0.14*(1-AV56)+0.16*(1-AZ56)))</f>
        <v/>
      </c>
      <c r="BR56">
        <f>IF(BO56&gt;=0.80,"Open",IF(BO56&gt;=0.62,"Measured",IF(BO56&gt;=0.45,"Selective","Guarded")))</f>
        <v/>
      </c>
      <c r="BS56">
        <f>IF(Y56="COMM_Direct","Direct",IF(Y56="COMM_Emotional","Emotional",IF(Y56="COMM_Logical","Logical",IF(Y56="COMM_Indirect","Indirect","Avoidant"))))</f>
        <v/>
      </c>
      <c r="BT56">
        <f>IF(BG56&gt;=0.78,"Co-repair",IF(BG56&gt;=0.58,"Re-engage",IF(BG56&gt;=0.40,"Delay","Suppress")))</f>
        <v/>
      </c>
      <c r="BU56">
        <f>IF(BI56&gt;=0.70,"Retreat-risk",IF(BH56&lt;=0.40,"Rush-risk",IF(BH56&gt;=0.65,"Slow-build","Mixed")))</f>
        <v/>
      </c>
      <c r="BV56">
        <f>IF(BL56-BM56&gt;=0.15,"Stimulation-seeking",IF(BM56-BL56&gt;=0.15,"Calm-seeking","Mixed")))</f>
        <v/>
      </c>
      <c r="BW56">
        <f>IF(AND(BL56&gt;=0.72,BM56&lt;0.48),"High",IF(AND(BL56&gt;=0.60,BM56&lt;0.58),"Medium","Low"))</f>
        <v/>
      </c>
    </row>
    <row r="57" ht="108" customHeight="1" s="10">
      <c r="A57" s="2" t="inlineStr">
        <is>
          <t>Q12_A</t>
        </is>
      </c>
      <c r="B57" s="2" t="n">
        <v>12</v>
      </c>
      <c r="C57" s="2" t="n">
        <v>12</v>
      </c>
      <c r="D57" s="2" t="inlineStr">
        <is>
          <t>Core</t>
        </is>
      </c>
      <c r="E57" s="2" t="n">
        <v>1.05</v>
      </c>
      <c r="F57" s="2" t="inlineStr">
        <is>
          <t>ConflictRepair</t>
        </is>
      </c>
      <c r="G57" s="2" t="inlineStr">
        <is>
          <t>CommunicationHealth</t>
        </is>
      </c>
      <c r="H57" s="2" t="inlineStr">
        <is>
          <t>They used to check in every day. Now they don't. You haven't brought it up yet. What's brewing in your head?</t>
        </is>
      </c>
      <c r="I57" s="2" t="inlineStr">
        <is>
          <t>A</t>
        </is>
      </c>
      <c r="J57" s="2" t="inlineStr">
        <is>
          <t>A</t>
        </is>
      </c>
      <c r="K57" s="2" t="inlineStr">
        <is>
          <t>Something changed. I don't know what, but it's not just in my head.</t>
        </is>
      </c>
      <c r="L57" s="2" t="n">
        <v>7</v>
      </c>
      <c r="M57" s="2" t="n">
        <v>8</v>
      </c>
      <c r="N57" s="2" t="n">
        <v>6</v>
      </c>
      <c r="O57" s="2" t="n">
        <v>8</v>
      </c>
      <c r="P57" s="2" t="n">
        <v>6</v>
      </c>
      <c r="Q57" s="2" t="inlineStr">
        <is>
          <t>Analyzer</t>
        </is>
      </c>
      <c r="R57" s="2" t="n">
        <v>2</v>
      </c>
      <c r="S57" s="2" t="n"/>
      <c r="T57" s="2" t="n"/>
      <c r="U57" s="2" t="n">
        <v>0</v>
      </c>
      <c r="V57" s="2" t="inlineStr">
        <is>
          <t>masc:1.4;fem:0.1</t>
        </is>
      </c>
      <c r="W57" s="2" t="n">
        <v>1.4</v>
      </c>
      <c r="X57" s="2" t="n">
        <v>0.1</v>
      </c>
      <c r="Y57" s="2" t="inlineStr">
        <is>
          <t>COMM_Logical</t>
        </is>
      </c>
      <c r="Z57" s="2" t="inlineStr">
        <is>
          <t>REG_SelfSoother</t>
        </is>
      </c>
      <c r="AA57" s="2" t="inlineStr">
        <is>
          <t>LANG_Service</t>
        </is>
      </c>
      <c r="AB57" s="2" t="n"/>
      <c r="AC57" s="2" t="n"/>
      <c r="AD57" s="2" t="n"/>
      <c r="AE57" s="2" t="n">
        <v>0</v>
      </c>
      <c r="AF57" s="2" t="inlineStr">
        <is>
          <t>pattern watcher</t>
        </is>
      </c>
      <c r="AG57" s="2" t="inlineStr">
        <is>
          <t>subtle signal reader</t>
        </is>
      </c>
      <c r="AH57" s="2" t="n">
        <v>0</v>
      </c>
      <c r="AI57" s="2" t="inlineStr">
        <is>
          <t>no</t>
        </is>
      </c>
      <c r="AJ57" s="2" t="inlineStr">
        <is>
          <t>no</t>
        </is>
      </c>
      <c r="AK57" s="2" t="inlineStr">
        <is>
          <t>yes</t>
        </is>
      </c>
      <c r="AL57" s="2" t="inlineStr">
        <is>
          <t>yes</t>
        </is>
      </c>
      <c r="AM57" s="2" t="n"/>
      <c r="AN57" s="2" t="n"/>
      <c r="AO57" s="2" t="n"/>
      <c r="AP57" s="2" t="inlineStr">
        <is>
          <t>v3_2026-03-19</t>
        </is>
      </c>
      <c r="AQ57">
        <f>(L57-Schema_v5!$C2)/(Schema_v5!$C3-Schema_v5!$C2)</f>
        <v/>
      </c>
      <c r="AR57">
        <f>(M57-Schema_v5!$C4)/(Schema_v5!$C5-Schema_v5!$C4)</f>
        <v/>
      </c>
      <c r="AS57">
        <f>N57/Schema_v5!$C6</f>
        <v/>
      </c>
      <c r="AT57">
        <f>O57/Schema_v5!$C7</f>
        <v/>
      </c>
      <c r="AU57">
        <f>P57/Schema_v5!$C8</f>
        <v/>
      </c>
      <c r="AV57">
        <f>IF(Schema_v5!$C9=0,0,AH57/Schema_v5!$C9)</f>
        <v/>
      </c>
      <c r="AW57">
        <f>IF(Schema_v5!$C10=0,0,AE57/Schema_v5!$C10)</f>
        <v/>
      </c>
      <c r="AX57">
        <f>(W57-Schema_v5!$C11)/(Schema_v5!$C12-Schema_v5!$C11)</f>
        <v/>
      </c>
      <c r="AY57">
        <f>(X57-Schema_v5!$C13)/(Schema_v5!$C14-Schema_v5!$C13)</f>
        <v/>
      </c>
      <c r="AZ57">
        <f>MIN(1,MAX(0,U57/Schema_v7!$C$9))</f>
        <v/>
      </c>
      <c r="BA57">
        <f>IF(AJ57="yes",0.55,0)</f>
        <v/>
      </c>
      <c r="BB57">
        <f>IF(AI57="yes",0.10,0)</f>
        <v/>
      </c>
      <c r="BC57">
        <f>IF(Y57="COMM_Direct",0.92,IF(Y57="COMM_Emotional",0.70,IF(Y57="COMM_Logical",0.65,IF(Y57="COMM_Indirect",0.55,0.35))))</f>
        <v/>
      </c>
      <c r="BD57">
        <f>IF(Z57="REG_CoRegulator",0.92,IF(Z57="REG_SelfSoother",0.76,IF(Z57="REG_Distractor",0.48,0.35)))</f>
        <v/>
      </c>
      <c r="BE57">
        <f>IF(AA57="LANG_Time",0.76,IF(AA57="LANG_Service",0.70,IF(AA57="LANG_Words",0.72,IF(AA57="LANG_Touch",0.68,0.60))))</f>
        <v/>
      </c>
      <c r="BF57">
        <f>MAX(0,MIN(1,0.28*AS57+0.16*AT57+0.18*BC57+0.18*BD57+0.10*(1-AZ57)+0.10*(1-BA57)+BB57))</f>
        <v/>
      </c>
      <c r="BG57">
        <f>MAX(0,MIN(1,0.24*AU57+0.18*AS57+0.18*BC57+0.20*BD57+0.10*(1-AW57)+0.10*(1-BA57)))</f>
        <v/>
      </c>
      <c r="BH57">
        <f>MAX(0,MIN(1,0.28*AR57+0.18*AT57+0.16*AU57+0.18*(1-AV57)+0.10*(1-AW57)+0.10*BF57))</f>
        <v/>
      </c>
      <c r="BI57">
        <f>MAX(0,MIN(1,0.30*AV57+0.20*AZ57+0.20*AW57+0.15*(1-BH57)+0.15*(1-BO57)))</f>
        <v/>
      </c>
      <c r="BJ57">
        <f>MAX(0,1-(ABS(((( AX57+AY57)/2)-0.55)*1.6)))</f>
        <v/>
      </c>
      <c r="BK57">
        <f>MAX(0,MIN(1,0.28*AR57+0.18*AT57+0.16*BJ57+0.14*(1-AV57)+0.12*BQ57+0.12*BO57))</f>
        <v/>
      </c>
      <c r="BL57">
        <f>MAX(0,MIN(1,0.22*AQ57+0.18*AS57+0.18*BC57+0.18*BD57+0.08*BE57+0.10*BF57+0.06*BO57))</f>
        <v/>
      </c>
      <c r="BM57">
        <f>MAX(0,MIN(1,0.20*(1-AZ57)+0.16*(1-BA57)+0.14*(1-AW57)+0.14*AU57+0.18*BG57+0.10*BH57+0.08*BP57))</f>
        <v/>
      </c>
      <c r="BN57">
        <f>MAX(0,MIN(1,0.42*BJ57+0.33*BK57+0.15*AT57+0.10*BQ57))</f>
        <v/>
      </c>
      <c r="BO57">
        <f>MAX(0,MIN(1,0.30*BC57+0.24*BD57+0.18*AS57+0.14*(1-BI57)+0.14*AT57))</f>
        <v/>
      </c>
      <c r="BP57">
        <f>MAX(0,MIN(1,0.26*AS57+0.20*(1-BA57)+0.16*(1-AW57)+0.18*BG57+0.10*AU57+0.10+BB57))</f>
        <v/>
      </c>
      <c r="BQ57">
        <f>MAX(0,MIN(1,0.24*AT57+0.18*BF57+0.14*AR57+0.14*BO57+0.14*(1-AV57)+0.16*(1-AZ57)))</f>
        <v/>
      </c>
      <c r="BR57">
        <f>IF(BO57&gt;=0.80,"Open",IF(BO57&gt;=0.62,"Measured",IF(BO57&gt;=0.45,"Selective","Guarded")))</f>
        <v/>
      </c>
      <c r="BS57">
        <f>IF(Y57="COMM_Direct","Direct",IF(Y57="COMM_Emotional","Emotional",IF(Y57="COMM_Logical","Logical",IF(Y57="COMM_Indirect","Indirect","Avoidant"))))</f>
        <v/>
      </c>
      <c r="BT57">
        <f>IF(BG57&gt;=0.78,"Co-repair",IF(BG57&gt;=0.58,"Re-engage",IF(BG57&gt;=0.40,"Delay","Suppress")))</f>
        <v/>
      </c>
      <c r="BU57">
        <f>IF(BI57&gt;=0.70,"Retreat-risk",IF(BH57&lt;=0.40,"Rush-risk",IF(BH57&gt;=0.65,"Slow-build","Mixed")))</f>
        <v/>
      </c>
      <c r="BV57">
        <f>IF(BL57-BM57&gt;=0.15,"Stimulation-seeking",IF(BM57-BL57&gt;=0.15,"Calm-seeking","Mixed")))</f>
        <v/>
      </c>
      <c r="BW57">
        <f>IF(AND(BL57&gt;=0.72,BM57&lt;0.48),"High",IF(AND(BL57&gt;=0.60,BM57&lt;0.58),"Medium","Low"))</f>
        <v/>
      </c>
    </row>
    <row r="58" ht="81" customHeight="1" s="10">
      <c r="A58" s="2" t="inlineStr">
        <is>
          <t>Q12_B</t>
        </is>
      </c>
      <c r="B58" s="2" t="n">
        <v>12</v>
      </c>
      <c r="C58" s="2" t="n">
        <v>12</v>
      </c>
      <c r="D58" s="2" t="inlineStr">
        <is>
          <t>Core</t>
        </is>
      </c>
      <c r="E58" s="2" t="n">
        <v>1.05</v>
      </c>
      <c r="F58" s="2" t="inlineStr">
        <is>
          <t>ConflictRepair</t>
        </is>
      </c>
      <c r="G58" s="2" t="inlineStr">
        <is>
          <t>CommunicationHealth</t>
        </is>
      </c>
      <c r="H58" s="2" t="n"/>
      <c r="I58" s="2" t="inlineStr">
        <is>
          <t>B</t>
        </is>
      </c>
      <c r="J58" s="2" t="inlineStr">
        <is>
          <t>B</t>
        </is>
      </c>
      <c r="K58" s="2" t="inlineStr">
        <is>
          <t>I try not to assume. I wait. If I ask and it's nothing, I'll feel stupid.</t>
        </is>
      </c>
      <c r="L58" s="2" t="n">
        <v>5</v>
      </c>
      <c r="M58" s="2" t="n">
        <v>6</v>
      </c>
      <c r="N58" s="2" t="n">
        <v>2</v>
      </c>
      <c r="O58" s="2" t="n">
        <v>4</v>
      </c>
      <c r="P58" s="2" t="n">
        <v>2</v>
      </c>
      <c r="Q58" s="2" t="inlineStr">
        <is>
          <t>Phantom Seeker</t>
        </is>
      </c>
      <c r="R58" s="2" t="n">
        <v>10</v>
      </c>
      <c r="S58" s="2" t="n"/>
      <c r="T58" s="2" t="n"/>
      <c r="U58" s="2" t="n">
        <v>0</v>
      </c>
      <c r="V58" s="2" t="inlineStr">
        <is>
          <t>masc:-0.2;fem:1.5</t>
        </is>
      </c>
      <c r="W58" s="2" t="n">
        <v>-0.2</v>
      </c>
      <c r="X58" s="2" t="n">
        <v>1.5</v>
      </c>
      <c r="Y58" s="2" t="inlineStr">
        <is>
          <t>COMM_Emotional</t>
        </is>
      </c>
      <c r="Z58" s="2" t="inlineStr">
        <is>
          <t>REG_SelfSoother</t>
        </is>
      </c>
      <c r="AA58" s="2" t="inlineStr">
        <is>
          <t>LANG_Touch</t>
        </is>
      </c>
      <c r="AB58" s="2" t="inlineStr">
        <is>
          <t>Vulnerability_Loop</t>
        </is>
      </c>
      <c r="AC58" s="2" t="inlineStr">
        <is>
          <t>Vulnerability_Loop</t>
        </is>
      </c>
      <c r="AD58" s="2" t="n"/>
      <c r="AE58" s="2" t="n">
        <v>5</v>
      </c>
      <c r="AF58" s="2" t="inlineStr">
        <is>
          <t>doubtful waiter</t>
        </is>
      </c>
      <c r="AG58" s="2" t="inlineStr">
        <is>
          <t>hesitant checker</t>
        </is>
      </c>
      <c r="AH58" s="2" t="n">
        <v>0</v>
      </c>
      <c r="AI58" s="2" t="inlineStr">
        <is>
          <t>yes</t>
        </is>
      </c>
      <c r="AJ58" s="2" t="inlineStr">
        <is>
          <t>no</t>
        </is>
      </c>
      <c r="AK58" s="2" t="inlineStr">
        <is>
          <t>yes</t>
        </is>
      </c>
      <c r="AL58" s="2" t="inlineStr">
        <is>
          <t>yes</t>
        </is>
      </c>
      <c r="AM58" s="2" t="n"/>
      <c r="AN58" s="2" t="n"/>
      <c r="AO58" s="2" t="n"/>
      <c r="AP58" s="2" t="inlineStr">
        <is>
          <t>v3_2026-03-19</t>
        </is>
      </c>
      <c r="AQ58">
        <f>(L58-Schema_v5!$C2)/(Schema_v5!$C3-Schema_v5!$C2)</f>
        <v/>
      </c>
      <c r="AR58">
        <f>(M58-Schema_v5!$C4)/(Schema_v5!$C5-Schema_v5!$C4)</f>
        <v/>
      </c>
      <c r="AS58">
        <f>N58/Schema_v5!$C6</f>
        <v/>
      </c>
      <c r="AT58">
        <f>O58/Schema_v5!$C7</f>
        <v/>
      </c>
      <c r="AU58">
        <f>P58/Schema_v5!$C8</f>
        <v/>
      </c>
      <c r="AV58">
        <f>IF(Schema_v5!$C9=0,0,AH58/Schema_v5!$C9)</f>
        <v/>
      </c>
      <c r="AW58">
        <f>IF(Schema_v5!$C10=0,0,AE58/Schema_v5!$C10)</f>
        <v/>
      </c>
      <c r="AX58">
        <f>(W58-Schema_v5!$C11)/(Schema_v5!$C12-Schema_v5!$C11)</f>
        <v/>
      </c>
      <c r="AY58">
        <f>(X58-Schema_v5!$C13)/(Schema_v5!$C14-Schema_v5!$C13)</f>
        <v/>
      </c>
      <c r="AZ58">
        <f>MIN(1,MAX(0,U58/Schema_v7!$C$9))</f>
        <v/>
      </c>
      <c r="BA58">
        <f>IF(AJ58="yes",0.55,0)</f>
        <v/>
      </c>
      <c r="BB58">
        <f>IF(AI58="yes",0.10,0)</f>
        <v/>
      </c>
      <c r="BC58">
        <f>IF(Y58="COMM_Direct",0.92,IF(Y58="COMM_Emotional",0.70,IF(Y58="COMM_Logical",0.65,IF(Y58="COMM_Indirect",0.55,0.35))))</f>
        <v/>
      </c>
      <c r="BD58">
        <f>IF(Z58="REG_CoRegulator",0.92,IF(Z58="REG_SelfSoother",0.76,IF(Z58="REG_Distractor",0.48,0.35)))</f>
        <v/>
      </c>
      <c r="BE58">
        <f>IF(AA58="LANG_Time",0.76,IF(AA58="LANG_Service",0.70,IF(AA58="LANG_Words",0.72,IF(AA58="LANG_Touch",0.68,0.60))))</f>
        <v/>
      </c>
      <c r="BF58">
        <f>MAX(0,MIN(1,0.28*AS58+0.16*AT58+0.18*BC58+0.18*BD58+0.10*(1-AZ58)+0.10*(1-BA58)+BB58))</f>
        <v/>
      </c>
      <c r="BG58">
        <f>MAX(0,MIN(1,0.24*AU58+0.18*AS58+0.18*BC58+0.20*BD58+0.10*(1-AW58)+0.10*(1-BA58)))</f>
        <v/>
      </c>
      <c r="BH58">
        <f>MAX(0,MIN(1,0.28*AR58+0.18*AT58+0.16*AU58+0.18*(1-AV58)+0.10*(1-AW58)+0.10*BF58))</f>
        <v/>
      </c>
      <c r="BI58">
        <f>MAX(0,MIN(1,0.30*AV58+0.20*AZ58+0.20*AW58+0.15*(1-BH58)+0.15*(1-BO58)))</f>
        <v/>
      </c>
      <c r="BJ58">
        <f>MAX(0,1-(ABS(((( AX58+AY58)/2)-0.55)*1.6)))</f>
        <v/>
      </c>
      <c r="BK58">
        <f>MAX(0,MIN(1,0.28*AR58+0.18*AT58+0.16*BJ58+0.14*(1-AV58)+0.12*BQ58+0.12*BO58))</f>
        <v/>
      </c>
      <c r="BL58">
        <f>MAX(0,MIN(1,0.22*AQ58+0.18*AS58+0.18*BC58+0.18*BD58+0.08*BE58+0.10*BF58+0.06*BO58))</f>
        <v/>
      </c>
      <c r="BM58">
        <f>MAX(0,MIN(1,0.20*(1-AZ58)+0.16*(1-BA58)+0.14*(1-AW58)+0.14*AU58+0.18*BG58+0.10*BH58+0.08*BP58))</f>
        <v/>
      </c>
      <c r="BN58">
        <f>MAX(0,MIN(1,0.42*BJ58+0.33*BK58+0.15*AT58+0.10*BQ58))</f>
        <v/>
      </c>
      <c r="BO58">
        <f>MAX(0,MIN(1,0.30*BC58+0.24*BD58+0.18*AS58+0.14*(1-BI58)+0.14*AT58))</f>
        <v/>
      </c>
      <c r="BP58">
        <f>MAX(0,MIN(1,0.26*AS58+0.20*(1-BA58)+0.16*(1-AW58)+0.18*BG58+0.10*AU58+0.10+BB58))</f>
        <v/>
      </c>
      <c r="BQ58">
        <f>MAX(0,MIN(1,0.24*AT58+0.18*BF58+0.14*AR58+0.14*BO58+0.14*(1-AV58)+0.16*(1-AZ58)))</f>
        <v/>
      </c>
      <c r="BR58">
        <f>IF(BO58&gt;=0.80,"Open",IF(BO58&gt;=0.62,"Measured",IF(BO58&gt;=0.45,"Selective","Guarded")))</f>
        <v/>
      </c>
      <c r="BS58">
        <f>IF(Y58="COMM_Direct","Direct",IF(Y58="COMM_Emotional","Emotional",IF(Y58="COMM_Logical","Logical",IF(Y58="COMM_Indirect","Indirect","Avoidant"))))</f>
        <v/>
      </c>
      <c r="BT58">
        <f>IF(BG58&gt;=0.78,"Co-repair",IF(BG58&gt;=0.58,"Re-engage",IF(BG58&gt;=0.40,"Delay","Suppress")))</f>
        <v/>
      </c>
      <c r="BU58">
        <f>IF(BI58&gt;=0.70,"Retreat-risk",IF(BH58&lt;=0.40,"Rush-risk",IF(BH58&gt;=0.65,"Slow-build","Mixed")))</f>
        <v/>
      </c>
      <c r="BV58">
        <f>IF(BL58-BM58&gt;=0.15,"Stimulation-seeking",IF(BM58-BL58&gt;=0.15,"Calm-seeking","Mixed")))</f>
        <v/>
      </c>
      <c r="BW58">
        <f>IF(AND(BL58&gt;=0.72,BM58&lt;0.48),"High",IF(AND(BL58&gt;=0.60,BM58&lt;0.58),"Medium","Low"))</f>
        <v/>
      </c>
    </row>
    <row r="59" ht="148.5" customHeight="1" s="10">
      <c r="A59" s="2" t="inlineStr">
        <is>
          <t>Q12_C</t>
        </is>
      </c>
      <c r="B59" s="2" t="n">
        <v>12</v>
      </c>
      <c r="C59" s="2" t="n">
        <v>12</v>
      </c>
      <c r="D59" s="2" t="inlineStr">
        <is>
          <t>Core</t>
        </is>
      </c>
      <c r="E59" s="2" t="n">
        <v>1.05</v>
      </c>
      <c r="F59" s="2" t="inlineStr">
        <is>
          <t>ConflictRepair</t>
        </is>
      </c>
      <c r="G59" s="2" t="inlineStr">
        <is>
          <t>CommunicationHealth</t>
        </is>
      </c>
      <c r="H59" s="2" t="n"/>
      <c r="I59" s="2" t="inlineStr">
        <is>
          <t>C</t>
        </is>
      </c>
      <c r="J59" s="2" t="inlineStr">
        <is>
          <t>C</t>
        </is>
      </c>
      <c r="K59" s="2" t="inlineStr">
        <is>
          <t>I bring it up again, but this time they can probably hear the shift in my tone. I'm not trying to argue-I just need them to actually hear me.</t>
        </is>
      </c>
      <c r="L59" s="2" t="n">
        <v>9</v>
      </c>
      <c r="M59" s="2" t="n">
        <v>9</v>
      </c>
      <c r="N59" s="2" t="n">
        <v>10</v>
      </c>
      <c r="O59" s="2" t="n">
        <v>10</v>
      </c>
      <c r="P59" s="2" t="n">
        <v>10</v>
      </c>
      <c r="Q59" s="2" t="inlineStr">
        <is>
          <t>Regulated Grown-Up</t>
        </is>
      </c>
      <c r="R59" s="2" t="n">
        <v>9</v>
      </c>
      <c r="S59" s="2" t="n"/>
      <c r="T59" s="2" t="n"/>
      <c r="U59" s="2" t="n">
        <v>0</v>
      </c>
      <c r="V59" s="2" t="inlineStr">
        <is>
          <t>masc:1.1;fem:0.9</t>
        </is>
      </c>
      <c r="W59" s="2" t="n">
        <v>1.1</v>
      </c>
      <c r="X59" s="2" t="n">
        <v>0.9</v>
      </c>
      <c r="Y59" s="2" t="inlineStr">
        <is>
          <t>COMM_Direct</t>
        </is>
      </c>
      <c r="Z59" s="2" t="inlineStr">
        <is>
          <t>REG_CoRegulator</t>
        </is>
      </c>
      <c r="AA59" s="2" t="inlineStr">
        <is>
          <t>LANG_Words</t>
        </is>
      </c>
      <c r="AB59" s="2" t="n"/>
      <c r="AC59" s="2" t="n"/>
      <c r="AD59" s="2" t="n"/>
      <c r="AE59" s="2" t="n">
        <v>0</v>
      </c>
      <c r="AF59" s="2" t="inlineStr">
        <is>
          <t>calm confronter</t>
        </is>
      </c>
      <c r="AG59" s="2" t="inlineStr">
        <is>
          <t>direct communicator</t>
        </is>
      </c>
      <c r="AH59" s="2" t="n">
        <v>0</v>
      </c>
      <c r="AI59" s="2" t="inlineStr">
        <is>
          <t>no</t>
        </is>
      </c>
      <c r="AJ59" s="2" t="inlineStr">
        <is>
          <t>no</t>
        </is>
      </c>
      <c r="AK59" s="2" t="inlineStr">
        <is>
          <t>yes</t>
        </is>
      </c>
      <c r="AL59" s="2" t="inlineStr">
        <is>
          <t>yes</t>
        </is>
      </c>
      <c r="AM59" s="2" t="n"/>
      <c r="AN59" s="2" t="n"/>
      <c r="AO59" s="2" t="n"/>
      <c r="AP59" s="2" t="inlineStr">
        <is>
          <t>v3_2026-03-19</t>
        </is>
      </c>
      <c r="AQ59">
        <f>(L59-Schema_v5!$C2)/(Schema_v5!$C3-Schema_v5!$C2)</f>
        <v/>
      </c>
      <c r="AR59">
        <f>(M59-Schema_v5!$C4)/(Schema_v5!$C5-Schema_v5!$C4)</f>
        <v/>
      </c>
      <c r="AS59">
        <f>N59/Schema_v5!$C6</f>
        <v/>
      </c>
      <c r="AT59">
        <f>O59/Schema_v5!$C7</f>
        <v/>
      </c>
      <c r="AU59">
        <f>P59/Schema_v5!$C8</f>
        <v/>
      </c>
      <c r="AV59">
        <f>IF(Schema_v5!$C9=0,0,AH59/Schema_v5!$C9)</f>
        <v/>
      </c>
      <c r="AW59">
        <f>IF(Schema_v5!$C10=0,0,AE59/Schema_v5!$C10)</f>
        <v/>
      </c>
      <c r="AX59">
        <f>(W59-Schema_v5!$C11)/(Schema_v5!$C12-Schema_v5!$C11)</f>
        <v/>
      </c>
      <c r="AY59">
        <f>(X59-Schema_v5!$C13)/(Schema_v5!$C14-Schema_v5!$C13)</f>
        <v/>
      </c>
      <c r="AZ59">
        <f>MIN(1,MAX(0,U59/Schema_v7!$C$9))</f>
        <v/>
      </c>
      <c r="BA59">
        <f>IF(AJ59="yes",0.55,0)</f>
        <v/>
      </c>
      <c r="BB59">
        <f>IF(AI59="yes",0.10,0)</f>
        <v/>
      </c>
      <c r="BC59">
        <f>IF(Y59="COMM_Direct",0.92,IF(Y59="COMM_Emotional",0.70,IF(Y59="COMM_Logical",0.65,IF(Y59="COMM_Indirect",0.55,0.35))))</f>
        <v/>
      </c>
      <c r="BD59">
        <f>IF(Z59="REG_CoRegulator",0.92,IF(Z59="REG_SelfSoother",0.76,IF(Z59="REG_Distractor",0.48,0.35)))</f>
        <v/>
      </c>
      <c r="BE59">
        <f>IF(AA59="LANG_Time",0.76,IF(AA59="LANG_Service",0.70,IF(AA59="LANG_Words",0.72,IF(AA59="LANG_Touch",0.68,0.60))))</f>
        <v/>
      </c>
      <c r="BF59">
        <f>MAX(0,MIN(1,0.28*AS59+0.16*AT59+0.18*BC59+0.18*BD59+0.10*(1-AZ59)+0.10*(1-BA59)+BB59))</f>
        <v/>
      </c>
      <c r="BG59">
        <f>MAX(0,MIN(1,0.24*AU59+0.18*AS59+0.18*BC59+0.20*BD59+0.10*(1-AW59)+0.10*(1-BA59)))</f>
        <v/>
      </c>
      <c r="BH59">
        <f>MAX(0,MIN(1,0.28*AR59+0.18*AT59+0.16*AU59+0.18*(1-AV59)+0.10*(1-AW59)+0.10*BF59))</f>
        <v/>
      </c>
      <c r="BI59">
        <f>MAX(0,MIN(1,0.30*AV59+0.20*AZ59+0.20*AW59+0.15*(1-BH59)+0.15*(1-BO59)))</f>
        <v/>
      </c>
      <c r="BJ59">
        <f>MAX(0,1-(ABS(((( AX59+AY59)/2)-0.55)*1.6)))</f>
        <v/>
      </c>
      <c r="BK59">
        <f>MAX(0,MIN(1,0.28*AR59+0.18*AT59+0.16*BJ59+0.14*(1-AV59)+0.12*BQ59+0.12*BO59))</f>
        <v/>
      </c>
      <c r="BL59">
        <f>MAX(0,MIN(1,0.22*AQ59+0.18*AS59+0.18*BC59+0.18*BD59+0.08*BE59+0.10*BF59+0.06*BO59))</f>
        <v/>
      </c>
      <c r="BM59">
        <f>MAX(0,MIN(1,0.20*(1-AZ59)+0.16*(1-BA59)+0.14*(1-AW59)+0.14*AU59+0.18*BG59+0.10*BH59+0.08*BP59))</f>
        <v/>
      </c>
      <c r="BN59">
        <f>MAX(0,MIN(1,0.42*BJ59+0.33*BK59+0.15*AT59+0.10*BQ59))</f>
        <v/>
      </c>
      <c r="BO59">
        <f>MAX(0,MIN(1,0.30*BC59+0.24*BD59+0.18*AS59+0.14*(1-BI59)+0.14*AT59))</f>
        <v/>
      </c>
      <c r="BP59">
        <f>MAX(0,MIN(1,0.26*AS59+0.20*(1-BA59)+0.16*(1-AW59)+0.18*BG59+0.10*AU59+0.10+BB59))</f>
        <v/>
      </c>
      <c r="BQ59">
        <f>MAX(0,MIN(1,0.24*AT59+0.18*BF59+0.14*AR59+0.14*BO59+0.14*(1-AV59)+0.16*(1-AZ59)))</f>
        <v/>
      </c>
      <c r="BR59">
        <f>IF(BO59&gt;=0.80,"Open",IF(BO59&gt;=0.62,"Measured",IF(BO59&gt;=0.45,"Selective","Guarded")))</f>
        <v/>
      </c>
      <c r="BS59">
        <f>IF(Y59="COMM_Direct","Direct",IF(Y59="COMM_Emotional","Emotional",IF(Y59="COMM_Logical","Logical",IF(Y59="COMM_Indirect","Indirect","Avoidant"))))</f>
        <v/>
      </c>
      <c r="BT59">
        <f>IF(BG59&gt;=0.78,"Co-repair",IF(BG59&gt;=0.58,"Re-engage",IF(BG59&gt;=0.40,"Delay","Suppress")))</f>
        <v/>
      </c>
      <c r="BU59">
        <f>IF(BI59&gt;=0.70,"Retreat-risk",IF(BH59&lt;=0.40,"Rush-risk",IF(BH59&gt;=0.65,"Slow-build","Mixed")))</f>
        <v/>
      </c>
      <c r="BV59">
        <f>IF(BL59-BM59&gt;=0.15,"Stimulation-seeking",IF(BM59-BL59&gt;=0.15,"Calm-seeking","Mixed")))</f>
        <v/>
      </c>
      <c r="BW59">
        <f>IF(AND(BL59&gt;=0.72,BM59&lt;0.48),"High",IF(AND(BL59&gt;=0.60,BM59&lt;0.58),"Medium","Low"))</f>
        <v/>
      </c>
    </row>
    <row r="60" ht="81" customHeight="1" s="10">
      <c r="A60" s="2" t="inlineStr">
        <is>
          <t>Q12_D</t>
        </is>
      </c>
      <c r="B60" s="2" t="n">
        <v>12</v>
      </c>
      <c r="C60" s="2" t="n">
        <v>12</v>
      </c>
      <c r="D60" s="2" t="inlineStr">
        <is>
          <t>Core</t>
        </is>
      </c>
      <c r="E60" s="2" t="n">
        <v>1.05</v>
      </c>
      <c r="F60" s="2" t="inlineStr">
        <is>
          <t>ConflictRepair</t>
        </is>
      </c>
      <c r="G60" s="2" t="inlineStr">
        <is>
          <t>CommunicationHealth</t>
        </is>
      </c>
      <c r="H60" s="2" t="n"/>
      <c r="I60" s="2" t="inlineStr">
        <is>
          <t>D</t>
        </is>
      </c>
      <c r="J60" s="2" t="inlineStr">
        <is>
          <t>D</t>
        </is>
      </c>
      <c r="K60" s="2" t="inlineStr">
        <is>
          <t>I joke about it to see how they react. If they don't bite, I pull back quietly.</t>
        </is>
      </c>
      <c r="L60" s="2" t="n">
        <v>6</v>
      </c>
      <c r="M60" s="2" t="n">
        <v>7</v>
      </c>
      <c r="N60" s="2" t="n">
        <v>2</v>
      </c>
      <c r="O60" s="2" t="n">
        <v>2</v>
      </c>
      <c r="P60" s="2" t="n">
        <v>0</v>
      </c>
      <c r="Q60" s="2" t="inlineStr">
        <is>
          <t>Performer</t>
        </is>
      </c>
      <c r="R60" s="2" t="n">
        <v>7</v>
      </c>
      <c r="S60" s="2" t="n"/>
      <c r="T60" s="2" t="n"/>
      <c r="U60" s="2" t="n">
        <v>0</v>
      </c>
      <c r="V60" s="2" t="inlineStr">
        <is>
          <t>masc:0.3;fem:0.5</t>
        </is>
      </c>
      <c r="W60" s="2" t="n">
        <v>0.3</v>
      </c>
      <c r="X60" s="2" t="n">
        <v>0.5</v>
      </c>
      <c r="Y60" s="2" t="inlineStr">
        <is>
          <t>COMM_Indirect</t>
        </is>
      </c>
      <c r="Z60" s="2" t="inlineStr">
        <is>
          <t>REG_Distractor</t>
        </is>
      </c>
      <c r="AA60" s="2" t="inlineStr">
        <is>
          <t>LANG_Gifts</t>
        </is>
      </c>
      <c r="AB60" s="2" t="inlineStr">
        <is>
          <t>Vulnerability_Loop , Scorekeeping_Echo</t>
        </is>
      </c>
      <c r="AC60" s="2" t="inlineStr">
        <is>
          <t>Vulnerability_Loop</t>
        </is>
      </c>
      <c r="AD60" s="2" t="inlineStr">
        <is>
          <t>Scorekeeping_Echo</t>
        </is>
      </c>
      <c r="AE60" s="2" t="n">
        <v>13</v>
      </c>
      <c r="AF60" s="2" t="inlineStr">
        <is>
          <t>playful tester</t>
        </is>
      </c>
      <c r="AG60" s="2" t="inlineStr">
        <is>
          <t>indirect feeler</t>
        </is>
      </c>
      <c r="AH60" s="2" t="n">
        <v>0.8</v>
      </c>
      <c r="AI60" s="2" t="inlineStr">
        <is>
          <t>yes</t>
        </is>
      </c>
      <c r="AJ60" s="2" t="inlineStr">
        <is>
          <t>no</t>
        </is>
      </c>
      <c r="AK60" s="2" t="inlineStr">
        <is>
          <t>yes</t>
        </is>
      </c>
      <c r="AL60" s="2" t="inlineStr">
        <is>
          <t>yes</t>
        </is>
      </c>
      <c r="AM60" s="2" t="n"/>
      <c r="AN60" s="2" t="n"/>
      <c r="AO60" s="2" t="n"/>
      <c r="AP60" s="2" t="inlineStr">
        <is>
          <t>v3_2026-03-19</t>
        </is>
      </c>
      <c r="AQ60">
        <f>(L60-Schema_v5!$C2)/(Schema_v5!$C3-Schema_v5!$C2)</f>
        <v/>
      </c>
      <c r="AR60">
        <f>(M60-Schema_v5!$C4)/(Schema_v5!$C5-Schema_v5!$C4)</f>
        <v/>
      </c>
      <c r="AS60">
        <f>N60/Schema_v5!$C6</f>
        <v/>
      </c>
      <c r="AT60">
        <f>O60/Schema_v5!$C7</f>
        <v/>
      </c>
      <c r="AU60">
        <f>P60/Schema_v5!$C8</f>
        <v/>
      </c>
      <c r="AV60">
        <f>IF(Schema_v5!$C9=0,0,AH60/Schema_v5!$C9)</f>
        <v/>
      </c>
      <c r="AW60">
        <f>IF(Schema_v5!$C10=0,0,AE60/Schema_v5!$C10)</f>
        <v/>
      </c>
      <c r="AX60">
        <f>(W60-Schema_v5!$C11)/(Schema_v5!$C12-Schema_v5!$C11)</f>
        <v/>
      </c>
      <c r="AY60">
        <f>(X60-Schema_v5!$C13)/(Schema_v5!$C14-Schema_v5!$C13)</f>
        <v/>
      </c>
      <c r="AZ60">
        <f>MIN(1,MAX(0,U60/Schema_v7!$C$9))</f>
        <v/>
      </c>
      <c r="BA60">
        <f>IF(AJ60="yes",0.55,0)</f>
        <v/>
      </c>
      <c r="BB60">
        <f>IF(AI60="yes",0.10,0)</f>
        <v/>
      </c>
      <c r="BC60">
        <f>IF(Y60="COMM_Direct",0.92,IF(Y60="COMM_Emotional",0.70,IF(Y60="COMM_Logical",0.65,IF(Y60="COMM_Indirect",0.55,0.35))))</f>
        <v/>
      </c>
      <c r="BD60">
        <f>IF(Z60="REG_CoRegulator",0.92,IF(Z60="REG_SelfSoother",0.76,IF(Z60="REG_Distractor",0.48,0.35)))</f>
        <v/>
      </c>
      <c r="BE60">
        <f>IF(AA60="LANG_Time",0.76,IF(AA60="LANG_Service",0.70,IF(AA60="LANG_Words",0.72,IF(AA60="LANG_Touch",0.68,0.60))))</f>
        <v/>
      </c>
      <c r="BF60">
        <f>MAX(0,MIN(1,0.28*AS60+0.16*AT60+0.18*BC60+0.18*BD60+0.10*(1-AZ60)+0.10*(1-BA60)+BB60))</f>
        <v/>
      </c>
      <c r="BG60">
        <f>MAX(0,MIN(1,0.24*AU60+0.18*AS60+0.18*BC60+0.20*BD60+0.10*(1-AW60)+0.10*(1-BA60)))</f>
        <v/>
      </c>
      <c r="BH60">
        <f>MAX(0,MIN(1,0.28*AR60+0.18*AT60+0.16*AU60+0.18*(1-AV60)+0.10*(1-AW60)+0.10*BF60))</f>
        <v/>
      </c>
      <c r="BI60">
        <f>MAX(0,MIN(1,0.30*AV60+0.20*AZ60+0.20*AW60+0.15*(1-BH60)+0.15*(1-BO60)))</f>
        <v/>
      </c>
      <c r="BJ60">
        <f>MAX(0,1-(ABS(((( AX60+AY60)/2)-0.55)*1.6)))</f>
        <v/>
      </c>
      <c r="BK60">
        <f>MAX(0,MIN(1,0.28*AR60+0.18*AT60+0.16*BJ60+0.14*(1-AV60)+0.12*BQ60+0.12*BO60))</f>
        <v/>
      </c>
      <c r="BL60">
        <f>MAX(0,MIN(1,0.22*AQ60+0.18*AS60+0.18*BC60+0.18*BD60+0.08*BE60+0.10*BF60+0.06*BO60))</f>
        <v/>
      </c>
      <c r="BM60">
        <f>MAX(0,MIN(1,0.20*(1-AZ60)+0.16*(1-BA60)+0.14*(1-AW60)+0.14*AU60+0.18*BG60+0.10*BH60+0.08*BP60))</f>
        <v/>
      </c>
      <c r="BN60">
        <f>MAX(0,MIN(1,0.42*BJ60+0.33*BK60+0.15*AT60+0.10*BQ60))</f>
        <v/>
      </c>
      <c r="BO60">
        <f>MAX(0,MIN(1,0.30*BC60+0.24*BD60+0.18*AS60+0.14*(1-BI60)+0.14*AT60))</f>
        <v/>
      </c>
      <c r="BP60">
        <f>MAX(0,MIN(1,0.26*AS60+0.20*(1-BA60)+0.16*(1-AW60)+0.18*BG60+0.10*AU60+0.10+BB60))</f>
        <v/>
      </c>
      <c r="BQ60">
        <f>MAX(0,MIN(1,0.24*AT60+0.18*BF60+0.14*AR60+0.14*BO60+0.14*(1-AV60)+0.16*(1-AZ60)))</f>
        <v/>
      </c>
      <c r="BR60">
        <f>IF(BO60&gt;=0.80,"Open",IF(BO60&gt;=0.62,"Measured",IF(BO60&gt;=0.45,"Selective","Guarded")))</f>
        <v/>
      </c>
      <c r="BS60">
        <f>IF(Y60="COMM_Direct","Direct",IF(Y60="COMM_Emotional","Emotional",IF(Y60="COMM_Logical","Logical",IF(Y60="COMM_Indirect","Indirect","Avoidant"))))</f>
        <v/>
      </c>
      <c r="BT60">
        <f>IF(BG60&gt;=0.78,"Co-repair",IF(BG60&gt;=0.58,"Re-engage",IF(BG60&gt;=0.40,"Delay","Suppress")))</f>
        <v/>
      </c>
      <c r="BU60">
        <f>IF(BI60&gt;=0.70,"Retreat-risk",IF(BH60&lt;=0.40,"Rush-risk",IF(BH60&gt;=0.65,"Slow-build","Mixed")))</f>
        <v/>
      </c>
      <c r="BV60">
        <f>IF(BL60-BM60&gt;=0.15,"Stimulation-seeking",IF(BM60-BL60&gt;=0.15,"Calm-seeking","Mixed")))</f>
        <v/>
      </c>
      <c r="BW60">
        <f>IF(AND(BL60&gt;=0.72,BM60&lt;0.48),"High",IF(AND(BL60&gt;=0.60,BM60&lt;0.58),"Medium","Low"))</f>
        <v/>
      </c>
    </row>
    <row r="61" ht="108" customHeight="1" s="10">
      <c r="A61" s="2" t="inlineStr">
        <is>
          <t>Q12_E</t>
        </is>
      </c>
      <c r="B61" s="2" t="n">
        <v>12</v>
      </c>
      <c r="C61" s="2" t="n">
        <v>12</v>
      </c>
      <c r="D61" s="2" t="inlineStr">
        <is>
          <t>Core</t>
        </is>
      </c>
      <c r="E61" s="2" t="n">
        <v>1.05</v>
      </c>
      <c r="F61" s="2" t="inlineStr">
        <is>
          <t>ConflictRepair</t>
        </is>
      </c>
      <c r="G61" s="2" t="inlineStr">
        <is>
          <t>CommunicationHealth</t>
        </is>
      </c>
      <c r="H61" s="2" t="n"/>
      <c r="I61" s="2" t="inlineStr">
        <is>
          <t>E</t>
        </is>
      </c>
      <c r="J61" s="2" t="inlineStr">
        <is>
          <t>E</t>
        </is>
      </c>
      <c r="K61" s="2" t="inlineStr">
        <is>
          <t>I shift before they get the chance to. I've seen this pattern before, I know how it ends.</t>
        </is>
      </c>
      <c r="L61" s="2" t="n">
        <v>6</v>
      </c>
      <c r="M61" s="2" t="n">
        <v>7</v>
      </c>
      <c r="N61" s="2" t="n">
        <v>4</v>
      </c>
      <c r="O61" s="2" t="n">
        <v>6</v>
      </c>
      <c r="P61" s="2" t="n">
        <v>4</v>
      </c>
      <c r="Q61" s="2" t="inlineStr">
        <is>
          <t>Survivor</t>
        </is>
      </c>
      <c r="R61" s="2" t="n">
        <v>8</v>
      </c>
      <c r="S61" s="2" t="n"/>
      <c r="T61" s="2" t="n"/>
      <c r="U61" s="2" t="n">
        <v>0</v>
      </c>
      <c r="V61" s="2" t="inlineStr">
        <is>
          <t>masc:0.3;fem:1.3</t>
        </is>
      </c>
      <c r="W61" s="2" t="n">
        <v>0.3</v>
      </c>
      <c r="X61" s="2" t="n">
        <v>1.3</v>
      </c>
      <c r="Y61" s="2" t="inlineStr">
        <is>
          <t>COMM_Emotional</t>
        </is>
      </c>
      <c r="Z61" s="2" t="inlineStr">
        <is>
          <t>REG_SelfSoother</t>
        </is>
      </c>
      <c r="AA61" s="2" t="inlineStr">
        <is>
          <t>LANG_Service</t>
        </is>
      </c>
      <c r="AB61" s="2" t="inlineStr">
        <is>
          <t>Vulnerability_Loop</t>
        </is>
      </c>
      <c r="AC61" s="2" t="inlineStr">
        <is>
          <t>Vulnerability_Loop</t>
        </is>
      </c>
      <c r="AD61" s="2" t="n"/>
      <c r="AE61" s="2" t="n">
        <v>5</v>
      </c>
      <c r="AF61" s="2" t="inlineStr">
        <is>
          <t>pain-preemptive responder</t>
        </is>
      </c>
      <c r="AG61" s="2" t="inlineStr">
        <is>
          <t>early exit planner</t>
        </is>
      </c>
      <c r="AH61" s="2" t="n">
        <v>0</v>
      </c>
      <c r="AI61" s="2" t="inlineStr">
        <is>
          <t>yes</t>
        </is>
      </c>
      <c r="AJ61" s="2" t="inlineStr">
        <is>
          <t>no</t>
        </is>
      </c>
      <c r="AK61" s="2" t="inlineStr">
        <is>
          <t>yes</t>
        </is>
      </c>
      <c r="AL61" s="2" t="inlineStr">
        <is>
          <t>yes</t>
        </is>
      </c>
      <c r="AM61" s="2" t="n"/>
      <c r="AN61" s="2" t="n"/>
      <c r="AO61" s="2" t="n"/>
      <c r="AP61" s="2" t="inlineStr">
        <is>
          <t>v3_2026-03-19</t>
        </is>
      </c>
      <c r="AQ61">
        <f>(L61-Schema_v5!$C2)/(Schema_v5!$C3-Schema_v5!$C2)</f>
        <v/>
      </c>
      <c r="AR61">
        <f>(M61-Schema_v5!$C4)/(Schema_v5!$C5-Schema_v5!$C4)</f>
        <v/>
      </c>
      <c r="AS61">
        <f>N61/Schema_v5!$C6</f>
        <v/>
      </c>
      <c r="AT61">
        <f>O61/Schema_v5!$C7</f>
        <v/>
      </c>
      <c r="AU61">
        <f>P61/Schema_v5!$C8</f>
        <v/>
      </c>
      <c r="AV61">
        <f>IF(Schema_v5!$C9=0,0,AH61/Schema_v5!$C9)</f>
        <v/>
      </c>
      <c r="AW61">
        <f>IF(Schema_v5!$C10=0,0,AE61/Schema_v5!$C10)</f>
        <v/>
      </c>
      <c r="AX61">
        <f>(W61-Schema_v5!$C11)/(Schema_v5!$C12-Schema_v5!$C11)</f>
        <v/>
      </c>
      <c r="AY61">
        <f>(X61-Schema_v5!$C13)/(Schema_v5!$C14-Schema_v5!$C13)</f>
        <v/>
      </c>
      <c r="AZ61">
        <f>MIN(1,MAX(0,U61/Schema_v7!$C$9))</f>
        <v/>
      </c>
      <c r="BA61">
        <f>IF(AJ61="yes",0.55,0)</f>
        <v/>
      </c>
      <c r="BB61">
        <f>IF(AI61="yes",0.10,0)</f>
        <v/>
      </c>
      <c r="BC61">
        <f>IF(Y61="COMM_Direct",0.92,IF(Y61="COMM_Emotional",0.70,IF(Y61="COMM_Logical",0.65,IF(Y61="COMM_Indirect",0.55,0.35))))</f>
        <v/>
      </c>
      <c r="BD61">
        <f>IF(Z61="REG_CoRegulator",0.92,IF(Z61="REG_SelfSoother",0.76,IF(Z61="REG_Distractor",0.48,0.35)))</f>
        <v/>
      </c>
      <c r="BE61">
        <f>IF(AA61="LANG_Time",0.76,IF(AA61="LANG_Service",0.70,IF(AA61="LANG_Words",0.72,IF(AA61="LANG_Touch",0.68,0.60))))</f>
        <v/>
      </c>
      <c r="BF61">
        <f>MAX(0,MIN(1,0.28*AS61+0.16*AT61+0.18*BC61+0.18*BD61+0.10*(1-AZ61)+0.10*(1-BA61)+BB61))</f>
        <v/>
      </c>
      <c r="BG61">
        <f>MAX(0,MIN(1,0.24*AU61+0.18*AS61+0.18*BC61+0.20*BD61+0.10*(1-AW61)+0.10*(1-BA61)))</f>
        <v/>
      </c>
      <c r="BH61">
        <f>MAX(0,MIN(1,0.28*AR61+0.18*AT61+0.16*AU61+0.18*(1-AV61)+0.10*(1-AW61)+0.10*BF61))</f>
        <v/>
      </c>
      <c r="BI61">
        <f>MAX(0,MIN(1,0.30*AV61+0.20*AZ61+0.20*AW61+0.15*(1-BH61)+0.15*(1-BO61)))</f>
        <v/>
      </c>
      <c r="BJ61">
        <f>MAX(0,1-(ABS(((( AX61+AY61)/2)-0.55)*1.6)))</f>
        <v/>
      </c>
      <c r="BK61">
        <f>MAX(0,MIN(1,0.28*AR61+0.18*AT61+0.16*BJ61+0.14*(1-AV61)+0.12*BQ61+0.12*BO61))</f>
        <v/>
      </c>
      <c r="BL61">
        <f>MAX(0,MIN(1,0.22*AQ61+0.18*AS61+0.18*BC61+0.18*BD61+0.08*BE61+0.10*BF61+0.06*BO61))</f>
        <v/>
      </c>
      <c r="BM61">
        <f>MAX(0,MIN(1,0.20*(1-AZ61)+0.16*(1-BA61)+0.14*(1-AW61)+0.14*AU61+0.18*BG61+0.10*BH61+0.08*BP61))</f>
        <v/>
      </c>
      <c r="BN61">
        <f>MAX(0,MIN(1,0.42*BJ61+0.33*BK61+0.15*AT61+0.10*BQ61))</f>
        <v/>
      </c>
      <c r="BO61">
        <f>MAX(0,MIN(1,0.30*BC61+0.24*BD61+0.18*AS61+0.14*(1-BI61)+0.14*AT61))</f>
        <v/>
      </c>
      <c r="BP61">
        <f>MAX(0,MIN(1,0.26*AS61+0.20*(1-BA61)+0.16*(1-AW61)+0.18*BG61+0.10*AU61+0.10+BB61))</f>
        <v/>
      </c>
      <c r="BQ61">
        <f>MAX(0,MIN(1,0.24*AT61+0.18*BF61+0.14*AR61+0.14*BO61+0.14*(1-AV61)+0.16*(1-AZ61)))</f>
        <v/>
      </c>
      <c r="BR61">
        <f>IF(BO61&gt;=0.80,"Open",IF(BO61&gt;=0.62,"Measured",IF(BO61&gt;=0.45,"Selective","Guarded")))</f>
        <v/>
      </c>
      <c r="BS61">
        <f>IF(Y61="COMM_Direct","Direct",IF(Y61="COMM_Emotional","Emotional",IF(Y61="COMM_Logical","Logical",IF(Y61="COMM_Indirect","Indirect","Avoidant"))))</f>
        <v/>
      </c>
      <c r="BT61">
        <f>IF(BG61&gt;=0.78,"Co-repair",IF(BG61&gt;=0.58,"Re-engage",IF(BG61&gt;=0.40,"Delay","Suppress")))</f>
        <v/>
      </c>
      <c r="BU61">
        <f>IF(BI61&gt;=0.70,"Retreat-risk",IF(BH61&lt;=0.40,"Rush-risk",IF(BH61&gt;=0.65,"Slow-build","Mixed")))</f>
        <v/>
      </c>
      <c r="BV61">
        <f>IF(BL61-BM61&gt;=0.15,"Stimulation-seeking",IF(BM61-BL61&gt;=0.15,"Calm-seeking","Mixed")))</f>
        <v/>
      </c>
      <c r="BW61">
        <f>IF(AND(BL61&gt;=0.72,BM61&lt;0.48),"High",IF(AND(BL61&gt;=0.60,BM61&lt;0.58),"Medium","Low"))</f>
        <v/>
      </c>
    </row>
    <row r="62" ht="108" customHeight="1" s="10">
      <c r="A62" s="2" t="inlineStr">
        <is>
          <t>Q13_A</t>
        </is>
      </c>
      <c r="B62" s="2" t="n">
        <v>13</v>
      </c>
      <c r="C62" s="2" t="n">
        <v>13</v>
      </c>
      <c r="D62" s="2" t="inlineStr">
        <is>
          <t>Core</t>
        </is>
      </c>
      <c r="E62" s="2" t="n">
        <v>1.05</v>
      </c>
      <c r="F62" s="2" t="inlineStr">
        <is>
          <t>ConflictRepair</t>
        </is>
      </c>
      <c r="G62" s="2" t="inlineStr">
        <is>
          <t>CommunicationHealth</t>
        </is>
      </c>
      <c r="H62" s="2" t="inlineStr">
        <is>
          <t>They say they like you-but they're inconsistent. What part of you answers that first?</t>
        </is>
      </c>
      <c r="I62" s="2" t="inlineStr">
        <is>
          <t>A</t>
        </is>
      </c>
      <c r="J62" s="2" t="inlineStr">
        <is>
          <t>A</t>
        </is>
      </c>
      <c r="K62" s="2" t="inlineStr">
        <is>
          <t>I just need space to check if I'm seeing it clearly before I lean in. Not to play games.</t>
        </is>
      </c>
      <c r="L62" s="2" t="n">
        <v>8</v>
      </c>
      <c r="M62" s="2" t="n">
        <v>8</v>
      </c>
      <c r="N62" s="2" t="n">
        <v>4</v>
      </c>
      <c r="O62" s="2" t="n">
        <v>4</v>
      </c>
      <c r="P62" s="2" t="n">
        <v>2</v>
      </c>
      <c r="Q62" s="2" t="inlineStr">
        <is>
          <t>Quiet Exit</t>
        </is>
      </c>
      <c r="R62" s="2" t="n">
        <v>4</v>
      </c>
      <c r="S62" s="2" t="n"/>
      <c r="T62" s="2" t="n"/>
      <c r="U62" s="2" t="n">
        <v>0</v>
      </c>
      <c r="V62" s="2" t="inlineStr">
        <is>
          <t>masc:1.4;fem:-1.3</t>
        </is>
      </c>
      <c r="W62" s="2" t="n">
        <v>1.4</v>
      </c>
      <c r="X62" s="2" t="n">
        <v>-1.3</v>
      </c>
      <c r="Y62" s="2" t="inlineStr">
        <is>
          <t>COMM_Avoidant</t>
        </is>
      </c>
      <c r="Z62" s="2" t="inlineStr">
        <is>
          <t>REG_Suppressor</t>
        </is>
      </c>
      <c r="AA62" s="2" t="inlineStr">
        <is>
          <t>LANG_Time</t>
        </is>
      </c>
      <c r="AB62" s="2" t="n"/>
      <c r="AC62" s="2" t="n"/>
      <c r="AD62" s="2" t="n"/>
      <c r="AE62" s="2" t="n">
        <v>0</v>
      </c>
      <c r="AF62" s="2" t="inlineStr">
        <is>
          <t>observer mode</t>
        </is>
      </c>
      <c r="AG62" s="2" t="inlineStr">
        <is>
          <t>cautious engager</t>
        </is>
      </c>
      <c r="AH62" s="2" t="n">
        <v>0.2</v>
      </c>
      <c r="AI62" s="2" t="inlineStr">
        <is>
          <t>no</t>
        </is>
      </c>
      <c r="AJ62" s="2" t="inlineStr">
        <is>
          <t>no</t>
        </is>
      </c>
      <c r="AK62" s="2" t="inlineStr">
        <is>
          <t>yes</t>
        </is>
      </c>
      <c r="AL62" s="2" t="inlineStr">
        <is>
          <t>yes</t>
        </is>
      </c>
      <c r="AM62" s="2" t="n"/>
      <c r="AN62" s="2" t="n"/>
      <c r="AO62" s="2" t="n"/>
      <c r="AP62" s="2" t="inlineStr">
        <is>
          <t>v3_2026-03-19</t>
        </is>
      </c>
      <c r="AQ62">
        <f>(L62-Schema_v5!$C2)/(Schema_v5!$C3-Schema_v5!$C2)</f>
        <v/>
      </c>
      <c r="AR62">
        <f>(M62-Schema_v5!$C4)/(Schema_v5!$C5-Schema_v5!$C4)</f>
        <v/>
      </c>
      <c r="AS62">
        <f>N62/Schema_v5!$C6</f>
        <v/>
      </c>
      <c r="AT62">
        <f>O62/Schema_v5!$C7</f>
        <v/>
      </c>
      <c r="AU62">
        <f>P62/Schema_v5!$C8</f>
        <v/>
      </c>
      <c r="AV62">
        <f>IF(Schema_v5!$C9=0,0,AH62/Schema_v5!$C9)</f>
        <v/>
      </c>
      <c r="AW62">
        <f>IF(Schema_v5!$C10=0,0,AE62/Schema_v5!$C10)</f>
        <v/>
      </c>
      <c r="AX62">
        <f>(W62-Schema_v5!$C11)/(Schema_v5!$C12-Schema_v5!$C11)</f>
        <v/>
      </c>
      <c r="AY62">
        <f>(X62-Schema_v5!$C13)/(Schema_v5!$C14-Schema_v5!$C13)</f>
        <v/>
      </c>
      <c r="AZ62">
        <f>MIN(1,MAX(0,U62/Schema_v7!$C$9))</f>
        <v/>
      </c>
      <c r="BA62">
        <f>IF(AJ62="yes",0.55,0)</f>
        <v/>
      </c>
      <c r="BB62">
        <f>IF(AI62="yes",0.10,0)</f>
        <v/>
      </c>
      <c r="BC62">
        <f>IF(Y62="COMM_Direct",0.92,IF(Y62="COMM_Emotional",0.70,IF(Y62="COMM_Logical",0.65,IF(Y62="COMM_Indirect",0.55,0.35))))</f>
        <v/>
      </c>
      <c r="BD62">
        <f>IF(Z62="REG_CoRegulator",0.92,IF(Z62="REG_SelfSoother",0.76,IF(Z62="REG_Distractor",0.48,0.35)))</f>
        <v/>
      </c>
      <c r="BE62">
        <f>IF(AA62="LANG_Time",0.76,IF(AA62="LANG_Service",0.70,IF(AA62="LANG_Words",0.72,IF(AA62="LANG_Touch",0.68,0.60))))</f>
        <v/>
      </c>
      <c r="BF62">
        <f>MAX(0,MIN(1,0.28*AS62+0.16*AT62+0.18*BC62+0.18*BD62+0.10*(1-AZ62)+0.10*(1-BA62)+BB62))</f>
        <v/>
      </c>
      <c r="BG62">
        <f>MAX(0,MIN(1,0.24*AU62+0.18*AS62+0.18*BC62+0.20*BD62+0.10*(1-AW62)+0.10*(1-BA62)))</f>
        <v/>
      </c>
      <c r="BH62">
        <f>MAX(0,MIN(1,0.28*AR62+0.18*AT62+0.16*AU62+0.18*(1-AV62)+0.10*(1-AW62)+0.10*BF62))</f>
        <v/>
      </c>
      <c r="BI62">
        <f>MAX(0,MIN(1,0.30*AV62+0.20*AZ62+0.20*AW62+0.15*(1-BH62)+0.15*(1-BO62)))</f>
        <v/>
      </c>
      <c r="BJ62">
        <f>MAX(0,1-(ABS(((( AX62+AY62)/2)-0.55)*1.6)))</f>
        <v/>
      </c>
      <c r="BK62">
        <f>MAX(0,MIN(1,0.28*AR62+0.18*AT62+0.16*BJ62+0.14*(1-AV62)+0.12*BQ62+0.12*BO62))</f>
        <v/>
      </c>
      <c r="BL62">
        <f>MAX(0,MIN(1,0.22*AQ62+0.18*AS62+0.18*BC62+0.18*BD62+0.08*BE62+0.10*BF62+0.06*BO62))</f>
        <v/>
      </c>
      <c r="BM62">
        <f>MAX(0,MIN(1,0.20*(1-AZ62)+0.16*(1-BA62)+0.14*(1-AW62)+0.14*AU62+0.18*BG62+0.10*BH62+0.08*BP62))</f>
        <v/>
      </c>
      <c r="BN62">
        <f>MAX(0,MIN(1,0.42*BJ62+0.33*BK62+0.15*AT62+0.10*BQ62))</f>
        <v/>
      </c>
      <c r="BO62">
        <f>MAX(0,MIN(1,0.30*BC62+0.24*BD62+0.18*AS62+0.14*(1-BI62)+0.14*AT62))</f>
        <v/>
      </c>
      <c r="BP62">
        <f>MAX(0,MIN(1,0.26*AS62+0.20*(1-BA62)+0.16*(1-AW62)+0.18*BG62+0.10*AU62+0.10+BB62))</f>
        <v/>
      </c>
      <c r="BQ62">
        <f>MAX(0,MIN(1,0.24*AT62+0.18*BF62+0.14*AR62+0.14*BO62+0.14*(1-AV62)+0.16*(1-AZ62)))</f>
        <v/>
      </c>
      <c r="BR62">
        <f>IF(BO62&gt;=0.80,"Open",IF(BO62&gt;=0.62,"Measured",IF(BO62&gt;=0.45,"Selective","Guarded")))</f>
        <v/>
      </c>
      <c r="BS62">
        <f>IF(Y62="COMM_Direct","Direct",IF(Y62="COMM_Emotional","Emotional",IF(Y62="COMM_Logical","Logical",IF(Y62="COMM_Indirect","Indirect","Avoidant"))))</f>
        <v/>
      </c>
      <c r="BT62">
        <f>IF(BG62&gt;=0.78,"Co-repair",IF(BG62&gt;=0.58,"Re-engage",IF(BG62&gt;=0.40,"Delay","Suppress")))</f>
        <v/>
      </c>
      <c r="BU62">
        <f>IF(BI62&gt;=0.70,"Retreat-risk",IF(BH62&lt;=0.40,"Rush-risk",IF(BH62&gt;=0.65,"Slow-build","Mixed")))</f>
        <v/>
      </c>
      <c r="BV62">
        <f>IF(BL62-BM62&gt;=0.15,"Stimulation-seeking",IF(BM62-BL62&gt;=0.15,"Calm-seeking","Mixed")))</f>
        <v/>
      </c>
      <c r="BW62">
        <f>IF(AND(BL62&gt;=0.72,BM62&lt;0.48),"High",IF(AND(BL62&gt;=0.60,BM62&lt;0.58),"Medium","Low"))</f>
        <v/>
      </c>
    </row>
    <row r="63" ht="121.5" customHeight="1" s="10">
      <c r="A63" s="2" t="inlineStr">
        <is>
          <t>Q13_B</t>
        </is>
      </c>
      <c r="B63" s="2" t="n">
        <v>13</v>
      </c>
      <c r="C63" s="2" t="n">
        <v>13</v>
      </c>
      <c r="D63" s="2" t="inlineStr">
        <is>
          <t>Core</t>
        </is>
      </c>
      <c r="E63" s="2" t="n">
        <v>1.05</v>
      </c>
      <c r="F63" s="2" t="inlineStr">
        <is>
          <t>ConflictRepair</t>
        </is>
      </c>
      <c r="G63" s="2" t="inlineStr">
        <is>
          <t>CommunicationHealth</t>
        </is>
      </c>
      <c r="H63" s="2" t="n"/>
      <c r="I63" s="2" t="inlineStr">
        <is>
          <t>B</t>
        </is>
      </c>
      <c r="J63" s="2" t="inlineStr">
        <is>
          <t>B</t>
        </is>
      </c>
      <c r="K63" s="2" t="inlineStr">
        <is>
          <t>I start imagining what it could be. I try not to get ahead of myself, I just like feeling what it can be.</t>
        </is>
      </c>
      <c r="L63" s="2" t="n">
        <v>7</v>
      </c>
      <c r="M63" s="2" t="n">
        <v>8</v>
      </c>
      <c r="N63" s="2" t="n">
        <v>6</v>
      </c>
      <c r="O63" s="2" t="n">
        <v>6</v>
      </c>
      <c r="P63" s="2" t="n">
        <v>4</v>
      </c>
      <c r="Q63" s="2" t="inlineStr">
        <is>
          <t>Romantic Idealist</t>
        </is>
      </c>
      <c r="R63" s="2" t="n">
        <v>6</v>
      </c>
      <c r="S63" s="2" t="n"/>
      <c r="T63" s="2" t="n"/>
      <c r="U63" s="2" t="n">
        <v>0</v>
      </c>
      <c r="V63" s="2" t="inlineStr">
        <is>
          <t>masc:-0.4;fem:1.5</t>
        </is>
      </c>
      <c r="W63" s="2" t="n">
        <v>-0.4</v>
      </c>
      <c r="X63" s="2" t="n">
        <v>1.5</v>
      </c>
      <c r="Y63" s="2" t="inlineStr">
        <is>
          <t>COMM_Emotional</t>
        </is>
      </c>
      <c r="Z63" s="2" t="inlineStr">
        <is>
          <t>REG_Distractor</t>
        </is>
      </c>
      <c r="AA63" s="2" t="inlineStr">
        <is>
          <t>LANG_Gifts</t>
        </is>
      </c>
      <c r="AB63" s="2" t="n"/>
      <c r="AC63" s="2" t="n"/>
      <c r="AD63" s="2" t="n"/>
      <c r="AE63" s="2" t="n">
        <v>0</v>
      </c>
      <c r="AF63" s="2" t="inlineStr">
        <is>
          <t>daydreaming hopeful</t>
        </is>
      </c>
      <c r="AG63" s="2" t="inlineStr">
        <is>
          <t>romantic visionary</t>
        </is>
      </c>
      <c r="AH63" s="2" t="n">
        <v>0</v>
      </c>
      <c r="AI63" s="2" t="inlineStr">
        <is>
          <t>no</t>
        </is>
      </c>
      <c r="AJ63" s="2" t="inlineStr">
        <is>
          <t>no</t>
        </is>
      </c>
      <c r="AK63" s="2" t="inlineStr">
        <is>
          <t>yes</t>
        </is>
      </c>
      <c r="AL63" s="2" t="inlineStr">
        <is>
          <t>yes</t>
        </is>
      </c>
      <c r="AM63" s="2" t="n"/>
      <c r="AN63" s="2" t="n"/>
      <c r="AO63" s="2" t="n"/>
      <c r="AP63" s="2" t="inlineStr">
        <is>
          <t>v3_2026-03-19</t>
        </is>
      </c>
      <c r="AQ63">
        <f>(L63-Schema_v5!$C2)/(Schema_v5!$C3-Schema_v5!$C2)</f>
        <v/>
      </c>
      <c r="AR63">
        <f>(M63-Schema_v5!$C4)/(Schema_v5!$C5-Schema_v5!$C4)</f>
        <v/>
      </c>
      <c r="AS63">
        <f>N63/Schema_v5!$C6</f>
        <v/>
      </c>
      <c r="AT63">
        <f>O63/Schema_v5!$C7</f>
        <v/>
      </c>
      <c r="AU63">
        <f>P63/Schema_v5!$C8</f>
        <v/>
      </c>
      <c r="AV63">
        <f>IF(Schema_v5!$C9=0,0,AH63/Schema_v5!$C9)</f>
        <v/>
      </c>
      <c r="AW63">
        <f>IF(Schema_v5!$C10=0,0,AE63/Schema_v5!$C10)</f>
        <v/>
      </c>
      <c r="AX63">
        <f>(W63-Schema_v5!$C11)/(Schema_v5!$C12-Schema_v5!$C11)</f>
        <v/>
      </c>
      <c r="AY63">
        <f>(X63-Schema_v5!$C13)/(Schema_v5!$C14-Schema_v5!$C13)</f>
        <v/>
      </c>
      <c r="AZ63">
        <f>MIN(1,MAX(0,U63/Schema_v7!$C$9))</f>
        <v/>
      </c>
      <c r="BA63">
        <f>IF(AJ63="yes",0.55,0)</f>
        <v/>
      </c>
      <c r="BB63">
        <f>IF(AI63="yes",0.10,0)</f>
        <v/>
      </c>
      <c r="BC63">
        <f>IF(Y63="COMM_Direct",0.92,IF(Y63="COMM_Emotional",0.70,IF(Y63="COMM_Logical",0.65,IF(Y63="COMM_Indirect",0.55,0.35))))</f>
        <v/>
      </c>
      <c r="BD63">
        <f>IF(Z63="REG_CoRegulator",0.92,IF(Z63="REG_SelfSoother",0.76,IF(Z63="REG_Distractor",0.48,0.35)))</f>
        <v/>
      </c>
      <c r="BE63">
        <f>IF(AA63="LANG_Time",0.76,IF(AA63="LANG_Service",0.70,IF(AA63="LANG_Words",0.72,IF(AA63="LANG_Touch",0.68,0.60))))</f>
        <v/>
      </c>
      <c r="BF63">
        <f>MAX(0,MIN(1,0.28*AS63+0.16*AT63+0.18*BC63+0.18*BD63+0.10*(1-AZ63)+0.10*(1-BA63)+BB63))</f>
        <v/>
      </c>
      <c r="BG63">
        <f>MAX(0,MIN(1,0.24*AU63+0.18*AS63+0.18*BC63+0.20*BD63+0.10*(1-AW63)+0.10*(1-BA63)))</f>
        <v/>
      </c>
      <c r="BH63">
        <f>MAX(0,MIN(1,0.28*AR63+0.18*AT63+0.16*AU63+0.18*(1-AV63)+0.10*(1-AW63)+0.10*BF63))</f>
        <v/>
      </c>
      <c r="BI63">
        <f>MAX(0,MIN(1,0.30*AV63+0.20*AZ63+0.20*AW63+0.15*(1-BH63)+0.15*(1-BO63)))</f>
        <v/>
      </c>
      <c r="BJ63">
        <f>MAX(0,1-(ABS(((( AX63+AY63)/2)-0.55)*1.6)))</f>
        <v/>
      </c>
      <c r="BK63">
        <f>MAX(0,MIN(1,0.28*AR63+0.18*AT63+0.16*BJ63+0.14*(1-AV63)+0.12*BQ63+0.12*BO63))</f>
        <v/>
      </c>
      <c r="BL63">
        <f>MAX(0,MIN(1,0.22*AQ63+0.18*AS63+0.18*BC63+0.18*BD63+0.08*BE63+0.10*BF63+0.06*BO63))</f>
        <v/>
      </c>
      <c r="BM63">
        <f>MAX(0,MIN(1,0.20*(1-AZ63)+0.16*(1-BA63)+0.14*(1-AW63)+0.14*AU63+0.18*BG63+0.10*BH63+0.08*BP63))</f>
        <v/>
      </c>
      <c r="BN63">
        <f>MAX(0,MIN(1,0.42*BJ63+0.33*BK63+0.15*AT63+0.10*BQ63))</f>
        <v/>
      </c>
      <c r="BO63">
        <f>MAX(0,MIN(1,0.30*BC63+0.24*BD63+0.18*AS63+0.14*(1-BI63)+0.14*AT63))</f>
        <v/>
      </c>
      <c r="BP63">
        <f>MAX(0,MIN(1,0.26*AS63+0.20*(1-BA63)+0.16*(1-AW63)+0.18*BG63+0.10*AU63+0.10+BB63))</f>
        <v/>
      </c>
      <c r="BQ63">
        <f>MAX(0,MIN(1,0.24*AT63+0.18*BF63+0.14*AR63+0.14*BO63+0.14*(1-AV63)+0.16*(1-AZ63)))</f>
        <v/>
      </c>
      <c r="BR63">
        <f>IF(BO63&gt;=0.80,"Open",IF(BO63&gt;=0.62,"Measured",IF(BO63&gt;=0.45,"Selective","Guarded")))</f>
        <v/>
      </c>
      <c r="BS63">
        <f>IF(Y63="COMM_Direct","Direct",IF(Y63="COMM_Emotional","Emotional",IF(Y63="COMM_Logical","Logical",IF(Y63="COMM_Indirect","Indirect","Avoidant"))))</f>
        <v/>
      </c>
      <c r="BT63">
        <f>IF(BG63&gt;=0.78,"Co-repair",IF(BG63&gt;=0.58,"Re-engage",IF(BG63&gt;=0.40,"Delay","Suppress")))</f>
        <v/>
      </c>
      <c r="BU63">
        <f>IF(BI63&gt;=0.70,"Retreat-risk",IF(BH63&lt;=0.40,"Rush-risk",IF(BH63&gt;=0.65,"Slow-build","Mixed")))</f>
        <v/>
      </c>
      <c r="BV63">
        <f>IF(BL63-BM63&gt;=0.15,"Stimulation-seeking",IF(BM63-BL63&gt;=0.15,"Calm-seeking","Mixed")))</f>
        <v/>
      </c>
      <c r="BW63">
        <f>IF(AND(BL63&gt;=0.72,BM63&lt;0.48),"High",IF(AND(BL63&gt;=0.60,BM63&lt;0.58),"Medium","Low"))</f>
        <v/>
      </c>
    </row>
    <row r="64" ht="148.5" customHeight="1" s="10">
      <c r="A64" s="2" t="inlineStr">
        <is>
          <t>Q13_C</t>
        </is>
      </c>
      <c r="B64" s="2" t="n">
        <v>13</v>
      </c>
      <c r="C64" s="2" t="n">
        <v>13</v>
      </c>
      <c r="D64" s="2" t="inlineStr">
        <is>
          <t>Core</t>
        </is>
      </c>
      <c r="E64" s="2" t="n">
        <v>1.05</v>
      </c>
      <c r="F64" s="2" t="inlineStr">
        <is>
          <t>ConflictRepair</t>
        </is>
      </c>
      <c r="G64" s="2" t="inlineStr">
        <is>
          <t>CommunicationHealth</t>
        </is>
      </c>
      <c r="H64" s="2" t="n"/>
      <c r="I64" s="2" t="inlineStr">
        <is>
          <t>C</t>
        </is>
      </c>
      <c r="J64" s="2" t="inlineStr">
        <is>
          <t>C</t>
        </is>
      </c>
      <c r="K64" s="2" t="inlineStr">
        <is>
          <t>I don't say much, but I start showing up more, checking in, remembering little things. That's usually how I start showing my interest.</t>
        </is>
      </c>
      <c r="L64" s="2" t="n">
        <v>8</v>
      </c>
      <c r="M64" s="2" t="n">
        <v>9</v>
      </c>
      <c r="N64" s="2" t="n">
        <v>8</v>
      </c>
      <c r="O64" s="2" t="n">
        <v>10</v>
      </c>
      <c r="P64" s="2" t="n">
        <v>8</v>
      </c>
      <c r="Q64" s="2" t="inlineStr">
        <is>
          <t>Translator</t>
        </is>
      </c>
      <c r="R64" s="2" t="n">
        <v>3</v>
      </c>
      <c r="S64" s="2" t="n"/>
      <c r="T64" s="2" t="n"/>
      <c r="U64" s="2" t="n">
        <v>0</v>
      </c>
      <c r="V64" s="2" t="inlineStr">
        <is>
          <t>masc:-0.1;fem:1.6</t>
        </is>
      </c>
      <c r="W64" s="2" t="n">
        <v>-0.1</v>
      </c>
      <c r="X64" s="2" t="n">
        <v>1.6</v>
      </c>
      <c r="Y64" s="2" t="inlineStr">
        <is>
          <t>COMM_Indirect</t>
        </is>
      </c>
      <c r="Z64" s="2" t="inlineStr">
        <is>
          <t>REG_CoRegulator</t>
        </is>
      </c>
      <c r="AA64" s="2" t="inlineStr">
        <is>
          <t>LANG_Words</t>
        </is>
      </c>
      <c r="AB64" s="2" t="n"/>
      <c r="AC64" s="2" t="n"/>
      <c r="AD64" s="2" t="n"/>
      <c r="AE64" s="2" t="n">
        <v>0</v>
      </c>
      <c r="AF64" s="2" t="inlineStr">
        <is>
          <t>steady signaler</t>
        </is>
      </c>
      <c r="AG64" s="2" t="inlineStr">
        <is>
          <t>consistent investor</t>
        </is>
      </c>
      <c r="AH64" s="2" t="n">
        <v>0</v>
      </c>
      <c r="AI64" s="2" t="inlineStr">
        <is>
          <t>no</t>
        </is>
      </c>
      <c r="AJ64" s="2" t="inlineStr">
        <is>
          <t>no</t>
        </is>
      </c>
      <c r="AK64" s="2" t="inlineStr">
        <is>
          <t>yes</t>
        </is>
      </c>
      <c r="AL64" s="2" t="inlineStr">
        <is>
          <t>yes</t>
        </is>
      </c>
      <c r="AM64" s="2" t="n"/>
      <c r="AN64" s="2" t="n"/>
      <c r="AO64" s="2" t="n"/>
      <c r="AP64" s="2" t="inlineStr">
        <is>
          <t>v3_2026-03-19</t>
        </is>
      </c>
      <c r="AQ64">
        <f>(L64-Schema_v5!$C2)/(Schema_v5!$C3-Schema_v5!$C2)</f>
        <v/>
      </c>
      <c r="AR64">
        <f>(M64-Schema_v5!$C4)/(Schema_v5!$C5-Schema_v5!$C4)</f>
        <v/>
      </c>
      <c r="AS64">
        <f>N64/Schema_v5!$C6</f>
        <v/>
      </c>
      <c r="AT64">
        <f>O64/Schema_v5!$C7</f>
        <v/>
      </c>
      <c r="AU64">
        <f>P64/Schema_v5!$C8</f>
        <v/>
      </c>
      <c r="AV64">
        <f>IF(Schema_v5!$C9=0,0,AH64/Schema_v5!$C9)</f>
        <v/>
      </c>
      <c r="AW64">
        <f>IF(Schema_v5!$C10=0,0,AE64/Schema_v5!$C10)</f>
        <v/>
      </c>
      <c r="AX64">
        <f>(W64-Schema_v5!$C11)/(Schema_v5!$C12-Schema_v5!$C11)</f>
        <v/>
      </c>
      <c r="AY64">
        <f>(X64-Schema_v5!$C13)/(Schema_v5!$C14-Schema_v5!$C13)</f>
        <v/>
      </c>
      <c r="AZ64">
        <f>MIN(1,MAX(0,U64/Schema_v7!$C$9))</f>
        <v/>
      </c>
      <c r="BA64">
        <f>IF(AJ64="yes",0.55,0)</f>
        <v/>
      </c>
      <c r="BB64">
        <f>IF(AI64="yes",0.10,0)</f>
        <v/>
      </c>
      <c r="BC64">
        <f>IF(Y64="COMM_Direct",0.92,IF(Y64="COMM_Emotional",0.70,IF(Y64="COMM_Logical",0.65,IF(Y64="COMM_Indirect",0.55,0.35))))</f>
        <v/>
      </c>
      <c r="BD64">
        <f>IF(Z64="REG_CoRegulator",0.92,IF(Z64="REG_SelfSoother",0.76,IF(Z64="REG_Distractor",0.48,0.35)))</f>
        <v/>
      </c>
      <c r="BE64">
        <f>IF(AA64="LANG_Time",0.76,IF(AA64="LANG_Service",0.70,IF(AA64="LANG_Words",0.72,IF(AA64="LANG_Touch",0.68,0.60))))</f>
        <v/>
      </c>
      <c r="BF64">
        <f>MAX(0,MIN(1,0.28*AS64+0.16*AT64+0.18*BC64+0.18*BD64+0.10*(1-AZ64)+0.10*(1-BA64)+BB64))</f>
        <v/>
      </c>
      <c r="BG64">
        <f>MAX(0,MIN(1,0.24*AU64+0.18*AS64+0.18*BC64+0.20*BD64+0.10*(1-AW64)+0.10*(1-BA64)))</f>
        <v/>
      </c>
      <c r="BH64">
        <f>MAX(0,MIN(1,0.28*AR64+0.18*AT64+0.16*AU64+0.18*(1-AV64)+0.10*(1-AW64)+0.10*BF64))</f>
        <v/>
      </c>
      <c r="BI64">
        <f>MAX(0,MIN(1,0.30*AV64+0.20*AZ64+0.20*AW64+0.15*(1-BH64)+0.15*(1-BO64)))</f>
        <v/>
      </c>
      <c r="BJ64">
        <f>MAX(0,1-(ABS(((( AX64+AY64)/2)-0.55)*1.6)))</f>
        <v/>
      </c>
      <c r="BK64">
        <f>MAX(0,MIN(1,0.28*AR64+0.18*AT64+0.16*BJ64+0.14*(1-AV64)+0.12*BQ64+0.12*BO64))</f>
        <v/>
      </c>
      <c r="BL64">
        <f>MAX(0,MIN(1,0.22*AQ64+0.18*AS64+0.18*BC64+0.18*BD64+0.08*BE64+0.10*BF64+0.06*BO64))</f>
        <v/>
      </c>
      <c r="BM64">
        <f>MAX(0,MIN(1,0.20*(1-AZ64)+0.16*(1-BA64)+0.14*(1-AW64)+0.14*AU64+0.18*BG64+0.10*BH64+0.08*BP64))</f>
        <v/>
      </c>
      <c r="BN64">
        <f>MAX(0,MIN(1,0.42*BJ64+0.33*BK64+0.15*AT64+0.10*BQ64))</f>
        <v/>
      </c>
      <c r="BO64">
        <f>MAX(0,MIN(1,0.30*BC64+0.24*BD64+0.18*AS64+0.14*(1-BI64)+0.14*AT64))</f>
        <v/>
      </c>
      <c r="BP64">
        <f>MAX(0,MIN(1,0.26*AS64+0.20*(1-BA64)+0.16*(1-AW64)+0.18*BG64+0.10*AU64+0.10+BB64))</f>
        <v/>
      </c>
      <c r="BQ64">
        <f>MAX(0,MIN(1,0.24*AT64+0.18*BF64+0.14*AR64+0.14*BO64+0.14*(1-AV64)+0.16*(1-AZ64)))</f>
        <v/>
      </c>
      <c r="BR64">
        <f>IF(BO64&gt;=0.80,"Open",IF(BO64&gt;=0.62,"Measured",IF(BO64&gt;=0.45,"Selective","Guarded")))</f>
        <v/>
      </c>
      <c r="BS64">
        <f>IF(Y64="COMM_Direct","Direct",IF(Y64="COMM_Emotional","Emotional",IF(Y64="COMM_Logical","Logical",IF(Y64="COMM_Indirect","Indirect","Avoidant"))))</f>
        <v/>
      </c>
      <c r="BT64">
        <f>IF(BG64&gt;=0.78,"Co-repair",IF(BG64&gt;=0.58,"Re-engage",IF(BG64&gt;=0.40,"Delay","Suppress")))</f>
        <v/>
      </c>
      <c r="BU64">
        <f>IF(BI64&gt;=0.70,"Retreat-risk",IF(BH64&lt;=0.40,"Rush-risk",IF(BH64&gt;=0.65,"Slow-build","Mixed")))</f>
        <v/>
      </c>
      <c r="BV64">
        <f>IF(BL64-BM64&gt;=0.15,"Stimulation-seeking",IF(BM64-BL64&gt;=0.15,"Calm-seeking","Mixed")))</f>
        <v/>
      </c>
      <c r="BW64">
        <f>IF(AND(BL64&gt;=0.72,BM64&lt;0.48),"High",IF(AND(BL64&gt;=0.60,BM64&lt;0.58),"Medium","Low"))</f>
        <v/>
      </c>
    </row>
    <row r="65" ht="121.5" customHeight="1" s="10">
      <c r="A65" s="2" t="inlineStr">
        <is>
          <t>Q13_D</t>
        </is>
      </c>
      <c r="B65" s="2" t="n">
        <v>13</v>
      </c>
      <c r="C65" s="2" t="n">
        <v>13</v>
      </c>
      <c r="D65" s="2" t="inlineStr">
        <is>
          <t>Core</t>
        </is>
      </c>
      <c r="E65" s="2" t="n">
        <v>1.05</v>
      </c>
      <c r="F65" s="2" t="inlineStr">
        <is>
          <t>ConflictRepair</t>
        </is>
      </c>
      <c r="G65" s="2" t="inlineStr">
        <is>
          <t>CommunicationHealth</t>
        </is>
      </c>
      <c r="H65" s="2" t="n"/>
      <c r="I65" s="2" t="inlineStr">
        <is>
          <t>D</t>
        </is>
      </c>
      <c r="J65" s="2" t="inlineStr">
        <is>
          <t>D</t>
        </is>
      </c>
      <c r="K65" s="2" t="inlineStr">
        <is>
          <t>I want them to like me back, but I need to know it's safe first, so I keep it light while I wait on their actions.</t>
        </is>
      </c>
      <c r="L65" s="2" t="n">
        <v>7</v>
      </c>
      <c r="M65" s="2" t="n">
        <v>8</v>
      </c>
      <c r="N65" s="2" t="n">
        <v>4</v>
      </c>
      <c r="O65" s="2" t="n">
        <v>6</v>
      </c>
      <c r="P65" s="2" t="n">
        <v>4</v>
      </c>
      <c r="Q65" s="2" t="inlineStr">
        <is>
          <t>Performer</t>
        </is>
      </c>
      <c r="R65" s="2" t="n">
        <v>7</v>
      </c>
      <c r="S65" s="2" t="n"/>
      <c r="T65" s="2" t="n"/>
      <c r="U65" s="2" t="n">
        <v>0</v>
      </c>
      <c r="V65" s="2" t="inlineStr">
        <is>
          <t>masc:0.3;fem:0.5</t>
        </is>
      </c>
      <c r="W65" s="2" t="n">
        <v>0.3</v>
      </c>
      <c r="X65" s="2" t="n">
        <v>0.5</v>
      </c>
      <c r="Y65" s="2" t="inlineStr">
        <is>
          <t>COMM_Indirect</t>
        </is>
      </c>
      <c r="Z65" s="2" t="inlineStr">
        <is>
          <t>REG_Distractor</t>
        </is>
      </c>
      <c r="AA65" s="2" t="inlineStr">
        <is>
          <t>LANG_Gifts</t>
        </is>
      </c>
      <c r="AB65" s="2" t="n"/>
      <c r="AC65" s="2" t="n"/>
      <c r="AD65" s="2" t="n"/>
      <c r="AE65" s="2" t="n">
        <v>0</v>
      </c>
      <c r="AF65" s="2" t="inlineStr">
        <is>
          <t>strategic flirter</t>
        </is>
      </c>
      <c r="AG65" s="2" t="inlineStr">
        <is>
          <t>cautious charmer</t>
        </is>
      </c>
      <c r="AH65" s="2" t="n">
        <v>0.2</v>
      </c>
      <c r="AI65" s="2" t="inlineStr">
        <is>
          <t>no</t>
        </is>
      </c>
      <c r="AJ65" s="2" t="inlineStr">
        <is>
          <t>no</t>
        </is>
      </c>
      <c r="AK65" s="2" t="inlineStr">
        <is>
          <t>yes</t>
        </is>
      </c>
      <c r="AL65" s="2" t="inlineStr">
        <is>
          <t>yes</t>
        </is>
      </c>
      <c r="AM65" s="2" t="n"/>
      <c r="AN65" s="2" t="n"/>
      <c r="AO65" s="2" t="n"/>
      <c r="AP65" s="2" t="inlineStr">
        <is>
          <t>v3_2026-03-19</t>
        </is>
      </c>
      <c r="AQ65">
        <f>(L65-Schema_v5!$C2)/(Schema_v5!$C3-Schema_v5!$C2)</f>
        <v/>
      </c>
      <c r="AR65">
        <f>(M65-Schema_v5!$C4)/(Schema_v5!$C5-Schema_v5!$C4)</f>
        <v/>
      </c>
      <c r="AS65">
        <f>N65/Schema_v5!$C6</f>
        <v/>
      </c>
      <c r="AT65">
        <f>O65/Schema_v5!$C7</f>
        <v/>
      </c>
      <c r="AU65">
        <f>P65/Schema_v5!$C8</f>
        <v/>
      </c>
      <c r="AV65">
        <f>IF(Schema_v5!$C9=0,0,AH65/Schema_v5!$C9)</f>
        <v/>
      </c>
      <c r="AW65">
        <f>IF(Schema_v5!$C10=0,0,AE65/Schema_v5!$C10)</f>
        <v/>
      </c>
      <c r="AX65">
        <f>(W65-Schema_v5!$C11)/(Schema_v5!$C12-Schema_v5!$C11)</f>
        <v/>
      </c>
      <c r="AY65">
        <f>(X65-Schema_v5!$C13)/(Schema_v5!$C14-Schema_v5!$C13)</f>
        <v/>
      </c>
      <c r="AZ65">
        <f>MIN(1,MAX(0,U65/Schema_v7!$C$9))</f>
        <v/>
      </c>
      <c r="BA65">
        <f>IF(AJ65="yes",0.55,0)</f>
        <v/>
      </c>
      <c r="BB65">
        <f>IF(AI65="yes",0.10,0)</f>
        <v/>
      </c>
      <c r="BC65">
        <f>IF(Y65="COMM_Direct",0.92,IF(Y65="COMM_Emotional",0.70,IF(Y65="COMM_Logical",0.65,IF(Y65="COMM_Indirect",0.55,0.35))))</f>
        <v/>
      </c>
      <c r="BD65">
        <f>IF(Z65="REG_CoRegulator",0.92,IF(Z65="REG_SelfSoother",0.76,IF(Z65="REG_Distractor",0.48,0.35)))</f>
        <v/>
      </c>
      <c r="BE65">
        <f>IF(AA65="LANG_Time",0.76,IF(AA65="LANG_Service",0.70,IF(AA65="LANG_Words",0.72,IF(AA65="LANG_Touch",0.68,0.60))))</f>
        <v/>
      </c>
      <c r="BF65">
        <f>MAX(0,MIN(1,0.28*AS65+0.16*AT65+0.18*BC65+0.18*BD65+0.10*(1-AZ65)+0.10*(1-BA65)+BB65))</f>
        <v/>
      </c>
      <c r="BG65">
        <f>MAX(0,MIN(1,0.24*AU65+0.18*AS65+0.18*BC65+0.20*BD65+0.10*(1-AW65)+0.10*(1-BA65)))</f>
        <v/>
      </c>
      <c r="BH65">
        <f>MAX(0,MIN(1,0.28*AR65+0.18*AT65+0.16*AU65+0.18*(1-AV65)+0.10*(1-AW65)+0.10*BF65))</f>
        <v/>
      </c>
      <c r="BI65">
        <f>MAX(0,MIN(1,0.30*AV65+0.20*AZ65+0.20*AW65+0.15*(1-BH65)+0.15*(1-BO65)))</f>
        <v/>
      </c>
      <c r="BJ65">
        <f>MAX(0,1-(ABS(((( AX65+AY65)/2)-0.55)*1.6)))</f>
        <v/>
      </c>
      <c r="BK65">
        <f>MAX(0,MIN(1,0.28*AR65+0.18*AT65+0.16*BJ65+0.14*(1-AV65)+0.12*BQ65+0.12*BO65))</f>
        <v/>
      </c>
      <c r="BL65">
        <f>MAX(0,MIN(1,0.22*AQ65+0.18*AS65+0.18*BC65+0.18*BD65+0.08*BE65+0.10*BF65+0.06*BO65))</f>
        <v/>
      </c>
      <c r="BM65">
        <f>MAX(0,MIN(1,0.20*(1-AZ65)+0.16*(1-BA65)+0.14*(1-AW65)+0.14*AU65+0.18*BG65+0.10*BH65+0.08*BP65))</f>
        <v/>
      </c>
      <c r="BN65">
        <f>MAX(0,MIN(1,0.42*BJ65+0.33*BK65+0.15*AT65+0.10*BQ65))</f>
        <v/>
      </c>
      <c r="BO65">
        <f>MAX(0,MIN(1,0.30*BC65+0.24*BD65+0.18*AS65+0.14*(1-BI65)+0.14*AT65))</f>
        <v/>
      </c>
      <c r="BP65">
        <f>MAX(0,MIN(1,0.26*AS65+0.20*(1-BA65)+0.16*(1-AW65)+0.18*BG65+0.10*AU65+0.10+BB65))</f>
        <v/>
      </c>
      <c r="BQ65">
        <f>MAX(0,MIN(1,0.24*AT65+0.18*BF65+0.14*AR65+0.14*BO65+0.14*(1-AV65)+0.16*(1-AZ65)))</f>
        <v/>
      </c>
      <c r="BR65">
        <f>IF(BO65&gt;=0.80,"Open",IF(BO65&gt;=0.62,"Measured",IF(BO65&gt;=0.45,"Selective","Guarded")))</f>
        <v/>
      </c>
      <c r="BS65">
        <f>IF(Y65="COMM_Direct","Direct",IF(Y65="COMM_Emotional","Emotional",IF(Y65="COMM_Logical","Logical",IF(Y65="COMM_Indirect","Indirect","Avoidant"))))</f>
        <v/>
      </c>
      <c r="BT65">
        <f>IF(BG65&gt;=0.78,"Co-repair",IF(BG65&gt;=0.58,"Re-engage",IF(BG65&gt;=0.40,"Delay","Suppress")))</f>
        <v/>
      </c>
      <c r="BU65">
        <f>IF(BI65&gt;=0.70,"Retreat-risk",IF(BH65&lt;=0.40,"Rush-risk",IF(BH65&gt;=0.65,"Slow-build","Mixed")))</f>
        <v/>
      </c>
      <c r="BV65">
        <f>IF(BL65-BM65&gt;=0.15,"Stimulation-seeking",IF(BM65-BL65&gt;=0.15,"Calm-seeking","Mixed")))</f>
        <v/>
      </c>
      <c r="BW65">
        <f>IF(AND(BL65&gt;=0.72,BM65&lt;0.48),"High",IF(AND(BL65&gt;=0.60,BM65&lt;0.58),"Medium","Low"))</f>
        <v/>
      </c>
    </row>
    <row r="66" ht="135" customHeight="1" s="10">
      <c r="A66" s="2" t="inlineStr">
        <is>
          <t>Q13_E</t>
        </is>
      </c>
      <c r="B66" s="2" t="n">
        <v>13</v>
      </c>
      <c r="C66" s="2" t="n">
        <v>13</v>
      </c>
      <c r="D66" s="2" t="inlineStr">
        <is>
          <t>Core</t>
        </is>
      </c>
      <c r="E66" s="2" t="n">
        <v>1.05</v>
      </c>
      <c r="F66" s="2" t="inlineStr">
        <is>
          <t>ConflictRepair</t>
        </is>
      </c>
      <c r="G66" s="2" t="inlineStr">
        <is>
          <t>CommunicationHealth</t>
        </is>
      </c>
      <c r="H66" s="2" t="n"/>
      <c r="I66" s="2" t="inlineStr">
        <is>
          <t>E</t>
        </is>
      </c>
      <c r="J66" s="2" t="inlineStr">
        <is>
          <t>E</t>
        </is>
      </c>
      <c r="K66" s="2" t="inlineStr">
        <is>
          <t>If I like someone, it shows, but I don't rush just because the vibe is good. I wait to see if the energy stays real.</t>
        </is>
      </c>
      <c r="L66" s="2" t="n">
        <v>8</v>
      </c>
      <c r="M66" s="2" t="n">
        <v>9</v>
      </c>
      <c r="N66" s="2" t="n">
        <v>4</v>
      </c>
      <c r="O66" s="2" t="n">
        <v>6</v>
      </c>
      <c r="P66" s="2" t="n">
        <v>2</v>
      </c>
      <c r="Q66" s="2" t="inlineStr">
        <is>
          <t>Icebox</t>
        </is>
      </c>
      <c r="R66" s="2" t="n">
        <v>1</v>
      </c>
      <c r="S66" s="2" t="n"/>
      <c r="T66" s="2" t="n"/>
      <c r="U66" s="2" t="n">
        <v>0</v>
      </c>
      <c r="V66" s="2" t="inlineStr">
        <is>
          <t>masc:1.8;fem:-1.6</t>
        </is>
      </c>
      <c r="W66" s="2" t="n">
        <v>1.8</v>
      </c>
      <c r="X66" s="2" t="n">
        <v>-1.6</v>
      </c>
      <c r="Y66" s="2" t="inlineStr">
        <is>
          <t>COMM_Avoidant</t>
        </is>
      </c>
      <c r="Z66" s="2" t="inlineStr">
        <is>
          <t>REG_Suppressor</t>
        </is>
      </c>
      <c r="AA66" s="2" t="inlineStr">
        <is>
          <t>LANG_Time</t>
        </is>
      </c>
      <c r="AB66" s="2" t="n"/>
      <c r="AC66" s="2" t="n"/>
      <c r="AD66" s="2" t="n"/>
      <c r="AE66" s="2" t="n">
        <v>0</v>
      </c>
      <c r="AF66" s="2" t="inlineStr">
        <is>
          <t>guarded realist</t>
        </is>
      </c>
      <c r="AG66" s="2" t="inlineStr">
        <is>
          <t>patient tester</t>
        </is>
      </c>
      <c r="AH66" s="2" t="n">
        <v>0.6</v>
      </c>
      <c r="AI66" s="2" t="inlineStr">
        <is>
          <t>no</t>
        </is>
      </c>
      <c r="AJ66" s="2" t="inlineStr">
        <is>
          <t>no</t>
        </is>
      </c>
      <c r="AK66" s="2" t="inlineStr">
        <is>
          <t>yes</t>
        </is>
      </c>
      <c r="AL66" s="2" t="inlineStr">
        <is>
          <t>yes</t>
        </is>
      </c>
      <c r="AM66" s="2" t="n"/>
      <c r="AN66" s="2" t="n"/>
      <c r="AO66" s="2" t="n"/>
      <c r="AP66" s="2" t="inlineStr">
        <is>
          <t>v3_2026-03-19</t>
        </is>
      </c>
      <c r="AQ66">
        <f>(L66-Schema_v5!$C2)/(Schema_v5!$C3-Schema_v5!$C2)</f>
        <v/>
      </c>
      <c r="AR66">
        <f>(M66-Schema_v5!$C4)/(Schema_v5!$C5-Schema_v5!$C4)</f>
        <v/>
      </c>
      <c r="AS66">
        <f>N66/Schema_v5!$C6</f>
        <v/>
      </c>
      <c r="AT66">
        <f>O66/Schema_v5!$C7</f>
        <v/>
      </c>
      <c r="AU66">
        <f>P66/Schema_v5!$C8</f>
        <v/>
      </c>
      <c r="AV66">
        <f>IF(Schema_v5!$C9=0,0,AH66/Schema_v5!$C9)</f>
        <v/>
      </c>
      <c r="AW66">
        <f>IF(Schema_v5!$C10=0,0,AE66/Schema_v5!$C10)</f>
        <v/>
      </c>
      <c r="AX66">
        <f>(W66-Schema_v5!$C11)/(Schema_v5!$C12-Schema_v5!$C11)</f>
        <v/>
      </c>
      <c r="AY66">
        <f>(X66-Schema_v5!$C13)/(Schema_v5!$C14-Schema_v5!$C13)</f>
        <v/>
      </c>
      <c r="AZ66">
        <f>MIN(1,MAX(0,U66/Schema_v7!$C$9))</f>
        <v/>
      </c>
      <c r="BA66">
        <f>IF(AJ66="yes",0.55,0)</f>
        <v/>
      </c>
      <c r="BB66">
        <f>IF(AI66="yes",0.10,0)</f>
        <v/>
      </c>
      <c r="BC66">
        <f>IF(Y66="COMM_Direct",0.92,IF(Y66="COMM_Emotional",0.70,IF(Y66="COMM_Logical",0.65,IF(Y66="COMM_Indirect",0.55,0.35))))</f>
        <v/>
      </c>
      <c r="BD66">
        <f>IF(Z66="REG_CoRegulator",0.92,IF(Z66="REG_SelfSoother",0.76,IF(Z66="REG_Distractor",0.48,0.35)))</f>
        <v/>
      </c>
      <c r="BE66">
        <f>IF(AA66="LANG_Time",0.76,IF(AA66="LANG_Service",0.70,IF(AA66="LANG_Words",0.72,IF(AA66="LANG_Touch",0.68,0.60))))</f>
        <v/>
      </c>
      <c r="BF66">
        <f>MAX(0,MIN(1,0.28*AS66+0.16*AT66+0.18*BC66+0.18*BD66+0.10*(1-AZ66)+0.10*(1-BA66)+BB66))</f>
        <v/>
      </c>
      <c r="BG66">
        <f>MAX(0,MIN(1,0.24*AU66+0.18*AS66+0.18*BC66+0.20*BD66+0.10*(1-AW66)+0.10*(1-BA66)))</f>
        <v/>
      </c>
      <c r="BH66">
        <f>MAX(0,MIN(1,0.28*AR66+0.18*AT66+0.16*AU66+0.18*(1-AV66)+0.10*(1-AW66)+0.10*BF66))</f>
        <v/>
      </c>
      <c r="BI66">
        <f>MAX(0,MIN(1,0.30*AV66+0.20*AZ66+0.20*AW66+0.15*(1-BH66)+0.15*(1-BO66)))</f>
        <v/>
      </c>
      <c r="BJ66">
        <f>MAX(0,1-(ABS(((( AX66+AY66)/2)-0.55)*1.6)))</f>
        <v/>
      </c>
      <c r="BK66">
        <f>MAX(0,MIN(1,0.28*AR66+0.18*AT66+0.16*BJ66+0.14*(1-AV66)+0.12*BQ66+0.12*BO66))</f>
        <v/>
      </c>
      <c r="BL66">
        <f>MAX(0,MIN(1,0.22*AQ66+0.18*AS66+0.18*BC66+0.18*BD66+0.08*BE66+0.10*BF66+0.06*BO66))</f>
        <v/>
      </c>
      <c r="BM66">
        <f>MAX(0,MIN(1,0.20*(1-AZ66)+0.16*(1-BA66)+0.14*(1-AW66)+0.14*AU66+0.18*BG66+0.10*BH66+0.08*BP66))</f>
        <v/>
      </c>
      <c r="BN66">
        <f>MAX(0,MIN(1,0.42*BJ66+0.33*BK66+0.15*AT66+0.10*BQ66))</f>
        <v/>
      </c>
      <c r="BO66">
        <f>MAX(0,MIN(1,0.30*BC66+0.24*BD66+0.18*AS66+0.14*(1-BI66)+0.14*AT66))</f>
        <v/>
      </c>
      <c r="BP66">
        <f>MAX(0,MIN(1,0.26*AS66+0.20*(1-BA66)+0.16*(1-AW66)+0.18*BG66+0.10*AU66+0.10+BB66))</f>
        <v/>
      </c>
      <c r="BQ66">
        <f>MAX(0,MIN(1,0.24*AT66+0.18*BF66+0.14*AR66+0.14*BO66+0.14*(1-AV66)+0.16*(1-AZ66)))</f>
        <v/>
      </c>
      <c r="BR66">
        <f>IF(BO66&gt;=0.80,"Open",IF(BO66&gt;=0.62,"Measured",IF(BO66&gt;=0.45,"Selective","Guarded")))</f>
        <v/>
      </c>
      <c r="BS66">
        <f>IF(Y66="COMM_Direct","Direct",IF(Y66="COMM_Emotional","Emotional",IF(Y66="COMM_Logical","Logical",IF(Y66="COMM_Indirect","Indirect","Avoidant"))))</f>
        <v/>
      </c>
      <c r="BT66">
        <f>IF(BG66&gt;=0.78,"Co-repair",IF(BG66&gt;=0.58,"Re-engage",IF(BG66&gt;=0.40,"Delay","Suppress")))</f>
        <v/>
      </c>
      <c r="BU66">
        <f>IF(BI66&gt;=0.70,"Retreat-risk",IF(BH66&lt;=0.40,"Rush-risk",IF(BH66&gt;=0.65,"Slow-build","Mixed")))</f>
        <v/>
      </c>
      <c r="BV66">
        <f>IF(BL66-BM66&gt;=0.15,"Stimulation-seeking",IF(BM66-BL66&gt;=0.15,"Calm-seeking","Mixed")))</f>
        <v/>
      </c>
      <c r="BW66">
        <f>IF(AND(BL66&gt;=0.72,BM66&lt;0.48),"High",IF(AND(BL66&gt;=0.60,BM66&lt;0.58),"Medium","Low"))</f>
        <v/>
      </c>
    </row>
    <row r="67" ht="121.5" customHeight="1" s="10">
      <c r="A67" s="2" t="inlineStr">
        <is>
          <t>Q14_A</t>
        </is>
      </c>
      <c r="B67" s="2" t="n">
        <v>14</v>
      </c>
      <c r="C67" s="2" t="n">
        <v>14</v>
      </c>
      <c r="D67" s="2" t="inlineStr">
        <is>
          <t>Core</t>
        </is>
      </c>
      <c r="E67" s="2" t="n">
        <v>1.05</v>
      </c>
      <c r="F67" s="2" t="inlineStr">
        <is>
          <t>ConflictRepair</t>
        </is>
      </c>
      <c r="G67" s="2" t="inlineStr">
        <is>
          <t>CommunicationHealth</t>
        </is>
      </c>
      <c r="H67" s="2" t="inlineStr">
        <is>
          <t>They keep you in the loop, but never quite make you the priority. What shifts in you?</t>
        </is>
      </c>
      <c r="I67" s="2" t="inlineStr">
        <is>
          <t>A</t>
        </is>
      </c>
      <c r="J67" s="2" t="inlineStr">
        <is>
          <t>A</t>
        </is>
      </c>
      <c r="K67" s="2" t="inlineStr">
        <is>
          <t>I mirror it. They get the same version of me they're handing out. No extra effort for bare minimum.</t>
        </is>
      </c>
      <c r="L67" s="2" t="n">
        <v>7</v>
      </c>
      <c r="M67" s="2" t="n">
        <v>8</v>
      </c>
      <c r="N67" s="2" t="n">
        <v>4</v>
      </c>
      <c r="O67" s="2" t="n">
        <v>4</v>
      </c>
      <c r="P67" s="2" t="n">
        <v>0</v>
      </c>
      <c r="Q67" s="2" t="inlineStr">
        <is>
          <t>Icebox</t>
        </is>
      </c>
      <c r="R67" s="2" t="n">
        <v>1</v>
      </c>
      <c r="S67" s="2" t="n"/>
      <c r="T67" s="2" t="n"/>
      <c r="U67" s="2" t="n">
        <v>0</v>
      </c>
      <c r="V67" s="2" t="inlineStr">
        <is>
          <t>masc:1.8;fem:-1.6</t>
        </is>
      </c>
      <c r="W67" s="2" t="n">
        <v>1.8</v>
      </c>
      <c r="X67" s="2" t="n">
        <v>-1.6</v>
      </c>
      <c r="Y67" s="2" t="inlineStr">
        <is>
          <t>COMM_Avoidant</t>
        </is>
      </c>
      <c r="Z67" s="2" t="inlineStr">
        <is>
          <t>REG_Suppressor</t>
        </is>
      </c>
      <c r="AA67" s="2" t="inlineStr">
        <is>
          <t>LANG_Time</t>
        </is>
      </c>
      <c r="AB67" s="2" t="n"/>
      <c r="AC67" s="2" t="n"/>
      <c r="AD67" s="2" t="n"/>
      <c r="AE67" s="2" t="n">
        <v>0</v>
      </c>
      <c r="AF67" s="2" t="inlineStr">
        <is>
          <t>tactical disengagement</t>
        </is>
      </c>
      <c r="AG67" s="2" t="inlineStr">
        <is>
          <t>mirrored detachment</t>
        </is>
      </c>
      <c r="AH67" s="2" t="n">
        <v>0.6</v>
      </c>
      <c r="AI67" s="2" t="inlineStr">
        <is>
          <t>no</t>
        </is>
      </c>
      <c r="AJ67" s="2" t="inlineStr">
        <is>
          <t>no</t>
        </is>
      </c>
      <c r="AK67" s="2" t="inlineStr">
        <is>
          <t>yes</t>
        </is>
      </c>
      <c r="AL67" s="2" t="inlineStr">
        <is>
          <t>yes</t>
        </is>
      </c>
      <c r="AM67" s="2" t="n"/>
      <c r="AN67" s="2" t="n"/>
      <c r="AO67" s="2" t="n"/>
      <c r="AP67" s="2" t="inlineStr">
        <is>
          <t>v3_2026-03-19</t>
        </is>
      </c>
      <c r="AQ67">
        <f>(L67-Schema_v5!$C2)/(Schema_v5!$C3-Schema_v5!$C2)</f>
        <v/>
      </c>
      <c r="AR67">
        <f>(M67-Schema_v5!$C4)/(Schema_v5!$C5-Schema_v5!$C4)</f>
        <v/>
      </c>
      <c r="AS67">
        <f>N67/Schema_v5!$C6</f>
        <v/>
      </c>
      <c r="AT67">
        <f>O67/Schema_v5!$C7</f>
        <v/>
      </c>
      <c r="AU67">
        <f>P67/Schema_v5!$C8</f>
        <v/>
      </c>
      <c r="AV67">
        <f>IF(Schema_v5!$C9=0,0,AH67/Schema_v5!$C9)</f>
        <v/>
      </c>
      <c r="AW67">
        <f>IF(Schema_v5!$C10=0,0,AE67/Schema_v5!$C10)</f>
        <v/>
      </c>
      <c r="AX67">
        <f>(W67-Schema_v5!$C11)/(Schema_v5!$C12-Schema_v5!$C11)</f>
        <v/>
      </c>
      <c r="AY67">
        <f>(X67-Schema_v5!$C13)/(Schema_v5!$C14-Schema_v5!$C13)</f>
        <v/>
      </c>
      <c r="AZ67">
        <f>MIN(1,MAX(0,U67/Schema_v7!$C$9))</f>
        <v/>
      </c>
      <c r="BA67">
        <f>IF(AJ67="yes",0.55,0)</f>
        <v/>
      </c>
      <c r="BB67">
        <f>IF(AI67="yes",0.10,0)</f>
        <v/>
      </c>
      <c r="BC67">
        <f>IF(Y67="COMM_Direct",0.92,IF(Y67="COMM_Emotional",0.70,IF(Y67="COMM_Logical",0.65,IF(Y67="COMM_Indirect",0.55,0.35))))</f>
        <v/>
      </c>
      <c r="BD67">
        <f>IF(Z67="REG_CoRegulator",0.92,IF(Z67="REG_SelfSoother",0.76,IF(Z67="REG_Distractor",0.48,0.35)))</f>
        <v/>
      </c>
      <c r="BE67">
        <f>IF(AA67="LANG_Time",0.76,IF(AA67="LANG_Service",0.70,IF(AA67="LANG_Words",0.72,IF(AA67="LANG_Touch",0.68,0.60))))</f>
        <v/>
      </c>
      <c r="BF67">
        <f>MAX(0,MIN(1,0.28*AS67+0.16*AT67+0.18*BC67+0.18*BD67+0.10*(1-AZ67)+0.10*(1-BA67)+BB67))</f>
        <v/>
      </c>
      <c r="BG67">
        <f>MAX(0,MIN(1,0.24*AU67+0.18*AS67+0.18*BC67+0.20*BD67+0.10*(1-AW67)+0.10*(1-BA67)))</f>
        <v/>
      </c>
      <c r="BH67">
        <f>MAX(0,MIN(1,0.28*AR67+0.18*AT67+0.16*AU67+0.18*(1-AV67)+0.10*(1-AW67)+0.10*BF67))</f>
        <v/>
      </c>
      <c r="BI67">
        <f>MAX(0,MIN(1,0.30*AV67+0.20*AZ67+0.20*AW67+0.15*(1-BH67)+0.15*(1-BO67)))</f>
        <v/>
      </c>
      <c r="BJ67">
        <f>MAX(0,1-(ABS(((( AX67+AY67)/2)-0.55)*1.6)))</f>
        <v/>
      </c>
      <c r="BK67">
        <f>MAX(0,MIN(1,0.28*AR67+0.18*AT67+0.16*BJ67+0.14*(1-AV67)+0.12*BQ67+0.12*BO67))</f>
        <v/>
      </c>
      <c r="BL67">
        <f>MAX(0,MIN(1,0.22*AQ67+0.18*AS67+0.18*BC67+0.18*BD67+0.08*BE67+0.10*BF67+0.06*BO67))</f>
        <v/>
      </c>
      <c r="BM67">
        <f>MAX(0,MIN(1,0.20*(1-AZ67)+0.16*(1-BA67)+0.14*(1-AW67)+0.14*AU67+0.18*BG67+0.10*BH67+0.08*BP67))</f>
        <v/>
      </c>
      <c r="BN67">
        <f>MAX(0,MIN(1,0.42*BJ67+0.33*BK67+0.15*AT67+0.10*BQ67))</f>
        <v/>
      </c>
      <c r="BO67">
        <f>MAX(0,MIN(1,0.30*BC67+0.24*BD67+0.18*AS67+0.14*(1-BI67)+0.14*AT67))</f>
        <v/>
      </c>
      <c r="BP67">
        <f>MAX(0,MIN(1,0.26*AS67+0.20*(1-BA67)+0.16*(1-AW67)+0.18*BG67+0.10*AU67+0.10+BB67))</f>
        <v/>
      </c>
      <c r="BQ67">
        <f>MAX(0,MIN(1,0.24*AT67+0.18*BF67+0.14*AR67+0.14*BO67+0.14*(1-AV67)+0.16*(1-AZ67)))</f>
        <v/>
      </c>
      <c r="BR67">
        <f>IF(BO67&gt;=0.80,"Open",IF(BO67&gt;=0.62,"Measured",IF(BO67&gt;=0.45,"Selective","Guarded")))</f>
        <v/>
      </c>
      <c r="BS67">
        <f>IF(Y67="COMM_Direct","Direct",IF(Y67="COMM_Emotional","Emotional",IF(Y67="COMM_Logical","Logical",IF(Y67="COMM_Indirect","Indirect","Avoidant"))))</f>
        <v/>
      </c>
      <c r="BT67">
        <f>IF(BG67&gt;=0.78,"Co-repair",IF(BG67&gt;=0.58,"Re-engage",IF(BG67&gt;=0.40,"Delay","Suppress")))</f>
        <v/>
      </c>
      <c r="BU67">
        <f>IF(BI67&gt;=0.70,"Retreat-risk",IF(BH67&lt;=0.40,"Rush-risk",IF(BH67&gt;=0.65,"Slow-build","Mixed")))</f>
        <v/>
      </c>
      <c r="BV67">
        <f>IF(BL67-BM67&gt;=0.15,"Stimulation-seeking",IF(BM67-BL67&gt;=0.15,"Calm-seeking","Mixed")))</f>
        <v/>
      </c>
      <c r="BW67">
        <f>IF(AND(BL67&gt;=0.72,BM67&lt;0.48),"High",IF(AND(BL67&gt;=0.60,BM67&lt;0.58),"Medium","Low"))</f>
        <v/>
      </c>
    </row>
    <row r="68" ht="121.5" customHeight="1" s="10">
      <c r="A68" s="2" t="inlineStr">
        <is>
          <t>Q14_B</t>
        </is>
      </c>
      <c r="B68" s="2" t="n">
        <v>14</v>
      </c>
      <c r="C68" s="2" t="n">
        <v>14</v>
      </c>
      <c r="D68" s="2" t="inlineStr">
        <is>
          <t>Core</t>
        </is>
      </c>
      <c r="E68" s="2" t="n">
        <v>1.05</v>
      </c>
      <c r="F68" s="2" t="inlineStr">
        <is>
          <t>ConflictRepair</t>
        </is>
      </c>
      <c r="G68" s="2" t="inlineStr">
        <is>
          <t>CommunicationHealth</t>
        </is>
      </c>
      <c r="H68" s="2" t="n"/>
      <c r="I68" s="2" t="inlineStr">
        <is>
          <t>B</t>
        </is>
      </c>
      <c r="J68" s="2" t="inlineStr">
        <is>
          <t>B</t>
        </is>
      </c>
      <c r="K68" s="2" t="inlineStr">
        <is>
          <t>I start overexplaining, why I care, what I mean, what I hope for. I try to make it easier to choose me.</t>
        </is>
      </c>
      <c r="L68" s="2" t="n">
        <v>5</v>
      </c>
      <c r="M68" s="2" t="n">
        <v>6</v>
      </c>
      <c r="N68" s="2" t="n">
        <v>4</v>
      </c>
      <c r="O68" s="2" t="n">
        <v>4</v>
      </c>
      <c r="P68" s="2" t="n">
        <v>4</v>
      </c>
      <c r="Q68" s="2" t="inlineStr">
        <is>
          <t>Fixer</t>
        </is>
      </c>
      <c r="R68" s="2" t="n">
        <v>5</v>
      </c>
      <c r="S68" s="2" t="n"/>
      <c r="T68" s="2" t="n"/>
      <c r="U68" s="2" t="n">
        <v>0</v>
      </c>
      <c r="V68" s="2" t="inlineStr">
        <is>
          <t>masc:-0.4;fem:2.0</t>
        </is>
      </c>
      <c r="W68" s="2" t="n">
        <v>-0.4</v>
      </c>
      <c r="X68" s="2" t="n">
        <v>2</v>
      </c>
      <c r="Y68" s="2" t="inlineStr">
        <is>
          <t>COMM_Emotional</t>
        </is>
      </c>
      <c r="Z68" s="2" t="inlineStr">
        <is>
          <t>REG_CoRegulator</t>
        </is>
      </c>
      <c r="AA68" s="2" t="inlineStr">
        <is>
          <t>LANG_Service</t>
        </is>
      </c>
      <c r="AB68" s="2" t="inlineStr">
        <is>
          <t>Vulnerability_Loop</t>
        </is>
      </c>
      <c r="AC68" s="2" t="inlineStr">
        <is>
          <t>Vulnerability_Loop</t>
        </is>
      </c>
      <c r="AD68" s="2" t="n"/>
      <c r="AE68" s="2" t="n">
        <v>5</v>
      </c>
      <c r="AF68" s="2" t="inlineStr">
        <is>
          <t>emotional sales pitch</t>
        </is>
      </c>
      <c r="AG68" s="2" t="inlineStr">
        <is>
          <t>approval seeker</t>
        </is>
      </c>
      <c r="AH68" s="2" t="n">
        <v>0</v>
      </c>
      <c r="AI68" s="2" t="inlineStr">
        <is>
          <t>yes</t>
        </is>
      </c>
      <c r="AJ68" s="2" t="inlineStr">
        <is>
          <t>no</t>
        </is>
      </c>
      <c r="AK68" s="2" t="inlineStr">
        <is>
          <t>yes</t>
        </is>
      </c>
      <c r="AL68" s="2" t="inlineStr">
        <is>
          <t>yes</t>
        </is>
      </c>
      <c r="AM68" s="2" t="n"/>
      <c r="AN68" s="2" t="n"/>
      <c r="AO68" s="2" t="n"/>
      <c r="AP68" s="2" t="inlineStr">
        <is>
          <t>v3_2026-03-19</t>
        </is>
      </c>
      <c r="AQ68">
        <f>(L68-Schema_v5!$C2)/(Schema_v5!$C3-Schema_v5!$C2)</f>
        <v/>
      </c>
      <c r="AR68">
        <f>(M68-Schema_v5!$C4)/(Schema_v5!$C5-Schema_v5!$C4)</f>
        <v/>
      </c>
      <c r="AS68">
        <f>N68/Schema_v5!$C6</f>
        <v/>
      </c>
      <c r="AT68">
        <f>O68/Schema_v5!$C7</f>
        <v/>
      </c>
      <c r="AU68">
        <f>P68/Schema_v5!$C8</f>
        <v/>
      </c>
      <c r="AV68">
        <f>IF(Schema_v5!$C9=0,0,AH68/Schema_v5!$C9)</f>
        <v/>
      </c>
      <c r="AW68">
        <f>IF(Schema_v5!$C10=0,0,AE68/Schema_v5!$C10)</f>
        <v/>
      </c>
      <c r="AX68">
        <f>(W68-Schema_v5!$C11)/(Schema_v5!$C12-Schema_v5!$C11)</f>
        <v/>
      </c>
      <c r="AY68">
        <f>(X68-Schema_v5!$C13)/(Schema_v5!$C14-Schema_v5!$C13)</f>
        <v/>
      </c>
      <c r="AZ68">
        <f>MIN(1,MAX(0,U68/Schema_v7!$C$9))</f>
        <v/>
      </c>
      <c r="BA68">
        <f>IF(AJ68="yes",0.55,0)</f>
        <v/>
      </c>
      <c r="BB68">
        <f>IF(AI68="yes",0.10,0)</f>
        <v/>
      </c>
      <c r="BC68">
        <f>IF(Y68="COMM_Direct",0.92,IF(Y68="COMM_Emotional",0.70,IF(Y68="COMM_Logical",0.65,IF(Y68="COMM_Indirect",0.55,0.35))))</f>
        <v/>
      </c>
      <c r="BD68">
        <f>IF(Z68="REG_CoRegulator",0.92,IF(Z68="REG_SelfSoother",0.76,IF(Z68="REG_Distractor",0.48,0.35)))</f>
        <v/>
      </c>
      <c r="BE68">
        <f>IF(AA68="LANG_Time",0.76,IF(AA68="LANG_Service",0.70,IF(AA68="LANG_Words",0.72,IF(AA68="LANG_Touch",0.68,0.60))))</f>
        <v/>
      </c>
      <c r="BF68">
        <f>MAX(0,MIN(1,0.28*AS68+0.16*AT68+0.18*BC68+0.18*BD68+0.10*(1-AZ68)+0.10*(1-BA68)+BB68))</f>
        <v/>
      </c>
      <c r="BG68">
        <f>MAX(0,MIN(1,0.24*AU68+0.18*AS68+0.18*BC68+0.20*BD68+0.10*(1-AW68)+0.10*(1-BA68)))</f>
        <v/>
      </c>
      <c r="BH68">
        <f>MAX(0,MIN(1,0.28*AR68+0.18*AT68+0.16*AU68+0.18*(1-AV68)+0.10*(1-AW68)+0.10*BF68))</f>
        <v/>
      </c>
      <c r="BI68">
        <f>MAX(0,MIN(1,0.30*AV68+0.20*AZ68+0.20*AW68+0.15*(1-BH68)+0.15*(1-BO68)))</f>
        <v/>
      </c>
      <c r="BJ68">
        <f>MAX(0,1-(ABS(((( AX68+AY68)/2)-0.55)*1.6)))</f>
        <v/>
      </c>
      <c r="BK68">
        <f>MAX(0,MIN(1,0.28*AR68+0.18*AT68+0.16*BJ68+0.14*(1-AV68)+0.12*BQ68+0.12*BO68))</f>
        <v/>
      </c>
      <c r="BL68">
        <f>MAX(0,MIN(1,0.22*AQ68+0.18*AS68+0.18*BC68+0.18*BD68+0.08*BE68+0.10*BF68+0.06*BO68))</f>
        <v/>
      </c>
      <c r="BM68">
        <f>MAX(0,MIN(1,0.20*(1-AZ68)+0.16*(1-BA68)+0.14*(1-AW68)+0.14*AU68+0.18*BG68+0.10*BH68+0.08*BP68))</f>
        <v/>
      </c>
      <c r="BN68">
        <f>MAX(0,MIN(1,0.42*BJ68+0.33*BK68+0.15*AT68+0.10*BQ68))</f>
        <v/>
      </c>
      <c r="BO68">
        <f>MAX(0,MIN(1,0.30*BC68+0.24*BD68+0.18*AS68+0.14*(1-BI68)+0.14*AT68))</f>
        <v/>
      </c>
      <c r="BP68">
        <f>MAX(0,MIN(1,0.26*AS68+0.20*(1-BA68)+0.16*(1-AW68)+0.18*BG68+0.10*AU68+0.10+BB68))</f>
        <v/>
      </c>
      <c r="BQ68">
        <f>MAX(0,MIN(1,0.24*AT68+0.18*BF68+0.14*AR68+0.14*BO68+0.14*(1-AV68)+0.16*(1-AZ68)))</f>
        <v/>
      </c>
      <c r="BR68">
        <f>IF(BO68&gt;=0.80,"Open",IF(BO68&gt;=0.62,"Measured",IF(BO68&gt;=0.45,"Selective","Guarded")))</f>
        <v/>
      </c>
      <c r="BS68">
        <f>IF(Y68="COMM_Direct","Direct",IF(Y68="COMM_Emotional","Emotional",IF(Y68="COMM_Logical","Logical",IF(Y68="COMM_Indirect","Indirect","Avoidant"))))</f>
        <v/>
      </c>
      <c r="BT68">
        <f>IF(BG68&gt;=0.78,"Co-repair",IF(BG68&gt;=0.58,"Re-engage",IF(BG68&gt;=0.40,"Delay","Suppress")))</f>
        <v/>
      </c>
      <c r="BU68">
        <f>IF(BI68&gt;=0.70,"Retreat-risk",IF(BH68&lt;=0.40,"Rush-risk",IF(BH68&gt;=0.65,"Slow-build","Mixed")))</f>
        <v/>
      </c>
      <c r="BV68">
        <f>IF(BL68-BM68&gt;=0.15,"Stimulation-seeking",IF(BM68-BL68&gt;=0.15,"Calm-seeking","Mixed")))</f>
        <v/>
      </c>
      <c r="BW68">
        <f>IF(AND(BL68&gt;=0.72,BM68&lt;0.48),"High",IF(AND(BL68&gt;=0.60,BM68&lt;0.58),"Medium","Low"))</f>
        <v/>
      </c>
    </row>
    <row r="69" ht="108" customHeight="1" s="10">
      <c r="A69" s="2" t="inlineStr">
        <is>
          <t>Q14_C</t>
        </is>
      </c>
      <c r="B69" s="2" t="n">
        <v>14</v>
      </c>
      <c r="C69" s="2" t="n">
        <v>14</v>
      </c>
      <c r="D69" s="2" t="inlineStr">
        <is>
          <t>Core</t>
        </is>
      </c>
      <c r="E69" s="2" t="n">
        <v>1.05</v>
      </c>
      <c r="F69" s="2" t="inlineStr">
        <is>
          <t>ConflictRepair</t>
        </is>
      </c>
      <c r="G69" s="2" t="inlineStr">
        <is>
          <t>CommunicationHealth</t>
        </is>
      </c>
      <c r="H69" s="2" t="n"/>
      <c r="I69" s="2" t="inlineStr">
        <is>
          <t>C</t>
        </is>
      </c>
      <c r="J69" s="2" t="inlineStr">
        <is>
          <t>C</t>
        </is>
      </c>
      <c r="K69" s="2" t="inlineStr">
        <is>
          <t>I act like I don't care, but it eats at me. I show up less, talk less, but I'm still watching every move.</t>
        </is>
      </c>
      <c r="L69" s="2" t="n">
        <v>5</v>
      </c>
      <c r="M69" s="2" t="n">
        <v>6</v>
      </c>
      <c r="N69" s="2" t="n">
        <v>2</v>
      </c>
      <c r="O69" s="2" t="n">
        <v>4</v>
      </c>
      <c r="P69" s="2" t="n">
        <v>2</v>
      </c>
      <c r="Q69" s="2" t="inlineStr">
        <is>
          <t>Phantom Seeker</t>
        </is>
      </c>
      <c r="R69" s="2" t="n">
        <v>10</v>
      </c>
      <c r="S69" s="2" t="n"/>
      <c r="T69" s="2" t="n"/>
      <c r="U69" s="2" t="n">
        <v>0</v>
      </c>
      <c r="V69" s="2" t="inlineStr">
        <is>
          <t>masc:-0.2;fem:1.5</t>
        </is>
      </c>
      <c r="W69" s="2" t="n">
        <v>-0.2</v>
      </c>
      <c r="X69" s="2" t="n">
        <v>1.5</v>
      </c>
      <c r="Y69" s="2" t="inlineStr">
        <is>
          <t>COMM_Emotional</t>
        </is>
      </c>
      <c r="Z69" s="2" t="inlineStr">
        <is>
          <t>REG_SelfSoother</t>
        </is>
      </c>
      <c r="AA69" s="2" t="inlineStr">
        <is>
          <t>LANG_Touch</t>
        </is>
      </c>
      <c r="AB69" s="2" t="inlineStr">
        <is>
          <t>Vulnerability_Loop</t>
        </is>
      </c>
      <c r="AC69" s="2" t="inlineStr">
        <is>
          <t>Vulnerability_Loop</t>
        </is>
      </c>
      <c r="AD69" s="2" t="n"/>
      <c r="AE69" s="2" t="n">
        <v>5</v>
      </c>
      <c r="AF69" s="2" t="inlineStr">
        <is>
          <t>internal retreat</t>
        </is>
      </c>
      <c r="AG69" s="2" t="inlineStr">
        <is>
          <t>quiet stewer</t>
        </is>
      </c>
      <c r="AH69" s="2" t="n">
        <v>0</v>
      </c>
      <c r="AI69" s="2" t="inlineStr">
        <is>
          <t>yes</t>
        </is>
      </c>
      <c r="AJ69" s="2" t="inlineStr">
        <is>
          <t>no</t>
        </is>
      </c>
      <c r="AK69" s="2" t="inlineStr">
        <is>
          <t>yes</t>
        </is>
      </c>
      <c r="AL69" s="2" t="inlineStr">
        <is>
          <t>yes</t>
        </is>
      </c>
      <c r="AM69" s="2" t="n"/>
      <c r="AN69" s="2" t="n"/>
      <c r="AO69" s="2" t="n"/>
      <c r="AP69" s="2" t="inlineStr">
        <is>
          <t>v3_2026-03-19</t>
        </is>
      </c>
      <c r="AQ69">
        <f>(L69-Schema_v5!$C2)/(Schema_v5!$C3-Schema_v5!$C2)</f>
        <v/>
      </c>
      <c r="AR69">
        <f>(M69-Schema_v5!$C4)/(Schema_v5!$C5-Schema_v5!$C4)</f>
        <v/>
      </c>
      <c r="AS69">
        <f>N69/Schema_v5!$C6</f>
        <v/>
      </c>
      <c r="AT69">
        <f>O69/Schema_v5!$C7</f>
        <v/>
      </c>
      <c r="AU69">
        <f>P69/Schema_v5!$C8</f>
        <v/>
      </c>
      <c r="AV69">
        <f>IF(Schema_v5!$C9=0,0,AH69/Schema_v5!$C9)</f>
        <v/>
      </c>
      <c r="AW69">
        <f>IF(Schema_v5!$C10=0,0,AE69/Schema_v5!$C10)</f>
        <v/>
      </c>
      <c r="AX69">
        <f>(W69-Schema_v5!$C11)/(Schema_v5!$C12-Schema_v5!$C11)</f>
        <v/>
      </c>
      <c r="AY69">
        <f>(X69-Schema_v5!$C13)/(Schema_v5!$C14-Schema_v5!$C13)</f>
        <v/>
      </c>
      <c r="AZ69">
        <f>MIN(1,MAX(0,U69/Schema_v7!$C$9))</f>
        <v/>
      </c>
      <c r="BA69">
        <f>IF(AJ69="yes",0.55,0)</f>
        <v/>
      </c>
      <c r="BB69">
        <f>IF(AI69="yes",0.10,0)</f>
        <v/>
      </c>
      <c r="BC69">
        <f>IF(Y69="COMM_Direct",0.92,IF(Y69="COMM_Emotional",0.70,IF(Y69="COMM_Logical",0.65,IF(Y69="COMM_Indirect",0.55,0.35))))</f>
        <v/>
      </c>
      <c r="BD69">
        <f>IF(Z69="REG_CoRegulator",0.92,IF(Z69="REG_SelfSoother",0.76,IF(Z69="REG_Distractor",0.48,0.35)))</f>
        <v/>
      </c>
      <c r="BE69">
        <f>IF(AA69="LANG_Time",0.76,IF(AA69="LANG_Service",0.70,IF(AA69="LANG_Words",0.72,IF(AA69="LANG_Touch",0.68,0.60))))</f>
        <v/>
      </c>
      <c r="BF69">
        <f>MAX(0,MIN(1,0.28*AS69+0.16*AT69+0.18*BC69+0.18*BD69+0.10*(1-AZ69)+0.10*(1-BA69)+BB69))</f>
        <v/>
      </c>
      <c r="BG69">
        <f>MAX(0,MIN(1,0.24*AU69+0.18*AS69+0.18*BC69+0.20*BD69+0.10*(1-AW69)+0.10*(1-BA69)))</f>
        <v/>
      </c>
      <c r="BH69">
        <f>MAX(0,MIN(1,0.28*AR69+0.18*AT69+0.16*AU69+0.18*(1-AV69)+0.10*(1-AW69)+0.10*BF69))</f>
        <v/>
      </c>
      <c r="BI69">
        <f>MAX(0,MIN(1,0.30*AV69+0.20*AZ69+0.20*AW69+0.15*(1-BH69)+0.15*(1-BO69)))</f>
        <v/>
      </c>
      <c r="BJ69">
        <f>MAX(0,1-(ABS(((( AX69+AY69)/2)-0.55)*1.6)))</f>
        <v/>
      </c>
      <c r="BK69">
        <f>MAX(0,MIN(1,0.28*AR69+0.18*AT69+0.16*BJ69+0.14*(1-AV69)+0.12*BQ69+0.12*BO69))</f>
        <v/>
      </c>
      <c r="BL69">
        <f>MAX(0,MIN(1,0.22*AQ69+0.18*AS69+0.18*BC69+0.18*BD69+0.08*BE69+0.10*BF69+0.06*BO69))</f>
        <v/>
      </c>
      <c r="BM69">
        <f>MAX(0,MIN(1,0.20*(1-AZ69)+0.16*(1-BA69)+0.14*(1-AW69)+0.14*AU69+0.18*BG69+0.10*BH69+0.08*BP69))</f>
        <v/>
      </c>
      <c r="BN69">
        <f>MAX(0,MIN(1,0.42*BJ69+0.33*BK69+0.15*AT69+0.10*BQ69))</f>
        <v/>
      </c>
      <c r="BO69">
        <f>MAX(0,MIN(1,0.30*BC69+0.24*BD69+0.18*AS69+0.14*(1-BI69)+0.14*AT69))</f>
        <v/>
      </c>
      <c r="BP69">
        <f>MAX(0,MIN(1,0.26*AS69+0.20*(1-BA69)+0.16*(1-AW69)+0.18*BG69+0.10*AU69+0.10+BB69))</f>
        <v/>
      </c>
      <c r="BQ69">
        <f>MAX(0,MIN(1,0.24*AT69+0.18*BF69+0.14*AR69+0.14*BO69+0.14*(1-AV69)+0.16*(1-AZ69)))</f>
        <v/>
      </c>
      <c r="BR69">
        <f>IF(BO69&gt;=0.80,"Open",IF(BO69&gt;=0.62,"Measured",IF(BO69&gt;=0.45,"Selective","Guarded")))</f>
        <v/>
      </c>
      <c r="BS69">
        <f>IF(Y69="COMM_Direct","Direct",IF(Y69="COMM_Emotional","Emotional",IF(Y69="COMM_Logical","Logical",IF(Y69="COMM_Indirect","Indirect","Avoidant"))))</f>
        <v/>
      </c>
      <c r="BT69">
        <f>IF(BG69&gt;=0.78,"Co-repair",IF(BG69&gt;=0.58,"Re-engage",IF(BG69&gt;=0.40,"Delay","Suppress")))</f>
        <v/>
      </c>
      <c r="BU69">
        <f>IF(BI69&gt;=0.70,"Retreat-risk",IF(BH69&lt;=0.40,"Rush-risk",IF(BH69&gt;=0.65,"Slow-build","Mixed")))</f>
        <v/>
      </c>
      <c r="BV69">
        <f>IF(BL69-BM69&gt;=0.15,"Stimulation-seeking",IF(BM69-BL69&gt;=0.15,"Calm-seeking","Mixed")))</f>
        <v/>
      </c>
      <c r="BW69">
        <f>IF(AND(BL69&gt;=0.72,BM69&lt;0.48),"High",IF(AND(BL69&gt;=0.60,BM69&lt;0.58),"Medium","Low"))</f>
        <v/>
      </c>
    </row>
    <row r="70" ht="135" customHeight="1" s="10">
      <c r="A70" s="2" t="inlineStr">
        <is>
          <t>Q14_D</t>
        </is>
      </c>
      <c r="B70" s="2" t="n">
        <v>14</v>
      </c>
      <c r="C70" s="2" t="n">
        <v>14</v>
      </c>
      <c r="D70" s="2" t="inlineStr">
        <is>
          <t>Core</t>
        </is>
      </c>
      <c r="E70" s="2" t="n">
        <v>1.05</v>
      </c>
      <c r="F70" s="2" t="inlineStr">
        <is>
          <t>ConflictRepair</t>
        </is>
      </c>
      <c r="G70" s="2" t="inlineStr">
        <is>
          <t>CommunicationHealth</t>
        </is>
      </c>
      <c r="H70" s="2" t="n"/>
      <c r="I70" s="2" t="inlineStr">
        <is>
          <t>D</t>
        </is>
      </c>
      <c r="J70" s="2" t="inlineStr">
        <is>
          <t>D</t>
        </is>
      </c>
      <c r="K70" s="2" t="inlineStr">
        <is>
          <t>I pretend I'm fine, but the shift gets loud. Suddenly I'm noticing who they respond to faster. Who gets their energy.</t>
        </is>
      </c>
      <c r="L70" s="2" t="n">
        <v>6</v>
      </c>
      <c r="M70" s="2" t="n">
        <v>7</v>
      </c>
      <c r="N70" s="2" t="n">
        <v>4</v>
      </c>
      <c r="O70" s="2" t="n">
        <v>4</v>
      </c>
      <c r="P70" s="2" t="n">
        <v>2</v>
      </c>
      <c r="Q70" s="2" t="inlineStr">
        <is>
          <t>Analyzer</t>
        </is>
      </c>
      <c r="R70" s="2" t="n">
        <v>2</v>
      </c>
      <c r="S70" s="2" t="n"/>
      <c r="T70" s="2" t="n"/>
      <c r="U70" s="2" t="n">
        <v>0</v>
      </c>
      <c r="V70" s="2" t="inlineStr">
        <is>
          <t>masc:1.4;fem:0.1</t>
        </is>
      </c>
      <c r="W70" s="2" t="n">
        <v>1.4</v>
      </c>
      <c r="X70" s="2" t="n">
        <v>0.1</v>
      </c>
      <c r="Y70" s="2" t="inlineStr">
        <is>
          <t>COMM_Logical</t>
        </is>
      </c>
      <c r="Z70" s="2" t="inlineStr">
        <is>
          <t>REG_SelfSoother</t>
        </is>
      </c>
      <c r="AA70" s="2" t="inlineStr">
        <is>
          <t>LANG_Service</t>
        </is>
      </c>
      <c r="AB70" s="2" t="inlineStr">
        <is>
          <t>Vulnerability_Loop</t>
        </is>
      </c>
      <c r="AC70" s="2" t="inlineStr">
        <is>
          <t>Vulnerability_Loop</t>
        </is>
      </c>
      <c r="AD70" s="2" t="n"/>
      <c r="AE70" s="2" t="n">
        <v>5</v>
      </c>
      <c r="AF70" s="2" t="inlineStr">
        <is>
          <t>silent scorekeeper</t>
        </is>
      </c>
      <c r="AG70" s="2" t="inlineStr">
        <is>
          <t>attention tracker</t>
        </is>
      </c>
      <c r="AH70" s="2" t="n">
        <v>1.8</v>
      </c>
      <c r="AI70" s="2" t="inlineStr">
        <is>
          <t>yes</t>
        </is>
      </c>
      <c r="AJ70" s="2" t="inlineStr">
        <is>
          <t>no</t>
        </is>
      </c>
      <c r="AK70" s="2" t="inlineStr">
        <is>
          <t>yes</t>
        </is>
      </c>
      <c r="AL70" s="2" t="inlineStr">
        <is>
          <t>yes</t>
        </is>
      </c>
      <c r="AM70" s="2" t="n"/>
      <c r="AN70" s="2" t="n"/>
      <c r="AO70" s="2" t="n"/>
      <c r="AP70" s="2" t="inlineStr">
        <is>
          <t>v3_2026-03-19</t>
        </is>
      </c>
      <c r="AQ70">
        <f>(L70-Schema_v5!$C2)/(Schema_v5!$C3-Schema_v5!$C2)</f>
        <v/>
      </c>
      <c r="AR70">
        <f>(M70-Schema_v5!$C4)/(Schema_v5!$C5-Schema_v5!$C4)</f>
        <v/>
      </c>
      <c r="AS70">
        <f>N70/Schema_v5!$C6</f>
        <v/>
      </c>
      <c r="AT70">
        <f>O70/Schema_v5!$C7</f>
        <v/>
      </c>
      <c r="AU70">
        <f>P70/Schema_v5!$C8</f>
        <v/>
      </c>
      <c r="AV70">
        <f>IF(Schema_v5!$C9=0,0,AH70/Schema_v5!$C9)</f>
        <v/>
      </c>
      <c r="AW70">
        <f>IF(Schema_v5!$C10=0,0,AE70/Schema_v5!$C10)</f>
        <v/>
      </c>
      <c r="AX70">
        <f>(W70-Schema_v5!$C11)/(Schema_v5!$C12-Schema_v5!$C11)</f>
        <v/>
      </c>
      <c r="AY70">
        <f>(X70-Schema_v5!$C13)/(Schema_v5!$C14-Schema_v5!$C13)</f>
        <v/>
      </c>
      <c r="AZ70">
        <f>MIN(1,MAX(0,U70/Schema_v7!$C$9))</f>
        <v/>
      </c>
      <c r="BA70">
        <f>IF(AJ70="yes",0.55,0)</f>
        <v/>
      </c>
      <c r="BB70">
        <f>IF(AI70="yes",0.10,0)</f>
        <v/>
      </c>
      <c r="BC70">
        <f>IF(Y70="COMM_Direct",0.92,IF(Y70="COMM_Emotional",0.70,IF(Y70="COMM_Logical",0.65,IF(Y70="COMM_Indirect",0.55,0.35))))</f>
        <v/>
      </c>
      <c r="BD70">
        <f>IF(Z70="REG_CoRegulator",0.92,IF(Z70="REG_SelfSoother",0.76,IF(Z70="REG_Distractor",0.48,0.35)))</f>
        <v/>
      </c>
      <c r="BE70">
        <f>IF(AA70="LANG_Time",0.76,IF(AA70="LANG_Service",0.70,IF(AA70="LANG_Words",0.72,IF(AA70="LANG_Touch",0.68,0.60))))</f>
        <v/>
      </c>
      <c r="BF70">
        <f>MAX(0,MIN(1,0.28*AS70+0.16*AT70+0.18*BC70+0.18*BD70+0.10*(1-AZ70)+0.10*(1-BA70)+BB70))</f>
        <v/>
      </c>
      <c r="BG70">
        <f>MAX(0,MIN(1,0.24*AU70+0.18*AS70+0.18*BC70+0.20*BD70+0.10*(1-AW70)+0.10*(1-BA70)))</f>
        <v/>
      </c>
      <c r="BH70">
        <f>MAX(0,MIN(1,0.28*AR70+0.18*AT70+0.16*AU70+0.18*(1-AV70)+0.10*(1-AW70)+0.10*BF70))</f>
        <v/>
      </c>
      <c r="BI70">
        <f>MAX(0,MIN(1,0.30*AV70+0.20*AZ70+0.20*AW70+0.15*(1-BH70)+0.15*(1-BO70)))</f>
        <v/>
      </c>
      <c r="BJ70">
        <f>MAX(0,1-(ABS(((( AX70+AY70)/2)-0.55)*1.6)))</f>
        <v/>
      </c>
      <c r="BK70">
        <f>MAX(0,MIN(1,0.28*AR70+0.18*AT70+0.16*BJ70+0.14*(1-AV70)+0.12*BQ70+0.12*BO70))</f>
        <v/>
      </c>
      <c r="BL70">
        <f>MAX(0,MIN(1,0.22*AQ70+0.18*AS70+0.18*BC70+0.18*BD70+0.08*BE70+0.10*BF70+0.06*BO70))</f>
        <v/>
      </c>
      <c r="BM70">
        <f>MAX(0,MIN(1,0.20*(1-AZ70)+0.16*(1-BA70)+0.14*(1-AW70)+0.14*AU70+0.18*BG70+0.10*BH70+0.08*BP70))</f>
        <v/>
      </c>
      <c r="BN70">
        <f>MAX(0,MIN(1,0.42*BJ70+0.33*BK70+0.15*AT70+0.10*BQ70))</f>
        <v/>
      </c>
      <c r="BO70">
        <f>MAX(0,MIN(1,0.30*BC70+0.24*BD70+0.18*AS70+0.14*(1-BI70)+0.14*AT70))</f>
        <v/>
      </c>
      <c r="BP70">
        <f>MAX(0,MIN(1,0.26*AS70+0.20*(1-BA70)+0.16*(1-AW70)+0.18*BG70+0.10*AU70+0.10+BB70))</f>
        <v/>
      </c>
      <c r="BQ70">
        <f>MAX(0,MIN(1,0.24*AT70+0.18*BF70+0.14*AR70+0.14*BO70+0.14*(1-AV70)+0.16*(1-AZ70)))</f>
        <v/>
      </c>
      <c r="BR70">
        <f>IF(BO70&gt;=0.80,"Open",IF(BO70&gt;=0.62,"Measured",IF(BO70&gt;=0.45,"Selective","Guarded")))</f>
        <v/>
      </c>
      <c r="BS70">
        <f>IF(Y70="COMM_Direct","Direct",IF(Y70="COMM_Emotional","Emotional",IF(Y70="COMM_Logical","Logical",IF(Y70="COMM_Indirect","Indirect","Avoidant"))))</f>
        <v/>
      </c>
      <c r="BT70">
        <f>IF(BG70&gt;=0.78,"Co-repair",IF(BG70&gt;=0.58,"Re-engage",IF(BG70&gt;=0.40,"Delay","Suppress")))</f>
        <v/>
      </c>
      <c r="BU70">
        <f>IF(BI70&gt;=0.70,"Retreat-risk",IF(BH70&lt;=0.40,"Rush-risk",IF(BH70&gt;=0.65,"Slow-build","Mixed")))</f>
        <v/>
      </c>
      <c r="BV70">
        <f>IF(BL70-BM70&gt;=0.15,"Stimulation-seeking",IF(BM70-BL70&gt;=0.15,"Calm-seeking","Mixed")))</f>
        <v/>
      </c>
      <c r="BW70">
        <f>IF(AND(BL70&gt;=0.72,BM70&lt;0.48),"High",IF(AND(BL70&gt;=0.60,BM70&lt;0.58),"Medium","Low"))</f>
        <v/>
      </c>
    </row>
    <row r="71" ht="121.5" customHeight="1" s="10">
      <c r="A71" s="2" t="inlineStr">
        <is>
          <t>Q14_E</t>
        </is>
      </c>
      <c r="B71" s="2" t="n">
        <v>14</v>
      </c>
      <c r="C71" s="2" t="n">
        <v>14</v>
      </c>
      <c r="D71" s="2" t="inlineStr">
        <is>
          <t>Core</t>
        </is>
      </c>
      <c r="E71" s="2" t="n">
        <v>1.05</v>
      </c>
      <c r="F71" s="2" t="inlineStr">
        <is>
          <t>ConflictRepair</t>
        </is>
      </c>
      <c r="G71" s="2" t="inlineStr">
        <is>
          <t>CommunicationHealth</t>
        </is>
      </c>
      <c r="H71" s="2" t="n"/>
      <c r="I71" s="2" t="inlineStr">
        <is>
          <t>E</t>
        </is>
      </c>
      <c r="J71" s="2" t="inlineStr">
        <is>
          <t>E</t>
        </is>
      </c>
      <c r="K71" s="2" t="inlineStr">
        <is>
          <t>I clock it, stash the receipt, and stop reaching out. I've made that mistake before, won't repeat it.</t>
        </is>
      </c>
      <c r="L71" s="2" t="n">
        <v>8</v>
      </c>
      <c r="M71" s="2" t="n">
        <v>9</v>
      </c>
      <c r="N71" s="2" t="n">
        <v>4</v>
      </c>
      <c r="O71" s="2" t="n">
        <v>6</v>
      </c>
      <c r="P71" s="2" t="n">
        <v>2</v>
      </c>
      <c r="Q71" s="2" t="inlineStr">
        <is>
          <t>Quiet Exit</t>
        </is>
      </c>
      <c r="R71" s="2" t="n">
        <v>4</v>
      </c>
      <c r="S71" s="2" t="n"/>
      <c r="T71" s="2" t="n"/>
      <c r="U71" s="2" t="n">
        <v>0</v>
      </c>
      <c r="V71" s="2" t="inlineStr">
        <is>
          <t>masc:1.4;fem:-1.3</t>
        </is>
      </c>
      <c r="W71" s="2" t="n">
        <v>1.4</v>
      </c>
      <c r="X71" s="2" t="n">
        <v>-1.3</v>
      </c>
      <c r="Y71" s="2" t="inlineStr">
        <is>
          <t>COMM_Avoidant</t>
        </is>
      </c>
      <c r="Z71" s="2" t="inlineStr">
        <is>
          <t>REG_Suppressor</t>
        </is>
      </c>
      <c r="AA71" s="2" t="inlineStr">
        <is>
          <t>LANG_Time</t>
        </is>
      </c>
      <c r="AB71" s="2" t="n"/>
      <c r="AC71" s="2" t="n"/>
      <c r="AD71" s="2" t="n"/>
      <c r="AE71" s="2" t="n">
        <v>0</v>
      </c>
      <c r="AF71" s="2" t="inlineStr">
        <is>
          <t>strategic shutdown</t>
        </is>
      </c>
      <c r="AG71" s="2" t="inlineStr">
        <is>
          <t>decisive withdrawer</t>
        </is>
      </c>
      <c r="AH71" s="2" t="n">
        <v>0.6</v>
      </c>
      <c r="AI71" s="2" t="inlineStr">
        <is>
          <t>no</t>
        </is>
      </c>
      <c r="AJ71" s="2" t="inlineStr">
        <is>
          <t>no</t>
        </is>
      </c>
      <c r="AK71" s="2" t="inlineStr">
        <is>
          <t>yes</t>
        </is>
      </c>
      <c r="AL71" s="2" t="inlineStr">
        <is>
          <t>yes</t>
        </is>
      </c>
      <c r="AM71" s="2" t="n"/>
      <c r="AN71" s="2" t="n"/>
      <c r="AO71" s="2" t="n"/>
      <c r="AP71" s="2" t="inlineStr">
        <is>
          <t>v3_2026-03-19</t>
        </is>
      </c>
      <c r="AQ71">
        <f>(L71-Schema_v5!$C2)/(Schema_v5!$C3-Schema_v5!$C2)</f>
        <v/>
      </c>
      <c r="AR71">
        <f>(M71-Schema_v5!$C4)/(Schema_v5!$C5-Schema_v5!$C4)</f>
        <v/>
      </c>
      <c r="AS71">
        <f>N71/Schema_v5!$C6</f>
        <v/>
      </c>
      <c r="AT71">
        <f>O71/Schema_v5!$C7</f>
        <v/>
      </c>
      <c r="AU71">
        <f>P71/Schema_v5!$C8</f>
        <v/>
      </c>
      <c r="AV71">
        <f>IF(Schema_v5!$C9=0,0,AH71/Schema_v5!$C9)</f>
        <v/>
      </c>
      <c r="AW71">
        <f>IF(Schema_v5!$C10=0,0,AE71/Schema_v5!$C10)</f>
        <v/>
      </c>
      <c r="AX71">
        <f>(W71-Schema_v5!$C11)/(Schema_v5!$C12-Schema_v5!$C11)</f>
        <v/>
      </c>
      <c r="AY71">
        <f>(X71-Schema_v5!$C13)/(Schema_v5!$C14-Schema_v5!$C13)</f>
        <v/>
      </c>
      <c r="AZ71">
        <f>MIN(1,MAX(0,U71/Schema_v7!$C$9))</f>
        <v/>
      </c>
      <c r="BA71">
        <f>IF(AJ71="yes",0.55,0)</f>
        <v/>
      </c>
      <c r="BB71">
        <f>IF(AI71="yes",0.10,0)</f>
        <v/>
      </c>
      <c r="BC71">
        <f>IF(Y71="COMM_Direct",0.92,IF(Y71="COMM_Emotional",0.70,IF(Y71="COMM_Logical",0.65,IF(Y71="COMM_Indirect",0.55,0.35))))</f>
        <v/>
      </c>
      <c r="BD71">
        <f>IF(Z71="REG_CoRegulator",0.92,IF(Z71="REG_SelfSoother",0.76,IF(Z71="REG_Distractor",0.48,0.35)))</f>
        <v/>
      </c>
      <c r="BE71">
        <f>IF(AA71="LANG_Time",0.76,IF(AA71="LANG_Service",0.70,IF(AA71="LANG_Words",0.72,IF(AA71="LANG_Touch",0.68,0.60))))</f>
        <v/>
      </c>
      <c r="BF71">
        <f>MAX(0,MIN(1,0.28*AS71+0.16*AT71+0.18*BC71+0.18*BD71+0.10*(1-AZ71)+0.10*(1-BA71)+BB71))</f>
        <v/>
      </c>
      <c r="BG71">
        <f>MAX(0,MIN(1,0.24*AU71+0.18*AS71+0.18*BC71+0.20*BD71+0.10*(1-AW71)+0.10*(1-BA71)))</f>
        <v/>
      </c>
      <c r="BH71">
        <f>MAX(0,MIN(1,0.28*AR71+0.18*AT71+0.16*AU71+0.18*(1-AV71)+0.10*(1-AW71)+0.10*BF71))</f>
        <v/>
      </c>
      <c r="BI71">
        <f>MAX(0,MIN(1,0.30*AV71+0.20*AZ71+0.20*AW71+0.15*(1-BH71)+0.15*(1-BO71)))</f>
        <v/>
      </c>
      <c r="BJ71">
        <f>MAX(0,1-(ABS(((( AX71+AY71)/2)-0.55)*1.6)))</f>
        <v/>
      </c>
      <c r="BK71">
        <f>MAX(0,MIN(1,0.28*AR71+0.18*AT71+0.16*BJ71+0.14*(1-AV71)+0.12*BQ71+0.12*BO71))</f>
        <v/>
      </c>
      <c r="BL71">
        <f>MAX(0,MIN(1,0.22*AQ71+0.18*AS71+0.18*BC71+0.18*BD71+0.08*BE71+0.10*BF71+0.06*BO71))</f>
        <v/>
      </c>
      <c r="BM71">
        <f>MAX(0,MIN(1,0.20*(1-AZ71)+0.16*(1-BA71)+0.14*(1-AW71)+0.14*AU71+0.18*BG71+0.10*BH71+0.08*BP71))</f>
        <v/>
      </c>
      <c r="BN71">
        <f>MAX(0,MIN(1,0.42*BJ71+0.33*BK71+0.15*AT71+0.10*BQ71))</f>
        <v/>
      </c>
      <c r="BO71">
        <f>MAX(0,MIN(1,0.30*BC71+0.24*BD71+0.18*AS71+0.14*(1-BI71)+0.14*AT71))</f>
        <v/>
      </c>
      <c r="BP71">
        <f>MAX(0,MIN(1,0.26*AS71+0.20*(1-BA71)+0.16*(1-AW71)+0.18*BG71+0.10*AU71+0.10+BB71))</f>
        <v/>
      </c>
      <c r="BQ71">
        <f>MAX(0,MIN(1,0.24*AT71+0.18*BF71+0.14*AR71+0.14*BO71+0.14*(1-AV71)+0.16*(1-AZ71)))</f>
        <v/>
      </c>
      <c r="BR71">
        <f>IF(BO71&gt;=0.80,"Open",IF(BO71&gt;=0.62,"Measured",IF(BO71&gt;=0.45,"Selective","Guarded")))</f>
        <v/>
      </c>
      <c r="BS71">
        <f>IF(Y71="COMM_Direct","Direct",IF(Y71="COMM_Emotional","Emotional",IF(Y71="COMM_Logical","Logical",IF(Y71="COMM_Indirect","Indirect","Avoidant"))))</f>
        <v/>
      </c>
      <c r="BT71">
        <f>IF(BG71&gt;=0.78,"Co-repair",IF(BG71&gt;=0.58,"Re-engage",IF(BG71&gt;=0.40,"Delay","Suppress")))</f>
        <v/>
      </c>
      <c r="BU71">
        <f>IF(BI71&gt;=0.70,"Retreat-risk",IF(BH71&lt;=0.40,"Rush-risk",IF(BH71&gt;=0.65,"Slow-build","Mixed")))</f>
        <v/>
      </c>
      <c r="BV71">
        <f>IF(BL71-BM71&gt;=0.15,"Stimulation-seeking",IF(BM71-BL71&gt;=0.15,"Calm-seeking","Mixed")))</f>
        <v/>
      </c>
      <c r="BW71">
        <f>IF(AND(BL71&gt;=0.72,BM71&lt;0.48),"High",IF(AND(BL71&gt;=0.60,BM71&lt;0.58),"Medium","Low"))</f>
        <v/>
      </c>
    </row>
    <row r="72" ht="135" customHeight="1" s="10">
      <c r="A72" s="2" t="inlineStr">
        <is>
          <t>Q15_A</t>
        </is>
      </c>
      <c r="B72" s="2" t="n">
        <v>15</v>
      </c>
      <c r="C72" s="2" t="n">
        <v>15</v>
      </c>
      <c r="D72" s="2" t="inlineStr">
        <is>
          <t>Core</t>
        </is>
      </c>
      <c r="E72" s="2" t="n">
        <v>1.05</v>
      </c>
      <c r="F72" s="2" t="inlineStr">
        <is>
          <t>ConflictRepair</t>
        </is>
      </c>
      <c r="G72" s="2" t="inlineStr">
        <is>
          <t>CommunicationHealth</t>
        </is>
      </c>
      <c r="H72" s="2" t="inlineStr">
        <is>
          <t>They respond fast. They remember what you say. No mixed signals. It's easy. How does your brain react to that kind of consistency?</t>
        </is>
      </c>
      <c r="I72" s="2" t="inlineStr">
        <is>
          <t>A</t>
        </is>
      </c>
      <c r="J72" s="2" t="inlineStr">
        <is>
          <t>A</t>
        </is>
      </c>
      <c r="K72" s="2" t="inlineStr">
        <is>
          <t>I wait for the twist. Nobody's that into me for no reason. I enjoy it, but I stay suspicious.</t>
        </is>
      </c>
      <c r="L72" s="2" t="n">
        <v>6</v>
      </c>
      <c r="M72" s="2" t="n">
        <v>7</v>
      </c>
      <c r="N72" s="2" t="n">
        <v>4</v>
      </c>
      <c r="O72" s="2" t="n">
        <v>6</v>
      </c>
      <c r="P72" s="2" t="n">
        <v>4</v>
      </c>
      <c r="Q72" s="2" t="inlineStr">
        <is>
          <t>Survivor</t>
        </is>
      </c>
      <c r="R72" s="2" t="n">
        <v>8</v>
      </c>
      <c r="S72" s="2" t="n"/>
      <c r="T72" s="2" t="n"/>
      <c r="U72" s="2" t="n">
        <v>0</v>
      </c>
      <c r="V72" s="2" t="inlineStr">
        <is>
          <t>masc:0.3;fem:1.3</t>
        </is>
      </c>
      <c r="W72" s="2" t="n">
        <v>0.3</v>
      </c>
      <c r="X72" s="2" t="n">
        <v>1.3</v>
      </c>
      <c r="Y72" s="2" t="inlineStr">
        <is>
          <t>COMM_Emotional</t>
        </is>
      </c>
      <c r="Z72" s="2" t="inlineStr">
        <is>
          <t>REG_SelfSoother</t>
        </is>
      </c>
      <c r="AA72" s="2" t="inlineStr">
        <is>
          <t>LANG_Service</t>
        </is>
      </c>
      <c r="AB72" s="2" t="inlineStr">
        <is>
          <t>Vulnerability_Loop</t>
        </is>
      </c>
      <c r="AC72" s="2" t="inlineStr">
        <is>
          <t>Vulnerability_Loop</t>
        </is>
      </c>
      <c r="AD72" s="2" t="n"/>
      <c r="AE72" s="2" t="n">
        <v>5</v>
      </c>
      <c r="AF72" s="2" t="inlineStr">
        <is>
          <t>trauma-calibrated skepticism</t>
        </is>
      </c>
      <c r="AG72" s="2" t="inlineStr">
        <is>
          <t>guarded receiver</t>
        </is>
      </c>
      <c r="AH72" s="2" t="n">
        <v>0</v>
      </c>
      <c r="AI72" s="2" t="inlineStr">
        <is>
          <t>yes</t>
        </is>
      </c>
      <c r="AJ72" s="2" t="inlineStr">
        <is>
          <t>no</t>
        </is>
      </c>
      <c r="AK72" s="2" t="inlineStr">
        <is>
          <t>yes</t>
        </is>
      </c>
      <c r="AL72" s="2" t="inlineStr">
        <is>
          <t>yes</t>
        </is>
      </c>
      <c r="AM72" s="2" t="n"/>
      <c r="AN72" s="2" t="n"/>
      <c r="AO72" s="2" t="n"/>
      <c r="AP72" s="2" t="inlineStr">
        <is>
          <t>v3_2026-03-19</t>
        </is>
      </c>
      <c r="AQ72">
        <f>(L72-Schema_v5!$C2)/(Schema_v5!$C3-Schema_v5!$C2)</f>
        <v/>
      </c>
      <c r="AR72">
        <f>(M72-Schema_v5!$C4)/(Schema_v5!$C5-Schema_v5!$C4)</f>
        <v/>
      </c>
      <c r="AS72">
        <f>N72/Schema_v5!$C6</f>
        <v/>
      </c>
      <c r="AT72">
        <f>O72/Schema_v5!$C7</f>
        <v/>
      </c>
      <c r="AU72">
        <f>P72/Schema_v5!$C8</f>
        <v/>
      </c>
      <c r="AV72">
        <f>IF(Schema_v5!$C9=0,0,AH72/Schema_v5!$C9)</f>
        <v/>
      </c>
      <c r="AW72">
        <f>IF(Schema_v5!$C10=0,0,AE72/Schema_v5!$C10)</f>
        <v/>
      </c>
      <c r="AX72">
        <f>(W72-Schema_v5!$C11)/(Schema_v5!$C12-Schema_v5!$C11)</f>
        <v/>
      </c>
      <c r="AY72">
        <f>(X72-Schema_v5!$C13)/(Schema_v5!$C14-Schema_v5!$C13)</f>
        <v/>
      </c>
      <c r="AZ72">
        <f>MIN(1,MAX(0,U72/Schema_v7!$C$9))</f>
        <v/>
      </c>
      <c r="BA72">
        <f>IF(AJ72="yes",0.55,0)</f>
        <v/>
      </c>
      <c r="BB72">
        <f>IF(AI72="yes",0.10,0)</f>
        <v/>
      </c>
      <c r="BC72">
        <f>IF(Y72="COMM_Direct",0.92,IF(Y72="COMM_Emotional",0.70,IF(Y72="COMM_Logical",0.65,IF(Y72="COMM_Indirect",0.55,0.35))))</f>
        <v/>
      </c>
      <c r="BD72">
        <f>IF(Z72="REG_CoRegulator",0.92,IF(Z72="REG_SelfSoother",0.76,IF(Z72="REG_Distractor",0.48,0.35)))</f>
        <v/>
      </c>
      <c r="BE72">
        <f>IF(AA72="LANG_Time",0.76,IF(AA72="LANG_Service",0.70,IF(AA72="LANG_Words",0.72,IF(AA72="LANG_Touch",0.68,0.60))))</f>
        <v/>
      </c>
      <c r="BF72">
        <f>MAX(0,MIN(1,0.28*AS72+0.16*AT72+0.18*BC72+0.18*BD72+0.10*(1-AZ72)+0.10*(1-BA72)+BB72))</f>
        <v/>
      </c>
      <c r="BG72">
        <f>MAX(0,MIN(1,0.24*AU72+0.18*AS72+0.18*BC72+0.20*BD72+0.10*(1-AW72)+0.10*(1-BA72)))</f>
        <v/>
      </c>
      <c r="BH72">
        <f>MAX(0,MIN(1,0.28*AR72+0.18*AT72+0.16*AU72+0.18*(1-AV72)+0.10*(1-AW72)+0.10*BF72))</f>
        <v/>
      </c>
      <c r="BI72">
        <f>MAX(0,MIN(1,0.30*AV72+0.20*AZ72+0.20*AW72+0.15*(1-BH72)+0.15*(1-BO72)))</f>
        <v/>
      </c>
      <c r="BJ72">
        <f>MAX(0,1-(ABS(((( AX72+AY72)/2)-0.55)*1.6)))</f>
        <v/>
      </c>
      <c r="BK72">
        <f>MAX(0,MIN(1,0.28*AR72+0.18*AT72+0.16*BJ72+0.14*(1-AV72)+0.12*BQ72+0.12*BO72))</f>
        <v/>
      </c>
      <c r="BL72">
        <f>MAX(0,MIN(1,0.22*AQ72+0.18*AS72+0.18*BC72+0.18*BD72+0.08*BE72+0.10*BF72+0.06*BO72))</f>
        <v/>
      </c>
      <c r="BM72">
        <f>MAX(0,MIN(1,0.20*(1-AZ72)+0.16*(1-BA72)+0.14*(1-AW72)+0.14*AU72+0.18*BG72+0.10*BH72+0.08*BP72))</f>
        <v/>
      </c>
      <c r="BN72">
        <f>MAX(0,MIN(1,0.42*BJ72+0.33*BK72+0.15*AT72+0.10*BQ72))</f>
        <v/>
      </c>
      <c r="BO72">
        <f>MAX(0,MIN(1,0.30*BC72+0.24*BD72+0.18*AS72+0.14*(1-BI72)+0.14*AT72))</f>
        <v/>
      </c>
      <c r="BP72">
        <f>MAX(0,MIN(1,0.26*AS72+0.20*(1-BA72)+0.16*(1-AW72)+0.18*BG72+0.10*AU72+0.10+BB72))</f>
        <v/>
      </c>
      <c r="BQ72">
        <f>MAX(0,MIN(1,0.24*AT72+0.18*BF72+0.14*AR72+0.14*BO72+0.14*(1-AV72)+0.16*(1-AZ72)))</f>
        <v/>
      </c>
      <c r="BR72">
        <f>IF(BO72&gt;=0.80,"Open",IF(BO72&gt;=0.62,"Measured",IF(BO72&gt;=0.45,"Selective","Guarded")))</f>
        <v/>
      </c>
      <c r="BS72">
        <f>IF(Y72="COMM_Direct","Direct",IF(Y72="COMM_Emotional","Emotional",IF(Y72="COMM_Logical","Logical",IF(Y72="COMM_Indirect","Indirect","Avoidant"))))</f>
        <v/>
      </c>
      <c r="BT72">
        <f>IF(BG72&gt;=0.78,"Co-repair",IF(BG72&gt;=0.58,"Re-engage",IF(BG72&gt;=0.40,"Delay","Suppress")))</f>
        <v/>
      </c>
      <c r="BU72">
        <f>IF(BI72&gt;=0.70,"Retreat-risk",IF(BH72&lt;=0.40,"Rush-risk",IF(BH72&gt;=0.65,"Slow-build","Mixed")))</f>
        <v/>
      </c>
      <c r="BV72">
        <f>IF(BL72-BM72&gt;=0.15,"Stimulation-seeking",IF(BM72-BL72&gt;=0.15,"Calm-seeking","Mixed")))</f>
        <v/>
      </c>
      <c r="BW72">
        <f>IF(AND(BL72&gt;=0.72,BM72&lt;0.48),"High",IF(AND(BL72&gt;=0.60,BM72&lt;0.58),"Medium","Low"))</f>
        <v/>
      </c>
    </row>
    <row r="73" ht="108" customHeight="1" s="10">
      <c r="A73" s="2" t="inlineStr">
        <is>
          <t>Q15_B</t>
        </is>
      </c>
      <c r="B73" s="2" t="n">
        <v>15</v>
      </c>
      <c r="C73" s="2" t="n">
        <v>15</v>
      </c>
      <c r="D73" s="2" t="inlineStr">
        <is>
          <t>Core</t>
        </is>
      </c>
      <c r="E73" s="2" t="n">
        <v>1.05</v>
      </c>
      <c r="F73" s="2" t="inlineStr">
        <is>
          <t>ConflictRepair</t>
        </is>
      </c>
      <c r="G73" s="2" t="inlineStr">
        <is>
          <t>CommunicationHealth</t>
        </is>
      </c>
      <c r="H73" s="2" t="n"/>
      <c r="I73" s="2" t="inlineStr">
        <is>
          <t>B</t>
        </is>
      </c>
      <c r="J73" s="2" t="inlineStr">
        <is>
          <t>B</t>
        </is>
      </c>
      <c r="K73" s="2" t="inlineStr">
        <is>
          <t>I get anxious. Like... if it's this easy now, what happens when I actually need something?</t>
        </is>
      </c>
      <c r="L73" s="2" t="n">
        <v>5</v>
      </c>
      <c r="M73" s="2" t="n">
        <v>6</v>
      </c>
      <c r="N73" s="2" t="n">
        <v>2</v>
      </c>
      <c r="O73" s="2" t="n">
        <v>4</v>
      </c>
      <c r="P73" s="2" t="n">
        <v>2</v>
      </c>
      <c r="Q73" s="2" t="inlineStr">
        <is>
          <t>Phantom Seeker</t>
        </is>
      </c>
      <c r="R73" s="2" t="n">
        <v>10</v>
      </c>
      <c r="S73" s="2" t="n"/>
      <c r="T73" s="2" t="n"/>
      <c r="U73" s="2" t="n">
        <v>0</v>
      </c>
      <c r="V73" s="2" t="inlineStr">
        <is>
          <t>masc:-0.2;fem:1.5</t>
        </is>
      </c>
      <c r="W73" s="2" t="n">
        <v>-0.2</v>
      </c>
      <c r="X73" s="2" t="n">
        <v>1.5</v>
      </c>
      <c r="Y73" s="2" t="inlineStr">
        <is>
          <t>COMM_Emotional</t>
        </is>
      </c>
      <c r="Z73" s="2" t="inlineStr">
        <is>
          <t>REG_SelfSoother</t>
        </is>
      </c>
      <c r="AA73" s="2" t="inlineStr">
        <is>
          <t>LANG_Touch</t>
        </is>
      </c>
      <c r="AB73" s="2" t="inlineStr">
        <is>
          <t>Vulnerability_Loop</t>
        </is>
      </c>
      <c r="AC73" s="2" t="inlineStr">
        <is>
          <t>Vulnerability_Loop</t>
        </is>
      </c>
      <c r="AD73" s="2" t="n"/>
      <c r="AE73" s="2" t="n">
        <v>5</v>
      </c>
      <c r="AF73" s="2" t="inlineStr">
        <is>
          <t>fragile trust reflex</t>
        </is>
      </c>
      <c r="AG73" s="2" t="inlineStr">
        <is>
          <t>uneasy believer</t>
        </is>
      </c>
      <c r="AH73" s="2" t="n">
        <v>0</v>
      </c>
      <c r="AI73" s="2" t="inlineStr">
        <is>
          <t>yes</t>
        </is>
      </c>
      <c r="AJ73" s="2" t="inlineStr">
        <is>
          <t>no</t>
        </is>
      </c>
      <c r="AK73" s="2" t="inlineStr">
        <is>
          <t>yes</t>
        </is>
      </c>
      <c r="AL73" s="2" t="inlineStr">
        <is>
          <t>yes</t>
        </is>
      </c>
      <c r="AM73" s="2" t="n"/>
      <c r="AN73" s="2" t="n"/>
      <c r="AO73" s="2" t="n"/>
      <c r="AP73" s="2" t="inlineStr">
        <is>
          <t>v3_2026-03-19</t>
        </is>
      </c>
      <c r="AQ73">
        <f>(L73-Schema_v5!$C2)/(Schema_v5!$C3-Schema_v5!$C2)</f>
        <v/>
      </c>
      <c r="AR73">
        <f>(M73-Schema_v5!$C4)/(Schema_v5!$C5-Schema_v5!$C4)</f>
        <v/>
      </c>
      <c r="AS73">
        <f>N73/Schema_v5!$C6</f>
        <v/>
      </c>
      <c r="AT73">
        <f>O73/Schema_v5!$C7</f>
        <v/>
      </c>
      <c r="AU73">
        <f>P73/Schema_v5!$C8</f>
        <v/>
      </c>
      <c r="AV73">
        <f>IF(Schema_v5!$C9=0,0,AH73/Schema_v5!$C9)</f>
        <v/>
      </c>
      <c r="AW73">
        <f>IF(Schema_v5!$C10=0,0,AE73/Schema_v5!$C10)</f>
        <v/>
      </c>
      <c r="AX73">
        <f>(W73-Schema_v5!$C11)/(Schema_v5!$C12-Schema_v5!$C11)</f>
        <v/>
      </c>
      <c r="AY73">
        <f>(X73-Schema_v5!$C13)/(Schema_v5!$C14-Schema_v5!$C13)</f>
        <v/>
      </c>
      <c r="AZ73">
        <f>MIN(1,MAX(0,U73/Schema_v7!$C$9))</f>
        <v/>
      </c>
      <c r="BA73">
        <f>IF(AJ73="yes",0.55,0)</f>
        <v/>
      </c>
      <c r="BB73">
        <f>IF(AI73="yes",0.10,0)</f>
        <v/>
      </c>
      <c r="BC73">
        <f>IF(Y73="COMM_Direct",0.92,IF(Y73="COMM_Emotional",0.70,IF(Y73="COMM_Logical",0.65,IF(Y73="COMM_Indirect",0.55,0.35))))</f>
        <v/>
      </c>
      <c r="BD73">
        <f>IF(Z73="REG_CoRegulator",0.92,IF(Z73="REG_SelfSoother",0.76,IF(Z73="REG_Distractor",0.48,0.35)))</f>
        <v/>
      </c>
      <c r="BE73">
        <f>IF(AA73="LANG_Time",0.76,IF(AA73="LANG_Service",0.70,IF(AA73="LANG_Words",0.72,IF(AA73="LANG_Touch",0.68,0.60))))</f>
        <v/>
      </c>
      <c r="BF73">
        <f>MAX(0,MIN(1,0.28*AS73+0.16*AT73+0.18*BC73+0.18*BD73+0.10*(1-AZ73)+0.10*(1-BA73)+BB73))</f>
        <v/>
      </c>
      <c r="BG73">
        <f>MAX(0,MIN(1,0.24*AU73+0.18*AS73+0.18*BC73+0.20*BD73+0.10*(1-AW73)+0.10*(1-BA73)))</f>
        <v/>
      </c>
      <c r="BH73">
        <f>MAX(0,MIN(1,0.28*AR73+0.18*AT73+0.16*AU73+0.18*(1-AV73)+0.10*(1-AW73)+0.10*BF73))</f>
        <v/>
      </c>
      <c r="BI73">
        <f>MAX(0,MIN(1,0.30*AV73+0.20*AZ73+0.20*AW73+0.15*(1-BH73)+0.15*(1-BO73)))</f>
        <v/>
      </c>
      <c r="BJ73">
        <f>MAX(0,1-(ABS(((( AX73+AY73)/2)-0.55)*1.6)))</f>
        <v/>
      </c>
      <c r="BK73">
        <f>MAX(0,MIN(1,0.28*AR73+0.18*AT73+0.16*BJ73+0.14*(1-AV73)+0.12*BQ73+0.12*BO73))</f>
        <v/>
      </c>
      <c r="BL73">
        <f>MAX(0,MIN(1,0.22*AQ73+0.18*AS73+0.18*BC73+0.18*BD73+0.08*BE73+0.10*BF73+0.06*BO73))</f>
        <v/>
      </c>
      <c r="BM73">
        <f>MAX(0,MIN(1,0.20*(1-AZ73)+0.16*(1-BA73)+0.14*(1-AW73)+0.14*AU73+0.18*BG73+0.10*BH73+0.08*BP73))</f>
        <v/>
      </c>
      <c r="BN73">
        <f>MAX(0,MIN(1,0.42*BJ73+0.33*BK73+0.15*AT73+0.10*BQ73))</f>
        <v/>
      </c>
      <c r="BO73">
        <f>MAX(0,MIN(1,0.30*BC73+0.24*BD73+0.18*AS73+0.14*(1-BI73)+0.14*AT73))</f>
        <v/>
      </c>
      <c r="BP73">
        <f>MAX(0,MIN(1,0.26*AS73+0.20*(1-BA73)+0.16*(1-AW73)+0.18*BG73+0.10*AU73+0.10+BB73))</f>
        <v/>
      </c>
      <c r="BQ73">
        <f>MAX(0,MIN(1,0.24*AT73+0.18*BF73+0.14*AR73+0.14*BO73+0.14*(1-AV73)+0.16*(1-AZ73)))</f>
        <v/>
      </c>
      <c r="BR73">
        <f>IF(BO73&gt;=0.80,"Open",IF(BO73&gt;=0.62,"Measured",IF(BO73&gt;=0.45,"Selective","Guarded")))</f>
        <v/>
      </c>
      <c r="BS73">
        <f>IF(Y73="COMM_Direct","Direct",IF(Y73="COMM_Emotional","Emotional",IF(Y73="COMM_Logical","Logical",IF(Y73="COMM_Indirect","Indirect","Avoidant"))))</f>
        <v/>
      </c>
      <c r="BT73">
        <f>IF(BG73&gt;=0.78,"Co-repair",IF(BG73&gt;=0.58,"Re-engage",IF(BG73&gt;=0.40,"Delay","Suppress")))</f>
        <v/>
      </c>
      <c r="BU73">
        <f>IF(BI73&gt;=0.70,"Retreat-risk",IF(BH73&lt;=0.40,"Rush-risk",IF(BH73&gt;=0.65,"Slow-build","Mixed")))</f>
        <v/>
      </c>
      <c r="BV73">
        <f>IF(BL73-BM73&gt;=0.15,"Stimulation-seeking",IF(BM73-BL73&gt;=0.15,"Calm-seeking","Mixed")))</f>
        <v/>
      </c>
      <c r="BW73">
        <f>IF(AND(BL73&gt;=0.72,BM73&lt;0.48),"High",IF(AND(BL73&gt;=0.60,BM73&lt;0.58),"Medium","Low"))</f>
        <v/>
      </c>
    </row>
    <row r="74" ht="135" customHeight="1" s="10">
      <c r="A74" s="2" t="inlineStr">
        <is>
          <t>Q15_C</t>
        </is>
      </c>
      <c r="B74" s="2" t="n">
        <v>15</v>
      </c>
      <c r="C74" s="2" t="n">
        <v>15</v>
      </c>
      <c r="D74" s="2" t="inlineStr">
        <is>
          <t>Core</t>
        </is>
      </c>
      <c r="E74" s="2" t="n">
        <v>1.05</v>
      </c>
      <c r="F74" s="2" t="inlineStr">
        <is>
          <t>ConflictRepair</t>
        </is>
      </c>
      <c r="G74" s="2" t="inlineStr">
        <is>
          <t>CommunicationHealth</t>
        </is>
      </c>
      <c r="H74" s="2" t="n"/>
      <c r="I74" s="2" t="inlineStr">
        <is>
          <t>C</t>
        </is>
      </c>
      <c r="J74" s="2" t="inlineStr">
        <is>
          <t>C</t>
        </is>
      </c>
      <c r="K74" s="2" t="inlineStr">
        <is>
          <t>I like it, but I start checking what they want from me. Nobody invests like that unless they're expecting a return.</t>
        </is>
      </c>
      <c r="L74" s="2" t="n">
        <v>6</v>
      </c>
      <c r="M74" s="2" t="n">
        <v>7</v>
      </c>
      <c r="N74" s="2" t="n">
        <v>4</v>
      </c>
      <c r="O74" s="2" t="n">
        <v>6</v>
      </c>
      <c r="P74" s="2" t="n">
        <v>4</v>
      </c>
      <c r="Q74" s="2" t="inlineStr">
        <is>
          <t>Analyzer</t>
        </is>
      </c>
      <c r="R74" s="2" t="n">
        <v>2</v>
      </c>
      <c r="S74" s="2" t="n"/>
      <c r="T74" s="2" t="n"/>
      <c r="U74" s="2" t="n">
        <v>0</v>
      </c>
      <c r="V74" s="2" t="inlineStr">
        <is>
          <t>masc:1.4;fem:0.1</t>
        </is>
      </c>
      <c r="W74" s="2" t="n">
        <v>1.4</v>
      </c>
      <c r="X74" s="2" t="n">
        <v>0.1</v>
      </c>
      <c r="Y74" s="2" t="inlineStr">
        <is>
          <t>COMM_Logical</t>
        </is>
      </c>
      <c r="Z74" s="2" t="inlineStr">
        <is>
          <t>REG_SelfSoother</t>
        </is>
      </c>
      <c r="AA74" s="2" t="inlineStr">
        <is>
          <t>LANG_Service</t>
        </is>
      </c>
      <c r="AB74" s="2" t="inlineStr">
        <is>
          <t>Vulnerability_Loop</t>
        </is>
      </c>
      <c r="AC74" s="2" t="inlineStr">
        <is>
          <t>Vulnerability_Loop</t>
        </is>
      </c>
      <c r="AD74" s="2" t="n"/>
      <c r="AE74" s="2" t="n">
        <v>5</v>
      </c>
      <c r="AF74" s="2" t="inlineStr">
        <is>
          <t>reciprocity scanner</t>
        </is>
      </c>
      <c r="AG74" s="2" t="inlineStr">
        <is>
          <t>cautious assessor</t>
        </is>
      </c>
      <c r="AH74" s="2" t="n">
        <v>0</v>
      </c>
      <c r="AI74" s="2" t="inlineStr">
        <is>
          <t>yes</t>
        </is>
      </c>
      <c r="AJ74" s="2" t="inlineStr">
        <is>
          <t>no</t>
        </is>
      </c>
      <c r="AK74" s="2" t="inlineStr">
        <is>
          <t>yes</t>
        </is>
      </c>
      <c r="AL74" s="2" t="inlineStr">
        <is>
          <t>yes</t>
        </is>
      </c>
      <c r="AM74" s="2" t="n"/>
      <c r="AN74" s="2" t="n"/>
      <c r="AO74" s="2" t="n"/>
      <c r="AP74" s="2" t="inlineStr">
        <is>
          <t>v3_2026-03-19</t>
        </is>
      </c>
      <c r="AQ74">
        <f>(L74-Schema_v5!$C2)/(Schema_v5!$C3-Schema_v5!$C2)</f>
        <v/>
      </c>
      <c r="AR74">
        <f>(M74-Schema_v5!$C4)/(Schema_v5!$C5-Schema_v5!$C4)</f>
        <v/>
      </c>
      <c r="AS74">
        <f>N74/Schema_v5!$C6</f>
        <v/>
      </c>
      <c r="AT74">
        <f>O74/Schema_v5!$C7</f>
        <v/>
      </c>
      <c r="AU74">
        <f>P74/Schema_v5!$C8</f>
        <v/>
      </c>
      <c r="AV74">
        <f>IF(Schema_v5!$C9=0,0,AH74/Schema_v5!$C9)</f>
        <v/>
      </c>
      <c r="AW74">
        <f>IF(Schema_v5!$C10=0,0,AE74/Schema_v5!$C10)</f>
        <v/>
      </c>
      <c r="AX74">
        <f>(W74-Schema_v5!$C11)/(Schema_v5!$C12-Schema_v5!$C11)</f>
        <v/>
      </c>
      <c r="AY74">
        <f>(X74-Schema_v5!$C13)/(Schema_v5!$C14-Schema_v5!$C13)</f>
        <v/>
      </c>
      <c r="AZ74">
        <f>MIN(1,MAX(0,U74/Schema_v7!$C$9))</f>
        <v/>
      </c>
      <c r="BA74">
        <f>IF(AJ74="yes",0.55,0)</f>
        <v/>
      </c>
      <c r="BB74">
        <f>IF(AI74="yes",0.10,0)</f>
        <v/>
      </c>
      <c r="BC74">
        <f>IF(Y74="COMM_Direct",0.92,IF(Y74="COMM_Emotional",0.70,IF(Y74="COMM_Logical",0.65,IF(Y74="COMM_Indirect",0.55,0.35))))</f>
        <v/>
      </c>
      <c r="BD74">
        <f>IF(Z74="REG_CoRegulator",0.92,IF(Z74="REG_SelfSoother",0.76,IF(Z74="REG_Distractor",0.48,0.35)))</f>
        <v/>
      </c>
      <c r="BE74">
        <f>IF(AA74="LANG_Time",0.76,IF(AA74="LANG_Service",0.70,IF(AA74="LANG_Words",0.72,IF(AA74="LANG_Touch",0.68,0.60))))</f>
        <v/>
      </c>
      <c r="BF74">
        <f>MAX(0,MIN(1,0.28*AS74+0.16*AT74+0.18*BC74+0.18*BD74+0.10*(1-AZ74)+0.10*(1-BA74)+BB74))</f>
        <v/>
      </c>
      <c r="BG74">
        <f>MAX(0,MIN(1,0.24*AU74+0.18*AS74+0.18*BC74+0.20*BD74+0.10*(1-AW74)+0.10*(1-BA74)))</f>
        <v/>
      </c>
      <c r="BH74">
        <f>MAX(0,MIN(1,0.28*AR74+0.18*AT74+0.16*AU74+0.18*(1-AV74)+0.10*(1-AW74)+0.10*BF74))</f>
        <v/>
      </c>
      <c r="BI74">
        <f>MAX(0,MIN(1,0.30*AV74+0.20*AZ74+0.20*AW74+0.15*(1-BH74)+0.15*(1-BO74)))</f>
        <v/>
      </c>
      <c r="BJ74">
        <f>MAX(0,1-(ABS(((( AX74+AY74)/2)-0.55)*1.6)))</f>
        <v/>
      </c>
      <c r="BK74">
        <f>MAX(0,MIN(1,0.28*AR74+0.18*AT74+0.16*BJ74+0.14*(1-AV74)+0.12*BQ74+0.12*BO74))</f>
        <v/>
      </c>
      <c r="BL74">
        <f>MAX(0,MIN(1,0.22*AQ74+0.18*AS74+0.18*BC74+0.18*BD74+0.08*BE74+0.10*BF74+0.06*BO74))</f>
        <v/>
      </c>
      <c r="BM74">
        <f>MAX(0,MIN(1,0.20*(1-AZ74)+0.16*(1-BA74)+0.14*(1-AW74)+0.14*AU74+0.18*BG74+0.10*BH74+0.08*BP74))</f>
        <v/>
      </c>
      <c r="BN74">
        <f>MAX(0,MIN(1,0.42*BJ74+0.33*BK74+0.15*AT74+0.10*BQ74))</f>
        <v/>
      </c>
      <c r="BO74">
        <f>MAX(0,MIN(1,0.30*BC74+0.24*BD74+0.18*AS74+0.14*(1-BI74)+0.14*AT74))</f>
        <v/>
      </c>
      <c r="BP74">
        <f>MAX(0,MIN(1,0.26*AS74+0.20*(1-BA74)+0.16*(1-AW74)+0.18*BG74+0.10*AU74+0.10+BB74))</f>
        <v/>
      </c>
      <c r="BQ74">
        <f>MAX(0,MIN(1,0.24*AT74+0.18*BF74+0.14*AR74+0.14*BO74+0.14*(1-AV74)+0.16*(1-AZ74)))</f>
        <v/>
      </c>
      <c r="BR74">
        <f>IF(BO74&gt;=0.80,"Open",IF(BO74&gt;=0.62,"Measured",IF(BO74&gt;=0.45,"Selective","Guarded")))</f>
        <v/>
      </c>
      <c r="BS74">
        <f>IF(Y74="COMM_Direct","Direct",IF(Y74="COMM_Emotional","Emotional",IF(Y74="COMM_Logical","Logical",IF(Y74="COMM_Indirect","Indirect","Avoidant"))))</f>
        <v/>
      </c>
      <c r="BT74">
        <f>IF(BG74&gt;=0.78,"Co-repair",IF(BG74&gt;=0.58,"Re-engage",IF(BG74&gt;=0.40,"Delay","Suppress")))</f>
        <v/>
      </c>
      <c r="BU74">
        <f>IF(BI74&gt;=0.70,"Retreat-risk",IF(BH74&lt;=0.40,"Rush-risk",IF(BH74&gt;=0.65,"Slow-build","Mixed")))</f>
        <v/>
      </c>
      <c r="BV74">
        <f>IF(BL74-BM74&gt;=0.15,"Stimulation-seeking",IF(BM74-BL74&gt;=0.15,"Calm-seeking","Mixed")))</f>
        <v/>
      </c>
      <c r="BW74">
        <f>IF(AND(BL74&gt;=0.72,BM74&lt;0.48),"High",IF(AND(BL74&gt;=0.60,BM74&lt;0.58),"Medium","Low"))</f>
        <v/>
      </c>
    </row>
    <row r="75" ht="94.5" customHeight="1" s="10">
      <c r="A75" s="2" t="inlineStr">
        <is>
          <t>Q15_D</t>
        </is>
      </c>
      <c r="B75" s="2" t="n">
        <v>15</v>
      </c>
      <c r="C75" s="2" t="n">
        <v>15</v>
      </c>
      <c r="D75" s="2" t="inlineStr">
        <is>
          <t>Core</t>
        </is>
      </c>
      <c r="E75" s="2" t="n">
        <v>1.05</v>
      </c>
      <c r="F75" s="2" t="inlineStr">
        <is>
          <t>ConflictRepair</t>
        </is>
      </c>
      <c r="G75" s="2" t="inlineStr">
        <is>
          <t>CommunicationHealth</t>
        </is>
      </c>
      <c r="H75" s="2" t="n"/>
      <c r="I75" s="2" t="inlineStr">
        <is>
          <t>D</t>
        </is>
      </c>
      <c r="J75" s="2" t="inlineStr">
        <is>
          <t>D</t>
        </is>
      </c>
      <c r="K75" s="2" t="inlineStr">
        <is>
          <t>I try not to mess it up. I overthink everything I send back. It feels good, but fragile.</t>
        </is>
      </c>
      <c r="L75" s="2" t="n">
        <v>6</v>
      </c>
      <c r="M75" s="2" t="n">
        <v>7</v>
      </c>
      <c r="N75" s="2" t="n">
        <v>4</v>
      </c>
      <c r="O75" s="2" t="n">
        <v>4</v>
      </c>
      <c r="P75" s="2" t="n">
        <v>2</v>
      </c>
      <c r="Q75" s="2" t="inlineStr">
        <is>
          <t>Performer</t>
        </is>
      </c>
      <c r="R75" s="2" t="n">
        <v>7</v>
      </c>
      <c r="S75" s="2" t="n"/>
      <c r="T75" s="2" t="n"/>
      <c r="U75" s="2" t="n">
        <v>0</v>
      </c>
      <c r="V75" s="2" t="inlineStr">
        <is>
          <t>masc:0.3;fem:0.5</t>
        </is>
      </c>
      <c r="W75" s="2" t="n">
        <v>0.3</v>
      </c>
      <c r="X75" s="2" t="n">
        <v>0.5</v>
      </c>
      <c r="Y75" s="2" t="inlineStr">
        <is>
          <t>COMM_Indirect</t>
        </is>
      </c>
      <c r="Z75" s="2" t="inlineStr">
        <is>
          <t>REG_Distractor</t>
        </is>
      </c>
      <c r="AA75" s="2" t="inlineStr">
        <is>
          <t>LANG_Gifts</t>
        </is>
      </c>
      <c r="AB75" s="2" t="inlineStr">
        <is>
          <t>Vulnerability_Loop</t>
        </is>
      </c>
      <c r="AC75" s="2" t="inlineStr">
        <is>
          <t>Vulnerability_Loop</t>
        </is>
      </c>
      <c r="AD75" s="2" t="n"/>
      <c r="AE75" s="2" t="n">
        <v>5</v>
      </c>
      <c r="AF75" s="2" t="inlineStr">
        <is>
          <t>image anxiety</t>
        </is>
      </c>
      <c r="AG75" s="2" t="inlineStr">
        <is>
          <t>careful performer</t>
        </is>
      </c>
      <c r="AH75" s="2" t="n">
        <v>0</v>
      </c>
      <c r="AI75" s="2" t="inlineStr">
        <is>
          <t>yes</t>
        </is>
      </c>
      <c r="AJ75" s="2" t="inlineStr">
        <is>
          <t>no</t>
        </is>
      </c>
      <c r="AK75" s="2" t="inlineStr">
        <is>
          <t>yes</t>
        </is>
      </c>
      <c r="AL75" s="2" t="inlineStr">
        <is>
          <t>yes</t>
        </is>
      </c>
      <c r="AM75" s="2" t="n"/>
      <c r="AN75" s="2" t="n"/>
      <c r="AO75" s="2" t="n"/>
      <c r="AP75" s="2" t="inlineStr">
        <is>
          <t>v3_2026-03-19</t>
        </is>
      </c>
      <c r="AQ75">
        <f>(L75-Schema_v5!$C2)/(Schema_v5!$C3-Schema_v5!$C2)</f>
        <v/>
      </c>
      <c r="AR75">
        <f>(M75-Schema_v5!$C4)/(Schema_v5!$C5-Schema_v5!$C4)</f>
        <v/>
      </c>
      <c r="AS75">
        <f>N75/Schema_v5!$C6</f>
        <v/>
      </c>
      <c r="AT75">
        <f>O75/Schema_v5!$C7</f>
        <v/>
      </c>
      <c r="AU75">
        <f>P75/Schema_v5!$C8</f>
        <v/>
      </c>
      <c r="AV75">
        <f>IF(Schema_v5!$C9=0,0,AH75/Schema_v5!$C9)</f>
        <v/>
      </c>
      <c r="AW75">
        <f>IF(Schema_v5!$C10=0,0,AE75/Schema_v5!$C10)</f>
        <v/>
      </c>
      <c r="AX75">
        <f>(W75-Schema_v5!$C11)/(Schema_v5!$C12-Schema_v5!$C11)</f>
        <v/>
      </c>
      <c r="AY75">
        <f>(X75-Schema_v5!$C13)/(Schema_v5!$C14-Schema_v5!$C13)</f>
        <v/>
      </c>
      <c r="AZ75">
        <f>MIN(1,MAX(0,U75/Schema_v7!$C$9))</f>
        <v/>
      </c>
      <c r="BA75">
        <f>IF(AJ75="yes",0.55,0)</f>
        <v/>
      </c>
      <c r="BB75">
        <f>IF(AI75="yes",0.10,0)</f>
        <v/>
      </c>
      <c r="BC75">
        <f>IF(Y75="COMM_Direct",0.92,IF(Y75="COMM_Emotional",0.70,IF(Y75="COMM_Logical",0.65,IF(Y75="COMM_Indirect",0.55,0.35))))</f>
        <v/>
      </c>
      <c r="BD75">
        <f>IF(Z75="REG_CoRegulator",0.92,IF(Z75="REG_SelfSoother",0.76,IF(Z75="REG_Distractor",0.48,0.35)))</f>
        <v/>
      </c>
      <c r="BE75">
        <f>IF(AA75="LANG_Time",0.76,IF(AA75="LANG_Service",0.70,IF(AA75="LANG_Words",0.72,IF(AA75="LANG_Touch",0.68,0.60))))</f>
        <v/>
      </c>
      <c r="BF75">
        <f>MAX(0,MIN(1,0.28*AS75+0.16*AT75+0.18*BC75+0.18*BD75+0.10*(1-AZ75)+0.10*(1-BA75)+BB75))</f>
        <v/>
      </c>
      <c r="BG75">
        <f>MAX(0,MIN(1,0.24*AU75+0.18*AS75+0.18*BC75+0.20*BD75+0.10*(1-AW75)+0.10*(1-BA75)))</f>
        <v/>
      </c>
      <c r="BH75">
        <f>MAX(0,MIN(1,0.28*AR75+0.18*AT75+0.16*AU75+0.18*(1-AV75)+0.10*(1-AW75)+0.10*BF75))</f>
        <v/>
      </c>
      <c r="BI75">
        <f>MAX(0,MIN(1,0.30*AV75+0.20*AZ75+0.20*AW75+0.15*(1-BH75)+0.15*(1-BO75)))</f>
        <v/>
      </c>
      <c r="BJ75">
        <f>MAX(0,1-(ABS(((( AX75+AY75)/2)-0.55)*1.6)))</f>
        <v/>
      </c>
      <c r="BK75">
        <f>MAX(0,MIN(1,0.28*AR75+0.18*AT75+0.16*BJ75+0.14*(1-AV75)+0.12*BQ75+0.12*BO75))</f>
        <v/>
      </c>
      <c r="BL75">
        <f>MAX(0,MIN(1,0.22*AQ75+0.18*AS75+0.18*BC75+0.18*BD75+0.08*BE75+0.10*BF75+0.06*BO75))</f>
        <v/>
      </c>
      <c r="BM75">
        <f>MAX(0,MIN(1,0.20*(1-AZ75)+0.16*(1-BA75)+0.14*(1-AW75)+0.14*AU75+0.18*BG75+0.10*BH75+0.08*BP75))</f>
        <v/>
      </c>
      <c r="BN75">
        <f>MAX(0,MIN(1,0.42*BJ75+0.33*BK75+0.15*AT75+0.10*BQ75))</f>
        <v/>
      </c>
      <c r="BO75">
        <f>MAX(0,MIN(1,0.30*BC75+0.24*BD75+0.18*AS75+0.14*(1-BI75)+0.14*AT75))</f>
        <v/>
      </c>
      <c r="BP75">
        <f>MAX(0,MIN(1,0.26*AS75+0.20*(1-BA75)+0.16*(1-AW75)+0.18*BG75+0.10*AU75+0.10+BB75))</f>
        <v/>
      </c>
      <c r="BQ75">
        <f>MAX(0,MIN(1,0.24*AT75+0.18*BF75+0.14*AR75+0.14*BO75+0.14*(1-AV75)+0.16*(1-AZ75)))</f>
        <v/>
      </c>
      <c r="BR75">
        <f>IF(BO75&gt;=0.80,"Open",IF(BO75&gt;=0.62,"Measured",IF(BO75&gt;=0.45,"Selective","Guarded")))</f>
        <v/>
      </c>
      <c r="BS75">
        <f>IF(Y75="COMM_Direct","Direct",IF(Y75="COMM_Emotional","Emotional",IF(Y75="COMM_Logical","Logical",IF(Y75="COMM_Indirect","Indirect","Avoidant"))))</f>
        <v/>
      </c>
      <c r="BT75">
        <f>IF(BG75&gt;=0.78,"Co-repair",IF(BG75&gt;=0.58,"Re-engage",IF(BG75&gt;=0.40,"Delay","Suppress")))</f>
        <v/>
      </c>
      <c r="BU75">
        <f>IF(BI75&gt;=0.70,"Retreat-risk",IF(BH75&lt;=0.40,"Rush-risk",IF(BH75&gt;=0.65,"Slow-build","Mixed")))</f>
        <v/>
      </c>
      <c r="BV75">
        <f>IF(BL75-BM75&gt;=0.15,"Stimulation-seeking",IF(BM75-BL75&gt;=0.15,"Calm-seeking","Mixed")))</f>
        <v/>
      </c>
      <c r="BW75">
        <f>IF(AND(BL75&gt;=0.72,BM75&lt;0.48),"High",IF(AND(BL75&gt;=0.60,BM75&lt;0.58),"Medium","Low"))</f>
        <v/>
      </c>
    </row>
    <row r="76" ht="94.5" customHeight="1" s="10">
      <c r="A76" s="2" t="inlineStr">
        <is>
          <t>Q15_E</t>
        </is>
      </c>
      <c r="B76" s="2" t="n">
        <v>15</v>
      </c>
      <c r="C76" s="2" t="n">
        <v>15</v>
      </c>
      <c r="D76" s="2" t="inlineStr">
        <is>
          <t>Core</t>
        </is>
      </c>
      <c r="E76" s="2" t="n">
        <v>1.05</v>
      </c>
      <c r="F76" s="2" t="inlineStr">
        <is>
          <t>ConflictRepair</t>
        </is>
      </c>
      <c r="G76" s="2" t="inlineStr">
        <is>
          <t>CommunicationHealth</t>
        </is>
      </c>
      <c r="H76" s="2" t="n"/>
      <c r="I76" s="2" t="inlineStr">
        <is>
          <t>E</t>
        </is>
      </c>
      <c r="J76" s="2" t="inlineStr">
        <is>
          <t>E</t>
        </is>
      </c>
      <c r="K76" s="2" t="inlineStr">
        <is>
          <t>I match it, but I don't flood it. Feels rare, and I'm not about to fumble it with weird energy.</t>
        </is>
      </c>
      <c r="L76" s="2" t="n">
        <v>9</v>
      </c>
      <c r="M76" s="2" t="n">
        <v>9</v>
      </c>
      <c r="N76" s="2" t="n">
        <v>6</v>
      </c>
      <c r="O76" s="2" t="n">
        <v>6</v>
      </c>
      <c r="P76" s="2" t="n">
        <v>2</v>
      </c>
      <c r="Q76" s="2" t="inlineStr">
        <is>
          <t>Icebox</t>
        </is>
      </c>
      <c r="R76" s="2" t="n">
        <v>1</v>
      </c>
      <c r="S76" s="2" t="n"/>
      <c r="T76" s="2" t="n"/>
      <c r="U76" s="2" t="n">
        <v>0</v>
      </c>
      <c r="V76" s="2" t="inlineStr">
        <is>
          <t>masc:1.8;fem:-1.6</t>
        </is>
      </c>
      <c r="W76" s="2" t="n">
        <v>1.8</v>
      </c>
      <c r="X76" s="2" t="n">
        <v>-1.6</v>
      </c>
      <c r="Y76" s="2" t="inlineStr">
        <is>
          <t>COMM_Avoidant</t>
        </is>
      </c>
      <c r="Z76" s="2" t="inlineStr">
        <is>
          <t>REG_Suppressor</t>
        </is>
      </c>
      <c r="AA76" s="2" t="inlineStr">
        <is>
          <t>LANG_Time</t>
        </is>
      </c>
      <c r="AB76" s="2" t="n"/>
      <c r="AC76" s="2" t="n"/>
      <c r="AD76" s="2" t="n"/>
      <c r="AE76" s="2" t="n">
        <v>0</v>
      </c>
      <c r="AF76" s="2" t="inlineStr">
        <is>
          <t>cautious returner</t>
        </is>
      </c>
      <c r="AG76" s="2" t="inlineStr">
        <is>
          <t>balanced engager</t>
        </is>
      </c>
      <c r="AH76" s="2" t="n">
        <v>0</v>
      </c>
      <c r="AI76" s="2" t="inlineStr">
        <is>
          <t>no</t>
        </is>
      </c>
      <c r="AJ76" s="2" t="inlineStr">
        <is>
          <t>no</t>
        </is>
      </c>
      <c r="AK76" s="2" t="inlineStr">
        <is>
          <t>yes</t>
        </is>
      </c>
      <c r="AL76" s="2" t="inlineStr">
        <is>
          <t>yes</t>
        </is>
      </c>
      <c r="AM76" s="2" t="n"/>
      <c r="AN76" s="2" t="n"/>
      <c r="AO76" s="2" t="n"/>
      <c r="AP76" s="2" t="inlineStr">
        <is>
          <t>v3_2026-03-19</t>
        </is>
      </c>
      <c r="AQ76">
        <f>(L76-Schema_v5!$C2)/(Schema_v5!$C3-Schema_v5!$C2)</f>
        <v/>
      </c>
      <c r="AR76">
        <f>(M76-Schema_v5!$C4)/(Schema_v5!$C5-Schema_v5!$C4)</f>
        <v/>
      </c>
      <c r="AS76">
        <f>N76/Schema_v5!$C6</f>
        <v/>
      </c>
      <c r="AT76">
        <f>O76/Schema_v5!$C7</f>
        <v/>
      </c>
      <c r="AU76">
        <f>P76/Schema_v5!$C8</f>
        <v/>
      </c>
      <c r="AV76">
        <f>IF(Schema_v5!$C9=0,0,AH76/Schema_v5!$C9)</f>
        <v/>
      </c>
      <c r="AW76">
        <f>IF(Schema_v5!$C10=0,0,AE76/Schema_v5!$C10)</f>
        <v/>
      </c>
      <c r="AX76">
        <f>(W76-Schema_v5!$C11)/(Schema_v5!$C12-Schema_v5!$C11)</f>
        <v/>
      </c>
      <c r="AY76">
        <f>(X76-Schema_v5!$C13)/(Schema_v5!$C14-Schema_v5!$C13)</f>
        <v/>
      </c>
      <c r="AZ76">
        <f>MIN(1,MAX(0,U76/Schema_v7!$C$9))</f>
        <v/>
      </c>
      <c r="BA76">
        <f>IF(AJ76="yes",0.55,0)</f>
        <v/>
      </c>
      <c r="BB76">
        <f>IF(AI76="yes",0.10,0)</f>
        <v/>
      </c>
      <c r="BC76">
        <f>IF(Y76="COMM_Direct",0.92,IF(Y76="COMM_Emotional",0.70,IF(Y76="COMM_Logical",0.65,IF(Y76="COMM_Indirect",0.55,0.35))))</f>
        <v/>
      </c>
      <c r="BD76">
        <f>IF(Z76="REG_CoRegulator",0.92,IF(Z76="REG_SelfSoother",0.76,IF(Z76="REG_Distractor",0.48,0.35)))</f>
        <v/>
      </c>
      <c r="BE76">
        <f>IF(AA76="LANG_Time",0.76,IF(AA76="LANG_Service",0.70,IF(AA76="LANG_Words",0.72,IF(AA76="LANG_Touch",0.68,0.60))))</f>
        <v/>
      </c>
      <c r="BF76">
        <f>MAX(0,MIN(1,0.28*AS76+0.16*AT76+0.18*BC76+0.18*BD76+0.10*(1-AZ76)+0.10*(1-BA76)+BB76))</f>
        <v/>
      </c>
      <c r="BG76">
        <f>MAX(0,MIN(1,0.24*AU76+0.18*AS76+0.18*BC76+0.20*BD76+0.10*(1-AW76)+0.10*(1-BA76)))</f>
        <v/>
      </c>
      <c r="BH76">
        <f>MAX(0,MIN(1,0.28*AR76+0.18*AT76+0.16*AU76+0.18*(1-AV76)+0.10*(1-AW76)+0.10*BF76))</f>
        <v/>
      </c>
      <c r="BI76">
        <f>MAX(0,MIN(1,0.30*AV76+0.20*AZ76+0.20*AW76+0.15*(1-BH76)+0.15*(1-BO76)))</f>
        <v/>
      </c>
      <c r="BJ76">
        <f>MAX(0,1-(ABS(((( AX76+AY76)/2)-0.55)*1.6)))</f>
        <v/>
      </c>
      <c r="BK76">
        <f>MAX(0,MIN(1,0.28*AR76+0.18*AT76+0.16*BJ76+0.14*(1-AV76)+0.12*BQ76+0.12*BO76))</f>
        <v/>
      </c>
      <c r="BL76">
        <f>MAX(0,MIN(1,0.22*AQ76+0.18*AS76+0.18*BC76+0.18*BD76+0.08*BE76+0.10*BF76+0.06*BO76))</f>
        <v/>
      </c>
      <c r="BM76">
        <f>MAX(0,MIN(1,0.20*(1-AZ76)+0.16*(1-BA76)+0.14*(1-AW76)+0.14*AU76+0.18*BG76+0.10*BH76+0.08*BP76))</f>
        <v/>
      </c>
      <c r="BN76">
        <f>MAX(0,MIN(1,0.42*BJ76+0.33*BK76+0.15*AT76+0.10*BQ76))</f>
        <v/>
      </c>
      <c r="BO76">
        <f>MAX(0,MIN(1,0.30*BC76+0.24*BD76+0.18*AS76+0.14*(1-BI76)+0.14*AT76))</f>
        <v/>
      </c>
      <c r="BP76">
        <f>MAX(0,MIN(1,0.26*AS76+0.20*(1-BA76)+0.16*(1-AW76)+0.18*BG76+0.10*AU76+0.10+BB76))</f>
        <v/>
      </c>
      <c r="BQ76">
        <f>MAX(0,MIN(1,0.24*AT76+0.18*BF76+0.14*AR76+0.14*BO76+0.14*(1-AV76)+0.16*(1-AZ76)))</f>
        <v/>
      </c>
      <c r="BR76">
        <f>IF(BO76&gt;=0.80,"Open",IF(BO76&gt;=0.62,"Measured",IF(BO76&gt;=0.45,"Selective","Guarded")))</f>
        <v/>
      </c>
      <c r="BS76">
        <f>IF(Y76="COMM_Direct","Direct",IF(Y76="COMM_Emotional","Emotional",IF(Y76="COMM_Logical","Logical",IF(Y76="COMM_Indirect","Indirect","Avoidant"))))</f>
        <v/>
      </c>
      <c r="BT76">
        <f>IF(BG76&gt;=0.78,"Co-repair",IF(BG76&gt;=0.58,"Re-engage",IF(BG76&gt;=0.40,"Delay","Suppress")))</f>
        <v/>
      </c>
      <c r="BU76">
        <f>IF(BI76&gt;=0.70,"Retreat-risk",IF(BH76&lt;=0.40,"Rush-risk",IF(BH76&gt;=0.65,"Slow-build","Mixed")))</f>
        <v/>
      </c>
      <c r="BV76">
        <f>IF(BL76-BM76&gt;=0.15,"Stimulation-seeking",IF(BM76-BL76&gt;=0.15,"Calm-seeking","Mixed")))</f>
        <v/>
      </c>
      <c r="BW76">
        <f>IF(AND(BL76&gt;=0.72,BM76&lt;0.48),"High",IF(AND(BL76&gt;=0.60,BM76&lt;0.58),"Medium","Low"))</f>
        <v/>
      </c>
    </row>
    <row r="77" ht="108" customHeight="1" s="10">
      <c r="A77" s="2" t="inlineStr">
        <is>
          <t>Q16_A</t>
        </is>
      </c>
      <c r="B77" s="2" t="n">
        <v>16</v>
      </c>
      <c r="C77" s="2" t="n">
        <v>16</v>
      </c>
      <c r="D77" s="2" t="inlineStr">
        <is>
          <t>Core</t>
        </is>
      </c>
      <c r="E77" s="2" t="n">
        <v>1.05</v>
      </c>
      <c r="F77" s="2" t="inlineStr">
        <is>
          <t>ConflictRepair</t>
        </is>
      </c>
      <c r="G77" s="2" t="inlineStr">
        <is>
          <t>CommunicationHealth</t>
        </is>
      </c>
      <c r="H77" s="2" t="inlineStr">
        <is>
          <t>They go from warm to cold out of nowhere. What's your first move?</t>
        </is>
      </c>
      <c r="I77" s="2" t="inlineStr">
        <is>
          <t>A</t>
        </is>
      </c>
      <c r="J77" s="2" t="inlineStr">
        <is>
          <t>A</t>
        </is>
      </c>
      <c r="K77" s="2" t="inlineStr">
        <is>
          <t>If you're hot and cold, I'm room temperature and gone. I'm not here to decode moods.</t>
        </is>
      </c>
      <c r="L77" s="2" t="n">
        <v>9</v>
      </c>
      <c r="M77" s="2" t="n">
        <v>9</v>
      </c>
      <c r="N77" s="2" t="n">
        <v>10</v>
      </c>
      <c r="O77" s="2" t="n">
        <v>10</v>
      </c>
      <c r="P77" s="2" t="n">
        <v>10</v>
      </c>
      <c r="Q77" s="2" t="inlineStr">
        <is>
          <t>Regulated Grown-Up</t>
        </is>
      </c>
      <c r="R77" s="2" t="n">
        <v>9</v>
      </c>
      <c r="S77" s="2" t="n"/>
      <c r="T77" s="2" t="n"/>
      <c r="U77" s="2" t="n">
        <v>0</v>
      </c>
      <c r="V77" s="2" t="inlineStr">
        <is>
          <t>masc:1.1;fem:0.9</t>
        </is>
      </c>
      <c r="W77" s="2" t="n">
        <v>1.1</v>
      </c>
      <c r="X77" s="2" t="n">
        <v>0.9</v>
      </c>
      <c r="Y77" s="2" t="inlineStr">
        <is>
          <t>COMM_Direct</t>
        </is>
      </c>
      <c r="Z77" s="2" t="inlineStr">
        <is>
          <t>REG_CoRegulator</t>
        </is>
      </c>
      <c r="AA77" s="2" t="inlineStr">
        <is>
          <t>LANG_Words</t>
        </is>
      </c>
      <c r="AB77" s="2" t="n"/>
      <c r="AC77" s="2" t="n"/>
      <c r="AD77" s="2" t="n"/>
      <c r="AE77" s="2" t="n">
        <v>0</v>
      </c>
      <c r="AF77" s="2" t="inlineStr">
        <is>
          <t>blunt detachment</t>
        </is>
      </c>
      <c r="AG77" s="2" t="inlineStr">
        <is>
          <t>immediate cutoff</t>
        </is>
      </c>
      <c r="AH77" s="2" t="n">
        <v>1.2</v>
      </c>
      <c r="AI77" s="2" t="inlineStr">
        <is>
          <t>no</t>
        </is>
      </c>
      <c r="AJ77" s="2" t="inlineStr">
        <is>
          <t>no</t>
        </is>
      </c>
      <c r="AK77" s="2" t="inlineStr">
        <is>
          <t>yes</t>
        </is>
      </c>
      <c r="AL77" s="2" t="inlineStr">
        <is>
          <t>yes</t>
        </is>
      </c>
      <c r="AM77" s="2" t="n"/>
      <c r="AN77" s="2" t="n"/>
      <c r="AO77" s="2" t="n"/>
      <c r="AP77" s="2" t="inlineStr">
        <is>
          <t>v3_2026-03-19</t>
        </is>
      </c>
      <c r="AQ77">
        <f>(L77-Schema_v5!$C2)/(Schema_v5!$C3-Schema_v5!$C2)</f>
        <v/>
      </c>
      <c r="AR77">
        <f>(M77-Schema_v5!$C4)/(Schema_v5!$C5-Schema_v5!$C4)</f>
        <v/>
      </c>
      <c r="AS77">
        <f>N77/Schema_v5!$C6</f>
        <v/>
      </c>
      <c r="AT77">
        <f>O77/Schema_v5!$C7</f>
        <v/>
      </c>
      <c r="AU77">
        <f>P77/Schema_v5!$C8</f>
        <v/>
      </c>
      <c r="AV77">
        <f>IF(Schema_v5!$C9=0,0,AH77/Schema_v5!$C9)</f>
        <v/>
      </c>
      <c r="AW77">
        <f>IF(Schema_v5!$C10=0,0,AE77/Schema_v5!$C10)</f>
        <v/>
      </c>
      <c r="AX77">
        <f>(W77-Schema_v5!$C11)/(Schema_v5!$C12-Schema_v5!$C11)</f>
        <v/>
      </c>
      <c r="AY77">
        <f>(X77-Schema_v5!$C13)/(Schema_v5!$C14-Schema_v5!$C13)</f>
        <v/>
      </c>
      <c r="AZ77">
        <f>MIN(1,MAX(0,U77/Schema_v7!$C$9))</f>
        <v/>
      </c>
      <c r="BA77">
        <f>IF(AJ77="yes",0.55,0)</f>
        <v/>
      </c>
      <c r="BB77">
        <f>IF(AI77="yes",0.10,0)</f>
        <v/>
      </c>
      <c r="BC77">
        <f>IF(Y77="COMM_Direct",0.92,IF(Y77="COMM_Emotional",0.70,IF(Y77="COMM_Logical",0.65,IF(Y77="COMM_Indirect",0.55,0.35))))</f>
        <v/>
      </c>
      <c r="BD77">
        <f>IF(Z77="REG_CoRegulator",0.92,IF(Z77="REG_SelfSoother",0.76,IF(Z77="REG_Distractor",0.48,0.35)))</f>
        <v/>
      </c>
      <c r="BE77">
        <f>IF(AA77="LANG_Time",0.76,IF(AA77="LANG_Service",0.70,IF(AA77="LANG_Words",0.72,IF(AA77="LANG_Touch",0.68,0.60))))</f>
        <v/>
      </c>
      <c r="BF77">
        <f>MAX(0,MIN(1,0.28*AS77+0.16*AT77+0.18*BC77+0.18*BD77+0.10*(1-AZ77)+0.10*(1-BA77)+BB77))</f>
        <v/>
      </c>
      <c r="BG77">
        <f>MAX(0,MIN(1,0.24*AU77+0.18*AS77+0.18*BC77+0.20*BD77+0.10*(1-AW77)+0.10*(1-BA77)))</f>
        <v/>
      </c>
      <c r="BH77">
        <f>MAX(0,MIN(1,0.28*AR77+0.18*AT77+0.16*AU77+0.18*(1-AV77)+0.10*(1-AW77)+0.10*BF77))</f>
        <v/>
      </c>
      <c r="BI77">
        <f>MAX(0,MIN(1,0.30*AV77+0.20*AZ77+0.20*AW77+0.15*(1-BH77)+0.15*(1-BO77)))</f>
        <v/>
      </c>
      <c r="BJ77">
        <f>MAX(0,1-(ABS(((( AX77+AY77)/2)-0.55)*1.6)))</f>
        <v/>
      </c>
      <c r="BK77">
        <f>MAX(0,MIN(1,0.28*AR77+0.18*AT77+0.16*BJ77+0.14*(1-AV77)+0.12*BQ77+0.12*BO77))</f>
        <v/>
      </c>
      <c r="BL77">
        <f>MAX(0,MIN(1,0.22*AQ77+0.18*AS77+0.18*BC77+0.18*BD77+0.08*BE77+0.10*BF77+0.06*BO77))</f>
        <v/>
      </c>
      <c r="BM77">
        <f>MAX(0,MIN(1,0.20*(1-AZ77)+0.16*(1-BA77)+0.14*(1-AW77)+0.14*AU77+0.18*BG77+0.10*BH77+0.08*BP77))</f>
        <v/>
      </c>
      <c r="BN77">
        <f>MAX(0,MIN(1,0.42*BJ77+0.33*BK77+0.15*AT77+0.10*BQ77))</f>
        <v/>
      </c>
      <c r="BO77">
        <f>MAX(0,MIN(1,0.30*BC77+0.24*BD77+0.18*AS77+0.14*(1-BI77)+0.14*AT77))</f>
        <v/>
      </c>
      <c r="BP77">
        <f>MAX(0,MIN(1,0.26*AS77+0.20*(1-BA77)+0.16*(1-AW77)+0.18*BG77+0.10*AU77+0.10+BB77))</f>
        <v/>
      </c>
      <c r="BQ77">
        <f>MAX(0,MIN(1,0.24*AT77+0.18*BF77+0.14*AR77+0.14*BO77+0.14*(1-AV77)+0.16*(1-AZ77)))</f>
        <v/>
      </c>
      <c r="BR77">
        <f>IF(BO77&gt;=0.80,"Open",IF(BO77&gt;=0.62,"Measured",IF(BO77&gt;=0.45,"Selective","Guarded")))</f>
        <v/>
      </c>
      <c r="BS77">
        <f>IF(Y77="COMM_Direct","Direct",IF(Y77="COMM_Emotional","Emotional",IF(Y77="COMM_Logical","Logical",IF(Y77="COMM_Indirect","Indirect","Avoidant"))))</f>
        <v/>
      </c>
      <c r="BT77">
        <f>IF(BG77&gt;=0.78,"Co-repair",IF(BG77&gt;=0.58,"Re-engage",IF(BG77&gt;=0.40,"Delay","Suppress")))</f>
        <v/>
      </c>
      <c r="BU77">
        <f>IF(BI77&gt;=0.70,"Retreat-risk",IF(BH77&lt;=0.40,"Rush-risk",IF(BH77&gt;=0.65,"Slow-build","Mixed")))</f>
        <v/>
      </c>
      <c r="BV77">
        <f>IF(BL77-BM77&gt;=0.15,"Stimulation-seeking",IF(BM77-BL77&gt;=0.15,"Calm-seeking","Mixed")))</f>
        <v/>
      </c>
      <c r="BW77">
        <f>IF(AND(BL77&gt;=0.72,BM77&lt;0.48),"High",IF(AND(BL77&gt;=0.60,BM77&lt;0.58),"Medium","Low"))</f>
        <v/>
      </c>
    </row>
    <row r="78" ht="175.5" customHeight="1" s="10">
      <c r="A78" s="2" t="inlineStr">
        <is>
          <t>Q16_B</t>
        </is>
      </c>
      <c r="B78" s="2" t="n">
        <v>16</v>
      </c>
      <c r="C78" s="2" t="n">
        <v>16</v>
      </c>
      <c r="D78" s="2" t="inlineStr">
        <is>
          <t>Core</t>
        </is>
      </c>
      <c r="E78" s="2" t="n">
        <v>1.05</v>
      </c>
      <c r="F78" s="2" t="inlineStr">
        <is>
          <t>ConflictRepair</t>
        </is>
      </c>
      <c r="G78" s="2" t="inlineStr">
        <is>
          <t>CommunicationHealth</t>
        </is>
      </c>
      <c r="H78" s="2" t="n"/>
      <c r="I78" s="2" t="inlineStr">
        <is>
          <t>B</t>
        </is>
      </c>
      <c r="J78" s="2" t="inlineStr">
        <is>
          <t>B</t>
        </is>
      </c>
      <c r="K78" s="2" t="inlineStr">
        <is>
          <t>I recheck our last texts. Then I reread mine. Then I wonder if I should've said less, or more. I don't bring it up, but it definitely rewires how I respond.</t>
        </is>
      </c>
      <c r="L78" s="2" t="n">
        <v>5</v>
      </c>
      <c r="M78" s="2" t="n">
        <v>6</v>
      </c>
      <c r="N78" s="2" t="n">
        <v>4</v>
      </c>
      <c r="O78" s="2" t="n">
        <v>4</v>
      </c>
      <c r="P78" s="2" t="n">
        <v>2</v>
      </c>
      <c r="Q78" s="2" t="inlineStr">
        <is>
          <t>Analyzer</t>
        </is>
      </c>
      <c r="R78" s="2" t="n">
        <v>2</v>
      </c>
      <c r="S78" s="2" t="n"/>
      <c r="T78" s="2" t="n"/>
      <c r="U78" s="2" t="n">
        <v>0</v>
      </c>
      <c r="V78" s="2" t="inlineStr">
        <is>
          <t>masc:1.4;fem:0.1</t>
        </is>
      </c>
      <c r="W78" s="2" t="n">
        <v>1.4</v>
      </c>
      <c r="X78" s="2" t="n">
        <v>0.1</v>
      </c>
      <c r="Y78" s="2" t="inlineStr">
        <is>
          <t>COMM_Logical</t>
        </is>
      </c>
      <c r="Z78" s="2" t="inlineStr">
        <is>
          <t>REG_SelfSoother</t>
        </is>
      </c>
      <c r="AA78" s="2" t="inlineStr">
        <is>
          <t>LANG_Service</t>
        </is>
      </c>
      <c r="AB78" s="2" t="inlineStr">
        <is>
          <t>Trust_Tension</t>
        </is>
      </c>
      <c r="AC78" s="2" t="inlineStr">
        <is>
          <t>Trust_Tension</t>
        </is>
      </c>
      <c r="AD78" s="2" t="n"/>
      <c r="AE78" s="2" t="n">
        <v>6</v>
      </c>
      <c r="AF78" s="2" t="inlineStr">
        <is>
          <t>emotional spiral</t>
        </is>
      </c>
      <c r="AG78" s="2" t="inlineStr">
        <is>
          <t>overanalyzer</t>
        </is>
      </c>
      <c r="AH78" s="2" t="n">
        <v>0</v>
      </c>
      <c r="AI78" s="2" t="inlineStr">
        <is>
          <t>yes</t>
        </is>
      </c>
      <c r="AJ78" s="2" t="inlineStr">
        <is>
          <t>no</t>
        </is>
      </c>
      <c r="AK78" s="2" t="inlineStr">
        <is>
          <t>yes</t>
        </is>
      </c>
      <c r="AL78" s="2" t="inlineStr">
        <is>
          <t>yes</t>
        </is>
      </c>
      <c r="AM78" s="2" t="n"/>
      <c r="AN78" s="2" t="n"/>
      <c r="AO78" s="2" t="n"/>
      <c r="AP78" s="2" t="inlineStr">
        <is>
          <t>v3_2026-03-19</t>
        </is>
      </c>
      <c r="AQ78">
        <f>(L78-Schema_v5!$C2)/(Schema_v5!$C3-Schema_v5!$C2)</f>
        <v/>
      </c>
      <c r="AR78">
        <f>(M78-Schema_v5!$C4)/(Schema_v5!$C5-Schema_v5!$C4)</f>
        <v/>
      </c>
      <c r="AS78">
        <f>N78/Schema_v5!$C6</f>
        <v/>
      </c>
      <c r="AT78">
        <f>O78/Schema_v5!$C7</f>
        <v/>
      </c>
      <c r="AU78">
        <f>P78/Schema_v5!$C8</f>
        <v/>
      </c>
      <c r="AV78">
        <f>IF(Schema_v5!$C9=0,0,AH78/Schema_v5!$C9)</f>
        <v/>
      </c>
      <c r="AW78">
        <f>IF(Schema_v5!$C10=0,0,AE78/Schema_v5!$C10)</f>
        <v/>
      </c>
      <c r="AX78">
        <f>(W78-Schema_v5!$C11)/(Schema_v5!$C12-Schema_v5!$C11)</f>
        <v/>
      </c>
      <c r="AY78">
        <f>(X78-Schema_v5!$C13)/(Schema_v5!$C14-Schema_v5!$C13)</f>
        <v/>
      </c>
      <c r="AZ78">
        <f>MIN(1,MAX(0,U78/Schema_v7!$C$9))</f>
        <v/>
      </c>
      <c r="BA78">
        <f>IF(AJ78="yes",0.55,0)</f>
        <v/>
      </c>
      <c r="BB78">
        <f>IF(AI78="yes",0.10,0)</f>
        <v/>
      </c>
      <c r="BC78">
        <f>IF(Y78="COMM_Direct",0.92,IF(Y78="COMM_Emotional",0.70,IF(Y78="COMM_Logical",0.65,IF(Y78="COMM_Indirect",0.55,0.35))))</f>
        <v/>
      </c>
      <c r="BD78">
        <f>IF(Z78="REG_CoRegulator",0.92,IF(Z78="REG_SelfSoother",0.76,IF(Z78="REG_Distractor",0.48,0.35)))</f>
        <v/>
      </c>
      <c r="BE78">
        <f>IF(AA78="LANG_Time",0.76,IF(AA78="LANG_Service",0.70,IF(AA78="LANG_Words",0.72,IF(AA78="LANG_Touch",0.68,0.60))))</f>
        <v/>
      </c>
      <c r="BF78">
        <f>MAX(0,MIN(1,0.28*AS78+0.16*AT78+0.18*BC78+0.18*BD78+0.10*(1-AZ78)+0.10*(1-BA78)+BB78))</f>
        <v/>
      </c>
      <c r="BG78">
        <f>MAX(0,MIN(1,0.24*AU78+0.18*AS78+0.18*BC78+0.20*BD78+0.10*(1-AW78)+0.10*(1-BA78)))</f>
        <v/>
      </c>
      <c r="BH78">
        <f>MAX(0,MIN(1,0.28*AR78+0.18*AT78+0.16*AU78+0.18*(1-AV78)+0.10*(1-AW78)+0.10*BF78))</f>
        <v/>
      </c>
      <c r="BI78">
        <f>MAX(0,MIN(1,0.30*AV78+0.20*AZ78+0.20*AW78+0.15*(1-BH78)+0.15*(1-BO78)))</f>
        <v/>
      </c>
      <c r="BJ78">
        <f>MAX(0,1-(ABS(((( AX78+AY78)/2)-0.55)*1.6)))</f>
        <v/>
      </c>
      <c r="BK78">
        <f>MAX(0,MIN(1,0.28*AR78+0.18*AT78+0.16*BJ78+0.14*(1-AV78)+0.12*BQ78+0.12*BO78))</f>
        <v/>
      </c>
      <c r="BL78">
        <f>MAX(0,MIN(1,0.22*AQ78+0.18*AS78+0.18*BC78+0.18*BD78+0.08*BE78+0.10*BF78+0.06*BO78))</f>
        <v/>
      </c>
      <c r="BM78">
        <f>MAX(0,MIN(1,0.20*(1-AZ78)+0.16*(1-BA78)+0.14*(1-AW78)+0.14*AU78+0.18*BG78+0.10*BH78+0.08*BP78))</f>
        <v/>
      </c>
      <c r="BN78">
        <f>MAX(0,MIN(1,0.42*BJ78+0.33*BK78+0.15*AT78+0.10*BQ78))</f>
        <v/>
      </c>
      <c r="BO78">
        <f>MAX(0,MIN(1,0.30*BC78+0.24*BD78+0.18*AS78+0.14*(1-BI78)+0.14*AT78))</f>
        <v/>
      </c>
      <c r="BP78">
        <f>MAX(0,MIN(1,0.26*AS78+0.20*(1-BA78)+0.16*(1-AW78)+0.18*BG78+0.10*AU78+0.10+BB78))</f>
        <v/>
      </c>
      <c r="BQ78">
        <f>MAX(0,MIN(1,0.24*AT78+0.18*BF78+0.14*AR78+0.14*BO78+0.14*(1-AV78)+0.16*(1-AZ78)))</f>
        <v/>
      </c>
      <c r="BR78">
        <f>IF(BO78&gt;=0.80,"Open",IF(BO78&gt;=0.62,"Measured",IF(BO78&gt;=0.45,"Selective","Guarded")))</f>
        <v/>
      </c>
      <c r="BS78">
        <f>IF(Y78="COMM_Direct","Direct",IF(Y78="COMM_Emotional","Emotional",IF(Y78="COMM_Logical","Logical",IF(Y78="COMM_Indirect","Indirect","Avoidant"))))</f>
        <v/>
      </c>
      <c r="BT78">
        <f>IF(BG78&gt;=0.78,"Co-repair",IF(BG78&gt;=0.58,"Re-engage",IF(BG78&gt;=0.40,"Delay","Suppress")))</f>
        <v/>
      </c>
      <c r="BU78">
        <f>IF(BI78&gt;=0.70,"Retreat-risk",IF(BH78&lt;=0.40,"Rush-risk",IF(BH78&gt;=0.65,"Slow-build","Mixed")))</f>
        <v/>
      </c>
      <c r="BV78">
        <f>IF(BL78-BM78&gt;=0.15,"Stimulation-seeking",IF(BM78-BL78&gt;=0.15,"Calm-seeking","Mixed")))</f>
        <v/>
      </c>
      <c r="BW78">
        <f>IF(AND(BL78&gt;=0.72,BM78&lt;0.48),"High",IF(AND(BL78&gt;=0.60,BM78&lt;0.58),"Medium","Low"))</f>
        <v/>
      </c>
    </row>
    <row r="79" ht="121.5" customHeight="1" s="10">
      <c r="A79" s="2" t="inlineStr">
        <is>
          <t>Q16_C</t>
        </is>
      </c>
      <c r="B79" s="2" t="n">
        <v>16</v>
      </c>
      <c r="C79" s="2" t="n">
        <v>16</v>
      </c>
      <c r="D79" s="2" t="inlineStr">
        <is>
          <t>Core</t>
        </is>
      </c>
      <c r="E79" s="2" t="n">
        <v>1.05</v>
      </c>
      <c r="F79" s="2" t="inlineStr">
        <is>
          <t>ConflictRepair</t>
        </is>
      </c>
      <c r="G79" s="2" t="inlineStr">
        <is>
          <t>CommunicationHealth</t>
        </is>
      </c>
      <c r="H79" s="2" t="n"/>
      <c r="I79" s="2" t="inlineStr">
        <is>
          <t>C</t>
        </is>
      </c>
      <c r="J79" s="2" t="inlineStr">
        <is>
          <t>C</t>
        </is>
      </c>
      <c r="K79" s="2" t="inlineStr">
        <is>
          <t>I back off. They'll either notice or they won't. I'm not chasing people who don't know what they want.</t>
        </is>
      </c>
      <c r="L79" s="2" t="n">
        <v>4</v>
      </c>
      <c r="M79" s="2" t="n">
        <v>5</v>
      </c>
      <c r="N79" s="2" t="n">
        <v>0</v>
      </c>
      <c r="O79" s="2" t="n">
        <v>0</v>
      </c>
      <c r="P79" s="2" t="n">
        <v>0</v>
      </c>
      <c r="Q79" s="2" t="inlineStr">
        <is>
          <t>Icebox</t>
        </is>
      </c>
      <c r="R79" s="2" t="n">
        <v>1</v>
      </c>
      <c r="S79" s="2" t="n"/>
      <c r="T79" s="2" t="n"/>
      <c r="U79" s="2" t="n">
        <v>0</v>
      </c>
      <c r="V79" s="2" t="inlineStr">
        <is>
          <t>masc:1.8;fem:-1.6</t>
        </is>
      </c>
      <c r="W79" s="2" t="n">
        <v>1.8</v>
      </c>
      <c r="X79" s="2" t="n">
        <v>-1.6</v>
      </c>
      <c r="Y79" s="2" t="inlineStr">
        <is>
          <t>COMM_Avoidant</t>
        </is>
      </c>
      <c r="Z79" s="2" t="inlineStr">
        <is>
          <t>REG_Suppressor</t>
        </is>
      </c>
      <c r="AA79" s="2" t="inlineStr">
        <is>
          <t>LANG_Time</t>
        </is>
      </c>
      <c r="AB79" s="2" t="inlineStr">
        <is>
          <t>Vulnerability_Loop</t>
        </is>
      </c>
      <c r="AC79" s="2" t="inlineStr">
        <is>
          <t>Vulnerability_Loop</t>
        </is>
      </c>
      <c r="AD79" s="2" t="n"/>
      <c r="AE79" s="2" t="n">
        <v>5</v>
      </c>
      <c r="AF79" s="2" t="inlineStr">
        <is>
          <t>quiet burn</t>
        </is>
      </c>
      <c r="AG79" s="2" t="inlineStr">
        <is>
          <t>disengaged pullback</t>
        </is>
      </c>
      <c r="AH79" s="2" t="n">
        <v>0.6</v>
      </c>
      <c r="AI79" s="2" t="inlineStr">
        <is>
          <t>yes</t>
        </is>
      </c>
      <c r="AJ79" s="2" t="inlineStr">
        <is>
          <t>no</t>
        </is>
      </c>
      <c r="AK79" s="2" t="inlineStr">
        <is>
          <t>yes</t>
        </is>
      </c>
      <c r="AL79" s="2" t="inlineStr">
        <is>
          <t>yes</t>
        </is>
      </c>
      <c r="AM79" s="2" t="n"/>
      <c r="AN79" s="2" t="n"/>
      <c r="AO79" s="2" t="n"/>
      <c r="AP79" s="2" t="inlineStr">
        <is>
          <t>v3_2026-03-19</t>
        </is>
      </c>
      <c r="AQ79">
        <f>(L79-Schema_v5!$C2)/(Schema_v5!$C3-Schema_v5!$C2)</f>
        <v/>
      </c>
      <c r="AR79">
        <f>(M79-Schema_v5!$C4)/(Schema_v5!$C5-Schema_v5!$C4)</f>
        <v/>
      </c>
      <c r="AS79">
        <f>N79/Schema_v5!$C6</f>
        <v/>
      </c>
      <c r="AT79">
        <f>O79/Schema_v5!$C7</f>
        <v/>
      </c>
      <c r="AU79">
        <f>P79/Schema_v5!$C8</f>
        <v/>
      </c>
      <c r="AV79">
        <f>IF(Schema_v5!$C9=0,0,AH79/Schema_v5!$C9)</f>
        <v/>
      </c>
      <c r="AW79">
        <f>IF(Schema_v5!$C10=0,0,AE79/Schema_v5!$C10)</f>
        <v/>
      </c>
      <c r="AX79">
        <f>(W79-Schema_v5!$C11)/(Schema_v5!$C12-Schema_v5!$C11)</f>
        <v/>
      </c>
      <c r="AY79">
        <f>(X79-Schema_v5!$C13)/(Schema_v5!$C14-Schema_v5!$C13)</f>
        <v/>
      </c>
      <c r="AZ79">
        <f>MIN(1,MAX(0,U79/Schema_v7!$C$9))</f>
        <v/>
      </c>
      <c r="BA79">
        <f>IF(AJ79="yes",0.55,0)</f>
        <v/>
      </c>
      <c r="BB79">
        <f>IF(AI79="yes",0.10,0)</f>
        <v/>
      </c>
      <c r="BC79">
        <f>IF(Y79="COMM_Direct",0.92,IF(Y79="COMM_Emotional",0.70,IF(Y79="COMM_Logical",0.65,IF(Y79="COMM_Indirect",0.55,0.35))))</f>
        <v/>
      </c>
      <c r="BD79">
        <f>IF(Z79="REG_CoRegulator",0.92,IF(Z79="REG_SelfSoother",0.76,IF(Z79="REG_Distractor",0.48,0.35)))</f>
        <v/>
      </c>
      <c r="BE79">
        <f>IF(AA79="LANG_Time",0.76,IF(AA79="LANG_Service",0.70,IF(AA79="LANG_Words",0.72,IF(AA79="LANG_Touch",0.68,0.60))))</f>
        <v/>
      </c>
      <c r="BF79">
        <f>MAX(0,MIN(1,0.28*AS79+0.16*AT79+0.18*BC79+0.18*BD79+0.10*(1-AZ79)+0.10*(1-BA79)+BB79))</f>
        <v/>
      </c>
      <c r="BG79">
        <f>MAX(0,MIN(1,0.24*AU79+0.18*AS79+0.18*BC79+0.20*BD79+0.10*(1-AW79)+0.10*(1-BA79)))</f>
        <v/>
      </c>
      <c r="BH79">
        <f>MAX(0,MIN(1,0.28*AR79+0.18*AT79+0.16*AU79+0.18*(1-AV79)+0.10*(1-AW79)+0.10*BF79))</f>
        <v/>
      </c>
      <c r="BI79">
        <f>MAX(0,MIN(1,0.30*AV79+0.20*AZ79+0.20*AW79+0.15*(1-BH79)+0.15*(1-BO79)))</f>
        <v/>
      </c>
      <c r="BJ79">
        <f>MAX(0,1-(ABS(((( AX79+AY79)/2)-0.55)*1.6)))</f>
        <v/>
      </c>
      <c r="BK79">
        <f>MAX(0,MIN(1,0.28*AR79+0.18*AT79+0.16*BJ79+0.14*(1-AV79)+0.12*BQ79+0.12*BO79))</f>
        <v/>
      </c>
      <c r="BL79">
        <f>MAX(0,MIN(1,0.22*AQ79+0.18*AS79+0.18*BC79+0.18*BD79+0.08*BE79+0.10*BF79+0.06*BO79))</f>
        <v/>
      </c>
      <c r="BM79">
        <f>MAX(0,MIN(1,0.20*(1-AZ79)+0.16*(1-BA79)+0.14*(1-AW79)+0.14*AU79+0.18*BG79+0.10*BH79+0.08*BP79))</f>
        <v/>
      </c>
      <c r="BN79">
        <f>MAX(0,MIN(1,0.42*BJ79+0.33*BK79+0.15*AT79+0.10*BQ79))</f>
        <v/>
      </c>
      <c r="BO79">
        <f>MAX(0,MIN(1,0.30*BC79+0.24*BD79+0.18*AS79+0.14*(1-BI79)+0.14*AT79))</f>
        <v/>
      </c>
      <c r="BP79">
        <f>MAX(0,MIN(1,0.26*AS79+0.20*(1-BA79)+0.16*(1-AW79)+0.18*BG79+0.10*AU79+0.10+BB79))</f>
        <v/>
      </c>
      <c r="BQ79">
        <f>MAX(0,MIN(1,0.24*AT79+0.18*BF79+0.14*AR79+0.14*BO79+0.14*(1-AV79)+0.16*(1-AZ79)))</f>
        <v/>
      </c>
      <c r="BR79">
        <f>IF(BO79&gt;=0.80,"Open",IF(BO79&gt;=0.62,"Measured",IF(BO79&gt;=0.45,"Selective","Guarded")))</f>
        <v/>
      </c>
      <c r="BS79">
        <f>IF(Y79="COMM_Direct","Direct",IF(Y79="COMM_Emotional","Emotional",IF(Y79="COMM_Logical","Logical",IF(Y79="COMM_Indirect","Indirect","Avoidant"))))</f>
        <v/>
      </c>
      <c r="BT79">
        <f>IF(BG79&gt;=0.78,"Co-repair",IF(BG79&gt;=0.58,"Re-engage",IF(BG79&gt;=0.40,"Delay","Suppress")))</f>
        <v/>
      </c>
      <c r="BU79">
        <f>IF(BI79&gt;=0.70,"Retreat-risk",IF(BH79&lt;=0.40,"Rush-risk",IF(BH79&gt;=0.65,"Slow-build","Mixed")))</f>
        <v/>
      </c>
      <c r="BV79">
        <f>IF(BL79-BM79&gt;=0.15,"Stimulation-seeking",IF(BM79-BL79&gt;=0.15,"Calm-seeking","Mixed")))</f>
        <v/>
      </c>
      <c r="BW79">
        <f>IF(AND(BL79&gt;=0.72,BM79&lt;0.48),"High",IF(AND(BL79&gt;=0.60,BM79&lt;0.58),"Medium","Low"))</f>
        <v/>
      </c>
    </row>
    <row r="80" ht="148.5" customHeight="1" s="10">
      <c r="A80" s="2" t="inlineStr">
        <is>
          <t>Q16_D</t>
        </is>
      </c>
      <c r="B80" s="2" t="n">
        <v>16</v>
      </c>
      <c r="C80" s="2" t="n">
        <v>16</v>
      </c>
      <c r="D80" s="2" t="inlineStr">
        <is>
          <t>Core</t>
        </is>
      </c>
      <c r="E80" s="2" t="n">
        <v>1.05</v>
      </c>
      <c r="F80" s="2" t="inlineStr">
        <is>
          <t>ConflictRepair</t>
        </is>
      </c>
      <c r="G80" s="2" t="inlineStr">
        <is>
          <t>CommunicationHealth</t>
        </is>
      </c>
      <c r="H80" s="2" t="n"/>
      <c r="I80" s="2" t="inlineStr">
        <is>
          <t>D</t>
        </is>
      </c>
      <c r="J80" s="2" t="inlineStr">
        <is>
          <t>D</t>
        </is>
      </c>
      <c r="K80" s="2" t="inlineStr">
        <is>
          <t>I stop bringing things up. If they don't want me, I'm not going to beg to be understood. I've played that game before.</t>
        </is>
      </c>
      <c r="L80" s="2" t="n">
        <v>6</v>
      </c>
      <c r="M80" s="2" t="n">
        <v>7</v>
      </c>
      <c r="N80" s="2" t="n">
        <v>4</v>
      </c>
      <c r="O80" s="2" t="n">
        <v>4</v>
      </c>
      <c r="P80" s="2" t="n">
        <v>4</v>
      </c>
      <c r="Q80" s="2" t="inlineStr">
        <is>
          <t>Fixer</t>
        </is>
      </c>
      <c r="R80" s="2" t="n">
        <v>5</v>
      </c>
      <c r="S80" s="2" t="n"/>
      <c r="T80" s="2" t="n"/>
      <c r="U80" s="2" t="n">
        <v>0</v>
      </c>
      <c r="V80" s="2" t="inlineStr">
        <is>
          <t>masc:-0.4;fem:2.0</t>
        </is>
      </c>
      <c r="W80" s="2" t="n">
        <v>-0.4</v>
      </c>
      <c r="X80" s="2" t="n">
        <v>2</v>
      </c>
      <c r="Y80" s="2" t="inlineStr">
        <is>
          <t>COMM_Emotional</t>
        </is>
      </c>
      <c r="Z80" s="2" t="inlineStr">
        <is>
          <t>REG_CoRegulator</t>
        </is>
      </c>
      <c r="AA80" s="2" t="inlineStr">
        <is>
          <t>LANG_Service</t>
        </is>
      </c>
      <c r="AB80" s="2" t="inlineStr">
        <is>
          <t>Affection_Mismatch , Independence_Collision</t>
        </is>
      </c>
      <c r="AC80" s="2" t="inlineStr">
        <is>
          <t>Affection_Mismatch</t>
        </is>
      </c>
      <c r="AD80" s="2" t="inlineStr">
        <is>
          <t>Independence_Collision</t>
        </is>
      </c>
      <c r="AE80" s="2" t="n">
        <v>9</v>
      </c>
      <c r="AF80" s="2" t="inlineStr">
        <is>
          <t>resigned caregiver</t>
        </is>
      </c>
      <c r="AG80" s="2" t="inlineStr">
        <is>
          <t>silent surrender</t>
        </is>
      </c>
      <c r="AH80" s="2" t="n">
        <v>1.2</v>
      </c>
      <c r="AI80" s="2" t="inlineStr">
        <is>
          <t>yes</t>
        </is>
      </c>
      <c r="AJ80" s="2" t="inlineStr">
        <is>
          <t>no</t>
        </is>
      </c>
      <c r="AK80" s="2" t="inlineStr">
        <is>
          <t>yes</t>
        </is>
      </c>
      <c r="AL80" s="2" t="inlineStr">
        <is>
          <t>yes</t>
        </is>
      </c>
      <c r="AM80" s="2" t="n"/>
      <c r="AN80" s="2" t="n"/>
      <c r="AO80" s="2" t="n"/>
      <c r="AP80" s="2" t="inlineStr">
        <is>
          <t>v3_2026-03-19</t>
        </is>
      </c>
      <c r="AQ80">
        <f>(L80-Schema_v5!$C2)/(Schema_v5!$C3-Schema_v5!$C2)</f>
        <v/>
      </c>
      <c r="AR80">
        <f>(M80-Schema_v5!$C4)/(Schema_v5!$C5-Schema_v5!$C4)</f>
        <v/>
      </c>
      <c r="AS80">
        <f>N80/Schema_v5!$C6</f>
        <v/>
      </c>
      <c r="AT80">
        <f>O80/Schema_v5!$C7</f>
        <v/>
      </c>
      <c r="AU80">
        <f>P80/Schema_v5!$C8</f>
        <v/>
      </c>
      <c r="AV80">
        <f>IF(Schema_v5!$C9=0,0,AH80/Schema_v5!$C9)</f>
        <v/>
      </c>
      <c r="AW80">
        <f>IF(Schema_v5!$C10=0,0,AE80/Schema_v5!$C10)</f>
        <v/>
      </c>
      <c r="AX80">
        <f>(W80-Schema_v5!$C11)/(Schema_v5!$C12-Schema_v5!$C11)</f>
        <v/>
      </c>
      <c r="AY80">
        <f>(X80-Schema_v5!$C13)/(Schema_v5!$C14-Schema_v5!$C13)</f>
        <v/>
      </c>
      <c r="AZ80">
        <f>MIN(1,MAX(0,U80/Schema_v7!$C$9))</f>
        <v/>
      </c>
      <c r="BA80">
        <f>IF(AJ80="yes",0.55,0)</f>
        <v/>
      </c>
      <c r="BB80">
        <f>IF(AI80="yes",0.10,0)</f>
        <v/>
      </c>
      <c r="BC80">
        <f>IF(Y80="COMM_Direct",0.92,IF(Y80="COMM_Emotional",0.70,IF(Y80="COMM_Logical",0.65,IF(Y80="COMM_Indirect",0.55,0.35))))</f>
        <v/>
      </c>
      <c r="BD80">
        <f>IF(Z80="REG_CoRegulator",0.92,IF(Z80="REG_SelfSoother",0.76,IF(Z80="REG_Distractor",0.48,0.35)))</f>
        <v/>
      </c>
      <c r="BE80">
        <f>IF(AA80="LANG_Time",0.76,IF(AA80="LANG_Service",0.70,IF(AA80="LANG_Words",0.72,IF(AA80="LANG_Touch",0.68,0.60))))</f>
        <v/>
      </c>
      <c r="BF80">
        <f>MAX(0,MIN(1,0.28*AS80+0.16*AT80+0.18*BC80+0.18*BD80+0.10*(1-AZ80)+0.10*(1-BA80)+BB80))</f>
        <v/>
      </c>
      <c r="BG80">
        <f>MAX(0,MIN(1,0.24*AU80+0.18*AS80+0.18*BC80+0.20*BD80+0.10*(1-AW80)+0.10*(1-BA80)))</f>
        <v/>
      </c>
      <c r="BH80">
        <f>MAX(0,MIN(1,0.28*AR80+0.18*AT80+0.16*AU80+0.18*(1-AV80)+0.10*(1-AW80)+0.10*BF80))</f>
        <v/>
      </c>
      <c r="BI80">
        <f>MAX(0,MIN(1,0.30*AV80+0.20*AZ80+0.20*AW80+0.15*(1-BH80)+0.15*(1-BO80)))</f>
        <v/>
      </c>
      <c r="BJ80">
        <f>MAX(0,1-(ABS(((( AX80+AY80)/2)-0.55)*1.6)))</f>
        <v/>
      </c>
      <c r="BK80">
        <f>MAX(0,MIN(1,0.28*AR80+0.18*AT80+0.16*BJ80+0.14*(1-AV80)+0.12*BQ80+0.12*BO80))</f>
        <v/>
      </c>
      <c r="BL80">
        <f>MAX(0,MIN(1,0.22*AQ80+0.18*AS80+0.18*BC80+0.18*BD80+0.08*BE80+0.10*BF80+0.06*BO80))</f>
        <v/>
      </c>
      <c r="BM80">
        <f>MAX(0,MIN(1,0.20*(1-AZ80)+0.16*(1-BA80)+0.14*(1-AW80)+0.14*AU80+0.18*BG80+0.10*BH80+0.08*BP80))</f>
        <v/>
      </c>
      <c r="BN80">
        <f>MAX(0,MIN(1,0.42*BJ80+0.33*BK80+0.15*AT80+0.10*BQ80))</f>
        <v/>
      </c>
      <c r="BO80">
        <f>MAX(0,MIN(1,0.30*BC80+0.24*BD80+0.18*AS80+0.14*(1-BI80)+0.14*AT80))</f>
        <v/>
      </c>
      <c r="BP80">
        <f>MAX(0,MIN(1,0.26*AS80+0.20*(1-BA80)+0.16*(1-AW80)+0.18*BG80+0.10*AU80+0.10+BB80))</f>
        <v/>
      </c>
      <c r="BQ80">
        <f>MAX(0,MIN(1,0.24*AT80+0.18*BF80+0.14*AR80+0.14*BO80+0.14*(1-AV80)+0.16*(1-AZ80)))</f>
        <v/>
      </c>
      <c r="BR80">
        <f>IF(BO80&gt;=0.80,"Open",IF(BO80&gt;=0.62,"Measured",IF(BO80&gt;=0.45,"Selective","Guarded")))</f>
        <v/>
      </c>
      <c r="BS80">
        <f>IF(Y80="COMM_Direct","Direct",IF(Y80="COMM_Emotional","Emotional",IF(Y80="COMM_Logical","Logical",IF(Y80="COMM_Indirect","Indirect","Avoidant"))))</f>
        <v/>
      </c>
      <c r="BT80">
        <f>IF(BG80&gt;=0.78,"Co-repair",IF(BG80&gt;=0.58,"Re-engage",IF(BG80&gt;=0.40,"Delay","Suppress")))</f>
        <v/>
      </c>
      <c r="BU80">
        <f>IF(BI80&gt;=0.70,"Retreat-risk",IF(BH80&lt;=0.40,"Rush-risk",IF(BH80&gt;=0.65,"Slow-build","Mixed")))</f>
        <v/>
      </c>
      <c r="BV80">
        <f>IF(BL80-BM80&gt;=0.15,"Stimulation-seeking",IF(BM80-BL80&gt;=0.15,"Calm-seeking","Mixed")))</f>
        <v/>
      </c>
      <c r="BW80">
        <f>IF(AND(BL80&gt;=0.72,BM80&lt;0.48),"High",IF(AND(BL80&gt;=0.60,BM80&lt;0.58),"Medium","Low"))</f>
        <v/>
      </c>
    </row>
    <row r="81" ht="135" customHeight="1" s="10">
      <c r="A81" s="2" t="inlineStr">
        <is>
          <t>Q16_E</t>
        </is>
      </c>
      <c r="B81" s="2" t="n">
        <v>16</v>
      </c>
      <c r="C81" s="2" t="n">
        <v>16</v>
      </c>
      <c r="D81" s="2" t="inlineStr">
        <is>
          <t>Core</t>
        </is>
      </c>
      <c r="E81" s="2" t="n">
        <v>1.05</v>
      </c>
      <c r="F81" s="2" t="inlineStr">
        <is>
          <t>ConflictRepair</t>
        </is>
      </c>
      <c r="G81" s="2" t="inlineStr">
        <is>
          <t>CommunicationHealth</t>
        </is>
      </c>
      <c r="H81" s="2" t="n"/>
      <c r="I81" s="2" t="inlineStr">
        <is>
          <t>E</t>
        </is>
      </c>
      <c r="J81" s="2" t="inlineStr">
        <is>
          <t>E</t>
        </is>
      </c>
      <c r="K81" s="2" t="inlineStr">
        <is>
          <t>I tell myself it's probably just stress or a bad week. I don't want to give up too early, but it's hard not to notice when it shifts.</t>
        </is>
      </c>
      <c r="L81" s="2" t="n">
        <v>7</v>
      </c>
      <c r="M81" s="2" t="n">
        <v>8</v>
      </c>
      <c r="N81" s="2" t="n">
        <v>6</v>
      </c>
      <c r="O81" s="2" t="n">
        <v>6</v>
      </c>
      <c r="P81" s="2" t="n">
        <v>4</v>
      </c>
      <c r="Q81" s="2" t="inlineStr">
        <is>
          <t>Romantic Idealist</t>
        </is>
      </c>
      <c r="R81" s="2" t="n">
        <v>6</v>
      </c>
      <c r="S81" s="2" t="n"/>
      <c r="T81" s="2" t="n"/>
      <c r="U81" s="2" t="n">
        <v>0</v>
      </c>
      <c r="V81" s="2" t="inlineStr">
        <is>
          <t>masc:-0.4;fem:1.5</t>
        </is>
      </c>
      <c r="W81" s="2" t="n">
        <v>-0.4</v>
      </c>
      <c r="X81" s="2" t="n">
        <v>1.5</v>
      </c>
      <c r="Y81" s="2" t="inlineStr">
        <is>
          <t>COMM_Emotional</t>
        </is>
      </c>
      <c r="Z81" s="2" t="inlineStr">
        <is>
          <t>REG_Distractor</t>
        </is>
      </c>
      <c r="AA81" s="2" t="inlineStr">
        <is>
          <t>LANG_Gifts</t>
        </is>
      </c>
      <c r="AB81" s="2" t="n"/>
      <c r="AC81" s="2" t="n"/>
      <c r="AD81" s="2" t="n"/>
      <c r="AE81" s="2" t="n">
        <v>0</v>
      </c>
      <c r="AF81" s="2" t="inlineStr">
        <is>
          <t>tired hope</t>
        </is>
      </c>
      <c r="AG81" s="2" t="inlineStr">
        <is>
          <t>cautious optimist</t>
        </is>
      </c>
      <c r="AH81" s="2" t="n">
        <v>0</v>
      </c>
      <c r="AI81" s="2" t="inlineStr">
        <is>
          <t>no</t>
        </is>
      </c>
      <c r="AJ81" s="2" t="inlineStr">
        <is>
          <t>no</t>
        </is>
      </c>
      <c r="AK81" s="2" t="inlineStr">
        <is>
          <t>yes</t>
        </is>
      </c>
      <c r="AL81" s="2" t="inlineStr">
        <is>
          <t>yes</t>
        </is>
      </c>
      <c r="AM81" s="2" t="n"/>
      <c r="AN81" s="2" t="n"/>
      <c r="AO81" s="2" t="n"/>
      <c r="AP81" s="2" t="inlineStr">
        <is>
          <t>v3_2026-03-19</t>
        </is>
      </c>
      <c r="AQ81">
        <f>(L81-Schema_v5!$C2)/(Schema_v5!$C3-Schema_v5!$C2)</f>
        <v/>
      </c>
      <c r="AR81">
        <f>(M81-Schema_v5!$C4)/(Schema_v5!$C5-Schema_v5!$C4)</f>
        <v/>
      </c>
      <c r="AS81">
        <f>N81/Schema_v5!$C6</f>
        <v/>
      </c>
      <c r="AT81">
        <f>O81/Schema_v5!$C7</f>
        <v/>
      </c>
      <c r="AU81">
        <f>P81/Schema_v5!$C8</f>
        <v/>
      </c>
      <c r="AV81">
        <f>IF(Schema_v5!$C9=0,0,AH81/Schema_v5!$C9)</f>
        <v/>
      </c>
      <c r="AW81">
        <f>IF(Schema_v5!$C10=0,0,AE81/Schema_v5!$C10)</f>
        <v/>
      </c>
      <c r="AX81">
        <f>(W81-Schema_v5!$C11)/(Schema_v5!$C12-Schema_v5!$C11)</f>
        <v/>
      </c>
      <c r="AY81">
        <f>(X81-Schema_v5!$C13)/(Schema_v5!$C14-Schema_v5!$C13)</f>
        <v/>
      </c>
      <c r="AZ81">
        <f>MIN(1,MAX(0,U81/Schema_v7!$C$9))</f>
        <v/>
      </c>
      <c r="BA81">
        <f>IF(AJ81="yes",0.55,0)</f>
        <v/>
      </c>
      <c r="BB81">
        <f>IF(AI81="yes",0.10,0)</f>
        <v/>
      </c>
      <c r="BC81">
        <f>IF(Y81="COMM_Direct",0.92,IF(Y81="COMM_Emotional",0.70,IF(Y81="COMM_Logical",0.65,IF(Y81="COMM_Indirect",0.55,0.35))))</f>
        <v/>
      </c>
      <c r="BD81">
        <f>IF(Z81="REG_CoRegulator",0.92,IF(Z81="REG_SelfSoother",0.76,IF(Z81="REG_Distractor",0.48,0.35)))</f>
        <v/>
      </c>
      <c r="BE81">
        <f>IF(AA81="LANG_Time",0.76,IF(AA81="LANG_Service",0.70,IF(AA81="LANG_Words",0.72,IF(AA81="LANG_Touch",0.68,0.60))))</f>
        <v/>
      </c>
      <c r="BF81">
        <f>MAX(0,MIN(1,0.28*AS81+0.16*AT81+0.18*BC81+0.18*BD81+0.10*(1-AZ81)+0.10*(1-BA81)+BB81))</f>
        <v/>
      </c>
      <c r="BG81">
        <f>MAX(0,MIN(1,0.24*AU81+0.18*AS81+0.18*BC81+0.20*BD81+0.10*(1-AW81)+0.10*(1-BA81)))</f>
        <v/>
      </c>
      <c r="BH81">
        <f>MAX(0,MIN(1,0.28*AR81+0.18*AT81+0.16*AU81+0.18*(1-AV81)+0.10*(1-AW81)+0.10*BF81))</f>
        <v/>
      </c>
      <c r="BI81">
        <f>MAX(0,MIN(1,0.30*AV81+0.20*AZ81+0.20*AW81+0.15*(1-BH81)+0.15*(1-BO81)))</f>
        <v/>
      </c>
      <c r="BJ81">
        <f>MAX(0,1-(ABS(((( AX81+AY81)/2)-0.55)*1.6)))</f>
        <v/>
      </c>
      <c r="BK81">
        <f>MAX(0,MIN(1,0.28*AR81+0.18*AT81+0.16*BJ81+0.14*(1-AV81)+0.12*BQ81+0.12*BO81))</f>
        <v/>
      </c>
      <c r="BL81">
        <f>MAX(0,MIN(1,0.22*AQ81+0.18*AS81+0.18*BC81+0.18*BD81+0.08*BE81+0.10*BF81+0.06*BO81))</f>
        <v/>
      </c>
      <c r="BM81">
        <f>MAX(0,MIN(1,0.20*(1-AZ81)+0.16*(1-BA81)+0.14*(1-AW81)+0.14*AU81+0.18*BG81+0.10*BH81+0.08*BP81))</f>
        <v/>
      </c>
      <c r="BN81">
        <f>MAX(0,MIN(1,0.42*BJ81+0.33*BK81+0.15*AT81+0.10*BQ81))</f>
        <v/>
      </c>
      <c r="BO81">
        <f>MAX(0,MIN(1,0.30*BC81+0.24*BD81+0.18*AS81+0.14*(1-BI81)+0.14*AT81))</f>
        <v/>
      </c>
      <c r="BP81">
        <f>MAX(0,MIN(1,0.26*AS81+0.20*(1-BA81)+0.16*(1-AW81)+0.18*BG81+0.10*AU81+0.10+BB81))</f>
        <v/>
      </c>
      <c r="BQ81">
        <f>MAX(0,MIN(1,0.24*AT81+0.18*BF81+0.14*AR81+0.14*BO81+0.14*(1-AV81)+0.16*(1-AZ81)))</f>
        <v/>
      </c>
      <c r="BR81">
        <f>IF(BO81&gt;=0.80,"Open",IF(BO81&gt;=0.62,"Measured",IF(BO81&gt;=0.45,"Selective","Guarded")))</f>
        <v/>
      </c>
      <c r="BS81">
        <f>IF(Y81="COMM_Direct","Direct",IF(Y81="COMM_Emotional","Emotional",IF(Y81="COMM_Logical","Logical",IF(Y81="COMM_Indirect","Indirect","Avoidant"))))</f>
        <v/>
      </c>
      <c r="BT81">
        <f>IF(BG81&gt;=0.78,"Co-repair",IF(BG81&gt;=0.58,"Re-engage",IF(BG81&gt;=0.40,"Delay","Suppress")))</f>
        <v/>
      </c>
      <c r="BU81">
        <f>IF(BI81&gt;=0.70,"Retreat-risk",IF(BH81&lt;=0.40,"Rush-risk",IF(BH81&gt;=0.65,"Slow-build","Mixed")))</f>
        <v/>
      </c>
      <c r="BV81">
        <f>IF(BL81-BM81&gt;=0.15,"Stimulation-seeking",IF(BM81-BL81&gt;=0.15,"Calm-seeking","Mixed")))</f>
        <v/>
      </c>
      <c r="BW81">
        <f>IF(AND(BL81&gt;=0.72,BM81&lt;0.48),"High",IF(AND(BL81&gt;=0.60,BM81&lt;0.58),"Medium","Low"))</f>
        <v/>
      </c>
    </row>
    <row r="82" ht="94.5" customHeight="1" s="10">
      <c r="A82" s="2" t="inlineStr">
        <is>
          <t>Q17_A</t>
        </is>
      </c>
      <c r="B82" s="2" t="n">
        <v>17</v>
      </c>
      <c r="C82" s="2" t="n">
        <v>17</v>
      </c>
      <c r="D82" s="2" t="inlineStr">
        <is>
          <t>Core</t>
        </is>
      </c>
      <c r="E82" s="2" t="n">
        <v>1.1</v>
      </c>
      <c r="F82" s="2" t="inlineStr">
        <is>
          <t>EmotionalRegulation</t>
        </is>
      </c>
      <c r="G82" s="2" t="inlineStr">
        <is>
          <t>AttachmentSafety</t>
        </is>
      </c>
      <c r="H82" s="2" t="inlineStr">
        <is>
          <t>You're deep in conversation and they suddenly shut down or go quiet. What do you do next?</t>
        </is>
      </c>
      <c r="I82" s="2" t="inlineStr">
        <is>
          <t>A</t>
        </is>
      </c>
      <c r="J82" s="2" t="inlineStr">
        <is>
          <t>A</t>
        </is>
      </c>
      <c r="K82" s="2" t="inlineStr">
        <is>
          <t>I give them space. If they want to talk, they will. If not, I take the hint.</t>
        </is>
      </c>
      <c r="L82" s="2" t="n">
        <v>8</v>
      </c>
      <c r="M82" s="2" t="n">
        <v>8</v>
      </c>
      <c r="N82" s="2" t="n">
        <v>4</v>
      </c>
      <c r="O82" s="2" t="n">
        <v>4</v>
      </c>
      <c r="P82" s="2" t="n">
        <v>0</v>
      </c>
      <c r="Q82" s="2" t="inlineStr">
        <is>
          <t>Icebox</t>
        </is>
      </c>
      <c r="R82" s="2" t="n">
        <v>1</v>
      </c>
      <c r="S82" s="2" t="n"/>
      <c r="T82" s="2" t="n"/>
      <c r="U82" s="2" t="n">
        <v>0</v>
      </c>
      <c r="V82" s="2" t="inlineStr">
        <is>
          <t>masc:1.8;fem:-1.6</t>
        </is>
      </c>
      <c r="W82" s="2" t="n">
        <v>1.8</v>
      </c>
      <c r="X82" s="2" t="n">
        <v>-1.6</v>
      </c>
      <c r="Y82" s="2" t="inlineStr">
        <is>
          <t>COMM_Avoidant</t>
        </is>
      </c>
      <c r="Z82" s="2" t="inlineStr">
        <is>
          <t>REG_Suppressor</t>
        </is>
      </c>
      <c r="AA82" s="2" t="inlineStr">
        <is>
          <t>LANG_Time</t>
        </is>
      </c>
      <c r="AB82" s="2" t="n"/>
      <c r="AC82" s="2" t="n"/>
      <c r="AD82" s="2" t="n"/>
      <c r="AE82" s="2" t="n">
        <v>0</v>
      </c>
      <c r="AF82" s="2" t="inlineStr">
        <is>
          <t>detached cool</t>
        </is>
      </c>
      <c r="AG82" s="2" t="inlineStr">
        <is>
          <t>patient withdrawer</t>
        </is>
      </c>
      <c r="AH82" s="2" t="n">
        <v>1.2</v>
      </c>
      <c r="AI82" s="2" t="inlineStr">
        <is>
          <t>no</t>
        </is>
      </c>
      <c r="AJ82" s="2" t="inlineStr">
        <is>
          <t>no</t>
        </is>
      </c>
      <c r="AK82" s="2" t="inlineStr">
        <is>
          <t>yes</t>
        </is>
      </c>
      <c r="AL82" s="2" t="inlineStr">
        <is>
          <t>yes</t>
        </is>
      </c>
      <c r="AM82" s="2" t="n"/>
      <c r="AN82" s="2" t="n"/>
      <c r="AO82" s="2" t="n"/>
      <c r="AP82" s="2" t="inlineStr">
        <is>
          <t>v3_2026-03-19</t>
        </is>
      </c>
      <c r="AQ82">
        <f>(L82-Schema_v5!$C2)/(Schema_v5!$C3-Schema_v5!$C2)</f>
        <v/>
      </c>
      <c r="AR82">
        <f>(M82-Schema_v5!$C4)/(Schema_v5!$C5-Schema_v5!$C4)</f>
        <v/>
      </c>
      <c r="AS82">
        <f>N82/Schema_v5!$C6</f>
        <v/>
      </c>
      <c r="AT82">
        <f>O82/Schema_v5!$C7</f>
        <v/>
      </c>
      <c r="AU82">
        <f>P82/Schema_v5!$C8</f>
        <v/>
      </c>
      <c r="AV82">
        <f>IF(Schema_v5!$C9=0,0,AH82/Schema_v5!$C9)</f>
        <v/>
      </c>
      <c r="AW82">
        <f>IF(Schema_v5!$C10=0,0,AE82/Schema_v5!$C10)</f>
        <v/>
      </c>
      <c r="AX82">
        <f>(W82-Schema_v5!$C11)/(Schema_v5!$C12-Schema_v5!$C11)</f>
        <v/>
      </c>
      <c r="AY82">
        <f>(X82-Schema_v5!$C13)/(Schema_v5!$C14-Schema_v5!$C13)</f>
        <v/>
      </c>
      <c r="AZ82">
        <f>MIN(1,MAX(0,U82/Schema_v7!$C$9))</f>
        <v/>
      </c>
      <c r="BA82">
        <f>IF(AJ82="yes",0.55,0)</f>
        <v/>
      </c>
      <c r="BB82">
        <f>IF(AI82="yes",0.10,0)</f>
        <v/>
      </c>
      <c r="BC82">
        <f>IF(Y82="COMM_Direct",0.92,IF(Y82="COMM_Emotional",0.70,IF(Y82="COMM_Logical",0.65,IF(Y82="COMM_Indirect",0.55,0.35))))</f>
        <v/>
      </c>
      <c r="BD82">
        <f>IF(Z82="REG_CoRegulator",0.92,IF(Z82="REG_SelfSoother",0.76,IF(Z82="REG_Distractor",0.48,0.35)))</f>
        <v/>
      </c>
      <c r="BE82">
        <f>IF(AA82="LANG_Time",0.76,IF(AA82="LANG_Service",0.70,IF(AA82="LANG_Words",0.72,IF(AA82="LANG_Touch",0.68,0.60))))</f>
        <v/>
      </c>
      <c r="BF82">
        <f>MAX(0,MIN(1,0.28*AS82+0.16*AT82+0.18*BC82+0.18*BD82+0.10*(1-AZ82)+0.10*(1-BA82)+BB82))</f>
        <v/>
      </c>
      <c r="BG82">
        <f>MAX(0,MIN(1,0.24*AU82+0.18*AS82+0.18*BC82+0.20*BD82+0.10*(1-AW82)+0.10*(1-BA82)))</f>
        <v/>
      </c>
      <c r="BH82">
        <f>MAX(0,MIN(1,0.28*AR82+0.18*AT82+0.16*AU82+0.18*(1-AV82)+0.10*(1-AW82)+0.10*BF82))</f>
        <v/>
      </c>
      <c r="BI82">
        <f>MAX(0,MIN(1,0.30*AV82+0.20*AZ82+0.20*AW82+0.15*(1-BH82)+0.15*(1-BO82)))</f>
        <v/>
      </c>
      <c r="BJ82">
        <f>MAX(0,1-(ABS(((( AX82+AY82)/2)-0.55)*1.6)))</f>
        <v/>
      </c>
      <c r="BK82">
        <f>MAX(0,MIN(1,0.28*AR82+0.18*AT82+0.16*BJ82+0.14*(1-AV82)+0.12*BQ82+0.12*BO82))</f>
        <v/>
      </c>
      <c r="BL82">
        <f>MAX(0,MIN(1,0.22*AQ82+0.18*AS82+0.18*BC82+0.18*BD82+0.08*BE82+0.10*BF82+0.06*BO82))</f>
        <v/>
      </c>
      <c r="BM82">
        <f>MAX(0,MIN(1,0.20*(1-AZ82)+0.16*(1-BA82)+0.14*(1-AW82)+0.14*AU82+0.18*BG82+0.10*BH82+0.08*BP82))</f>
        <v/>
      </c>
      <c r="BN82">
        <f>MAX(0,MIN(1,0.42*BJ82+0.33*BK82+0.15*AT82+0.10*BQ82))</f>
        <v/>
      </c>
      <c r="BO82">
        <f>MAX(0,MIN(1,0.30*BC82+0.24*BD82+0.18*AS82+0.14*(1-BI82)+0.14*AT82))</f>
        <v/>
      </c>
      <c r="BP82">
        <f>MAX(0,MIN(1,0.26*AS82+0.20*(1-BA82)+0.16*(1-AW82)+0.18*BG82+0.10*AU82+0.10+BB82))</f>
        <v/>
      </c>
      <c r="BQ82">
        <f>MAX(0,MIN(1,0.24*AT82+0.18*BF82+0.14*AR82+0.14*BO82+0.14*(1-AV82)+0.16*(1-AZ82)))</f>
        <v/>
      </c>
      <c r="BR82">
        <f>IF(BO82&gt;=0.80,"Open",IF(BO82&gt;=0.62,"Measured",IF(BO82&gt;=0.45,"Selective","Guarded")))</f>
        <v/>
      </c>
      <c r="BS82">
        <f>IF(Y82="COMM_Direct","Direct",IF(Y82="COMM_Emotional","Emotional",IF(Y82="COMM_Logical","Logical",IF(Y82="COMM_Indirect","Indirect","Avoidant"))))</f>
        <v/>
      </c>
      <c r="BT82">
        <f>IF(BG82&gt;=0.78,"Co-repair",IF(BG82&gt;=0.58,"Re-engage",IF(BG82&gt;=0.40,"Delay","Suppress")))</f>
        <v/>
      </c>
      <c r="BU82">
        <f>IF(BI82&gt;=0.70,"Retreat-risk",IF(BH82&lt;=0.40,"Rush-risk",IF(BH82&gt;=0.65,"Slow-build","Mixed")))</f>
        <v/>
      </c>
      <c r="BV82">
        <f>IF(BL82-BM82&gt;=0.15,"Stimulation-seeking",IF(BM82-BL82&gt;=0.15,"Calm-seeking","Mixed")))</f>
        <v/>
      </c>
      <c r="BW82">
        <f>IF(AND(BL82&gt;=0.72,BM82&lt;0.48),"High",IF(AND(BL82&gt;=0.60,BM82&lt;0.58),"Medium","Low"))</f>
        <v/>
      </c>
    </row>
    <row r="83" ht="135" customHeight="1" s="10">
      <c r="A83" s="2" t="inlineStr">
        <is>
          <t>Q17_B</t>
        </is>
      </c>
      <c r="B83" s="2" t="n">
        <v>17</v>
      </c>
      <c r="C83" s="2" t="n">
        <v>17</v>
      </c>
      <c r="D83" s="2" t="inlineStr">
        <is>
          <t>Core</t>
        </is>
      </c>
      <c r="E83" s="2" t="n">
        <v>1.1</v>
      </c>
      <c r="F83" s="2" t="inlineStr">
        <is>
          <t>EmotionalRegulation</t>
        </is>
      </c>
      <c r="G83" s="2" t="inlineStr">
        <is>
          <t>AttachmentSafety</t>
        </is>
      </c>
      <c r="H83" s="2" t="n"/>
      <c r="I83" s="2" t="inlineStr">
        <is>
          <t>B</t>
        </is>
      </c>
      <c r="J83" s="2" t="inlineStr">
        <is>
          <t>B</t>
        </is>
      </c>
      <c r="K83" s="2" t="inlineStr">
        <is>
          <t>I immediately think I said something wrong. I start scanning every word trying to figure out what triggered it.</t>
        </is>
      </c>
      <c r="L83" s="2" t="n">
        <v>4</v>
      </c>
      <c r="M83" s="2" t="n">
        <v>5</v>
      </c>
      <c r="N83" s="2" t="n">
        <v>2</v>
      </c>
      <c r="O83" s="2" t="n">
        <v>2</v>
      </c>
      <c r="P83" s="2" t="n">
        <v>2</v>
      </c>
      <c r="Q83" s="2" t="inlineStr">
        <is>
          <t>Analyzer</t>
        </is>
      </c>
      <c r="R83" s="2" t="n">
        <v>2</v>
      </c>
      <c r="S83" s="2" t="n"/>
      <c r="T83" s="2" t="n"/>
      <c r="U83" s="2" t="n">
        <v>0</v>
      </c>
      <c r="V83" s="2" t="inlineStr">
        <is>
          <t>masc:1.4;fem:0.1</t>
        </is>
      </c>
      <c r="W83" s="2" t="n">
        <v>1.4</v>
      </c>
      <c r="X83" s="2" t="n">
        <v>0.1</v>
      </c>
      <c r="Y83" s="2" t="inlineStr">
        <is>
          <t>COMM_Logical</t>
        </is>
      </c>
      <c r="Z83" s="2" t="inlineStr">
        <is>
          <t>REG_SelfSoother</t>
        </is>
      </c>
      <c r="AA83" s="2" t="inlineStr">
        <is>
          <t>LANG_Service</t>
        </is>
      </c>
      <c r="AB83" s="2" t="inlineStr">
        <is>
          <t>Vulnerability_Loop</t>
        </is>
      </c>
      <c r="AC83" s="2" t="inlineStr">
        <is>
          <t>Vulnerability_Loop</t>
        </is>
      </c>
      <c r="AD83" s="2" t="n"/>
      <c r="AE83" s="2" t="n">
        <v>5</v>
      </c>
      <c r="AF83" s="2" t="inlineStr">
        <is>
          <t>inner spiral</t>
        </is>
      </c>
      <c r="AG83" s="2" t="inlineStr">
        <is>
          <t>self-blamer</t>
        </is>
      </c>
      <c r="AH83" s="2" t="n">
        <v>0</v>
      </c>
      <c r="AI83" s="2" t="inlineStr">
        <is>
          <t>yes</t>
        </is>
      </c>
      <c r="AJ83" s="2" t="inlineStr">
        <is>
          <t>no</t>
        </is>
      </c>
      <c r="AK83" s="2" t="inlineStr">
        <is>
          <t>yes</t>
        </is>
      </c>
      <c r="AL83" s="2" t="inlineStr">
        <is>
          <t>yes</t>
        </is>
      </c>
      <c r="AM83" s="2" t="n"/>
      <c r="AN83" s="2" t="n"/>
      <c r="AO83" s="2" t="n"/>
      <c r="AP83" s="2" t="inlineStr">
        <is>
          <t>v3_2026-03-19</t>
        </is>
      </c>
      <c r="AQ83">
        <f>(L83-Schema_v5!$C2)/(Schema_v5!$C3-Schema_v5!$C2)</f>
        <v/>
      </c>
      <c r="AR83">
        <f>(M83-Schema_v5!$C4)/(Schema_v5!$C5-Schema_v5!$C4)</f>
        <v/>
      </c>
      <c r="AS83">
        <f>N83/Schema_v5!$C6</f>
        <v/>
      </c>
      <c r="AT83">
        <f>O83/Schema_v5!$C7</f>
        <v/>
      </c>
      <c r="AU83">
        <f>P83/Schema_v5!$C8</f>
        <v/>
      </c>
      <c r="AV83">
        <f>IF(Schema_v5!$C9=0,0,AH83/Schema_v5!$C9)</f>
        <v/>
      </c>
      <c r="AW83">
        <f>IF(Schema_v5!$C10=0,0,AE83/Schema_v5!$C10)</f>
        <v/>
      </c>
      <c r="AX83">
        <f>(W83-Schema_v5!$C11)/(Schema_v5!$C12-Schema_v5!$C11)</f>
        <v/>
      </c>
      <c r="AY83">
        <f>(X83-Schema_v5!$C13)/(Schema_v5!$C14-Schema_v5!$C13)</f>
        <v/>
      </c>
      <c r="AZ83">
        <f>MIN(1,MAX(0,U83/Schema_v7!$C$9))</f>
        <v/>
      </c>
      <c r="BA83">
        <f>IF(AJ83="yes",0.55,0)</f>
        <v/>
      </c>
      <c r="BB83">
        <f>IF(AI83="yes",0.10,0)</f>
        <v/>
      </c>
      <c r="BC83">
        <f>IF(Y83="COMM_Direct",0.92,IF(Y83="COMM_Emotional",0.70,IF(Y83="COMM_Logical",0.65,IF(Y83="COMM_Indirect",0.55,0.35))))</f>
        <v/>
      </c>
      <c r="BD83">
        <f>IF(Z83="REG_CoRegulator",0.92,IF(Z83="REG_SelfSoother",0.76,IF(Z83="REG_Distractor",0.48,0.35)))</f>
        <v/>
      </c>
      <c r="BE83">
        <f>IF(AA83="LANG_Time",0.76,IF(AA83="LANG_Service",0.70,IF(AA83="LANG_Words",0.72,IF(AA83="LANG_Touch",0.68,0.60))))</f>
        <v/>
      </c>
      <c r="BF83">
        <f>MAX(0,MIN(1,0.28*AS83+0.16*AT83+0.18*BC83+0.18*BD83+0.10*(1-AZ83)+0.10*(1-BA83)+BB83))</f>
        <v/>
      </c>
      <c r="BG83">
        <f>MAX(0,MIN(1,0.24*AU83+0.18*AS83+0.18*BC83+0.20*BD83+0.10*(1-AW83)+0.10*(1-BA83)))</f>
        <v/>
      </c>
      <c r="BH83">
        <f>MAX(0,MIN(1,0.28*AR83+0.18*AT83+0.16*AU83+0.18*(1-AV83)+0.10*(1-AW83)+0.10*BF83))</f>
        <v/>
      </c>
      <c r="BI83">
        <f>MAX(0,MIN(1,0.30*AV83+0.20*AZ83+0.20*AW83+0.15*(1-BH83)+0.15*(1-BO83)))</f>
        <v/>
      </c>
      <c r="BJ83">
        <f>MAX(0,1-(ABS(((( AX83+AY83)/2)-0.55)*1.6)))</f>
        <v/>
      </c>
      <c r="BK83">
        <f>MAX(0,MIN(1,0.28*AR83+0.18*AT83+0.16*BJ83+0.14*(1-AV83)+0.12*BQ83+0.12*BO83))</f>
        <v/>
      </c>
      <c r="BL83">
        <f>MAX(0,MIN(1,0.22*AQ83+0.18*AS83+0.18*BC83+0.18*BD83+0.08*BE83+0.10*BF83+0.06*BO83))</f>
        <v/>
      </c>
      <c r="BM83">
        <f>MAX(0,MIN(1,0.20*(1-AZ83)+0.16*(1-BA83)+0.14*(1-AW83)+0.14*AU83+0.18*BG83+0.10*BH83+0.08*BP83))</f>
        <v/>
      </c>
      <c r="BN83">
        <f>MAX(0,MIN(1,0.42*BJ83+0.33*BK83+0.15*AT83+0.10*BQ83))</f>
        <v/>
      </c>
      <c r="BO83">
        <f>MAX(0,MIN(1,0.30*BC83+0.24*BD83+0.18*AS83+0.14*(1-BI83)+0.14*AT83))</f>
        <v/>
      </c>
      <c r="BP83">
        <f>MAX(0,MIN(1,0.26*AS83+0.20*(1-BA83)+0.16*(1-AW83)+0.18*BG83+0.10*AU83+0.10+BB83))</f>
        <v/>
      </c>
      <c r="BQ83">
        <f>MAX(0,MIN(1,0.24*AT83+0.18*BF83+0.14*AR83+0.14*BO83+0.14*(1-AV83)+0.16*(1-AZ83)))</f>
        <v/>
      </c>
      <c r="BR83">
        <f>IF(BO83&gt;=0.80,"Open",IF(BO83&gt;=0.62,"Measured",IF(BO83&gt;=0.45,"Selective","Guarded")))</f>
        <v/>
      </c>
      <c r="BS83">
        <f>IF(Y83="COMM_Direct","Direct",IF(Y83="COMM_Emotional","Emotional",IF(Y83="COMM_Logical","Logical",IF(Y83="COMM_Indirect","Indirect","Avoidant"))))</f>
        <v/>
      </c>
      <c r="BT83">
        <f>IF(BG83&gt;=0.78,"Co-repair",IF(BG83&gt;=0.58,"Re-engage",IF(BG83&gt;=0.40,"Delay","Suppress")))</f>
        <v/>
      </c>
      <c r="BU83">
        <f>IF(BI83&gt;=0.70,"Retreat-risk",IF(BH83&lt;=0.40,"Rush-risk",IF(BH83&gt;=0.65,"Slow-build","Mixed")))</f>
        <v/>
      </c>
      <c r="BV83">
        <f>IF(BL83-BM83&gt;=0.15,"Stimulation-seeking",IF(BM83-BL83&gt;=0.15,"Calm-seeking","Mixed")))</f>
        <v/>
      </c>
      <c r="BW83">
        <f>IF(AND(BL83&gt;=0.72,BM83&lt;0.48),"High",IF(AND(BL83&gt;=0.60,BM83&lt;0.58),"Medium","Low"))</f>
        <v/>
      </c>
    </row>
    <row r="84" ht="121.5" customHeight="1" s="10">
      <c r="A84" s="2" t="inlineStr">
        <is>
          <t>Q17_C</t>
        </is>
      </c>
      <c r="B84" s="2" t="n">
        <v>17</v>
      </c>
      <c r="C84" s="2" t="n">
        <v>17</v>
      </c>
      <c r="D84" s="2" t="inlineStr">
        <is>
          <t>Core</t>
        </is>
      </c>
      <c r="E84" s="2" t="n">
        <v>1.1</v>
      </c>
      <c r="F84" s="2" t="inlineStr">
        <is>
          <t>EmotionalRegulation</t>
        </is>
      </c>
      <c r="G84" s="2" t="inlineStr">
        <is>
          <t>AttachmentSafety</t>
        </is>
      </c>
      <c r="H84" s="2" t="n"/>
      <c r="I84" s="2" t="inlineStr">
        <is>
          <t>C</t>
        </is>
      </c>
      <c r="J84" s="2" t="inlineStr">
        <is>
          <t>C</t>
        </is>
      </c>
      <c r="K84" s="2" t="inlineStr">
        <is>
          <t>I'll ask once. If it's brushed off or ignored, I shift. I'm not the type to sit in someone else's silence for long.</t>
        </is>
      </c>
      <c r="L84" s="2" t="n">
        <v>9</v>
      </c>
      <c r="M84" s="2" t="n">
        <v>9</v>
      </c>
      <c r="N84" s="2" t="n">
        <v>10</v>
      </c>
      <c r="O84" s="2" t="n">
        <v>10</v>
      </c>
      <c r="P84" s="2" t="n">
        <v>10</v>
      </c>
      <c r="Q84" s="2" t="inlineStr">
        <is>
          <t>Regulated Grown-Up</t>
        </is>
      </c>
      <c r="R84" s="2" t="n">
        <v>9</v>
      </c>
      <c r="S84" s="2" t="n"/>
      <c r="T84" s="2" t="n"/>
      <c r="U84" s="2" t="n">
        <v>0</v>
      </c>
      <c r="V84" s="2" t="inlineStr">
        <is>
          <t>masc:1.1;fem:0.9</t>
        </is>
      </c>
      <c r="W84" s="2" t="n">
        <v>1.1</v>
      </c>
      <c r="X84" s="2" t="n">
        <v>0.9</v>
      </c>
      <c r="Y84" s="2" t="inlineStr">
        <is>
          <t>COMM_Direct</t>
        </is>
      </c>
      <c r="Z84" s="2" t="inlineStr">
        <is>
          <t>REG_CoRegulator</t>
        </is>
      </c>
      <c r="AA84" s="2" t="inlineStr">
        <is>
          <t>LANG_Words</t>
        </is>
      </c>
      <c r="AB84" s="2" t="n"/>
      <c r="AC84" s="2" t="n"/>
      <c r="AD84" s="2" t="n"/>
      <c r="AE84" s="2" t="n">
        <v>0</v>
      </c>
      <c r="AF84" s="2" t="inlineStr">
        <is>
          <t>direct with boundaries</t>
        </is>
      </c>
      <c r="AG84" s="2" t="inlineStr">
        <is>
          <t>firm line-setter</t>
        </is>
      </c>
      <c r="AH84" s="2" t="n">
        <v>0</v>
      </c>
      <c r="AI84" s="2" t="inlineStr">
        <is>
          <t>no</t>
        </is>
      </c>
      <c r="AJ84" s="2" t="inlineStr">
        <is>
          <t>no</t>
        </is>
      </c>
      <c r="AK84" s="2" t="inlineStr">
        <is>
          <t>yes</t>
        </is>
      </c>
      <c r="AL84" s="2" t="inlineStr">
        <is>
          <t>yes</t>
        </is>
      </c>
      <c r="AM84" s="2" t="n"/>
      <c r="AN84" s="2" t="n"/>
      <c r="AO84" s="2" t="n"/>
      <c r="AP84" s="2" t="inlineStr">
        <is>
          <t>v3_2026-03-19</t>
        </is>
      </c>
      <c r="AQ84">
        <f>(L84-Schema_v5!$C2)/(Schema_v5!$C3-Schema_v5!$C2)</f>
        <v/>
      </c>
      <c r="AR84">
        <f>(M84-Schema_v5!$C4)/(Schema_v5!$C5-Schema_v5!$C4)</f>
        <v/>
      </c>
      <c r="AS84">
        <f>N84/Schema_v5!$C6</f>
        <v/>
      </c>
      <c r="AT84">
        <f>O84/Schema_v5!$C7</f>
        <v/>
      </c>
      <c r="AU84">
        <f>P84/Schema_v5!$C8</f>
        <v/>
      </c>
      <c r="AV84">
        <f>IF(Schema_v5!$C9=0,0,AH84/Schema_v5!$C9)</f>
        <v/>
      </c>
      <c r="AW84">
        <f>IF(Schema_v5!$C10=0,0,AE84/Schema_v5!$C10)</f>
        <v/>
      </c>
      <c r="AX84">
        <f>(W84-Schema_v5!$C11)/(Schema_v5!$C12-Schema_v5!$C11)</f>
        <v/>
      </c>
      <c r="AY84">
        <f>(X84-Schema_v5!$C13)/(Schema_v5!$C14-Schema_v5!$C13)</f>
        <v/>
      </c>
      <c r="AZ84">
        <f>MIN(1,MAX(0,U84/Schema_v7!$C$9))</f>
        <v/>
      </c>
      <c r="BA84">
        <f>IF(AJ84="yes",0.55,0)</f>
        <v/>
      </c>
      <c r="BB84">
        <f>IF(AI84="yes",0.10,0)</f>
        <v/>
      </c>
      <c r="BC84">
        <f>IF(Y84="COMM_Direct",0.92,IF(Y84="COMM_Emotional",0.70,IF(Y84="COMM_Logical",0.65,IF(Y84="COMM_Indirect",0.55,0.35))))</f>
        <v/>
      </c>
      <c r="BD84">
        <f>IF(Z84="REG_CoRegulator",0.92,IF(Z84="REG_SelfSoother",0.76,IF(Z84="REG_Distractor",0.48,0.35)))</f>
        <v/>
      </c>
      <c r="BE84">
        <f>IF(AA84="LANG_Time",0.76,IF(AA84="LANG_Service",0.70,IF(AA84="LANG_Words",0.72,IF(AA84="LANG_Touch",0.68,0.60))))</f>
        <v/>
      </c>
      <c r="BF84">
        <f>MAX(0,MIN(1,0.28*AS84+0.16*AT84+0.18*BC84+0.18*BD84+0.10*(1-AZ84)+0.10*(1-BA84)+BB84))</f>
        <v/>
      </c>
      <c r="BG84">
        <f>MAX(0,MIN(1,0.24*AU84+0.18*AS84+0.18*BC84+0.20*BD84+0.10*(1-AW84)+0.10*(1-BA84)))</f>
        <v/>
      </c>
      <c r="BH84">
        <f>MAX(0,MIN(1,0.28*AR84+0.18*AT84+0.16*AU84+0.18*(1-AV84)+0.10*(1-AW84)+0.10*BF84))</f>
        <v/>
      </c>
      <c r="BI84">
        <f>MAX(0,MIN(1,0.30*AV84+0.20*AZ84+0.20*AW84+0.15*(1-BH84)+0.15*(1-BO84)))</f>
        <v/>
      </c>
      <c r="BJ84">
        <f>MAX(0,1-(ABS(((( AX84+AY84)/2)-0.55)*1.6)))</f>
        <v/>
      </c>
      <c r="BK84">
        <f>MAX(0,MIN(1,0.28*AR84+0.18*AT84+0.16*BJ84+0.14*(1-AV84)+0.12*BQ84+0.12*BO84))</f>
        <v/>
      </c>
      <c r="BL84">
        <f>MAX(0,MIN(1,0.22*AQ84+0.18*AS84+0.18*BC84+0.18*BD84+0.08*BE84+0.10*BF84+0.06*BO84))</f>
        <v/>
      </c>
      <c r="BM84">
        <f>MAX(0,MIN(1,0.20*(1-AZ84)+0.16*(1-BA84)+0.14*(1-AW84)+0.14*AU84+0.18*BG84+0.10*BH84+0.08*BP84))</f>
        <v/>
      </c>
      <c r="BN84">
        <f>MAX(0,MIN(1,0.42*BJ84+0.33*BK84+0.15*AT84+0.10*BQ84))</f>
        <v/>
      </c>
      <c r="BO84">
        <f>MAX(0,MIN(1,0.30*BC84+0.24*BD84+0.18*AS84+0.14*(1-BI84)+0.14*AT84))</f>
        <v/>
      </c>
      <c r="BP84">
        <f>MAX(0,MIN(1,0.26*AS84+0.20*(1-BA84)+0.16*(1-AW84)+0.18*BG84+0.10*AU84+0.10+BB84))</f>
        <v/>
      </c>
      <c r="BQ84">
        <f>MAX(0,MIN(1,0.24*AT84+0.18*BF84+0.14*AR84+0.14*BO84+0.14*(1-AV84)+0.16*(1-AZ84)))</f>
        <v/>
      </c>
      <c r="BR84">
        <f>IF(BO84&gt;=0.80,"Open",IF(BO84&gt;=0.62,"Measured",IF(BO84&gt;=0.45,"Selective","Guarded")))</f>
        <v/>
      </c>
      <c r="BS84">
        <f>IF(Y84="COMM_Direct","Direct",IF(Y84="COMM_Emotional","Emotional",IF(Y84="COMM_Logical","Logical",IF(Y84="COMM_Indirect","Indirect","Avoidant"))))</f>
        <v/>
      </c>
      <c r="BT84">
        <f>IF(BG84&gt;=0.78,"Co-repair",IF(BG84&gt;=0.58,"Re-engage",IF(BG84&gt;=0.40,"Delay","Suppress")))</f>
        <v/>
      </c>
      <c r="BU84">
        <f>IF(BI84&gt;=0.70,"Retreat-risk",IF(BH84&lt;=0.40,"Rush-risk",IF(BH84&gt;=0.65,"Slow-build","Mixed")))</f>
        <v/>
      </c>
      <c r="BV84">
        <f>IF(BL84-BM84&gt;=0.15,"Stimulation-seeking",IF(BM84-BL84&gt;=0.15,"Calm-seeking","Mixed")))</f>
        <v/>
      </c>
      <c r="BW84">
        <f>IF(AND(BL84&gt;=0.72,BM84&lt;0.48),"High",IF(AND(BL84&gt;=0.60,BM84&lt;0.58),"Medium","Low"))</f>
        <v/>
      </c>
    </row>
    <row r="85" ht="121.5" customHeight="1" s="10">
      <c r="A85" s="2" t="inlineStr">
        <is>
          <t>Q17_D</t>
        </is>
      </c>
      <c r="B85" s="2" t="n">
        <v>17</v>
      </c>
      <c r="C85" s="2" t="n">
        <v>17</v>
      </c>
      <c r="D85" s="2" t="inlineStr">
        <is>
          <t>Core</t>
        </is>
      </c>
      <c r="E85" s="2" t="n">
        <v>1.1</v>
      </c>
      <c r="F85" s="2" t="inlineStr">
        <is>
          <t>EmotionalRegulation</t>
        </is>
      </c>
      <c r="G85" s="2" t="inlineStr">
        <is>
          <t>AttachmentSafety</t>
        </is>
      </c>
      <c r="H85" s="2" t="n"/>
      <c r="I85" s="2" t="inlineStr">
        <is>
          <t>D</t>
        </is>
      </c>
      <c r="J85" s="2" t="inlineStr">
        <is>
          <t>D</t>
        </is>
      </c>
      <c r="K85" s="2" t="inlineStr">
        <is>
          <t>I try to keep the mood up, shift the subject, make it feel less tense, even if I'm freaking out a little inside.</t>
        </is>
      </c>
      <c r="L85" s="2" t="n">
        <v>6</v>
      </c>
      <c r="M85" s="2" t="n">
        <v>7</v>
      </c>
      <c r="N85" s="2" t="n">
        <v>4</v>
      </c>
      <c r="O85" s="2" t="n">
        <v>4</v>
      </c>
      <c r="P85" s="2" t="n">
        <v>2</v>
      </c>
      <c r="Q85" s="2" t="inlineStr">
        <is>
          <t>Performer</t>
        </is>
      </c>
      <c r="R85" s="2" t="n">
        <v>7</v>
      </c>
      <c r="S85" s="2" t="n"/>
      <c r="T85" s="2" t="n"/>
      <c r="U85" s="2" t="n">
        <v>0</v>
      </c>
      <c r="V85" s="2" t="inlineStr">
        <is>
          <t>masc:0.3;fem:0.5</t>
        </is>
      </c>
      <c r="W85" s="2" t="n">
        <v>0.3</v>
      </c>
      <c r="X85" s="2" t="n">
        <v>0.5</v>
      </c>
      <c r="Y85" s="2" t="inlineStr">
        <is>
          <t>COMM_Indirect</t>
        </is>
      </c>
      <c r="Z85" s="2" t="inlineStr">
        <is>
          <t>REG_Distractor</t>
        </is>
      </c>
      <c r="AA85" s="2" t="inlineStr">
        <is>
          <t>LANG_Gifts</t>
        </is>
      </c>
      <c r="AB85" s="2" t="inlineStr">
        <is>
          <t>Vulnerability_Loop</t>
        </is>
      </c>
      <c r="AC85" s="2" t="inlineStr">
        <is>
          <t>Vulnerability_Loop</t>
        </is>
      </c>
      <c r="AD85" s="2" t="n"/>
      <c r="AE85" s="2" t="n">
        <v>5</v>
      </c>
      <c r="AF85" s="2" t="inlineStr">
        <is>
          <t>smooth cover-up</t>
        </is>
      </c>
      <c r="AG85" s="2" t="inlineStr">
        <is>
          <t>tension diffuser</t>
        </is>
      </c>
      <c r="AH85" s="2" t="n">
        <v>0</v>
      </c>
      <c r="AI85" s="2" t="inlineStr">
        <is>
          <t>yes</t>
        </is>
      </c>
      <c r="AJ85" s="2" t="inlineStr">
        <is>
          <t>no</t>
        </is>
      </c>
      <c r="AK85" s="2" t="inlineStr">
        <is>
          <t>yes</t>
        </is>
      </c>
      <c r="AL85" s="2" t="inlineStr">
        <is>
          <t>yes</t>
        </is>
      </c>
      <c r="AM85" s="2" t="n"/>
      <c r="AN85" s="2" t="n"/>
      <c r="AO85" s="2" t="n"/>
      <c r="AP85" s="2" t="inlineStr">
        <is>
          <t>v3_2026-03-19</t>
        </is>
      </c>
      <c r="AQ85">
        <f>(L85-Schema_v5!$C2)/(Schema_v5!$C3-Schema_v5!$C2)</f>
        <v/>
      </c>
      <c r="AR85">
        <f>(M85-Schema_v5!$C4)/(Schema_v5!$C5-Schema_v5!$C4)</f>
        <v/>
      </c>
      <c r="AS85">
        <f>N85/Schema_v5!$C6</f>
        <v/>
      </c>
      <c r="AT85">
        <f>O85/Schema_v5!$C7</f>
        <v/>
      </c>
      <c r="AU85">
        <f>P85/Schema_v5!$C8</f>
        <v/>
      </c>
      <c r="AV85">
        <f>IF(Schema_v5!$C9=0,0,AH85/Schema_v5!$C9)</f>
        <v/>
      </c>
      <c r="AW85">
        <f>IF(Schema_v5!$C10=0,0,AE85/Schema_v5!$C10)</f>
        <v/>
      </c>
      <c r="AX85">
        <f>(W85-Schema_v5!$C11)/(Schema_v5!$C12-Schema_v5!$C11)</f>
        <v/>
      </c>
      <c r="AY85">
        <f>(X85-Schema_v5!$C13)/(Schema_v5!$C14-Schema_v5!$C13)</f>
        <v/>
      </c>
      <c r="AZ85">
        <f>MIN(1,MAX(0,U85/Schema_v7!$C$9))</f>
        <v/>
      </c>
      <c r="BA85">
        <f>IF(AJ85="yes",0.55,0)</f>
        <v/>
      </c>
      <c r="BB85">
        <f>IF(AI85="yes",0.10,0)</f>
        <v/>
      </c>
      <c r="BC85">
        <f>IF(Y85="COMM_Direct",0.92,IF(Y85="COMM_Emotional",0.70,IF(Y85="COMM_Logical",0.65,IF(Y85="COMM_Indirect",0.55,0.35))))</f>
        <v/>
      </c>
      <c r="BD85">
        <f>IF(Z85="REG_CoRegulator",0.92,IF(Z85="REG_SelfSoother",0.76,IF(Z85="REG_Distractor",0.48,0.35)))</f>
        <v/>
      </c>
      <c r="BE85">
        <f>IF(AA85="LANG_Time",0.76,IF(AA85="LANG_Service",0.70,IF(AA85="LANG_Words",0.72,IF(AA85="LANG_Touch",0.68,0.60))))</f>
        <v/>
      </c>
      <c r="BF85">
        <f>MAX(0,MIN(1,0.28*AS85+0.16*AT85+0.18*BC85+0.18*BD85+0.10*(1-AZ85)+0.10*(1-BA85)+BB85))</f>
        <v/>
      </c>
      <c r="BG85">
        <f>MAX(0,MIN(1,0.24*AU85+0.18*AS85+0.18*BC85+0.20*BD85+0.10*(1-AW85)+0.10*(1-BA85)))</f>
        <v/>
      </c>
      <c r="BH85">
        <f>MAX(0,MIN(1,0.28*AR85+0.18*AT85+0.16*AU85+0.18*(1-AV85)+0.10*(1-AW85)+0.10*BF85))</f>
        <v/>
      </c>
      <c r="BI85">
        <f>MAX(0,MIN(1,0.30*AV85+0.20*AZ85+0.20*AW85+0.15*(1-BH85)+0.15*(1-BO85)))</f>
        <v/>
      </c>
      <c r="BJ85">
        <f>MAX(0,1-(ABS(((( AX85+AY85)/2)-0.55)*1.6)))</f>
        <v/>
      </c>
      <c r="BK85">
        <f>MAX(0,MIN(1,0.28*AR85+0.18*AT85+0.16*BJ85+0.14*(1-AV85)+0.12*BQ85+0.12*BO85))</f>
        <v/>
      </c>
      <c r="BL85">
        <f>MAX(0,MIN(1,0.22*AQ85+0.18*AS85+0.18*BC85+0.18*BD85+0.08*BE85+0.10*BF85+0.06*BO85))</f>
        <v/>
      </c>
      <c r="BM85">
        <f>MAX(0,MIN(1,0.20*(1-AZ85)+0.16*(1-BA85)+0.14*(1-AW85)+0.14*AU85+0.18*BG85+0.10*BH85+0.08*BP85))</f>
        <v/>
      </c>
      <c r="BN85">
        <f>MAX(0,MIN(1,0.42*BJ85+0.33*BK85+0.15*AT85+0.10*BQ85))</f>
        <v/>
      </c>
      <c r="BO85">
        <f>MAX(0,MIN(1,0.30*BC85+0.24*BD85+0.18*AS85+0.14*(1-BI85)+0.14*AT85))</f>
        <v/>
      </c>
      <c r="BP85">
        <f>MAX(0,MIN(1,0.26*AS85+0.20*(1-BA85)+0.16*(1-AW85)+0.18*BG85+0.10*AU85+0.10+BB85))</f>
        <v/>
      </c>
      <c r="BQ85">
        <f>MAX(0,MIN(1,0.24*AT85+0.18*BF85+0.14*AR85+0.14*BO85+0.14*(1-AV85)+0.16*(1-AZ85)))</f>
        <v/>
      </c>
      <c r="BR85">
        <f>IF(BO85&gt;=0.80,"Open",IF(BO85&gt;=0.62,"Measured",IF(BO85&gt;=0.45,"Selective","Guarded")))</f>
        <v/>
      </c>
      <c r="BS85">
        <f>IF(Y85="COMM_Direct","Direct",IF(Y85="COMM_Emotional","Emotional",IF(Y85="COMM_Logical","Logical",IF(Y85="COMM_Indirect","Indirect","Avoidant"))))</f>
        <v/>
      </c>
      <c r="BT85">
        <f>IF(BG85&gt;=0.78,"Co-repair",IF(BG85&gt;=0.58,"Re-engage",IF(BG85&gt;=0.40,"Delay","Suppress")))</f>
        <v/>
      </c>
      <c r="BU85">
        <f>IF(BI85&gt;=0.70,"Retreat-risk",IF(BH85&lt;=0.40,"Rush-risk",IF(BH85&gt;=0.65,"Slow-build","Mixed")))</f>
        <v/>
      </c>
      <c r="BV85">
        <f>IF(BL85-BM85&gt;=0.15,"Stimulation-seeking",IF(BM85-BL85&gt;=0.15,"Calm-seeking","Mixed")))</f>
        <v/>
      </c>
      <c r="BW85">
        <f>IF(AND(BL85&gt;=0.72,BM85&lt;0.48),"High",IF(AND(BL85&gt;=0.60,BM85&lt;0.58),"Medium","Low"))</f>
        <v/>
      </c>
    </row>
    <row r="86" ht="108" customHeight="1" s="10">
      <c r="A86" s="2" t="inlineStr">
        <is>
          <t>Q17_E</t>
        </is>
      </c>
      <c r="B86" s="2" t="n">
        <v>17</v>
      </c>
      <c r="C86" s="2" t="n">
        <v>17</v>
      </c>
      <c r="D86" s="2" t="inlineStr">
        <is>
          <t>Core</t>
        </is>
      </c>
      <c r="E86" s="2" t="n">
        <v>1.1</v>
      </c>
      <c r="F86" s="2" t="inlineStr">
        <is>
          <t>EmotionalRegulation</t>
        </is>
      </c>
      <c r="G86" s="2" t="inlineStr">
        <is>
          <t>AttachmentSafety</t>
        </is>
      </c>
      <c r="H86" s="2" t="n"/>
      <c r="I86" s="2" t="inlineStr">
        <is>
          <t>E</t>
        </is>
      </c>
      <c r="J86" s="2" t="inlineStr">
        <is>
          <t>E</t>
        </is>
      </c>
      <c r="K86" s="2" t="inlineStr">
        <is>
          <t>I feel it, but I don't say anything. I stay present, hoping they'll come back to me on their own.</t>
        </is>
      </c>
      <c r="L86" s="2" t="n">
        <v>6</v>
      </c>
      <c r="M86" s="2" t="n">
        <v>6</v>
      </c>
      <c r="N86" s="2" t="n">
        <v>4</v>
      </c>
      <c r="O86" s="2" t="n">
        <v>4</v>
      </c>
      <c r="P86" s="2" t="n">
        <v>4</v>
      </c>
      <c r="Q86" s="2" t="inlineStr">
        <is>
          <t>Translator</t>
        </is>
      </c>
      <c r="R86" s="2" t="n">
        <v>3</v>
      </c>
      <c r="S86" s="2" t="n"/>
      <c r="T86" s="2" t="n"/>
      <c r="U86" s="2" t="n">
        <v>0</v>
      </c>
      <c r="V86" s="2" t="inlineStr">
        <is>
          <t>masc:-0.1;fem:1.6</t>
        </is>
      </c>
      <c r="W86" s="2" t="n">
        <v>-0.1</v>
      </c>
      <c r="X86" s="2" t="n">
        <v>1.6</v>
      </c>
      <c r="Y86" s="2" t="inlineStr">
        <is>
          <t>COMM_Indirect</t>
        </is>
      </c>
      <c r="Z86" s="2" t="inlineStr">
        <is>
          <t>REG_CoRegulator</t>
        </is>
      </c>
      <c r="AA86" s="2" t="inlineStr">
        <is>
          <t>LANG_Words</t>
        </is>
      </c>
      <c r="AB86" s="2" t="inlineStr">
        <is>
          <t>Vulnerability_Loop</t>
        </is>
      </c>
      <c r="AC86" s="2" t="inlineStr">
        <is>
          <t>Vulnerability_Loop</t>
        </is>
      </c>
      <c r="AD86" s="2" t="n"/>
      <c r="AE86" s="2" t="n">
        <v>5</v>
      </c>
      <c r="AF86" s="2" t="inlineStr">
        <is>
          <t>gentle waiter</t>
        </is>
      </c>
      <c r="AG86" s="2" t="inlineStr">
        <is>
          <t>silent holder</t>
        </is>
      </c>
      <c r="AH86" s="2" t="n">
        <v>0.6</v>
      </c>
      <c r="AI86" s="2" t="inlineStr">
        <is>
          <t>yes</t>
        </is>
      </c>
      <c r="AJ86" s="2" t="inlineStr">
        <is>
          <t>no</t>
        </is>
      </c>
      <c r="AK86" s="2" t="inlineStr">
        <is>
          <t>yes</t>
        </is>
      </c>
      <c r="AL86" s="2" t="inlineStr">
        <is>
          <t>yes</t>
        </is>
      </c>
      <c r="AM86" s="2" t="n"/>
      <c r="AN86" s="2" t="n"/>
      <c r="AO86" s="2" t="n"/>
      <c r="AP86" s="2" t="inlineStr">
        <is>
          <t>v3_2026-03-19</t>
        </is>
      </c>
      <c r="AQ86">
        <f>(L86-Schema_v5!$C2)/(Schema_v5!$C3-Schema_v5!$C2)</f>
        <v/>
      </c>
      <c r="AR86">
        <f>(M86-Schema_v5!$C4)/(Schema_v5!$C5-Schema_v5!$C4)</f>
        <v/>
      </c>
      <c r="AS86">
        <f>N86/Schema_v5!$C6</f>
        <v/>
      </c>
      <c r="AT86">
        <f>O86/Schema_v5!$C7</f>
        <v/>
      </c>
      <c r="AU86">
        <f>P86/Schema_v5!$C8</f>
        <v/>
      </c>
      <c r="AV86">
        <f>IF(Schema_v5!$C9=0,0,AH86/Schema_v5!$C9)</f>
        <v/>
      </c>
      <c r="AW86">
        <f>IF(Schema_v5!$C10=0,0,AE86/Schema_v5!$C10)</f>
        <v/>
      </c>
      <c r="AX86">
        <f>(W86-Schema_v5!$C11)/(Schema_v5!$C12-Schema_v5!$C11)</f>
        <v/>
      </c>
      <c r="AY86">
        <f>(X86-Schema_v5!$C13)/(Schema_v5!$C14-Schema_v5!$C13)</f>
        <v/>
      </c>
      <c r="AZ86">
        <f>MIN(1,MAX(0,U86/Schema_v7!$C$9))</f>
        <v/>
      </c>
      <c r="BA86">
        <f>IF(AJ86="yes",0.55,0)</f>
        <v/>
      </c>
      <c r="BB86">
        <f>IF(AI86="yes",0.10,0)</f>
        <v/>
      </c>
      <c r="BC86">
        <f>IF(Y86="COMM_Direct",0.92,IF(Y86="COMM_Emotional",0.70,IF(Y86="COMM_Logical",0.65,IF(Y86="COMM_Indirect",0.55,0.35))))</f>
        <v/>
      </c>
      <c r="BD86">
        <f>IF(Z86="REG_CoRegulator",0.92,IF(Z86="REG_SelfSoother",0.76,IF(Z86="REG_Distractor",0.48,0.35)))</f>
        <v/>
      </c>
      <c r="BE86">
        <f>IF(AA86="LANG_Time",0.76,IF(AA86="LANG_Service",0.70,IF(AA86="LANG_Words",0.72,IF(AA86="LANG_Touch",0.68,0.60))))</f>
        <v/>
      </c>
      <c r="BF86">
        <f>MAX(0,MIN(1,0.28*AS86+0.16*AT86+0.18*BC86+0.18*BD86+0.10*(1-AZ86)+0.10*(1-BA86)+BB86))</f>
        <v/>
      </c>
      <c r="BG86">
        <f>MAX(0,MIN(1,0.24*AU86+0.18*AS86+0.18*BC86+0.20*BD86+0.10*(1-AW86)+0.10*(1-BA86)))</f>
        <v/>
      </c>
      <c r="BH86">
        <f>MAX(0,MIN(1,0.28*AR86+0.18*AT86+0.16*AU86+0.18*(1-AV86)+0.10*(1-AW86)+0.10*BF86))</f>
        <v/>
      </c>
      <c r="BI86">
        <f>MAX(0,MIN(1,0.30*AV86+0.20*AZ86+0.20*AW86+0.15*(1-BH86)+0.15*(1-BO86)))</f>
        <v/>
      </c>
      <c r="BJ86">
        <f>MAX(0,1-(ABS(((( AX86+AY86)/2)-0.55)*1.6)))</f>
        <v/>
      </c>
      <c r="BK86">
        <f>MAX(0,MIN(1,0.28*AR86+0.18*AT86+0.16*BJ86+0.14*(1-AV86)+0.12*BQ86+0.12*BO86))</f>
        <v/>
      </c>
      <c r="BL86">
        <f>MAX(0,MIN(1,0.22*AQ86+0.18*AS86+0.18*BC86+0.18*BD86+0.08*BE86+0.10*BF86+0.06*BO86))</f>
        <v/>
      </c>
      <c r="BM86">
        <f>MAX(0,MIN(1,0.20*(1-AZ86)+0.16*(1-BA86)+0.14*(1-AW86)+0.14*AU86+0.18*BG86+0.10*BH86+0.08*BP86))</f>
        <v/>
      </c>
      <c r="BN86">
        <f>MAX(0,MIN(1,0.42*BJ86+0.33*BK86+0.15*AT86+0.10*BQ86))</f>
        <v/>
      </c>
      <c r="BO86">
        <f>MAX(0,MIN(1,0.30*BC86+0.24*BD86+0.18*AS86+0.14*(1-BI86)+0.14*AT86))</f>
        <v/>
      </c>
      <c r="BP86">
        <f>MAX(0,MIN(1,0.26*AS86+0.20*(1-BA86)+0.16*(1-AW86)+0.18*BG86+0.10*AU86+0.10+BB86))</f>
        <v/>
      </c>
      <c r="BQ86">
        <f>MAX(0,MIN(1,0.24*AT86+0.18*BF86+0.14*AR86+0.14*BO86+0.14*(1-AV86)+0.16*(1-AZ86)))</f>
        <v/>
      </c>
      <c r="BR86">
        <f>IF(BO86&gt;=0.80,"Open",IF(BO86&gt;=0.62,"Measured",IF(BO86&gt;=0.45,"Selective","Guarded")))</f>
        <v/>
      </c>
      <c r="BS86">
        <f>IF(Y86="COMM_Direct","Direct",IF(Y86="COMM_Emotional","Emotional",IF(Y86="COMM_Logical","Logical",IF(Y86="COMM_Indirect","Indirect","Avoidant"))))</f>
        <v/>
      </c>
      <c r="BT86">
        <f>IF(BG86&gt;=0.78,"Co-repair",IF(BG86&gt;=0.58,"Re-engage",IF(BG86&gt;=0.40,"Delay","Suppress")))</f>
        <v/>
      </c>
      <c r="BU86">
        <f>IF(BI86&gt;=0.70,"Retreat-risk",IF(BH86&lt;=0.40,"Rush-risk",IF(BH86&gt;=0.65,"Slow-build","Mixed")))</f>
        <v/>
      </c>
      <c r="BV86">
        <f>IF(BL86-BM86&gt;=0.15,"Stimulation-seeking",IF(BM86-BL86&gt;=0.15,"Calm-seeking","Mixed")))</f>
        <v/>
      </c>
      <c r="BW86">
        <f>IF(AND(BL86&gt;=0.72,BM86&lt;0.48),"High",IF(AND(BL86&gt;=0.60,BM86&lt;0.58),"Medium","Low"))</f>
        <v/>
      </c>
    </row>
    <row r="87" ht="148.5" customHeight="1" s="10">
      <c r="A87" s="2" t="inlineStr">
        <is>
          <t>Q18_A</t>
        </is>
      </c>
      <c r="B87" s="2" t="n">
        <v>18</v>
      </c>
      <c r="C87" s="2" t="n">
        <v>18</v>
      </c>
      <c r="D87" s="2" t="inlineStr">
        <is>
          <t>Core</t>
        </is>
      </c>
      <c r="E87" s="2" t="n">
        <v>1.1</v>
      </c>
      <c r="F87" s="2" t="inlineStr">
        <is>
          <t>EmotionalRegulation</t>
        </is>
      </c>
      <c r="G87" s="2" t="inlineStr">
        <is>
          <t>AttachmentSafety</t>
        </is>
      </c>
      <c r="H87" s="2" t="inlineStr">
        <is>
          <t>They open up to you-then start pulling back. No explanation, just distance. What do you do with that shift?</t>
        </is>
      </c>
      <c r="I87" s="2" t="inlineStr">
        <is>
          <t>A</t>
        </is>
      </c>
      <c r="J87" s="2" t="inlineStr">
        <is>
          <t>A</t>
        </is>
      </c>
      <c r="K87" s="2" t="inlineStr">
        <is>
          <t>I match the energy. You pull back? I pull back faster. I've learned not to chase clarity from people who hide when it gets real.</t>
        </is>
      </c>
      <c r="L87" s="2" t="n">
        <v>7</v>
      </c>
      <c r="M87" s="2" t="n">
        <v>8</v>
      </c>
      <c r="N87" s="2" t="n">
        <v>4</v>
      </c>
      <c r="O87" s="2" t="n">
        <v>4</v>
      </c>
      <c r="P87" s="2" t="n">
        <v>0</v>
      </c>
      <c r="Q87" s="2" t="inlineStr">
        <is>
          <t>Icebox</t>
        </is>
      </c>
      <c r="R87" s="2" t="n">
        <v>1</v>
      </c>
      <c r="S87" s="2" t="n"/>
      <c r="T87" s="2" t="n"/>
      <c r="U87" s="2" t="n">
        <v>0</v>
      </c>
      <c r="V87" s="2" t="inlineStr">
        <is>
          <t>masc:1.8;fem:-1.6</t>
        </is>
      </c>
      <c r="W87" s="2" t="n">
        <v>1.8</v>
      </c>
      <c r="X87" s="2" t="n">
        <v>-1.6</v>
      </c>
      <c r="Y87" s="2" t="inlineStr">
        <is>
          <t>COMM_Avoidant</t>
        </is>
      </c>
      <c r="Z87" s="2" t="inlineStr">
        <is>
          <t>REG_Suppressor</t>
        </is>
      </c>
      <c r="AA87" s="2" t="inlineStr">
        <is>
          <t>LANG_Time</t>
        </is>
      </c>
      <c r="AB87" s="2" t="n"/>
      <c r="AC87" s="2" t="n"/>
      <c r="AD87" s="2" t="n"/>
      <c r="AE87" s="2" t="n">
        <v>0</v>
      </c>
      <c r="AF87" s="2" t="inlineStr">
        <is>
          <t>fast mirror exit</t>
        </is>
      </c>
      <c r="AG87" s="2" t="inlineStr">
        <is>
          <t>decisive mirror</t>
        </is>
      </c>
      <c r="AH87" s="2" t="n">
        <v>0.8</v>
      </c>
      <c r="AI87" s="2" t="inlineStr">
        <is>
          <t>no</t>
        </is>
      </c>
      <c r="AJ87" s="2" t="inlineStr">
        <is>
          <t>no</t>
        </is>
      </c>
      <c r="AK87" s="2" t="inlineStr">
        <is>
          <t>yes</t>
        </is>
      </c>
      <c r="AL87" s="2" t="inlineStr">
        <is>
          <t>yes</t>
        </is>
      </c>
      <c r="AM87" s="2" t="n"/>
      <c r="AN87" s="2" t="n"/>
      <c r="AO87" s="2" t="n"/>
      <c r="AP87" s="2" t="inlineStr">
        <is>
          <t>v3_2026-03-19</t>
        </is>
      </c>
      <c r="AQ87">
        <f>(L87-Schema_v5!$C2)/(Schema_v5!$C3-Schema_v5!$C2)</f>
        <v/>
      </c>
      <c r="AR87">
        <f>(M87-Schema_v5!$C4)/(Schema_v5!$C5-Schema_v5!$C4)</f>
        <v/>
      </c>
      <c r="AS87">
        <f>N87/Schema_v5!$C6</f>
        <v/>
      </c>
      <c r="AT87">
        <f>O87/Schema_v5!$C7</f>
        <v/>
      </c>
      <c r="AU87">
        <f>P87/Schema_v5!$C8</f>
        <v/>
      </c>
      <c r="AV87">
        <f>IF(Schema_v5!$C9=0,0,AH87/Schema_v5!$C9)</f>
        <v/>
      </c>
      <c r="AW87">
        <f>IF(Schema_v5!$C10=0,0,AE87/Schema_v5!$C10)</f>
        <v/>
      </c>
      <c r="AX87">
        <f>(W87-Schema_v5!$C11)/(Schema_v5!$C12-Schema_v5!$C11)</f>
        <v/>
      </c>
      <c r="AY87">
        <f>(X87-Schema_v5!$C13)/(Schema_v5!$C14-Schema_v5!$C13)</f>
        <v/>
      </c>
      <c r="AZ87">
        <f>MIN(1,MAX(0,U87/Schema_v7!$C$9))</f>
        <v/>
      </c>
      <c r="BA87">
        <f>IF(AJ87="yes",0.55,0)</f>
        <v/>
      </c>
      <c r="BB87">
        <f>IF(AI87="yes",0.10,0)</f>
        <v/>
      </c>
      <c r="BC87">
        <f>IF(Y87="COMM_Direct",0.92,IF(Y87="COMM_Emotional",0.70,IF(Y87="COMM_Logical",0.65,IF(Y87="COMM_Indirect",0.55,0.35))))</f>
        <v/>
      </c>
      <c r="BD87">
        <f>IF(Z87="REG_CoRegulator",0.92,IF(Z87="REG_SelfSoother",0.76,IF(Z87="REG_Distractor",0.48,0.35)))</f>
        <v/>
      </c>
      <c r="BE87">
        <f>IF(AA87="LANG_Time",0.76,IF(AA87="LANG_Service",0.70,IF(AA87="LANG_Words",0.72,IF(AA87="LANG_Touch",0.68,0.60))))</f>
        <v/>
      </c>
      <c r="BF87">
        <f>MAX(0,MIN(1,0.28*AS87+0.16*AT87+0.18*BC87+0.18*BD87+0.10*(1-AZ87)+0.10*(1-BA87)+BB87))</f>
        <v/>
      </c>
      <c r="BG87">
        <f>MAX(0,MIN(1,0.24*AU87+0.18*AS87+0.18*BC87+0.20*BD87+0.10*(1-AW87)+0.10*(1-BA87)))</f>
        <v/>
      </c>
      <c r="BH87">
        <f>MAX(0,MIN(1,0.28*AR87+0.18*AT87+0.16*AU87+0.18*(1-AV87)+0.10*(1-AW87)+0.10*BF87))</f>
        <v/>
      </c>
      <c r="BI87">
        <f>MAX(0,MIN(1,0.30*AV87+0.20*AZ87+0.20*AW87+0.15*(1-BH87)+0.15*(1-BO87)))</f>
        <v/>
      </c>
      <c r="BJ87">
        <f>MAX(0,1-(ABS(((( AX87+AY87)/2)-0.55)*1.6)))</f>
        <v/>
      </c>
      <c r="BK87">
        <f>MAX(0,MIN(1,0.28*AR87+0.18*AT87+0.16*BJ87+0.14*(1-AV87)+0.12*BQ87+0.12*BO87))</f>
        <v/>
      </c>
      <c r="BL87">
        <f>MAX(0,MIN(1,0.22*AQ87+0.18*AS87+0.18*BC87+0.18*BD87+0.08*BE87+0.10*BF87+0.06*BO87))</f>
        <v/>
      </c>
      <c r="BM87">
        <f>MAX(0,MIN(1,0.20*(1-AZ87)+0.16*(1-BA87)+0.14*(1-AW87)+0.14*AU87+0.18*BG87+0.10*BH87+0.08*BP87))</f>
        <v/>
      </c>
      <c r="BN87">
        <f>MAX(0,MIN(1,0.42*BJ87+0.33*BK87+0.15*AT87+0.10*BQ87))</f>
        <v/>
      </c>
      <c r="BO87">
        <f>MAX(0,MIN(1,0.30*BC87+0.24*BD87+0.18*AS87+0.14*(1-BI87)+0.14*AT87))</f>
        <v/>
      </c>
      <c r="BP87">
        <f>MAX(0,MIN(1,0.26*AS87+0.20*(1-BA87)+0.16*(1-AW87)+0.18*BG87+0.10*AU87+0.10+BB87))</f>
        <v/>
      </c>
      <c r="BQ87">
        <f>MAX(0,MIN(1,0.24*AT87+0.18*BF87+0.14*AR87+0.14*BO87+0.14*(1-AV87)+0.16*(1-AZ87)))</f>
        <v/>
      </c>
      <c r="BR87">
        <f>IF(BO87&gt;=0.80,"Open",IF(BO87&gt;=0.62,"Measured",IF(BO87&gt;=0.45,"Selective","Guarded")))</f>
        <v/>
      </c>
      <c r="BS87">
        <f>IF(Y87="COMM_Direct","Direct",IF(Y87="COMM_Emotional","Emotional",IF(Y87="COMM_Logical","Logical",IF(Y87="COMM_Indirect","Indirect","Avoidant"))))</f>
        <v/>
      </c>
      <c r="BT87">
        <f>IF(BG87&gt;=0.78,"Co-repair",IF(BG87&gt;=0.58,"Re-engage",IF(BG87&gt;=0.40,"Delay","Suppress")))</f>
        <v/>
      </c>
      <c r="BU87">
        <f>IF(BI87&gt;=0.70,"Retreat-risk",IF(BH87&lt;=0.40,"Rush-risk",IF(BH87&gt;=0.65,"Slow-build","Mixed")))</f>
        <v/>
      </c>
      <c r="BV87">
        <f>IF(BL87-BM87&gt;=0.15,"Stimulation-seeking",IF(BM87-BL87&gt;=0.15,"Calm-seeking","Mixed")))</f>
        <v/>
      </c>
      <c r="BW87">
        <f>IF(AND(BL87&gt;=0.72,BM87&lt;0.48),"High",IF(AND(BL87&gt;=0.60,BM87&lt;0.58),"Medium","Low"))</f>
        <v/>
      </c>
    </row>
    <row r="88" ht="189" customHeight="1" s="10">
      <c r="A88" s="2" t="inlineStr">
        <is>
          <t>Q18_B</t>
        </is>
      </c>
      <c r="B88" s="2" t="n">
        <v>18</v>
      </c>
      <c r="C88" s="2" t="n">
        <v>18</v>
      </c>
      <c r="D88" s="2" t="inlineStr">
        <is>
          <t>Core</t>
        </is>
      </c>
      <c r="E88" s="2" t="n">
        <v>1.1</v>
      </c>
      <c r="F88" s="2" t="inlineStr">
        <is>
          <t>EmotionalRegulation</t>
        </is>
      </c>
      <c r="G88" s="2" t="inlineStr">
        <is>
          <t>AttachmentSafety</t>
        </is>
      </c>
      <c r="H88" s="2" t="n"/>
      <c r="I88" s="2" t="inlineStr">
        <is>
          <t>B</t>
        </is>
      </c>
      <c r="J88" s="2" t="inlineStr">
        <is>
          <t>B</t>
        </is>
      </c>
      <c r="K88" s="2" t="inlineStr">
        <is>
          <t>I start thinking I pushed too far. I replay the moment, wondering what I said that made them go quiet. It usually ends with me blaming myself.</t>
        </is>
      </c>
      <c r="L88" s="2" t="n">
        <v>4</v>
      </c>
      <c r="M88" s="2" t="n">
        <v>5</v>
      </c>
      <c r="N88" s="2" t="n">
        <v>2</v>
      </c>
      <c r="O88" s="2" t="n">
        <v>2</v>
      </c>
      <c r="P88" s="2" t="n">
        <v>2</v>
      </c>
      <c r="Q88" s="2" t="inlineStr">
        <is>
          <t>Analyzer</t>
        </is>
      </c>
      <c r="R88" s="2" t="n">
        <v>2</v>
      </c>
      <c r="S88" s="2" t="n"/>
      <c r="T88" s="2" t="n"/>
      <c r="U88" s="2" t="n">
        <v>0</v>
      </c>
      <c r="V88" s="2" t="inlineStr">
        <is>
          <t>masc:1.4;fem:0.1</t>
        </is>
      </c>
      <c r="W88" s="2" t="n">
        <v>1.4</v>
      </c>
      <c r="X88" s="2" t="n">
        <v>0.1</v>
      </c>
      <c r="Y88" s="2" t="inlineStr">
        <is>
          <t>COMM_Logical</t>
        </is>
      </c>
      <c r="Z88" s="2" t="inlineStr">
        <is>
          <t>REG_SelfSoother</t>
        </is>
      </c>
      <c r="AA88" s="2" t="inlineStr">
        <is>
          <t>LANG_Service</t>
        </is>
      </c>
      <c r="AB88" s="2" t="inlineStr">
        <is>
          <t>Vulnerability_Loop</t>
        </is>
      </c>
      <c r="AC88" s="2" t="inlineStr">
        <is>
          <t>Vulnerability_Loop</t>
        </is>
      </c>
      <c r="AD88" s="2" t="n"/>
      <c r="AE88" s="2" t="n">
        <v>5</v>
      </c>
      <c r="AF88" s="2" t="inlineStr">
        <is>
          <t>shame loop</t>
        </is>
      </c>
      <c r="AG88" s="2" t="inlineStr">
        <is>
          <t>self-blamer</t>
        </is>
      </c>
      <c r="AH88" s="2" t="n">
        <v>0</v>
      </c>
      <c r="AI88" s="2" t="inlineStr">
        <is>
          <t>yes</t>
        </is>
      </c>
      <c r="AJ88" s="2" t="inlineStr">
        <is>
          <t>no</t>
        </is>
      </c>
      <c r="AK88" s="2" t="inlineStr">
        <is>
          <t>yes</t>
        </is>
      </c>
      <c r="AL88" s="2" t="inlineStr">
        <is>
          <t>yes</t>
        </is>
      </c>
      <c r="AM88" s="2" t="n"/>
      <c r="AN88" s="2" t="n"/>
      <c r="AO88" s="2" t="n"/>
      <c r="AP88" s="2" t="inlineStr">
        <is>
          <t>v3_2026-03-19</t>
        </is>
      </c>
      <c r="AQ88">
        <f>(L88-Schema_v5!$C2)/(Schema_v5!$C3-Schema_v5!$C2)</f>
        <v/>
      </c>
      <c r="AR88">
        <f>(M88-Schema_v5!$C4)/(Schema_v5!$C5-Schema_v5!$C4)</f>
        <v/>
      </c>
      <c r="AS88">
        <f>N88/Schema_v5!$C6</f>
        <v/>
      </c>
      <c r="AT88">
        <f>O88/Schema_v5!$C7</f>
        <v/>
      </c>
      <c r="AU88">
        <f>P88/Schema_v5!$C8</f>
        <v/>
      </c>
      <c r="AV88">
        <f>IF(Schema_v5!$C9=0,0,AH88/Schema_v5!$C9)</f>
        <v/>
      </c>
      <c r="AW88">
        <f>IF(Schema_v5!$C10=0,0,AE88/Schema_v5!$C10)</f>
        <v/>
      </c>
      <c r="AX88">
        <f>(W88-Schema_v5!$C11)/(Schema_v5!$C12-Schema_v5!$C11)</f>
        <v/>
      </c>
      <c r="AY88">
        <f>(X88-Schema_v5!$C13)/(Schema_v5!$C14-Schema_v5!$C13)</f>
        <v/>
      </c>
      <c r="AZ88">
        <f>MIN(1,MAX(0,U88/Schema_v7!$C$9))</f>
        <v/>
      </c>
      <c r="BA88">
        <f>IF(AJ88="yes",0.55,0)</f>
        <v/>
      </c>
      <c r="BB88">
        <f>IF(AI88="yes",0.10,0)</f>
        <v/>
      </c>
      <c r="BC88">
        <f>IF(Y88="COMM_Direct",0.92,IF(Y88="COMM_Emotional",0.70,IF(Y88="COMM_Logical",0.65,IF(Y88="COMM_Indirect",0.55,0.35))))</f>
        <v/>
      </c>
      <c r="BD88">
        <f>IF(Z88="REG_CoRegulator",0.92,IF(Z88="REG_SelfSoother",0.76,IF(Z88="REG_Distractor",0.48,0.35)))</f>
        <v/>
      </c>
      <c r="BE88">
        <f>IF(AA88="LANG_Time",0.76,IF(AA88="LANG_Service",0.70,IF(AA88="LANG_Words",0.72,IF(AA88="LANG_Touch",0.68,0.60))))</f>
        <v/>
      </c>
      <c r="BF88">
        <f>MAX(0,MIN(1,0.28*AS88+0.16*AT88+0.18*BC88+0.18*BD88+0.10*(1-AZ88)+0.10*(1-BA88)+BB88))</f>
        <v/>
      </c>
      <c r="BG88">
        <f>MAX(0,MIN(1,0.24*AU88+0.18*AS88+0.18*BC88+0.20*BD88+0.10*(1-AW88)+0.10*(1-BA88)))</f>
        <v/>
      </c>
      <c r="BH88">
        <f>MAX(0,MIN(1,0.28*AR88+0.18*AT88+0.16*AU88+0.18*(1-AV88)+0.10*(1-AW88)+0.10*BF88))</f>
        <v/>
      </c>
      <c r="BI88">
        <f>MAX(0,MIN(1,0.30*AV88+0.20*AZ88+0.20*AW88+0.15*(1-BH88)+0.15*(1-BO88)))</f>
        <v/>
      </c>
      <c r="BJ88">
        <f>MAX(0,1-(ABS(((( AX88+AY88)/2)-0.55)*1.6)))</f>
        <v/>
      </c>
      <c r="BK88">
        <f>MAX(0,MIN(1,0.28*AR88+0.18*AT88+0.16*BJ88+0.14*(1-AV88)+0.12*BQ88+0.12*BO88))</f>
        <v/>
      </c>
      <c r="BL88">
        <f>MAX(0,MIN(1,0.22*AQ88+0.18*AS88+0.18*BC88+0.18*BD88+0.08*BE88+0.10*BF88+0.06*BO88))</f>
        <v/>
      </c>
      <c r="BM88">
        <f>MAX(0,MIN(1,0.20*(1-AZ88)+0.16*(1-BA88)+0.14*(1-AW88)+0.14*AU88+0.18*BG88+0.10*BH88+0.08*BP88))</f>
        <v/>
      </c>
      <c r="BN88">
        <f>MAX(0,MIN(1,0.42*BJ88+0.33*BK88+0.15*AT88+0.10*BQ88))</f>
        <v/>
      </c>
      <c r="BO88">
        <f>MAX(0,MIN(1,0.30*BC88+0.24*BD88+0.18*AS88+0.14*(1-BI88)+0.14*AT88))</f>
        <v/>
      </c>
      <c r="BP88">
        <f>MAX(0,MIN(1,0.26*AS88+0.20*(1-BA88)+0.16*(1-AW88)+0.18*BG88+0.10*AU88+0.10+BB88))</f>
        <v/>
      </c>
      <c r="BQ88">
        <f>MAX(0,MIN(1,0.24*AT88+0.18*BF88+0.14*AR88+0.14*BO88+0.14*(1-AV88)+0.16*(1-AZ88)))</f>
        <v/>
      </c>
      <c r="BR88">
        <f>IF(BO88&gt;=0.80,"Open",IF(BO88&gt;=0.62,"Measured",IF(BO88&gt;=0.45,"Selective","Guarded")))</f>
        <v/>
      </c>
      <c r="BS88">
        <f>IF(Y88="COMM_Direct","Direct",IF(Y88="COMM_Emotional","Emotional",IF(Y88="COMM_Logical","Logical",IF(Y88="COMM_Indirect","Indirect","Avoidant"))))</f>
        <v/>
      </c>
      <c r="BT88">
        <f>IF(BG88&gt;=0.78,"Co-repair",IF(BG88&gt;=0.58,"Re-engage",IF(BG88&gt;=0.40,"Delay","Suppress")))</f>
        <v/>
      </c>
      <c r="BU88">
        <f>IF(BI88&gt;=0.70,"Retreat-risk",IF(BH88&lt;=0.40,"Rush-risk",IF(BH88&gt;=0.65,"Slow-build","Mixed")))</f>
        <v/>
      </c>
      <c r="BV88">
        <f>IF(BL88-BM88&gt;=0.15,"Stimulation-seeking",IF(BM88-BL88&gt;=0.15,"Calm-seeking","Mixed")))</f>
        <v/>
      </c>
      <c r="BW88">
        <f>IF(AND(BL88&gt;=0.72,BM88&lt;0.48),"High",IF(AND(BL88&gt;=0.60,BM88&lt;0.58),"Medium","Low"))</f>
        <v/>
      </c>
    </row>
    <row r="89" ht="148.5" customHeight="1" s="10">
      <c r="A89" s="2" t="inlineStr">
        <is>
          <t>Q18_C</t>
        </is>
      </c>
      <c r="B89" s="2" t="n">
        <v>18</v>
      </c>
      <c r="C89" s="2" t="n">
        <v>18</v>
      </c>
      <c r="D89" s="2" t="inlineStr">
        <is>
          <t>Core</t>
        </is>
      </c>
      <c r="E89" s="2" t="n">
        <v>1.1</v>
      </c>
      <c r="F89" s="2" t="inlineStr">
        <is>
          <t>EmotionalRegulation</t>
        </is>
      </c>
      <c r="G89" s="2" t="inlineStr">
        <is>
          <t>AttachmentSafety</t>
        </is>
      </c>
      <c r="H89" s="2" t="n"/>
      <c r="I89" s="2" t="inlineStr">
        <is>
          <t>C</t>
        </is>
      </c>
      <c r="J89" s="2" t="inlineStr">
        <is>
          <t>C</t>
        </is>
      </c>
      <c r="K89" s="2" t="inlineStr">
        <is>
          <t>I wait. Sometimes people get scared when they feel seen, I don't want to add pressure, but I definitely notice the change.</t>
        </is>
      </c>
      <c r="L89" s="2" t="n">
        <v>7</v>
      </c>
      <c r="M89" s="2" t="n">
        <v>8</v>
      </c>
      <c r="N89" s="2" t="n">
        <v>6</v>
      </c>
      <c r="O89" s="2" t="n">
        <v>6</v>
      </c>
      <c r="P89" s="2" t="n">
        <v>4</v>
      </c>
      <c r="Q89" s="2" t="inlineStr">
        <is>
          <t>Romantic Idealist</t>
        </is>
      </c>
      <c r="R89" s="2" t="n">
        <v>6</v>
      </c>
      <c r="S89" s="2" t="n"/>
      <c r="T89" s="2" t="n"/>
      <c r="U89" s="2" t="n">
        <v>0</v>
      </c>
      <c r="V89" s="2" t="inlineStr">
        <is>
          <t>masc:-0.4;fem:1.5</t>
        </is>
      </c>
      <c r="W89" s="2" t="n">
        <v>-0.4</v>
      </c>
      <c r="X89" s="2" t="n">
        <v>1.5</v>
      </c>
      <c r="Y89" s="2" t="inlineStr">
        <is>
          <t>COMM_Emotional</t>
        </is>
      </c>
      <c r="Z89" s="2" t="inlineStr">
        <is>
          <t>REG_Distractor</t>
        </is>
      </c>
      <c r="AA89" s="2" t="inlineStr">
        <is>
          <t>LANG_Gifts</t>
        </is>
      </c>
      <c r="AB89" s="2" t="n"/>
      <c r="AC89" s="2" t="n"/>
      <c r="AD89" s="2" t="n"/>
      <c r="AE89" s="2" t="n">
        <v>0</v>
      </c>
      <c r="AF89" s="2" t="inlineStr">
        <is>
          <t>patient rationalizer</t>
        </is>
      </c>
      <c r="AG89" s="2" t="inlineStr">
        <is>
          <t>hopeful waiter</t>
        </is>
      </c>
      <c r="AH89" s="2" t="n">
        <v>0</v>
      </c>
      <c r="AI89" s="2" t="inlineStr">
        <is>
          <t>no</t>
        </is>
      </c>
      <c r="AJ89" s="2" t="inlineStr">
        <is>
          <t>no</t>
        </is>
      </c>
      <c r="AK89" s="2" t="inlineStr">
        <is>
          <t>yes</t>
        </is>
      </c>
      <c r="AL89" s="2" t="inlineStr">
        <is>
          <t>yes</t>
        </is>
      </c>
      <c r="AM89" s="2" t="n"/>
      <c r="AN89" s="2" t="n"/>
      <c r="AO89" s="2" t="n"/>
      <c r="AP89" s="2" t="inlineStr">
        <is>
          <t>v3_2026-03-19</t>
        </is>
      </c>
      <c r="AQ89">
        <f>(L89-Schema_v5!$C2)/(Schema_v5!$C3-Schema_v5!$C2)</f>
        <v/>
      </c>
      <c r="AR89">
        <f>(M89-Schema_v5!$C4)/(Schema_v5!$C5-Schema_v5!$C4)</f>
        <v/>
      </c>
      <c r="AS89">
        <f>N89/Schema_v5!$C6</f>
        <v/>
      </c>
      <c r="AT89">
        <f>O89/Schema_v5!$C7</f>
        <v/>
      </c>
      <c r="AU89">
        <f>P89/Schema_v5!$C8</f>
        <v/>
      </c>
      <c r="AV89">
        <f>IF(Schema_v5!$C9=0,0,AH89/Schema_v5!$C9)</f>
        <v/>
      </c>
      <c r="AW89">
        <f>IF(Schema_v5!$C10=0,0,AE89/Schema_v5!$C10)</f>
        <v/>
      </c>
      <c r="AX89">
        <f>(W89-Schema_v5!$C11)/(Schema_v5!$C12-Schema_v5!$C11)</f>
        <v/>
      </c>
      <c r="AY89">
        <f>(X89-Schema_v5!$C13)/(Schema_v5!$C14-Schema_v5!$C13)</f>
        <v/>
      </c>
      <c r="AZ89">
        <f>MIN(1,MAX(0,U89/Schema_v7!$C$9))</f>
        <v/>
      </c>
      <c r="BA89">
        <f>IF(AJ89="yes",0.55,0)</f>
        <v/>
      </c>
      <c r="BB89">
        <f>IF(AI89="yes",0.10,0)</f>
        <v/>
      </c>
      <c r="BC89">
        <f>IF(Y89="COMM_Direct",0.92,IF(Y89="COMM_Emotional",0.70,IF(Y89="COMM_Logical",0.65,IF(Y89="COMM_Indirect",0.55,0.35))))</f>
        <v/>
      </c>
      <c r="BD89">
        <f>IF(Z89="REG_CoRegulator",0.92,IF(Z89="REG_SelfSoother",0.76,IF(Z89="REG_Distractor",0.48,0.35)))</f>
        <v/>
      </c>
      <c r="BE89">
        <f>IF(AA89="LANG_Time",0.76,IF(AA89="LANG_Service",0.70,IF(AA89="LANG_Words",0.72,IF(AA89="LANG_Touch",0.68,0.60))))</f>
        <v/>
      </c>
      <c r="BF89">
        <f>MAX(0,MIN(1,0.28*AS89+0.16*AT89+0.18*BC89+0.18*BD89+0.10*(1-AZ89)+0.10*(1-BA89)+BB89))</f>
        <v/>
      </c>
      <c r="BG89">
        <f>MAX(0,MIN(1,0.24*AU89+0.18*AS89+0.18*BC89+0.20*BD89+0.10*(1-AW89)+0.10*(1-BA89)))</f>
        <v/>
      </c>
      <c r="BH89">
        <f>MAX(0,MIN(1,0.28*AR89+0.18*AT89+0.16*AU89+0.18*(1-AV89)+0.10*(1-AW89)+0.10*BF89))</f>
        <v/>
      </c>
      <c r="BI89">
        <f>MAX(0,MIN(1,0.30*AV89+0.20*AZ89+0.20*AW89+0.15*(1-BH89)+0.15*(1-BO89)))</f>
        <v/>
      </c>
      <c r="BJ89">
        <f>MAX(0,1-(ABS(((( AX89+AY89)/2)-0.55)*1.6)))</f>
        <v/>
      </c>
      <c r="BK89">
        <f>MAX(0,MIN(1,0.28*AR89+0.18*AT89+0.16*BJ89+0.14*(1-AV89)+0.12*BQ89+0.12*BO89))</f>
        <v/>
      </c>
      <c r="BL89">
        <f>MAX(0,MIN(1,0.22*AQ89+0.18*AS89+0.18*BC89+0.18*BD89+0.08*BE89+0.10*BF89+0.06*BO89))</f>
        <v/>
      </c>
      <c r="BM89">
        <f>MAX(0,MIN(1,0.20*(1-AZ89)+0.16*(1-BA89)+0.14*(1-AW89)+0.14*AU89+0.18*BG89+0.10*BH89+0.08*BP89))</f>
        <v/>
      </c>
      <c r="BN89">
        <f>MAX(0,MIN(1,0.42*BJ89+0.33*BK89+0.15*AT89+0.10*BQ89))</f>
        <v/>
      </c>
      <c r="BO89">
        <f>MAX(0,MIN(1,0.30*BC89+0.24*BD89+0.18*AS89+0.14*(1-BI89)+0.14*AT89))</f>
        <v/>
      </c>
      <c r="BP89">
        <f>MAX(0,MIN(1,0.26*AS89+0.20*(1-BA89)+0.16*(1-AW89)+0.18*BG89+0.10*AU89+0.10+BB89))</f>
        <v/>
      </c>
      <c r="BQ89">
        <f>MAX(0,MIN(1,0.24*AT89+0.18*BF89+0.14*AR89+0.14*BO89+0.14*(1-AV89)+0.16*(1-AZ89)))</f>
        <v/>
      </c>
      <c r="BR89">
        <f>IF(BO89&gt;=0.80,"Open",IF(BO89&gt;=0.62,"Measured",IF(BO89&gt;=0.45,"Selective","Guarded")))</f>
        <v/>
      </c>
      <c r="BS89">
        <f>IF(Y89="COMM_Direct","Direct",IF(Y89="COMM_Emotional","Emotional",IF(Y89="COMM_Logical","Logical",IF(Y89="COMM_Indirect","Indirect","Avoidant"))))</f>
        <v/>
      </c>
      <c r="BT89">
        <f>IF(BG89&gt;=0.78,"Co-repair",IF(BG89&gt;=0.58,"Re-engage",IF(BG89&gt;=0.40,"Delay","Suppress")))</f>
        <v/>
      </c>
      <c r="BU89">
        <f>IF(BI89&gt;=0.70,"Retreat-risk",IF(BH89&lt;=0.40,"Rush-risk",IF(BH89&gt;=0.65,"Slow-build","Mixed")))</f>
        <v/>
      </c>
      <c r="BV89">
        <f>IF(BL89-BM89&gt;=0.15,"Stimulation-seeking",IF(BM89-BL89&gt;=0.15,"Calm-seeking","Mixed")))</f>
        <v/>
      </c>
      <c r="BW89">
        <f>IF(AND(BL89&gt;=0.72,BM89&lt;0.48),"High",IF(AND(BL89&gt;=0.60,BM89&lt;0.58),"Medium","Low"))</f>
        <v/>
      </c>
    </row>
    <row r="90" ht="135" customHeight="1" s="10">
      <c r="A90" s="2" t="inlineStr">
        <is>
          <t>Q18_D</t>
        </is>
      </c>
      <c r="B90" s="2" t="n">
        <v>18</v>
      </c>
      <c r="C90" s="2" t="n">
        <v>18</v>
      </c>
      <c r="D90" s="2" t="inlineStr">
        <is>
          <t>Core</t>
        </is>
      </c>
      <c r="E90" s="2" t="n">
        <v>1.1</v>
      </c>
      <c r="F90" s="2" t="inlineStr">
        <is>
          <t>EmotionalRegulation</t>
        </is>
      </c>
      <c r="G90" s="2" t="inlineStr">
        <is>
          <t>AttachmentSafety</t>
        </is>
      </c>
      <c r="H90" s="2" t="n"/>
      <c r="I90" s="2" t="inlineStr">
        <is>
          <t>D</t>
        </is>
      </c>
      <c r="J90" s="2" t="inlineStr">
        <is>
          <t>D</t>
        </is>
      </c>
      <c r="K90" s="2" t="inlineStr">
        <is>
          <t>I go into fix-it mode. Check in more. Try to feel lighter, easier, more fun, anything to bring us back to how it felt before.</t>
        </is>
      </c>
      <c r="L90" s="2" t="n">
        <v>5</v>
      </c>
      <c r="M90" s="2" t="n">
        <v>6</v>
      </c>
      <c r="N90" s="2" t="n">
        <v>4</v>
      </c>
      <c r="O90" s="2" t="n">
        <v>4</v>
      </c>
      <c r="P90" s="2" t="n">
        <v>4</v>
      </c>
      <c r="Q90" s="2" t="inlineStr">
        <is>
          <t>Fixer</t>
        </is>
      </c>
      <c r="R90" s="2" t="n">
        <v>5</v>
      </c>
      <c r="S90" s="2" t="n"/>
      <c r="T90" s="2" t="n"/>
      <c r="U90" s="2" t="n">
        <v>0</v>
      </c>
      <c r="V90" s="2" t="inlineStr">
        <is>
          <t>masc:-0.4;fem:2.0</t>
        </is>
      </c>
      <c r="W90" s="2" t="n">
        <v>-0.4</v>
      </c>
      <c r="X90" s="2" t="n">
        <v>2</v>
      </c>
      <c r="Y90" s="2" t="inlineStr">
        <is>
          <t>COMM_Emotional</t>
        </is>
      </c>
      <c r="Z90" s="2" t="inlineStr">
        <is>
          <t>REG_CoRegulator</t>
        </is>
      </c>
      <c r="AA90" s="2" t="inlineStr">
        <is>
          <t>LANG_Service</t>
        </is>
      </c>
      <c r="AB90" s="2" t="inlineStr">
        <is>
          <t>Vulnerability_Loop</t>
        </is>
      </c>
      <c r="AC90" s="2" t="inlineStr">
        <is>
          <t>Vulnerability_Loop</t>
        </is>
      </c>
      <c r="AD90" s="2" t="n"/>
      <c r="AE90" s="2" t="n">
        <v>5</v>
      </c>
      <c r="AF90" s="2" t="inlineStr">
        <is>
          <t>emotional reset attempt</t>
        </is>
      </c>
      <c r="AG90" s="2" t="inlineStr">
        <is>
          <t>overcompensator</t>
        </is>
      </c>
      <c r="AH90" s="2" t="n">
        <v>0</v>
      </c>
      <c r="AI90" s="2" t="inlineStr">
        <is>
          <t>yes</t>
        </is>
      </c>
      <c r="AJ90" s="2" t="inlineStr">
        <is>
          <t>no</t>
        </is>
      </c>
      <c r="AK90" s="2" t="inlineStr">
        <is>
          <t>yes</t>
        </is>
      </c>
      <c r="AL90" s="2" t="inlineStr">
        <is>
          <t>yes</t>
        </is>
      </c>
      <c r="AM90" s="2" t="n"/>
      <c r="AN90" s="2" t="n"/>
      <c r="AO90" s="2" t="n"/>
      <c r="AP90" s="2" t="inlineStr">
        <is>
          <t>v3_2026-03-19</t>
        </is>
      </c>
      <c r="AQ90">
        <f>(L90-Schema_v5!$C2)/(Schema_v5!$C3-Schema_v5!$C2)</f>
        <v/>
      </c>
      <c r="AR90">
        <f>(M90-Schema_v5!$C4)/(Schema_v5!$C5-Schema_v5!$C4)</f>
        <v/>
      </c>
      <c r="AS90">
        <f>N90/Schema_v5!$C6</f>
        <v/>
      </c>
      <c r="AT90">
        <f>O90/Schema_v5!$C7</f>
        <v/>
      </c>
      <c r="AU90">
        <f>P90/Schema_v5!$C8</f>
        <v/>
      </c>
      <c r="AV90">
        <f>IF(Schema_v5!$C9=0,0,AH90/Schema_v5!$C9)</f>
        <v/>
      </c>
      <c r="AW90">
        <f>IF(Schema_v5!$C10=0,0,AE90/Schema_v5!$C10)</f>
        <v/>
      </c>
      <c r="AX90">
        <f>(W90-Schema_v5!$C11)/(Schema_v5!$C12-Schema_v5!$C11)</f>
        <v/>
      </c>
      <c r="AY90">
        <f>(X90-Schema_v5!$C13)/(Schema_v5!$C14-Schema_v5!$C13)</f>
        <v/>
      </c>
      <c r="AZ90">
        <f>MIN(1,MAX(0,U90/Schema_v7!$C$9))</f>
        <v/>
      </c>
      <c r="BA90">
        <f>IF(AJ90="yes",0.55,0)</f>
        <v/>
      </c>
      <c r="BB90">
        <f>IF(AI90="yes",0.10,0)</f>
        <v/>
      </c>
      <c r="BC90">
        <f>IF(Y90="COMM_Direct",0.92,IF(Y90="COMM_Emotional",0.70,IF(Y90="COMM_Logical",0.65,IF(Y90="COMM_Indirect",0.55,0.35))))</f>
        <v/>
      </c>
      <c r="BD90">
        <f>IF(Z90="REG_CoRegulator",0.92,IF(Z90="REG_SelfSoother",0.76,IF(Z90="REG_Distractor",0.48,0.35)))</f>
        <v/>
      </c>
      <c r="BE90">
        <f>IF(AA90="LANG_Time",0.76,IF(AA90="LANG_Service",0.70,IF(AA90="LANG_Words",0.72,IF(AA90="LANG_Touch",0.68,0.60))))</f>
        <v/>
      </c>
      <c r="BF90">
        <f>MAX(0,MIN(1,0.28*AS90+0.16*AT90+0.18*BC90+0.18*BD90+0.10*(1-AZ90)+0.10*(1-BA90)+BB90))</f>
        <v/>
      </c>
      <c r="BG90">
        <f>MAX(0,MIN(1,0.24*AU90+0.18*AS90+0.18*BC90+0.20*BD90+0.10*(1-AW90)+0.10*(1-BA90)))</f>
        <v/>
      </c>
      <c r="BH90">
        <f>MAX(0,MIN(1,0.28*AR90+0.18*AT90+0.16*AU90+0.18*(1-AV90)+0.10*(1-AW90)+0.10*BF90))</f>
        <v/>
      </c>
      <c r="BI90">
        <f>MAX(0,MIN(1,0.30*AV90+0.20*AZ90+0.20*AW90+0.15*(1-BH90)+0.15*(1-BO90)))</f>
        <v/>
      </c>
      <c r="BJ90">
        <f>MAX(0,1-(ABS(((( AX90+AY90)/2)-0.55)*1.6)))</f>
        <v/>
      </c>
      <c r="BK90">
        <f>MAX(0,MIN(1,0.28*AR90+0.18*AT90+0.16*BJ90+0.14*(1-AV90)+0.12*BQ90+0.12*BO90))</f>
        <v/>
      </c>
      <c r="BL90">
        <f>MAX(0,MIN(1,0.22*AQ90+0.18*AS90+0.18*BC90+0.18*BD90+0.08*BE90+0.10*BF90+0.06*BO90))</f>
        <v/>
      </c>
      <c r="BM90">
        <f>MAX(0,MIN(1,0.20*(1-AZ90)+0.16*(1-BA90)+0.14*(1-AW90)+0.14*AU90+0.18*BG90+0.10*BH90+0.08*BP90))</f>
        <v/>
      </c>
      <c r="BN90">
        <f>MAX(0,MIN(1,0.42*BJ90+0.33*BK90+0.15*AT90+0.10*BQ90))</f>
        <v/>
      </c>
      <c r="BO90">
        <f>MAX(0,MIN(1,0.30*BC90+0.24*BD90+0.18*AS90+0.14*(1-BI90)+0.14*AT90))</f>
        <v/>
      </c>
      <c r="BP90">
        <f>MAX(0,MIN(1,0.26*AS90+0.20*(1-BA90)+0.16*(1-AW90)+0.18*BG90+0.10*AU90+0.10+BB90))</f>
        <v/>
      </c>
      <c r="BQ90">
        <f>MAX(0,MIN(1,0.24*AT90+0.18*BF90+0.14*AR90+0.14*BO90+0.14*(1-AV90)+0.16*(1-AZ90)))</f>
        <v/>
      </c>
      <c r="BR90">
        <f>IF(BO90&gt;=0.80,"Open",IF(BO90&gt;=0.62,"Measured",IF(BO90&gt;=0.45,"Selective","Guarded")))</f>
        <v/>
      </c>
      <c r="BS90">
        <f>IF(Y90="COMM_Direct","Direct",IF(Y90="COMM_Emotional","Emotional",IF(Y90="COMM_Logical","Logical",IF(Y90="COMM_Indirect","Indirect","Avoidant"))))</f>
        <v/>
      </c>
      <c r="BT90">
        <f>IF(BG90&gt;=0.78,"Co-repair",IF(BG90&gt;=0.58,"Re-engage",IF(BG90&gt;=0.40,"Delay","Suppress")))</f>
        <v/>
      </c>
      <c r="BU90">
        <f>IF(BI90&gt;=0.70,"Retreat-risk",IF(BH90&lt;=0.40,"Rush-risk",IF(BH90&gt;=0.65,"Slow-build","Mixed")))</f>
        <v/>
      </c>
      <c r="BV90">
        <f>IF(BL90-BM90&gt;=0.15,"Stimulation-seeking",IF(BM90-BL90&gt;=0.15,"Calm-seeking","Mixed")))</f>
        <v/>
      </c>
      <c r="BW90">
        <f>IF(AND(BL90&gt;=0.72,BM90&lt;0.48),"High",IF(AND(BL90&gt;=0.60,BM90&lt;0.58),"Medium","Low"))</f>
        <v/>
      </c>
    </row>
    <row r="91" ht="135" customHeight="1" s="10">
      <c r="A91" s="2" t="inlineStr">
        <is>
          <t>Q18_E</t>
        </is>
      </c>
      <c r="B91" s="2" t="n">
        <v>18</v>
      </c>
      <c r="C91" s="2" t="n">
        <v>18</v>
      </c>
      <c r="D91" s="2" t="inlineStr">
        <is>
          <t>Core</t>
        </is>
      </c>
      <c r="E91" s="2" t="n">
        <v>1.1</v>
      </c>
      <c r="F91" s="2" t="inlineStr">
        <is>
          <t>EmotionalRegulation</t>
        </is>
      </c>
      <c r="G91" s="2" t="inlineStr">
        <is>
          <t>AttachmentSafety</t>
        </is>
      </c>
      <c r="H91" s="2" t="n"/>
      <c r="I91" s="2" t="inlineStr">
        <is>
          <t>E</t>
        </is>
      </c>
      <c r="J91" s="2" t="inlineStr">
        <is>
          <t>E</t>
        </is>
      </c>
      <c r="K91" s="2" t="inlineStr">
        <is>
          <t>I make myself busy. I don't ask, I don't chase. But I clock it. I'll still be polite, but they won't get the same version of me again.</t>
        </is>
      </c>
      <c r="L91" s="2" t="n">
        <v>7</v>
      </c>
      <c r="M91" s="2" t="n">
        <v>8</v>
      </c>
      <c r="N91" s="2" t="n">
        <v>4</v>
      </c>
      <c r="O91" s="2" t="n">
        <v>4</v>
      </c>
      <c r="P91" s="2" t="n">
        <v>0</v>
      </c>
      <c r="Q91" s="2" t="inlineStr">
        <is>
          <t>Quiet Exit</t>
        </is>
      </c>
      <c r="R91" s="2" t="n">
        <v>4</v>
      </c>
      <c r="S91" s="2" t="n"/>
      <c r="T91" s="2" t="n"/>
      <c r="U91" s="2" t="n">
        <v>0</v>
      </c>
      <c r="V91" s="2" t="inlineStr">
        <is>
          <t>masc:1.4;fem:-1.3</t>
        </is>
      </c>
      <c r="W91" s="2" t="n">
        <v>1.4</v>
      </c>
      <c r="X91" s="2" t="n">
        <v>-1.3</v>
      </c>
      <c r="Y91" s="2" t="inlineStr">
        <is>
          <t>COMM_Avoidant</t>
        </is>
      </c>
      <c r="Z91" s="2" t="inlineStr">
        <is>
          <t>REG_Suppressor</t>
        </is>
      </c>
      <c r="AA91" s="2" t="inlineStr">
        <is>
          <t>LANG_Time</t>
        </is>
      </c>
      <c r="AB91" s="2" t="n"/>
      <c r="AC91" s="2" t="n"/>
      <c r="AD91" s="2" t="n"/>
      <c r="AE91" s="2" t="n">
        <v>0</v>
      </c>
      <c r="AF91" s="2" t="inlineStr">
        <is>
          <t>soft lockdown</t>
        </is>
      </c>
      <c r="AG91" s="2" t="inlineStr">
        <is>
          <t>guarded exit</t>
        </is>
      </c>
      <c r="AH91" s="2" t="n">
        <v>0</v>
      </c>
      <c r="AI91" s="2" t="inlineStr">
        <is>
          <t>no</t>
        </is>
      </c>
      <c r="AJ91" s="2" t="inlineStr">
        <is>
          <t>no</t>
        </is>
      </c>
      <c r="AK91" s="2" t="inlineStr">
        <is>
          <t>yes</t>
        </is>
      </c>
      <c r="AL91" s="2" t="inlineStr">
        <is>
          <t>yes</t>
        </is>
      </c>
      <c r="AM91" s="2" t="n"/>
      <c r="AN91" s="2" t="n"/>
      <c r="AO91" s="2" t="n"/>
      <c r="AP91" s="2" t="inlineStr">
        <is>
          <t>v3_2026-03-19</t>
        </is>
      </c>
      <c r="AQ91">
        <f>(L91-Schema_v5!$C2)/(Schema_v5!$C3-Schema_v5!$C2)</f>
        <v/>
      </c>
      <c r="AR91">
        <f>(M91-Schema_v5!$C4)/(Schema_v5!$C5-Schema_v5!$C4)</f>
        <v/>
      </c>
      <c r="AS91">
        <f>N91/Schema_v5!$C6</f>
        <v/>
      </c>
      <c r="AT91">
        <f>O91/Schema_v5!$C7</f>
        <v/>
      </c>
      <c r="AU91">
        <f>P91/Schema_v5!$C8</f>
        <v/>
      </c>
      <c r="AV91">
        <f>IF(Schema_v5!$C9=0,0,AH91/Schema_v5!$C9)</f>
        <v/>
      </c>
      <c r="AW91">
        <f>IF(Schema_v5!$C10=0,0,AE91/Schema_v5!$C10)</f>
        <v/>
      </c>
      <c r="AX91">
        <f>(W91-Schema_v5!$C11)/(Schema_v5!$C12-Schema_v5!$C11)</f>
        <v/>
      </c>
      <c r="AY91">
        <f>(X91-Schema_v5!$C13)/(Schema_v5!$C14-Schema_v5!$C13)</f>
        <v/>
      </c>
      <c r="AZ91">
        <f>MIN(1,MAX(0,U91/Schema_v7!$C$9))</f>
        <v/>
      </c>
      <c r="BA91">
        <f>IF(AJ91="yes",0.55,0)</f>
        <v/>
      </c>
      <c r="BB91">
        <f>IF(AI91="yes",0.10,0)</f>
        <v/>
      </c>
      <c r="BC91">
        <f>IF(Y91="COMM_Direct",0.92,IF(Y91="COMM_Emotional",0.70,IF(Y91="COMM_Logical",0.65,IF(Y91="COMM_Indirect",0.55,0.35))))</f>
        <v/>
      </c>
      <c r="BD91">
        <f>IF(Z91="REG_CoRegulator",0.92,IF(Z91="REG_SelfSoother",0.76,IF(Z91="REG_Distractor",0.48,0.35)))</f>
        <v/>
      </c>
      <c r="BE91">
        <f>IF(AA91="LANG_Time",0.76,IF(AA91="LANG_Service",0.70,IF(AA91="LANG_Words",0.72,IF(AA91="LANG_Touch",0.68,0.60))))</f>
        <v/>
      </c>
      <c r="BF91">
        <f>MAX(0,MIN(1,0.28*AS91+0.16*AT91+0.18*BC91+0.18*BD91+0.10*(1-AZ91)+0.10*(1-BA91)+BB91))</f>
        <v/>
      </c>
      <c r="BG91">
        <f>MAX(0,MIN(1,0.24*AU91+0.18*AS91+0.18*BC91+0.20*BD91+0.10*(1-AW91)+0.10*(1-BA91)))</f>
        <v/>
      </c>
      <c r="BH91">
        <f>MAX(0,MIN(1,0.28*AR91+0.18*AT91+0.16*AU91+0.18*(1-AV91)+0.10*(1-AW91)+0.10*BF91))</f>
        <v/>
      </c>
      <c r="BI91">
        <f>MAX(0,MIN(1,0.30*AV91+0.20*AZ91+0.20*AW91+0.15*(1-BH91)+0.15*(1-BO91)))</f>
        <v/>
      </c>
      <c r="BJ91">
        <f>MAX(0,1-(ABS(((( AX91+AY91)/2)-0.55)*1.6)))</f>
        <v/>
      </c>
      <c r="BK91">
        <f>MAX(0,MIN(1,0.28*AR91+0.18*AT91+0.16*BJ91+0.14*(1-AV91)+0.12*BQ91+0.12*BO91))</f>
        <v/>
      </c>
      <c r="BL91">
        <f>MAX(0,MIN(1,0.22*AQ91+0.18*AS91+0.18*BC91+0.18*BD91+0.08*BE91+0.10*BF91+0.06*BO91))</f>
        <v/>
      </c>
      <c r="BM91">
        <f>MAX(0,MIN(1,0.20*(1-AZ91)+0.16*(1-BA91)+0.14*(1-AW91)+0.14*AU91+0.18*BG91+0.10*BH91+0.08*BP91))</f>
        <v/>
      </c>
      <c r="BN91">
        <f>MAX(0,MIN(1,0.42*BJ91+0.33*BK91+0.15*AT91+0.10*BQ91))</f>
        <v/>
      </c>
      <c r="BO91">
        <f>MAX(0,MIN(1,0.30*BC91+0.24*BD91+0.18*AS91+0.14*(1-BI91)+0.14*AT91))</f>
        <v/>
      </c>
      <c r="BP91">
        <f>MAX(0,MIN(1,0.26*AS91+0.20*(1-BA91)+0.16*(1-AW91)+0.18*BG91+0.10*AU91+0.10+BB91))</f>
        <v/>
      </c>
      <c r="BQ91">
        <f>MAX(0,MIN(1,0.24*AT91+0.18*BF91+0.14*AR91+0.14*BO91+0.14*(1-AV91)+0.16*(1-AZ91)))</f>
        <v/>
      </c>
      <c r="BR91">
        <f>IF(BO91&gt;=0.80,"Open",IF(BO91&gt;=0.62,"Measured",IF(BO91&gt;=0.45,"Selective","Guarded")))</f>
        <v/>
      </c>
      <c r="BS91">
        <f>IF(Y91="COMM_Direct","Direct",IF(Y91="COMM_Emotional","Emotional",IF(Y91="COMM_Logical","Logical",IF(Y91="COMM_Indirect","Indirect","Avoidant"))))</f>
        <v/>
      </c>
      <c r="BT91">
        <f>IF(BG91&gt;=0.78,"Co-repair",IF(BG91&gt;=0.58,"Re-engage",IF(BG91&gt;=0.40,"Delay","Suppress")))</f>
        <v/>
      </c>
      <c r="BU91">
        <f>IF(BI91&gt;=0.70,"Retreat-risk",IF(BH91&lt;=0.40,"Rush-risk",IF(BH91&gt;=0.65,"Slow-build","Mixed")))</f>
        <v/>
      </c>
      <c r="BV91">
        <f>IF(BL91-BM91&gt;=0.15,"Stimulation-seeking",IF(BM91-BL91&gt;=0.15,"Calm-seeking","Mixed")))</f>
        <v/>
      </c>
      <c r="BW91">
        <f>IF(AND(BL91&gt;=0.72,BM91&lt;0.48),"High",IF(AND(BL91&gt;=0.60,BM91&lt;0.58),"Medium","Low"))</f>
        <v/>
      </c>
    </row>
    <row r="92" ht="148.5" customHeight="1" s="10">
      <c r="A92" s="2" t="inlineStr">
        <is>
          <t>Q19_A</t>
        </is>
      </c>
      <c r="B92" s="2" t="n">
        <v>19</v>
      </c>
      <c r="C92" s="2" t="n">
        <v>19</v>
      </c>
      <c r="D92" s="2" t="inlineStr">
        <is>
          <t>Core</t>
        </is>
      </c>
      <c r="E92" s="2" t="n">
        <v>1.1</v>
      </c>
      <c r="F92" s="2" t="inlineStr">
        <is>
          <t>EmotionalRegulation</t>
        </is>
      </c>
      <c r="G92" s="2" t="inlineStr">
        <is>
          <t>AttachmentSafety</t>
        </is>
      </c>
      <c r="H92" s="2" t="inlineStr">
        <is>
          <t>You're starting to really like them. But they haven't asked much about you. How do you handle that imbalance?</t>
        </is>
      </c>
      <c r="I92" s="2" t="inlineStr">
        <is>
          <t>A</t>
        </is>
      </c>
      <c r="J92" s="2" t="inlineStr">
        <is>
          <t>A</t>
        </is>
      </c>
      <c r="K92" s="2" t="inlineStr">
        <is>
          <t>I clock it. If they're not curious, they're not serious. I don't make speeches, I just start pulling back and let them figure it out.</t>
        </is>
      </c>
      <c r="L92" s="2" t="n">
        <v>8</v>
      </c>
      <c r="M92" s="2" t="n">
        <v>9</v>
      </c>
      <c r="N92" s="2" t="n">
        <v>4</v>
      </c>
      <c r="O92" s="2" t="n">
        <v>6</v>
      </c>
      <c r="P92" s="2" t="n">
        <v>2</v>
      </c>
      <c r="Q92" s="2" t="inlineStr">
        <is>
          <t>Icebox</t>
        </is>
      </c>
      <c r="R92" s="2" t="n">
        <v>1</v>
      </c>
      <c r="S92" s="2" t="n"/>
      <c r="T92" s="2" t="n"/>
      <c r="U92" s="2" t="n">
        <v>0</v>
      </c>
      <c r="V92" s="2" t="inlineStr">
        <is>
          <t>masc:1.8;fem:-1.6</t>
        </is>
      </c>
      <c r="W92" s="2" t="n">
        <v>1.8</v>
      </c>
      <c r="X92" s="2" t="n">
        <v>-1.6</v>
      </c>
      <c r="Y92" s="2" t="inlineStr">
        <is>
          <t>COMM_Avoidant</t>
        </is>
      </c>
      <c r="Z92" s="2" t="inlineStr">
        <is>
          <t>REG_Suppressor</t>
        </is>
      </c>
      <c r="AA92" s="2" t="inlineStr">
        <is>
          <t>LANG_Time</t>
        </is>
      </c>
      <c r="AB92" s="2" t="n"/>
      <c r="AC92" s="2" t="n"/>
      <c r="AD92" s="2" t="n"/>
      <c r="AE92" s="2" t="n">
        <v>0</v>
      </c>
      <c r="AF92" s="2" t="inlineStr">
        <is>
          <t>quiet disengagement</t>
        </is>
      </c>
      <c r="AG92" s="2" t="inlineStr">
        <is>
          <t>measured pullback</t>
        </is>
      </c>
      <c r="AH92" s="2" t="n">
        <v>0</v>
      </c>
      <c r="AI92" s="2" t="inlineStr">
        <is>
          <t>no</t>
        </is>
      </c>
      <c r="AJ92" s="2" t="inlineStr">
        <is>
          <t>no</t>
        </is>
      </c>
      <c r="AK92" s="2" t="inlineStr">
        <is>
          <t>yes</t>
        </is>
      </c>
      <c r="AL92" s="2" t="inlineStr">
        <is>
          <t>yes</t>
        </is>
      </c>
      <c r="AM92" s="2" t="n"/>
      <c r="AN92" s="2" t="n"/>
      <c r="AO92" s="2" t="n"/>
      <c r="AP92" s="2" t="inlineStr">
        <is>
          <t>v3_2026-03-19</t>
        </is>
      </c>
      <c r="AQ92">
        <f>(L92-Schema_v5!$C2)/(Schema_v5!$C3-Schema_v5!$C2)</f>
        <v/>
      </c>
      <c r="AR92">
        <f>(M92-Schema_v5!$C4)/(Schema_v5!$C5-Schema_v5!$C4)</f>
        <v/>
      </c>
      <c r="AS92">
        <f>N92/Schema_v5!$C6</f>
        <v/>
      </c>
      <c r="AT92">
        <f>O92/Schema_v5!$C7</f>
        <v/>
      </c>
      <c r="AU92">
        <f>P92/Schema_v5!$C8</f>
        <v/>
      </c>
      <c r="AV92">
        <f>IF(Schema_v5!$C9=0,0,AH92/Schema_v5!$C9)</f>
        <v/>
      </c>
      <c r="AW92">
        <f>IF(Schema_v5!$C10=0,0,AE92/Schema_v5!$C10)</f>
        <v/>
      </c>
      <c r="AX92">
        <f>(W92-Schema_v5!$C11)/(Schema_v5!$C12-Schema_v5!$C11)</f>
        <v/>
      </c>
      <c r="AY92">
        <f>(X92-Schema_v5!$C13)/(Schema_v5!$C14-Schema_v5!$C13)</f>
        <v/>
      </c>
      <c r="AZ92">
        <f>MIN(1,MAX(0,U92/Schema_v7!$C$9))</f>
        <v/>
      </c>
      <c r="BA92">
        <f>IF(AJ92="yes",0.55,0)</f>
        <v/>
      </c>
      <c r="BB92">
        <f>IF(AI92="yes",0.10,0)</f>
        <v/>
      </c>
      <c r="BC92">
        <f>IF(Y92="COMM_Direct",0.92,IF(Y92="COMM_Emotional",0.70,IF(Y92="COMM_Logical",0.65,IF(Y92="COMM_Indirect",0.55,0.35))))</f>
        <v/>
      </c>
      <c r="BD92">
        <f>IF(Z92="REG_CoRegulator",0.92,IF(Z92="REG_SelfSoother",0.76,IF(Z92="REG_Distractor",0.48,0.35)))</f>
        <v/>
      </c>
      <c r="BE92">
        <f>IF(AA92="LANG_Time",0.76,IF(AA92="LANG_Service",0.70,IF(AA92="LANG_Words",0.72,IF(AA92="LANG_Touch",0.68,0.60))))</f>
        <v/>
      </c>
      <c r="BF92">
        <f>MAX(0,MIN(1,0.28*AS92+0.16*AT92+0.18*BC92+0.18*BD92+0.10*(1-AZ92)+0.10*(1-BA92)+BB92))</f>
        <v/>
      </c>
      <c r="BG92">
        <f>MAX(0,MIN(1,0.24*AU92+0.18*AS92+0.18*BC92+0.20*BD92+0.10*(1-AW92)+0.10*(1-BA92)))</f>
        <v/>
      </c>
      <c r="BH92">
        <f>MAX(0,MIN(1,0.28*AR92+0.18*AT92+0.16*AU92+0.18*(1-AV92)+0.10*(1-AW92)+0.10*BF92))</f>
        <v/>
      </c>
      <c r="BI92">
        <f>MAX(0,MIN(1,0.30*AV92+0.20*AZ92+0.20*AW92+0.15*(1-BH92)+0.15*(1-BO92)))</f>
        <v/>
      </c>
      <c r="BJ92">
        <f>MAX(0,1-(ABS(((( AX92+AY92)/2)-0.55)*1.6)))</f>
        <v/>
      </c>
      <c r="BK92">
        <f>MAX(0,MIN(1,0.28*AR92+0.18*AT92+0.16*BJ92+0.14*(1-AV92)+0.12*BQ92+0.12*BO92))</f>
        <v/>
      </c>
      <c r="BL92">
        <f>MAX(0,MIN(1,0.22*AQ92+0.18*AS92+0.18*BC92+0.18*BD92+0.08*BE92+0.10*BF92+0.06*BO92))</f>
        <v/>
      </c>
      <c r="BM92">
        <f>MAX(0,MIN(1,0.20*(1-AZ92)+0.16*(1-BA92)+0.14*(1-AW92)+0.14*AU92+0.18*BG92+0.10*BH92+0.08*BP92))</f>
        <v/>
      </c>
      <c r="BN92">
        <f>MAX(0,MIN(1,0.42*BJ92+0.33*BK92+0.15*AT92+0.10*BQ92))</f>
        <v/>
      </c>
      <c r="BO92">
        <f>MAX(0,MIN(1,0.30*BC92+0.24*BD92+0.18*AS92+0.14*(1-BI92)+0.14*AT92))</f>
        <v/>
      </c>
      <c r="BP92">
        <f>MAX(0,MIN(1,0.26*AS92+0.20*(1-BA92)+0.16*(1-AW92)+0.18*BG92+0.10*AU92+0.10+BB92))</f>
        <v/>
      </c>
      <c r="BQ92">
        <f>MAX(0,MIN(1,0.24*AT92+0.18*BF92+0.14*AR92+0.14*BO92+0.14*(1-AV92)+0.16*(1-AZ92)))</f>
        <v/>
      </c>
      <c r="BR92">
        <f>IF(BO92&gt;=0.80,"Open",IF(BO92&gt;=0.62,"Measured",IF(BO92&gt;=0.45,"Selective","Guarded")))</f>
        <v/>
      </c>
      <c r="BS92">
        <f>IF(Y92="COMM_Direct","Direct",IF(Y92="COMM_Emotional","Emotional",IF(Y92="COMM_Logical","Logical",IF(Y92="COMM_Indirect","Indirect","Avoidant"))))</f>
        <v/>
      </c>
      <c r="BT92">
        <f>IF(BG92&gt;=0.78,"Co-repair",IF(BG92&gt;=0.58,"Re-engage",IF(BG92&gt;=0.40,"Delay","Suppress")))</f>
        <v/>
      </c>
      <c r="BU92">
        <f>IF(BI92&gt;=0.70,"Retreat-risk",IF(BH92&lt;=0.40,"Rush-risk",IF(BH92&gt;=0.65,"Slow-build","Mixed")))</f>
        <v/>
      </c>
      <c r="BV92">
        <f>IF(BL92-BM92&gt;=0.15,"Stimulation-seeking",IF(BM92-BL92&gt;=0.15,"Calm-seeking","Mixed")))</f>
        <v/>
      </c>
      <c r="BW92">
        <f>IF(AND(BL92&gt;=0.72,BM92&lt;0.48),"High",IF(AND(BL92&gt;=0.60,BM92&lt;0.58),"Medium","Low"))</f>
        <v/>
      </c>
    </row>
    <row r="93" ht="135" customHeight="1" s="10">
      <c r="A93" s="2" t="inlineStr">
        <is>
          <t>Q19_B</t>
        </is>
      </c>
      <c r="B93" s="2" t="n">
        <v>19</v>
      </c>
      <c r="C93" s="2" t="n">
        <v>19</v>
      </c>
      <c r="D93" s="2" t="inlineStr">
        <is>
          <t>Core</t>
        </is>
      </c>
      <c r="E93" s="2" t="n">
        <v>1.1</v>
      </c>
      <c r="F93" s="2" t="inlineStr">
        <is>
          <t>EmotionalRegulation</t>
        </is>
      </c>
      <c r="G93" s="2" t="inlineStr">
        <is>
          <t>AttachmentSafety</t>
        </is>
      </c>
      <c r="H93" s="2" t="n"/>
      <c r="I93" s="2" t="inlineStr">
        <is>
          <t>B</t>
        </is>
      </c>
      <c r="J93" s="2" t="inlineStr">
        <is>
          <t>B</t>
        </is>
      </c>
      <c r="K93" s="2" t="inlineStr">
        <is>
          <t>I start telling little stories about myself anyway, hoping they'll finally ask more. When they don't, it stings more than I let on.</t>
        </is>
      </c>
      <c r="L93" s="2" t="n">
        <v>5</v>
      </c>
      <c r="M93" s="2" t="n">
        <v>6</v>
      </c>
      <c r="N93" s="2" t="n">
        <v>2</v>
      </c>
      <c r="O93" s="2" t="n">
        <v>2</v>
      </c>
      <c r="P93" s="2" t="n">
        <v>0</v>
      </c>
      <c r="Q93" s="2" t="inlineStr">
        <is>
          <t>Phantom Seeker</t>
        </is>
      </c>
      <c r="R93" s="2" t="n">
        <v>10</v>
      </c>
      <c r="S93" s="2" t="n"/>
      <c r="T93" s="2" t="n"/>
      <c r="U93" s="2" t="n">
        <v>0</v>
      </c>
      <c r="V93" s="2" t="inlineStr">
        <is>
          <t>masc:-0.2;fem:1.5</t>
        </is>
      </c>
      <c r="W93" s="2" t="n">
        <v>-0.2</v>
      </c>
      <c r="X93" s="2" t="n">
        <v>1.5</v>
      </c>
      <c r="Y93" s="2" t="inlineStr">
        <is>
          <t>COMM_Emotional</t>
        </is>
      </c>
      <c r="Z93" s="2" t="inlineStr">
        <is>
          <t>REG_SelfSoother</t>
        </is>
      </c>
      <c r="AA93" s="2" t="inlineStr">
        <is>
          <t>LANG_Touch</t>
        </is>
      </c>
      <c r="AB93" s="2" t="inlineStr">
        <is>
          <t>Scorekeeping_Echo</t>
        </is>
      </c>
      <c r="AC93" s="2" t="inlineStr">
        <is>
          <t>Scorekeeping_Echo</t>
        </is>
      </c>
      <c r="AD93" s="2" t="n"/>
      <c r="AE93" s="2" t="n">
        <v>8</v>
      </c>
      <c r="AF93" s="2" t="inlineStr">
        <is>
          <t>indirect yearning</t>
        </is>
      </c>
      <c r="AG93" s="2" t="inlineStr">
        <is>
          <t>subtle tester</t>
        </is>
      </c>
      <c r="AH93" s="2" t="n">
        <v>0.2</v>
      </c>
      <c r="AI93" s="2" t="inlineStr">
        <is>
          <t>yes</t>
        </is>
      </c>
      <c r="AJ93" s="2" t="inlineStr">
        <is>
          <t>no</t>
        </is>
      </c>
      <c r="AK93" s="2" t="inlineStr">
        <is>
          <t>yes</t>
        </is>
      </c>
      <c r="AL93" s="2" t="inlineStr">
        <is>
          <t>yes</t>
        </is>
      </c>
      <c r="AM93" s="2" t="n"/>
      <c r="AN93" s="2" t="n"/>
      <c r="AO93" s="2" t="n"/>
      <c r="AP93" s="2" t="inlineStr">
        <is>
          <t>v3_2026-03-19</t>
        </is>
      </c>
      <c r="AQ93">
        <f>(L93-Schema_v5!$C2)/(Schema_v5!$C3-Schema_v5!$C2)</f>
        <v/>
      </c>
      <c r="AR93">
        <f>(M93-Schema_v5!$C4)/(Schema_v5!$C5-Schema_v5!$C4)</f>
        <v/>
      </c>
      <c r="AS93">
        <f>N93/Schema_v5!$C6</f>
        <v/>
      </c>
      <c r="AT93">
        <f>O93/Schema_v5!$C7</f>
        <v/>
      </c>
      <c r="AU93">
        <f>P93/Schema_v5!$C8</f>
        <v/>
      </c>
      <c r="AV93">
        <f>IF(Schema_v5!$C9=0,0,AH93/Schema_v5!$C9)</f>
        <v/>
      </c>
      <c r="AW93">
        <f>IF(Schema_v5!$C10=0,0,AE93/Schema_v5!$C10)</f>
        <v/>
      </c>
      <c r="AX93">
        <f>(W93-Schema_v5!$C11)/(Schema_v5!$C12-Schema_v5!$C11)</f>
        <v/>
      </c>
      <c r="AY93">
        <f>(X93-Schema_v5!$C13)/(Schema_v5!$C14-Schema_v5!$C13)</f>
        <v/>
      </c>
      <c r="AZ93">
        <f>MIN(1,MAX(0,U93/Schema_v7!$C$9))</f>
        <v/>
      </c>
      <c r="BA93">
        <f>IF(AJ93="yes",0.55,0)</f>
        <v/>
      </c>
      <c r="BB93">
        <f>IF(AI93="yes",0.10,0)</f>
        <v/>
      </c>
      <c r="BC93">
        <f>IF(Y93="COMM_Direct",0.92,IF(Y93="COMM_Emotional",0.70,IF(Y93="COMM_Logical",0.65,IF(Y93="COMM_Indirect",0.55,0.35))))</f>
        <v/>
      </c>
      <c r="BD93">
        <f>IF(Z93="REG_CoRegulator",0.92,IF(Z93="REG_SelfSoother",0.76,IF(Z93="REG_Distractor",0.48,0.35)))</f>
        <v/>
      </c>
      <c r="BE93">
        <f>IF(AA93="LANG_Time",0.76,IF(AA93="LANG_Service",0.70,IF(AA93="LANG_Words",0.72,IF(AA93="LANG_Touch",0.68,0.60))))</f>
        <v/>
      </c>
      <c r="BF93">
        <f>MAX(0,MIN(1,0.28*AS93+0.16*AT93+0.18*BC93+0.18*BD93+0.10*(1-AZ93)+0.10*(1-BA93)+BB93))</f>
        <v/>
      </c>
      <c r="BG93">
        <f>MAX(0,MIN(1,0.24*AU93+0.18*AS93+0.18*BC93+0.20*BD93+0.10*(1-AW93)+0.10*(1-BA93)))</f>
        <v/>
      </c>
      <c r="BH93">
        <f>MAX(0,MIN(1,0.28*AR93+0.18*AT93+0.16*AU93+0.18*(1-AV93)+0.10*(1-AW93)+0.10*BF93))</f>
        <v/>
      </c>
      <c r="BI93">
        <f>MAX(0,MIN(1,0.30*AV93+0.20*AZ93+0.20*AW93+0.15*(1-BH93)+0.15*(1-BO93)))</f>
        <v/>
      </c>
      <c r="BJ93">
        <f>MAX(0,1-(ABS(((( AX93+AY93)/2)-0.55)*1.6)))</f>
        <v/>
      </c>
      <c r="BK93">
        <f>MAX(0,MIN(1,0.28*AR93+0.18*AT93+0.16*BJ93+0.14*(1-AV93)+0.12*BQ93+0.12*BO93))</f>
        <v/>
      </c>
      <c r="BL93">
        <f>MAX(0,MIN(1,0.22*AQ93+0.18*AS93+0.18*BC93+0.18*BD93+0.08*BE93+0.10*BF93+0.06*BO93))</f>
        <v/>
      </c>
      <c r="BM93">
        <f>MAX(0,MIN(1,0.20*(1-AZ93)+0.16*(1-BA93)+0.14*(1-AW93)+0.14*AU93+0.18*BG93+0.10*BH93+0.08*BP93))</f>
        <v/>
      </c>
      <c r="BN93">
        <f>MAX(0,MIN(1,0.42*BJ93+0.33*BK93+0.15*AT93+0.10*BQ93))</f>
        <v/>
      </c>
      <c r="BO93">
        <f>MAX(0,MIN(1,0.30*BC93+0.24*BD93+0.18*AS93+0.14*(1-BI93)+0.14*AT93))</f>
        <v/>
      </c>
      <c r="BP93">
        <f>MAX(0,MIN(1,0.26*AS93+0.20*(1-BA93)+0.16*(1-AW93)+0.18*BG93+0.10*AU93+0.10+BB93))</f>
        <v/>
      </c>
      <c r="BQ93">
        <f>MAX(0,MIN(1,0.24*AT93+0.18*BF93+0.14*AR93+0.14*BO93+0.14*(1-AV93)+0.16*(1-AZ93)))</f>
        <v/>
      </c>
      <c r="BR93">
        <f>IF(BO93&gt;=0.80,"Open",IF(BO93&gt;=0.62,"Measured",IF(BO93&gt;=0.45,"Selective","Guarded")))</f>
        <v/>
      </c>
      <c r="BS93">
        <f>IF(Y93="COMM_Direct","Direct",IF(Y93="COMM_Emotional","Emotional",IF(Y93="COMM_Logical","Logical",IF(Y93="COMM_Indirect","Indirect","Avoidant"))))</f>
        <v/>
      </c>
      <c r="BT93">
        <f>IF(BG93&gt;=0.78,"Co-repair",IF(BG93&gt;=0.58,"Re-engage",IF(BG93&gt;=0.40,"Delay","Suppress")))</f>
        <v/>
      </c>
      <c r="BU93">
        <f>IF(BI93&gt;=0.70,"Retreat-risk",IF(BH93&lt;=0.40,"Rush-risk",IF(BH93&gt;=0.65,"Slow-build","Mixed")))</f>
        <v/>
      </c>
      <c r="BV93">
        <f>IF(BL93-BM93&gt;=0.15,"Stimulation-seeking",IF(BM93-BL93&gt;=0.15,"Calm-seeking","Mixed")))</f>
        <v/>
      </c>
      <c r="BW93">
        <f>IF(AND(BL93&gt;=0.72,BM93&lt;0.48),"High",IF(AND(BL93&gt;=0.60,BM93&lt;0.58),"Medium","Low"))</f>
        <v/>
      </c>
    </row>
    <row r="94" ht="162" customHeight="1" s="10">
      <c r="A94" s="2" t="inlineStr">
        <is>
          <t>Q19_C</t>
        </is>
      </c>
      <c r="B94" s="2" t="n">
        <v>19</v>
      </c>
      <c r="C94" s="2" t="n">
        <v>19</v>
      </c>
      <c r="D94" s="2" t="inlineStr">
        <is>
          <t>Core</t>
        </is>
      </c>
      <c r="E94" s="2" t="n">
        <v>1.1</v>
      </c>
      <c r="F94" s="2" t="inlineStr">
        <is>
          <t>EmotionalRegulation</t>
        </is>
      </c>
      <c r="G94" s="2" t="inlineStr">
        <is>
          <t>AttachmentSafety</t>
        </is>
      </c>
      <c r="H94" s="2" t="n"/>
      <c r="I94" s="2" t="inlineStr">
        <is>
          <t>C</t>
        </is>
      </c>
      <c r="J94" s="2" t="inlineStr">
        <is>
          <t>C</t>
        </is>
      </c>
      <c r="K94" s="2" t="inlineStr">
        <is>
          <t>I keep the conversation going but note the pattern. If it keeps feeling one-sided, I stop investing. Curiosity should go both ways.</t>
        </is>
      </c>
      <c r="L94" s="2" t="n">
        <v>7</v>
      </c>
      <c r="M94" s="2" t="n">
        <v>8</v>
      </c>
      <c r="N94" s="2" t="n">
        <v>6</v>
      </c>
      <c r="O94" s="2" t="n">
        <v>8</v>
      </c>
      <c r="P94" s="2" t="n">
        <v>6</v>
      </c>
      <c r="Q94" s="2" t="inlineStr">
        <is>
          <t>Analyzer</t>
        </is>
      </c>
      <c r="R94" s="2" t="n">
        <v>2</v>
      </c>
      <c r="S94" s="2" t="n"/>
      <c r="T94" s="2" t="n"/>
      <c r="U94" s="2" t="n">
        <v>0</v>
      </c>
      <c r="V94" s="2" t="inlineStr">
        <is>
          <t>masc:1.4;fem:0.1</t>
        </is>
      </c>
      <c r="W94" s="2" t="n">
        <v>1.4</v>
      </c>
      <c r="X94" s="2" t="n">
        <v>0.1</v>
      </c>
      <c r="Y94" s="2" t="inlineStr">
        <is>
          <t>COMM_Logical</t>
        </is>
      </c>
      <c r="Z94" s="2" t="inlineStr">
        <is>
          <t>REG_SelfSoother</t>
        </is>
      </c>
      <c r="AA94" s="2" t="inlineStr">
        <is>
          <t>LANG_Service</t>
        </is>
      </c>
      <c r="AB94" s="2" t="n"/>
      <c r="AC94" s="2" t="n"/>
      <c r="AD94" s="2" t="n"/>
      <c r="AE94" s="2" t="n">
        <v>0</v>
      </c>
      <c r="AF94" s="2" t="inlineStr">
        <is>
          <t>measured monitoring</t>
        </is>
      </c>
      <c r="AG94" s="2" t="inlineStr">
        <is>
          <t>balanced assessor</t>
        </is>
      </c>
      <c r="AH94" s="2" t="n">
        <v>0</v>
      </c>
      <c r="AI94" s="2" t="inlineStr">
        <is>
          <t>no</t>
        </is>
      </c>
      <c r="AJ94" s="2" t="inlineStr">
        <is>
          <t>no</t>
        </is>
      </c>
      <c r="AK94" s="2" t="inlineStr">
        <is>
          <t>yes</t>
        </is>
      </c>
      <c r="AL94" s="2" t="inlineStr">
        <is>
          <t>yes</t>
        </is>
      </c>
      <c r="AM94" s="2" t="n"/>
      <c r="AN94" s="2" t="n"/>
      <c r="AO94" s="2" t="n"/>
      <c r="AP94" s="2" t="inlineStr">
        <is>
          <t>v3_2026-03-19</t>
        </is>
      </c>
      <c r="AQ94">
        <f>(L94-Schema_v5!$C2)/(Schema_v5!$C3-Schema_v5!$C2)</f>
        <v/>
      </c>
      <c r="AR94">
        <f>(M94-Schema_v5!$C4)/(Schema_v5!$C5-Schema_v5!$C4)</f>
        <v/>
      </c>
      <c r="AS94">
        <f>N94/Schema_v5!$C6</f>
        <v/>
      </c>
      <c r="AT94">
        <f>O94/Schema_v5!$C7</f>
        <v/>
      </c>
      <c r="AU94">
        <f>P94/Schema_v5!$C8</f>
        <v/>
      </c>
      <c r="AV94">
        <f>IF(Schema_v5!$C9=0,0,AH94/Schema_v5!$C9)</f>
        <v/>
      </c>
      <c r="AW94">
        <f>IF(Schema_v5!$C10=0,0,AE94/Schema_v5!$C10)</f>
        <v/>
      </c>
      <c r="AX94">
        <f>(W94-Schema_v5!$C11)/(Schema_v5!$C12-Schema_v5!$C11)</f>
        <v/>
      </c>
      <c r="AY94">
        <f>(X94-Schema_v5!$C13)/(Schema_v5!$C14-Schema_v5!$C13)</f>
        <v/>
      </c>
      <c r="AZ94">
        <f>MIN(1,MAX(0,U94/Schema_v7!$C$9))</f>
        <v/>
      </c>
      <c r="BA94">
        <f>IF(AJ94="yes",0.55,0)</f>
        <v/>
      </c>
      <c r="BB94">
        <f>IF(AI94="yes",0.10,0)</f>
        <v/>
      </c>
      <c r="BC94">
        <f>IF(Y94="COMM_Direct",0.92,IF(Y94="COMM_Emotional",0.70,IF(Y94="COMM_Logical",0.65,IF(Y94="COMM_Indirect",0.55,0.35))))</f>
        <v/>
      </c>
      <c r="BD94">
        <f>IF(Z94="REG_CoRegulator",0.92,IF(Z94="REG_SelfSoother",0.76,IF(Z94="REG_Distractor",0.48,0.35)))</f>
        <v/>
      </c>
      <c r="BE94">
        <f>IF(AA94="LANG_Time",0.76,IF(AA94="LANG_Service",0.70,IF(AA94="LANG_Words",0.72,IF(AA94="LANG_Touch",0.68,0.60))))</f>
        <v/>
      </c>
      <c r="BF94">
        <f>MAX(0,MIN(1,0.28*AS94+0.16*AT94+0.18*BC94+0.18*BD94+0.10*(1-AZ94)+0.10*(1-BA94)+BB94))</f>
        <v/>
      </c>
      <c r="BG94">
        <f>MAX(0,MIN(1,0.24*AU94+0.18*AS94+0.18*BC94+0.20*BD94+0.10*(1-AW94)+0.10*(1-BA94)))</f>
        <v/>
      </c>
      <c r="BH94">
        <f>MAX(0,MIN(1,0.28*AR94+0.18*AT94+0.16*AU94+0.18*(1-AV94)+0.10*(1-AW94)+0.10*BF94))</f>
        <v/>
      </c>
      <c r="BI94">
        <f>MAX(0,MIN(1,0.30*AV94+0.20*AZ94+0.20*AW94+0.15*(1-BH94)+0.15*(1-BO94)))</f>
        <v/>
      </c>
      <c r="BJ94">
        <f>MAX(0,1-(ABS(((( AX94+AY94)/2)-0.55)*1.6)))</f>
        <v/>
      </c>
      <c r="BK94">
        <f>MAX(0,MIN(1,0.28*AR94+0.18*AT94+0.16*BJ94+0.14*(1-AV94)+0.12*BQ94+0.12*BO94))</f>
        <v/>
      </c>
      <c r="BL94">
        <f>MAX(0,MIN(1,0.22*AQ94+0.18*AS94+0.18*BC94+0.18*BD94+0.08*BE94+0.10*BF94+0.06*BO94))</f>
        <v/>
      </c>
      <c r="BM94">
        <f>MAX(0,MIN(1,0.20*(1-AZ94)+0.16*(1-BA94)+0.14*(1-AW94)+0.14*AU94+0.18*BG94+0.10*BH94+0.08*BP94))</f>
        <v/>
      </c>
      <c r="BN94">
        <f>MAX(0,MIN(1,0.42*BJ94+0.33*BK94+0.15*AT94+0.10*BQ94))</f>
        <v/>
      </c>
      <c r="BO94">
        <f>MAX(0,MIN(1,0.30*BC94+0.24*BD94+0.18*AS94+0.14*(1-BI94)+0.14*AT94))</f>
        <v/>
      </c>
      <c r="BP94">
        <f>MAX(0,MIN(1,0.26*AS94+0.20*(1-BA94)+0.16*(1-AW94)+0.18*BG94+0.10*AU94+0.10+BB94))</f>
        <v/>
      </c>
      <c r="BQ94">
        <f>MAX(0,MIN(1,0.24*AT94+0.18*BF94+0.14*AR94+0.14*BO94+0.14*(1-AV94)+0.16*(1-AZ94)))</f>
        <v/>
      </c>
      <c r="BR94">
        <f>IF(BO94&gt;=0.80,"Open",IF(BO94&gt;=0.62,"Measured",IF(BO94&gt;=0.45,"Selective","Guarded")))</f>
        <v/>
      </c>
      <c r="BS94">
        <f>IF(Y94="COMM_Direct","Direct",IF(Y94="COMM_Emotional","Emotional",IF(Y94="COMM_Logical","Logical",IF(Y94="COMM_Indirect","Indirect","Avoidant"))))</f>
        <v/>
      </c>
      <c r="BT94">
        <f>IF(BG94&gt;=0.78,"Co-repair",IF(BG94&gt;=0.58,"Re-engage",IF(BG94&gt;=0.40,"Delay","Suppress")))</f>
        <v/>
      </c>
      <c r="BU94">
        <f>IF(BI94&gt;=0.70,"Retreat-risk",IF(BH94&lt;=0.40,"Rush-risk",IF(BH94&gt;=0.65,"Slow-build","Mixed")))</f>
        <v/>
      </c>
      <c r="BV94">
        <f>IF(BL94-BM94&gt;=0.15,"Stimulation-seeking",IF(BM94-BL94&gt;=0.15,"Calm-seeking","Mixed")))</f>
        <v/>
      </c>
      <c r="BW94">
        <f>IF(AND(BL94&gt;=0.72,BM94&lt;0.48),"High",IF(AND(BL94&gt;=0.60,BM94&lt;0.58),"Medium","Low"))</f>
        <v/>
      </c>
    </row>
    <row r="95" ht="148.5" customHeight="1" s="10">
      <c r="A95" s="2" t="inlineStr">
        <is>
          <t>Q19_D</t>
        </is>
      </c>
      <c r="B95" s="2" t="n">
        <v>19</v>
      </c>
      <c r="C95" s="2" t="n">
        <v>19</v>
      </c>
      <c r="D95" s="2" t="inlineStr">
        <is>
          <t>Core</t>
        </is>
      </c>
      <c r="E95" s="2" t="n">
        <v>1.1</v>
      </c>
      <c r="F95" s="2" t="inlineStr">
        <is>
          <t>EmotionalRegulation</t>
        </is>
      </c>
      <c r="G95" s="2" t="inlineStr">
        <is>
          <t>AttachmentSafety</t>
        </is>
      </c>
      <c r="H95" s="2" t="n"/>
      <c r="I95" s="2" t="inlineStr">
        <is>
          <t>D</t>
        </is>
      </c>
      <c r="J95" s="2" t="inlineStr">
        <is>
          <t>D</t>
        </is>
      </c>
      <c r="K95" s="2" t="inlineStr">
        <is>
          <t>I assume I'm just too much or not interesting enough. So I shrink a little. Try to be easier to be around, maybe then they'll lean in.</t>
        </is>
      </c>
      <c r="L95" s="2" t="n">
        <v>4</v>
      </c>
      <c r="M95" s="2" t="n">
        <v>5</v>
      </c>
      <c r="N95" s="2" t="n">
        <v>2</v>
      </c>
      <c r="O95" s="2" t="n">
        <v>2</v>
      </c>
      <c r="P95" s="2" t="n">
        <v>2</v>
      </c>
      <c r="Q95" s="2" t="inlineStr">
        <is>
          <t>Fixer</t>
        </is>
      </c>
      <c r="R95" s="2" t="n">
        <v>5</v>
      </c>
      <c r="S95" s="2" t="n"/>
      <c r="T95" s="2" t="n"/>
      <c r="U95" s="2" t="n">
        <v>0</v>
      </c>
      <c r="V95" s="2" t="inlineStr">
        <is>
          <t>masc:-0.4;fem:2.0</t>
        </is>
      </c>
      <c r="W95" s="2" t="n">
        <v>-0.4</v>
      </c>
      <c r="X95" s="2" t="n">
        <v>2</v>
      </c>
      <c r="Y95" s="2" t="inlineStr">
        <is>
          <t>COMM_Emotional</t>
        </is>
      </c>
      <c r="Z95" s="2" t="inlineStr">
        <is>
          <t>REG_CoRegulator</t>
        </is>
      </c>
      <c r="AA95" s="2" t="inlineStr">
        <is>
          <t>LANG_Service</t>
        </is>
      </c>
      <c r="AB95" s="2" t="inlineStr">
        <is>
          <t>Commitment_Ambiguity</t>
        </is>
      </c>
      <c r="AC95" s="2" t="inlineStr">
        <is>
          <t>Commitment_Ambiguity</t>
        </is>
      </c>
      <c r="AD95" s="2" t="n"/>
      <c r="AE95" s="2" t="n">
        <v>5</v>
      </c>
      <c r="AF95" s="2" t="inlineStr">
        <is>
          <t>self-dimming</t>
        </is>
      </c>
      <c r="AG95" s="2" t="inlineStr">
        <is>
          <t>self-minimizer</t>
        </is>
      </c>
      <c r="AH95" s="2" t="n">
        <v>0</v>
      </c>
      <c r="AI95" s="2" t="inlineStr">
        <is>
          <t>yes</t>
        </is>
      </c>
      <c r="AJ95" s="2" t="inlineStr">
        <is>
          <t>no</t>
        </is>
      </c>
      <c r="AK95" s="2" t="inlineStr">
        <is>
          <t>yes</t>
        </is>
      </c>
      <c r="AL95" s="2" t="inlineStr">
        <is>
          <t>yes</t>
        </is>
      </c>
      <c r="AM95" s="2" t="n"/>
      <c r="AN95" s="2" t="n"/>
      <c r="AO95" s="2" t="n"/>
      <c r="AP95" s="2" t="inlineStr">
        <is>
          <t>v3_2026-03-19</t>
        </is>
      </c>
      <c r="AQ95">
        <f>(L95-Schema_v5!$C2)/(Schema_v5!$C3-Schema_v5!$C2)</f>
        <v/>
      </c>
      <c r="AR95">
        <f>(M95-Schema_v5!$C4)/(Schema_v5!$C5-Schema_v5!$C4)</f>
        <v/>
      </c>
      <c r="AS95">
        <f>N95/Schema_v5!$C6</f>
        <v/>
      </c>
      <c r="AT95">
        <f>O95/Schema_v5!$C7</f>
        <v/>
      </c>
      <c r="AU95">
        <f>P95/Schema_v5!$C8</f>
        <v/>
      </c>
      <c r="AV95">
        <f>IF(Schema_v5!$C9=0,0,AH95/Schema_v5!$C9)</f>
        <v/>
      </c>
      <c r="AW95">
        <f>IF(Schema_v5!$C10=0,0,AE95/Schema_v5!$C10)</f>
        <v/>
      </c>
      <c r="AX95">
        <f>(W95-Schema_v5!$C11)/(Schema_v5!$C12-Schema_v5!$C11)</f>
        <v/>
      </c>
      <c r="AY95">
        <f>(X95-Schema_v5!$C13)/(Schema_v5!$C14-Schema_v5!$C13)</f>
        <v/>
      </c>
      <c r="AZ95">
        <f>MIN(1,MAX(0,U95/Schema_v7!$C$9))</f>
        <v/>
      </c>
      <c r="BA95">
        <f>IF(AJ95="yes",0.55,0)</f>
        <v/>
      </c>
      <c r="BB95">
        <f>IF(AI95="yes",0.10,0)</f>
        <v/>
      </c>
      <c r="BC95">
        <f>IF(Y95="COMM_Direct",0.92,IF(Y95="COMM_Emotional",0.70,IF(Y95="COMM_Logical",0.65,IF(Y95="COMM_Indirect",0.55,0.35))))</f>
        <v/>
      </c>
      <c r="BD95">
        <f>IF(Z95="REG_CoRegulator",0.92,IF(Z95="REG_SelfSoother",0.76,IF(Z95="REG_Distractor",0.48,0.35)))</f>
        <v/>
      </c>
      <c r="BE95">
        <f>IF(AA95="LANG_Time",0.76,IF(AA95="LANG_Service",0.70,IF(AA95="LANG_Words",0.72,IF(AA95="LANG_Touch",0.68,0.60))))</f>
        <v/>
      </c>
      <c r="BF95">
        <f>MAX(0,MIN(1,0.28*AS95+0.16*AT95+0.18*BC95+0.18*BD95+0.10*(1-AZ95)+0.10*(1-BA95)+BB95))</f>
        <v/>
      </c>
      <c r="BG95">
        <f>MAX(0,MIN(1,0.24*AU95+0.18*AS95+0.18*BC95+0.20*BD95+0.10*(1-AW95)+0.10*(1-BA95)))</f>
        <v/>
      </c>
      <c r="BH95">
        <f>MAX(0,MIN(1,0.28*AR95+0.18*AT95+0.16*AU95+0.18*(1-AV95)+0.10*(1-AW95)+0.10*BF95))</f>
        <v/>
      </c>
      <c r="BI95">
        <f>MAX(0,MIN(1,0.30*AV95+0.20*AZ95+0.20*AW95+0.15*(1-BH95)+0.15*(1-BO95)))</f>
        <v/>
      </c>
      <c r="BJ95">
        <f>MAX(0,1-(ABS(((( AX95+AY95)/2)-0.55)*1.6)))</f>
        <v/>
      </c>
      <c r="BK95">
        <f>MAX(0,MIN(1,0.28*AR95+0.18*AT95+0.16*BJ95+0.14*(1-AV95)+0.12*BQ95+0.12*BO95))</f>
        <v/>
      </c>
      <c r="BL95">
        <f>MAX(0,MIN(1,0.22*AQ95+0.18*AS95+0.18*BC95+0.18*BD95+0.08*BE95+0.10*BF95+0.06*BO95))</f>
        <v/>
      </c>
      <c r="BM95">
        <f>MAX(0,MIN(1,0.20*(1-AZ95)+0.16*(1-BA95)+0.14*(1-AW95)+0.14*AU95+0.18*BG95+0.10*BH95+0.08*BP95))</f>
        <v/>
      </c>
      <c r="BN95">
        <f>MAX(0,MIN(1,0.42*BJ95+0.33*BK95+0.15*AT95+0.10*BQ95))</f>
        <v/>
      </c>
      <c r="BO95">
        <f>MAX(0,MIN(1,0.30*BC95+0.24*BD95+0.18*AS95+0.14*(1-BI95)+0.14*AT95))</f>
        <v/>
      </c>
      <c r="BP95">
        <f>MAX(0,MIN(1,0.26*AS95+0.20*(1-BA95)+0.16*(1-AW95)+0.18*BG95+0.10*AU95+0.10+BB95))</f>
        <v/>
      </c>
      <c r="BQ95">
        <f>MAX(0,MIN(1,0.24*AT95+0.18*BF95+0.14*AR95+0.14*BO95+0.14*(1-AV95)+0.16*(1-AZ95)))</f>
        <v/>
      </c>
      <c r="BR95">
        <f>IF(BO95&gt;=0.80,"Open",IF(BO95&gt;=0.62,"Measured",IF(BO95&gt;=0.45,"Selective","Guarded")))</f>
        <v/>
      </c>
      <c r="BS95">
        <f>IF(Y95="COMM_Direct","Direct",IF(Y95="COMM_Emotional","Emotional",IF(Y95="COMM_Logical","Logical",IF(Y95="COMM_Indirect","Indirect","Avoidant"))))</f>
        <v/>
      </c>
      <c r="BT95">
        <f>IF(BG95&gt;=0.78,"Co-repair",IF(BG95&gt;=0.58,"Re-engage",IF(BG95&gt;=0.40,"Delay","Suppress")))</f>
        <v/>
      </c>
      <c r="BU95">
        <f>IF(BI95&gt;=0.70,"Retreat-risk",IF(BH95&lt;=0.40,"Rush-risk",IF(BH95&gt;=0.65,"Slow-build","Mixed")))</f>
        <v/>
      </c>
      <c r="BV95">
        <f>IF(BL95-BM95&gt;=0.15,"Stimulation-seeking",IF(BM95-BL95&gt;=0.15,"Calm-seeking","Mixed")))</f>
        <v/>
      </c>
      <c r="BW95">
        <f>IF(AND(BL95&gt;=0.72,BM95&lt;0.48),"High",IF(AND(BL95&gt;=0.60,BM95&lt;0.58),"Medium","Low"))</f>
        <v/>
      </c>
    </row>
    <row r="96" ht="135" customHeight="1" s="10">
      <c r="A96" s="2" t="inlineStr">
        <is>
          <t>Q19_E</t>
        </is>
      </c>
      <c r="B96" s="2" t="n">
        <v>19</v>
      </c>
      <c r="C96" s="2" t="n">
        <v>19</v>
      </c>
      <c r="D96" s="2" t="inlineStr">
        <is>
          <t>Core</t>
        </is>
      </c>
      <c r="E96" s="2" t="n">
        <v>1.1</v>
      </c>
      <c r="F96" s="2" t="inlineStr">
        <is>
          <t>EmotionalRegulation</t>
        </is>
      </c>
      <c r="G96" s="2" t="inlineStr">
        <is>
          <t>AttachmentSafety</t>
        </is>
      </c>
      <c r="H96" s="2" t="n"/>
      <c r="I96" s="2" t="inlineStr">
        <is>
          <t>E</t>
        </is>
      </c>
      <c r="J96" s="2" t="inlineStr">
        <is>
          <t>E</t>
        </is>
      </c>
      <c r="K96" s="2" t="inlineStr">
        <is>
          <t>If they're not asking, I stop sharing. It's not rejection, it's just proof they're not where I am. That tells me all I need to know.</t>
        </is>
      </c>
      <c r="L96" s="2" t="n">
        <v>9</v>
      </c>
      <c r="M96" s="2" t="n">
        <v>9</v>
      </c>
      <c r="N96" s="2" t="n">
        <v>10</v>
      </c>
      <c r="O96" s="2" t="n">
        <v>10</v>
      </c>
      <c r="P96" s="2" t="n">
        <v>10</v>
      </c>
      <c r="Q96" s="2" t="inlineStr">
        <is>
          <t>Regulated Grown-Up</t>
        </is>
      </c>
      <c r="R96" s="2" t="n">
        <v>9</v>
      </c>
      <c r="S96" s="2" t="n"/>
      <c r="T96" s="2" t="n"/>
      <c r="U96" s="2" t="n">
        <v>0</v>
      </c>
      <c r="V96" s="2" t="inlineStr">
        <is>
          <t>masc:1.1;fem:0.9</t>
        </is>
      </c>
      <c r="W96" s="2" t="n">
        <v>1.1</v>
      </c>
      <c r="X96" s="2" t="n">
        <v>0.9</v>
      </c>
      <c r="Y96" s="2" t="inlineStr">
        <is>
          <t>COMM_Direct</t>
        </is>
      </c>
      <c r="Z96" s="2" t="inlineStr">
        <is>
          <t>REG_CoRegulator</t>
        </is>
      </c>
      <c r="AA96" s="2" t="inlineStr">
        <is>
          <t>LANG_Words</t>
        </is>
      </c>
      <c r="AB96" s="2" t="n"/>
      <c r="AC96" s="2" t="n"/>
      <c r="AD96" s="2" t="n"/>
      <c r="AE96" s="2" t="n">
        <v>0</v>
      </c>
      <c r="AF96" s="2" t="inlineStr">
        <is>
          <t>blunt boundary recognition</t>
        </is>
      </c>
      <c r="AG96" s="2" t="inlineStr">
        <is>
          <t>decisive assessor</t>
        </is>
      </c>
      <c r="AH96" s="2" t="n">
        <v>0</v>
      </c>
      <c r="AI96" s="2" t="inlineStr">
        <is>
          <t>no</t>
        </is>
      </c>
      <c r="AJ96" s="2" t="inlineStr">
        <is>
          <t>no</t>
        </is>
      </c>
      <c r="AK96" s="2" t="inlineStr">
        <is>
          <t>yes</t>
        </is>
      </c>
      <c r="AL96" s="2" t="inlineStr">
        <is>
          <t>yes</t>
        </is>
      </c>
      <c r="AM96" s="2" t="n"/>
      <c r="AN96" s="2" t="n"/>
      <c r="AO96" s="2" t="n"/>
      <c r="AP96" s="2" t="inlineStr">
        <is>
          <t>v3_2026-03-19</t>
        </is>
      </c>
      <c r="AQ96">
        <f>(L96-Schema_v5!$C2)/(Schema_v5!$C3-Schema_v5!$C2)</f>
        <v/>
      </c>
      <c r="AR96">
        <f>(M96-Schema_v5!$C4)/(Schema_v5!$C5-Schema_v5!$C4)</f>
        <v/>
      </c>
      <c r="AS96">
        <f>N96/Schema_v5!$C6</f>
        <v/>
      </c>
      <c r="AT96">
        <f>O96/Schema_v5!$C7</f>
        <v/>
      </c>
      <c r="AU96">
        <f>P96/Schema_v5!$C8</f>
        <v/>
      </c>
      <c r="AV96">
        <f>IF(Schema_v5!$C9=0,0,AH96/Schema_v5!$C9)</f>
        <v/>
      </c>
      <c r="AW96">
        <f>IF(Schema_v5!$C10=0,0,AE96/Schema_v5!$C10)</f>
        <v/>
      </c>
      <c r="AX96">
        <f>(W96-Schema_v5!$C11)/(Schema_v5!$C12-Schema_v5!$C11)</f>
        <v/>
      </c>
      <c r="AY96">
        <f>(X96-Schema_v5!$C13)/(Schema_v5!$C14-Schema_v5!$C13)</f>
        <v/>
      </c>
      <c r="AZ96">
        <f>MIN(1,MAX(0,U96/Schema_v7!$C$9))</f>
        <v/>
      </c>
      <c r="BA96">
        <f>IF(AJ96="yes",0.55,0)</f>
        <v/>
      </c>
      <c r="BB96">
        <f>IF(AI96="yes",0.10,0)</f>
        <v/>
      </c>
      <c r="BC96">
        <f>IF(Y96="COMM_Direct",0.92,IF(Y96="COMM_Emotional",0.70,IF(Y96="COMM_Logical",0.65,IF(Y96="COMM_Indirect",0.55,0.35))))</f>
        <v/>
      </c>
      <c r="BD96">
        <f>IF(Z96="REG_CoRegulator",0.92,IF(Z96="REG_SelfSoother",0.76,IF(Z96="REG_Distractor",0.48,0.35)))</f>
        <v/>
      </c>
      <c r="BE96">
        <f>IF(AA96="LANG_Time",0.76,IF(AA96="LANG_Service",0.70,IF(AA96="LANG_Words",0.72,IF(AA96="LANG_Touch",0.68,0.60))))</f>
        <v/>
      </c>
      <c r="BF96">
        <f>MAX(0,MIN(1,0.28*AS96+0.16*AT96+0.18*BC96+0.18*BD96+0.10*(1-AZ96)+0.10*(1-BA96)+BB96))</f>
        <v/>
      </c>
      <c r="BG96">
        <f>MAX(0,MIN(1,0.24*AU96+0.18*AS96+0.18*BC96+0.20*BD96+0.10*(1-AW96)+0.10*(1-BA96)))</f>
        <v/>
      </c>
      <c r="BH96">
        <f>MAX(0,MIN(1,0.28*AR96+0.18*AT96+0.16*AU96+0.18*(1-AV96)+0.10*(1-AW96)+0.10*BF96))</f>
        <v/>
      </c>
      <c r="BI96">
        <f>MAX(0,MIN(1,0.30*AV96+0.20*AZ96+0.20*AW96+0.15*(1-BH96)+0.15*(1-BO96)))</f>
        <v/>
      </c>
      <c r="BJ96">
        <f>MAX(0,1-(ABS(((( AX96+AY96)/2)-0.55)*1.6)))</f>
        <v/>
      </c>
      <c r="BK96">
        <f>MAX(0,MIN(1,0.28*AR96+0.18*AT96+0.16*BJ96+0.14*(1-AV96)+0.12*BQ96+0.12*BO96))</f>
        <v/>
      </c>
      <c r="BL96">
        <f>MAX(0,MIN(1,0.22*AQ96+0.18*AS96+0.18*BC96+0.18*BD96+0.08*BE96+0.10*BF96+0.06*BO96))</f>
        <v/>
      </c>
      <c r="BM96">
        <f>MAX(0,MIN(1,0.20*(1-AZ96)+0.16*(1-BA96)+0.14*(1-AW96)+0.14*AU96+0.18*BG96+0.10*BH96+0.08*BP96))</f>
        <v/>
      </c>
      <c r="BN96">
        <f>MAX(0,MIN(1,0.42*BJ96+0.33*BK96+0.15*AT96+0.10*BQ96))</f>
        <v/>
      </c>
      <c r="BO96">
        <f>MAX(0,MIN(1,0.30*BC96+0.24*BD96+0.18*AS96+0.14*(1-BI96)+0.14*AT96))</f>
        <v/>
      </c>
      <c r="BP96">
        <f>MAX(0,MIN(1,0.26*AS96+0.20*(1-BA96)+0.16*(1-AW96)+0.18*BG96+0.10*AU96+0.10+BB96))</f>
        <v/>
      </c>
      <c r="BQ96">
        <f>MAX(0,MIN(1,0.24*AT96+0.18*BF96+0.14*AR96+0.14*BO96+0.14*(1-AV96)+0.16*(1-AZ96)))</f>
        <v/>
      </c>
      <c r="BR96">
        <f>IF(BO96&gt;=0.80,"Open",IF(BO96&gt;=0.62,"Measured",IF(BO96&gt;=0.45,"Selective","Guarded")))</f>
        <v/>
      </c>
      <c r="BS96">
        <f>IF(Y96="COMM_Direct","Direct",IF(Y96="COMM_Emotional","Emotional",IF(Y96="COMM_Logical","Logical",IF(Y96="COMM_Indirect","Indirect","Avoidant"))))</f>
        <v/>
      </c>
      <c r="BT96">
        <f>IF(BG96&gt;=0.78,"Co-repair",IF(BG96&gt;=0.58,"Re-engage",IF(BG96&gt;=0.40,"Delay","Suppress")))</f>
        <v/>
      </c>
      <c r="BU96">
        <f>IF(BI96&gt;=0.70,"Retreat-risk",IF(BH96&lt;=0.40,"Rush-risk",IF(BH96&gt;=0.65,"Slow-build","Mixed")))</f>
        <v/>
      </c>
      <c r="BV96">
        <f>IF(BL96-BM96&gt;=0.15,"Stimulation-seeking",IF(BM96-BL96&gt;=0.15,"Calm-seeking","Mixed")))</f>
        <v/>
      </c>
      <c r="BW96">
        <f>IF(AND(BL96&gt;=0.72,BM96&lt;0.48),"High",IF(AND(BL96&gt;=0.60,BM96&lt;0.58),"Medium","Low"))</f>
        <v/>
      </c>
    </row>
    <row r="97" ht="135" customHeight="1" s="10">
      <c r="A97" s="2" t="inlineStr">
        <is>
          <t>Q20_A</t>
        </is>
      </c>
      <c r="B97" s="2" t="n">
        <v>20</v>
      </c>
      <c r="C97" s="2" t="n">
        <v>20</v>
      </c>
      <c r="D97" s="2" t="inlineStr">
        <is>
          <t>Core</t>
        </is>
      </c>
      <c r="E97" s="2" t="n">
        <v>1.1</v>
      </c>
      <c r="F97" s="2" t="inlineStr">
        <is>
          <t>EmotionalRegulation</t>
        </is>
      </c>
      <c r="G97" s="2" t="inlineStr">
        <is>
          <t>AttachmentSafety</t>
        </is>
      </c>
      <c r="H97" s="2" t="inlineStr">
        <is>
          <t>They say they're "just not ready for anything serious," but keep texting, flirting, and staying close. What do you do with that?</t>
        </is>
      </c>
      <c r="I97" s="2" t="inlineStr">
        <is>
          <t>A</t>
        </is>
      </c>
      <c r="J97" s="2" t="inlineStr">
        <is>
          <t>A</t>
        </is>
      </c>
      <c r="K97" s="2" t="inlineStr">
        <is>
          <t>I don't chase maybes. If you're not ready, I'm not holding space hoping you'll get there. I move different after that.</t>
        </is>
      </c>
      <c r="L97" s="2" t="n">
        <v>9</v>
      </c>
      <c r="M97" s="2" t="n">
        <v>9</v>
      </c>
      <c r="N97" s="2" t="n">
        <v>10</v>
      </c>
      <c r="O97" s="2" t="n">
        <v>10</v>
      </c>
      <c r="P97" s="2" t="n">
        <v>10</v>
      </c>
      <c r="Q97" s="2" t="inlineStr">
        <is>
          <t>Regulated Grown-Up</t>
        </is>
      </c>
      <c r="R97" s="2" t="n">
        <v>9</v>
      </c>
      <c r="S97" s="2" t="n"/>
      <c r="T97" s="2" t="n"/>
      <c r="U97" s="2" t="n">
        <v>0</v>
      </c>
      <c r="V97" s="2" t="inlineStr">
        <is>
          <t>masc:1.1;fem:0.9</t>
        </is>
      </c>
      <c r="W97" s="2" t="n">
        <v>1.1</v>
      </c>
      <c r="X97" s="2" t="n">
        <v>0.9</v>
      </c>
      <c r="Y97" s="2" t="inlineStr">
        <is>
          <t>COMM_Direct</t>
        </is>
      </c>
      <c r="Z97" s="2" t="inlineStr">
        <is>
          <t>REG_CoRegulator</t>
        </is>
      </c>
      <c r="AA97" s="2" t="inlineStr">
        <is>
          <t>LANG_Words</t>
        </is>
      </c>
      <c r="AB97" s="2" t="n"/>
      <c r="AC97" s="2" t="n"/>
      <c r="AD97" s="2" t="n"/>
      <c r="AE97" s="2" t="n">
        <v>0</v>
      </c>
      <c r="AF97" s="2" t="inlineStr">
        <is>
          <t>emotional detachment with clarity</t>
        </is>
      </c>
      <c r="AG97" s="2" t="inlineStr">
        <is>
          <t>clean exit</t>
        </is>
      </c>
      <c r="AH97" s="2" t="n">
        <v>0.2</v>
      </c>
      <c r="AI97" s="2" t="inlineStr">
        <is>
          <t>no</t>
        </is>
      </c>
      <c r="AJ97" s="2" t="inlineStr">
        <is>
          <t>no</t>
        </is>
      </c>
      <c r="AK97" s="2" t="inlineStr">
        <is>
          <t>yes</t>
        </is>
      </c>
      <c r="AL97" s="2" t="inlineStr">
        <is>
          <t>yes</t>
        </is>
      </c>
      <c r="AM97" s="2" t="n"/>
      <c r="AN97" s="2" t="n"/>
      <c r="AO97" s="2" t="n"/>
      <c r="AP97" s="2" t="inlineStr">
        <is>
          <t>v3_2026-03-19</t>
        </is>
      </c>
      <c r="AQ97">
        <f>(L97-Schema_v5!$C2)/(Schema_v5!$C3-Schema_v5!$C2)</f>
        <v/>
      </c>
      <c r="AR97">
        <f>(M97-Schema_v5!$C4)/(Schema_v5!$C5-Schema_v5!$C4)</f>
        <v/>
      </c>
      <c r="AS97">
        <f>N97/Schema_v5!$C6</f>
        <v/>
      </c>
      <c r="AT97">
        <f>O97/Schema_v5!$C7</f>
        <v/>
      </c>
      <c r="AU97">
        <f>P97/Schema_v5!$C8</f>
        <v/>
      </c>
      <c r="AV97">
        <f>IF(Schema_v5!$C9=0,0,AH97/Schema_v5!$C9)</f>
        <v/>
      </c>
      <c r="AW97">
        <f>IF(Schema_v5!$C10=0,0,AE97/Schema_v5!$C10)</f>
        <v/>
      </c>
      <c r="AX97">
        <f>(W97-Schema_v5!$C11)/(Schema_v5!$C12-Schema_v5!$C11)</f>
        <v/>
      </c>
      <c r="AY97">
        <f>(X97-Schema_v5!$C13)/(Schema_v5!$C14-Schema_v5!$C13)</f>
        <v/>
      </c>
      <c r="AZ97">
        <f>MIN(1,MAX(0,U97/Schema_v7!$C$9))</f>
        <v/>
      </c>
      <c r="BA97">
        <f>IF(AJ97="yes",0.55,0)</f>
        <v/>
      </c>
      <c r="BB97">
        <f>IF(AI97="yes",0.10,0)</f>
        <v/>
      </c>
      <c r="BC97">
        <f>IF(Y97="COMM_Direct",0.92,IF(Y97="COMM_Emotional",0.70,IF(Y97="COMM_Logical",0.65,IF(Y97="COMM_Indirect",0.55,0.35))))</f>
        <v/>
      </c>
      <c r="BD97">
        <f>IF(Z97="REG_CoRegulator",0.92,IF(Z97="REG_SelfSoother",0.76,IF(Z97="REG_Distractor",0.48,0.35)))</f>
        <v/>
      </c>
      <c r="BE97">
        <f>IF(AA97="LANG_Time",0.76,IF(AA97="LANG_Service",0.70,IF(AA97="LANG_Words",0.72,IF(AA97="LANG_Touch",0.68,0.60))))</f>
        <v/>
      </c>
      <c r="BF97">
        <f>MAX(0,MIN(1,0.28*AS97+0.16*AT97+0.18*BC97+0.18*BD97+0.10*(1-AZ97)+0.10*(1-BA97)+BB97))</f>
        <v/>
      </c>
      <c r="BG97">
        <f>MAX(0,MIN(1,0.24*AU97+0.18*AS97+0.18*BC97+0.20*BD97+0.10*(1-AW97)+0.10*(1-BA97)))</f>
        <v/>
      </c>
      <c r="BH97">
        <f>MAX(0,MIN(1,0.28*AR97+0.18*AT97+0.16*AU97+0.18*(1-AV97)+0.10*(1-AW97)+0.10*BF97))</f>
        <v/>
      </c>
      <c r="BI97">
        <f>MAX(0,MIN(1,0.30*AV97+0.20*AZ97+0.20*AW97+0.15*(1-BH97)+0.15*(1-BO97)))</f>
        <v/>
      </c>
      <c r="BJ97">
        <f>MAX(0,1-(ABS(((( AX97+AY97)/2)-0.55)*1.6)))</f>
        <v/>
      </c>
      <c r="BK97">
        <f>MAX(0,MIN(1,0.28*AR97+0.18*AT97+0.16*BJ97+0.14*(1-AV97)+0.12*BQ97+0.12*BO97))</f>
        <v/>
      </c>
      <c r="BL97">
        <f>MAX(0,MIN(1,0.22*AQ97+0.18*AS97+0.18*BC97+0.18*BD97+0.08*BE97+0.10*BF97+0.06*BO97))</f>
        <v/>
      </c>
      <c r="BM97">
        <f>MAX(0,MIN(1,0.20*(1-AZ97)+0.16*(1-BA97)+0.14*(1-AW97)+0.14*AU97+0.18*BG97+0.10*BH97+0.08*BP97))</f>
        <v/>
      </c>
      <c r="BN97">
        <f>MAX(0,MIN(1,0.42*BJ97+0.33*BK97+0.15*AT97+0.10*BQ97))</f>
        <v/>
      </c>
      <c r="BO97">
        <f>MAX(0,MIN(1,0.30*BC97+0.24*BD97+0.18*AS97+0.14*(1-BI97)+0.14*AT97))</f>
        <v/>
      </c>
      <c r="BP97">
        <f>MAX(0,MIN(1,0.26*AS97+0.20*(1-BA97)+0.16*(1-AW97)+0.18*BG97+0.10*AU97+0.10+BB97))</f>
        <v/>
      </c>
      <c r="BQ97">
        <f>MAX(0,MIN(1,0.24*AT97+0.18*BF97+0.14*AR97+0.14*BO97+0.14*(1-AV97)+0.16*(1-AZ97)))</f>
        <v/>
      </c>
      <c r="BR97">
        <f>IF(BO97&gt;=0.80,"Open",IF(BO97&gt;=0.62,"Measured",IF(BO97&gt;=0.45,"Selective","Guarded")))</f>
        <v/>
      </c>
      <c r="BS97">
        <f>IF(Y97="COMM_Direct","Direct",IF(Y97="COMM_Emotional","Emotional",IF(Y97="COMM_Logical","Logical",IF(Y97="COMM_Indirect","Indirect","Avoidant"))))</f>
        <v/>
      </c>
      <c r="BT97">
        <f>IF(BG97&gt;=0.78,"Co-repair",IF(BG97&gt;=0.58,"Re-engage",IF(BG97&gt;=0.40,"Delay","Suppress")))</f>
        <v/>
      </c>
      <c r="BU97">
        <f>IF(BI97&gt;=0.70,"Retreat-risk",IF(BH97&lt;=0.40,"Rush-risk",IF(BH97&gt;=0.65,"Slow-build","Mixed")))</f>
        <v/>
      </c>
      <c r="BV97">
        <f>IF(BL97-BM97&gt;=0.15,"Stimulation-seeking",IF(BM97-BL97&gt;=0.15,"Calm-seeking","Mixed")))</f>
        <v/>
      </c>
      <c r="BW97">
        <f>IF(AND(BL97&gt;=0.72,BM97&lt;0.48),"High",IF(AND(BL97&gt;=0.60,BM97&lt;0.58),"Medium","Low"))</f>
        <v/>
      </c>
    </row>
    <row r="98" ht="135" customHeight="1" s="10">
      <c r="A98" s="2" t="inlineStr">
        <is>
          <t>Q20_B</t>
        </is>
      </c>
      <c r="B98" s="2" t="n">
        <v>20</v>
      </c>
      <c r="C98" s="2" t="n">
        <v>20</v>
      </c>
      <c r="D98" s="2" t="inlineStr">
        <is>
          <t>Core</t>
        </is>
      </c>
      <c r="E98" s="2" t="n">
        <v>1.1</v>
      </c>
      <c r="F98" s="2" t="inlineStr">
        <is>
          <t>EmotionalRegulation</t>
        </is>
      </c>
      <c r="G98" s="2" t="inlineStr">
        <is>
          <t>AttachmentSafety</t>
        </is>
      </c>
      <c r="H98" s="2" t="n"/>
      <c r="I98" s="2" t="inlineStr">
        <is>
          <t>B</t>
        </is>
      </c>
      <c r="J98" s="2" t="inlineStr">
        <is>
          <t>B</t>
        </is>
      </c>
      <c r="K98" s="2" t="inlineStr">
        <is>
          <t>I downplay what I want. I'd rather keep them close than scare them off. I tell myself maybe they'll change their mind.</t>
        </is>
      </c>
      <c r="L98" s="2" t="n">
        <v>4</v>
      </c>
      <c r="M98" s="2" t="n">
        <v>5</v>
      </c>
      <c r="N98" s="2" t="n">
        <v>0</v>
      </c>
      <c r="O98" s="2" t="n">
        <v>2</v>
      </c>
      <c r="P98" s="2" t="n">
        <v>0</v>
      </c>
      <c r="Q98" s="2" t="inlineStr">
        <is>
          <t>Phantom Seeker</t>
        </is>
      </c>
      <c r="R98" s="2" t="n">
        <v>10</v>
      </c>
      <c r="S98" s="2" t="n"/>
      <c r="T98" s="2" t="n"/>
      <c r="U98" s="2" t="n">
        <v>0</v>
      </c>
      <c r="V98" s="2" t="inlineStr">
        <is>
          <t>masc:-0.2;fem:1.5</t>
        </is>
      </c>
      <c r="W98" s="2" t="n">
        <v>-0.2</v>
      </c>
      <c r="X98" s="2" t="n">
        <v>1.5</v>
      </c>
      <c r="Y98" s="2" t="inlineStr">
        <is>
          <t>COMM_Emotional</t>
        </is>
      </c>
      <c r="Z98" s="2" t="inlineStr">
        <is>
          <t>REG_SelfSoother</t>
        </is>
      </c>
      <c r="AA98" s="2" t="inlineStr">
        <is>
          <t>LANG_Touch</t>
        </is>
      </c>
      <c r="AB98" s="2" t="inlineStr">
        <is>
          <t>Commitment_Ambiguity</t>
        </is>
      </c>
      <c r="AC98" s="2" t="inlineStr">
        <is>
          <t>Commitment_Ambiguity</t>
        </is>
      </c>
      <c r="AD98" s="2" t="n"/>
      <c r="AE98" s="2" t="n">
        <v>5</v>
      </c>
      <c r="AF98" s="2" t="inlineStr">
        <is>
          <t>self-silencing attachment</t>
        </is>
      </c>
      <c r="AG98" s="2" t="inlineStr">
        <is>
          <t>avoidant hope</t>
        </is>
      </c>
      <c r="AH98" s="2" t="n">
        <v>0.6</v>
      </c>
      <c r="AI98" s="2" t="inlineStr">
        <is>
          <t>yes</t>
        </is>
      </c>
      <c r="AJ98" s="2" t="inlineStr">
        <is>
          <t>no</t>
        </is>
      </c>
      <c r="AK98" s="2" t="inlineStr">
        <is>
          <t>yes</t>
        </is>
      </c>
      <c r="AL98" s="2" t="inlineStr">
        <is>
          <t>yes</t>
        </is>
      </c>
      <c r="AM98" s="2" t="n"/>
      <c r="AN98" s="2" t="n"/>
      <c r="AO98" s="2" t="n"/>
      <c r="AP98" s="2" t="inlineStr">
        <is>
          <t>v3_2026-03-19</t>
        </is>
      </c>
      <c r="AQ98">
        <f>(L98-Schema_v5!$C2)/(Schema_v5!$C3-Schema_v5!$C2)</f>
        <v/>
      </c>
      <c r="AR98">
        <f>(M98-Schema_v5!$C4)/(Schema_v5!$C5-Schema_v5!$C4)</f>
        <v/>
      </c>
      <c r="AS98">
        <f>N98/Schema_v5!$C6</f>
        <v/>
      </c>
      <c r="AT98">
        <f>O98/Schema_v5!$C7</f>
        <v/>
      </c>
      <c r="AU98">
        <f>P98/Schema_v5!$C8</f>
        <v/>
      </c>
      <c r="AV98">
        <f>IF(Schema_v5!$C9=0,0,AH98/Schema_v5!$C9)</f>
        <v/>
      </c>
      <c r="AW98">
        <f>IF(Schema_v5!$C10=0,0,AE98/Schema_v5!$C10)</f>
        <v/>
      </c>
      <c r="AX98">
        <f>(W98-Schema_v5!$C11)/(Schema_v5!$C12-Schema_v5!$C11)</f>
        <v/>
      </c>
      <c r="AY98">
        <f>(X98-Schema_v5!$C13)/(Schema_v5!$C14-Schema_v5!$C13)</f>
        <v/>
      </c>
      <c r="AZ98">
        <f>MIN(1,MAX(0,U98/Schema_v7!$C$9))</f>
        <v/>
      </c>
      <c r="BA98">
        <f>IF(AJ98="yes",0.55,0)</f>
        <v/>
      </c>
      <c r="BB98">
        <f>IF(AI98="yes",0.10,0)</f>
        <v/>
      </c>
      <c r="BC98">
        <f>IF(Y98="COMM_Direct",0.92,IF(Y98="COMM_Emotional",0.70,IF(Y98="COMM_Logical",0.65,IF(Y98="COMM_Indirect",0.55,0.35))))</f>
        <v/>
      </c>
      <c r="BD98">
        <f>IF(Z98="REG_CoRegulator",0.92,IF(Z98="REG_SelfSoother",0.76,IF(Z98="REG_Distractor",0.48,0.35)))</f>
        <v/>
      </c>
      <c r="BE98">
        <f>IF(AA98="LANG_Time",0.76,IF(AA98="LANG_Service",0.70,IF(AA98="LANG_Words",0.72,IF(AA98="LANG_Touch",0.68,0.60))))</f>
        <v/>
      </c>
      <c r="BF98">
        <f>MAX(0,MIN(1,0.28*AS98+0.16*AT98+0.18*BC98+0.18*BD98+0.10*(1-AZ98)+0.10*(1-BA98)+BB98))</f>
        <v/>
      </c>
      <c r="BG98">
        <f>MAX(0,MIN(1,0.24*AU98+0.18*AS98+0.18*BC98+0.20*BD98+0.10*(1-AW98)+0.10*(1-BA98)))</f>
        <v/>
      </c>
      <c r="BH98">
        <f>MAX(0,MIN(1,0.28*AR98+0.18*AT98+0.16*AU98+0.18*(1-AV98)+0.10*(1-AW98)+0.10*BF98))</f>
        <v/>
      </c>
      <c r="BI98">
        <f>MAX(0,MIN(1,0.30*AV98+0.20*AZ98+0.20*AW98+0.15*(1-BH98)+0.15*(1-BO98)))</f>
        <v/>
      </c>
      <c r="BJ98">
        <f>MAX(0,1-(ABS(((( AX98+AY98)/2)-0.55)*1.6)))</f>
        <v/>
      </c>
      <c r="BK98">
        <f>MAX(0,MIN(1,0.28*AR98+0.18*AT98+0.16*BJ98+0.14*(1-AV98)+0.12*BQ98+0.12*BO98))</f>
        <v/>
      </c>
      <c r="BL98">
        <f>MAX(0,MIN(1,0.22*AQ98+0.18*AS98+0.18*BC98+0.18*BD98+0.08*BE98+0.10*BF98+0.06*BO98))</f>
        <v/>
      </c>
      <c r="BM98">
        <f>MAX(0,MIN(1,0.20*(1-AZ98)+0.16*(1-BA98)+0.14*(1-AW98)+0.14*AU98+0.18*BG98+0.10*BH98+0.08*BP98))</f>
        <v/>
      </c>
      <c r="BN98">
        <f>MAX(0,MIN(1,0.42*BJ98+0.33*BK98+0.15*AT98+0.10*BQ98))</f>
        <v/>
      </c>
      <c r="BO98">
        <f>MAX(0,MIN(1,0.30*BC98+0.24*BD98+0.18*AS98+0.14*(1-BI98)+0.14*AT98))</f>
        <v/>
      </c>
      <c r="BP98">
        <f>MAX(0,MIN(1,0.26*AS98+0.20*(1-BA98)+0.16*(1-AW98)+0.18*BG98+0.10*AU98+0.10+BB98))</f>
        <v/>
      </c>
      <c r="BQ98">
        <f>MAX(0,MIN(1,0.24*AT98+0.18*BF98+0.14*AR98+0.14*BO98+0.14*(1-AV98)+0.16*(1-AZ98)))</f>
        <v/>
      </c>
      <c r="BR98">
        <f>IF(BO98&gt;=0.80,"Open",IF(BO98&gt;=0.62,"Measured",IF(BO98&gt;=0.45,"Selective","Guarded")))</f>
        <v/>
      </c>
      <c r="BS98">
        <f>IF(Y98="COMM_Direct","Direct",IF(Y98="COMM_Emotional","Emotional",IF(Y98="COMM_Logical","Logical",IF(Y98="COMM_Indirect","Indirect","Avoidant"))))</f>
        <v/>
      </c>
      <c r="BT98">
        <f>IF(BG98&gt;=0.78,"Co-repair",IF(BG98&gt;=0.58,"Re-engage",IF(BG98&gt;=0.40,"Delay","Suppress")))</f>
        <v/>
      </c>
      <c r="BU98">
        <f>IF(BI98&gt;=0.70,"Retreat-risk",IF(BH98&lt;=0.40,"Rush-risk",IF(BH98&gt;=0.65,"Slow-build","Mixed")))</f>
        <v/>
      </c>
      <c r="BV98">
        <f>IF(BL98-BM98&gt;=0.15,"Stimulation-seeking",IF(BM98-BL98&gt;=0.15,"Calm-seeking","Mixed")))</f>
        <v/>
      </c>
      <c r="BW98">
        <f>IF(AND(BL98&gt;=0.72,BM98&lt;0.48),"High",IF(AND(BL98&gt;=0.60,BM98&lt;0.58),"Medium","Low"))</f>
        <v/>
      </c>
    </row>
    <row r="99" ht="148.5" customHeight="1" s="10">
      <c r="A99" s="2" t="inlineStr">
        <is>
          <t>Q20_C</t>
        </is>
      </c>
      <c r="B99" s="2" t="n">
        <v>20</v>
      </c>
      <c r="C99" s="2" t="n">
        <v>20</v>
      </c>
      <c r="D99" s="2" t="inlineStr">
        <is>
          <t>Core</t>
        </is>
      </c>
      <c r="E99" s="2" t="n">
        <v>1.1</v>
      </c>
      <c r="F99" s="2" t="inlineStr">
        <is>
          <t>EmotionalRegulation</t>
        </is>
      </c>
      <c r="G99" s="2" t="inlineStr">
        <is>
          <t>AttachmentSafety</t>
        </is>
      </c>
      <c r="H99" s="2" t="n"/>
      <c r="I99" s="2" t="inlineStr">
        <is>
          <t>C</t>
        </is>
      </c>
      <c r="J99" s="2" t="inlineStr">
        <is>
          <t>C</t>
        </is>
      </c>
      <c r="K99" s="2" t="inlineStr">
        <is>
          <t>I lean into the attention while it's there, but I'm already preparing for them to dip. I know how this story ends, I just don't rush it.</t>
        </is>
      </c>
      <c r="L99" s="2" t="n">
        <v>6</v>
      </c>
      <c r="M99" s="2" t="n">
        <v>7</v>
      </c>
      <c r="N99" s="2" t="n">
        <v>2</v>
      </c>
      <c r="O99" s="2" t="n">
        <v>2</v>
      </c>
      <c r="P99" s="2" t="n">
        <v>0</v>
      </c>
      <c r="Q99" s="2" t="inlineStr">
        <is>
          <t>Icebox</t>
        </is>
      </c>
      <c r="R99" s="2" t="n">
        <v>1</v>
      </c>
      <c r="S99" s="2" t="n"/>
      <c r="T99" s="2" t="n"/>
      <c r="U99" s="2" t="n">
        <v>0</v>
      </c>
      <c r="V99" s="2" t="inlineStr">
        <is>
          <t>masc:1.8;fem:-1.6</t>
        </is>
      </c>
      <c r="W99" s="2" t="n">
        <v>1.8</v>
      </c>
      <c r="X99" s="2" t="n">
        <v>-1.6</v>
      </c>
      <c r="Y99" s="2" t="inlineStr">
        <is>
          <t>COMM_Avoidant</t>
        </is>
      </c>
      <c r="Z99" s="2" t="inlineStr">
        <is>
          <t>REG_Suppressor</t>
        </is>
      </c>
      <c r="AA99" s="2" t="inlineStr">
        <is>
          <t>LANG_Time</t>
        </is>
      </c>
      <c r="AB99" s="2" t="n"/>
      <c r="AC99" s="2" t="n"/>
      <c r="AD99" s="2" t="n"/>
      <c r="AE99" s="2" t="n">
        <v>0</v>
      </c>
      <c r="AF99" s="2" t="inlineStr">
        <is>
          <t>detached indulgence</t>
        </is>
      </c>
      <c r="AG99" s="2" t="inlineStr">
        <is>
          <t>slow detacher</t>
        </is>
      </c>
      <c r="AH99" s="2" t="n">
        <v>1.2</v>
      </c>
      <c r="AI99" s="2" t="inlineStr">
        <is>
          <t>no</t>
        </is>
      </c>
      <c r="AJ99" s="2" t="inlineStr">
        <is>
          <t>no</t>
        </is>
      </c>
      <c r="AK99" s="2" t="inlineStr">
        <is>
          <t>yes</t>
        </is>
      </c>
      <c r="AL99" s="2" t="inlineStr">
        <is>
          <t>yes</t>
        </is>
      </c>
      <c r="AM99" s="2" t="n"/>
      <c r="AN99" s="2" t="n"/>
      <c r="AO99" s="2" t="n"/>
      <c r="AP99" s="2" t="inlineStr">
        <is>
          <t>v3_2026-03-19</t>
        </is>
      </c>
      <c r="AQ99">
        <f>(L99-Schema_v5!$C2)/(Schema_v5!$C3-Schema_v5!$C2)</f>
        <v/>
      </c>
      <c r="AR99">
        <f>(M99-Schema_v5!$C4)/(Schema_v5!$C5-Schema_v5!$C4)</f>
        <v/>
      </c>
      <c r="AS99">
        <f>N99/Schema_v5!$C6</f>
        <v/>
      </c>
      <c r="AT99">
        <f>O99/Schema_v5!$C7</f>
        <v/>
      </c>
      <c r="AU99">
        <f>P99/Schema_v5!$C8</f>
        <v/>
      </c>
      <c r="AV99">
        <f>IF(Schema_v5!$C9=0,0,AH99/Schema_v5!$C9)</f>
        <v/>
      </c>
      <c r="AW99">
        <f>IF(Schema_v5!$C10=0,0,AE99/Schema_v5!$C10)</f>
        <v/>
      </c>
      <c r="AX99">
        <f>(W99-Schema_v5!$C11)/(Schema_v5!$C12-Schema_v5!$C11)</f>
        <v/>
      </c>
      <c r="AY99">
        <f>(X99-Schema_v5!$C13)/(Schema_v5!$C14-Schema_v5!$C13)</f>
        <v/>
      </c>
      <c r="AZ99">
        <f>MIN(1,MAX(0,U99/Schema_v7!$C$9))</f>
        <v/>
      </c>
      <c r="BA99">
        <f>IF(AJ99="yes",0.55,0)</f>
        <v/>
      </c>
      <c r="BB99">
        <f>IF(AI99="yes",0.10,0)</f>
        <v/>
      </c>
      <c r="BC99">
        <f>IF(Y99="COMM_Direct",0.92,IF(Y99="COMM_Emotional",0.70,IF(Y99="COMM_Logical",0.65,IF(Y99="COMM_Indirect",0.55,0.35))))</f>
        <v/>
      </c>
      <c r="BD99">
        <f>IF(Z99="REG_CoRegulator",0.92,IF(Z99="REG_SelfSoother",0.76,IF(Z99="REG_Distractor",0.48,0.35)))</f>
        <v/>
      </c>
      <c r="BE99">
        <f>IF(AA99="LANG_Time",0.76,IF(AA99="LANG_Service",0.70,IF(AA99="LANG_Words",0.72,IF(AA99="LANG_Touch",0.68,0.60))))</f>
        <v/>
      </c>
      <c r="BF99">
        <f>MAX(0,MIN(1,0.28*AS99+0.16*AT99+0.18*BC99+0.18*BD99+0.10*(1-AZ99)+0.10*(1-BA99)+BB99))</f>
        <v/>
      </c>
      <c r="BG99">
        <f>MAX(0,MIN(1,0.24*AU99+0.18*AS99+0.18*BC99+0.20*BD99+0.10*(1-AW99)+0.10*(1-BA99)))</f>
        <v/>
      </c>
      <c r="BH99">
        <f>MAX(0,MIN(1,0.28*AR99+0.18*AT99+0.16*AU99+0.18*(1-AV99)+0.10*(1-AW99)+0.10*BF99))</f>
        <v/>
      </c>
      <c r="BI99">
        <f>MAX(0,MIN(1,0.30*AV99+0.20*AZ99+0.20*AW99+0.15*(1-BH99)+0.15*(1-BO99)))</f>
        <v/>
      </c>
      <c r="BJ99">
        <f>MAX(0,1-(ABS(((( AX99+AY99)/2)-0.55)*1.6)))</f>
        <v/>
      </c>
      <c r="BK99">
        <f>MAX(0,MIN(1,0.28*AR99+0.18*AT99+0.16*BJ99+0.14*(1-AV99)+0.12*BQ99+0.12*BO99))</f>
        <v/>
      </c>
      <c r="BL99">
        <f>MAX(0,MIN(1,0.22*AQ99+0.18*AS99+0.18*BC99+0.18*BD99+0.08*BE99+0.10*BF99+0.06*BO99))</f>
        <v/>
      </c>
      <c r="BM99">
        <f>MAX(0,MIN(1,0.20*(1-AZ99)+0.16*(1-BA99)+0.14*(1-AW99)+0.14*AU99+0.18*BG99+0.10*BH99+0.08*BP99))</f>
        <v/>
      </c>
      <c r="BN99">
        <f>MAX(0,MIN(1,0.42*BJ99+0.33*BK99+0.15*AT99+0.10*BQ99))</f>
        <v/>
      </c>
      <c r="BO99">
        <f>MAX(0,MIN(1,0.30*BC99+0.24*BD99+0.18*AS99+0.14*(1-BI99)+0.14*AT99))</f>
        <v/>
      </c>
      <c r="BP99">
        <f>MAX(0,MIN(1,0.26*AS99+0.20*(1-BA99)+0.16*(1-AW99)+0.18*BG99+0.10*AU99+0.10+BB99))</f>
        <v/>
      </c>
      <c r="BQ99">
        <f>MAX(0,MIN(1,0.24*AT99+0.18*BF99+0.14*AR99+0.14*BO99+0.14*(1-AV99)+0.16*(1-AZ99)))</f>
        <v/>
      </c>
      <c r="BR99">
        <f>IF(BO99&gt;=0.80,"Open",IF(BO99&gt;=0.62,"Measured",IF(BO99&gt;=0.45,"Selective","Guarded")))</f>
        <v/>
      </c>
      <c r="BS99">
        <f>IF(Y99="COMM_Direct","Direct",IF(Y99="COMM_Emotional","Emotional",IF(Y99="COMM_Logical","Logical",IF(Y99="COMM_Indirect","Indirect","Avoidant"))))</f>
        <v/>
      </c>
      <c r="BT99">
        <f>IF(BG99&gt;=0.78,"Co-repair",IF(BG99&gt;=0.58,"Re-engage",IF(BG99&gt;=0.40,"Delay","Suppress")))</f>
        <v/>
      </c>
      <c r="BU99">
        <f>IF(BI99&gt;=0.70,"Retreat-risk",IF(BH99&lt;=0.40,"Rush-risk",IF(BH99&gt;=0.65,"Slow-build","Mixed")))</f>
        <v/>
      </c>
      <c r="BV99">
        <f>IF(BL99-BM99&gt;=0.15,"Stimulation-seeking",IF(BM99-BL99&gt;=0.15,"Calm-seeking","Mixed")))</f>
        <v/>
      </c>
      <c r="BW99">
        <f>IF(AND(BL99&gt;=0.72,BM99&lt;0.48),"High",IF(AND(BL99&gt;=0.60,BM99&lt;0.58),"Medium","Low"))</f>
        <v/>
      </c>
    </row>
    <row r="100" ht="148.5" customHeight="1" s="10">
      <c r="A100" s="2" t="inlineStr">
        <is>
          <t>Q20_D</t>
        </is>
      </c>
      <c r="B100" s="2" t="n">
        <v>20</v>
      </c>
      <c r="C100" s="2" t="n">
        <v>20</v>
      </c>
      <c r="D100" s="2" t="inlineStr">
        <is>
          <t>Core</t>
        </is>
      </c>
      <c r="E100" s="2" t="n">
        <v>1.1</v>
      </c>
      <c r="F100" s="2" t="inlineStr">
        <is>
          <t>EmotionalRegulation</t>
        </is>
      </c>
      <c r="G100" s="2" t="inlineStr">
        <is>
          <t>AttachmentSafety</t>
        </is>
      </c>
      <c r="H100" s="2" t="n"/>
      <c r="I100" s="2" t="inlineStr">
        <is>
          <t>D</t>
        </is>
      </c>
      <c r="J100" s="2" t="inlineStr">
        <is>
          <t>D</t>
        </is>
      </c>
      <c r="K100" s="2" t="inlineStr">
        <is>
          <t>I start fixing it in my head. Maybe if I give it time, make things feel safer, they'll realize what we have. It's not manipulation, it's belief.</t>
        </is>
      </c>
      <c r="L100" s="2" t="n">
        <v>5</v>
      </c>
      <c r="M100" s="2" t="n">
        <v>6</v>
      </c>
      <c r="N100" s="2" t="n">
        <v>4</v>
      </c>
      <c r="O100" s="2" t="n">
        <v>4</v>
      </c>
      <c r="P100" s="2" t="n">
        <v>4</v>
      </c>
      <c r="Q100" s="2" t="inlineStr">
        <is>
          <t>Fixer</t>
        </is>
      </c>
      <c r="R100" s="2" t="n">
        <v>5</v>
      </c>
      <c r="S100" s="2" t="n"/>
      <c r="T100" s="2" t="n"/>
      <c r="U100" s="2" t="n">
        <v>0</v>
      </c>
      <c r="V100" s="2" t="inlineStr">
        <is>
          <t>masc:-0.4;fem:2.0</t>
        </is>
      </c>
      <c r="W100" s="2" t="n">
        <v>-0.4</v>
      </c>
      <c r="X100" s="2" t="n">
        <v>2</v>
      </c>
      <c r="Y100" s="2" t="inlineStr">
        <is>
          <t>COMM_Emotional</t>
        </is>
      </c>
      <c r="Z100" s="2" t="inlineStr">
        <is>
          <t>REG_CoRegulator</t>
        </is>
      </c>
      <c r="AA100" s="2" t="inlineStr">
        <is>
          <t>LANG_Service</t>
        </is>
      </c>
      <c r="AB100" s="2" t="inlineStr">
        <is>
          <t>Commitment_Ambiguity</t>
        </is>
      </c>
      <c r="AC100" s="2" t="inlineStr">
        <is>
          <t>Commitment_Ambiguity</t>
        </is>
      </c>
      <c r="AD100" s="2" t="n"/>
      <c r="AE100" s="2" t="n">
        <v>5</v>
      </c>
      <c r="AF100" s="2" t="inlineStr">
        <is>
          <t>subtle persuasion loop</t>
        </is>
      </c>
      <c r="AG100" s="2" t="inlineStr">
        <is>
          <t>hopeful fixer</t>
        </is>
      </c>
      <c r="AH100" s="2" t="n">
        <v>0.2</v>
      </c>
      <c r="AI100" s="2" t="inlineStr">
        <is>
          <t>yes</t>
        </is>
      </c>
      <c r="AJ100" s="2" t="inlineStr">
        <is>
          <t>no</t>
        </is>
      </c>
      <c r="AK100" s="2" t="inlineStr">
        <is>
          <t>yes</t>
        </is>
      </c>
      <c r="AL100" s="2" t="inlineStr">
        <is>
          <t>yes</t>
        </is>
      </c>
      <c r="AM100" s="2" t="n"/>
      <c r="AN100" s="2" t="n"/>
      <c r="AO100" s="2" t="n"/>
      <c r="AP100" s="2" t="inlineStr">
        <is>
          <t>v3_2026-03-19</t>
        </is>
      </c>
      <c r="AQ100">
        <f>(L100-Schema_v5!$C2)/(Schema_v5!$C3-Schema_v5!$C2)</f>
        <v/>
      </c>
      <c r="AR100">
        <f>(M100-Schema_v5!$C4)/(Schema_v5!$C5-Schema_v5!$C4)</f>
        <v/>
      </c>
      <c r="AS100">
        <f>N100/Schema_v5!$C6</f>
        <v/>
      </c>
      <c r="AT100">
        <f>O100/Schema_v5!$C7</f>
        <v/>
      </c>
      <c r="AU100">
        <f>P100/Schema_v5!$C8</f>
        <v/>
      </c>
      <c r="AV100">
        <f>IF(Schema_v5!$C9=0,0,AH100/Schema_v5!$C9)</f>
        <v/>
      </c>
      <c r="AW100">
        <f>IF(Schema_v5!$C10=0,0,AE100/Schema_v5!$C10)</f>
        <v/>
      </c>
      <c r="AX100">
        <f>(W100-Schema_v5!$C11)/(Schema_v5!$C12-Schema_v5!$C11)</f>
        <v/>
      </c>
      <c r="AY100">
        <f>(X100-Schema_v5!$C13)/(Schema_v5!$C14-Schema_v5!$C13)</f>
        <v/>
      </c>
      <c r="AZ100">
        <f>MIN(1,MAX(0,U100/Schema_v7!$C$9))</f>
        <v/>
      </c>
      <c r="BA100">
        <f>IF(AJ100="yes",0.55,0)</f>
        <v/>
      </c>
      <c r="BB100">
        <f>IF(AI100="yes",0.10,0)</f>
        <v/>
      </c>
      <c r="BC100">
        <f>IF(Y100="COMM_Direct",0.92,IF(Y100="COMM_Emotional",0.70,IF(Y100="COMM_Logical",0.65,IF(Y100="COMM_Indirect",0.55,0.35))))</f>
        <v/>
      </c>
      <c r="BD100">
        <f>IF(Z100="REG_CoRegulator",0.92,IF(Z100="REG_SelfSoother",0.76,IF(Z100="REG_Distractor",0.48,0.35)))</f>
        <v/>
      </c>
      <c r="BE100">
        <f>IF(AA100="LANG_Time",0.76,IF(AA100="LANG_Service",0.70,IF(AA100="LANG_Words",0.72,IF(AA100="LANG_Touch",0.68,0.60))))</f>
        <v/>
      </c>
      <c r="BF100">
        <f>MAX(0,MIN(1,0.28*AS100+0.16*AT100+0.18*BC100+0.18*BD100+0.10*(1-AZ100)+0.10*(1-BA100)+BB100))</f>
        <v/>
      </c>
      <c r="BG100">
        <f>MAX(0,MIN(1,0.24*AU100+0.18*AS100+0.18*BC100+0.20*BD100+0.10*(1-AW100)+0.10*(1-BA100)))</f>
        <v/>
      </c>
      <c r="BH100">
        <f>MAX(0,MIN(1,0.28*AR100+0.18*AT100+0.16*AU100+0.18*(1-AV100)+0.10*(1-AW100)+0.10*BF100))</f>
        <v/>
      </c>
      <c r="BI100">
        <f>MAX(0,MIN(1,0.30*AV100+0.20*AZ100+0.20*AW100+0.15*(1-BH100)+0.15*(1-BO100)))</f>
        <v/>
      </c>
      <c r="BJ100">
        <f>MAX(0,1-(ABS(((( AX100+AY100)/2)-0.55)*1.6)))</f>
        <v/>
      </c>
      <c r="BK100">
        <f>MAX(0,MIN(1,0.28*AR100+0.18*AT100+0.16*BJ100+0.14*(1-AV100)+0.12*BQ100+0.12*BO100))</f>
        <v/>
      </c>
      <c r="BL100">
        <f>MAX(0,MIN(1,0.22*AQ100+0.18*AS100+0.18*BC100+0.18*BD100+0.08*BE100+0.10*BF100+0.06*BO100))</f>
        <v/>
      </c>
      <c r="BM100">
        <f>MAX(0,MIN(1,0.20*(1-AZ100)+0.16*(1-BA100)+0.14*(1-AW100)+0.14*AU100+0.18*BG100+0.10*BH100+0.08*BP100))</f>
        <v/>
      </c>
      <c r="BN100">
        <f>MAX(0,MIN(1,0.42*BJ100+0.33*BK100+0.15*AT100+0.10*BQ100))</f>
        <v/>
      </c>
      <c r="BO100">
        <f>MAX(0,MIN(1,0.30*BC100+0.24*BD100+0.18*AS100+0.14*(1-BI100)+0.14*AT100))</f>
        <v/>
      </c>
      <c r="BP100">
        <f>MAX(0,MIN(1,0.26*AS100+0.20*(1-BA100)+0.16*(1-AW100)+0.18*BG100+0.10*AU100+0.10+BB100))</f>
        <v/>
      </c>
      <c r="BQ100">
        <f>MAX(0,MIN(1,0.24*AT100+0.18*BF100+0.14*AR100+0.14*BO100+0.14*(1-AV100)+0.16*(1-AZ100)))</f>
        <v/>
      </c>
      <c r="BR100">
        <f>IF(BO100&gt;=0.80,"Open",IF(BO100&gt;=0.62,"Measured",IF(BO100&gt;=0.45,"Selective","Guarded")))</f>
        <v/>
      </c>
      <c r="BS100">
        <f>IF(Y100="COMM_Direct","Direct",IF(Y100="COMM_Emotional","Emotional",IF(Y100="COMM_Logical","Logical",IF(Y100="COMM_Indirect","Indirect","Avoidant"))))</f>
        <v/>
      </c>
      <c r="BT100">
        <f>IF(BG100&gt;=0.78,"Co-repair",IF(BG100&gt;=0.58,"Re-engage",IF(BG100&gt;=0.40,"Delay","Suppress")))</f>
        <v/>
      </c>
      <c r="BU100">
        <f>IF(BI100&gt;=0.70,"Retreat-risk",IF(BH100&lt;=0.40,"Rush-risk",IF(BH100&gt;=0.65,"Slow-build","Mixed")))</f>
        <v/>
      </c>
      <c r="BV100">
        <f>IF(BL100-BM100&gt;=0.15,"Stimulation-seeking",IF(BM100-BL100&gt;=0.15,"Calm-seeking","Mixed")))</f>
        <v/>
      </c>
      <c r="BW100">
        <f>IF(AND(BL100&gt;=0.72,BM100&lt;0.48),"High",IF(AND(BL100&gt;=0.60,BM100&lt;0.58),"Medium","Low"))</f>
        <v/>
      </c>
    </row>
    <row r="101" ht="135" customHeight="1" s="10">
      <c r="A101" s="2" t="inlineStr">
        <is>
          <t>Q20_E</t>
        </is>
      </c>
      <c r="B101" s="2" t="n">
        <v>20</v>
      </c>
      <c r="C101" s="2" t="n">
        <v>20</v>
      </c>
      <c r="D101" s="2" t="inlineStr">
        <is>
          <t>Core</t>
        </is>
      </c>
      <c r="E101" s="2" t="n">
        <v>1.1</v>
      </c>
      <c r="F101" s="2" t="inlineStr">
        <is>
          <t>EmotionalRegulation</t>
        </is>
      </c>
      <c r="G101" s="2" t="inlineStr">
        <is>
          <t>AttachmentSafety</t>
        </is>
      </c>
      <c r="H101" s="2" t="n"/>
      <c r="I101" s="2" t="inlineStr">
        <is>
          <t>E</t>
        </is>
      </c>
      <c r="J101" s="2" t="inlineStr">
        <is>
          <t>E</t>
        </is>
      </c>
      <c r="K101" s="2" t="inlineStr">
        <is>
          <t>I mirror it. You want casual? Cool. I can do that, until I don't. Just don't get mad when I stop answering like I used to.</t>
        </is>
      </c>
      <c r="L101" s="2" t="n">
        <v>7</v>
      </c>
      <c r="M101" s="2" t="n">
        <v>8</v>
      </c>
      <c r="N101" s="2" t="n">
        <v>4</v>
      </c>
      <c r="O101" s="2" t="n">
        <v>6</v>
      </c>
      <c r="P101" s="2" t="n">
        <v>2</v>
      </c>
      <c r="Q101" s="2" t="inlineStr">
        <is>
          <t>Performer</t>
        </is>
      </c>
      <c r="R101" s="2" t="n">
        <v>7</v>
      </c>
      <c r="S101" s="2" t="n"/>
      <c r="T101" s="2" t="n"/>
      <c r="U101" s="2" t="n">
        <v>0</v>
      </c>
      <c r="V101" s="2" t="inlineStr">
        <is>
          <t>masc:0.3;fem:0.5</t>
        </is>
      </c>
      <c r="W101" s="2" t="n">
        <v>0.3</v>
      </c>
      <c r="X101" s="2" t="n">
        <v>0.5</v>
      </c>
      <c r="Y101" s="2" t="inlineStr">
        <is>
          <t>COMM_Indirect</t>
        </is>
      </c>
      <c r="Z101" s="2" t="inlineStr">
        <is>
          <t>REG_Distractor</t>
        </is>
      </c>
      <c r="AA101" s="2" t="inlineStr">
        <is>
          <t>LANG_Gifts</t>
        </is>
      </c>
      <c r="AB101" s="2" t="n"/>
      <c r="AC101" s="2" t="n"/>
      <c r="AD101" s="2" t="n"/>
      <c r="AE101" s="2" t="n">
        <v>0</v>
      </c>
      <c r="AF101" s="2" t="inlineStr">
        <is>
          <t>cool mask hot clock</t>
        </is>
      </c>
      <c r="AG101" s="2" t="inlineStr">
        <is>
          <t>casual timer</t>
        </is>
      </c>
      <c r="AH101" s="2" t="n">
        <v>0.6</v>
      </c>
      <c r="AI101" s="2" t="inlineStr">
        <is>
          <t>no</t>
        </is>
      </c>
      <c r="AJ101" s="2" t="inlineStr">
        <is>
          <t>no</t>
        </is>
      </c>
      <c r="AK101" s="2" t="inlineStr">
        <is>
          <t>yes</t>
        </is>
      </c>
      <c r="AL101" s="2" t="inlineStr">
        <is>
          <t>yes</t>
        </is>
      </c>
      <c r="AM101" s="2" t="n"/>
      <c r="AN101" s="2" t="n"/>
      <c r="AO101" s="2" t="n"/>
      <c r="AP101" s="2" t="inlineStr">
        <is>
          <t>v3_2026-03-19</t>
        </is>
      </c>
      <c r="AQ101">
        <f>(L101-Schema_v5!$C2)/(Schema_v5!$C3-Schema_v5!$C2)</f>
        <v/>
      </c>
      <c r="AR101">
        <f>(M101-Schema_v5!$C4)/(Schema_v5!$C5-Schema_v5!$C4)</f>
        <v/>
      </c>
      <c r="AS101">
        <f>N101/Schema_v5!$C6</f>
        <v/>
      </c>
      <c r="AT101">
        <f>O101/Schema_v5!$C7</f>
        <v/>
      </c>
      <c r="AU101">
        <f>P101/Schema_v5!$C8</f>
        <v/>
      </c>
      <c r="AV101">
        <f>IF(Schema_v5!$C9=0,0,AH101/Schema_v5!$C9)</f>
        <v/>
      </c>
      <c r="AW101">
        <f>IF(Schema_v5!$C10=0,0,AE101/Schema_v5!$C10)</f>
        <v/>
      </c>
      <c r="AX101">
        <f>(W101-Schema_v5!$C11)/(Schema_v5!$C12-Schema_v5!$C11)</f>
        <v/>
      </c>
      <c r="AY101">
        <f>(X101-Schema_v5!$C13)/(Schema_v5!$C14-Schema_v5!$C13)</f>
        <v/>
      </c>
      <c r="AZ101">
        <f>MIN(1,MAX(0,U101/Schema_v7!$C$9))</f>
        <v/>
      </c>
      <c r="BA101">
        <f>IF(AJ101="yes",0.55,0)</f>
        <v/>
      </c>
      <c r="BB101">
        <f>IF(AI101="yes",0.10,0)</f>
        <v/>
      </c>
      <c r="BC101">
        <f>IF(Y101="COMM_Direct",0.92,IF(Y101="COMM_Emotional",0.70,IF(Y101="COMM_Logical",0.65,IF(Y101="COMM_Indirect",0.55,0.35))))</f>
        <v/>
      </c>
      <c r="BD101">
        <f>IF(Z101="REG_CoRegulator",0.92,IF(Z101="REG_SelfSoother",0.76,IF(Z101="REG_Distractor",0.48,0.35)))</f>
        <v/>
      </c>
      <c r="BE101">
        <f>IF(AA101="LANG_Time",0.76,IF(AA101="LANG_Service",0.70,IF(AA101="LANG_Words",0.72,IF(AA101="LANG_Touch",0.68,0.60))))</f>
        <v/>
      </c>
      <c r="BF101">
        <f>MAX(0,MIN(1,0.28*AS101+0.16*AT101+0.18*BC101+0.18*BD101+0.10*(1-AZ101)+0.10*(1-BA101)+BB101))</f>
        <v/>
      </c>
      <c r="BG101">
        <f>MAX(0,MIN(1,0.24*AU101+0.18*AS101+0.18*BC101+0.20*BD101+0.10*(1-AW101)+0.10*(1-BA101)))</f>
        <v/>
      </c>
      <c r="BH101">
        <f>MAX(0,MIN(1,0.28*AR101+0.18*AT101+0.16*AU101+0.18*(1-AV101)+0.10*(1-AW101)+0.10*BF101))</f>
        <v/>
      </c>
      <c r="BI101">
        <f>MAX(0,MIN(1,0.30*AV101+0.20*AZ101+0.20*AW101+0.15*(1-BH101)+0.15*(1-BO101)))</f>
        <v/>
      </c>
      <c r="BJ101">
        <f>MAX(0,1-(ABS(((( AX101+AY101)/2)-0.55)*1.6)))</f>
        <v/>
      </c>
      <c r="BK101">
        <f>MAX(0,MIN(1,0.28*AR101+0.18*AT101+0.16*BJ101+0.14*(1-AV101)+0.12*BQ101+0.12*BO101))</f>
        <v/>
      </c>
      <c r="BL101">
        <f>MAX(0,MIN(1,0.22*AQ101+0.18*AS101+0.18*BC101+0.18*BD101+0.08*BE101+0.10*BF101+0.06*BO101))</f>
        <v/>
      </c>
      <c r="BM101">
        <f>MAX(0,MIN(1,0.20*(1-AZ101)+0.16*(1-BA101)+0.14*(1-AW101)+0.14*AU101+0.18*BG101+0.10*BH101+0.08*BP101))</f>
        <v/>
      </c>
      <c r="BN101">
        <f>MAX(0,MIN(1,0.42*BJ101+0.33*BK101+0.15*AT101+0.10*BQ101))</f>
        <v/>
      </c>
      <c r="BO101">
        <f>MAX(0,MIN(1,0.30*BC101+0.24*BD101+0.18*AS101+0.14*(1-BI101)+0.14*AT101))</f>
        <v/>
      </c>
      <c r="BP101">
        <f>MAX(0,MIN(1,0.26*AS101+0.20*(1-BA101)+0.16*(1-AW101)+0.18*BG101+0.10*AU101+0.10+BB101))</f>
        <v/>
      </c>
      <c r="BQ101">
        <f>MAX(0,MIN(1,0.24*AT101+0.18*BF101+0.14*AR101+0.14*BO101+0.14*(1-AV101)+0.16*(1-AZ101)))</f>
        <v/>
      </c>
      <c r="BR101">
        <f>IF(BO101&gt;=0.80,"Open",IF(BO101&gt;=0.62,"Measured",IF(BO101&gt;=0.45,"Selective","Guarded")))</f>
        <v/>
      </c>
      <c r="BS101">
        <f>IF(Y101="COMM_Direct","Direct",IF(Y101="COMM_Emotional","Emotional",IF(Y101="COMM_Logical","Logical",IF(Y101="COMM_Indirect","Indirect","Avoidant"))))</f>
        <v/>
      </c>
      <c r="BT101">
        <f>IF(BG101&gt;=0.78,"Co-repair",IF(BG101&gt;=0.58,"Re-engage",IF(BG101&gt;=0.40,"Delay","Suppress")))</f>
        <v/>
      </c>
      <c r="BU101">
        <f>IF(BI101&gt;=0.70,"Retreat-risk",IF(BH101&lt;=0.40,"Rush-risk",IF(BH101&gt;=0.65,"Slow-build","Mixed")))</f>
        <v/>
      </c>
      <c r="BV101">
        <f>IF(BL101-BM101&gt;=0.15,"Stimulation-seeking",IF(BM101-BL101&gt;=0.15,"Calm-seeking","Mixed")))</f>
        <v/>
      </c>
      <c r="BW101">
        <f>IF(AND(BL101&gt;=0.72,BM101&lt;0.48),"High",IF(AND(BL101&gt;=0.60,BM101&lt;0.58),"Medium","Low"))</f>
        <v/>
      </c>
    </row>
    <row r="102" ht="108" customHeight="1" s="10">
      <c r="A102" s="2" t="inlineStr">
        <is>
          <t>Q21_A</t>
        </is>
      </c>
      <c r="B102" s="2" t="n">
        <v>21</v>
      </c>
      <c r="C102" s="2" t="n">
        <v>21</v>
      </c>
      <c r="D102" s="2" t="inlineStr">
        <is>
          <t>Core</t>
        </is>
      </c>
      <c r="E102" s="2" t="n">
        <v>1.1</v>
      </c>
      <c r="F102" s="2" t="inlineStr">
        <is>
          <t>EmotionalRegulation</t>
        </is>
      </c>
      <c r="G102" s="2" t="inlineStr">
        <is>
          <t>AttachmentSafety</t>
        </is>
      </c>
      <c r="H102" s="2" t="inlineStr">
        <is>
          <t>One day they're into you, then distant the next. How do you handle the mixed signals?</t>
        </is>
      </c>
      <c r="I102" s="2" t="inlineStr">
        <is>
          <t>A</t>
        </is>
      </c>
      <c r="J102" s="2" t="inlineStr">
        <is>
          <t>A</t>
        </is>
      </c>
      <c r="K102" s="2" t="inlineStr">
        <is>
          <t>If you're hot and cold, I'm room temperature and gone. I'm not here to decode moods.</t>
        </is>
      </c>
      <c r="L102" s="2" t="n">
        <v>9</v>
      </c>
      <c r="M102" s="2" t="n">
        <v>9</v>
      </c>
      <c r="N102" s="2" t="n">
        <v>10</v>
      </c>
      <c r="O102" s="2" t="n">
        <v>10</v>
      </c>
      <c r="P102" s="2" t="n">
        <v>10</v>
      </c>
      <c r="Q102" s="2" t="inlineStr">
        <is>
          <t>Regulated Grown-Up</t>
        </is>
      </c>
      <c r="R102" s="2" t="n">
        <v>9</v>
      </c>
      <c r="S102" s="2" t="n"/>
      <c r="T102" s="2" t="n"/>
      <c r="U102" s="2" t="n">
        <v>0</v>
      </c>
      <c r="V102" s="2" t="inlineStr">
        <is>
          <t>masc:1.1;fem:0.9</t>
        </is>
      </c>
      <c r="W102" s="2" t="n">
        <v>1.1</v>
      </c>
      <c r="X102" s="2" t="n">
        <v>0.9</v>
      </c>
      <c r="Y102" s="2" t="inlineStr">
        <is>
          <t>COMM_Direct</t>
        </is>
      </c>
      <c r="Z102" s="2" t="inlineStr">
        <is>
          <t>REG_CoRegulator</t>
        </is>
      </c>
      <c r="AA102" s="2" t="inlineStr">
        <is>
          <t>LANG_Words</t>
        </is>
      </c>
      <c r="AB102" s="2" t="n"/>
      <c r="AC102" s="2" t="n"/>
      <c r="AD102" s="2" t="n"/>
      <c r="AE102" s="2" t="n">
        <v>0</v>
      </c>
      <c r="AF102" s="2" t="inlineStr">
        <is>
          <t>blunt detachment</t>
        </is>
      </c>
      <c r="AG102" s="2" t="inlineStr">
        <is>
          <t>immediate cutoff</t>
        </is>
      </c>
      <c r="AH102" s="2" t="n">
        <v>1.2</v>
      </c>
      <c r="AI102" s="2" t="inlineStr">
        <is>
          <t>no</t>
        </is>
      </c>
      <c r="AJ102" s="2" t="inlineStr">
        <is>
          <t>no</t>
        </is>
      </c>
      <c r="AK102" s="2" t="inlineStr">
        <is>
          <t>yes</t>
        </is>
      </c>
      <c r="AL102" s="2" t="inlineStr">
        <is>
          <t>yes</t>
        </is>
      </c>
      <c r="AM102" s="2" t="n"/>
      <c r="AN102" s="2" t="n"/>
      <c r="AO102" s="2" t="n"/>
      <c r="AP102" s="2" t="inlineStr">
        <is>
          <t>v3_2026-03-19</t>
        </is>
      </c>
      <c r="AQ102">
        <f>(L102-Schema_v5!$C2)/(Schema_v5!$C3-Schema_v5!$C2)</f>
        <v/>
      </c>
      <c r="AR102">
        <f>(M102-Schema_v5!$C4)/(Schema_v5!$C5-Schema_v5!$C4)</f>
        <v/>
      </c>
      <c r="AS102">
        <f>N102/Schema_v5!$C6</f>
        <v/>
      </c>
      <c r="AT102">
        <f>O102/Schema_v5!$C7</f>
        <v/>
      </c>
      <c r="AU102">
        <f>P102/Schema_v5!$C8</f>
        <v/>
      </c>
      <c r="AV102">
        <f>IF(Schema_v5!$C9=0,0,AH102/Schema_v5!$C9)</f>
        <v/>
      </c>
      <c r="AW102">
        <f>IF(Schema_v5!$C10=0,0,AE102/Schema_v5!$C10)</f>
        <v/>
      </c>
      <c r="AX102">
        <f>(W102-Schema_v5!$C11)/(Schema_v5!$C12-Schema_v5!$C11)</f>
        <v/>
      </c>
      <c r="AY102">
        <f>(X102-Schema_v5!$C13)/(Schema_v5!$C14-Schema_v5!$C13)</f>
        <v/>
      </c>
      <c r="AZ102">
        <f>MIN(1,MAX(0,U102/Schema_v7!$C$9))</f>
        <v/>
      </c>
      <c r="BA102">
        <f>IF(AJ102="yes",0.55,0)</f>
        <v/>
      </c>
      <c r="BB102">
        <f>IF(AI102="yes",0.10,0)</f>
        <v/>
      </c>
      <c r="BC102">
        <f>IF(Y102="COMM_Direct",0.92,IF(Y102="COMM_Emotional",0.70,IF(Y102="COMM_Logical",0.65,IF(Y102="COMM_Indirect",0.55,0.35))))</f>
        <v/>
      </c>
      <c r="BD102">
        <f>IF(Z102="REG_CoRegulator",0.92,IF(Z102="REG_SelfSoother",0.76,IF(Z102="REG_Distractor",0.48,0.35)))</f>
        <v/>
      </c>
      <c r="BE102">
        <f>IF(AA102="LANG_Time",0.76,IF(AA102="LANG_Service",0.70,IF(AA102="LANG_Words",0.72,IF(AA102="LANG_Touch",0.68,0.60))))</f>
        <v/>
      </c>
      <c r="BF102">
        <f>MAX(0,MIN(1,0.28*AS102+0.16*AT102+0.18*BC102+0.18*BD102+0.10*(1-AZ102)+0.10*(1-BA102)+BB102))</f>
        <v/>
      </c>
      <c r="BG102">
        <f>MAX(0,MIN(1,0.24*AU102+0.18*AS102+0.18*BC102+0.20*BD102+0.10*(1-AW102)+0.10*(1-BA102)))</f>
        <v/>
      </c>
      <c r="BH102">
        <f>MAX(0,MIN(1,0.28*AR102+0.18*AT102+0.16*AU102+0.18*(1-AV102)+0.10*(1-AW102)+0.10*BF102))</f>
        <v/>
      </c>
      <c r="BI102">
        <f>MAX(0,MIN(1,0.30*AV102+0.20*AZ102+0.20*AW102+0.15*(1-BH102)+0.15*(1-BO102)))</f>
        <v/>
      </c>
      <c r="BJ102">
        <f>MAX(0,1-(ABS(((( AX102+AY102)/2)-0.55)*1.6)))</f>
        <v/>
      </c>
      <c r="BK102">
        <f>MAX(0,MIN(1,0.28*AR102+0.18*AT102+0.16*BJ102+0.14*(1-AV102)+0.12*BQ102+0.12*BO102))</f>
        <v/>
      </c>
      <c r="BL102">
        <f>MAX(0,MIN(1,0.22*AQ102+0.18*AS102+0.18*BC102+0.18*BD102+0.08*BE102+0.10*BF102+0.06*BO102))</f>
        <v/>
      </c>
      <c r="BM102">
        <f>MAX(0,MIN(1,0.20*(1-AZ102)+0.16*(1-BA102)+0.14*(1-AW102)+0.14*AU102+0.18*BG102+0.10*BH102+0.08*BP102))</f>
        <v/>
      </c>
      <c r="BN102">
        <f>MAX(0,MIN(1,0.42*BJ102+0.33*BK102+0.15*AT102+0.10*BQ102))</f>
        <v/>
      </c>
      <c r="BO102">
        <f>MAX(0,MIN(1,0.30*BC102+0.24*BD102+0.18*AS102+0.14*(1-BI102)+0.14*AT102))</f>
        <v/>
      </c>
      <c r="BP102">
        <f>MAX(0,MIN(1,0.26*AS102+0.20*(1-BA102)+0.16*(1-AW102)+0.18*BG102+0.10*AU102+0.10+BB102))</f>
        <v/>
      </c>
      <c r="BQ102">
        <f>MAX(0,MIN(1,0.24*AT102+0.18*BF102+0.14*AR102+0.14*BO102+0.14*(1-AV102)+0.16*(1-AZ102)))</f>
        <v/>
      </c>
      <c r="BR102">
        <f>IF(BO102&gt;=0.80,"Open",IF(BO102&gt;=0.62,"Measured",IF(BO102&gt;=0.45,"Selective","Guarded")))</f>
        <v/>
      </c>
      <c r="BS102">
        <f>IF(Y102="COMM_Direct","Direct",IF(Y102="COMM_Emotional","Emotional",IF(Y102="COMM_Logical","Logical",IF(Y102="COMM_Indirect","Indirect","Avoidant"))))</f>
        <v/>
      </c>
      <c r="BT102">
        <f>IF(BG102&gt;=0.78,"Co-repair",IF(BG102&gt;=0.58,"Re-engage",IF(BG102&gt;=0.40,"Delay","Suppress")))</f>
        <v/>
      </c>
      <c r="BU102">
        <f>IF(BI102&gt;=0.70,"Retreat-risk",IF(BH102&lt;=0.40,"Rush-risk",IF(BH102&gt;=0.65,"Slow-build","Mixed")))</f>
        <v/>
      </c>
      <c r="BV102">
        <f>IF(BL102-BM102&gt;=0.15,"Stimulation-seeking",IF(BM102-BL102&gt;=0.15,"Calm-seeking","Mixed")))</f>
        <v/>
      </c>
      <c r="BW102">
        <f>IF(AND(BL102&gt;=0.72,BM102&lt;0.48),"High",IF(AND(BL102&gt;=0.60,BM102&lt;0.58),"Medium","Low"))</f>
        <v/>
      </c>
    </row>
    <row r="103" ht="175.5" customHeight="1" s="10">
      <c r="A103" s="2" t="inlineStr">
        <is>
          <t>Q21_B</t>
        </is>
      </c>
      <c r="B103" s="2" t="n">
        <v>21</v>
      </c>
      <c r="C103" s="2" t="n">
        <v>21</v>
      </c>
      <c r="D103" s="2" t="inlineStr">
        <is>
          <t>Core</t>
        </is>
      </c>
      <c r="E103" s="2" t="n">
        <v>1.1</v>
      </c>
      <c r="F103" s="2" t="inlineStr">
        <is>
          <t>EmotionalRegulation</t>
        </is>
      </c>
      <c r="G103" s="2" t="inlineStr">
        <is>
          <t>AttachmentSafety</t>
        </is>
      </c>
      <c r="H103" s="2" t="n"/>
      <c r="I103" s="2" t="inlineStr">
        <is>
          <t>B</t>
        </is>
      </c>
      <c r="J103" s="2" t="inlineStr">
        <is>
          <t>B</t>
        </is>
      </c>
      <c r="K103" s="2" t="inlineStr">
        <is>
          <t>I recheck our last texts. Then I reread mine. Then I wonder if I should've said less, or more. I don't bring it up, but it definitely rewires how I respond.</t>
        </is>
      </c>
      <c r="L103" s="2" t="n">
        <v>5</v>
      </c>
      <c r="M103" s="2" t="n">
        <v>6</v>
      </c>
      <c r="N103" s="2" t="n">
        <v>4</v>
      </c>
      <c r="O103" s="2" t="n">
        <v>4</v>
      </c>
      <c r="P103" s="2" t="n">
        <v>2</v>
      </c>
      <c r="Q103" s="2" t="inlineStr">
        <is>
          <t>Analyzer</t>
        </is>
      </c>
      <c r="R103" s="2" t="n">
        <v>2</v>
      </c>
      <c r="S103" s="2" t="n"/>
      <c r="T103" s="2" t="n"/>
      <c r="U103" s="2" t="n">
        <v>0</v>
      </c>
      <c r="V103" s="2" t="inlineStr">
        <is>
          <t>masc:1.4;fem:0.1</t>
        </is>
      </c>
      <c r="W103" s="2" t="n">
        <v>1.4</v>
      </c>
      <c r="X103" s="2" t="n">
        <v>0.1</v>
      </c>
      <c r="Y103" s="2" t="inlineStr">
        <is>
          <t>COMM_Logical</t>
        </is>
      </c>
      <c r="Z103" s="2" t="inlineStr">
        <is>
          <t>REG_SelfSoother</t>
        </is>
      </c>
      <c r="AA103" s="2" t="inlineStr">
        <is>
          <t>LANG_Service</t>
        </is>
      </c>
      <c r="AB103" s="2" t="inlineStr">
        <is>
          <t>Trust_Tension</t>
        </is>
      </c>
      <c r="AC103" s="2" t="inlineStr">
        <is>
          <t>Trust_Tension</t>
        </is>
      </c>
      <c r="AD103" s="2" t="n"/>
      <c r="AE103" s="2" t="n">
        <v>6</v>
      </c>
      <c r="AF103" s="2" t="inlineStr">
        <is>
          <t>emotional spiral</t>
        </is>
      </c>
      <c r="AG103" s="2" t="inlineStr">
        <is>
          <t>overanalyzer</t>
        </is>
      </c>
      <c r="AH103" s="2" t="n">
        <v>0</v>
      </c>
      <c r="AI103" s="2" t="inlineStr">
        <is>
          <t>yes</t>
        </is>
      </c>
      <c r="AJ103" s="2" t="inlineStr">
        <is>
          <t>no</t>
        </is>
      </c>
      <c r="AK103" s="2" t="inlineStr">
        <is>
          <t>yes</t>
        </is>
      </c>
      <c r="AL103" s="2" t="inlineStr">
        <is>
          <t>yes</t>
        </is>
      </c>
      <c r="AM103" s="2" t="n"/>
      <c r="AN103" s="2" t="n"/>
      <c r="AO103" s="2" t="n"/>
      <c r="AP103" s="2" t="inlineStr">
        <is>
          <t>v3_2026-03-19</t>
        </is>
      </c>
      <c r="AQ103">
        <f>(L103-Schema_v5!$C2)/(Schema_v5!$C3-Schema_v5!$C2)</f>
        <v/>
      </c>
      <c r="AR103">
        <f>(M103-Schema_v5!$C4)/(Schema_v5!$C5-Schema_v5!$C4)</f>
        <v/>
      </c>
      <c r="AS103">
        <f>N103/Schema_v5!$C6</f>
        <v/>
      </c>
      <c r="AT103">
        <f>O103/Schema_v5!$C7</f>
        <v/>
      </c>
      <c r="AU103">
        <f>P103/Schema_v5!$C8</f>
        <v/>
      </c>
      <c r="AV103">
        <f>IF(Schema_v5!$C9=0,0,AH103/Schema_v5!$C9)</f>
        <v/>
      </c>
      <c r="AW103">
        <f>IF(Schema_v5!$C10=0,0,AE103/Schema_v5!$C10)</f>
        <v/>
      </c>
      <c r="AX103">
        <f>(W103-Schema_v5!$C11)/(Schema_v5!$C12-Schema_v5!$C11)</f>
        <v/>
      </c>
      <c r="AY103">
        <f>(X103-Schema_v5!$C13)/(Schema_v5!$C14-Schema_v5!$C13)</f>
        <v/>
      </c>
      <c r="AZ103">
        <f>MIN(1,MAX(0,U103/Schema_v7!$C$9))</f>
        <v/>
      </c>
      <c r="BA103">
        <f>IF(AJ103="yes",0.55,0)</f>
        <v/>
      </c>
      <c r="BB103">
        <f>IF(AI103="yes",0.10,0)</f>
        <v/>
      </c>
      <c r="BC103">
        <f>IF(Y103="COMM_Direct",0.92,IF(Y103="COMM_Emotional",0.70,IF(Y103="COMM_Logical",0.65,IF(Y103="COMM_Indirect",0.55,0.35))))</f>
        <v/>
      </c>
      <c r="BD103">
        <f>IF(Z103="REG_CoRegulator",0.92,IF(Z103="REG_SelfSoother",0.76,IF(Z103="REG_Distractor",0.48,0.35)))</f>
        <v/>
      </c>
      <c r="BE103">
        <f>IF(AA103="LANG_Time",0.76,IF(AA103="LANG_Service",0.70,IF(AA103="LANG_Words",0.72,IF(AA103="LANG_Touch",0.68,0.60))))</f>
        <v/>
      </c>
      <c r="BF103">
        <f>MAX(0,MIN(1,0.28*AS103+0.16*AT103+0.18*BC103+0.18*BD103+0.10*(1-AZ103)+0.10*(1-BA103)+BB103))</f>
        <v/>
      </c>
      <c r="BG103">
        <f>MAX(0,MIN(1,0.24*AU103+0.18*AS103+0.18*BC103+0.20*BD103+0.10*(1-AW103)+0.10*(1-BA103)))</f>
        <v/>
      </c>
      <c r="BH103">
        <f>MAX(0,MIN(1,0.28*AR103+0.18*AT103+0.16*AU103+0.18*(1-AV103)+0.10*(1-AW103)+0.10*BF103))</f>
        <v/>
      </c>
      <c r="BI103">
        <f>MAX(0,MIN(1,0.30*AV103+0.20*AZ103+0.20*AW103+0.15*(1-BH103)+0.15*(1-BO103)))</f>
        <v/>
      </c>
      <c r="BJ103">
        <f>MAX(0,1-(ABS(((( AX103+AY103)/2)-0.55)*1.6)))</f>
        <v/>
      </c>
      <c r="BK103">
        <f>MAX(0,MIN(1,0.28*AR103+0.18*AT103+0.16*BJ103+0.14*(1-AV103)+0.12*BQ103+0.12*BO103))</f>
        <v/>
      </c>
      <c r="BL103">
        <f>MAX(0,MIN(1,0.22*AQ103+0.18*AS103+0.18*BC103+0.18*BD103+0.08*BE103+0.10*BF103+0.06*BO103))</f>
        <v/>
      </c>
      <c r="BM103">
        <f>MAX(0,MIN(1,0.20*(1-AZ103)+0.16*(1-BA103)+0.14*(1-AW103)+0.14*AU103+0.18*BG103+0.10*BH103+0.08*BP103))</f>
        <v/>
      </c>
      <c r="BN103">
        <f>MAX(0,MIN(1,0.42*BJ103+0.33*BK103+0.15*AT103+0.10*BQ103))</f>
        <v/>
      </c>
      <c r="BO103">
        <f>MAX(0,MIN(1,0.30*BC103+0.24*BD103+0.18*AS103+0.14*(1-BI103)+0.14*AT103))</f>
        <v/>
      </c>
      <c r="BP103">
        <f>MAX(0,MIN(1,0.26*AS103+0.20*(1-BA103)+0.16*(1-AW103)+0.18*BG103+0.10*AU103+0.10+BB103))</f>
        <v/>
      </c>
      <c r="BQ103">
        <f>MAX(0,MIN(1,0.24*AT103+0.18*BF103+0.14*AR103+0.14*BO103+0.14*(1-AV103)+0.16*(1-AZ103)))</f>
        <v/>
      </c>
      <c r="BR103">
        <f>IF(BO103&gt;=0.80,"Open",IF(BO103&gt;=0.62,"Measured",IF(BO103&gt;=0.45,"Selective","Guarded")))</f>
        <v/>
      </c>
      <c r="BS103">
        <f>IF(Y103="COMM_Direct","Direct",IF(Y103="COMM_Emotional","Emotional",IF(Y103="COMM_Logical","Logical",IF(Y103="COMM_Indirect","Indirect","Avoidant"))))</f>
        <v/>
      </c>
      <c r="BT103">
        <f>IF(BG103&gt;=0.78,"Co-repair",IF(BG103&gt;=0.58,"Re-engage",IF(BG103&gt;=0.40,"Delay","Suppress")))</f>
        <v/>
      </c>
      <c r="BU103">
        <f>IF(BI103&gt;=0.70,"Retreat-risk",IF(BH103&lt;=0.40,"Rush-risk",IF(BH103&gt;=0.65,"Slow-build","Mixed")))</f>
        <v/>
      </c>
      <c r="BV103">
        <f>IF(BL103-BM103&gt;=0.15,"Stimulation-seeking",IF(BM103-BL103&gt;=0.15,"Calm-seeking","Mixed")))</f>
        <v/>
      </c>
      <c r="BW103">
        <f>IF(AND(BL103&gt;=0.72,BM103&lt;0.48),"High",IF(AND(BL103&gt;=0.60,BM103&lt;0.58),"Medium","Low"))</f>
        <v/>
      </c>
    </row>
    <row r="104" ht="121.5" customHeight="1" s="10">
      <c r="A104" s="2" t="inlineStr">
        <is>
          <t>Q21_C</t>
        </is>
      </c>
      <c r="B104" s="2" t="n">
        <v>21</v>
      </c>
      <c r="C104" s="2" t="n">
        <v>21</v>
      </c>
      <c r="D104" s="2" t="inlineStr">
        <is>
          <t>Core</t>
        </is>
      </c>
      <c r="E104" s="2" t="n">
        <v>1.1</v>
      </c>
      <c r="F104" s="2" t="inlineStr">
        <is>
          <t>EmotionalRegulation</t>
        </is>
      </c>
      <c r="G104" s="2" t="inlineStr">
        <is>
          <t>AttachmentSafety</t>
        </is>
      </c>
      <c r="H104" s="2" t="n"/>
      <c r="I104" s="2" t="inlineStr">
        <is>
          <t>C</t>
        </is>
      </c>
      <c r="J104" s="2" t="inlineStr">
        <is>
          <t>C</t>
        </is>
      </c>
      <c r="K104" s="2" t="inlineStr">
        <is>
          <t>I back off. They'll either notice or they won't. I'm not chasing people who don't know what they want.</t>
        </is>
      </c>
      <c r="L104" s="2" t="n">
        <v>4</v>
      </c>
      <c r="M104" s="2" t="n">
        <v>5</v>
      </c>
      <c r="N104" s="2" t="n">
        <v>0</v>
      </c>
      <c r="O104" s="2" t="n">
        <v>0</v>
      </c>
      <c r="P104" s="2" t="n">
        <v>0</v>
      </c>
      <c r="Q104" s="2" t="inlineStr">
        <is>
          <t>Icebox</t>
        </is>
      </c>
      <c r="R104" s="2" t="n">
        <v>1</v>
      </c>
      <c r="S104" s="2" t="n"/>
      <c r="T104" s="2" t="n"/>
      <c r="U104" s="2" t="n">
        <v>0</v>
      </c>
      <c r="V104" s="2" t="inlineStr">
        <is>
          <t>masc:1.8;fem:-1.6</t>
        </is>
      </c>
      <c r="W104" s="2" t="n">
        <v>1.8</v>
      </c>
      <c r="X104" s="2" t="n">
        <v>-1.6</v>
      </c>
      <c r="Y104" s="2" t="inlineStr">
        <is>
          <t>COMM_Avoidant</t>
        </is>
      </c>
      <c r="Z104" s="2" t="inlineStr">
        <is>
          <t>REG_Suppressor</t>
        </is>
      </c>
      <c r="AA104" s="2" t="inlineStr">
        <is>
          <t>LANG_Time</t>
        </is>
      </c>
      <c r="AB104" s="2" t="inlineStr">
        <is>
          <t>Vulnerability_Loop</t>
        </is>
      </c>
      <c r="AC104" s="2" t="inlineStr">
        <is>
          <t>Vulnerability_Loop</t>
        </is>
      </c>
      <c r="AD104" s="2" t="n"/>
      <c r="AE104" s="2" t="n">
        <v>5</v>
      </c>
      <c r="AF104" s="2" t="inlineStr">
        <is>
          <t>quiet burn</t>
        </is>
      </c>
      <c r="AG104" s="2" t="inlineStr">
        <is>
          <t>disengaged pullback</t>
        </is>
      </c>
      <c r="AH104" s="2" t="n">
        <v>0.6</v>
      </c>
      <c r="AI104" s="2" t="inlineStr">
        <is>
          <t>yes</t>
        </is>
      </c>
      <c r="AJ104" s="2" t="inlineStr">
        <is>
          <t>no</t>
        </is>
      </c>
      <c r="AK104" s="2" t="inlineStr">
        <is>
          <t>yes</t>
        </is>
      </c>
      <c r="AL104" s="2" t="inlineStr">
        <is>
          <t>yes</t>
        </is>
      </c>
      <c r="AM104" s="2" t="n"/>
      <c r="AN104" s="2" t="n"/>
      <c r="AO104" s="2" t="n"/>
      <c r="AP104" s="2" t="inlineStr">
        <is>
          <t>v3_2026-03-19</t>
        </is>
      </c>
      <c r="AQ104">
        <f>(L104-Schema_v5!$C2)/(Schema_v5!$C3-Schema_v5!$C2)</f>
        <v/>
      </c>
      <c r="AR104">
        <f>(M104-Schema_v5!$C4)/(Schema_v5!$C5-Schema_v5!$C4)</f>
        <v/>
      </c>
      <c r="AS104">
        <f>N104/Schema_v5!$C6</f>
        <v/>
      </c>
      <c r="AT104">
        <f>O104/Schema_v5!$C7</f>
        <v/>
      </c>
      <c r="AU104">
        <f>P104/Schema_v5!$C8</f>
        <v/>
      </c>
      <c r="AV104">
        <f>IF(Schema_v5!$C9=0,0,AH104/Schema_v5!$C9)</f>
        <v/>
      </c>
      <c r="AW104">
        <f>IF(Schema_v5!$C10=0,0,AE104/Schema_v5!$C10)</f>
        <v/>
      </c>
      <c r="AX104">
        <f>(W104-Schema_v5!$C11)/(Schema_v5!$C12-Schema_v5!$C11)</f>
        <v/>
      </c>
      <c r="AY104">
        <f>(X104-Schema_v5!$C13)/(Schema_v5!$C14-Schema_v5!$C13)</f>
        <v/>
      </c>
      <c r="AZ104">
        <f>MIN(1,MAX(0,U104/Schema_v7!$C$9))</f>
        <v/>
      </c>
      <c r="BA104">
        <f>IF(AJ104="yes",0.55,0)</f>
        <v/>
      </c>
      <c r="BB104">
        <f>IF(AI104="yes",0.10,0)</f>
        <v/>
      </c>
      <c r="BC104">
        <f>IF(Y104="COMM_Direct",0.92,IF(Y104="COMM_Emotional",0.70,IF(Y104="COMM_Logical",0.65,IF(Y104="COMM_Indirect",0.55,0.35))))</f>
        <v/>
      </c>
      <c r="BD104">
        <f>IF(Z104="REG_CoRegulator",0.92,IF(Z104="REG_SelfSoother",0.76,IF(Z104="REG_Distractor",0.48,0.35)))</f>
        <v/>
      </c>
      <c r="BE104">
        <f>IF(AA104="LANG_Time",0.76,IF(AA104="LANG_Service",0.70,IF(AA104="LANG_Words",0.72,IF(AA104="LANG_Touch",0.68,0.60))))</f>
        <v/>
      </c>
      <c r="BF104">
        <f>MAX(0,MIN(1,0.28*AS104+0.16*AT104+0.18*BC104+0.18*BD104+0.10*(1-AZ104)+0.10*(1-BA104)+BB104))</f>
        <v/>
      </c>
      <c r="BG104">
        <f>MAX(0,MIN(1,0.24*AU104+0.18*AS104+0.18*BC104+0.20*BD104+0.10*(1-AW104)+0.10*(1-BA104)))</f>
        <v/>
      </c>
      <c r="BH104">
        <f>MAX(0,MIN(1,0.28*AR104+0.18*AT104+0.16*AU104+0.18*(1-AV104)+0.10*(1-AW104)+0.10*BF104))</f>
        <v/>
      </c>
      <c r="BI104">
        <f>MAX(0,MIN(1,0.30*AV104+0.20*AZ104+0.20*AW104+0.15*(1-BH104)+0.15*(1-BO104)))</f>
        <v/>
      </c>
      <c r="BJ104">
        <f>MAX(0,1-(ABS(((( AX104+AY104)/2)-0.55)*1.6)))</f>
        <v/>
      </c>
      <c r="BK104">
        <f>MAX(0,MIN(1,0.28*AR104+0.18*AT104+0.16*BJ104+0.14*(1-AV104)+0.12*BQ104+0.12*BO104))</f>
        <v/>
      </c>
      <c r="BL104">
        <f>MAX(0,MIN(1,0.22*AQ104+0.18*AS104+0.18*BC104+0.18*BD104+0.08*BE104+0.10*BF104+0.06*BO104))</f>
        <v/>
      </c>
      <c r="BM104">
        <f>MAX(0,MIN(1,0.20*(1-AZ104)+0.16*(1-BA104)+0.14*(1-AW104)+0.14*AU104+0.18*BG104+0.10*BH104+0.08*BP104))</f>
        <v/>
      </c>
      <c r="BN104">
        <f>MAX(0,MIN(1,0.42*BJ104+0.33*BK104+0.15*AT104+0.10*BQ104))</f>
        <v/>
      </c>
      <c r="BO104">
        <f>MAX(0,MIN(1,0.30*BC104+0.24*BD104+0.18*AS104+0.14*(1-BI104)+0.14*AT104))</f>
        <v/>
      </c>
      <c r="BP104">
        <f>MAX(0,MIN(1,0.26*AS104+0.20*(1-BA104)+0.16*(1-AW104)+0.18*BG104+0.10*AU104+0.10+BB104))</f>
        <v/>
      </c>
      <c r="BQ104">
        <f>MAX(0,MIN(1,0.24*AT104+0.18*BF104+0.14*AR104+0.14*BO104+0.14*(1-AV104)+0.16*(1-AZ104)))</f>
        <v/>
      </c>
      <c r="BR104">
        <f>IF(BO104&gt;=0.80,"Open",IF(BO104&gt;=0.62,"Measured",IF(BO104&gt;=0.45,"Selective","Guarded")))</f>
        <v/>
      </c>
      <c r="BS104">
        <f>IF(Y104="COMM_Direct","Direct",IF(Y104="COMM_Emotional","Emotional",IF(Y104="COMM_Logical","Logical",IF(Y104="COMM_Indirect","Indirect","Avoidant"))))</f>
        <v/>
      </c>
      <c r="BT104">
        <f>IF(BG104&gt;=0.78,"Co-repair",IF(BG104&gt;=0.58,"Re-engage",IF(BG104&gt;=0.40,"Delay","Suppress")))</f>
        <v/>
      </c>
      <c r="BU104">
        <f>IF(BI104&gt;=0.70,"Retreat-risk",IF(BH104&lt;=0.40,"Rush-risk",IF(BH104&gt;=0.65,"Slow-build","Mixed")))</f>
        <v/>
      </c>
      <c r="BV104">
        <f>IF(BL104-BM104&gt;=0.15,"Stimulation-seeking",IF(BM104-BL104&gt;=0.15,"Calm-seeking","Mixed")))</f>
        <v/>
      </c>
      <c r="BW104">
        <f>IF(AND(BL104&gt;=0.72,BM104&lt;0.48),"High",IF(AND(BL104&gt;=0.60,BM104&lt;0.58),"Medium","Low"))</f>
        <v/>
      </c>
    </row>
    <row r="105" ht="148.5" customHeight="1" s="10">
      <c r="A105" s="2" t="inlineStr">
        <is>
          <t>Q21_D</t>
        </is>
      </c>
      <c r="B105" s="2" t="n">
        <v>21</v>
      </c>
      <c r="C105" s="2" t="n">
        <v>21</v>
      </c>
      <c r="D105" s="2" t="inlineStr">
        <is>
          <t>Core</t>
        </is>
      </c>
      <c r="E105" s="2" t="n">
        <v>1.1</v>
      </c>
      <c r="F105" s="2" t="inlineStr">
        <is>
          <t>EmotionalRegulation</t>
        </is>
      </c>
      <c r="G105" s="2" t="inlineStr">
        <is>
          <t>AttachmentSafety</t>
        </is>
      </c>
      <c r="H105" s="2" t="n"/>
      <c r="I105" s="2" t="inlineStr">
        <is>
          <t>D</t>
        </is>
      </c>
      <c r="J105" s="2" t="inlineStr">
        <is>
          <t>D</t>
        </is>
      </c>
      <c r="K105" s="2" t="inlineStr">
        <is>
          <t>I stop bringing things up. If they don't want me, I'm not going to beg to be understood. I've played that game before.</t>
        </is>
      </c>
      <c r="L105" s="2" t="n">
        <v>6</v>
      </c>
      <c r="M105" s="2" t="n">
        <v>7</v>
      </c>
      <c r="N105" s="2" t="n">
        <v>4</v>
      </c>
      <c r="O105" s="2" t="n">
        <v>4</v>
      </c>
      <c r="P105" s="2" t="n">
        <v>4</v>
      </c>
      <c r="Q105" s="2" t="inlineStr">
        <is>
          <t>Fixer</t>
        </is>
      </c>
      <c r="R105" s="2" t="n">
        <v>5</v>
      </c>
      <c r="S105" s="2" t="n"/>
      <c r="T105" s="2" t="n"/>
      <c r="U105" s="2" t="n">
        <v>0</v>
      </c>
      <c r="V105" s="2" t="inlineStr">
        <is>
          <t>masc:-0.4;fem:2.0</t>
        </is>
      </c>
      <c r="W105" s="2" t="n">
        <v>-0.4</v>
      </c>
      <c r="X105" s="2" t="n">
        <v>2</v>
      </c>
      <c r="Y105" s="2" t="inlineStr">
        <is>
          <t>COMM_Emotional</t>
        </is>
      </c>
      <c r="Z105" s="2" t="inlineStr">
        <is>
          <t>REG_CoRegulator</t>
        </is>
      </c>
      <c r="AA105" s="2" t="inlineStr">
        <is>
          <t>LANG_Service</t>
        </is>
      </c>
      <c r="AB105" s="2" t="inlineStr">
        <is>
          <t>Affection_Mismatch , Independence_Collision</t>
        </is>
      </c>
      <c r="AC105" s="2" t="inlineStr">
        <is>
          <t>Affection_Mismatch</t>
        </is>
      </c>
      <c r="AD105" s="2" t="inlineStr">
        <is>
          <t>Independence_Collision</t>
        </is>
      </c>
      <c r="AE105" s="2" t="n">
        <v>9</v>
      </c>
      <c r="AF105" s="2" t="inlineStr">
        <is>
          <t>resigned caregiver</t>
        </is>
      </c>
      <c r="AG105" s="2" t="inlineStr">
        <is>
          <t>silent surrender</t>
        </is>
      </c>
      <c r="AH105" s="2" t="n">
        <v>1.2</v>
      </c>
      <c r="AI105" s="2" t="inlineStr">
        <is>
          <t>yes</t>
        </is>
      </c>
      <c r="AJ105" s="2" t="inlineStr">
        <is>
          <t>no</t>
        </is>
      </c>
      <c r="AK105" s="2" t="inlineStr">
        <is>
          <t>yes</t>
        </is>
      </c>
      <c r="AL105" s="2" t="inlineStr">
        <is>
          <t>yes</t>
        </is>
      </c>
      <c r="AM105" s="2" t="n"/>
      <c r="AN105" s="2" t="n"/>
      <c r="AO105" s="2" t="n"/>
      <c r="AP105" s="2" t="inlineStr">
        <is>
          <t>v3_2026-03-19</t>
        </is>
      </c>
      <c r="AQ105">
        <f>(L105-Schema_v5!$C2)/(Schema_v5!$C3-Schema_v5!$C2)</f>
        <v/>
      </c>
      <c r="AR105">
        <f>(M105-Schema_v5!$C4)/(Schema_v5!$C5-Schema_v5!$C4)</f>
        <v/>
      </c>
      <c r="AS105">
        <f>N105/Schema_v5!$C6</f>
        <v/>
      </c>
      <c r="AT105">
        <f>O105/Schema_v5!$C7</f>
        <v/>
      </c>
      <c r="AU105">
        <f>P105/Schema_v5!$C8</f>
        <v/>
      </c>
      <c r="AV105">
        <f>IF(Schema_v5!$C9=0,0,AH105/Schema_v5!$C9)</f>
        <v/>
      </c>
      <c r="AW105">
        <f>IF(Schema_v5!$C10=0,0,AE105/Schema_v5!$C10)</f>
        <v/>
      </c>
      <c r="AX105">
        <f>(W105-Schema_v5!$C11)/(Schema_v5!$C12-Schema_v5!$C11)</f>
        <v/>
      </c>
      <c r="AY105">
        <f>(X105-Schema_v5!$C13)/(Schema_v5!$C14-Schema_v5!$C13)</f>
        <v/>
      </c>
      <c r="AZ105">
        <f>MIN(1,MAX(0,U105/Schema_v7!$C$9))</f>
        <v/>
      </c>
      <c r="BA105">
        <f>IF(AJ105="yes",0.55,0)</f>
        <v/>
      </c>
      <c r="BB105">
        <f>IF(AI105="yes",0.10,0)</f>
        <v/>
      </c>
      <c r="BC105">
        <f>IF(Y105="COMM_Direct",0.92,IF(Y105="COMM_Emotional",0.70,IF(Y105="COMM_Logical",0.65,IF(Y105="COMM_Indirect",0.55,0.35))))</f>
        <v/>
      </c>
      <c r="BD105">
        <f>IF(Z105="REG_CoRegulator",0.92,IF(Z105="REG_SelfSoother",0.76,IF(Z105="REG_Distractor",0.48,0.35)))</f>
        <v/>
      </c>
      <c r="BE105">
        <f>IF(AA105="LANG_Time",0.76,IF(AA105="LANG_Service",0.70,IF(AA105="LANG_Words",0.72,IF(AA105="LANG_Touch",0.68,0.60))))</f>
        <v/>
      </c>
      <c r="BF105">
        <f>MAX(0,MIN(1,0.28*AS105+0.16*AT105+0.18*BC105+0.18*BD105+0.10*(1-AZ105)+0.10*(1-BA105)+BB105))</f>
        <v/>
      </c>
      <c r="BG105">
        <f>MAX(0,MIN(1,0.24*AU105+0.18*AS105+0.18*BC105+0.20*BD105+0.10*(1-AW105)+0.10*(1-BA105)))</f>
        <v/>
      </c>
      <c r="BH105">
        <f>MAX(0,MIN(1,0.28*AR105+0.18*AT105+0.16*AU105+0.18*(1-AV105)+0.10*(1-AW105)+0.10*BF105))</f>
        <v/>
      </c>
      <c r="BI105">
        <f>MAX(0,MIN(1,0.30*AV105+0.20*AZ105+0.20*AW105+0.15*(1-BH105)+0.15*(1-BO105)))</f>
        <v/>
      </c>
      <c r="BJ105">
        <f>MAX(0,1-(ABS(((( AX105+AY105)/2)-0.55)*1.6)))</f>
        <v/>
      </c>
      <c r="BK105">
        <f>MAX(0,MIN(1,0.28*AR105+0.18*AT105+0.16*BJ105+0.14*(1-AV105)+0.12*BQ105+0.12*BO105))</f>
        <v/>
      </c>
      <c r="BL105">
        <f>MAX(0,MIN(1,0.22*AQ105+0.18*AS105+0.18*BC105+0.18*BD105+0.08*BE105+0.10*BF105+0.06*BO105))</f>
        <v/>
      </c>
      <c r="BM105">
        <f>MAX(0,MIN(1,0.20*(1-AZ105)+0.16*(1-BA105)+0.14*(1-AW105)+0.14*AU105+0.18*BG105+0.10*BH105+0.08*BP105))</f>
        <v/>
      </c>
      <c r="BN105">
        <f>MAX(0,MIN(1,0.42*BJ105+0.33*BK105+0.15*AT105+0.10*BQ105))</f>
        <v/>
      </c>
      <c r="BO105">
        <f>MAX(0,MIN(1,0.30*BC105+0.24*BD105+0.18*AS105+0.14*(1-BI105)+0.14*AT105))</f>
        <v/>
      </c>
      <c r="BP105">
        <f>MAX(0,MIN(1,0.26*AS105+0.20*(1-BA105)+0.16*(1-AW105)+0.18*BG105+0.10*AU105+0.10+BB105))</f>
        <v/>
      </c>
      <c r="BQ105">
        <f>MAX(0,MIN(1,0.24*AT105+0.18*BF105+0.14*AR105+0.14*BO105+0.14*(1-AV105)+0.16*(1-AZ105)))</f>
        <v/>
      </c>
      <c r="BR105">
        <f>IF(BO105&gt;=0.80,"Open",IF(BO105&gt;=0.62,"Measured",IF(BO105&gt;=0.45,"Selective","Guarded")))</f>
        <v/>
      </c>
      <c r="BS105">
        <f>IF(Y105="COMM_Direct","Direct",IF(Y105="COMM_Emotional","Emotional",IF(Y105="COMM_Logical","Logical",IF(Y105="COMM_Indirect","Indirect","Avoidant"))))</f>
        <v/>
      </c>
      <c r="BT105">
        <f>IF(BG105&gt;=0.78,"Co-repair",IF(BG105&gt;=0.58,"Re-engage",IF(BG105&gt;=0.40,"Delay","Suppress")))</f>
        <v/>
      </c>
      <c r="BU105">
        <f>IF(BI105&gt;=0.70,"Retreat-risk",IF(BH105&lt;=0.40,"Rush-risk",IF(BH105&gt;=0.65,"Slow-build","Mixed")))</f>
        <v/>
      </c>
      <c r="BV105">
        <f>IF(BL105-BM105&gt;=0.15,"Stimulation-seeking",IF(BM105-BL105&gt;=0.15,"Calm-seeking","Mixed")))</f>
        <v/>
      </c>
      <c r="BW105">
        <f>IF(AND(BL105&gt;=0.72,BM105&lt;0.48),"High",IF(AND(BL105&gt;=0.60,BM105&lt;0.58),"Medium","Low"))</f>
        <v/>
      </c>
    </row>
    <row r="106" ht="135" customHeight="1" s="10">
      <c r="A106" s="2" t="inlineStr">
        <is>
          <t>Q21_E</t>
        </is>
      </c>
      <c r="B106" s="2" t="n">
        <v>21</v>
      </c>
      <c r="C106" s="2" t="n">
        <v>21</v>
      </c>
      <c r="D106" s="2" t="inlineStr">
        <is>
          <t>Core</t>
        </is>
      </c>
      <c r="E106" s="2" t="n">
        <v>1.1</v>
      </c>
      <c r="F106" s="2" t="inlineStr">
        <is>
          <t>EmotionalRegulation</t>
        </is>
      </c>
      <c r="G106" s="2" t="inlineStr">
        <is>
          <t>AttachmentSafety</t>
        </is>
      </c>
      <c r="H106" s="2" t="n"/>
      <c r="I106" s="2" t="inlineStr">
        <is>
          <t>E</t>
        </is>
      </c>
      <c r="J106" s="2" t="inlineStr">
        <is>
          <t>E</t>
        </is>
      </c>
      <c r="K106" s="2" t="inlineStr">
        <is>
          <t>I tell myself it's probably just stress or a bad week. I don't want to give up too early, but it's hard not to notice when it shifts.</t>
        </is>
      </c>
      <c r="L106" s="2" t="n">
        <v>7</v>
      </c>
      <c r="M106" s="2" t="n">
        <v>8</v>
      </c>
      <c r="N106" s="2" t="n">
        <v>6</v>
      </c>
      <c r="O106" s="2" t="n">
        <v>6</v>
      </c>
      <c r="P106" s="2" t="n">
        <v>4</v>
      </c>
      <c r="Q106" s="2" t="inlineStr">
        <is>
          <t>Romantic Idealist</t>
        </is>
      </c>
      <c r="R106" s="2" t="n">
        <v>6</v>
      </c>
      <c r="S106" s="2" t="n"/>
      <c r="T106" s="2" t="n"/>
      <c r="U106" s="2" t="n">
        <v>0</v>
      </c>
      <c r="V106" s="2" t="inlineStr">
        <is>
          <t>masc:-0.4;fem:1.5</t>
        </is>
      </c>
      <c r="W106" s="2" t="n">
        <v>-0.4</v>
      </c>
      <c r="X106" s="2" t="n">
        <v>1.5</v>
      </c>
      <c r="Y106" s="2" t="inlineStr">
        <is>
          <t>COMM_Emotional</t>
        </is>
      </c>
      <c r="Z106" s="2" t="inlineStr">
        <is>
          <t>REG_Distractor</t>
        </is>
      </c>
      <c r="AA106" s="2" t="inlineStr">
        <is>
          <t>LANG_Gifts</t>
        </is>
      </c>
      <c r="AB106" s="2" t="n"/>
      <c r="AC106" s="2" t="n"/>
      <c r="AD106" s="2" t="n"/>
      <c r="AE106" s="2" t="n">
        <v>0</v>
      </c>
      <c r="AF106" s="2" t="inlineStr">
        <is>
          <t>tired hope</t>
        </is>
      </c>
      <c r="AG106" s="2" t="inlineStr">
        <is>
          <t>cautious optimist</t>
        </is>
      </c>
      <c r="AH106" s="2" t="n">
        <v>0</v>
      </c>
      <c r="AI106" s="2" t="inlineStr">
        <is>
          <t>no</t>
        </is>
      </c>
      <c r="AJ106" s="2" t="inlineStr">
        <is>
          <t>no</t>
        </is>
      </c>
      <c r="AK106" s="2" t="inlineStr">
        <is>
          <t>yes</t>
        </is>
      </c>
      <c r="AL106" s="2" t="inlineStr">
        <is>
          <t>yes</t>
        </is>
      </c>
      <c r="AM106" s="2" t="n"/>
      <c r="AN106" s="2" t="n"/>
      <c r="AO106" s="2" t="n"/>
      <c r="AP106" s="2" t="inlineStr">
        <is>
          <t>v3_2026-03-19</t>
        </is>
      </c>
      <c r="AQ106">
        <f>(L106-Schema_v5!$C2)/(Schema_v5!$C3-Schema_v5!$C2)</f>
        <v/>
      </c>
      <c r="AR106">
        <f>(M106-Schema_v5!$C4)/(Schema_v5!$C5-Schema_v5!$C4)</f>
        <v/>
      </c>
      <c r="AS106">
        <f>N106/Schema_v5!$C6</f>
        <v/>
      </c>
      <c r="AT106">
        <f>O106/Schema_v5!$C7</f>
        <v/>
      </c>
      <c r="AU106">
        <f>P106/Schema_v5!$C8</f>
        <v/>
      </c>
      <c r="AV106">
        <f>IF(Schema_v5!$C9=0,0,AH106/Schema_v5!$C9)</f>
        <v/>
      </c>
      <c r="AW106">
        <f>IF(Schema_v5!$C10=0,0,AE106/Schema_v5!$C10)</f>
        <v/>
      </c>
      <c r="AX106">
        <f>(W106-Schema_v5!$C11)/(Schema_v5!$C12-Schema_v5!$C11)</f>
        <v/>
      </c>
      <c r="AY106">
        <f>(X106-Schema_v5!$C13)/(Schema_v5!$C14-Schema_v5!$C13)</f>
        <v/>
      </c>
      <c r="AZ106">
        <f>MIN(1,MAX(0,U106/Schema_v7!$C$9))</f>
        <v/>
      </c>
      <c r="BA106">
        <f>IF(AJ106="yes",0.55,0)</f>
        <v/>
      </c>
      <c r="BB106">
        <f>IF(AI106="yes",0.10,0)</f>
        <v/>
      </c>
      <c r="BC106">
        <f>IF(Y106="COMM_Direct",0.92,IF(Y106="COMM_Emotional",0.70,IF(Y106="COMM_Logical",0.65,IF(Y106="COMM_Indirect",0.55,0.35))))</f>
        <v/>
      </c>
      <c r="BD106">
        <f>IF(Z106="REG_CoRegulator",0.92,IF(Z106="REG_SelfSoother",0.76,IF(Z106="REG_Distractor",0.48,0.35)))</f>
        <v/>
      </c>
      <c r="BE106">
        <f>IF(AA106="LANG_Time",0.76,IF(AA106="LANG_Service",0.70,IF(AA106="LANG_Words",0.72,IF(AA106="LANG_Touch",0.68,0.60))))</f>
        <v/>
      </c>
      <c r="BF106">
        <f>MAX(0,MIN(1,0.28*AS106+0.16*AT106+0.18*BC106+0.18*BD106+0.10*(1-AZ106)+0.10*(1-BA106)+BB106))</f>
        <v/>
      </c>
      <c r="BG106">
        <f>MAX(0,MIN(1,0.24*AU106+0.18*AS106+0.18*BC106+0.20*BD106+0.10*(1-AW106)+0.10*(1-BA106)))</f>
        <v/>
      </c>
      <c r="BH106">
        <f>MAX(0,MIN(1,0.28*AR106+0.18*AT106+0.16*AU106+0.18*(1-AV106)+0.10*(1-AW106)+0.10*BF106))</f>
        <v/>
      </c>
      <c r="BI106">
        <f>MAX(0,MIN(1,0.30*AV106+0.20*AZ106+0.20*AW106+0.15*(1-BH106)+0.15*(1-BO106)))</f>
        <v/>
      </c>
      <c r="BJ106">
        <f>MAX(0,1-(ABS(((( AX106+AY106)/2)-0.55)*1.6)))</f>
        <v/>
      </c>
      <c r="BK106">
        <f>MAX(0,MIN(1,0.28*AR106+0.18*AT106+0.16*BJ106+0.14*(1-AV106)+0.12*BQ106+0.12*BO106))</f>
        <v/>
      </c>
      <c r="BL106">
        <f>MAX(0,MIN(1,0.22*AQ106+0.18*AS106+0.18*BC106+0.18*BD106+0.08*BE106+0.10*BF106+0.06*BO106))</f>
        <v/>
      </c>
      <c r="BM106">
        <f>MAX(0,MIN(1,0.20*(1-AZ106)+0.16*(1-BA106)+0.14*(1-AW106)+0.14*AU106+0.18*BG106+0.10*BH106+0.08*BP106))</f>
        <v/>
      </c>
      <c r="BN106">
        <f>MAX(0,MIN(1,0.42*BJ106+0.33*BK106+0.15*AT106+0.10*BQ106))</f>
        <v/>
      </c>
      <c r="BO106">
        <f>MAX(0,MIN(1,0.30*BC106+0.24*BD106+0.18*AS106+0.14*(1-BI106)+0.14*AT106))</f>
        <v/>
      </c>
      <c r="BP106">
        <f>MAX(0,MIN(1,0.26*AS106+0.20*(1-BA106)+0.16*(1-AW106)+0.18*BG106+0.10*AU106+0.10+BB106))</f>
        <v/>
      </c>
      <c r="BQ106">
        <f>MAX(0,MIN(1,0.24*AT106+0.18*BF106+0.14*AR106+0.14*BO106+0.14*(1-AV106)+0.16*(1-AZ106)))</f>
        <v/>
      </c>
      <c r="BR106">
        <f>IF(BO106&gt;=0.80,"Open",IF(BO106&gt;=0.62,"Measured",IF(BO106&gt;=0.45,"Selective","Guarded")))</f>
        <v/>
      </c>
      <c r="BS106">
        <f>IF(Y106="COMM_Direct","Direct",IF(Y106="COMM_Emotional","Emotional",IF(Y106="COMM_Logical","Logical",IF(Y106="COMM_Indirect","Indirect","Avoidant"))))</f>
        <v/>
      </c>
      <c r="BT106">
        <f>IF(BG106&gt;=0.78,"Co-repair",IF(BG106&gt;=0.58,"Re-engage",IF(BG106&gt;=0.40,"Delay","Suppress")))</f>
        <v/>
      </c>
      <c r="BU106">
        <f>IF(BI106&gt;=0.70,"Retreat-risk",IF(BH106&lt;=0.40,"Rush-risk",IF(BH106&gt;=0.65,"Slow-build","Mixed")))</f>
        <v/>
      </c>
      <c r="BV106">
        <f>IF(BL106-BM106&gt;=0.15,"Stimulation-seeking",IF(BM106-BL106&gt;=0.15,"Calm-seeking","Mixed")))</f>
        <v/>
      </c>
      <c r="BW106">
        <f>IF(AND(BL106&gt;=0.72,BM106&lt;0.48),"High",IF(AND(BL106&gt;=0.60,BM106&lt;0.58),"Medium","Low"))</f>
        <v/>
      </c>
    </row>
    <row r="107" ht="94.5" customHeight="1" s="10">
      <c r="A107" s="2" t="inlineStr">
        <is>
          <t>Q22_A</t>
        </is>
      </c>
      <c r="B107" s="2" t="n">
        <v>22</v>
      </c>
      <c r="C107" s="2" t="n">
        <v>22</v>
      </c>
      <c r="D107" s="2" t="inlineStr">
        <is>
          <t>Core</t>
        </is>
      </c>
      <c r="E107" s="2" t="n">
        <v>1.1</v>
      </c>
      <c r="F107" s="2" t="inlineStr">
        <is>
          <t>EmotionalRegulation</t>
        </is>
      </c>
      <c r="G107" s="2" t="inlineStr">
        <is>
          <t>AttachmentSafety</t>
        </is>
      </c>
      <c r="H107" s="2" t="inlineStr">
        <is>
          <t>You're deep in conversation and they suddenly shut down or go quiet. What do you do next?</t>
        </is>
      </c>
      <c r="I107" s="2" t="inlineStr">
        <is>
          <t>A</t>
        </is>
      </c>
      <c r="J107" s="2" t="inlineStr">
        <is>
          <t>A</t>
        </is>
      </c>
      <c r="K107" s="2" t="inlineStr">
        <is>
          <t>I give them space. If they want to talk, they will. If not, I take the hint.</t>
        </is>
      </c>
      <c r="L107" s="2" t="n">
        <v>8</v>
      </c>
      <c r="M107" s="2" t="n">
        <v>8</v>
      </c>
      <c r="N107" s="2" t="n">
        <v>4</v>
      </c>
      <c r="O107" s="2" t="n">
        <v>4</v>
      </c>
      <c r="P107" s="2" t="n">
        <v>0</v>
      </c>
      <c r="Q107" s="2" t="inlineStr">
        <is>
          <t>Icebox</t>
        </is>
      </c>
      <c r="R107" s="2" t="n">
        <v>1</v>
      </c>
      <c r="S107" s="2" t="n"/>
      <c r="T107" s="2" t="n"/>
      <c r="U107" s="2" t="n">
        <v>0</v>
      </c>
      <c r="V107" s="2" t="inlineStr">
        <is>
          <t>masc:1.8;fem:-1.6</t>
        </is>
      </c>
      <c r="W107" s="2" t="n">
        <v>1.8</v>
      </c>
      <c r="X107" s="2" t="n">
        <v>-1.6</v>
      </c>
      <c r="Y107" s="2" t="inlineStr">
        <is>
          <t>COMM_Avoidant</t>
        </is>
      </c>
      <c r="Z107" s="2" t="inlineStr">
        <is>
          <t>REG_Suppressor</t>
        </is>
      </c>
      <c r="AA107" s="2" t="inlineStr">
        <is>
          <t>LANG_Time</t>
        </is>
      </c>
      <c r="AB107" s="2" t="n"/>
      <c r="AC107" s="2" t="n"/>
      <c r="AD107" s="2" t="n"/>
      <c r="AE107" s="2" t="n">
        <v>0</v>
      </c>
      <c r="AF107" s="2" t="inlineStr">
        <is>
          <t>detached cool</t>
        </is>
      </c>
      <c r="AG107" s="2" t="inlineStr">
        <is>
          <t>patient withdrawer</t>
        </is>
      </c>
      <c r="AH107" s="2" t="n">
        <v>1.2</v>
      </c>
      <c r="AI107" s="2" t="inlineStr">
        <is>
          <t>no</t>
        </is>
      </c>
      <c r="AJ107" s="2" t="inlineStr">
        <is>
          <t>no</t>
        </is>
      </c>
      <c r="AK107" s="2" t="inlineStr">
        <is>
          <t>yes</t>
        </is>
      </c>
      <c r="AL107" s="2" t="inlineStr">
        <is>
          <t>yes</t>
        </is>
      </c>
      <c r="AM107" s="2" t="n"/>
      <c r="AN107" s="2" t="n"/>
      <c r="AO107" s="2" t="n"/>
      <c r="AP107" s="2" t="inlineStr">
        <is>
          <t>v3_2026-03-19</t>
        </is>
      </c>
      <c r="AQ107">
        <f>(L107-Schema_v5!$C2)/(Schema_v5!$C3-Schema_v5!$C2)</f>
        <v/>
      </c>
      <c r="AR107">
        <f>(M107-Schema_v5!$C4)/(Schema_v5!$C5-Schema_v5!$C4)</f>
        <v/>
      </c>
      <c r="AS107">
        <f>N107/Schema_v5!$C6</f>
        <v/>
      </c>
      <c r="AT107">
        <f>O107/Schema_v5!$C7</f>
        <v/>
      </c>
      <c r="AU107">
        <f>P107/Schema_v5!$C8</f>
        <v/>
      </c>
      <c r="AV107">
        <f>IF(Schema_v5!$C9=0,0,AH107/Schema_v5!$C9)</f>
        <v/>
      </c>
      <c r="AW107">
        <f>IF(Schema_v5!$C10=0,0,AE107/Schema_v5!$C10)</f>
        <v/>
      </c>
      <c r="AX107">
        <f>(W107-Schema_v5!$C11)/(Schema_v5!$C12-Schema_v5!$C11)</f>
        <v/>
      </c>
      <c r="AY107">
        <f>(X107-Schema_v5!$C13)/(Schema_v5!$C14-Schema_v5!$C13)</f>
        <v/>
      </c>
      <c r="AZ107">
        <f>MIN(1,MAX(0,U107/Schema_v7!$C$9))</f>
        <v/>
      </c>
      <c r="BA107">
        <f>IF(AJ107="yes",0.55,0)</f>
        <v/>
      </c>
      <c r="BB107">
        <f>IF(AI107="yes",0.10,0)</f>
        <v/>
      </c>
      <c r="BC107">
        <f>IF(Y107="COMM_Direct",0.92,IF(Y107="COMM_Emotional",0.70,IF(Y107="COMM_Logical",0.65,IF(Y107="COMM_Indirect",0.55,0.35))))</f>
        <v/>
      </c>
      <c r="BD107">
        <f>IF(Z107="REG_CoRegulator",0.92,IF(Z107="REG_SelfSoother",0.76,IF(Z107="REG_Distractor",0.48,0.35)))</f>
        <v/>
      </c>
      <c r="BE107">
        <f>IF(AA107="LANG_Time",0.76,IF(AA107="LANG_Service",0.70,IF(AA107="LANG_Words",0.72,IF(AA107="LANG_Touch",0.68,0.60))))</f>
        <v/>
      </c>
      <c r="BF107">
        <f>MAX(0,MIN(1,0.28*AS107+0.16*AT107+0.18*BC107+0.18*BD107+0.10*(1-AZ107)+0.10*(1-BA107)+BB107))</f>
        <v/>
      </c>
      <c r="BG107">
        <f>MAX(0,MIN(1,0.24*AU107+0.18*AS107+0.18*BC107+0.20*BD107+0.10*(1-AW107)+0.10*(1-BA107)))</f>
        <v/>
      </c>
      <c r="BH107">
        <f>MAX(0,MIN(1,0.28*AR107+0.18*AT107+0.16*AU107+0.18*(1-AV107)+0.10*(1-AW107)+0.10*BF107))</f>
        <v/>
      </c>
      <c r="BI107">
        <f>MAX(0,MIN(1,0.30*AV107+0.20*AZ107+0.20*AW107+0.15*(1-BH107)+0.15*(1-BO107)))</f>
        <v/>
      </c>
      <c r="BJ107">
        <f>MAX(0,1-(ABS(((( AX107+AY107)/2)-0.55)*1.6)))</f>
        <v/>
      </c>
      <c r="BK107">
        <f>MAX(0,MIN(1,0.28*AR107+0.18*AT107+0.16*BJ107+0.14*(1-AV107)+0.12*BQ107+0.12*BO107))</f>
        <v/>
      </c>
      <c r="BL107">
        <f>MAX(0,MIN(1,0.22*AQ107+0.18*AS107+0.18*BC107+0.18*BD107+0.08*BE107+0.10*BF107+0.06*BO107))</f>
        <v/>
      </c>
      <c r="BM107">
        <f>MAX(0,MIN(1,0.20*(1-AZ107)+0.16*(1-BA107)+0.14*(1-AW107)+0.14*AU107+0.18*BG107+0.10*BH107+0.08*BP107))</f>
        <v/>
      </c>
      <c r="BN107">
        <f>MAX(0,MIN(1,0.42*BJ107+0.33*BK107+0.15*AT107+0.10*BQ107))</f>
        <v/>
      </c>
      <c r="BO107">
        <f>MAX(0,MIN(1,0.30*BC107+0.24*BD107+0.18*AS107+0.14*(1-BI107)+0.14*AT107))</f>
        <v/>
      </c>
      <c r="BP107">
        <f>MAX(0,MIN(1,0.26*AS107+0.20*(1-BA107)+0.16*(1-AW107)+0.18*BG107+0.10*AU107+0.10+BB107))</f>
        <v/>
      </c>
      <c r="BQ107">
        <f>MAX(0,MIN(1,0.24*AT107+0.18*BF107+0.14*AR107+0.14*BO107+0.14*(1-AV107)+0.16*(1-AZ107)))</f>
        <v/>
      </c>
      <c r="BR107">
        <f>IF(BO107&gt;=0.80,"Open",IF(BO107&gt;=0.62,"Measured",IF(BO107&gt;=0.45,"Selective","Guarded")))</f>
        <v/>
      </c>
      <c r="BS107">
        <f>IF(Y107="COMM_Direct","Direct",IF(Y107="COMM_Emotional","Emotional",IF(Y107="COMM_Logical","Logical",IF(Y107="COMM_Indirect","Indirect","Avoidant"))))</f>
        <v/>
      </c>
      <c r="BT107">
        <f>IF(BG107&gt;=0.78,"Co-repair",IF(BG107&gt;=0.58,"Re-engage",IF(BG107&gt;=0.40,"Delay","Suppress")))</f>
        <v/>
      </c>
      <c r="BU107">
        <f>IF(BI107&gt;=0.70,"Retreat-risk",IF(BH107&lt;=0.40,"Rush-risk",IF(BH107&gt;=0.65,"Slow-build","Mixed")))</f>
        <v/>
      </c>
      <c r="BV107">
        <f>IF(BL107-BM107&gt;=0.15,"Stimulation-seeking",IF(BM107-BL107&gt;=0.15,"Calm-seeking","Mixed")))</f>
        <v/>
      </c>
      <c r="BW107">
        <f>IF(AND(BL107&gt;=0.72,BM107&lt;0.48),"High",IF(AND(BL107&gt;=0.60,BM107&lt;0.58),"Medium","Low"))</f>
        <v/>
      </c>
    </row>
    <row r="108" ht="135" customHeight="1" s="10">
      <c r="A108" s="2" t="inlineStr">
        <is>
          <t>Q22_B</t>
        </is>
      </c>
      <c r="B108" s="2" t="n">
        <v>22</v>
      </c>
      <c r="C108" s="2" t="n">
        <v>22</v>
      </c>
      <c r="D108" s="2" t="inlineStr">
        <is>
          <t>Core</t>
        </is>
      </c>
      <c r="E108" s="2" t="n">
        <v>1.1</v>
      </c>
      <c r="F108" s="2" t="inlineStr">
        <is>
          <t>EmotionalRegulation</t>
        </is>
      </c>
      <c r="G108" s="2" t="inlineStr">
        <is>
          <t>AttachmentSafety</t>
        </is>
      </c>
      <c r="H108" s="2" t="n"/>
      <c r="I108" s="2" t="inlineStr">
        <is>
          <t>B</t>
        </is>
      </c>
      <c r="J108" s="2" t="inlineStr">
        <is>
          <t>B</t>
        </is>
      </c>
      <c r="K108" s="2" t="inlineStr">
        <is>
          <t>I immediately think I said something wrong. I start scanning every word trying to figure out what triggered it.</t>
        </is>
      </c>
      <c r="L108" s="2" t="n">
        <v>4</v>
      </c>
      <c r="M108" s="2" t="n">
        <v>5</v>
      </c>
      <c r="N108" s="2" t="n">
        <v>2</v>
      </c>
      <c r="O108" s="2" t="n">
        <v>2</v>
      </c>
      <c r="P108" s="2" t="n">
        <v>2</v>
      </c>
      <c r="Q108" s="2" t="inlineStr">
        <is>
          <t>Analyzer</t>
        </is>
      </c>
      <c r="R108" s="2" t="n">
        <v>2</v>
      </c>
      <c r="S108" s="2" t="n"/>
      <c r="T108" s="2" t="n"/>
      <c r="U108" s="2" t="n">
        <v>0</v>
      </c>
      <c r="V108" s="2" t="inlineStr">
        <is>
          <t>masc:1.4;fem:0.1</t>
        </is>
      </c>
      <c r="W108" s="2" t="n">
        <v>1.4</v>
      </c>
      <c r="X108" s="2" t="n">
        <v>0.1</v>
      </c>
      <c r="Y108" s="2" t="inlineStr">
        <is>
          <t>COMM_Logical</t>
        </is>
      </c>
      <c r="Z108" s="2" t="inlineStr">
        <is>
          <t>REG_SelfSoother</t>
        </is>
      </c>
      <c r="AA108" s="2" t="inlineStr">
        <is>
          <t>LANG_Service</t>
        </is>
      </c>
      <c r="AB108" s="2" t="inlineStr">
        <is>
          <t>Vulnerability_Loop</t>
        </is>
      </c>
      <c r="AC108" s="2" t="inlineStr">
        <is>
          <t>Vulnerability_Loop</t>
        </is>
      </c>
      <c r="AD108" s="2" t="n"/>
      <c r="AE108" s="2" t="n">
        <v>5</v>
      </c>
      <c r="AF108" s="2" t="inlineStr">
        <is>
          <t>inner spiral</t>
        </is>
      </c>
      <c r="AG108" s="2" t="inlineStr">
        <is>
          <t>self-blamer</t>
        </is>
      </c>
      <c r="AH108" s="2" t="n">
        <v>0</v>
      </c>
      <c r="AI108" s="2" t="inlineStr">
        <is>
          <t>yes</t>
        </is>
      </c>
      <c r="AJ108" s="2" t="inlineStr">
        <is>
          <t>no</t>
        </is>
      </c>
      <c r="AK108" s="2" t="inlineStr">
        <is>
          <t>yes</t>
        </is>
      </c>
      <c r="AL108" s="2" t="inlineStr">
        <is>
          <t>yes</t>
        </is>
      </c>
      <c r="AM108" s="2" t="n"/>
      <c r="AN108" s="2" t="n"/>
      <c r="AO108" s="2" t="n"/>
      <c r="AP108" s="2" t="inlineStr">
        <is>
          <t>v3_2026-03-19</t>
        </is>
      </c>
      <c r="AQ108">
        <f>(L108-Schema_v5!$C2)/(Schema_v5!$C3-Schema_v5!$C2)</f>
        <v/>
      </c>
      <c r="AR108">
        <f>(M108-Schema_v5!$C4)/(Schema_v5!$C5-Schema_v5!$C4)</f>
        <v/>
      </c>
      <c r="AS108">
        <f>N108/Schema_v5!$C6</f>
        <v/>
      </c>
      <c r="AT108">
        <f>O108/Schema_v5!$C7</f>
        <v/>
      </c>
      <c r="AU108">
        <f>P108/Schema_v5!$C8</f>
        <v/>
      </c>
      <c r="AV108">
        <f>IF(Schema_v5!$C9=0,0,AH108/Schema_v5!$C9)</f>
        <v/>
      </c>
      <c r="AW108">
        <f>IF(Schema_v5!$C10=0,0,AE108/Schema_v5!$C10)</f>
        <v/>
      </c>
      <c r="AX108">
        <f>(W108-Schema_v5!$C11)/(Schema_v5!$C12-Schema_v5!$C11)</f>
        <v/>
      </c>
      <c r="AY108">
        <f>(X108-Schema_v5!$C13)/(Schema_v5!$C14-Schema_v5!$C13)</f>
        <v/>
      </c>
      <c r="AZ108">
        <f>MIN(1,MAX(0,U108/Schema_v7!$C$9))</f>
        <v/>
      </c>
      <c r="BA108">
        <f>IF(AJ108="yes",0.55,0)</f>
        <v/>
      </c>
      <c r="BB108">
        <f>IF(AI108="yes",0.10,0)</f>
        <v/>
      </c>
      <c r="BC108">
        <f>IF(Y108="COMM_Direct",0.92,IF(Y108="COMM_Emotional",0.70,IF(Y108="COMM_Logical",0.65,IF(Y108="COMM_Indirect",0.55,0.35))))</f>
        <v/>
      </c>
      <c r="BD108">
        <f>IF(Z108="REG_CoRegulator",0.92,IF(Z108="REG_SelfSoother",0.76,IF(Z108="REG_Distractor",0.48,0.35)))</f>
        <v/>
      </c>
      <c r="BE108">
        <f>IF(AA108="LANG_Time",0.76,IF(AA108="LANG_Service",0.70,IF(AA108="LANG_Words",0.72,IF(AA108="LANG_Touch",0.68,0.60))))</f>
        <v/>
      </c>
      <c r="BF108">
        <f>MAX(0,MIN(1,0.28*AS108+0.16*AT108+0.18*BC108+0.18*BD108+0.10*(1-AZ108)+0.10*(1-BA108)+BB108))</f>
        <v/>
      </c>
      <c r="BG108">
        <f>MAX(0,MIN(1,0.24*AU108+0.18*AS108+0.18*BC108+0.20*BD108+0.10*(1-AW108)+0.10*(1-BA108)))</f>
        <v/>
      </c>
      <c r="BH108">
        <f>MAX(0,MIN(1,0.28*AR108+0.18*AT108+0.16*AU108+0.18*(1-AV108)+0.10*(1-AW108)+0.10*BF108))</f>
        <v/>
      </c>
      <c r="BI108">
        <f>MAX(0,MIN(1,0.30*AV108+0.20*AZ108+0.20*AW108+0.15*(1-BH108)+0.15*(1-BO108)))</f>
        <v/>
      </c>
      <c r="BJ108">
        <f>MAX(0,1-(ABS(((( AX108+AY108)/2)-0.55)*1.6)))</f>
        <v/>
      </c>
      <c r="BK108">
        <f>MAX(0,MIN(1,0.28*AR108+0.18*AT108+0.16*BJ108+0.14*(1-AV108)+0.12*BQ108+0.12*BO108))</f>
        <v/>
      </c>
      <c r="BL108">
        <f>MAX(0,MIN(1,0.22*AQ108+0.18*AS108+0.18*BC108+0.18*BD108+0.08*BE108+0.10*BF108+0.06*BO108))</f>
        <v/>
      </c>
      <c r="BM108">
        <f>MAX(0,MIN(1,0.20*(1-AZ108)+0.16*(1-BA108)+0.14*(1-AW108)+0.14*AU108+0.18*BG108+0.10*BH108+0.08*BP108))</f>
        <v/>
      </c>
      <c r="BN108">
        <f>MAX(0,MIN(1,0.42*BJ108+0.33*BK108+0.15*AT108+0.10*BQ108))</f>
        <v/>
      </c>
      <c r="BO108">
        <f>MAX(0,MIN(1,0.30*BC108+0.24*BD108+0.18*AS108+0.14*(1-BI108)+0.14*AT108))</f>
        <v/>
      </c>
      <c r="BP108">
        <f>MAX(0,MIN(1,0.26*AS108+0.20*(1-BA108)+0.16*(1-AW108)+0.18*BG108+0.10*AU108+0.10+BB108))</f>
        <v/>
      </c>
      <c r="BQ108">
        <f>MAX(0,MIN(1,0.24*AT108+0.18*BF108+0.14*AR108+0.14*BO108+0.14*(1-AV108)+0.16*(1-AZ108)))</f>
        <v/>
      </c>
      <c r="BR108">
        <f>IF(BO108&gt;=0.80,"Open",IF(BO108&gt;=0.62,"Measured",IF(BO108&gt;=0.45,"Selective","Guarded")))</f>
        <v/>
      </c>
      <c r="BS108">
        <f>IF(Y108="COMM_Direct","Direct",IF(Y108="COMM_Emotional","Emotional",IF(Y108="COMM_Logical","Logical",IF(Y108="COMM_Indirect","Indirect","Avoidant"))))</f>
        <v/>
      </c>
      <c r="BT108">
        <f>IF(BG108&gt;=0.78,"Co-repair",IF(BG108&gt;=0.58,"Re-engage",IF(BG108&gt;=0.40,"Delay","Suppress")))</f>
        <v/>
      </c>
      <c r="BU108">
        <f>IF(BI108&gt;=0.70,"Retreat-risk",IF(BH108&lt;=0.40,"Rush-risk",IF(BH108&gt;=0.65,"Slow-build","Mixed")))</f>
        <v/>
      </c>
      <c r="BV108">
        <f>IF(BL108-BM108&gt;=0.15,"Stimulation-seeking",IF(BM108-BL108&gt;=0.15,"Calm-seeking","Mixed")))</f>
        <v/>
      </c>
      <c r="BW108">
        <f>IF(AND(BL108&gt;=0.72,BM108&lt;0.48),"High",IF(AND(BL108&gt;=0.60,BM108&lt;0.58),"Medium","Low"))</f>
        <v/>
      </c>
    </row>
    <row r="109" ht="121.5" customHeight="1" s="10">
      <c r="A109" s="2" t="inlineStr">
        <is>
          <t>Q22_C</t>
        </is>
      </c>
      <c r="B109" s="2" t="n">
        <v>22</v>
      </c>
      <c r="C109" s="2" t="n">
        <v>22</v>
      </c>
      <c r="D109" s="2" t="inlineStr">
        <is>
          <t>Core</t>
        </is>
      </c>
      <c r="E109" s="2" t="n">
        <v>1.1</v>
      </c>
      <c r="F109" s="2" t="inlineStr">
        <is>
          <t>EmotionalRegulation</t>
        </is>
      </c>
      <c r="G109" s="2" t="inlineStr">
        <is>
          <t>AttachmentSafety</t>
        </is>
      </c>
      <c r="H109" s="2" t="n"/>
      <c r="I109" s="2" t="inlineStr">
        <is>
          <t>C</t>
        </is>
      </c>
      <c r="J109" s="2" t="inlineStr">
        <is>
          <t>C</t>
        </is>
      </c>
      <c r="K109" s="2" t="inlineStr">
        <is>
          <t>I'll ask once. If it's brushed off or ignored, I shift. I'm not the type to sit in someone else's silence for long.</t>
        </is>
      </c>
      <c r="L109" s="2" t="n">
        <v>9</v>
      </c>
      <c r="M109" s="2" t="n">
        <v>9</v>
      </c>
      <c r="N109" s="2" t="n">
        <v>10</v>
      </c>
      <c r="O109" s="2" t="n">
        <v>10</v>
      </c>
      <c r="P109" s="2" t="n">
        <v>10</v>
      </c>
      <c r="Q109" s="2" t="inlineStr">
        <is>
          <t>Regulated Grown-Up</t>
        </is>
      </c>
      <c r="R109" s="2" t="n">
        <v>9</v>
      </c>
      <c r="S109" s="2" t="n"/>
      <c r="T109" s="2" t="n"/>
      <c r="U109" s="2" t="n">
        <v>0</v>
      </c>
      <c r="V109" s="2" t="inlineStr">
        <is>
          <t>masc:1.1;fem:0.9</t>
        </is>
      </c>
      <c r="W109" s="2" t="n">
        <v>1.1</v>
      </c>
      <c r="X109" s="2" t="n">
        <v>0.9</v>
      </c>
      <c r="Y109" s="2" t="inlineStr">
        <is>
          <t>COMM_Direct</t>
        </is>
      </c>
      <c r="Z109" s="2" t="inlineStr">
        <is>
          <t>REG_CoRegulator</t>
        </is>
      </c>
      <c r="AA109" s="2" t="inlineStr">
        <is>
          <t>LANG_Words</t>
        </is>
      </c>
      <c r="AB109" s="2" t="n"/>
      <c r="AC109" s="2" t="n"/>
      <c r="AD109" s="2" t="n"/>
      <c r="AE109" s="2" t="n">
        <v>0</v>
      </c>
      <c r="AF109" s="2" t="inlineStr">
        <is>
          <t>direct with boundaries</t>
        </is>
      </c>
      <c r="AG109" s="2" t="inlineStr">
        <is>
          <t>firm line-setter</t>
        </is>
      </c>
      <c r="AH109" s="2" t="n">
        <v>0</v>
      </c>
      <c r="AI109" s="2" t="inlineStr">
        <is>
          <t>no</t>
        </is>
      </c>
      <c r="AJ109" s="2" t="inlineStr">
        <is>
          <t>no</t>
        </is>
      </c>
      <c r="AK109" s="2" t="inlineStr">
        <is>
          <t>yes</t>
        </is>
      </c>
      <c r="AL109" s="2" t="inlineStr">
        <is>
          <t>yes</t>
        </is>
      </c>
      <c r="AM109" s="2" t="n"/>
      <c r="AN109" s="2" t="n"/>
      <c r="AO109" s="2" t="n"/>
      <c r="AP109" s="2" t="inlineStr">
        <is>
          <t>v3_2026-03-19</t>
        </is>
      </c>
      <c r="AQ109">
        <f>(L109-Schema_v5!$C2)/(Schema_v5!$C3-Schema_v5!$C2)</f>
        <v/>
      </c>
      <c r="AR109">
        <f>(M109-Schema_v5!$C4)/(Schema_v5!$C5-Schema_v5!$C4)</f>
        <v/>
      </c>
      <c r="AS109">
        <f>N109/Schema_v5!$C6</f>
        <v/>
      </c>
      <c r="AT109">
        <f>O109/Schema_v5!$C7</f>
        <v/>
      </c>
      <c r="AU109">
        <f>P109/Schema_v5!$C8</f>
        <v/>
      </c>
      <c r="AV109">
        <f>IF(Schema_v5!$C9=0,0,AH109/Schema_v5!$C9)</f>
        <v/>
      </c>
      <c r="AW109">
        <f>IF(Schema_v5!$C10=0,0,AE109/Schema_v5!$C10)</f>
        <v/>
      </c>
      <c r="AX109">
        <f>(W109-Schema_v5!$C11)/(Schema_v5!$C12-Schema_v5!$C11)</f>
        <v/>
      </c>
      <c r="AY109">
        <f>(X109-Schema_v5!$C13)/(Schema_v5!$C14-Schema_v5!$C13)</f>
        <v/>
      </c>
      <c r="AZ109">
        <f>MIN(1,MAX(0,U109/Schema_v7!$C$9))</f>
        <v/>
      </c>
      <c r="BA109">
        <f>IF(AJ109="yes",0.55,0)</f>
        <v/>
      </c>
      <c r="BB109">
        <f>IF(AI109="yes",0.10,0)</f>
        <v/>
      </c>
      <c r="BC109">
        <f>IF(Y109="COMM_Direct",0.92,IF(Y109="COMM_Emotional",0.70,IF(Y109="COMM_Logical",0.65,IF(Y109="COMM_Indirect",0.55,0.35))))</f>
        <v/>
      </c>
      <c r="BD109">
        <f>IF(Z109="REG_CoRegulator",0.92,IF(Z109="REG_SelfSoother",0.76,IF(Z109="REG_Distractor",0.48,0.35)))</f>
        <v/>
      </c>
      <c r="BE109">
        <f>IF(AA109="LANG_Time",0.76,IF(AA109="LANG_Service",0.70,IF(AA109="LANG_Words",0.72,IF(AA109="LANG_Touch",0.68,0.60))))</f>
        <v/>
      </c>
      <c r="BF109">
        <f>MAX(0,MIN(1,0.28*AS109+0.16*AT109+0.18*BC109+0.18*BD109+0.10*(1-AZ109)+0.10*(1-BA109)+BB109))</f>
        <v/>
      </c>
      <c r="BG109">
        <f>MAX(0,MIN(1,0.24*AU109+0.18*AS109+0.18*BC109+0.20*BD109+0.10*(1-AW109)+0.10*(1-BA109)))</f>
        <v/>
      </c>
      <c r="BH109">
        <f>MAX(0,MIN(1,0.28*AR109+0.18*AT109+0.16*AU109+0.18*(1-AV109)+0.10*(1-AW109)+0.10*BF109))</f>
        <v/>
      </c>
      <c r="BI109">
        <f>MAX(0,MIN(1,0.30*AV109+0.20*AZ109+0.20*AW109+0.15*(1-BH109)+0.15*(1-BO109)))</f>
        <v/>
      </c>
      <c r="BJ109">
        <f>MAX(0,1-(ABS(((( AX109+AY109)/2)-0.55)*1.6)))</f>
        <v/>
      </c>
      <c r="BK109">
        <f>MAX(0,MIN(1,0.28*AR109+0.18*AT109+0.16*BJ109+0.14*(1-AV109)+0.12*BQ109+0.12*BO109))</f>
        <v/>
      </c>
      <c r="BL109">
        <f>MAX(0,MIN(1,0.22*AQ109+0.18*AS109+0.18*BC109+0.18*BD109+0.08*BE109+0.10*BF109+0.06*BO109))</f>
        <v/>
      </c>
      <c r="BM109">
        <f>MAX(0,MIN(1,0.20*(1-AZ109)+0.16*(1-BA109)+0.14*(1-AW109)+0.14*AU109+0.18*BG109+0.10*BH109+0.08*BP109))</f>
        <v/>
      </c>
      <c r="BN109">
        <f>MAX(0,MIN(1,0.42*BJ109+0.33*BK109+0.15*AT109+0.10*BQ109))</f>
        <v/>
      </c>
      <c r="BO109">
        <f>MAX(0,MIN(1,0.30*BC109+0.24*BD109+0.18*AS109+0.14*(1-BI109)+0.14*AT109))</f>
        <v/>
      </c>
      <c r="BP109">
        <f>MAX(0,MIN(1,0.26*AS109+0.20*(1-BA109)+0.16*(1-AW109)+0.18*BG109+0.10*AU109+0.10+BB109))</f>
        <v/>
      </c>
      <c r="BQ109">
        <f>MAX(0,MIN(1,0.24*AT109+0.18*BF109+0.14*AR109+0.14*BO109+0.14*(1-AV109)+0.16*(1-AZ109)))</f>
        <v/>
      </c>
      <c r="BR109">
        <f>IF(BO109&gt;=0.80,"Open",IF(BO109&gt;=0.62,"Measured",IF(BO109&gt;=0.45,"Selective","Guarded")))</f>
        <v/>
      </c>
      <c r="BS109">
        <f>IF(Y109="COMM_Direct","Direct",IF(Y109="COMM_Emotional","Emotional",IF(Y109="COMM_Logical","Logical",IF(Y109="COMM_Indirect","Indirect","Avoidant"))))</f>
        <v/>
      </c>
      <c r="BT109">
        <f>IF(BG109&gt;=0.78,"Co-repair",IF(BG109&gt;=0.58,"Re-engage",IF(BG109&gt;=0.40,"Delay","Suppress")))</f>
        <v/>
      </c>
      <c r="BU109">
        <f>IF(BI109&gt;=0.70,"Retreat-risk",IF(BH109&lt;=0.40,"Rush-risk",IF(BH109&gt;=0.65,"Slow-build","Mixed")))</f>
        <v/>
      </c>
      <c r="BV109">
        <f>IF(BL109-BM109&gt;=0.15,"Stimulation-seeking",IF(BM109-BL109&gt;=0.15,"Calm-seeking","Mixed")))</f>
        <v/>
      </c>
      <c r="BW109">
        <f>IF(AND(BL109&gt;=0.72,BM109&lt;0.48),"High",IF(AND(BL109&gt;=0.60,BM109&lt;0.58),"Medium","Low"))</f>
        <v/>
      </c>
    </row>
    <row r="110" ht="121.5" customHeight="1" s="10">
      <c r="A110" s="2" t="inlineStr">
        <is>
          <t>Q22_D</t>
        </is>
      </c>
      <c r="B110" s="2" t="n">
        <v>22</v>
      </c>
      <c r="C110" s="2" t="n">
        <v>22</v>
      </c>
      <c r="D110" s="2" t="inlineStr">
        <is>
          <t>Core</t>
        </is>
      </c>
      <c r="E110" s="2" t="n">
        <v>1.1</v>
      </c>
      <c r="F110" s="2" t="inlineStr">
        <is>
          <t>EmotionalRegulation</t>
        </is>
      </c>
      <c r="G110" s="2" t="inlineStr">
        <is>
          <t>AttachmentSafety</t>
        </is>
      </c>
      <c r="H110" s="2" t="n"/>
      <c r="I110" s="2" t="inlineStr">
        <is>
          <t>D</t>
        </is>
      </c>
      <c r="J110" s="2" t="inlineStr">
        <is>
          <t>D</t>
        </is>
      </c>
      <c r="K110" s="2" t="inlineStr">
        <is>
          <t>I try to keep the mood up, shift the subject, make it feel less tense,even if I'm freaking out a little inside.</t>
        </is>
      </c>
      <c r="L110" s="2" t="n">
        <v>6</v>
      </c>
      <c r="M110" s="2" t="n">
        <v>7</v>
      </c>
      <c r="N110" s="2" t="n">
        <v>4</v>
      </c>
      <c r="O110" s="2" t="n">
        <v>4</v>
      </c>
      <c r="P110" s="2" t="n">
        <v>2</v>
      </c>
      <c r="Q110" s="2" t="inlineStr">
        <is>
          <t>Performer</t>
        </is>
      </c>
      <c r="R110" s="2" t="n">
        <v>7</v>
      </c>
      <c r="S110" s="2" t="n"/>
      <c r="T110" s="2" t="n"/>
      <c r="U110" s="2" t="n">
        <v>0</v>
      </c>
      <c r="V110" s="2" t="inlineStr">
        <is>
          <t>masc:0.3;fem:0.5</t>
        </is>
      </c>
      <c r="W110" s="2" t="n">
        <v>0.3</v>
      </c>
      <c r="X110" s="2" t="n">
        <v>0.5</v>
      </c>
      <c r="Y110" s="2" t="inlineStr">
        <is>
          <t>COMM_Indirect</t>
        </is>
      </c>
      <c r="Z110" s="2" t="inlineStr">
        <is>
          <t>REG_Distractor</t>
        </is>
      </c>
      <c r="AA110" s="2" t="inlineStr">
        <is>
          <t>LANG_Gifts</t>
        </is>
      </c>
      <c r="AB110" s="2" t="inlineStr">
        <is>
          <t>Vulnerability_Loop</t>
        </is>
      </c>
      <c r="AC110" s="2" t="inlineStr">
        <is>
          <t>Vulnerability_Loop</t>
        </is>
      </c>
      <c r="AD110" s="2" t="n"/>
      <c r="AE110" s="2" t="n">
        <v>5</v>
      </c>
      <c r="AF110" s="2" t="inlineStr">
        <is>
          <t>smooth cover-up</t>
        </is>
      </c>
      <c r="AG110" s="2" t="inlineStr">
        <is>
          <t>tension diffuser</t>
        </is>
      </c>
      <c r="AH110" s="2" t="n">
        <v>0</v>
      </c>
      <c r="AI110" s="2" t="inlineStr">
        <is>
          <t>yes</t>
        </is>
      </c>
      <c r="AJ110" s="2" t="inlineStr">
        <is>
          <t>no</t>
        </is>
      </c>
      <c r="AK110" s="2" t="inlineStr">
        <is>
          <t>yes</t>
        </is>
      </c>
      <c r="AL110" s="2" t="inlineStr">
        <is>
          <t>yes</t>
        </is>
      </c>
      <c r="AM110" s="2" t="n"/>
      <c r="AN110" s="2" t="n"/>
      <c r="AO110" s="2" t="n"/>
      <c r="AP110" s="2" t="inlineStr">
        <is>
          <t>v3_2026-03-19</t>
        </is>
      </c>
      <c r="AQ110">
        <f>(L110-Schema_v5!$C2)/(Schema_v5!$C3-Schema_v5!$C2)</f>
        <v/>
      </c>
      <c r="AR110">
        <f>(M110-Schema_v5!$C4)/(Schema_v5!$C5-Schema_v5!$C4)</f>
        <v/>
      </c>
      <c r="AS110">
        <f>N110/Schema_v5!$C6</f>
        <v/>
      </c>
      <c r="AT110">
        <f>O110/Schema_v5!$C7</f>
        <v/>
      </c>
      <c r="AU110">
        <f>P110/Schema_v5!$C8</f>
        <v/>
      </c>
      <c r="AV110">
        <f>IF(Schema_v5!$C9=0,0,AH110/Schema_v5!$C9)</f>
        <v/>
      </c>
      <c r="AW110">
        <f>IF(Schema_v5!$C10=0,0,AE110/Schema_v5!$C10)</f>
        <v/>
      </c>
      <c r="AX110">
        <f>(W110-Schema_v5!$C11)/(Schema_v5!$C12-Schema_v5!$C11)</f>
        <v/>
      </c>
      <c r="AY110">
        <f>(X110-Schema_v5!$C13)/(Schema_v5!$C14-Schema_v5!$C13)</f>
        <v/>
      </c>
      <c r="AZ110">
        <f>MIN(1,MAX(0,U110/Schema_v7!$C$9))</f>
        <v/>
      </c>
      <c r="BA110">
        <f>IF(AJ110="yes",0.55,0)</f>
        <v/>
      </c>
      <c r="BB110">
        <f>IF(AI110="yes",0.10,0)</f>
        <v/>
      </c>
      <c r="BC110">
        <f>IF(Y110="COMM_Direct",0.92,IF(Y110="COMM_Emotional",0.70,IF(Y110="COMM_Logical",0.65,IF(Y110="COMM_Indirect",0.55,0.35))))</f>
        <v/>
      </c>
      <c r="BD110">
        <f>IF(Z110="REG_CoRegulator",0.92,IF(Z110="REG_SelfSoother",0.76,IF(Z110="REG_Distractor",0.48,0.35)))</f>
        <v/>
      </c>
      <c r="BE110">
        <f>IF(AA110="LANG_Time",0.76,IF(AA110="LANG_Service",0.70,IF(AA110="LANG_Words",0.72,IF(AA110="LANG_Touch",0.68,0.60))))</f>
        <v/>
      </c>
      <c r="BF110">
        <f>MAX(0,MIN(1,0.28*AS110+0.16*AT110+0.18*BC110+0.18*BD110+0.10*(1-AZ110)+0.10*(1-BA110)+BB110))</f>
        <v/>
      </c>
      <c r="BG110">
        <f>MAX(0,MIN(1,0.24*AU110+0.18*AS110+0.18*BC110+0.20*BD110+0.10*(1-AW110)+0.10*(1-BA110)))</f>
        <v/>
      </c>
      <c r="BH110">
        <f>MAX(0,MIN(1,0.28*AR110+0.18*AT110+0.16*AU110+0.18*(1-AV110)+0.10*(1-AW110)+0.10*BF110))</f>
        <v/>
      </c>
      <c r="BI110">
        <f>MAX(0,MIN(1,0.30*AV110+0.20*AZ110+0.20*AW110+0.15*(1-BH110)+0.15*(1-BO110)))</f>
        <v/>
      </c>
      <c r="BJ110">
        <f>MAX(0,1-(ABS(((( AX110+AY110)/2)-0.55)*1.6)))</f>
        <v/>
      </c>
      <c r="BK110">
        <f>MAX(0,MIN(1,0.28*AR110+0.18*AT110+0.16*BJ110+0.14*(1-AV110)+0.12*BQ110+0.12*BO110))</f>
        <v/>
      </c>
      <c r="BL110">
        <f>MAX(0,MIN(1,0.22*AQ110+0.18*AS110+0.18*BC110+0.18*BD110+0.08*BE110+0.10*BF110+0.06*BO110))</f>
        <v/>
      </c>
      <c r="BM110">
        <f>MAX(0,MIN(1,0.20*(1-AZ110)+0.16*(1-BA110)+0.14*(1-AW110)+0.14*AU110+0.18*BG110+0.10*BH110+0.08*BP110))</f>
        <v/>
      </c>
      <c r="BN110">
        <f>MAX(0,MIN(1,0.42*BJ110+0.33*BK110+0.15*AT110+0.10*BQ110))</f>
        <v/>
      </c>
      <c r="BO110">
        <f>MAX(0,MIN(1,0.30*BC110+0.24*BD110+0.18*AS110+0.14*(1-BI110)+0.14*AT110))</f>
        <v/>
      </c>
      <c r="BP110">
        <f>MAX(0,MIN(1,0.26*AS110+0.20*(1-BA110)+0.16*(1-AW110)+0.18*BG110+0.10*AU110+0.10+BB110))</f>
        <v/>
      </c>
      <c r="BQ110">
        <f>MAX(0,MIN(1,0.24*AT110+0.18*BF110+0.14*AR110+0.14*BO110+0.14*(1-AV110)+0.16*(1-AZ110)))</f>
        <v/>
      </c>
      <c r="BR110">
        <f>IF(BO110&gt;=0.80,"Open",IF(BO110&gt;=0.62,"Measured",IF(BO110&gt;=0.45,"Selective","Guarded")))</f>
        <v/>
      </c>
      <c r="BS110">
        <f>IF(Y110="COMM_Direct","Direct",IF(Y110="COMM_Emotional","Emotional",IF(Y110="COMM_Logical","Logical",IF(Y110="COMM_Indirect","Indirect","Avoidant"))))</f>
        <v/>
      </c>
      <c r="BT110">
        <f>IF(BG110&gt;=0.78,"Co-repair",IF(BG110&gt;=0.58,"Re-engage",IF(BG110&gt;=0.40,"Delay","Suppress")))</f>
        <v/>
      </c>
      <c r="BU110">
        <f>IF(BI110&gt;=0.70,"Retreat-risk",IF(BH110&lt;=0.40,"Rush-risk",IF(BH110&gt;=0.65,"Slow-build","Mixed")))</f>
        <v/>
      </c>
      <c r="BV110">
        <f>IF(BL110-BM110&gt;=0.15,"Stimulation-seeking",IF(BM110-BL110&gt;=0.15,"Calm-seeking","Mixed")))</f>
        <v/>
      </c>
      <c r="BW110">
        <f>IF(AND(BL110&gt;=0.72,BM110&lt;0.48),"High",IF(AND(BL110&gt;=0.60,BM110&lt;0.58),"Medium","Low"))</f>
        <v/>
      </c>
    </row>
    <row r="111" ht="108" customHeight="1" s="10">
      <c r="A111" s="2" t="inlineStr">
        <is>
          <t>Q22_E</t>
        </is>
      </c>
      <c r="B111" s="2" t="n">
        <v>22</v>
      </c>
      <c r="C111" s="2" t="n">
        <v>22</v>
      </c>
      <c r="D111" s="2" t="inlineStr">
        <is>
          <t>Core</t>
        </is>
      </c>
      <c r="E111" s="2" t="n">
        <v>1.1</v>
      </c>
      <c r="F111" s="2" t="inlineStr">
        <is>
          <t>EmotionalRegulation</t>
        </is>
      </c>
      <c r="G111" s="2" t="inlineStr">
        <is>
          <t>AttachmentSafety</t>
        </is>
      </c>
      <c r="H111" s="2" t="n"/>
      <c r="I111" s="2" t="inlineStr">
        <is>
          <t>E</t>
        </is>
      </c>
      <c r="J111" s="2" t="inlineStr">
        <is>
          <t>E</t>
        </is>
      </c>
      <c r="K111" s="2" t="inlineStr">
        <is>
          <t>I feel it, but I don't say anything. I stay present, hoping they'll come back to me on their own.</t>
        </is>
      </c>
      <c r="L111" s="2" t="n">
        <v>6</v>
      </c>
      <c r="M111" s="2" t="n">
        <v>6</v>
      </c>
      <c r="N111" s="2" t="n">
        <v>4</v>
      </c>
      <c r="O111" s="2" t="n">
        <v>4</v>
      </c>
      <c r="P111" s="2" t="n">
        <v>4</v>
      </c>
      <c r="Q111" s="2" t="inlineStr">
        <is>
          <t>Translator</t>
        </is>
      </c>
      <c r="R111" s="2" t="n">
        <v>3</v>
      </c>
      <c r="S111" s="2" t="n"/>
      <c r="T111" s="2" t="n"/>
      <c r="U111" s="2" t="n">
        <v>0</v>
      </c>
      <c r="V111" s="2" t="inlineStr">
        <is>
          <t>masc:-0.1;fem:1.6</t>
        </is>
      </c>
      <c r="W111" s="2" t="n">
        <v>-0.1</v>
      </c>
      <c r="X111" s="2" t="n">
        <v>1.6</v>
      </c>
      <c r="Y111" s="2" t="inlineStr">
        <is>
          <t>COMM_Indirect</t>
        </is>
      </c>
      <c r="Z111" s="2" t="inlineStr">
        <is>
          <t>REG_CoRegulator</t>
        </is>
      </c>
      <c r="AA111" s="2" t="inlineStr">
        <is>
          <t>LANG_Words</t>
        </is>
      </c>
      <c r="AB111" s="2" t="inlineStr">
        <is>
          <t>Vulnerability_Loop</t>
        </is>
      </c>
      <c r="AC111" s="2" t="inlineStr">
        <is>
          <t>Vulnerability_Loop</t>
        </is>
      </c>
      <c r="AD111" s="2" t="n"/>
      <c r="AE111" s="2" t="n">
        <v>5</v>
      </c>
      <c r="AF111" s="2" t="inlineStr">
        <is>
          <t>gentle waiter</t>
        </is>
      </c>
      <c r="AG111" s="2" t="inlineStr">
        <is>
          <t>silent holder</t>
        </is>
      </c>
      <c r="AH111" s="2" t="n">
        <v>0.6</v>
      </c>
      <c r="AI111" s="2" t="inlineStr">
        <is>
          <t>yes</t>
        </is>
      </c>
      <c r="AJ111" s="2" t="inlineStr">
        <is>
          <t>no</t>
        </is>
      </c>
      <c r="AK111" s="2" t="inlineStr">
        <is>
          <t>yes</t>
        </is>
      </c>
      <c r="AL111" s="2" t="inlineStr">
        <is>
          <t>yes</t>
        </is>
      </c>
      <c r="AM111" s="2" t="n"/>
      <c r="AN111" s="2" t="n"/>
      <c r="AO111" s="2" t="n"/>
      <c r="AP111" s="2" t="inlineStr">
        <is>
          <t>v3_2026-03-19</t>
        </is>
      </c>
      <c r="AQ111">
        <f>(L111-Schema_v5!$C2)/(Schema_v5!$C3-Schema_v5!$C2)</f>
        <v/>
      </c>
      <c r="AR111">
        <f>(M111-Schema_v5!$C4)/(Schema_v5!$C5-Schema_v5!$C4)</f>
        <v/>
      </c>
      <c r="AS111">
        <f>N111/Schema_v5!$C6</f>
        <v/>
      </c>
      <c r="AT111">
        <f>O111/Schema_v5!$C7</f>
        <v/>
      </c>
      <c r="AU111">
        <f>P111/Schema_v5!$C8</f>
        <v/>
      </c>
      <c r="AV111">
        <f>IF(Schema_v5!$C9=0,0,AH111/Schema_v5!$C9)</f>
        <v/>
      </c>
      <c r="AW111">
        <f>IF(Schema_v5!$C10=0,0,AE111/Schema_v5!$C10)</f>
        <v/>
      </c>
      <c r="AX111">
        <f>(W111-Schema_v5!$C11)/(Schema_v5!$C12-Schema_v5!$C11)</f>
        <v/>
      </c>
      <c r="AY111">
        <f>(X111-Schema_v5!$C13)/(Schema_v5!$C14-Schema_v5!$C13)</f>
        <v/>
      </c>
      <c r="AZ111">
        <f>MIN(1,MAX(0,U111/Schema_v7!$C$9))</f>
        <v/>
      </c>
      <c r="BA111">
        <f>IF(AJ111="yes",0.55,0)</f>
        <v/>
      </c>
      <c r="BB111">
        <f>IF(AI111="yes",0.10,0)</f>
        <v/>
      </c>
      <c r="BC111">
        <f>IF(Y111="COMM_Direct",0.92,IF(Y111="COMM_Emotional",0.70,IF(Y111="COMM_Logical",0.65,IF(Y111="COMM_Indirect",0.55,0.35))))</f>
        <v/>
      </c>
      <c r="BD111">
        <f>IF(Z111="REG_CoRegulator",0.92,IF(Z111="REG_SelfSoother",0.76,IF(Z111="REG_Distractor",0.48,0.35)))</f>
        <v/>
      </c>
      <c r="BE111">
        <f>IF(AA111="LANG_Time",0.76,IF(AA111="LANG_Service",0.70,IF(AA111="LANG_Words",0.72,IF(AA111="LANG_Touch",0.68,0.60))))</f>
        <v/>
      </c>
      <c r="BF111">
        <f>MAX(0,MIN(1,0.28*AS111+0.16*AT111+0.18*BC111+0.18*BD111+0.10*(1-AZ111)+0.10*(1-BA111)+BB111))</f>
        <v/>
      </c>
      <c r="BG111">
        <f>MAX(0,MIN(1,0.24*AU111+0.18*AS111+0.18*BC111+0.20*BD111+0.10*(1-AW111)+0.10*(1-BA111)))</f>
        <v/>
      </c>
      <c r="BH111">
        <f>MAX(0,MIN(1,0.28*AR111+0.18*AT111+0.16*AU111+0.18*(1-AV111)+0.10*(1-AW111)+0.10*BF111))</f>
        <v/>
      </c>
      <c r="BI111">
        <f>MAX(0,MIN(1,0.30*AV111+0.20*AZ111+0.20*AW111+0.15*(1-BH111)+0.15*(1-BO111)))</f>
        <v/>
      </c>
      <c r="BJ111">
        <f>MAX(0,1-(ABS(((( AX111+AY111)/2)-0.55)*1.6)))</f>
        <v/>
      </c>
      <c r="BK111">
        <f>MAX(0,MIN(1,0.28*AR111+0.18*AT111+0.16*BJ111+0.14*(1-AV111)+0.12*BQ111+0.12*BO111))</f>
        <v/>
      </c>
      <c r="BL111">
        <f>MAX(0,MIN(1,0.22*AQ111+0.18*AS111+0.18*BC111+0.18*BD111+0.08*BE111+0.10*BF111+0.06*BO111))</f>
        <v/>
      </c>
      <c r="BM111">
        <f>MAX(0,MIN(1,0.20*(1-AZ111)+0.16*(1-BA111)+0.14*(1-AW111)+0.14*AU111+0.18*BG111+0.10*BH111+0.08*BP111))</f>
        <v/>
      </c>
      <c r="BN111">
        <f>MAX(0,MIN(1,0.42*BJ111+0.33*BK111+0.15*AT111+0.10*BQ111))</f>
        <v/>
      </c>
      <c r="BO111">
        <f>MAX(0,MIN(1,0.30*BC111+0.24*BD111+0.18*AS111+0.14*(1-BI111)+0.14*AT111))</f>
        <v/>
      </c>
      <c r="BP111">
        <f>MAX(0,MIN(1,0.26*AS111+0.20*(1-BA111)+0.16*(1-AW111)+0.18*BG111+0.10*AU111+0.10+BB111))</f>
        <v/>
      </c>
      <c r="BQ111">
        <f>MAX(0,MIN(1,0.24*AT111+0.18*BF111+0.14*AR111+0.14*BO111+0.14*(1-AV111)+0.16*(1-AZ111)))</f>
        <v/>
      </c>
      <c r="BR111">
        <f>IF(BO111&gt;=0.80,"Open",IF(BO111&gt;=0.62,"Measured",IF(BO111&gt;=0.45,"Selective","Guarded")))</f>
        <v/>
      </c>
      <c r="BS111">
        <f>IF(Y111="COMM_Direct","Direct",IF(Y111="COMM_Emotional","Emotional",IF(Y111="COMM_Logical","Logical",IF(Y111="COMM_Indirect","Indirect","Avoidant"))))</f>
        <v/>
      </c>
      <c r="BT111">
        <f>IF(BG111&gt;=0.78,"Co-repair",IF(BG111&gt;=0.58,"Re-engage",IF(BG111&gt;=0.40,"Delay","Suppress")))</f>
        <v/>
      </c>
      <c r="BU111">
        <f>IF(BI111&gt;=0.70,"Retreat-risk",IF(BH111&lt;=0.40,"Rush-risk",IF(BH111&gt;=0.65,"Slow-build","Mixed")))</f>
        <v/>
      </c>
      <c r="BV111">
        <f>IF(BL111-BM111&gt;=0.15,"Stimulation-seeking",IF(BM111-BL111&gt;=0.15,"Calm-seeking","Mixed")))</f>
        <v/>
      </c>
      <c r="BW111">
        <f>IF(AND(BL111&gt;=0.72,BM111&lt;0.48),"High",IF(AND(BL111&gt;=0.60,BM111&lt;0.58),"Medium","Low"))</f>
        <v/>
      </c>
    </row>
    <row r="112" ht="108" customHeight="1" s="10">
      <c r="A112" s="2" t="inlineStr">
        <is>
          <t>Q23_A</t>
        </is>
      </c>
      <c r="B112" s="2" t="n">
        <v>23</v>
      </c>
      <c r="C112" s="2" t="n">
        <v>23</v>
      </c>
      <c r="D112" s="2" t="inlineStr">
        <is>
          <t>Core</t>
        </is>
      </c>
      <c r="E112" s="2" t="n">
        <v>1.1</v>
      </c>
      <c r="F112" s="2" t="inlineStr">
        <is>
          <t>EmotionalRegulation</t>
        </is>
      </c>
      <c r="G112" s="2" t="inlineStr">
        <is>
          <t>AttachmentSafety</t>
        </is>
      </c>
      <c r="H112" s="2" t="inlineStr">
        <is>
          <t>You realize you're the one always putting in effort. They're coasting. What do you do about it?</t>
        </is>
      </c>
      <c r="I112" s="2" t="inlineStr">
        <is>
          <t>A</t>
        </is>
      </c>
      <c r="J112" s="2" t="inlineStr">
        <is>
          <t>A</t>
        </is>
      </c>
      <c r="K112" s="2" t="inlineStr">
        <is>
          <t>I stop. No callout, no drama. If I was carrying it, then it dies when I stop moving.</t>
        </is>
      </c>
      <c r="L112" s="2" t="n">
        <v>8</v>
      </c>
      <c r="M112" s="2" t="n">
        <v>8</v>
      </c>
      <c r="N112" s="2" t="n">
        <v>4</v>
      </c>
      <c r="O112" s="2" t="n">
        <v>4</v>
      </c>
      <c r="P112" s="2" t="n">
        <v>2</v>
      </c>
      <c r="Q112" s="2" t="inlineStr">
        <is>
          <t>Quiet Exit</t>
        </is>
      </c>
      <c r="R112" s="2" t="n">
        <v>4</v>
      </c>
      <c r="S112" s="2" t="n"/>
      <c r="T112" s="2" t="n"/>
      <c r="U112" s="2" t="n">
        <v>0</v>
      </c>
      <c r="V112" s="2" t="inlineStr">
        <is>
          <t>masc:1.4;fem:-1.3</t>
        </is>
      </c>
      <c r="W112" s="2" t="n">
        <v>1.4</v>
      </c>
      <c r="X112" s="2" t="n">
        <v>-1.3</v>
      </c>
      <c r="Y112" s="2" t="inlineStr">
        <is>
          <t>COMM_Avoidant</t>
        </is>
      </c>
      <c r="Z112" s="2" t="inlineStr">
        <is>
          <t>REG_Suppressor</t>
        </is>
      </c>
      <c r="AA112" s="2" t="inlineStr">
        <is>
          <t>LANG_Time</t>
        </is>
      </c>
      <c r="AB112" s="2" t="n"/>
      <c r="AC112" s="2" t="n"/>
      <c r="AD112" s="2" t="n"/>
      <c r="AE112" s="2" t="n">
        <v>0</v>
      </c>
      <c r="AF112" s="2" t="inlineStr">
        <is>
          <t>effort withdrawal</t>
        </is>
      </c>
      <c r="AG112" s="2" t="inlineStr">
        <is>
          <t>quiet exit</t>
        </is>
      </c>
      <c r="AH112" s="2" t="n">
        <v>0.6</v>
      </c>
      <c r="AI112" s="2" t="inlineStr">
        <is>
          <t>no</t>
        </is>
      </c>
      <c r="AJ112" s="2" t="inlineStr">
        <is>
          <t>no</t>
        </is>
      </c>
      <c r="AK112" s="2" t="inlineStr">
        <is>
          <t>yes</t>
        </is>
      </c>
      <c r="AL112" s="2" t="inlineStr">
        <is>
          <t>yes</t>
        </is>
      </c>
      <c r="AM112" s="2" t="n"/>
      <c r="AN112" s="2" t="n"/>
      <c r="AO112" s="2" t="n"/>
      <c r="AP112" s="2" t="inlineStr">
        <is>
          <t>v3_2026-03-19</t>
        </is>
      </c>
      <c r="AQ112">
        <f>(L112-Schema_v5!$C2)/(Schema_v5!$C3-Schema_v5!$C2)</f>
        <v/>
      </c>
      <c r="AR112">
        <f>(M112-Schema_v5!$C4)/(Schema_v5!$C5-Schema_v5!$C4)</f>
        <v/>
      </c>
      <c r="AS112">
        <f>N112/Schema_v5!$C6</f>
        <v/>
      </c>
      <c r="AT112">
        <f>O112/Schema_v5!$C7</f>
        <v/>
      </c>
      <c r="AU112">
        <f>P112/Schema_v5!$C8</f>
        <v/>
      </c>
      <c r="AV112">
        <f>IF(Schema_v5!$C9=0,0,AH112/Schema_v5!$C9)</f>
        <v/>
      </c>
      <c r="AW112">
        <f>IF(Schema_v5!$C10=0,0,AE112/Schema_v5!$C10)</f>
        <v/>
      </c>
      <c r="AX112">
        <f>(W112-Schema_v5!$C11)/(Schema_v5!$C12-Schema_v5!$C11)</f>
        <v/>
      </c>
      <c r="AY112">
        <f>(X112-Schema_v5!$C13)/(Schema_v5!$C14-Schema_v5!$C13)</f>
        <v/>
      </c>
      <c r="AZ112">
        <f>MIN(1,MAX(0,U112/Schema_v7!$C$9))</f>
        <v/>
      </c>
      <c r="BA112">
        <f>IF(AJ112="yes",0.55,0)</f>
        <v/>
      </c>
      <c r="BB112">
        <f>IF(AI112="yes",0.10,0)</f>
        <v/>
      </c>
      <c r="BC112">
        <f>IF(Y112="COMM_Direct",0.92,IF(Y112="COMM_Emotional",0.70,IF(Y112="COMM_Logical",0.65,IF(Y112="COMM_Indirect",0.55,0.35))))</f>
        <v/>
      </c>
      <c r="BD112">
        <f>IF(Z112="REG_CoRegulator",0.92,IF(Z112="REG_SelfSoother",0.76,IF(Z112="REG_Distractor",0.48,0.35)))</f>
        <v/>
      </c>
      <c r="BE112">
        <f>IF(AA112="LANG_Time",0.76,IF(AA112="LANG_Service",0.70,IF(AA112="LANG_Words",0.72,IF(AA112="LANG_Touch",0.68,0.60))))</f>
        <v/>
      </c>
      <c r="BF112">
        <f>MAX(0,MIN(1,0.28*AS112+0.16*AT112+0.18*BC112+0.18*BD112+0.10*(1-AZ112)+0.10*(1-BA112)+BB112))</f>
        <v/>
      </c>
      <c r="BG112">
        <f>MAX(0,MIN(1,0.24*AU112+0.18*AS112+0.18*BC112+0.20*BD112+0.10*(1-AW112)+0.10*(1-BA112)))</f>
        <v/>
      </c>
      <c r="BH112">
        <f>MAX(0,MIN(1,0.28*AR112+0.18*AT112+0.16*AU112+0.18*(1-AV112)+0.10*(1-AW112)+0.10*BF112))</f>
        <v/>
      </c>
      <c r="BI112">
        <f>MAX(0,MIN(1,0.30*AV112+0.20*AZ112+0.20*AW112+0.15*(1-BH112)+0.15*(1-BO112)))</f>
        <v/>
      </c>
      <c r="BJ112">
        <f>MAX(0,1-(ABS(((( AX112+AY112)/2)-0.55)*1.6)))</f>
        <v/>
      </c>
      <c r="BK112">
        <f>MAX(0,MIN(1,0.28*AR112+0.18*AT112+0.16*BJ112+0.14*(1-AV112)+0.12*BQ112+0.12*BO112))</f>
        <v/>
      </c>
      <c r="BL112">
        <f>MAX(0,MIN(1,0.22*AQ112+0.18*AS112+0.18*BC112+0.18*BD112+0.08*BE112+0.10*BF112+0.06*BO112))</f>
        <v/>
      </c>
      <c r="BM112">
        <f>MAX(0,MIN(1,0.20*(1-AZ112)+0.16*(1-BA112)+0.14*(1-AW112)+0.14*AU112+0.18*BG112+0.10*BH112+0.08*BP112))</f>
        <v/>
      </c>
      <c r="BN112">
        <f>MAX(0,MIN(1,0.42*BJ112+0.33*BK112+0.15*AT112+0.10*BQ112))</f>
        <v/>
      </c>
      <c r="BO112">
        <f>MAX(0,MIN(1,0.30*BC112+0.24*BD112+0.18*AS112+0.14*(1-BI112)+0.14*AT112))</f>
        <v/>
      </c>
      <c r="BP112">
        <f>MAX(0,MIN(1,0.26*AS112+0.20*(1-BA112)+0.16*(1-AW112)+0.18*BG112+0.10*AU112+0.10+BB112))</f>
        <v/>
      </c>
      <c r="BQ112">
        <f>MAX(0,MIN(1,0.24*AT112+0.18*BF112+0.14*AR112+0.14*BO112+0.14*(1-AV112)+0.16*(1-AZ112)))</f>
        <v/>
      </c>
      <c r="BR112">
        <f>IF(BO112&gt;=0.80,"Open",IF(BO112&gt;=0.62,"Measured",IF(BO112&gt;=0.45,"Selective","Guarded")))</f>
        <v/>
      </c>
      <c r="BS112">
        <f>IF(Y112="COMM_Direct","Direct",IF(Y112="COMM_Emotional","Emotional",IF(Y112="COMM_Logical","Logical",IF(Y112="COMM_Indirect","Indirect","Avoidant"))))</f>
        <v/>
      </c>
      <c r="BT112">
        <f>IF(BG112&gt;=0.78,"Co-repair",IF(BG112&gt;=0.58,"Re-engage",IF(BG112&gt;=0.40,"Delay","Suppress")))</f>
        <v/>
      </c>
      <c r="BU112">
        <f>IF(BI112&gt;=0.70,"Retreat-risk",IF(BH112&lt;=0.40,"Rush-risk",IF(BH112&gt;=0.65,"Slow-build","Mixed")))</f>
        <v/>
      </c>
      <c r="BV112">
        <f>IF(BL112-BM112&gt;=0.15,"Stimulation-seeking",IF(BM112-BL112&gt;=0.15,"Calm-seeking","Mixed")))</f>
        <v/>
      </c>
      <c r="BW112">
        <f>IF(AND(BL112&gt;=0.72,BM112&lt;0.48),"High",IF(AND(BL112&gt;=0.60,BM112&lt;0.58),"Medium","Low"))</f>
        <v/>
      </c>
    </row>
    <row r="113" ht="162" customHeight="1" s="10">
      <c r="A113" s="2" t="inlineStr">
        <is>
          <t>Q23_B</t>
        </is>
      </c>
      <c r="B113" s="2" t="n">
        <v>23</v>
      </c>
      <c r="C113" s="2" t="n">
        <v>23</v>
      </c>
      <c r="D113" s="2" t="inlineStr">
        <is>
          <t>Core</t>
        </is>
      </c>
      <c r="E113" s="2" t="n">
        <v>1.1</v>
      </c>
      <c r="F113" s="2" t="inlineStr">
        <is>
          <t>EmotionalRegulation</t>
        </is>
      </c>
      <c r="G113" s="2" t="inlineStr">
        <is>
          <t>AttachmentSafety</t>
        </is>
      </c>
      <c r="H113" s="2" t="n"/>
      <c r="I113" s="2" t="inlineStr">
        <is>
          <t>B</t>
        </is>
      </c>
      <c r="J113" s="2" t="inlineStr">
        <is>
          <t>B</t>
        </is>
      </c>
      <c r="K113" s="2" t="inlineStr">
        <is>
          <t>I try one more time, just to see if they notice. If not, I pull back hard. I need to know it wasn't just me pretending this thing was mutual.</t>
        </is>
      </c>
      <c r="L113" s="2" t="n">
        <v>5</v>
      </c>
      <c r="M113" s="2" t="n">
        <v>6</v>
      </c>
      <c r="N113" s="2" t="n">
        <v>2</v>
      </c>
      <c r="O113" s="2" t="n">
        <v>2</v>
      </c>
      <c r="P113" s="2" t="n">
        <v>0</v>
      </c>
      <c r="Q113" s="2" t="inlineStr">
        <is>
          <t>Phantom Seeker</t>
        </is>
      </c>
      <c r="R113" s="2" t="n">
        <v>10</v>
      </c>
      <c r="S113" s="2" t="n"/>
      <c r="T113" s="2" t="n"/>
      <c r="U113" s="2" t="n">
        <v>0</v>
      </c>
      <c r="V113" s="2" t="inlineStr">
        <is>
          <t>masc:-0.2;fem:1.5</t>
        </is>
      </c>
      <c r="W113" s="2" t="n">
        <v>-0.2</v>
      </c>
      <c r="X113" s="2" t="n">
        <v>1.5</v>
      </c>
      <c r="Y113" s="2" t="inlineStr">
        <is>
          <t>COMM_Emotional</t>
        </is>
      </c>
      <c r="Z113" s="2" t="inlineStr">
        <is>
          <t>REG_SelfSoother</t>
        </is>
      </c>
      <c r="AA113" s="2" t="inlineStr">
        <is>
          <t>LANG_Touch</t>
        </is>
      </c>
      <c r="AB113" s="2" t="inlineStr">
        <is>
          <t>Vulnerability_Loop , Pursuer_Distancer</t>
        </is>
      </c>
      <c r="AC113" s="2" t="inlineStr">
        <is>
          <t>Vulnerability_Loop</t>
        </is>
      </c>
      <c r="AD113" s="2" t="inlineStr">
        <is>
          <t>Pursuer_Distancer</t>
        </is>
      </c>
      <c r="AE113" s="2" t="n">
        <v>11</v>
      </c>
      <c r="AF113" s="2" t="inlineStr">
        <is>
          <t>last-ditch test</t>
        </is>
      </c>
      <c r="AG113" s="2" t="inlineStr">
        <is>
          <t>conditional engager</t>
        </is>
      </c>
      <c r="AH113" s="2" t="n">
        <v>1.2</v>
      </c>
      <c r="AI113" s="2" t="inlineStr">
        <is>
          <t>yes</t>
        </is>
      </c>
      <c r="AJ113" s="2" t="inlineStr">
        <is>
          <t>no</t>
        </is>
      </c>
      <c r="AK113" s="2" t="inlineStr">
        <is>
          <t>yes</t>
        </is>
      </c>
      <c r="AL113" s="2" t="inlineStr">
        <is>
          <t>yes</t>
        </is>
      </c>
      <c r="AM113" s="2" t="n"/>
      <c r="AN113" s="2" t="n"/>
      <c r="AO113" s="2" t="n"/>
      <c r="AP113" s="2" t="inlineStr">
        <is>
          <t>v3_2026-03-19</t>
        </is>
      </c>
      <c r="AQ113">
        <f>(L113-Schema_v5!$C2)/(Schema_v5!$C3-Schema_v5!$C2)</f>
        <v/>
      </c>
      <c r="AR113">
        <f>(M113-Schema_v5!$C4)/(Schema_v5!$C5-Schema_v5!$C4)</f>
        <v/>
      </c>
      <c r="AS113">
        <f>N113/Schema_v5!$C6</f>
        <v/>
      </c>
      <c r="AT113">
        <f>O113/Schema_v5!$C7</f>
        <v/>
      </c>
      <c r="AU113">
        <f>P113/Schema_v5!$C8</f>
        <v/>
      </c>
      <c r="AV113">
        <f>IF(Schema_v5!$C9=0,0,AH113/Schema_v5!$C9)</f>
        <v/>
      </c>
      <c r="AW113">
        <f>IF(Schema_v5!$C10=0,0,AE113/Schema_v5!$C10)</f>
        <v/>
      </c>
      <c r="AX113">
        <f>(W113-Schema_v5!$C11)/(Schema_v5!$C12-Schema_v5!$C11)</f>
        <v/>
      </c>
      <c r="AY113">
        <f>(X113-Schema_v5!$C13)/(Schema_v5!$C14-Schema_v5!$C13)</f>
        <v/>
      </c>
      <c r="AZ113">
        <f>MIN(1,MAX(0,U113/Schema_v7!$C$9))</f>
        <v/>
      </c>
      <c r="BA113">
        <f>IF(AJ113="yes",0.55,0)</f>
        <v/>
      </c>
      <c r="BB113">
        <f>IF(AI113="yes",0.10,0)</f>
        <v/>
      </c>
      <c r="BC113">
        <f>IF(Y113="COMM_Direct",0.92,IF(Y113="COMM_Emotional",0.70,IF(Y113="COMM_Logical",0.65,IF(Y113="COMM_Indirect",0.55,0.35))))</f>
        <v/>
      </c>
      <c r="BD113">
        <f>IF(Z113="REG_CoRegulator",0.92,IF(Z113="REG_SelfSoother",0.76,IF(Z113="REG_Distractor",0.48,0.35)))</f>
        <v/>
      </c>
      <c r="BE113">
        <f>IF(AA113="LANG_Time",0.76,IF(AA113="LANG_Service",0.70,IF(AA113="LANG_Words",0.72,IF(AA113="LANG_Touch",0.68,0.60))))</f>
        <v/>
      </c>
      <c r="BF113">
        <f>MAX(0,MIN(1,0.28*AS113+0.16*AT113+0.18*BC113+0.18*BD113+0.10*(1-AZ113)+0.10*(1-BA113)+BB113))</f>
        <v/>
      </c>
      <c r="BG113">
        <f>MAX(0,MIN(1,0.24*AU113+0.18*AS113+0.18*BC113+0.20*BD113+0.10*(1-AW113)+0.10*(1-BA113)))</f>
        <v/>
      </c>
      <c r="BH113">
        <f>MAX(0,MIN(1,0.28*AR113+0.18*AT113+0.16*AU113+0.18*(1-AV113)+0.10*(1-AW113)+0.10*BF113))</f>
        <v/>
      </c>
      <c r="BI113">
        <f>MAX(0,MIN(1,0.30*AV113+0.20*AZ113+0.20*AW113+0.15*(1-BH113)+0.15*(1-BO113)))</f>
        <v/>
      </c>
      <c r="BJ113">
        <f>MAX(0,1-(ABS(((( AX113+AY113)/2)-0.55)*1.6)))</f>
        <v/>
      </c>
      <c r="BK113">
        <f>MAX(0,MIN(1,0.28*AR113+0.18*AT113+0.16*BJ113+0.14*(1-AV113)+0.12*BQ113+0.12*BO113))</f>
        <v/>
      </c>
      <c r="BL113">
        <f>MAX(0,MIN(1,0.22*AQ113+0.18*AS113+0.18*BC113+0.18*BD113+0.08*BE113+0.10*BF113+0.06*BO113))</f>
        <v/>
      </c>
      <c r="BM113">
        <f>MAX(0,MIN(1,0.20*(1-AZ113)+0.16*(1-BA113)+0.14*(1-AW113)+0.14*AU113+0.18*BG113+0.10*BH113+0.08*BP113))</f>
        <v/>
      </c>
      <c r="BN113">
        <f>MAX(0,MIN(1,0.42*BJ113+0.33*BK113+0.15*AT113+0.10*BQ113))</f>
        <v/>
      </c>
      <c r="BO113">
        <f>MAX(0,MIN(1,0.30*BC113+0.24*BD113+0.18*AS113+0.14*(1-BI113)+0.14*AT113))</f>
        <v/>
      </c>
      <c r="BP113">
        <f>MAX(0,MIN(1,0.26*AS113+0.20*(1-BA113)+0.16*(1-AW113)+0.18*BG113+0.10*AU113+0.10+BB113))</f>
        <v/>
      </c>
      <c r="BQ113">
        <f>MAX(0,MIN(1,0.24*AT113+0.18*BF113+0.14*AR113+0.14*BO113+0.14*(1-AV113)+0.16*(1-AZ113)))</f>
        <v/>
      </c>
      <c r="BR113">
        <f>IF(BO113&gt;=0.80,"Open",IF(BO113&gt;=0.62,"Measured",IF(BO113&gt;=0.45,"Selective","Guarded")))</f>
        <v/>
      </c>
      <c r="BS113">
        <f>IF(Y113="COMM_Direct","Direct",IF(Y113="COMM_Emotional","Emotional",IF(Y113="COMM_Logical","Logical",IF(Y113="COMM_Indirect","Indirect","Avoidant"))))</f>
        <v/>
      </c>
      <c r="BT113">
        <f>IF(BG113&gt;=0.78,"Co-repair",IF(BG113&gt;=0.58,"Re-engage",IF(BG113&gt;=0.40,"Delay","Suppress")))</f>
        <v/>
      </c>
      <c r="BU113">
        <f>IF(BI113&gt;=0.70,"Retreat-risk",IF(BH113&lt;=0.40,"Rush-risk",IF(BH113&gt;=0.65,"Slow-build","Mixed")))</f>
        <v/>
      </c>
      <c r="BV113">
        <f>IF(BL113-BM113&gt;=0.15,"Stimulation-seeking",IF(BM113-BL113&gt;=0.15,"Calm-seeking","Mixed")))</f>
        <v/>
      </c>
      <c r="BW113">
        <f>IF(AND(BL113&gt;=0.72,BM113&lt;0.48),"High",IF(AND(BL113&gt;=0.60,BM113&lt;0.58),"Medium","Low"))</f>
        <v/>
      </c>
    </row>
    <row r="114" ht="135" customHeight="1" s="10">
      <c r="A114" s="2" t="inlineStr">
        <is>
          <t>Q23_C</t>
        </is>
      </c>
      <c r="B114" s="2" t="n">
        <v>23</v>
      </c>
      <c r="C114" s="2" t="n">
        <v>23</v>
      </c>
      <c r="D114" s="2" t="inlineStr">
        <is>
          <t>Core</t>
        </is>
      </c>
      <c r="E114" s="2" t="n">
        <v>1.1</v>
      </c>
      <c r="F114" s="2" t="inlineStr">
        <is>
          <t>EmotionalRegulation</t>
        </is>
      </c>
      <c r="G114" s="2" t="inlineStr">
        <is>
          <t>AttachmentSafety</t>
        </is>
      </c>
      <c r="H114" s="2" t="n"/>
      <c r="I114" s="2" t="inlineStr">
        <is>
          <t>C</t>
        </is>
      </c>
      <c r="J114" s="2" t="inlineStr">
        <is>
          <t>C</t>
        </is>
      </c>
      <c r="K114" s="2" t="inlineStr">
        <is>
          <t>I ask. Not in a "what are we?" way ,I just need to know if I'm wasting my energy or building something real.</t>
        </is>
      </c>
      <c r="L114" s="2" t="n">
        <v>8</v>
      </c>
      <c r="M114" s="2" t="n">
        <v>9</v>
      </c>
      <c r="N114" s="2" t="n">
        <v>8</v>
      </c>
      <c r="O114" s="2" t="n">
        <v>8</v>
      </c>
      <c r="P114" s="2" t="n">
        <v>8</v>
      </c>
      <c r="Q114" s="2" t="inlineStr">
        <is>
          <t>Analyzer</t>
        </is>
      </c>
      <c r="R114" s="2" t="n">
        <v>2</v>
      </c>
      <c r="S114" s="2" t="n"/>
      <c r="T114" s="2" t="n"/>
      <c r="U114" s="2" t="n">
        <v>0</v>
      </c>
      <c r="V114" s="2" t="inlineStr">
        <is>
          <t>masc:1.4;fem:0.1</t>
        </is>
      </c>
      <c r="W114" s="2" t="n">
        <v>1.4</v>
      </c>
      <c r="X114" s="2" t="n">
        <v>0.1</v>
      </c>
      <c r="Y114" s="2" t="inlineStr">
        <is>
          <t>COMM_Logical</t>
        </is>
      </c>
      <c r="Z114" s="2" t="inlineStr">
        <is>
          <t>REG_SelfSoother</t>
        </is>
      </c>
      <c r="AA114" s="2" t="inlineStr">
        <is>
          <t>LANG_Service</t>
        </is>
      </c>
      <c r="AB114" s="2" t="n"/>
      <c r="AC114" s="2" t="n"/>
      <c r="AD114" s="2" t="n"/>
      <c r="AE114" s="2" t="n">
        <v>0</v>
      </c>
      <c r="AF114" s="2" t="inlineStr">
        <is>
          <t>clarity-seeking</t>
        </is>
      </c>
      <c r="AG114" s="2" t="inlineStr">
        <is>
          <t>direct assessor</t>
        </is>
      </c>
      <c r="AH114" s="2" t="n">
        <v>0</v>
      </c>
      <c r="AI114" s="2" t="inlineStr">
        <is>
          <t>no</t>
        </is>
      </c>
      <c r="AJ114" s="2" t="inlineStr">
        <is>
          <t>no</t>
        </is>
      </c>
      <c r="AK114" s="2" t="inlineStr">
        <is>
          <t>yes</t>
        </is>
      </c>
      <c r="AL114" s="2" t="inlineStr">
        <is>
          <t>yes</t>
        </is>
      </c>
      <c r="AM114" s="2" t="n"/>
      <c r="AN114" s="2" t="n"/>
      <c r="AO114" s="2" t="n"/>
      <c r="AP114" s="2" t="inlineStr">
        <is>
          <t>v3_2026-03-19</t>
        </is>
      </c>
      <c r="AQ114">
        <f>(L114-Schema_v5!$C2)/(Schema_v5!$C3-Schema_v5!$C2)</f>
        <v/>
      </c>
      <c r="AR114">
        <f>(M114-Schema_v5!$C4)/(Schema_v5!$C5-Schema_v5!$C4)</f>
        <v/>
      </c>
      <c r="AS114">
        <f>N114/Schema_v5!$C6</f>
        <v/>
      </c>
      <c r="AT114">
        <f>O114/Schema_v5!$C7</f>
        <v/>
      </c>
      <c r="AU114">
        <f>P114/Schema_v5!$C8</f>
        <v/>
      </c>
      <c r="AV114">
        <f>IF(Schema_v5!$C9=0,0,AH114/Schema_v5!$C9)</f>
        <v/>
      </c>
      <c r="AW114">
        <f>IF(Schema_v5!$C10=0,0,AE114/Schema_v5!$C10)</f>
        <v/>
      </c>
      <c r="AX114">
        <f>(W114-Schema_v5!$C11)/(Schema_v5!$C12-Schema_v5!$C11)</f>
        <v/>
      </c>
      <c r="AY114">
        <f>(X114-Schema_v5!$C13)/(Schema_v5!$C14-Schema_v5!$C13)</f>
        <v/>
      </c>
      <c r="AZ114">
        <f>MIN(1,MAX(0,U114/Schema_v7!$C$9))</f>
        <v/>
      </c>
      <c r="BA114">
        <f>IF(AJ114="yes",0.55,0)</f>
        <v/>
      </c>
      <c r="BB114">
        <f>IF(AI114="yes",0.10,0)</f>
        <v/>
      </c>
      <c r="BC114">
        <f>IF(Y114="COMM_Direct",0.92,IF(Y114="COMM_Emotional",0.70,IF(Y114="COMM_Logical",0.65,IF(Y114="COMM_Indirect",0.55,0.35))))</f>
        <v/>
      </c>
      <c r="BD114">
        <f>IF(Z114="REG_CoRegulator",0.92,IF(Z114="REG_SelfSoother",0.76,IF(Z114="REG_Distractor",0.48,0.35)))</f>
        <v/>
      </c>
      <c r="BE114">
        <f>IF(AA114="LANG_Time",0.76,IF(AA114="LANG_Service",0.70,IF(AA114="LANG_Words",0.72,IF(AA114="LANG_Touch",0.68,0.60))))</f>
        <v/>
      </c>
      <c r="BF114">
        <f>MAX(0,MIN(1,0.28*AS114+0.16*AT114+0.18*BC114+0.18*BD114+0.10*(1-AZ114)+0.10*(1-BA114)+BB114))</f>
        <v/>
      </c>
      <c r="BG114">
        <f>MAX(0,MIN(1,0.24*AU114+0.18*AS114+0.18*BC114+0.20*BD114+0.10*(1-AW114)+0.10*(1-BA114)))</f>
        <v/>
      </c>
      <c r="BH114">
        <f>MAX(0,MIN(1,0.28*AR114+0.18*AT114+0.16*AU114+0.18*(1-AV114)+0.10*(1-AW114)+0.10*BF114))</f>
        <v/>
      </c>
      <c r="BI114">
        <f>MAX(0,MIN(1,0.30*AV114+0.20*AZ114+0.20*AW114+0.15*(1-BH114)+0.15*(1-BO114)))</f>
        <v/>
      </c>
      <c r="BJ114">
        <f>MAX(0,1-(ABS(((( AX114+AY114)/2)-0.55)*1.6)))</f>
        <v/>
      </c>
      <c r="BK114">
        <f>MAX(0,MIN(1,0.28*AR114+0.18*AT114+0.16*BJ114+0.14*(1-AV114)+0.12*BQ114+0.12*BO114))</f>
        <v/>
      </c>
      <c r="BL114">
        <f>MAX(0,MIN(1,0.22*AQ114+0.18*AS114+0.18*BC114+0.18*BD114+0.08*BE114+0.10*BF114+0.06*BO114))</f>
        <v/>
      </c>
      <c r="BM114">
        <f>MAX(0,MIN(1,0.20*(1-AZ114)+0.16*(1-BA114)+0.14*(1-AW114)+0.14*AU114+0.18*BG114+0.10*BH114+0.08*BP114))</f>
        <v/>
      </c>
      <c r="BN114">
        <f>MAX(0,MIN(1,0.42*BJ114+0.33*BK114+0.15*AT114+0.10*BQ114))</f>
        <v/>
      </c>
      <c r="BO114">
        <f>MAX(0,MIN(1,0.30*BC114+0.24*BD114+0.18*AS114+0.14*(1-BI114)+0.14*AT114))</f>
        <v/>
      </c>
      <c r="BP114">
        <f>MAX(0,MIN(1,0.26*AS114+0.20*(1-BA114)+0.16*(1-AW114)+0.18*BG114+0.10*AU114+0.10+BB114))</f>
        <v/>
      </c>
      <c r="BQ114">
        <f>MAX(0,MIN(1,0.24*AT114+0.18*BF114+0.14*AR114+0.14*BO114+0.14*(1-AV114)+0.16*(1-AZ114)))</f>
        <v/>
      </c>
      <c r="BR114">
        <f>IF(BO114&gt;=0.80,"Open",IF(BO114&gt;=0.62,"Measured",IF(BO114&gt;=0.45,"Selective","Guarded")))</f>
        <v/>
      </c>
      <c r="BS114">
        <f>IF(Y114="COMM_Direct","Direct",IF(Y114="COMM_Emotional","Emotional",IF(Y114="COMM_Logical","Logical",IF(Y114="COMM_Indirect","Indirect","Avoidant"))))</f>
        <v/>
      </c>
      <c r="BT114">
        <f>IF(BG114&gt;=0.78,"Co-repair",IF(BG114&gt;=0.58,"Re-engage",IF(BG114&gt;=0.40,"Delay","Suppress")))</f>
        <v/>
      </c>
      <c r="BU114">
        <f>IF(BI114&gt;=0.70,"Retreat-risk",IF(BH114&lt;=0.40,"Rush-risk",IF(BH114&gt;=0.65,"Slow-build","Mixed")))</f>
        <v/>
      </c>
      <c r="BV114">
        <f>IF(BL114-BM114&gt;=0.15,"Stimulation-seeking",IF(BM114-BL114&gt;=0.15,"Calm-seeking","Mixed")))</f>
        <v/>
      </c>
      <c r="BW114">
        <f>IF(AND(BL114&gt;=0.72,BM114&lt;0.48),"High",IF(AND(BL114&gt;=0.60,BM114&lt;0.58),"Medium","Low"))</f>
        <v/>
      </c>
    </row>
    <row r="115" ht="148.5" customHeight="1" s="10">
      <c r="A115" s="2" t="inlineStr">
        <is>
          <t>Q23_D</t>
        </is>
      </c>
      <c r="B115" s="2" t="n">
        <v>23</v>
      </c>
      <c r="C115" s="2" t="n">
        <v>23</v>
      </c>
      <c r="D115" s="2" t="inlineStr">
        <is>
          <t>Core</t>
        </is>
      </c>
      <c r="E115" s="2" t="n">
        <v>1.1</v>
      </c>
      <c r="F115" s="2" t="inlineStr">
        <is>
          <t>EmotionalRegulation</t>
        </is>
      </c>
      <c r="G115" s="2" t="inlineStr">
        <is>
          <t>AttachmentSafety</t>
        </is>
      </c>
      <c r="H115" s="2" t="n"/>
      <c r="I115" s="2" t="inlineStr">
        <is>
          <t>D</t>
        </is>
      </c>
      <c r="J115" s="2" t="inlineStr">
        <is>
          <t>D</t>
        </is>
      </c>
      <c r="K115" s="2" t="inlineStr">
        <is>
          <t>I double down. I give more, joke more, show up harder, hoping they'll finally meet me there. It's dumb, I know, but I still do it.</t>
        </is>
      </c>
      <c r="L115" s="2" t="n">
        <v>4</v>
      </c>
      <c r="M115" s="2" t="n">
        <v>5</v>
      </c>
      <c r="N115" s="2" t="n">
        <v>2</v>
      </c>
      <c r="O115" s="2" t="n">
        <v>2</v>
      </c>
      <c r="P115" s="2" t="n">
        <v>2</v>
      </c>
      <c r="Q115" s="2" t="inlineStr">
        <is>
          <t>Fixer</t>
        </is>
      </c>
      <c r="R115" s="2" t="n">
        <v>5</v>
      </c>
      <c r="S115" s="2" t="n"/>
      <c r="T115" s="2" t="n"/>
      <c r="U115" s="2" t="n">
        <v>0</v>
      </c>
      <c r="V115" s="2" t="inlineStr">
        <is>
          <t>masc:-0.4;fem:2.0</t>
        </is>
      </c>
      <c r="W115" s="2" t="n">
        <v>-0.4</v>
      </c>
      <c r="X115" s="2" t="n">
        <v>2</v>
      </c>
      <c r="Y115" s="2" t="inlineStr">
        <is>
          <t>COMM_Emotional</t>
        </is>
      </c>
      <c r="Z115" s="2" t="inlineStr">
        <is>
          <t>REG_CoRegulator</t>
        </is>
      </c>
      <c r="AA115" s="2" t="inlineStr">
        <is>
          <t>LANG_Service</t>
        </is>
      </c>
      <c r="AB115" s="2" t="inlineStr">
        <is>
          <t>Humor_Shield</t>
        </is>
      </c>
      <c r="AC115" s="2" t="inlineStr">
        <is>
          <t>Humor_Shield</t>
        </is>
      </c>
      <c r="AD115" s="2" t="n"/>
      <c r="AE115" s="2" t="n">
        <v>3</v>
      </c>
      <c r="AF115" s="2" t="inlineStr">
        <is>
          <t>effort loop</t>
        </is>
      </c>
      <c r="AG115" s="2" t="inlineStr">
        <is>
          <t>hopeful fixer</t>
        </is>
      </c>
      <c r="AH115" s="2" t="n">
        <v>0</v>
      </c>
      <c r="AI115" s="2" t="inlineStr">
        <is>
          <t>yes</t>
        </is>
      </c>
      <c r="AJ115" s="2" t="inlineStr">
        <is>
          <t>no</t>
        </is>
      </c>
      <c r="AK115" s="2" t="inlineStr">
        <is>
          <t>yes</t>
        </is>
      </c>
      <c r="AL115" s="2" t="inlineStr">
        <is>
          <t>yes</t>
        </is>
      </c>
      <c r="AM115" s="2" t="n"/>
      <c r="AN115" s="2" t="n"/>
      <c r="AO115" s="2" t="n"/>
      <c r="AP115" s="2" t="inlineStr">
        <is>
          <t>v3_2026-03-19</t>
        </is>
      </c>
      <c r="AQ115">
        <f>(L115-Schema_v5!$C2)/(Schema_v5!$C3-Schema_v5!$C2)</f>
        <v/>
      </c>
      <c r="AR115">
        <f>(M115-Schema_v5!$C4)/(Schema_v5!$C5-Schema_v5!$C4)</f>
        <v/>
      </c>
      <c r="AS115">
        <f>N115/Schema_v5!$C6</f>
        <v/>
      </c>
      <c r="AT115">
        <f>O115/Schema_v5!$C7</f>
        <v/>
      </c>
      <c r="AU115">
        <f>P115/Schema_v5!$C8</f>
        <v/>
      </c>
      <c r="AV115">
        <f>IF(Schema_v5!$C9=0,0,AH115/Schema_v5!$C9)</f>
        <v/>
      </c>
      <c r="AW115">
        <f>IF(Schema_v5!$C10=0,0,AE115/Schema_v5!$C10)</f>
        <v/>
      </c>
      <c r="AX115">
        <f>(W115-Schema_v5!$C11)/(Schema_v5!$C12-Schema_v5!$C11)</f>
        <v/>
      </c>
      <c r="AY115">
        <f>(X115-Schema_v5!$C13)/(Schema_v5!$C14-Schema_v5!$C13)</f>
        <v/>
      </c>
      <c r="AZ115">
        <f>MIN(1,MAX(0,U115/Schema_v7!$C$9))</f>
        <v/>
      </c>
      <c r="BA115">
        <f>IF(AJ115="yes",0.55,0)</f>
        <v/>
      </c>
      <c r="BB115">
        <f>IF(AI115="yes",0.10,0)</f>
        <v/>
      </c>
      <c r="BC115">
        <f>IF(Y115="COMM_Direct",0.92,IF(Y115="COMM_Emotional",0.70,IF(Y115="COMM_Logical",0.65,IF(Y115="COMM_Indirect",0.55,0.35))))</f>
        <v/>
      </c>
      <c r="BD115">
        <f>IF(Z115="REG_CoRegulator",0.92,IF(Z115="REG_SelfSoother",0.76,IF(Z115="REG_Distractor",0.48,0.35)))</f>
        <v/>
      </c>
      <c r="BE115">
        <f>IF(AA115="LANG_Time",0.76,IF(AA115="LANG_Service",0.70,IF(AA115="LANG_Words",0.72,IF(AA115="LANG_Touch",0.68,0.60))))</f>
        <v/>
      </c>
      <c r="BF115">
        <f>MAX(0,MIN(1,0.28*AS115+0.16*AT115+0.18*BC115+0.18*BD115+0.10*(1-AZ115)+0.10*(1-BA115)+BB115))</f>
        <v/>
      </c>
      <c r="BG115">
        <f>MAX(0,MIN(1,0.24*AU115+0.18*AS115+0.18*BC115+0.20*BD115+0.10*(1-AW115)+0.10*(1-BA115)))</f>
        <v/>
      </c>
      <c r="BH115">
        <f>MAX(0,MIN(1,0.28*AR115+0.18*AT115+0.16*AU115+0.18*(1-AV115)+0.10*(1-AW115)+0.10*BF115))</f>
        <v/>
      </c>
      <c r="BI115">
        <f>MAX(0,MIN(1,0.30*AV115+0.20*AZ115+0.20*AW115+0.15*(1-BH115)+0.15*(1-BO115)))</f>
        <v/>
      </c>
      <c r="BJ115">
        <f>MAX(0,1-(ABS(((( AX115+AY115)/2)-0.55)*1.6)))</f>
        <v/>
      </c>
      <c r="BK115">
        <f>MAX(0,MIN(1,0.28*AR115+0.18*AT115+0.16*BJ115+0.14*(1-AV115)+0.12*BQ115+0.12*BO115))</f>
        <v/>
      </c>
      <c r="BL115">
        <f>MAX(0,MIN(1,0.22*AQ115+0.18*AS115+0.18*BC115+0.18*BD115+0.08*BE115+0.10*BF115+0.06*BO115))</f>
        <v/>
      </c>
      <c r="BM115">
        <f>MAX(0,MIN(1,0.20*(1-AZ115)+0.16*(1-BA115)+0.14*(1-AW115)+0.14*AU115+0.18*BG115+0.10*BH115+0.08*BP115))</f>
        <v/>
      </c>
      <c r="BN115">
        <f>MAX(0,MIN(1,0.42*BJ115+0.33*BK115+0.15*AT115+0.10*BQ115))</f>
        <v/>
      </c>
      <c r="BO115">
        <f>MAX(0,MIN(1,0.30*BC115+0.24*BD115+0.18*AS115+0.14*(1-BI115)+0.14*AT115))</f>
        <v/>
      </c>
      <c r="BP115">
        <f>MAX(0,MIN(1,0.26*AS115+0.20*(1-BA115)+0.16*(1-AW115)+0.18*BG115+0.10*AU115+0.10+BB115))</f>
        <v/>
      </c>
      <c r="BQ115">
        <f>MAX(0,MIN(1,0.24*AT115+0.18*BF115+0.14*AR115+0.14*BO115+0.14*(1-AV115)+0.16*(1-AZ115)))</f>
        <v/>
      </c>
      <c r="BR115">
        <f>IF(BO115&gt;=0.80,"Open",IF(BO115&gt;=0.62,"Measured",IF(BO115&gt;=0.45,"Selective","Guarded")))</f>
        <v/>
      </c>
      <c r="BS115">
        <f>IF(Y115="COMM_Direct","Direct",IF(Y115="COMM_Emotional","Emotional",IF(Y115="COMM_Logical","Logical",IF(Y115="COMM_Indirect","Indirect","Avoidant"))))</f>
        <v/>
      </c>
      <c r="BT115">
        <f>IF(BG115&gt;=0.78,"Co-repair",IF(BG115&gt;=0.58,"Re-engage",IF(BG115&gt;=0.40,"Delay","Suppress")))</f>
        <v/>
      </c>
      <c r="BU115">
        <f>IF(BI115&gt;=0.70,"Retreat-risk",IF(BH115&lt;=0.40,"Rush-risk",IF(BH115&gt;=0.65,"Slow-build","Mixed")))</f>
        <v/>
      </c>
      <c r="BV115">
        <f>IF(BL115-BM115&gt;=0.15,"Stimulation-seeking",IF(BM115-BL115&gt;=0.15,"Calm-seeking","Mixed")))</f>
        <v/>
      </c>
      <c r="BW115">
        <f>IF(AND(BL115&gt;=0.72,BM115&lt;0.48),"High",IF(AND(BL115&gt;=0.60,BM115&lt;0.58),"Medium","Low"))</f>
        <v/>
      </c>
    </row>
    <row r="116" ht="135" customHeight="1" s="10">
      <c r="A116" s="2" t="inlineStr">
        <is>
          <t>Q23_E</t>
        </is>
      </c>
      <c r="B116" s="2" t="n">
        <v>23</v>
      </c>
      <c r="C116" s="2" t="n">
        <v>23</v>
      </c>
      <c r="D116" s="2" t="inlineStr">
        <is>
          <t>Core</t>
        </is>
      </c>
      <c r="E116" s="2" t="n">
        <v>1.1</v>
      </c>
      <c r="F116" s="2" t="inlineStr">
        <is>
          <t>EmotionalRegulation</t>
        </is>
      </c>
      <c r="G116" s="2" t="inlineStr">
        <is>
          <t>AttachmentSafety</t>
        </is>
      </c>
      <c r="H116" s="2" t="n"/>
      <c r="I116" s="2" t="inlineStr">
        <is>
          <t>E</t>
        </is>
      </c>
      <c r="J116" s="2" t="inlineStr">
        <is>
          <t>E</t>
        </is>
      </c>
      <c r="K116" s="2" t="inlineStr">
        <is>
          <t>You didn't match my energy? I don't mention it, I just reroute mine. I'm not here to coach someone into caring.</t>
        </is>
      </c>
      <c r="L116" s="2" t="n">
        <v>8</v>
      </c>
      <c r="M116" s="2" t="n">
        <v>9</v>
      </c>
      <c r="N116" s="2" t="n">
        <v>4</v>
      </c>
      <c r="O116" s="2" t="n">
        <v>6</v>
      </c>
      <c r="P116" s="2" t="n">
        <v>2</v>
      </c>
      <c r="Q116" s="2" t="inlineStr">
        <is>
          <t>Icebox</t>
        </is>
      </c>
      <c r="R116" s="2" t="n">
        <v>1</v>
      </c>
      <c r="S116" s="2" t="n"/>
      <c r="T116" s="2" t="n"/>
      <c r="U116" s="2" t="n">
        <v>0</v>
      </c>
      <c r="V116" s="2" t="inlineStr">
        <is>
          <t>masc:1.8;fem:-1.6</t>
        </is>
      </c>
      <c r="W116" s="2" t="n">
        <v>1.8</v>
      </c>
      <c r="X116" s="2" t="n">
        <v>-1.6</v>
      </c>
      <c r="Y116" s="2" t="inlineStr">
        <is>
          <t>COMM_Avoidant</t>
        </is>
      </c>
      <c r="Z116" s="2" t="inlineStr">
        <is>
          <t>REG_Suppressor</t>
        </is>
      </c>
      <c r="AA116" s="2" t="inlineStr">
        <is>
          <t>LANG_Time</t>
        </is>
      </c>
      <c r="AB116" s="2" t="n"/>
      <c r="AC116" s="2" t="n"/>
      <c r="AD116" s="2" t="n"/>
      <c r="AE116" s="2" t="n">
        <v>0</v>
      </c>
      <c r="AF116" s="2" t="inlineStr">
        <is>
          <t>no-warning shift</t>
        </is>
      </c>
      <c r="AG116" s="2" t="inlineStr">
        <is>
          <t>decisive withdrawer</t>
        </is>
      </c>
      <c r="AH116" s="2" t="n">
        <v>0.6</v>
      </c>
      <c r="AI116" s="2" t="inlineStr">
        <is>
          <t>no</t>
        </is>
      </c>
      <c r="AJ116" s="2" t="inlineStr">
        <is>
          <t>no</t>
        </is>
      </c>
      <c r="AK116" s="2" t="inlineStr">
        <is>
          <t>yes</t>
        </is>
      </c>
      <c r="AL116" s="2" t="inlineStr">
        <is>
          <t>yes</t>
        </is>
      </c>
      <c r="AM116" s="2" t="n"/>
      <c r="AN116" s="2" t="n"/>
      <c r="AO116" s="2" t="n"/>
      <c r="AP116" s="2" t="inlineStr">
        <is>
          <t>v3_2026-03-19</t>
        </is>
      </c>
      <c r="AQ116">
        <f>(L116-Schema_v5!$C2)/(Schema_v5!$C3-Schema_v5!$C2)</f>
        <v/>
      </c>
      <c r="AR116">
        <f>(M116-Schema_v5!$C4)/(Schema_v5!$C5-Schema_v5!$C4)</f>
        <v/>
      </c>
      <c r="AS116">
        <f>N116/Schema_v5!$C6</f>
        <v/>
      </c>
      <c r="AT116">
        <f>O116/Schema_v5!$C7</f>
        <v/>
      </c>
      <c r="AU116">
        <f>P116/Schema_v5!$C8</f>
        <v/>
      </c>
      <c r="AV116">
        <f>IF(Schema_v5!$C9=0,0,AH116/Schema_v5!$C9)</f>
        <v/>
      </c>
      <c r="AW116">
        <f>IF(Schema_v5!$C10=0,0,AE116/Schema_v5!$C10)</f>
        <v/>
      </c>
      <c r="AX116">
        <f>(W116-Schema_v5!$C11)/(Schema_v5!$C12-Schema_v5!$C11)</f>
        <v/>
      </c>
      <c r="AY116">
        <f>(X116-Schema_v5!$C13)/(Schema_v5!$C14-Schema_v5!$C13)</f>
        <v/>
      </c>
      <c r="AZ116">
        <f>MIN(1,MAX(0,U116/Schema_v7!$C$9))</f>
        <v/>
      </c>
      <c r="BA116">
        <f>IF(AJ116="yes",0.55,0)</f>
        <v/>
      </c>
      <c r="BB116">
        <f>IF(AI116="yes",0.10,0)</f>
        <v/>
      </c>
      <c r="BC116">
        <f>IF(Y116="COMM_Direct",0.92,IF(Y116="COMM_Emotional",0.70,IF(Y116="COMM_Logical",0.65,IF(Y116="COMM_Indirect",0.55,0.35))))</f>
        <v/>
      </c>
      <c r="BD116">
        <f>IF(Z116="REG_CoRegulator",0.92,IF(Z116="REG_SelfSoother",0.76,IF(Z116="REG_Distractor",0.48,0.35)))</f>
        <v/>
      </c>
      <c r="BE116">
        <f>IF(AA116="LANG_Time",0.76,IF(AA116="LANG_Service",0.70,IF(AA116="LANG_Words",0.72,IF(AA116="LANG_Touch",0.68,0.60))))</f>
        <v/>
      </c>
      <c r="BF116">
        <f>MAX(0,MIN(1,0.28*AS116+0.16*AT116+0.18*BC116+0.18*BD116+0.10*(1-AZ116)+0.10*(1-BA116)+BB116))</f>
        <v/>
      </c>
      <c r="BG116">
        <f>MAX(0,MIN(1,0.24*AU116+0.18*AS116+0.18*BC116+0.20*BD116+0.10*(1-AW116)+0.10*(1-BA116)))</f>
        <v/>
      </c>
      <c r="BH116">
        <f>MAX(0,MIN(1,0.28*AR116+0.18*AT116+0.16*AU116+0.18*(1-AV116)+0.10*(1-AW116)+0.10*BF116))</f>
        <v/>
      </c>
      <c r="BI116">
        <f>MAX(0,MIN(1,0.30*AV116+0.20*AZ116+0.20*AW116+0.15*(1-BH116)+0.15*(1-BO116)))</f>
        <v/>
      </c>
      <c r="BJ116">
        <f>MAX(0,1-(ABS(((( AX116+AY116)/2)-0.55)*1.6)))</f>
        <v/>
      </c>
      <c r="BK116">
        <f>MAX(0,MIN(1,0.28*AR116+0.18*AT116+0.16*BJ116+0.14*(1-AV116)+0.12*BQ116+0.12*BO116))</f>
        <v/>
      </c>
      <c r="BL116">
        <f>MAX(0,MIN(1,0.22*AQ116+0.18*AS116+0.18*BC116+0.18*BD116+0.08*BE116+0.10*BF116+0.06*BO116))</f>
        <v/>
      </c>
      <c r="BM116">
        <f>MAX(0,MIN(1,0.20*(1-AZ116)+0.16*(1-BA116)+0.14*(1-AW116)+0.14*AU116+0.18*BG116+0.10*BH116+0.08*BP116))</f>
        <v/>
      </c>
      <c r="BN116">
        <f>MAX(0,MIN(1,0.42*BJ116+0.33*BK116+0.15*AT116+0.10*BQ116))</f>
        <v/>
      </c>
      <c r="BO116">
        <f>MAX(0,MIN(1,0.30*BC116+0.24*BD116+0.18*AS116+0.14*(1-BI116)+0.14*AT116))</f>
        <v/>
      </c>
      <c r="BP116">
        <f>MAX(0,MIN(1,0.26*AS116+0.20*(1-BA116)+0.16*(1-AW116)+0.18*BG116+0.10*AU116+0.10+BB116))</f>
        <v/>
      </c>
      <c r="BQ116">
        <f>MAX(0,MIN(1,0.24*AT116+0.18*BF116+0.14*AR116+0.14*BO116+0.14*(1-AV116)+0.16*(1-AZ116)))</f>
        <v/>
      </c>
      <c r="BR116">
        <f>IF(BO116&gt;=0.80,"Open",IF(BO116&gt;=0.62,"Measured",IF(BO116&gt;=0.45,"Selective","Guarded")))</f>
        <v/>
      </c>
      <c r="BS116">
        <f>IF(Y116="COMM_Direct","Direct",IF(Y116="COMM_Emotional","Emotional",IF(Y116="COMM_Logical","Logical",IF(Y116="COMM_Indirect","Indirect","Avoidant"))))</f>
        <v/>
      </c>
      <c r="BT116">
        <f>IF(BG116&gt;=0.78,"Co-repair",IF(BG116&gt;=0.58,"Re-engage",IF(BG116&gt;=0.40,"Delay","Suppress")))</f>
        <v/>
      </c>
      <c r="BU116">
        <f>IF(BI116&gt;=0.70,"Retreat-risk",IF(BH116&lt;=0.40,"Rush-risk",IF(BH116&gt;=0.65,"Slow-build","Mixed")))</f>
        <v/>
      </c>
      <c r="BV116">
        <f>IF(BL116-BM116&gt;=0.15,"Stimulation-seeking",IF(BM116-BL116&gt;=0.15,"Calm-seeking","Mixed")))</f>
        <v/>
      </c>
      <c r="BW116">
        <f>IF(AND(BL116&gt;=0.72,BM116&lt;0.48),"High",IF(AND(BL116&gt;=0.60,BM116&lt;0.58),"Medium","Low"))</f>
        <v/>
      </c>
    </row>
    <row r="117" ht="108" customHeight="1" s="10">
      <c r="A117" s="2" t="inlineStr">
        <is>
          <t>Q24_A</t>
        </is>
      </c>
      <c r="B117" s="2" t="n">
        <v>24</v>
      </c>
      <c r="C117" s="2" t="n">
        <v>24</v>
      </c>
      <c r="D117" s="2" t="inlineStr">
        <is>
          <t>Core</t>
        </is>
      </c>
      <c r="E117" s="2" t="n">
        <v>1.1</v>
      </c>
      <c r="F117" s="2" t="inlineStr">
        <is>
          <t>EmotionalRegulation</t>
        </is>
      </c>
      <c r="G117" s="2" t="inlineStr">
        <is>
          <t>AttachmentSafety</t>
        </is>
      </c>
      <c r="H117" s="2" t="inlineStr">
        <is>
          <t>You go out of your way for someone... but it's clear they don't value it. What happens next?</t>
        </is>
      </c>
      <c r="I117" s="2" t="inlineStr">
        <is>
          <t>A</t>
        </is>
      </c>
      <c r="J117" s="2" t="inlineStr">
        <is>
          <t>A</t>
        </is>
      </c>
      <c r="K117" s="2" t="inlineStr">
        <is>
          <t>I note it, quietly. Next time they need something, I'm not showing up the same.</t>
        </is>
      </c>
      <c r="L117" s="2" t="n">
        <v>8</v>
      </c>
      <c r="M117" s="2" t="n">
        <v>8</v>
      </c>
      <c r="N117" s="2" t="n">
        <v>4</v>
      </c>
      <c r="O117" s="2" t="n">
        <v>4</v>
      </c>
      <c r="P117" s="2" t="n">
        <v>2</v>
      </c>
      <c r="Q117" s="2" t="inlineStr">
        <is>
          <t>Quiet Exit</t>
        </is>
      </c>
      <c r="R117" s="2" t="n">
        <v>4</v>
      </c>
      <c r="S117" s="2" t="n"/>
      <c r="T117" s="2" t="n"/>
      <c r="U117" s="2" t="n">
        <v>0</v>
      </c>
      <c r="V117" s="2" t="inlineStr">
        <is>
          <t>masc:1.4;fem:-1.3</t>
        </is>
      </c>
      <c r="W117" s="2" t="n">
        <v>1.4</v>
      </c>
      <c r="X117" s="2" t="n">
        <v>-1.3</v>
      </c>
      <c r="Y117" s="2" t="inlineStr">
        <is>
          <t>COMM_Avoidant</t>
        </is>
      </c>
      <c r="Z117" s="2" t="inlineStr">
        <is>
          <t>REG_Suppressor</t>
        </is>
      </c>
      <c r="AA117" s="2" t="inlineStr">
        <is>
          <t>LANG_Time</t>
        </is>
      </c>
      <c r="AB117" s="2" t="n"/>
      <c r="AC117" s="2" t="n"/>
      <c r="AD117" s="2" t="n"/>
      <c r="AE117" s="2" t="n">
        <v>0</v>
      </c>
      <c r="AF117" s="2" t="inlineStr">
        <is>
          <t>emotional cost accountant</t>
        </is>
      </c>
      <c r="AG117" s="2" t="inlineStr">
        <is>
          <t>boundary enforcer</t>
        </is>
      </c>
      <c r="AH117" s="2" t="n">
        <v>0</v>
      </c>
      <c r="AI117" s="2" t="inlineStr">
        <is>
          <t>no</t>
        </is>
      </c>
      <c r="AJ117" s="2" t="inlineStr">
        <is>
          <t>no</t>
        </is>
      </c>
      <c r="AK117" s="2" t="inlineStr">
        <is>
          <t>yes</t>
        </is>
      </c>
      <c r="AL117" s="2" t="inlineStr">
        <is>
          <t>yes</t>
        </is>
      </c>
      <c r="AM117" s="2" t="n"/>
      <c r="AN117" s="2" t="n"/>
      <c r="AO117" s="2" t="n"/>
      <c r="AP117" s="2" t="inlineStr">
        <is>
          <t>v3_2026-03-19</t>
        </is>
      </c>
      <c r="AQ117">
        <f>(L117-Schema_v5!$C2)/(Schema_v5!$C3-Schema_v5!$C2)</f>
        <v/>
      </c>
      <c r="AR117">
        <f>(M117-Schema_v5!$C4)/(Schema_v5!$C5-Schema_v5!$C4)</f>
        <v/>
      </c>
      <c r="AS117">
        <f>N117/Schema_v5!$C6</f>
        <v/>
      </c>
      <c r="AT117">
        <f>O117/Schema_v5!$C7</f>
        <v/>
      </c>
      <c r="AU117">
        <f>P117/Schema_v5!$C8</f>
        <v/>
      </c>
      <c r="AV117">
        <f>IF(Schema_v5!$C9=0,0,AH117/Schema_v5!$C9)</f>
        <v/>
      </c>
      <c r="AW117">
        <f>IF(Schema_v5!$C10=0,0,AE117/Schema_v5!$C10)</f>
        <v/>
      </c>
      <c r="AX117">
        <f>(W117-Schema_v5!$C11)/(Schema_v5!$C12-Schema_v5!$C11)</f>
        <v/>
      </c>
      <c r="AY117">
        <f>(X117-Schema_v5!$C13)/(Schema_v5!$C14-Schema_v5!$C13)</f>
        <v/>
      </c>
      <c r="AZ117">
        <f>MIN(1,MAX(0,U117/Schema_v7!$C$9))</f>
        <v/>
      </c>
      <c r="BA117">
        <f>IF(AJ117="yes",0.55,0)</f>
        <v/>
      </c>
      <c r="BB117">
        <f>IF(AI117="yes",0.10,0)</f>
        <v/>
      </c>
      <c r="BC117">
        <f>IF(Y117="COMM_Direct",0.92,IF(Y117="COMM_Emotional",0.70,IF(Y117="COMM_Logical",0.65,IF(Y117="COMM_Indirect",0.55,0.35))))</f>
        <v/>
      </c>
      <c r="BD117">
        <f>IF(Z117="REG_CoRegulator",0.92,IF(Z117="REG_SelfSoother",0.76,IF(Z117="REG_Distractor",0.48,0.35)))</f>
        <v/>
      </c>
      <c r="BE117">
        <f>IF(AA117="LANG_Time",0.76,IF(AA117="LANG_Service",0.70,IF(AA117="LANG_Words",0.72,IF(AA117="LANG_Touch",0.68,0.60))))</f>
        <v/>
      </c>
      <c r="BF117">
        <f>MAX(0,MIN(1,0.28*AS117+0.16*AT117+0.18*BC117+0.18*BD117+0.10*(1-AZ117)+0.10*(1-BA117)+BB117))</f>
        <v/>
      </c>
      <c r="BG117">
        <f>MAX(0,MIN(1,0.24*AU117+0.18*AS117+0.18*BC117+0.20*BD117+0.10*(1-AW117)+0.10*(1-BA117)))</f>
        <v/>
      </c>
      <c r="BH117">
        <f>MAX(0,MIN(1,0.28*AR117+0.18*AT117+0.16*AU117+0.18*(1-AV117)+0.10*(1-AW117)+0.10*BF117))</f>
        <v/>
      </c>
      <c r="BI117">
        <f>MAX(0,MIN(1,0.30*AV117+0.20*AZ117+0.20*AW117+0.15*(1-BH117)+0.15*(1-BO117)))</f>
        <v/>
      </c>
      <c r="BJ117">
        <f>MAX(0,1-(ABS(((( AX117+AY117)/2)-0.55)*1.6)))</f>
        <v/>
      </c>
      <c r="BK117">
        <f>MAX(0,MIN(1,0.28*AR117+0.18*AT117+0.16*BJ117+0.14*(1-AV117)+0.12*BQ117+0.12*BO117))</f>
        <v/>
      </c>
      <c r="BL117">
        <f>MAX(0,MIN(1,0.22*AQ117+0.18*AS117+0.18*BC117+0.18*BD117+0.08*BE117+0.10*BF117+0.06*BO117))</f>
        <v/>
      </c>
      <c r="BM117">
        <f>MAX(0,MIN(1,0.20*(1-AZ117)+0.16*(1-BA117)+0.14*(1-AW117)+0.14*AU117+0.18*BG117+0.10*BH117+0.08*BP117))</f>
        <v/>
      </c>
      <c r="BN117">
        <f>MAX(0,MIN(1,0.42*BJ117+0.33*BK117+0.15*AT117+0.10*BQ117))</f>
        <v/>
      </c>
      <c r="BO117">
        <f>MAX(0,MIN(1,0.30*BC117+0.24*BD117+0.18*AS117+0.14*(1-BI117)+0.14*AT117))</f>
        <v/>
      </c>
      <c r="BP117">
        <f>MAX(0,MIN(1,0.26*AS117+0.20*(1-BA117)+0.16*(1-AW117)+0.18*BG117+0.10*AU117+0.10+BB117))</f>
        <v/>
      </c>
      <c r="BQ117">
        <f>MAX(0,MIN(1,0.24*AT117+0.18*BF117+0.14*AR117+0.14*BO117+0.14*(1-AV117)+0.16*(1-AZ117)))</f>
        <v/>
      </c>
      <c r="BR117">
        <f>IF(BO117&gt;=0.80,"Open",IF(BO117&gt;=0.62,"Measured",IF(BO117&gt;=0.45,"Selective","Guarded")))</f>
        <v/>
      </c>
      <c r="BS117">
        <f>IF(Y117="COMM_Direct","Direct",IF(Y117="COMM_Emotional","Emotional",IF(Y117="COMM_Logical","Logical",IF(Y117="COMM_Indirect","Indirect","Avoidant"))))</f>
        <v/>
      </c>
      <c r="BT117">
        <f>IF(BG117&gt;=0.78,"Co-repair",IF(BG117&gt;=0.58,"Re-engage",IF(BG117&gt;=0.40,"Delay","Suppress")))</f>
        <v/>
      </c>
      <c r="BU117">
        <f>IF(BI117&gt;=0.70,"Retreat-risk",IF(BH117&lt;=0.40,"Rush-risk",IF(BH117&gt;=0.65,"Slow-build","Mixed")))</f>
        <v/>
      </c>
      <c r="BV117">
        <f>IF(BL117-BM117&gt;=0.15,"Stimulation-seeking",IF(BM117-BL117&gt;=0.15,"Calm-seeking","Mixed")))</f>
        <v/>
      </c>
      <c r="BW117">
        <f>IF(AND(BL117&gt;=0.72,BM117&lt;0.48),"High",IF(AND(BL117&gt;=0.60,BM117&lt;0.58),"Medium","Low"))</f>
        <v/>
      </c>
    </row>
    <row r="118" ht="121.5" customHeight="1" s="10">
      <c r="A118" s="2" t="inlineStr">
        <is>
          <t>Q24_B</t>
        </is>
      </c>
      <c r="B118" s="2" t="n">
        <v>24</v>
      </c>
      <c r="C118" s="2" t="n">
        <v>24</v>
      </c>
      <c r="D118" s="2" t="inlineStr">
        <is>
          <t>Core</t>
        </is>
      </c>
      <c r="E118" s="2" t="n">
        <v>1.1</v>
      </c>
      <c r="F118" s="2" t="inlineStr">
        <is>
          <t>EmotionalRegulation</t>
        </is>
      </c>
      <c r="G118" s="2" t="inlineStr">
        <is>
          <t>AttachmentSafety</t>
        </is>
      </c>
      <c r="H118" s="2" t="n"/>
      <c r="I118" s="2" t="inlineStr">
        <is>
          <t>B</t>
        </is>
      </c>
      <c r="J118" s="2" t="inlineStr">
        <is>
          <t>B</t>
        </is>
      </c>
      <c r="K118" s="2" t="inlineStr">
        <is>
          <t>I try one more thing, one big gesture, maybe. If they still don't get it, that's on them.</t>
        </is>
      </c>
      <c r="L118" s="2" t="n">
        <v>6</v>
      </c>
      <c r="M118" s="2" t="n">
        <v>7</v>
      </c>
      <c r="N118" s="2" t="n">
        <v>4</v>
      </c>
      <c r="O118" s="2" t="n">
        <v>4</v>
      </c>
      <c r="P118" s="2" t="n">
        <v>2</v>
      </c>
      <c r="Q118" s="2" t="inlineStr">
        <is>
          <t>Romantic Idealist</t>
        </is>
      </c>
      <c r="R118" s="2" t="n">
        <v>6</v>
      </c>
      <c r="S118" s="2" t="n"/>
      <c r="T118" s="2" t="n"/>
      <c r="U118" s="2" t="n">
        <v>0</v>
      </c>
      <c r="V118" s="2" t="inlineStr">
        <is>
          <t>masc:-0.4;fem:1.5</t>
        </is>
      </c>
      <c r="W118" s="2" t="n">
        <v>-0.4</v>
      </c>
      <c r="X118" s="2" t="n">
        <v>1.5</v>
      </c>
      <c r="Y118" s="2" t="inlineStr">
        <is>
          <t>COMM_Emotional</t>
        </is>
      </c>
      <c r="Z118" s="2" t="inlineStr">
        <is>
          <t>REG_Distractor</t>
        </is>
      </c>
      <c r="AA118" s="2" t="inlineStr">
        <is>
          <t>LANG_Gifts</t>
        </is>
      </c>
      <c r="AB118" s="2" t="inlineStr">
        <is>
          <t>Commitment_Ambiguity</t>
        </is>
      </c>
      <c r="AC118" s="2" t="inlineStr">
        <is>
          <t>Commitment_Ambiguity</t>
        </is>
      </c>
      <c r="AD118" s="2" t="n"/>
      <c r="AE118" s="2" t="n">
        <v>5</v>
      </c>
      <c r="AF118" s="2" t="inlineStr">
        <is>
          <t>hopeful closer</t>
        </is>
      </c>
      <c r="AG118" s="2" t="inlineStr">
        <is>
          <t>last-chance giver</t>
        </is>
      </c>
      <c r="AH118" s="2" t="n">
        <v>0</v>
      </c>
      <c r="AI118" s="2" t="inlineStr">
        <is>
          <t>yes</t>
        </is>
      </c>
      <c r="AJ118" s="2" t="inlineStr">
        <is>
          <t>no</t>
        </is>
      </c>
      <c r="AK118" s="2" t="inlineStr">
        <is>
          <t>yes</t>
        </is>
      </c>
      <c r="AL118" s="2" t="inlineStr">
        <is>
          <t>yes</t>
        </is>
      </c>
      <c r="AM118" s="2" t="n"/>
      <c r="AN118" s="2" t="n"/>
      <c r="AO118" s="2" t="n"/>
      <c r="AP118" s="2" t="inlineStr">
        <is>
          <t>v3_2026-03-19</t>
        </is>
      </c>
      <c r="AQ118">
        <f>(L118-Schema_v5!$C2)/(Schema_v5!$C3-Schema_v5!$C2)</f>
        <v/>
      </c>
      <c r="AR118">
        <f>(M118-Schema_v5!$C4)/(Schema_v5!$C5-Schema_v5!$C4)</f>
        <v/>
      </c>
      <c r="AS118">
        <f>N118/Schema_v5!$C6</f>
        <v/>
      </c>
      <c r="AT118">
        <f>O118/Schema_v5!$C7</f>
        <v/>
      </c>
      <c r="AU118">
        <f>P118/Schema_v5!$C8</f>
        <v/>
      </c>
      <c r="AV118">
        <f>IF(Schema_v5!$C9=0,0,AH118/Schema_v5!$C9)</f>
        <v/>
      </c>
      <c r="AW118">
        <f>IF(Schema_v5!$C10=0,0,AE118/Schema_v5!$C10)</f>
        <v/>
      </c>
      <c r="AX118">
        <f>(W118-Schema_v5!$C11)/(Schema_v5!$C12-Schema_v5!$C11)</f>
        <v/>
      </c>
      <c r="AY118">
        <f>(X118-Schema_v5!$C13)/(Schema_v5!$C14-Schema_v5!$C13)</f>
        <v/>
      </c>
      <c r="AZ118">
        <f>MIN(1,MAX(0,U118/Schema_v7!$C$9))</f>
        <v/>
      </c>
      <c r="BA118">
        <f>IF(AJ118="yes",0.55,0)</f>
        <v/>
      </c>
      <c r="BB118">
        <f>IF(AI118="yes",0.10,0)</f>
        <v/>
      </c>
      <c r="BC118">
        <f>IF(Y118="COMM_Direct",0.92,IF(Y118="COMM_Emotional",0.70,IF(Y118="COMM_Logical",0.65,IF(Y118="COMM_Indirect",0.55,0.35))))</f>
        <v/>
      </c>
      <c r="BD118">
        <f>IF(Z118="REG_CoRegulator",0.92,IF(Z118="REG_SelfSoother",0.76,IF(Z118="REG_Distractor",0.48,0.35)))</f>
        <v/>
      </c>
      <c r="BE118">
        <f>IF(AA118="LANG_Time",0.76,IF(AA118="LANG_Service",0.70,IF(AA118="LANG_Words",0.72,IF(AA118="LANG_Touch",0.68,0.60))))</f>
        <v/>
      </c>
      <c r="BF118">
        <f>MAX(0,MIN(1,0.28*AS118+0.16*AT118+0.18*BC118+0.18*BD118+0.10*(1-AZ118)+0.10*(1-BA118)+BB118))</f>
        <v/>
      </c>
      <c r="BG118">
        <f>MAX(0,MIN(1,0.24*AU118+0.18*AS118+0.18*BC118+0.20*BD118+0.10*(1-AW118)+0.10*(1-BA118)))</f>
        <v/>
      </c>
      <c r="BH118">
        <f>MAX(0,MIN(1,0.28*AR118+0.18*AT118+0.16*AU118+0.18*(1-AV118)+0.10*(1-AW118)+0.10*BF118))</f>
        <v/>
      </c>
      <c r="BI118">
        <f>MAX(0,MIN(1,0.30*AV118+0.20*AZ118+0.20*AW118+0.15*(1-BH118)+0.15*(1-BO118)))</f>
        <v/>
      </c>
      <c r="BJ118">
        <f>MAX(0,1-(ABS(((( AX118+AY118)/2)-0.55)*1.6)))</f>
        <v/>
      </c>
      <c r="BK118">
        <f>MAX(0,MIN(1,0.28*AR118+0.18*AT118+0.16*BJ118+0.14*(1-AV118)+0.12*BQ118+0.12*BO118))</f>
        <v/>
      </c>
      <c r="BL118">
        <f>MAX(0,MIN(1,0.22*AQ118+0.18*AS118+0.18*BC118+0.18*BD118+0.08*BE118+0.10*BF118+0.06*BO118))</f>
        <v/>
      </c>
      <c r="BM118">
        <f>MAX(0,MIN(1,0.20*(1-AZ118)+0.16*(1-BA118)+0.14*(1-AW118)+0.14*AU118+0.18*BG118+0.10*BH118+0.08*BP118))</f>
        <v/>
      </c>
      <c r="BN118">
        <f>MAX(0,MIN(1,0.42*BJ118+0.33*BK118+0.15*AT118+0.10*BQ118))</f>
        <v/>
      </c>
      <c r="BO118">
        <f>MAX(0,MIN(1,0.30*BC118+0.24*BD118+0.18*AS118+0.14*(1-BI118)+0.14*AT118))</f>
        <v/>
      </c>
      <c r="BP118">
        <f>MAX(0,MIN(1,0.26*AS118+0.20*(1-BA118)+0.16*(1-AW118)+0.18*BG118+0.10*AU118+0.10+BB118))</f>
        <v/>
      </c>
      <c r="BQ118">
        <f>MAX(0,MIN(1,0.24*AT118+0.18*BF118+0.14*AR118+0.14*BO118+0.14*(1-AV118)+0.16*(1-AZ118)))</f>
        <v/>
      </c>
      <c r="BR118">
        <f>IF(BO118&gt;=0.80,"Open",IF(BO118&gt;=0.62,"Measured",IF(BO118&gt;=0.45,"Selective","Guarded")))</f>
        <v/>
      </c>
      <c r="BS118">
        <f>IF(Y118="COMM_Direct","Direct",IF(Y118="COMM_Emotional","Emotional",IF(Y118="COMM_Logical","Logical",IF(Y118="COMM_Indirect","Indirect","Avoidant"))))</f>
        <v/>
      </c>
      <c r="BT118">
        <f>IF(BG118&gt;=0.78,"Co-repair",IF(BG118&gt;=0.58,"Re-engage",IF(BG118&gt;=0.40,"Delay","Suppress")))</f>
        <v/>
      </c>
      <c r="BU118">
        <f>IF(BI118&gt;=0.70,"Retreat-risk",IF(BH118&lt;=0.40,"Rush-risk",IF(BH118&gt;=0.65,"Slow-build","Mixed")))</f>
        <v/>
      </c>
      <c r="BV118">
        <f>IF(BL118-BM118&gt;=0.15,"Stimulation-seeking",IF(BM118-BL118&gt;=0.15,"Calm-seeking","Mixed")))</f>
        <v/>
      </c>
      <c r="BW118">
        <f>IF(AND(BL118&gt;=0.72,BM118&lt;0.48),"High",IF(AND(BL118&gt;=0.60,BM118&lt;0.58),"Medium","Low"))</f>
        <v/>
      </c>
    </row>
    <row r="119" ht="94.5" customHeight="1" s="10">
      <c r="A119" s="2" t="inlineStr">
        <is>
          <t>Q24_C</t>
        </is>
      </c>
      <c r="B119" s="2" t="n">
        <v>24</v>
      </c>
      <c r="C119" s="2" t="n">
        <v>24</v>
      </c>
      <c r="D119" s="2" t="inlineStr">
        <is>
          <t>Core</t>
        </is>
      </c>
      <c r="E119" s="2" t="n">
        <v>1.1</v>
      </c>
      <c r="F119" s="2" t="inlineStr">
        <is>
          <t>EmotionalRegulation</t>
        </is>
      </c>
      <c r="G119" s="2" t="inlineStr">
        <is>
          <t>AttachmentSafety</t>
        </is>
      </c>
      <c r="H119" s="2" t="n"/>
      <c r="I119" s="2" t="inlineStr">
        <is>
          <t>C</t>
        </is>
      </c>
      <c r="J119" s="2" t="inlineStr">
        <is>
          <t>C</t>
        </is>
      </c>
      <c r="K119" s="2" t="inlineStr">
        <is>
          <t>I say it. Not to guilt them, just so they know I noticed. Then I adjust accordingly.</t>
        </is>
      </c>
      <c r="L119" s="2" t="n">
        <v>8</v>
      </c>
      <c r="M119" s="2" t="n">
        <v>9</v>
      </c>
      <c r="N119" s="2" t="n">
        <v>8</v>
      </c>
      <c r="O119" s="2" t="n">
        <v>8</v>
      </c>
      <c r="P119" s="2" t="n">
        <v>8</v>
      </c>
      <c r="Q119" s="2" t="inlineStr">
        <is>
          <t>Analyzer</t>
        </is>
      </c>
      <c r="R119" s="2" t="n">
        <v>2</v>
      </c>
      <c r="S119" s="2" t="n"/>
      <c r="T119" s="2" t="n"/>
      <c r="U119" s="2" t="n">
        <v>0</v>
      </c>
      <c r="V119" s="2" t="inlineStr">
        <is>
          <t>masc:1.4;fem:0.1</t>
        </is>
      </c>
      <c r="W119" s="2" t="n">
        <v>1.4</v>
      </c>
      <c r="X119" s="2" t="n">
        <v>0.1</v>
      </c>
      <c r="Y119" s="2" t="inlineStr">
        <is>
          <t>COMM_Logical</t>
        </is>
      </c>
      <c r="Z119" s="2" t="inlineStr">
        <is>
          <t>REG_SelfSoother</t>
        </is>
      </c>
      <c r="AA119" s="2" t="inlineStr">
        <is>
          <t>LANG_Service</t>
        </is>
      </c>
      <c r="AB119" s="2" t="n"/>
      <c r="AC119" s="2" t="n"/>
      <c r="AD119" s="2" t="n"/>
      <c r="AE119" s="2" t="n">
        <v>0</v>
      </c>
      <c r="AF119" s="2" t="inlineStr">
        <is>
          <t>honest calibration</t>
        </is>
      </c>
      <c r="AG119" s="2" t="inlineStr">
        <is>
          <t>direct communicator</t>
        </is>
      </c>
      <c r="AH119" s="2" t="n">
        <v>0</v>
      </c>
      <c r="AI119" s="2" t="inlineStr">
        <is>
          <t>no</t>
        </is>
      </c>
      <c r="AJ119" s="2" t="inlineStr">
        <is>
          <t>no</t>
        </is>
      </c>
      <c r="AK119" s="2" t="inlineStr">
        <is>
          <t>yes</t>
        </is>
      </c>
      <c r="AL119" s="2" t="inlineStr">
        <is>
          <t>yes</t>
        </is>
      </c>
      <c r="AM119" s="2" t="n"/>
      <c r="AN119" s="2" t="n"/>
      <c r="AO119" s="2" t="n"/>
      <c r="AP119" s="2" t="inlineStr">
        <is>
          <t>v3_2026-03-19</t>
        </is>
      </c>
      <c r="AQ119">
        <f>(L119-Schema_v5!$C2)/(Schema_v5!$C3-Schema_v5!$C2)</f>
        <v/>
      </c>
      <c r="AR119">
        <f>(M119-Schema_v5!$C4)/(Schema_v5!$C5-Schema_v5!$C4)</f>
        <v/>
      </c>
      <c r="AS119">
        <f>N119/Schema_v5!$C6</f>
        <v/>
      </c>
      <c r="AT119">
        <f>O119/Schema_v5!$C7</f>
        <v/>
      </c>
      <c r="AU119">
        <f>P119/Schema_v5!$C8</f>
        <v/>
      </c>
      <c r="AV119">
        <f>IF(Schema_v5!$C9=0,0,AH119/Schema_v5!$C9)</f>
        <v/>
      </c>
      <c r="AW119">
        <f>IF(Schema_v5!$C10=0,0,AE119/Schema_v5!$C10)</f>
        <v/>
      </c>
      <c r="AX119">
        <f>(W119-Schema_v5!$C11)/(Schema_v5!$C12-Schema_v5!$C11)</f>
        <v/>
      </c>
      <c r="AY119">
        <f>(X119-Schema_v5!$C13)/(Schema_v5!$C14-Schema_v5!$C13)</f>
        <v/>
      </c>
      <c r="AZ119">
        <f>MIN(1,MAX(0,U119/Schema_v7!$C$9))</f>
        <v/>
      </c>
      <c r="BA119">
        <f>IF(AJ119="yes",0.55,0)</f>
        <v/>
      </c>
      <c r="BB119">
        <f>IF(AI119="yes",0.10,0)</f>
        <v/>
      </c>
      <c r="BC119">
        <f>IF(Y119="COMM_Direct",0.92,IF(Y119="COMM_Emotional",0.70,IF(Y119="COMM_Logical",0.65,IF(Y119="COMM_Indirect",0.55,0.35))))</f>
        <v/>
      </c>
      <c r="BD119">
        <f>IF(Z119="REG_CoRegulator",0.92,IF(Z119="REG_SelfSoother",0.76,IF(Z119="REG_Distractor",0.48,0.35)))</f>
        <v/>
      </c>
      <c r="BE119">
        <f>IF(AA119="LANG_Time",0.76,IF(AA119="LANG_Service",0.70,IF(AA119="LANG_Words",0.72,IF(AA119="LANG_Touch",0.68,0.60))))</f>
        <v/>
      </c>
      <c r="BF119">
        <f>MAX(0,MIN(1,0.28*AS119+0.16*AT119+0.18*BC119+0.18*BD119+0.10*(1-AZ119)+0.10*(1-BA119)+BB119))</f>
        <v/>
      </c>
      <c r="BG119">
        <f>MAX(0,MIN(1,0.24*AU119+0.18*AS119+0.18*BC119+0.20*BD119+0.10*(1-AW119)+0.10*(1-BA119)))</f>
        <v/>
      </c>
      <c r="BH119">
        <f>MAX(0,MIN(1,0.28*AR119+0.18*AT119+0.16*AU119+0.18*(1-AV119)+0.10*(1-AW119)+0.10*BF119))</f>
        <v/>
      </c>
      <c r="BI119">
        <f>MAX(0,MIN(1,0.30*AV119+0.20*AZ119+0.20*AW119+0.15*(1-BH119)+0.15*(1-BO119)))</f>
        <v/>
      </c>
      <c r="BJ119">
        <f>MAX(0,1-(ABS(((( AX119+AY119)/2)-0.55)*1.6)))</f>
        <v/>
      </c>
      <c r="BK119">
        <f>MAX(0,MIN(1,0.28*AR119+0.18*AT119+0.16*BJ119+0.14*(1-AV119)+0.12*BQ119+0.12*BO119))</f>
        <v/>
      </c>
      <c r="BL119">
        <f>MAX(0,MIN(1,0.22*AQ119+0.18*AS119+0.18*BC119+0.18*BD119+0.08*BE119+0.10*BF119+0.06*BO119))</f>
        <v/>
      </c>
      <c r="BM119">
        <f>MAX(0,MIN(1,0.20*(1-AZ119)+0.16*(1-BA119)+0.14*(1-AW119)+0.14*AU119+0.18*BG119+0.10*BH119+0.08*BP119))</f>
        <v/>
      </c>
      <c r="BN119">
        <f>MAX(0,MIN(1,0.42*BJ119+0.33*BK119+0.15*AT119+0.10*BQ119))</f>
        <v/>
      </c>
      <c r="BO119">
        <f>MAX(0,MIN(1,0.30*BC119+0.24*BD119+0.18*AS119+0.14*(1-BI119)+0.14*AT119))</f>
        <v/>
      </c>
      <c r="BP119">
        <f>MAX(0,MIN(1,0.26*AS119+0.20*(1-BA119)+0.16*(1-AW119)+0.18*BG119+0.10*AU119+0.10+BB119))</f>
        <v/>
      </c>
      <c r="BQ119">
        <f>MAX(0,MIN(1,0.24*AT119+0.18*BF119+0.14*AR119+0.14*BO119+0.14*(1-AV119)+0.16*(1-AZ119)))</f>
        <v/>
      </c>
      <c r="BR119">
        <f>IF(BO119&gt;=0.80,"Open",IF(BO119&gt;=0.62,"Measured",IF(BO119&gt;=0.45,"Selective","Guarded")))</f>
        <v/>
      </c>
      <c r="BS119">
        <f>IF(Y119="COMM_Direct","Direct",IF(Y119="COMM_Emotional","Emotional",IF(Y119="COMM_Logical","Logical",IF(Y119="COMM_Indirect","Indirect","Avoidant"))))</f>
        <v/>
      </c>
      <c r="BT119">
        <f>IF(BG119&gt;=0.78,"Co-repair",IF(BG119&gt;=0.58,"Re-engage",IF(BG119&gt;=0.40,"Delay","Suppress")))</f>
        <v/>
      </c>
      <c r="BU119">
        <f>IF(BI119&gt;=0.70,"Retreat-risk",IF(BH119&lt;=0.40,"Rush-risk",IF(BH119&gt;=0.65,"Slow-build","Mixed")))</f>
        <v/>
      </c>
      <c r="BV119">
        <f>IF(BL119-BM119&gt;=0.15,"Stimulation-seeking",IF(BM119-BL119&gt;=0.15,"Calm-seeking","Mixed")))</f>
        <v/>
      </c>
      <c r="BW119">
        <f>IF(AND(BL119&gt;=0.72,BM119&lt;0.48),"High",IF(AND(BL119&gt;=0.60,BM119&lt;0.58),"Medium","Low"))</f>
        <v/>
      </c>
    </row>
    <row r="120" ht="162" customHeight="1" s="10">
      <c r="A120" s="2" t="inlineStr">
        <is>
          <t>Q24_D</t>
        </is>
      </c>
      <c r="B120" s="2" t="n">
        <v>24</v>
      </c>
      <c r="C120" s="2" t="n">
        <v>24</v>
      </c>
      <c r="D120" s="2" t="inlineStr">
        <is>
          <t>Core</t>
        </is>
      </c>
      <c r="E120" s="2" t="n">
        <v>1.1</v>
      </c>
      <c r="F120" s="2" t="inlineStr">
        <is>
          <t>EmotionalRegulation</t>
        </is>
      </c>
      <c r="G120" s="2" t="inlineStr">
        <is>
          <t>AttachmentSafety</t>
        </is>
      </c>
      <c r="H120" s="2" t="n"/>
      <c r="I120" s="2" t="inlineStr">
        <is>
          <t>D</t>
        </is>
      </c>
      <c r="J120" s="2" t="inlineStr">
        <is>
          <t>D</t>
        </is>
      </c>
      <c r="K120" s="2" t="inlineStr">
        <is>
          <t>I pretend it doesn't bother me... but then I start making sure they feel the shift. You can't keep taking from someone who stopped offering.</t>
        </is>
      </c>
      <c r="L120" s="2" t="n">
        <v>5</v>
      </c>
      <c r="M120" s="2" t="n">
        <v>6</v>
      </c>
      <c r="N120" s="2" t="n">
        <v>2</v>
      </c>
      <c r="O120" s="2" t="n">
        <v>4</v>
      </c>
      <c r="P120" s="2" t="n">
        <v>2</v>
      </c>
      <c r="Q120" s="2" t="inlineStr">
        <is>
          <t>Phantom Seeker</t>
        </is>
      </c>
      <c r="R120" s="2" t="n">
        <v>10</v>
      </c>
      <c r="S120" s="2" t="n"/>
      <c r="T120" s="2" t="n"/>
      <c r="U120" s="2" t="n">
        <v>0</v>
      </c>
      <c r="V120" s="2" t="inlineStr">
        <is>
          <t>masc:-0.2;fem:1.5</t>
        </is>
      </c>
      <c r="W120" s="2" t="n">
        <v>-0.2</v>
      </c>
      <c r="X120" s="2" t="n">
        <v>1.5</v>
      </c>
      <c r="Y120" s="2" t="inlineStr">
        <is>
          <t>COMM_Emotional</t>
        </is>
      </c>
      <c r="Z120" s="2" t="inlineStr">
        <is>
          <t>REG_SelfSoother</t>
        </is>
      </c>
      <c r="AA120" s="2" t="inlineStr">
        <is>
          <t>LANG_Touch</t>
        </is>
      </c>
      <c r="AB120" s="2" t="inlineStr">
        <is>
          <t>Vulnerability_Loop</t>
        </is>
      </c>
      <c r="AC120" s="2" t="inlineStr">
        <is>
          <t>Vulnerability_Loop</t>
        </is>
      </c>
      <c r="AD120" s="2" t="n"/>
      <c r="AE120" s="2" t="n">
        <v>5</v>
      </c>
      <c r="AF120" s="2" t="inlineStr">
        <is>
          <t>passive signal sender</t>
        </is>
      </c>
      <c r="AG120" s="2" t="inlineStr">
        <is>
          <t>indirect punisher</t>
        </is>
      </c>
      <c r="AH120" s="2" t="n">
        <v>0.2</v>
      </c>
      <c r="AI120" s="2" t="inlineStr">
        <is>
          <t>yes</t>
        </is>
      </c>
      <c r="AJ120" s="2" t="inlineStr">
        <is>
          <t>no</t>
        </is>
      </c>
      <c r="AK120" s="2" t="inlineStr">
        <is>
          <t>yes</t>
        </is>
      </c>
      <c r="AL120" s="2" t="inlineStr">
        <is>
          <t>yes</t>
        </is>
      </c>
      <c r="AM120" s="2" t="n"/>
      <c r="AN120" s="2" t="n"/>
      <c r="AO120" s="2" t="n"/>
      <c r="AP120" s="2" t="inlineStr">
        <is>
          <t>v3_2026-03-19</t>
        </is>
      </c>
      <c r="AQ120">
        <f>(L120-Schema_v5!$C2)/(Schema_v5!$C3-Schema_v5!$C2)</f>
        <v/>
      </c>
      <c r="AR120">
        <f>(M120-Schema_v5!$C4)/(Schema_v5!$C5-Schema_v5!$C4)</f>
        <v/>
      </c>
      <c r="AS120">
        <f>N120/Schema_v5!$C6</f>
        <v/>
      </c>
      <c r="AT120">
        <f>O120/Schema_v5!$C7</f>
        <v/>
      </c>
      <c r="AU120">
        <f>P120/Schema_v5!$C8</f>
        <v/>
      </c>
      <c r="AV120">
        <f>IF(Schema_v5!$C9=0,0,AH120/Schema_v5!$C9)</f>
        <v/>
      </c>
      <c r="AW120">
        <f>IF(Schema_v5!$C10=0,0,AE120/Schema_v5!$C10)</f>
        <v/>
      </c>
      <c r="AX120">
        <f>(W120-Schema_v5!$C11)/(Schema_v5!$C12-Schema_v5!$C11)</f>
        <v/>
      </c>
      <c r="AY120">
        <f>(X120-Schema_v5!$C13)/(Schema_v5!$C14-Schema_v5!$C13)</f>
        <v/>
      </c>
      <c r="AZ120">
        <f>MIN(1,MAX(0,U120/Schema_v7!$C$9))</f>
        <v/>
      </c>
      <c r="BA120">
        <f>IF(AJ120="yes",0.55,0)</f>
        <v/>
      </c>
      <c r="BB120">
        <f>IF(AI120="yes",0.10,0)</f>
        <v/>
      </c>
      <c r="BC120">
        <f>IF(Y120="COMM_Direct",0.92,IF(Y120="COMM_Emotional",0.70,IF(Y120="COMM_Logical",0.65,IF(Y120="COMM_Indirect",0.55,0.35))))</f>
        <v/>
      </c>
      <c r="BD120">
        <f>IF(Z120="REG_CoRegulator",0.92,IF(Z120="REG_SelfSoother",0.76,IF(Z120="REG_Distractor",0.48,0.35)))</f>
        <v/>
      </c>
      <c r="BE120">
        <f>IF(AA120="LANG_Time",0.76,IF(AA120="LANG_Service",0.70,IF(AA120="LANG_Words",0.72,IF(AA120="LANG_Touch",0.68,0.60))))</f>
        <v/>
      </c>
      <c r="BF120">
        <f>MAX(0,MIN(1,0.28*AS120+0.16*AT120+0.18*BC120+0.18*BD120+0.10*(1-AZ120)+0.10*(1-BA120)+BB120))</f>
        <v/>
      </c>
      <c r="BG120">
        <f>MAX(0,MIN(1,0.24*AU120+0.18*AS120+0.18*BC120+0.20*BD120+0.10*(1-AW120)+0.10*(1-BA120)))</f>
        <v/>
      </c>
      <c r="BH120">
        <f>MAX(0,MIN(1,0.28*AR120+0.18*AT120+0.16*AU120+0.18*(1-AV120)+0.10*(1-AW120)+0.10*BF120))</f>
        <v/>
      </c>
      <c r="BI120">
        <f>MAX(0,MIN(1,0.30*AV120+0.20*AZ120+0.20*AW120+0.15*(1-BH120)+0.15*(1-BO120)))</f>
        <v/>
      </c>
      <c r="BJ120">
        <f>MAX(0,1-(ABS(((( AX120+AY120)/2)-0.55)*1.6)))</f>
        <v/>
      </c>
      <c r="BK120">
        <f>MAX(0,MIN(1,0.28*AR120+0.18*AT120+0.16*BJ120+0.14*(1-AV120)+0.12*BQ120+0.12*BO120))</f>
        <v/>
      </c>
      <c r="BL120">
        <f>MAX(0,MIN(1,0.22*AQ120+0.18*AS120+0.18*BC120+0.18*BD120+0.08*BE120+0.10*BF120+0.06*BO120))</f>
        <v/>
      </c>
      <c r="BM120">
        <f>MAX(0,MIN(1,0.20*(1-AZ120)+0.16*(1-BA120)+0.14*(1-AW120)+0.14*AU120+0.18*BG120+0.10*BH120+0.08*BP120))</f>
        <v/>
      </c>
      <c r="BN120">
        <f>MAX(0,MIN(1,0.42*BJ120+0.33*BK120+0.15*AT120+0.10*BQ120))</f>
        <v/>
      </c>
      <c r="BO120">
        <f>MAX(0,MIN(1,0.30*BC120+0.24*BD120+0.18*AS120+0.14*(1-BI120)+0.14*AT120))</f>
        <v/>
      </c>
      <c r="BP120">
        <f>MAX(0,MIN(1,0.26*AS120+0.20*(1-BA120)+0.16*(1-AW120)+0.18*BG120+0.10*AU120+0.10+BB120))</f>
        <v/>
      </c>
      <c r="BQ120">
        <f>MAX(0,MIN(1,0.24*AT120+0.18*BF120+0.14*AR120+0.14*BO120+0.14*(1-AV120)+0.16*(1-AZ120)))</f>
        <v/>
      </c>
      <c r="BR120">
        <f>IF(BO120&gt;=0.80,"Open",IF(BO120&gt;=0.62,"Measured",IF(BO120&gt;=0.45,"Selective","Guarded")))</f>
        <v/>
      </c>
      <c r="BS120">
        <f>IF(Y120="COMM_Direct","Direct",IF(Y120="COMM_Emotional","Emotional",IF(Y120="COMM_Logical","Logical",IF(Y120="COMM_Indirect","Indirect","Avoidant"))))</f>
        <v/>
      </c>
      <c r="BT120">
        <f>IF(BG120&gt;=0.78,"Co-repair",IF(BG120&gt;=0.58,"Re-engage",IF(BG120&gt;=0.40,"Delay","Suppress")))</f>
        <v/>
      </c>
      <c r="BU120">
        <f>IF(BI120&gt;=0.70,"Retreat-risk",IF(BH120&lt;=0.40,"Rush-risk",IF(BH120&gt;=0.65,"Slow-build","Mixed")))</f>
        <v/>
      </c>
      <c r="BV120">
        <f>IF(BL120-BM120&gt;=0.15,"Stimulation-seeking",IF(BM120-BL120&gt;=0.15,"Calm-seeking","Mixed")))</f>
        <v/>
      </c>
      <c r="BW120">
        <f>IF(AND(BL120&gt;=0.72,BM120&lt;0.48),"High",IF(AND(BL120&gt;=0.60,BM120&lt;0.58),"Medium","Low"))</f>
        <v/>
      </c>
    </row>
    <row r="121" ht="108" customHeight="1" s="10">
      <c r="A121" s="2" t="inlineStr">
        <is>
          <t>Q24_E</t>
        </is>
      </c>
      <c r="B121" s="2" t="n">
        <v>24</v>
      </c>
      <c r="C121" s="2" t="n">
        <v>24</v>
      </c>
      <c r="D121" s="2" t="inlineStr">
        <is>
          <t>Core</t>
        </is>
      </c>
      <c r="E121" s="2" t="n">
        <v>1.1</v>
      </c>
      <c r="F121" s="2" t="inlineStr">
        <is>
          <t>EmotionalRegulation</t>
        </is>
      </c>
      <c r="G121" s="2" t="inlineStr">
        <is>
          <t>AttachmentSafety</t>
        </is>
      </c>
      <c r="H121" s="2" t="n"/>
      <c r="I121" s="2" t="inlineStr">
        <is>
          <t>E</t>
        </is>
      </c>
      <c r="J121" s="2" t="inlineStr">
        <is>
          <t>E</t>
        </is>
      </c>
      <c r="K121" s="2" t="inlineStr">
        <is>
          <t>If it's not appreciated, it was a mistake. I never give twice where it's ignored once.</t>
        </is>
      </c>
      <c r="L121" s="2" t="n">
        <v>9</v>
      </c>
      <c r="M121" s="2" t="n">
        <v>9</v>
      </c>
      <c r="N121" s="2" t="n">
        <v>6</v>
      </c>
      <c r="O121" s="2" t="n">
        <v>6</v>
      </c>
      <c r="P121" s="2" t="n">
        <v>2</v>
      </c>
      <c r="Q121" s="2" t="inlineStr">
        <is>
          <t>Icebox</t>
        </is>
      </c>
      <c r="R121" s="2" t="n">
        <v>1</v>
      </c>
      <c r="S121" s="2" t="n"/>
      <c r="T121" s="2" t="n"/>
      <c r="U121" s="2" t="n">
        <v>0</v>
      </c>
      <c r="V121" s="2" t="inlineStr">
        <is>
          <t>masc:1.8;fem:-1.6</t>
        </is>
      </c>
      <c r="W121" s="2" t="n">
        <v>1.8</v>
      </c>
      <c r="X121" s="2" t="n">
        <v>-1.6</v>
      </c>
      <c r="Y121" s="2" t="inlineStr">
        <is>
          <t>COMM_Avoidant</t>
        </is>
      </c>
      <c r="Z121" s="2" t="inlineStr">
        <is>
          <t>REG_Suppressor</t>
        </is>
      </c>
      <c r="AA121" s="2" t="inlineStr">
        <is>
          <t>LANG_Time</t>
        </is>
      </c>
      <c r="AB121" s="2" t="n"/>
      <c r="AC121" s="2" t="n"/>
      <c r="AD121" s="2" t="n"/>
      <c r="AE121" s="2" t="n">
        <v>0</v>
      </c>
      <c r="AF121" s="2" t="inlineStr">
        <is>
          <t>cold cost-cut</t>
        </is>
      </c>
      <c r="AG121" s="2" t="inlineStr">
        <is>
          <t>clean exit</t>
        </is>
      </c>
      <c r="AH121" s="2" t="n">
        <v>0.6</v>
      </c>
      <c r="AI121" s="2" t="inlineStr">
        <is>
          <t>no</t>
        </is>
      </c>
      <c r="AJ121" s="2" t="inlineStr">
        <is>
          <t>no</t>
        </is>
      </c>
      <c r="AK121" s="2" t="inlineStr">
        <is>
          <t>yes</t>
        </is>
      </c>
      <c r="AL121" s="2" t="inlineStr">
        <is>
          <t>yes</t>
        </is>
      </c>
      <c r="AM121" s="2" t="n"/>
      <c r="AN121" s="2" t="n"/>
      <c r="AO121" s="2" t="n"/>
      <c r="AP121" s="2" t="inlineStr">
        <is>
          <t>v3_2026-03-19</t>
        </is>
      </c>
      <c r="AQ121">
        <f>(L121-Schema_v5!$C2)/(Schema_v5!$C3-Schema_v5!$C2)</f>
        <v/>
      </c>
      <c r="AR121">
        <f>(M121-Schema_v5!$C4)/(Schema_v5!$C5-Schema_v5!$C4)</f>
        <v/>
      </c>
      <c r="AS121">
        <f>N121/Schema_v5!$C6</f>
        <v/>
      </c>
      <c r="AT121">
        <f>O121/Schema_v5!$C7</f>
        <v/>
      </c>
      <c r="AU121">
        <f>P121/Schema_v5!$C8</f>
        <v/>
      </c>
      <c r="AV121">
        <f>IF(Schema_v5!$C9=0,0,AH121/Schema_v5!$C9)</f>
        <v/>
      </c>
      <c r="AW121">
        <f>IF(Schema_v5!$C10=0,0,AE121/Schema_v5!$C10)</f>
        <v/>
      </c>
      <c r="AX121">
        <f>(W121-Schema_v5!$C11)/(Schema_v5!$C12-Schema_v5!$C11)</f>
        <v/>
      </c>
      <c r="AY121">
        <f>(X121-Schema_v5!$C13)/(Schema_v5!$C14-Schema_v5!$C13)</f>
        <v/>
      </c>
      <c r="AZ121">
        <f>MIN(1,MAX(0,U121/Schema_v7!$C$9))</f>
        <v/>
      </c>
      <c r="BA121">
        <f>IF(AJ121="yes",0.55,0)</f>
        <v/>
      </c>
      <c r="BB121">
        <f>IF(AI121="yes",0.10,0)</f>
        <v/>
      </c>
      <c r="BC121">
        <f>IF(Y121="COMM_Direct",0.92,IF(Y121="COMM_Emotional",0.70,IF(Y121="COMM_Logical",0.65,IF(Y121="COMM_Indirect",0.55,0.35))))</f>
        <v/>
      </c>
      <c r="BD121">
        <f>IF(Z121="REG_CoRegulator",0.92,IF(Z121="REG_SelfSoother",0.76,IF(Z121="REG_Distractor",0.48,0.35)))</f>
        <v/>
      </c>
      <c r="BE121">
        <f>IF(AA121="LANG_Time",0.76,IF(AA121="LANG_Service",0.70,IF(AA121="LANG_Words",0.72,IF(AA121="LANG_Touch",0.68,0.60))))</f>
        <v/>
      </c>
      <c r="BF121">
        <f>MAX(0,MIN(1,0.28*AS121+0.16*AT121+0.18*BC121+0.18*BD121+0.10*(1-AZ121)+0.10*(1-BA121)+BB121))</f>
        <v/>
      </c>
      <c r="BG121">
        <f>MAX(0,MIN(1,0.24*AU121+0.18*AS121+0.18*BC121+0.20*BD121+0.10*(1-AW121)+0.10*(1-BA121)))</f>
        <v/>
      </c>
      <c r="BH121">
        <f>MAX(0,MIN(1,0.28*AR121+0.18*AT121+0.16*AU121+0.18*(1-AV121)+0.10*(1-AW121)+0.10*BF121))</f>
        <v/>
      </c>
      <c r="BI121">
        <f>MAX(0,MIN(1,0.30*AV121+0.20*AZ121+0.20*AW121+0.15*(1-BH121)+0.15*(1-BO121)))</f>
        <v/>
      </c>
      <c r="BJ121">
        <f>MAX(0,1-(ABS(((( AX121+AY121)/2)-0.55)*1.6)))</f>
        <v/>
      </c>
      <c r="BK121">
        <f>MAX(0,MIN(1,0.28*AR121+0.18*AT121+0.16*BJ121+0.14*(1-AV121)+0.12*BQ121+0.12*BO121))</f>
        <v/>
      </c>
      <c r="BL121">
        <f>MAX(0,MIN(1,0.22*AQ121+0.18*AS121+0.18*BC121+0.18*BD121+0.08*BE121+0.10*BF121+0.06*BO121))</f>
        <v/>
      </c>
      <c r="BM121">
        <f>MAX(0,MIN(1,0.20*(1-AZ121)+0.16*(1-BA121)+0.14*(1-AW121)+0.14*AU121+0.18*BG121+0.10*BH121+0.08*BP121))</f>
        <v/>
      </c>
      <c r="BN121">
        <f>MAX(0,MIN(1,0.42*BJ121+0.33*BK121+0.15*AT121+0.10*BQ121))</f>
        <v/>
      </c>
      <c r="BO121">
        <f>MAX(0,MIN(1,0.30*BC121+0.24*BD121+0.18*AS121+0.14*(1-BI121)+0.14*AT121))</f>
        <v/>
      </c>
      <c r="BP121">
        <f>MAX(0,MIN(1,0.26*AS121+0.20*(1-BA121)+0.16*(1-AW121)+0.18*BG121+0.10*AU121+0.10+BB121))</f>
        <v/>
      </c>
      <c r="BQ121">
        <f>MAX(0,MIN(1,0.24*AT121+0.18*BF121+0.14*AR121+0.14*BO121+0.14*(1-AV121)+0.16*(1-AZ121)))</f>
        <v/>
      </c>
      <c r="BR121">
        <f>IF(BO121&gt;=0.80,"Open",IF(BO121&gt;=0.62,"Measured",IF(BO121&gt;=0.45,"Selective","Guarded")))</f>
        <v/>
      </c>
      <c r="BS121">
        <f>IF(Y121="COMM_Direct","Direct",IF(Y121="COMM_Emotional","Emotional",IF(Y121="COMM_Logical","Logical",IF(Y121="COMM_Indirect","Indirect","Avoidant"))))</f>
        <v/>
      </c>
      <c r="BT121">
        <f>IF(BG121&gt;=0.78,"Co-repair",IF(BG121&gt;=0.58,"Re-engage",IF(BG121&gt;=0.40,"Delay","Suppress")))</f>
        <v/>
      </c>
      <c r="BU121">
        <f>IF(BI121&gt;=0.70,"Retreat-risk",IF(BH121&lt;=0.40,"Rush-risk",IF(BH121&gt;=0.65,"Slow-build","Mixed")))</f>
        <v/>
      </c>
      <c r="BV121">
        <f>IF(BL121-BM121&gt;=0.15,"Stimulation-seeking",IF(BM121-BL121&gt;=0.15,"Calm-seeking","Mixed")))</f>
        <v/>
      </c>
      <c r="BW121">
        <f>IF(AND(BL121&gt;=0.72,BM121&lt;0.48),"High",IF(AND(BL121&gt;=0.60,BM121&lt;0.58),"Medium","Low"))</f>
        <v/>
      </c>
    </row>
    <row r="122" ht="135" customHeight="1" s="10">
      <c r="A122" s="2" t="inlineStr">
        <is>
          <t>Q25_A</t>
        </is>
      </c>
      <c r="B122" s="2" t="n">
        <v>25</v>
      </c>
      <c r="C122" s="2" t="n">
        <v>25</v>
      </c>
      <c r="D122" s="2" t="inlineStr">
        <is>
          <t>Core</t>
        </is>
      </c>
      <c r="E122" s="2" t="n">
        <v>1.1</v>
      </c>
      <c r="F122" s="2" t="inlineStr">
        <is>
          <t>ValuesLifestyle</t>
        </is>
      </c>
      <c r="G122" s="2" t="inlineStr">
        <is>
          <t>IntentAlignment</t>
        </is>
      </c>
      <c r="H122" s="2" t="inlineStr">
        <is>
          <t>You start falling for someone... but deep down, you don't think they feel the same. What's your next move?</t>
        </is>
      </c>
      <c r="I122" s="2" t="inlineStr">
        <is>
          <t>A</t>
        </is>
      </c>
      <c r="J122" s="2" t="inlineStr">
        <is>
          <t>A</t>
        </is>
      </c>
      <c r="K122" s="2" t="inlineStr">
        <is>
          <t>I don't say anything. I pull back before it becomes obvious. I've had enough one-sided stories in my life.</t>
        </is>
      </c>
      <c r="L122" s="2" t="n">
        <v>7</v>
      </c>
      <c r="M122" s="2" t="n">
        <v>8</v>
      </c>
      <c r="N122" s="2" t="n">
        <v>6</v>
      </c>
      <c r="O122" s="2" t="n">
        <v>8</v>
      </c>
      <c r="P122" s="2" t="n">
        <v>6</v>
      </c>
      <c r="Q122" s="2" t="inlineStr">
        <is>
          <t>Survivor</t>
        </is>
      </c>
      <c r="R122" s="2" t="n">
        <v>8</v>
      </c>
      <c r="S122" s="2" t="n"/>
      <c r="T122" s="2" t="n"/>
      <c r="U122" s="2" t="n">
        <v>0</v>
      </c>
      <c r="V122" s="2" t="inlineStr">
        <is>
          <t>masc:0.3;fem:1.3</t>
        </is>
      </c>
      <c r="W122" s="2" t="n">
        <v>0.3</v>
      </c>
      <c r="X122" s="2" t="n">
        <v>1.3</v>
      </c>
      <c r="Y122" s="2" t="inlineStr">
        <is>
          <t>COMM_Emotional</t>
        </is>
      </c>
      <c r="Z122" s="2" t="inlineStr">
        <is>
          <t>REG_SelfSoother</t>
        </is>
      </c>
      <c r="AA122" s="2" t="inlineStr">
        <is>
          <t>LANG_Service</t>
        </is>
      </c>
      <c r="AB122" s="2" t="n"/>
      <c r="AC122" s="2" t="n"/>
      <c r="AD122" s="2" t="n"/>
      <c r="AE122" s="2" t="n">
        <v>0</v>
      </c>
      <c r="AF122" s="2" t="inlineStr">
        <is>
          <t>preemptive exit</t>
        </is>
      </c>
      <c r="AG122" s="2" t="inlineStr">
        <is>
          <t>pattern recognizer</t>
        </is>
      </c>
      <c r="AH122" s="2" t="n">
        <v>0.6</v>
      </c>
      <c r="AI122" s="2" t="inlineStr">
        <is>
          <t>no</t>
        </is>
      </c>
      <c r="AJ122" s="2" t="inlineStr">
        <is>
          <t>no</t>
        </is>
      </c>
      <c r="AK122" s="2" t="inlineStr">
        <is>
          <t>no</t>
        </is>
      </c>
      <c r="AL122" s="2" t="inlineStr">
        <is>
          <t>no</t>
        </is>
      </c>
      <c r="AM122" s="2" t="n"/>
      <c r="AN122" s="2" t="n"/>
      <c r="AO122" s="2" t="n"/>
      <c r="AP122" s="2" t="inlineStr">
        <is>
          <t>v3_2026-03-19</t>
        </is>
      </c>
      <c r="AQ122">
        <f>(L122-Schema_v5!$C2)/(Schema_v5!$C3-Schema_v5!$C2)</f>
        <v/>
      </c>
      <c r="AR122">
        <f>(M122-Schema_v5!$C4)/(Schema_v5!$C5-Schema_v5!$C4)</f>
        <v/>
      </c>
      <c r="AS122">
        <f>N122/Schema_v5!$C6</f>
        <v/>
      </c>
      <c r="AT122">
        <f>O122/Schema_v5!$C7</f>
        <v/>
      </c>
      <c r="AU122">
        <f>P122/Schema_v5!$C8</f>
        <v/>
      </c>
      <c r="AV122">
        <f>IF(Schema_v5!$C9=0,0,AH122/Schema_v5!$C9)</f>
        <v/>
      </c>
      <c r="AW122">
        <f>IF(Schema_v5!$C10=0,0,AE122/Schema_v5!$C10)</f>
        <v/>
      </c>
      <c r="AX122">
        <f>(W122-Schema_v5!$C11)/(Schema_v5!$C12-Schema_v5!$C11)</f>
        <v/>
      </c>
      <c r="AY122">
        <f>(X122-Schema_v5!$C13)/(Schema_v5!$C14-Schema_v5!$C13)</f>
        <v/>
      </c>
      <c r="AZ122">
        <f>MIN(1,MAX(0,U122/Schema_v7!$C$9))</f>
        <v/>
      </c>
      <c r="BA122">
        <f>IF(AJ122="yes",0.55,0)</f>
        <v/>
      </c>
      <c r="BB122">
        <f>IF(AI122="yes",0.10,0)</f>
        <v/>
      </c>
      <c r="BC122">
        <f>IF(Y122="COMM_Direct",0.92,IF(Y122="COMM_Emotional",0.70,IF(Y122="COMM_Logical",0.65,IF(Y122="COMM_Indirect",0.55,0.35))))</f>
        <v/>
      </c>
      <c r="BD122">
        <f>IF(Z122="REG_CoRegulator",0.92,IF(Z122="REG_SelfSoother",0.76,IF(Z122="REG_Distractor",0.48,0.35)))</f>
        <v/>
      </c>
      <c r="BE122">
        <f>IF(AA122="LANG_Time",0.76,IF(AA122="LANG_Service",0.70,IF(AA122="LANG_Words",0.72,IF(AA122="LANG_Touch",0.68,0.60))))</f>
        <v/>
      </c>
      <c r="BF122">
        <f>MAX(0,MIN(1,0.28*AS122+0.16*AT122+0.18*BC122+0.18*BD122+0.10*(1-AZ122)+0.10*(1-BA122)+BB122))</f>
        <v/>
      </c>
      <c r="BG122">
        <f>MAX(0,MIN(1,0.24*AU122+0.18*AS122+0.18*BC122+0.20*BD122+0.10*(1-AW122)+0.10*(1-BA122)))</f>
        <v/>
      </c>
      <c r="BH122">
        <f>MAX(0,MIN(1,0.28*AR122+0.18*AT122+0.16*AU122+0.18*(1-AV122)+0.10*(1-AW122)+0.10*BF122))</f>
        <v/>
      </c>
      <c r="BI122">
        <f>MAX(0,MIN(1,0.30*AV122+0.20*AZ122+0.20*AW122+0.15*(1-BH122)+0.15*(1-BO122)))</f>
        <v/>
      </c>
      <c r="BJ122">
        <f>MAX(0,1-(ABS(((( AX122+AY122)/2)-0.55)*1.6)))</f>
        <v/>
      </c>
      <c r="BK122">
        <f>MAX(0,MIN(1,0.28*AR122+0.18*AT122+0.16*BJ122+0.14*(1-AV122)+0.12*BQ122+0.12*BO122))</f>
        <v/>
      </c>
      <c r="BL122">
        <f>MAX(0,MIN(1,0.22*AQ122+0.18*AS122+0.18*BC122+0.18*BD122+0.08*BE122+0.10*BF122+0.06*BO122))</f>
        <v/>
      </c>
      <c r="BM122">
        <f>MAX(0,MIN(1,0.20*(1-AZ122)+0.16*(1-BA122)+0.14*(1-AW122)+0.14*AU122+0.18*BG122+0.10*BH122+0.08*BP122))</f>
        <v/>
      </c>
      <c r="BN122">
        <f>MAX(0,MIN(1,0.42*BJ122+0.33*BK122+0.15*AT122+0.10*BQ122))</f>
        <v/>
      </c>
      <c r="BO122">
        <f>MAX(0,MIN(1,0.30*BC122+0.24*BD122+0.18*AS122+0.14*(1-BI122)+0.14*AT122))</f>
        <v/>
      </c>
      <c r="BP122">
        <f>MAX(0,MIN(1,0.26*AS122+0.20*(1-BA122)+0.16*(1-AW122)+0.18*BG122+0.10*AU122+0.10+BB122))</f>
        <v/>
      </c>
      <c r="BQ122">
        <f>MAX(0,MIN(1,0.24*AT122+0.18*BF122+0.14*AR122+0.14*BO122+0.14*(1-AV122)+0.16*(1-AZ122)))</f>
        <v/>
      </c>
      <c r="BR122">
        <f>IF(BO122&gt;=0.80,"Open",IF(BO122&gt;=0.62,"Measured",IF(BO122&gt;=0.45,"Selective","Guarded")))</f>
        <v/>
      </c>
      <c r="BS122">
        <f>IF(Y122="COMM_Direct","Direct",IF(Y122="COMM_Emotional","Emotional",IF(Y122="COMM_Logical","Logical",IF(Y122="COMM_Indirect","Indirect","Avoidant"))))</f>
        <v/>
      </c>
      <c r="BT122">
        <f>IF(BG122&gt;=0.78,"Co-repair",IF(BG122&gt;=0.58,"Re-engage",IF(BG122&gt;=0.40,"Delay","Suppress")))</f>
        <v/>
      </c>
      <c r="BU122">
        <f>IF(BI122&gt;=0.70,"Retreat-risk",IF(BH122&lt;=0.40,"Rush-risk",IF(BH122&gt;=0.65,"Slow-build","Mixed")))</f>
        <v/>
      </c>
      <c r="BV122">
        <f>IF(BL122-BM122&gt;=0.15,"Stimulation-seeking",IF(BM122-BL122&gt;=0.15,"Calm-seeking","Mixed")))</f>
        <v/>
      </c>
      <c r="BW122">
        <f>IF(AND(BL122&gt;=0.72,BM122&lt;0.48),"High",IF(AND(BL122&gt;=0.60,BM122&lt;0.58),"Medium","Low"))</f>
        <v/>
      </c>
    </row>
    <row r="123" ht="135" customHeight="1" s="10">
      <c r="A123" s="2" t="inlineStr">
        <is>
          <t>Q25_B</t>
        </is>
      </c>
      <c r="B123" s="2" t="n">
        <v>25</v>
      </c>
      <c r="C123" s="2" t="n">
        <v>25</v>
      </c>
      <c r="D123" s="2" t="inlineStr">
        <is>
          <t>Core</t>
        </is>
      </c>
      <c r="E123" s="2" t="n">
        <v>1.1</v>
      </c>
      <c r="F123" s="2" t="inlineStr">
        <is>
          <t>ValuesLifestyle</t>
        </is>
      </c>
      <c r="G123" s="2" t="inlineStr">
        <is>
          <t>IntentAlignment</t>
        </is>
      </c>
      <c r="H123" s="2" t="n"/>
      <c r="I123" s="2" t="inlineStr">
        <is>
          <t>B</t>
        </is>
      </c>
      <c r="J123" s="2" t="inlineStr">
        <is>
          <t>B</t>
        </is>
      </c>
      <c r="K123" s="2" t="inlineStr">
        <is>
          <t>I try harder. I find reasons to stay in their orbit, hoping they eventually feel it too. It's dumb, but I get stuck in hope loops.</t>
        </is>
      </c>
      <c r="L123" s="2" t="n">
        <v>4</v>
      </c>
      <c r="M123" s="2" t="n">
        <v>5</v>
      </c>
      <c r="N123" s="2" t="n">
        <v>2</v>
      </c>
      <c r="O123" s="2" t="n">
        <v>2</v>
      </c>
      <c r="P123" s="2" t="n">
        <v>2</v>
      </c>
      <c r="Q123" s="2" t="inlineStr">
        <is>
          <t>Fixer</t>
        </is>
      </c>
      <c r="R123" s="2" t="n">
        <v>5</v>
      </c>
      <c r="S123" s="2" t="n"/>
      <c r="T123" s="2" t="n"/>
      <c r="U123" s="2" t="n">
        <v>0</v>
      </c>
      <c r="V123" s="2" t="inlineStr">
        <is>
          <t>masc:-0.4;fem:2.0</t>
        </is>
      </c>
      <c r="W123" s="2" t="n">
        <v>-0.4</v>
      </c>
      <c r="X123" s="2" t="n">
        <v>2</v>
      </c>
      <c r="Y123" s="2" t="inlineStr">
        <is>
          <t>COMM_Emotional</t>
        </is>
      </c>
      <c r="Z123" s="2" t="inlineStr">
        <is>
          <t>REG_CoRegulator</t>
        </is>
      </c>
      <c r="AA123" s="2" t="inlineStr">
        <is>
          <t>LANG_Service</t>
        </is>
      </c>
      <c r="AB123" s="2" t="inlineStr">
        <is>
          <t>Commitment_Ambiguity</t>
        </is>
      </c>
      <c r="AC123" s="2" t="inlineStr">
        <is>
          <t>Commitment_Ambiguity</t>
        </is>
      </c>
      <c r="AD123" s="2" t="n"/>
      <c r="AE123" s="2" t="n">
        <v>5</v>
      </c>
      <c r="AF123" s="2" t="inlineStr">
        <is>
          <t>persistence loop</t>
        </is>
      </c>
      <c r="AG123" s="2" t="inlineStr">
        <is>
          <t>loyal chaser</t>
        </is>
      </c>
      <c r="AH123" s="2" t="n">
        <v>0</v>
      </c>
      <c r="AI123" s="2" t="inlineStr">
        <is>
          <t>yes</t>
        </is>
      </c>
      <c r="AJ123" s="2" t="inlineStr">
        <is>
          <t>no</t>
        </is>
      </c>
      <c r="AK123" s="2" t="inlineStr">
        <is>
          <t>no</t>
        </is>
      </c>
      <c r="AL123" s="2" t="inlineStr">
        <is>
          <t>no</t>
        </is>
      </c>
      <c r="AM123" s="2" t="n"/>
      <c r="AN123" s="2" t="n"/>
      <c r="AO123" s="2" t="n"/>
      <c r="AP123" s="2" t="inlineStr">
        <is>
          <t>v3_2026-03-19</t>
        </is>
      </c>
      <c r="AQ123">
        <f>(L123-Schema_v5!$C2)/(Schema_v5!$C3-Schema_v5!$C2)</f>
        <v/>
      </c>
      <c r="AR123">
        <f>(M123-Schema_v5!$C4)/(Schema_v5!$C5-Schema_v5!$C4)</f>
        <v/>
      </c>
      <c r="AS123">
        <f>N123/Schema_v5!$C6</f>
        <v/>
      </c>
      <c r="AT123">
        <f>O123/Schema_v5!$C7</f>
        <v/>
      </c>
      <c r="AU123">
        <f>P123/Schema_v5!$C8</f>
        <v/>
      </c>
      <c r="AV123">
        <f>IF(Schema_v5!$C9=0,0,AH123/Schema_v5!$C9)</f>
        <v/>
      </c>
      <c r="AW123">
        <f>IF(Schema_v5!$C10=0,0,AE123/Schema_v5!$C10)</f>
        <v/>
      </c>
      <c r="AX123">
        <f>(W123-Schema_v5!$C11)/(Schema_v5!$C12-Schema_v5!$C11)</f>
        <v/>
      </c>
      <c r="AY123">
        <f>(X123-Schema_v5!$C13)/(Schema_v5!$C14-Schema_v5!$C13)</f>
        <v/>
      </c>
      <c r="AZ123">
        <f>MIN(1,MAX(0,U123/Schema_v7!$C$9))</f>
        <v/>
      </c>
      <c r="BA123">
        <f>IF(AJ123="yes",0.55,0)</f>
        <v/>
      </c>
      <c r="BB123">
        <f>IF(AI123="yes",0.10,0)</f>
        <v/>
      </c>
      <c r="BC123">
        <f>IF(Y123="COMM_Direct",0.92,IF(Y123="COMM_Emotional",0.70,IF(Y123="COMM_Logical",0.65,IF(Y123="COMM_Indirect",0.55,0.35))))</f>
        <v/>
      </c>
      <c r="BD123">
        <f>IF(Z123="REG_CoRegulator",0.92,IF(Z123="REG_SelfSoother",0.76,IF(Z123="REG_Distractor",0.48,0.35)))</f>
        <v/>
      </c>
      <c r="BE123">
        <f>IF(AA123="LANG_Time",0.76,IF(AA123="LANG_Service",0.70,IF(AA123="LANG_Words",0.72,IF(AA123="LANG_Touch",0.68,0.60))))</f>
        <v/>
      </c>
      <c r="BF123">
        <f>MAX(0,MIN(1,0.28*AS123+0.16*AT123+0.18*BC123+0.18*BD123+0.10*(1-AZ123)+0.10*(1-BA123)+BB123))</f>
        <v/>
      </c>
      <c r="BG123">
        <f>MAX(0,MIN(1,0.24*AU123+0.18*AS123+0.18*BC123+0.20*BD123+0.10*(1-AW123)+0.10*(1-BA123)))</f>
        <v/>
      </c>
      <c r="BH123">
        <f>MAX(0,MIN(1,0.28*AR123+0.18*AT123+0.16*AU123+0.18*(1-AV123)+0.10*(1-AW123)+0.10*BF123))</f>
        <v/>
      </c>
      <c r="BI123">
        <f>MAX(0,MIN(1,0.30*AV123+0.20*AZ123+0.20*AW123+0.15*(1-BH123)+0.15*(1-BO123)))</f>
        <v/>
      </c>
      <c r="BJ123">
        <f>MAX(0,1-(ABS(((( AX123+AY123)/2)-0.55)*1.6)))</f>
        <v/>
      </c>
      <c r="BK123">
        <f>MAX(0,MIN(1,0.28*AR123+0.18*AT123+0.16*BJ123+0.14*(1-AV123)+0.12*BQ123+0.12*BO123))</f>
        <v/>
      </c>
      <c r="BL123">
        <f>MAX(0,MIN(1,0.22*AQ123+0.18*AS123+0.18*BC123+0.18*BD123+0.08*BE123+0.10*BF123+0.06*BO123))</f>
        <v/>
      </c>
      <c r="BM123">
        <f>MAX(0,MIN(1,0.20*(1-AZ123)+0.16*(1-BA123)+0.14*(1-AW123)+0.14*AU123+0.18*BG123+0.10*BH123+0.08*BP123))</f>
        <v/>
      </c>
      <c r="BN123">
        <f>MAX(0,MIN(1,0.42*BJ123+0.33*BK123+0.15*AT123+0.10*BQ123))</f>
        <v/>
      </c>
      <c r="BO123">
        <f>MAX(0,MIN(1,0.30*BC123+0.24*BD123+0.18*AS123+0.14*(1-BI123)+0.14*AT123))</f>
        <v/>
      </c>
      <c r="BP123">
        <f>MAX(0,MIN(1,0.26*AS123+0.20*(1-BA123)+0.16*(1-AW123)+0.18*BG123+0.10*AU123+0.10+BB123))</f>
        <v/>
      </c>
      <c r="BQ123">
        <f>MAX(0,MIN(1,0.24*AT123+0.18*BF123+0.14*AR123+0.14*BO123+0.14*(1-AV123)+0.16*(1-AZ123)))</f>
        <v/>
      </c>
      <c r="BR123">
        <f>IF(BO123&gt;=0.80,"Open",IF(BO123&gt;=0.62,"Measured",IF(BO123&gt;=0.45,"Selective","Guarded")))</f>
        <v/>
      </c>
      <c r="BS123">
        <f>IF(Y123="COMM_Direct","Direct",IF(Y123="COMM_Emotional","Emotional",IF(Y123="COMM_Logical","Logical",IF(Y123="COMM_Indirect","Indirect","Avoidant"))))</f>
        <v/>
      </c>
      <c r="BT123">
        <f>IF(BG123&gt;=0.78,"Co-repair",IF(BG123&gt;=0.58,"Re-engage",IF(BG123&gt;=0.40,"Delay","Suppress")))</f>
        <v/>
      </c>
      <c r="BU123">
        <f>IF(BI123&gt;=0.70,"Retreat-risk",IF(BH123&lt;=0.40,"Rush-risk",IF(BH123&gt;=0.65,"Slow-build","Mixed")))</f>
        <v/>
      </c>
      <c r="BV123">
        <f>IF(BL123-BM123&gt;=0.15,"Stimulation-seeking",IF(BM123-BL123&gt;=0.15,"Calm-seeking","Mixed")))</f>
        <v/>
      </c>
      <c r="BW123">
        <f>IF(AND(BL123&gt;=0.72,BM123&lt;0.48),"High",IF(AND(BL123&gt;=0.60,BM123&lt;0.58),"Medium","Low"))</f>
        <v/>
      </c>
    </row>
    <row r="124" ht="121.5" customHeight="1" s="10">
      <c r="A124" s="2" t="inlineStr">
        <is>
          <t>Q25_C</t>
        </is>
      </c>
      <c r="B124" s="2" t="n">
        <v>25</v>
      </c>
      <c r="C124" s="2" t="n">
        <v>25</v>
      </c>
      <c r="D124" s="2" t="inlineStr">
        <is>
          <t>Core</t>
        </is>
      </c>
      <c r="E124" s="2" t="n">
        <v>1.1</v>
      </c>
      <c r="F124" s="2" t="inlineStr">
        <is>
          <t>ValuesLifestyle</t>
        </is>
      </c>
      <c r="G124" s="2" t="inlineStr">
        <is>
          <t>IntentAlignment</t>
        </is>
      </c>
      <c r="H124" s="2" t="n"/>
      <c r="I124" s="2" t="inlineStr">
        <is>
          <t>C</t>
        </is>
      </c>
      <c r="J124" s="2" t="inlineStr">
        <is>
          <t>C</t>
        </is>
      </c>
      <c r="K124" s="2" t="inlineStr">
        <is>
          <t>I ask in roundabout ways. Not directly, but enough to get a read. If they dodge, I emotionally clock out.</t>
        </is>
      </c>
      <c r="L124" s="2" t="n">
        <v>8</v>
      </c>
      <c r="M124" s="2" t="n">
        <v>9</v>
      </c>
      <c r="N124" s="2" t="n">
        <v>8</v>
      </c>
      <c r="O124" s="2" t="n">
        <v>8</v>
      </c>
      <c r="P124" s="2" t="n">
        <v>8</v>
      </c>
      <c r="Q124" s="2" t="inlineStr">
        <is>
          <t>Analyzer</t>
        </is>
      </c>
      <c r="R124" s="2" t="n">
        <v>2</v>
      </c>
      <c r="S124" s="2" t="n"/>
      <c r="T124" s="2" t="n"/>
      <c r="U124" s="2" t="n">
        <v>0</v>
      </c>
      <c r="V124" s="2" t="inlineStr">
        <is>
          <t>masc:1.4;fem:0.1</t>
        </is>
      </c>
      <c r="W124" s="2" t="n">
        <v>1.4</v>
      </c>
      <c r="X124" s="2" t="n">
        <v>0.1</v>
      </c>
      <c r="Y124" s="2" t="inlineStr">
        <is>
          <t>COMM_Logical</t>
        </is>
      </c>
      <c r="Z124" s="2" t="inlineStr">
        <is>
          <t>REG_SelfSoother</t>
        </is>
      </c>
      <c r="AA124" s="2" t="inlineStr">
        <is>
          <t>LANG_Service</t>
        </is>
      </c>
      <c r="AB124" s="2" t="n"/>
      <c r="AC124" s="2" t="n"/>
      <c r="AD124" s="2" t="n"/>
      <c r="AE124" s="2" t="n">
        <v>0</v>
      </c>
      <c r="AF124" s="2" t="inlineStr">
        <is>
          <t>indirect clarifier</t>
        </is>
      </c>
      <c r="AG124" s="2" t="inlineStr">
        <is>
          <t>subtle assessor</t>
        </is>
      </c>
      <c r="AH124" s="2" t="n">
        <v>0</v>
      </c>
      <c r="AI124" s="2" t="inlineStr">
        <is>
          <t>no</t>
        </is>
      </c>
      <c r="AJ124" s="2" t="inlineStr">
        <is>
          <t>no</t>
        </is>
      </c>
      <c r="AK124" s="2" t="inlineStr">
        <is>
          <t>no</t>
        </is>
      </c>
      <c r="AL124" s="2" t="inlineStr">
        <is>
          <t>no</t>
        </is>
      </c>
      <c r="AM124" s="2" t="n"/>
      <c r="AN124" s="2" t="n"/>
      <c r="AO124" s="2" t="n"/>
      <c r="AP124" s="2" t="inlineStr">
        <is>
          <t>v3_2026-03-19</t>
        </is>
      </c>
      <c r="AQ124">
        <f>(L124-Schema_v5!$C2)/(Schema_v5!$C3-Schema_v5!$C2)</f>
        <v/>
      </c>
      <c r="AR124">
        <f>(M124-Schema_v5!$C4)/(Schema_v5!$C5-Schema_v5!$C4)</f>
        <v/>
      </c>
      <c r="AS124">
        <f>N124/Schema_v5!$C6</f>
        <v/>
      </c>
      <c r="AT124">
        <f>O124/Schema_v5!$C7</f>
        <v/>
      </c>
      <c r="AU124">
        <f>P124/Schema_v5!$C8</f>
        <v/>
      </c>
      <c r="AV124">
        <f>IF(Schema_v5!$C9=0,0,AH124/Schema_v5!$C9)</f>
        <v/>
      </c>
      <c r="AW124">
        <f>IF(Schema_v5!$C10=0,0,AE124/Schema_v5!$C10)</f>
        <v/>
      </c>
      <c r="AX124">
        <f>(W124-Schema_v5!$C11)/(Schema_v5!$C12-Schema_v5!$C11)</f>
        <v/>
      </c>
      <c r="AY124">
        <f>(X124-Schema_v5!$C13)/(Schema_v5!$C14-Schema_v5!$C13)</f>
        <v/>
      </c>
      <c r="AZ124">
        <f>MIN(1,MAX(0,U124/Schema_v7!$C$9))</f>
        <v/>
      </c>
      <c r="BA124">
        <f>IF(AJ124="yes",0.55,0)</f>
        <v/>
      </c>
      <c r="BB124">
        <f>IF(AI124="yes",0.10,0)</f>
        <v/>
      </c>
      <c r="BC124">
        <f>IF(Y124="COMM_Direct",0.92,IF(Y124="COMM_Emotional",0.70,IF(Y124="COMM_Logical",0.65,IF(Y124="COMM_Indirect",0.55,0.35))))</f>
        <v/>
      </c>
      <c r="BD124">
        <f>IF(Z124="REG_CoRegulator",0.92,IF(Z124="REG_SelfSoother",0.76,IF(Z124="REG_Distractor",0.48,0.35)))</f>
        <v/>
      </c>
      <c r="BE124">
        <f>IF(AA124="LANG_Time",0.76,IF(AA124="LANG_Service",0.70,IF(AA124="LANG_Words",0.72,IF(AA124="LANG_Touch",0.68,0.60))))</f>
        <v/>
      </c>
      <c r="BF124">
        <f>MAX(0,MIN(1,0.28*AS124+0.16*AT124+0.18*BC124+0.18*BD124+0.10*(1-AZ124)+0.10*(1-BA124)+BB124))</f>
        <v/>
      </c>
      <c r="BG124">
        <f>MAX(0,MIN(1,0.24*AU124+0.18*AS124+0.18*BC124+0.20*BD124+0.10*(1-AW124)+0.10*(1-BA124)))</f>
        <v/>
      </c>
      <c r="BH124">
        <f>MAX(0,MIN(1,0.28*AR124+0.18*AT124+0.16*AU124+0.18*(1-AV124)+0.10*(1-AW124)+0.10*BF124))</f>
        <v/>
      </c>
      <c r="BI124">
        <f>MAX(0,MIN(1,0.30*AV124+0.20*AZ124+0.20*AW124+0.15*(1-BH124)+0.15*(1-BO124)))</f>
        <v/>
      </c>
      <c r="BJ124">
        <f>MAX(0,1-(ABS(((( AX124+AY124)/2)-0.55)*1.6)))</f>
        <v/>
      </c>
      <c r="BK124">
        <f>MAX(0,MIN(1,0.28*AR124+0.18*AT124+0.16*BJ124+0.14*(1-AV124)+0.12*BQ124+0.12*BO124))</f>
        <v/>
      </c>
      <c r="BL124">
        <f>MAX(0,MIN(1,0.22*AQ124+0.18*AS124+0.18*BC124+0.18*BD124+0.08*BE124+0.10*BF124+0.06*BO124))</f>
        <v/>
      </c>
      <c r="BM124">
        <f>MAX(0,MIN(1,0.20*(1-AZ124)+0.16*(1-BA124)+0.14*(1-AW124)+0.14*AU124+0.18*BG124+0.10*BH124+0.08*BP124))</f>
        <v/>
      </c>
      <c r="BN124">
        <f>MAX(0,MIN(1,0.42*BJ124+0.33*BK124+0.15*AT124+0.10*BQ124))</f>
        <v/>
      </c>
      <c r="BO124">
        <f>MAX(0,MIN(1,0.30*BC124+0.24*BD124+0.18*AS124+0.14*(1-BI124)+0.14*AT124))</f>
        <v/>
      </c>
      <c r="BP124">
        <f>MAX(0,MIN(1,0.26*AS124+0.20*(1-BA124)+0.16*(1-AW124)+0.18*BG124+0.10*AU124+0.10+BB124))</f>
        <v/>
      </c>
      <c r="BQ124">
        <f>MAX(0,MIN(1,0.24*AT124+0.18*BF124+0.14*AR124+0.14*BO124+0.14*(1-AV124)+0.16*(1-AZ124)))</f>
        <v/>
      </c>
      <c r="BR124">
        <f>IF(BO124&gt;=0.80,"Open",IF(BO124&gt;=0.62,"Measured",IF(BO124&gt;=0.45,"Selective","Guarded")))</f>
        <v/>
      </c>
      <c r="BS124">
        <f>IF(Y124="COMM_Direct","Direct",IF(Y124="COMM_Emotional","Emotional",IF(Y124="COMM_Logical","Logical",IF(Y124="COMM_Indirect","Indirect","Avoidant"))))</f>
        <v/>
      </c>
      <c r="BT124">
        <f>IF(BG124&gt;=0.78,"Co-repair",IF(BG124&gt;=0.58,"Re-engage",IF(BG124&gt;=0.40,"Delay","Suppress")))</f>
        <v/>
      </c>
      <c r="BU124">
        <f>IF(BI124&gt;=0.70,"Retreat-risk",IF(BH124&lt;=0.40,"Rush-risk",IF(BH124&gt;=0.65,"Slow-build","Mixed")))</f>
        <v/>
      </c>
      <c r="BV124">
        <f>IF(BL124-BM124&gt;=0.15,"Stimulation-seeking",IF(BM124-BL124&gt;=0.15,"Calm-seeking","Mixed")))</f>
        <v/>
      </c>
      <c r="BW124">
        <f>IF(AND(BL124&gt;=0.72,BM124&lt;0.48),"High",IF(AND(BL124&gt;=0.60,BM124&lt;0.58),"Medium","Low"))</f>
        <v/>
      </c>
    </row>
    <row r="125" ht="121.5" customHeight="1" s="10">
      <c r="A125" s="2" t="inlineStr">
        <is>
          <t>Q25_D</t>
        </is>
      </c>
      <c r="B125" s="2" t="n">
        <v>25</v>
      </c>
      <c r="C125" s="2" t="n">
        <v>25</v>
      </c>
      <c r="D125" s="2" t="inlineStr">
        <is>
          <t>Core</t>
        </is>
      </c>
      <c r="E125" s="2" t="n">
        <v>1.1</v>
      </c>
      <c r="F125" s="2" t="inlineStr">
        <is>
          <t>ValuesLifestyle</t>
        </is>
      </c>
      <c r="G125" s="2" t="inlineStr">
        <is>
          <t>IntentAlignment</t>
        </is>
      </c>
      <c r="H125" s="2" t="n"/>
      <c r="I125" s="2" t="inlineStr">
        <is>
          <t>D</t>
        </is>
      </c>
      <c r="J125" s="2" t="inlineStr">
        <is>
          <t>D</t>
        </is>
      </c>
      <c r="K125" s="2" t="inlineStr">
        <is>
          <t>I keep showing up, but softer. I can't fake confidence I don't feel, so I let them decide what this becomes.</t>
        </is>
      </c>
      <c r="L125" s="2" t="n">
        <v>5</v>
      </c>
      <c r="M125" s="2" t="n">
        <v>6</v>
      </c>
      <c r="N125" s="2" t="n">
        <v>2</v>
      </c>
      <c r="O125" s="2" t="n">
        <v>4</v>
      </c>
      <c r="P125" s="2" t="n">
        <v>2</v>
      </c>
      <c r="Q125" s="2" t="inlineStr">
        <is>
          <t>Phantom Seeker</t>
        </is>
      </c>
      <c r="R125" s="2" t="n">
        <v>10</v>
      </c>
      <c r="S125" s="2" t="n"/>
      <c r="T125" s="2" t="n"/>
      <c r="U125" s="2" t="n">
        <v>0</v>
      </c>
      <c r="V125" s="2" t="inlineStr">
        <is>
          <t>masc:-0.2;fem:1.5</t>
        </is>
      </c>
      <c r="W125" s="2" t="n">
        <v>-0.2</v>
      </c>
      <c r="X125" s="2" t="n">
        <v>1.5</v>
      </c>
      <c r="Y125" s="2" t="inlineStr">
        <is>
          <t>COMM_Emotional</t>
        </is>
      </c>
      <c r="Z125" s="2" t="inlineStr">
        <is>
          <t>REG_SelfSoother</t>
        </is>
      </c>
      <c r="AA125" s="2" t="inlineStr">
        <is>
          <t>LANG_Touch</t>
        </is>
      </c>
      <c r="AB125" s="2" t="inlineStr">
        <is>
          <t>Vulnerability_Loop</t>
        </is>
      </c>
      <c r="AC125" s="2" t="inlineStr">
        <is>
          <t>Vulnerability_Loop</t>
        </is>
      </c>
      <c r="AD125" s="2" t="n"/>
      <c r="AE125" s="2" t="n">
        <v>5</v>
      </c>
      <c r="AF125" s="2" t="inlineStr">
        <is>
          <t>quiet bid</t>
        </is>
      </c>
      <c r="AG125" s="2" t="inlineStr">
        <is>
          <t>reserved participant</t>
        </is>
      </c>
      <c r="AH125" s="2" t="n">
        <v>0</v>
      </c>
      <c r="AI125" s="2" t="inlineStr">
        <is>
          <t>yes</t>
        </is>
      </c>
      <c r="AJ125" s="2" t="inlineStr">
        <is>
          <t>no</t>
        </is>
      </c>
      <c r="AK125" s="2" t="inlineStr">
        <is>
          <t>no</t>
        </is>
      </c>
      <c r="AL125" s="2" t="inlineStr">
        <is>
          <t>no</t>
        </is>
      </c>
      <c r="AM125" s="2" t="n"/>
      <c r="AN125" s="2" t="n"/>
      <c r="AO125" s="2" t="n"/>
      <c r="AP125" s="2" t="inlineStr">
        <is>
          <t>v3_2026-03-19</t>
        </is>
      </c>
      <c r="AQ125">
        <f>(L125-Schema_v5!$C2)/(Schema_v5!$C3-Schema_v5!$C2)</f>
        <v/>
      </c>
      <c r="AR125">
        <f>(M125-Schema_v5!$C4)/(Schema_v5!$C5-Schema_v5!$C4)</f>
        <v/>
      </c>
      <c r="AS125">
        <f>N125/Schema_v5!$C6</f>
        <v/>
      </c>
      <c r="AT125">
        <f>O125/Schema_v5!$C7</f>
        <v/>
      </c>
      <c r="AU125">
        <f>P125/Schema_v5!$C8</f>
        <v/>
      </c>
      <c r="AV125">
        <f>IF(Schema_v5!$C9=0,0,AH125/Schema_v5!$C9)</f>
        <v/>
      </c>
      <c r="AW125">
        <f>IF(Schema_v5!$C10=0,0,AE125/Schema_v5!$C10)</f>
        <v/>
      </c>
      <c r="AX125">
        <f>(W125-Schema_v5!$C11)/(Schema_v5!$C12-Schema_v5!$C11)</f>
        <v/>
      </c>
      <c r="AY125">
        <f>(X125-Schema_v5!$C13)/(Schema_v5!$C14-Schema_v5!$C13)</f>
        <v/>
      </c>
      <c r="AZ125">
        <f>MIN(1,MAX(0,U125/Schema_v7!$C$9))</f>
        <v/>
      </c>
      <c r="BA125">
        <f>IF(AJ125="yes",0.55,0)</f>
        <v/>
      </c>
      <c r="BB125">
        <f>IF(AI125="yes",0.10,0)</f>
        <v/>
      </c>
      <c r="BC125">
        <f>IF(Y125="COMM_Direct",0.92,IF(Y125="COMM_Emotional",0.70,IF(Y125="COMM_Logical",0.65,IF(Y125="COMM_Indirect",0.55,0.35))))</f>
        <v/>
      </c>
      <c r="BD125">
        <f>IF(Z125="REG_CoRegulator",0.92,IF(Z125="REG_SelfSoother",0.76,IF(Z125="REG_Distractor",0.48,0.35)))</f>
        <v/>
      </c>
      <c r="BE125">
        <f>IF(AA125="LANG_Time",0.76,IF(AA125="LANG_Service",0.70,IF(AA125="LANG_Words",0.72,IF(AA125="LANG_Touch",0.68,0.60))))</f>
        <v/>
      </c>
      <c r="BF125">
        <f>MAX(0,MIN(1,0.28*AS125+0.16*AT125+0.18*BC125+0.18*BD125+0.10*(1-AZ125)+0.10*(1-BA125)+BB125))</f>
        <v/>
      </c>
      <c r="BG125">
        <f>MAX(0,MIN(1,0.24*AU125+0.18*AS125+0.18*BC125+0.20*BD125+0.10*(1-AW125)+0.10*(1-BA125)))</f>
        <v/>
      </c>
      <c r="BH125">
        <f>MAX(0,MIN(1,0.28*AR125+0.18*AT125+0.16*AU125+0.18*(1-AV125)+0.10*(1-AW125)+0.10*BF125))</f>
        <v/>
      </c>
      <c r="BI125">
        <f>MAX(0,MIN(1,0.30*AV125+0.20*AZ125+0.20*AW125+0.15*(1-BH125)+0.15*(1-BO125)))</f>
        <v/>
      </c>
      <c r="BJ125">
        <f>MAX(0,1-(ABS(((( AX125+AY125)/2)-0.55)*1.6)))</f>
        <v/>
      </c>
      <c r="BK125">
        <f>MAX(0,MIN(1,0.28*AR125+0.18*AT125+0.16*BJ125+0.14*(1-AV125)+0.12*BQ125+0.12*BO125))</f>
        <v/>
      </c>
      <c r="BL125">
        <f>MAX(0,MIN(1,0.22*AQ125+0.18*AS125+0.18*BC125+0.18*BD125+0.08*BE125+0.10*BF125+0.06*BO125))</f>
        <v/>
      </c>
      <c r="BM125">
        <f>MAX(0,MIN(1,0.20*(1-AZ125)+0.16*(1-BA125)+0.14*(1-AW125)+0.14*AU125+0.18*BG125+0.10*BH125+0.08*BP125))</f>
        <v/>
      </c>
      <c r="BN125">
        <f>MAX(0,MIN(1,0.42*BJ125+0.33*BK125+0.15*AT125+0.10*BQ125))</f>
        <v/>
      </c>
      <c r="BO125">
        <f>MAX(0,MIN(1,0.30*BC125+0.24*BD125+0.18*AS125+0.14*(1-BI125)+0.14*AT125))</f>
        <v/>
      </c>
      <c r="BP125">
        <f>MAX(0,MIN(1,0.26*AS125+0.20*(1-BA125)+0.16*(1-AW125)+0.18*BG125+0.10*AU125+0.10+BB125))</f>
        <v/>
      </c>
      <c r="BQ125">
        <f>MAX(0,MIN(1,0.24*AT125+0.18*BF125+0.14*AR125+0.14*BO125+0.14*(1-AV125)+0.16*(1-AZ125)))</f>
        <v/>
      </c>
      <c r="BR125">
        <f>IF(BO125&gt;=0.80,"Open",IF(BO125&gt;=0.62,"Measured",IF(BO125&gt;=0.45,"Selective","Guarded")))</f>
        <v/>
      </c>
      <c r="BS125">
        <f>IF(Y125="COMM_Direct","Direct",IF(Y125="COMM_Emotional","Emotional",IF(Y125="COMM_Logical","Logical",IF(Y125="COMM_Indirect","Indirect","Avoidant"))))</f>
        <v/>
      </c>
      <c r="BT125">
        <f>IF(BG125&gt;=0.78,"Co-repair",IF(BG125&gt;=0.58,"Re-engage",IF(BG125&gt;=0.40,"Delay","Suppress")))</f>
        <v/>
      </c>
      <c r="BU125">
        <f>IF(BI125&gt;=0.70,"Retreat-risk",IF(BH125&lt;=0.40,"Rush-risk",IF(BH125&gt;=0.65,"Slow-build","Mixed")))</f>
        <v/>
      </c>
      <c r="BV125">
        <f>IF(BL125-BM125&gt;=0.15,"Stimulation-seeking",IF(BM125-BL125&gt;=0.15,"Calm-seeking","Mixed")))</f>
        <v/>
      </c>
      <c r="BW125">
        <f>IF(AND(BL125&gt;=0.72,BM125&lt;0.48),"High",IF(AND(BL125&gt;=0.60,BM125&lt;0.58),"Medium","Low"))</f>
        <v/>
      </c>
    </row>
    <row r="126" ht="108" customHeight="1" s="10">
      <c r="A126" s="2" t="inlineStr">
        <is>
          <t>Q25_E</t>
        </is>
      </c>
      <c r="B126" s="2" t="n">
        <v>25</v>
      </c>
      <c r="C126" s="2" t="n">
        <v>25</v>
      </c>
      <c r="D126" s="2" t="inlineStr">
        <is>
          <t>Core</t>
        </is>
      </c>
      <c r="E126" s="2" t="n">
        <v>1.1</v>
      </c>
      <c r="F126" s="2" t="inlineStr">
        <is>
          <t>ValuesLifestyle</t>
        </is>
      </c>
      <c r="G126" s="2" t="inlineStr">
        <is>
          <t>IntentAlignment</t>
        </is>
      </c>
      <c r="H126" s="2" t="n"/>
      <c r="I126" s="2" t="inlineStr">
        <is>
          <t>E</t>
        </is>
      </c>
      <c r="J126" s="2" t="inlineStr">
        <is>
          <t>E</t>
        </is>
      </c>
      <c r="K126" s="2" t="inlineStr">
        <is>
          <t>If I have to guess how you feel, I already know. I don't chase someone who wouldn't sprint for me.</t>
        </is>
      </c>
      <c r="L126" s="2" t="n">
        <v>9</v>
      </c>
      <c r="M126" s="2" t="n">
        <v>9</v>
      </c>
      <c r="N126" s="2" t="n">
        <v>6</v>
      </c>
      <c r="O126" s="2" t="n">
        <v>6</v>
      </c>
      <c r="P126" s="2" t="n">
        <v>2</v>
      </c>
      <c r="Q126" s="2" t="inlineStr">
        <is>
          <t>Icebox</t>
        </is>
      </c>
      <c r="R126" s="2" t="n">
        <v>1</v>
      </c>
      <c r="S126" s="2" t="n"/>
      <c r="T126" s="2" t="n"/>
      <c r="U126" s="2" t="n">
        <v>0</v>
      </c>
      <c r="V126" s="2" t="inlineStr">
        <is>
          <t>masc:1.8;fem:-1.6</t>
        </is>
      </c>
      <c r="W126" s="2" t="n">
        <v>1.8</v>
      </c>
      <c r="X126" s="2" t="n">
        <v>-1.6</v>
      </c>
      <c r="Y126" s="2" t="inlineStr">
        <is>
          <t>COMM_Avoidant</t>
        </is>
      </c>
      <c r="Z126" s="2" t="inlineStr">
        <is>
          <t>REG_Suppressor</t>
        </is>
      </c>
      <c r="AA126" s="2" t="inlineStr">
        <is>
          <t>LANG_Time</t>
        </is>
      </c>
      <c r="AB126" s="2" t="n"/>
      <c r="AC126" s="2" t="n"/>
      <c r="AD126" s="2" t="n"/>
      <c r="AE126" s="2" t="n">
        <v>0</v>
      </c>
      <c r="AF126" s="2" t="inlineStr">
        <is>
          <t>high-bar exit logic</t>
        </is>
      </c>
      <c r="AG126" s="2" t="inlineStr">
        <is>
          <t>non-negotiator</t>
        </is>
      </c>
      <c r="AH126" s="2" t="n">
        <v>0.6</v>
      </c>
      <c r="AI126" s="2" t="inlineStr">
        <is>
          <t>no</t>
        </is>
      </c>
      <c r="AJ126" s="2" t="inlineStr">
        <is>
          <t>no</t>
        </is>
      </c>
      <c r="AK126" s="2" t="inlineStr">
        <is>
          <t>no</t>
        </is>
      </c>
      <c r="AL126" s="2" t="inlineStr">
        <is>
          <t>no</t>
        </is>
      </c>
      <c r="AM126" s="2" t="n"/>
      <c r="AN126" s="2" t="n"/>
      <c r="AO126" s="2" t="n"/>
      <c r="AP126" s="2" t="inlineStr">
        <is>
          <t>v3_2026-03-19</t>
        </is>
      </c>
      <c r="AQ126">
        <f>(L126-Schema_v5!$C2)/(Schema_v5!$C3-Schema_v5!$C2)</f>
        <v/>
      </c>
      <c r="AR126">
        <f>(M126-Schema_v5!$C4)/(Schema_v5!$C5-Schema_v5!$C4)</f>
        <v/>
      </c>
      <c r="AS126">
        <f>N126/Schema_v5!$C6</f>
        <v/>
      </c>
      <c r="AT126">
        <f>O126/Schema_v5!$C7</f>
        <v/>
      </c>
      <c r="AU126">
        <f>P126/Schema_v5!$C8</f>
        <v/>
      </c>
      <c r="AV126">
        <f>IF(Schema_v5!$C9=0,0,AH126/Schema_v5!$C9)</f>
        <v/>
      </c>
      <c r="AW126">
        <f>IF(Schema_v5!$C10=0,0,AE126/Schema_v5!$C10)</f>
        <v/>
      </c>
      <c r="AX126">
        <f>(W126-Schema_v5!$C11)/(Schema_v5!$C12-Schema_v5!$C11)</f>
        <v/>
      </c>
      <c r="AY126">
        <f>(X126-Schema_v5!$C13)/(Schema_v5!$C14-Schema_v5!$C13)</f>
        <v/>
      </c>
      <c r="AZ126">
        <f>MIN(1,MAX(0,U126/Schema_v7!$C$9))</f>
        <v/>
      </c>
      <c r="BA126">
        <f>IF(AJ126="yes",0.55,0)</f>
        <v/>
      </c>
      <c r="BB126">
        <f>IF(AI126="yes",0.10,0)</f>
        <v/>
      </c>
      <c r="BC126">
        <f>IF(Y126="COMM_Direct",0.92,IF(Y126="COMM_Emotional",0.70,IF(Y126="COMM_Logical",0.65,IF(Y126="COMM_Indirect",0.55,0.35))))</f>
        <v/>
      </c>
      <c r="BD126">
        <f>IF(Z126="REG_CoRegulator",0.92,IF(Z126="REG_SelfSoother",0.76,IF(Z126="REG_Distractor",0.48,0.35)))</f>
        <v/>
      </c>
      <c r="BE126">
        <f>IF(AA126="LANG_Time",0.76,IF(AA126="LANG_Service",0.70,IF(AA126="LANG_Words",0.72,IF(AA126="LANG_Touch",0.68,0.60))))</f>
        <v/>
      </c>
      <c r="BF126">
        <f>MAX(0,MIN(1,0.28*AS126+0.16*AT126+0.18*BC126+0.18*BD126+0.10*(1-AZ126)+0.10*(1-BA126)+BB126))</f>
        <v/>
      </c>
      <c r="BG126">
        <f>MAX(0,MIN(1,0.24*AU126+0.18*AS126+0.18*BC126+0.20*BD126+0.10*(1-AW126)+0.10*(1-BA126)))</f>
        <v/>
      </c>
      <c r="BH126">
        <f>MAX(0,MIN(1,0.28*AR126+0.18*AT126+0.16*AU126+0.18*(1-AV126)+0.10*(1-AW126)+0.10*BF126))</f>
        <v/>
      </c>
      <c r="BI126">
        <f>MAX(0,MIN(1,0.30*AV126+0.20*AZ126+0.20*AW126+0.15*(1-BH126)+0.15*(1-BO126)))</f>
        <v/>
      </c>
      <c r="BJ126">
        <f>MAX(0,1-(ABS(((( AX126+AY126)/2)-0.55)*1.6)))</f>
        <v/>
      </c>
      <c r="BK126">
        <f>MAX(0,MIN(1,0.28*AR126+0.18*AT126+0.16*BJ126+0.14*(1-AV126)+0.12*BQ126+0.12*BO126))</f>
        <v/>
      </c>
      <c r="BL126">
        <f>MAX(0,MIN(1,0.22*AQ126+0.18*AS126+0.18*BC126+0.18*BD126+0.08*BE126+0.10*BF126+0.06*BO126))</f>
        <v/>
      </c>
      <c r="BM126">
        <f>MAX(0,MIN(1,0.20*(1-AZ126)+0.16*(1-BA126)+0.14*(1-AW126)+0.14*AU126+0.18*BG126+0.10*BH126+0.08*BP126))</f>
        <v/>
      </c>
      <c r="BN126">
        <f>MAX(0,MIN(1,0.42*BJ126+0.33*BK126+0.15*AT126+0.10*BQ126))</f>
        <v/>
      </c>
      <c r="BO126">
        <f>MAX(0,MIN(1,0.30*BC126+0.24*BD126+0.18*AS126+0.14*(1-BI126)+0.14*AT126))</f>
        <v/>
      </c>
      <c r="BP126">
        <f>MAX(0,MIN(1,0.26*AS126+0.20*(1-BA126)+0.16*(1-AW126)+0.18*BG126+0.10*AU126+0.10+BB126))</f>
        <v/>
      </c>
      <c r="BQ126">
        <f>MAX(0,MIN(1,0.24*AT126+0.18*BF126+0.14*AR126+0.14*BO126+0.14*(1-AV126)+0.16*(1-AZ126)))</f>
        <v/>
      </c>
      <c r="BR126">
        <f>IF(BO126&gt;=0.80,"Open",IF(BO126&gt;=0.62,"Measured",IF(BO126&gt;=0.45,"Selective","Guarded")))</f>
        <v/>
      </c>
      <c r="BS126">
        <f>IF(Y126="COMM_Direct","Direct",IF(Y126="COMM_Emotional","Emotional",IF(Y126="COMM_Logical","Logical",IF(Y126="COMM_Indirect","Indirect","Avoidant"))))</f>
        <v/>
      </c>
      <c r="BT126">
        <f>IF(BG126&gt;=0.78,"Co-repair",IF(BG126&gt;=0.58,"Re-engage",IF(BG126&gt;=0.40,"Delay","Suppress")))</f>
        <v/>
      </c>
      <c r="BU126">
        <f>IF(BI126&gt;=0.70,"Retreat-risk",IF(BH126&lt;=0.40,"Rush-risk",IF(BH126&gt;=0.65,"Slow-build","Mixed")))</f>
        <v/>
      </c>
      <c r="BV126">
        <f>IF(BL126-BM126&gt;=0.15,"Stimulation-seeking",IF(BM126-BL126&gt;=0.15,"Calm-seeking","Mixed")))</f>
        <v/>
      </c>
      <c r="BW126">
        <f>IF(AND(BL126&gt;=0.72,BM126&lt;0.48),"High",IF(AND(BL126&gt;=0.60,BM126&lt;0.58),"Medium","Low"))</f>
        <v/>
      </c>
    </row>
    <row r="127" ht="135" customHeight="1" s="10">
      <c r="A127" s="2" t="inlineStr">
        <is>
          <t>Q26_A</t>
        </is>
      </c>
      <c r="B127" s="2" t="n">
        <v>26</v>
      </c>
      <c r="C127" s="2" t="n">
        <v>26</v>
      </c>
      <c r="D127" s="2" t="inlineStr">
        <is>
          <t>Core</t>
        </is>
      </c>
      <c r="E127" s="2" t="n">
        <v>1.1</v>
      </c>
      <c r="F127" s="2" t="inlineStr">
        <is>
          <t>ValuesLifestyle</t>
        </is>
      </c>
      <c r="G127" s="2" t="inlineStr">
        <is>
          <t>IntentAlignment</t>
        </is>
      </c>
      <c r="H127" s="2" t="inlineStr">
        <is>
          <t>You ask for something small-reassurance, support, a quick favor. But they brush it off or forget. What's your first thought?</t>
        </is>
      </c>
      <c r="I127" s="2" t="inlineStr">
        <is>
          <t>A</t>
        </is>
      </c>
      <c r="J127" s="2" t="inlineStr">
        <is>
          <t>A</t>
        </is>
      </c>
      <c r="K127" s="2" t="inlineStr">
        <is>
          <t>Cool. Won't ask again. I don't repeat myself when it comes to energy.</t>
        </is>
      </c>
      <c r="L127" s="2" t="n">
        <v>9</v>
      </c>
      <c r="M127" s="2" t="n">
        <v>9</v>
      </c>
      <c r="N127" s="2" t="n">
        <v>6</v>
      </c>
      <c r="O127" s="2" t="n">
        <v>6</v>
      </c>
      <c r="P127" s="2" t="n">
        <v>2</v>
      </c>
      <c r="Q127" s="2" t="inlineStr">
        <is>
          <t>Icebox</t>
        </is>
      </c>
      <c r="R127" s="2" t="n">
        <v>1</v>
      </c>
      <c r="S127" s="2" t="n"/>
      <c r="T127" s="2" t="n"/>
      <c r="U127" s="2" t="n">
        <v>0</v>
      </c>
      <c r="V127" s="2" t="inlineStr">
        <is>
          <t>masc:1.8;fem:-1.6</t>
        </is>
      </c>
      <c r="W127" s="2" t="n">
        <v>1.8</v>
      </c>
      <c r="X127" s="2" t="n">
        <v>-1.6</v>
      </c>
      <c r="Y127" s="2" t="inlineStr">
        <is>
          <t>COMM_Avoidant</t>
        </is>
      </c>
      <c r="Z127" s="2" t="inlineStr">
        <is>
          <t>REG_Suppressor</t>
        </is>
      </c>
      <c r="AA127" s="2" t="inlineStr">
        <is>
          <t>LANG_Time</t>
        </is>
      </c>
      <c r="AB127" s="2" t="n"/>
      <c r="AC127" s="2" t="n"/>
      <c r="AD127" s="2" t="n"/>
      <c r="AE127" s="2" t="n">
        <v>0</v>
      </c>
      <c r="AF127" s="2" t="inlineStr">
        <is>
          <t>cut-off switch mentality</t>
        </is>
      </c>
      <c r="AG127" s="2" t="inlineStr">
        <is>
          <t>decisive withdrawer</t>
        </is>
      </c>
      <c r="AH127" s="2" t="n">
        <v>0.6</v>
      </c>
      <c r="AI127" s="2" t="inlineStr">
        <is>
          <t>no</t>
        </is>
      </c>
      <c r="AJ127" s="2" t="inlineStr">
        <is>
          <t>no</t>
        </is>
      </c>
      <c r="AK127" s="2" t="inlineStr">
        <is>
          <t>no</t>
        </is>
      </c>
      <c r="AL127" s="2" t="inlineStr">
        <is>
          <t>no</t>
        </is>
      </c>
      <c r="AM127" s="2" t="n"/>
      <c r="AN127" s="2" t="n"/>
      <c r="AO127" s="2" t="n"/>
      <c r="AP127" s="2" t="inlineStr">
        <is>
          <t>v3_2026-03-19</t>
        </is>
      </c>
      <c r="AQ127">
        <f>(L127-Schema_v5!$C2)/(Schema_v5!$C3-Schema_v5!$C2)</f>
        <v/>
      </c>
      <c r="AR127">
        <f>(M127-Schema_v5!$C4)/(Schema_v5!$C5-Schema_v5!$C4)</f>
        <v/>
      </c>
      <c r="AS127">
        <f>N127/Schema_v5!$C6</f>
        <v/>
      </c>
      <c r="AT127">
        <f>O127/Schema_v5!$C7</f>
        <v/>
      </c>
      <c r="AU127">
        <f>P127/Schema_v5!$C8</f>
        <v/>
      </c>
      <c r="AV127">
        <f>IF(Schema_v5!$C9=0,0,AH127/Schema_v5!$C9)</f>
        <v/>
      </c>
      <c r="AW127">
        <f>IF(Schema_v5!$C10=0,0,AE127/Schema_v5!$C10)</f>
        <v/>
      </c>
      <c r="AX127">
        <f>(W127-Schema_v5!$C11)/(Schema_v5!$C12-Schema_v5!$C11)</f>
        <v/>
      </c>
      <c r="AY127">
        <f>(X127-Schema_v5!$C13)/(Schema_v5!$C14-Schema_v5!$C13)</f>
        <v/>
      </c>
      <c r="AZ127">
        <f>MIN(1,MAX(0,U127/Schema_v7!$C$9))</f>
        <v/>
      </c>
      <c r="BA127">
        <f>IF(AJ127="yes",0.55,0)</f>
        <v/>
      </c>
      <c r="BB127">
        <f>IF(AI127="yes",0.10,0)</f>
        <v/>
      </c>
      <c r="BC127">
        <f>IF(Y127="COMM_Direct",0.92,IF(Y127="COMM_Emotional",0.70,IF(Y127="COMM_Logical",0.65,IF(Y127="COMM_Indirect",0.55,0.35))))</f>
        <v/>
      </c>
      <c r="BD127">
        <f>IF(Z127="REG_CoRegulator",0.92,IF(Z127="REG_SelfSoother",0.76,IF(Z127="REG_Distractor",0.48,0.35)))</f>
        <v/>
      </c>
      <c r="BE127">
        <f>IF(AA127="LANG_Time",0.76,IF(AA127="LANG_Service",0.70,IF(AA127="LANG_Words",0.72,IF(AA127="LANG_Touch",0.68,0.60))))</f>
        <v/>
      </c>
      <c r="BF127">
        <f>MAX(0,MIN(1,0.28*AS127+0.16*AT127+0.18*BC127+0.18*BD127+0.10*(1-AZ127)+0.10*(1-BA127)+BB127))</f>
        <v/>
      </c>
      <c r="BG127">
        <f>MAX(0,MIN(1,0.24*AU127+0.18*AS127+0.18*BC127+0.20*BD127+0.10*(1-AW127)+0.10*(1-BA127)))</f>
        <v/>
      </c>
      <c r="BH127">
        <f>MAX(0,MIN(1,0.28*AR127+0.18*AT127+0.16*AU127+0.18*(1-AV127)+0.10*(1-AW127)+0.10*BF127))</f>
        <v/>
      </c>
      <c r="BI127">
        <f>MAX(0,MIN(1,0.30*AV127+0.20*AZ127+0.20*AW127+0.15*(1-BH127)+0.15*(1-BO127)))</f>
        <v/>
      </c>
      <c r="BJ127">
        <f>MAX(0,1-(ABS(((( AX127+AY127)/2)-0.55)*1.6)))</f>
        <v/>
      </c>
      <c r="BK127">
        <f>MAX(0,MIN(1,0.28*AR127+0.18*AT127+0.16*BJ127+0.14*(1-AV127)+0.12*BQ127+0.12*BO127))</f>
        <v/>
      </c>
      <c r="BL127">
        <f>MAX(0,MIN(1,0.22*AQ127+0.18*AS127+0.18*BC127+0.18*BD127+0.08*BE127+0.10*BF127+0.06*BO127))</f>
        <v/>
      </c>
      <c r="BM127">
        <f>MAX(0,MIN(1,0.20*(1-AZ127)+0.16*(1-BA127)+0.14*(1-AW127)+0.14*AU127+0.18*BG127+0.10*BH127+0.08*BP127))</f>
        <v/>
      </c>
      <c r="BN127">
        <f>MAX(0,MIN(1,0.42*BJ127+0.33*BK127+0.15*AT127+0.10*BQ127))</f>
        <v/>
      </c>
      <c r="BO127">
        <f>MAX(0,MIN(1,0.30*BC127+0.24*BD127+0.18*AS127+0.14*(1-BI127)+0.14*AT127))</f>
        <v/>
      </c>
      <c r="BP127">
        <f>MAX(0,MIN(1,0.26*AS127+0.20*(1-BA127)+0.16*(1-AW127)+0.18*BG127+0.10*AU127+0.10+BB127))</f>
        <v/>
      </c>
      <c r="BQ127">
        <f>MAX(0,MIN(1,0.24*AT127+0.18*BF127+0.14*AR127+0.14*BO127+0.14*(1-AV127)+0.16*(1-AZ127)))</f>
        <v/>
      </c>
      <c r="BR127">
        <f>IF(BO127&gt;=0.80,"Open",IF(BO127&gt;=0.62,"Measured",IF(BO127&gt;=0.45,"Selective","Guarded")))</f>
        <v/>
      </c>
      <c r="BS127">
        <f>IF(Y127="COMM_Direct","Direct",IF(Y127="COMM_Emotional","Emotional",IF(Y127="COMM_Logical","Logical",IF(Y127="COMM_Indirect","Indirect","Avoidant"))))</f>
        <v/>
      </c>
      <c r="BT127">
        <f>IF(BG127&gt;=0.78,"Co-repair",IF(BG127&gt;=0.58,"Re-engage",IF(BG127&gt;=0.40,"Delay","Suppress")))</f>
        <v/>
      </c>
      <c r="BU127">
        <f>IF(BI127&gt;=0.70,"Retreat-risk",IF(BH127&lt;=0.40,"Rush-risk",IF(BH127&gt;=0.65,"Slow-build","Mixed")))</f>
        <v/>
      </c>
      <c r="BV127">
        <f>IF(BL127-BM127&gt;=0.15,"Stimulation-seeking",IF(BM127-BL127&gt;=0.15,"Calm-seeking","Mixed")))</f>
        <v/>
      </c>
      <c r="BW127">
        <f>IF(AND(BL127&gt;=0.72,BM127&lt;0.48),"High",IF(AND(BL127&gt;=0.60,BM127&lt;0.58),"Medium","Low"))</f>
        <v/>
      </c>
    </row>
    <row r="128" ht="121.5" customHeight="1" s="10">
      <c r="A128" s="2" t="inlineStr">
        <is>
          <t>Q26_B</t>
        </is>
      </c>
      <c r="B128" s="2" t="n">
        <v>26</v>
      </c>
      <c r="C128" s="2" t="n">
        <v>26</v>
      </c>
      <c r="D128" s="2" t="inlineStr">
        <is>
          <t>Core</t>
        </is>
      </c>
      <c r="E128" s="2" t="n">
        <v>1.1</v>
      </c>
      <c r="F128" s="2" t="inlineStr">
        <is>
          <t>ValuesLifestyle</t>
        </is>
      </c>
      <c r="G128" s="2" t="inlineStr">
        <is>
          <t>IntentAlignment</t>
        </is>
      </c>
      <c r="H128" s="2" t="n"/>
      <c r="I128" s="2" t="inlineStr">
        <is>
          <t>B</t>
        </is>
      </c>
      <c r="J128" s="2" t="inlineStr">
        <is>
          <t>B</t>
        </is>
      </c>
      <c r="K128" s="2" t="inlineStr">
        <is>
          <t>Maybe I was too much. I replay it in my head, wondering if I worded it wrong or came off needy.</t>
        </is>
      </c>
      <c r="L128" s="2" t="n">
        <v>4</v>
      </c>
      <c r="M128" s="2" t="n">
        <v>5</v>
      </c>
      <c r="N128" s="2" t="n">
        <v>2</v>
      </c>
      <c r="O128" s="2" t="n">
        <v>2</v>
      </c>
      <c r="P128" s="2" t="n">
        <v>0</v>
      </c>
      <c r="Q128" s="2" t="inlineStr">
        <is>
          <t>Phantom Seeker</t>
        </is>
      </c>
      <c r="R128" s="2" t="n">
        <v>10</v>
      </c>
      <c r="S128" s="2" t="n"/>
      <c r="T128" s="2" t="n"/>
      <c r="U128" s="2" t="n">
        <v>0</v>
      </c>
      <c r="V128" s="2" t="inlineStr">
        <is>
          <t>masc:-0.2;fem:1.5</t>
        </is>
      </c>
      <c r="W128" s="2" t="n">
        <v>-0.2</v>
      </c>
      <c r="X128" s="2" t="n">
        <v>1.5</v>
      </c>
      <c r="Y128" s="2" t="inlineStr">
        <is>
          <t>COMM_Emotional</t>
        </is>
      </c>
      <c r="Z128" s="2" t="inlineStr">
        <is>
          <t>REG_SelfSoother</t>
        </is>
      </c>
      <c r="AA128" s="2" t="inlineStr">
        <is>
          <t>LANG_Touch</t>
        </is>
      </c>
      <c r="AB128" s="2" t="inlineStr">
        <is>
          <t>Commitment_Ambiguity</t>
        </is>
      </c>
      <c r="AC128" s="2" t="inlineStr">
        <is>
          <t>Commitment_Ambiguity</t>
        </is>
      </c>
      <c r="AD128" s="2" t="n"/>
      <c r="AE128" s="2" t="n">
        <v>5</v>
      </c>
      <c r="AF128" s="2" t="inlineStr">
        <is>
          <t>internal shame loop</t>
        </is>
      </c>
      <c r="AG128" s="2" t="inlineStr">
        <is>
          <t>self-blamer</t>
        </is>
      </c>
      <c r="AH128" s="2" t="n">
        <v>0</v>
      </c>
      <c r="AI128" s="2" t="inlineStr">
        <is>
          <t>yes</t>
        </is>
      </c>
      <c r="AJ128" s="2" t="inlineStr">
        <is>
          <t>no</t>
        </is>
      </c>
      <c r="AK128" s="2" t="inlineStr">
        <is>
          <t>no</t>
        </is>
      </c>
      <c r="AL128" s="2" t="inlineStr">
        <is>
          <t>no</t>
        </is>
      </c>
      <c r="AM128" s="2" t="n"/>
      <c r="AN128" s="2" t="n"/>
      <c r="AO128" s="2" t="n"/>
      <c r="AP128" s="2" t="inlineStr">
        <is>
          <t>v3_2026-03-19</t>
        </is>
      </c>
      <c r="AQ128">
        <f>(L128-Schema_v5!$C2)/(Schema_v5!$C3-Schema_v5!$C2)</f>
        <v/>
      </c>
      <c r="AR128">
        <f>(M128-Schema_v5!$C4)/(Schema_v5!$C5-Schema_v5!$C4)</f>
        <v/>
      </c>
      <c r="AS128">
        <f>N128/Schema_v5!$C6</f>
        <v/>
      </c>
      <c r="AT128">
        <f>O128/Schema_v5!$C7</f>
        <v/>
      </c>
      <c r="AU128">
        <f>P128/Schema_v5!$C8</f>
        <v/>
      </c>
      <c r="AV128">
        <f>IF(Schema_v5!$C9=0,0,AH128/Schema_v5!$C9)</f>
        <v/>
      </c>
      <c r="AW128">
        <f>IF(Schema_v5!$C10=0,0,AE128/Schema_v5!$C10)</f>
        <v/>
      </c>
      <c r="AX128">
        <f>(W128-Schema_v5!$C11)/(Schema_v5!$C12-Schema_v5!$C11)</f>
        <v/>
      </c>
      <c r="AY128">
        <f>(X128-Schema_v5!$C13)/(Schema_v5!$C14-Schema_v5!$C13)</f>
        <v/>
      </c>
      <c r="AZ128">
        <f>MIN(1,MAX(0,U128/Schema_v7!$C$9))</f>
        <v/>
      </c>
      <c r="BA128">
        <f>IF(AJ128="yes",0.55,0)</f>
        <v/>
      </c>
      <c r="BB128">
        <f>IF(AI128="yes",0.10,0)</f>
        <v/>
      </c>
      <c r="BC128">
        <f>IF(Y128="COMM_Direct",0.92,IF(Y128="COMM_Emotional",0.70,IF(Y128="COMM_Logical",0.65,IF(Y128="COMM_Indirect",0.55,0.35))))</f>
        <v/>
      </c>
      <c r="BD128">
        <f>IF(Z128="REG_CoRegulator",0.92,IF(Z128="REG_SelfSoother",0.76,IF(Z128="REG_Distractor",0.48,0.35)))</f>
        <v/>
      </c>
      <c r="BE128">
        <f>IF(AA128="LANG_Time",0.76,IF(AA128="LANG_Service",0.70,IF(AA128="LANG_Words",0.72,IF(AA128="LANG_Touch",0.68,0.60))))</f>
        <v/>
      </c>
      <c r="BF128">
        <f>MAX(0,MIN(1,0.28*AS128+0.16*AT128+0.18*BC128+0.18*BD128+0.10*(1-AZ128)+0.10*(1-BA128)+BB128))</f>
        <v/>
      </c>
      <c r="BG128">
        <f>MAX(0,MIN(1,0.24*AU128+0.18*AS128+0.18*BC128+0.20*BD128+0.10*(1-AW128)+0.10*(1-BA128)))</f>
        <v/>
      </c>
      <c r="BH128">
        <f>MAX(0,MIN(1,0.28*AR128+0.18*AT128+0.16*AU128+0.18*(1-AV128)+0.10*(1-AW128)+0.10*BF128))</f>
        <v/>
      </c>
      <c r="BI128">
        <f>MAX(0,MIN(1,0.30*AV128+0.20*AZ128+0.20*AW128+0.15*(1-BH128)+0.15*(1-BO128)))</f>
        <v/>
      </c>
      <c r="BJ128">
        <f>MAX(0,1-(ABS(((( AX128+AY128)/2)-0.55)*1.6)))</f>
        <v/>
      </c>
      <c r="BK128">
        <f>MAX(0,MIN(1,0.28*AR128+0.18*AT128+0.16*BJ128+0.14*(1-AV128)+0.12*BQ128+0.12*BO128))</f>
        <v/>
      </c>
      <c r="BL128">
        <f>MAX(0,MIN(1,0.22*AQ128+0.18*AS128+0.18*BC128+0.18*BD128+0.08*BE128+0.10*BF128+0.06*BO128))</f>
        <v/>
      </c>
      <c r="BM128">
        <f>MAX(0,MIN(1,0.20*(1-AZ128)+0.16*(1-BA128)+0.14*(1-AW128)+0.14*AU128+0.18*BG128+0.10*BH128+0.08*BP128))</f>
        <v/>
      </c>
      <c r="BN128">
        <f>MAX(0,MIN(1,0.42*BJ128+0.33*BK128+0.15*AT128+0.10*BQ128))</f>
        <v/>
      </c>
      <c r="BO128">
        <f>MAX(0,MIN(1,0.30*BC128+0.24*BD128+0.18*AS128+0.14*(1-BI128)+0.14*AT128))</f>
        <v/>
      </c>
      <c r="BP128">
        <f>MAX(0,MIN(1,0.26*AS128+0.20*(1-BA128)+0.16*(1-AW128)+0.18*BG128+0.10*AU128+0.10+BB128))</f>
        <v/>
      </c>
      <c r="BQ128">
        <f>MAX(0,MIN(1,0.24*AT128+0.18*BF128+0.14*AR128+0.14*BO128+0.14*(1-AV128)+0.16*(1-AZ128)))</f>
        <v/>
      </c>
      <c r="BR128">
        <f>IF(BO128&gt;=0.80,"Open",IF(BO128&gt;=0.62,"Measured",IF(BO128&gt;=0.45,"Selective","Guarded")))</f>
        <v/>
      </c>
      <c r="BS128">
        <f>IF(Y128="COMM_Direct","Direct",IF(Y128="COMM_Emotional","Emotional",IF(Y128="COMM_Logical","Logical",IF(Y128="COMM_Indirect","Indirect","Avoidant"))))</f>
        <v/>
      </c>
      <c r="BT128">
        <f>IF(BG128&gt;=0.78,"Co-repair",IF(BG128&gt;=0.58,"Re-engage",IF(BG128&gt;=0.40,"Delay","Suppress")))</f>
        <v/>
      </c>
      <c r="BU128">
        <f>IF(BI128&gt;=0.70,"Retreat-risk",IF(BH128&lt;=0.40,"Rush-risk",IF(BH128&gt;=0.65,"Slow-build","Mixed")))</f>
        <v/>
      </c>
      <c r="BV128">
        <f>IF(BL128-BM128&gt;=0.15,"Stimulation-seeking",IF(BM128-BL128&gt;=0.15,"Calm-seeking","Mixed")))</f>
        <v/>
      </c>
      <c r="BW128">
        <f>IF(AND(BL128&gt;=0.72,BM128&lt;0.48),"High",IF(AND(BL128&gt;=0.60,BM128&lt;0.58),"Medium","Low"))</f>
        <v/>
      </c>
    </row>
    <row r="129" ht="108" customHeight="1" s="10">
      <c r="A129" s="2" t="inlineStr">
        <is>
          <t>Q26_C</t>
        </is>
      </c>
      <c r="B129" s="2" t="n">
        <v>26</v>
      </c>
      <c r="C129" s="2" t="n">
        <v>26</v>
      </c>
      <c r="D129" s="2" t="inlineStr">
        <is>
          <t>Core</t>
        </is>
      </c>
      <c r="E129" s="2" t="n">
        <v>1.1</v>
      </c>
      <c r="F129" s="2" t="inlineStr">
        <is>
          <t>ValuesLifestyle</t>
        </is>
      </c>
      <c r="G129" s="2" t="inlineStr">
        <is>
          <t>IntentAlignment</t>
        </is>
      </c>
      <c r="H129" s="2" t="n"/>
      <c r="I129" s="2" t="inlineStr">
        <is>
          <t>C</t>
        </is>
      </c>
      <c r="J129" s="2" t="inlineStr">
        <is>
          <t>C</t>
        </is>
      </c>
      <c r="K129" s="2" t="inlineStr">
        <is>
          <t>I bring it up, but lightly, like a joke. If they care, they'll fix it. If they laugh it off again, I note it.</t>
        </is>
      </c>
      <c r="L129" s="2" t="n">
        <v>7</v>
      </c>
      <c r="M129" s="2" t="n">
        <v>8</v>
      </c>
      <c r="N129" s="2" t="n">
        <v>6</v>
      </c>
      <c r="O129" s="2" t="n">
        <v>6</v>
      </c>
      <c r="P129" s="2" t="n">
        <v>6</v>
      </c>
      <c r="Q129" s="2" t="inlineStr">
        <is>
          <t>Analyzer</t>
        </is>
      </c>
      <c r="R129" s="2" t="n">
        <v>2</v>
      </c>
      <c r="S129" s="2" t="n"/>
      <c r="T129" s="2" t="n"/>
      <c r="U129" s="2" t="n">
        <v>0</v>
      </c>
      <c r="V129" s="2" t="inlineStr">
        <is>
          <t>masc:1.4;fem:0.1</t>
        </is>
      </c>
      <c r="W129" s="2" t="n">
        <v>1.4</v>
      </c>
      <c r="X129" s="2" t="n">
        <v>0.1</v>
      </c>
      <c r="Y129" s="2" t="inlineStr">
        <is>
          <t>COMM_Logical</t>
        </is>
      </c>
      <c r="Z129" s="2" t="inlineStr">
        <is>
          <t>REG_SelfSoother</t>
        </is>
      </c>
      <c r="AA129" s="2" t="inlineStr">
        <is>
          <t>LANG_Service</t>
        </is>
      </c>
      <c r="AB129" s="2" t="n"/>
      <c r="AC129" s="2" t="n"/>
      <c r="AD129" s="2" t="n"/>
      <c r="AE129" s="2" t="n">
        <v>0</v>
      </c>
      <c r="AF129" s="2" t="inlineStr">
        <is>
          <t>test hidden in humor</t>
        </is>
      </c>
      <c r="AG129" s="2" t="inlineStr">
        <is>
          <t>subtle assessor</t>
        </is>
      </c>
      <c r="AH129" s="2" t="n">
        <v>0.6</v>
      </c>
      <c r="AI129" s="2" t="inlineStr">
        <is>
          <t>no</t>
        </is>
      </c>
      <c r="AJ129" s="2" t="inlineStr">
        <is>
          <t>no</t>
        </is>
      </c>
      <c r="AK129" s="2" t="inlineStr">
        <is>
          <t>no</t>
        </is>
      </c>
      <c r="AL129" s="2" t="inlineStr">
        <is>
          <t>no</t>
        </is>
      </c>
      <c r="AM129" s="2" t="n"/>
      <c r="AN129" s="2" t="n"/>
      <c r="AO129" s="2" t="n"/>
      <c r="AP129" s="2" t="inlineStr">
        <is>
          <t>v3_2026-03-19</t>
        </is>
      </c>
      <c r="AQ129">
        <f>(L129-Schema_v5!$C2)/(Schema_v5!$C3-Schema_v5!$C2)</f>
        <v/>
      </c>
      <c r="AR129">
        <f>(M129-Schema_v5!$C4)/(Schema_v5!$C5-Schema_v5!$C4)</f>
        <v/>
      </c>
      <c r="AS129">
        <f>N129/Schema_v5!$C6</f>
        <v/>
      </c>
      <c r="AT129">
        <f>O129/Schema_v5!$C7</f>
        <v/>
      </c>
      <c r="AU129">
        <f>P129/Schema_v5!$C8</f>
        <v/>
      </c>
      <c r="AV129">
        <f>IF(Schema_v5!$C9=0,0,AH129/Schema_v5!$C9)</f>
        <v/>
      </c>
      <c r="AW129">
        <f>IF(Schema_v5!$C10=0,0,AE129/Schema_v5!$C10)</f>
        <v/>
      </c>
      <c r="AX129">
        <f>(W129-Schema_v5!$C11)/(Schema_v5!$C12-Schema_v5!$C11)</f>
        <v/>
      </c>
      <c r="AY129">
        <f>(X129-Schema_v5!$C13)/(Schema_v5!$C14-Schema_v5!$C13)</f>
        <v/>
      </c>
      <c r="AZ129">
        <f>MIN(1,MAX(0,U129/Schema_v7!$C$9))</f>
        <v/>
      </c>
      <c r="BA129">
        <f>IF(AJ129="yes",0.55,0)</f>
        <v/>
      </c>
      <c r="BB129">
        <f>IF(AI129="yes",0.10,0)</f>
        <v/>
      </c>
      <c r="BC129">
        <f>IF(Y129="COMM_Direct",0.92,IF(Y129="COMM_Emotional",0.70,IF(Y129="COMM_Logical",0.65,IF(Y129="COMM_Indirect",0.55,0.35))))</f>
        <v/>
      </c>
      <c r="BD129">
        <f>IF(Z129="REG_CoRegulator",0.92,IF(Z129="REG_SelfSoother",0.76,IF(Z129="REG_Distractor",0.48,0.35)))</f>
        <v/>
      </c>
      <c r="BE129">
        <f>IF(AA129="LANG_Time",0.76,IF(AA129="LANG_Service",0.70,IF(AA129="LANG_Words",0.72,IF(AA129="LANG_Touch",0.68,0.60))))</f>
        <v/>
      </c>
      <c r="BF129">
        <f>MAX(0,MIN(1,0.28*AS129+0.16*AT129+0.18*BC129+0.18*BD129+0.10*(1-AZ129)+0.10*(1-BA129)+BB129))</f>
        <v/>
      </c>
      <c r="BG129">
        <f>MAX(0,MIN(1,0.24*AU129+0.18*AS129+0.18*BC129+0.20*BD129+0.10*(1-AW129)+0.10*(1-BA129)))</f>
        <v/>
      </c>
      <c r="BH129">
        <f>MAX(0,MIN(1,0.28*AR129+0.18*AT129+0.16*AU129+0.18*(1-AV129)+0.10*(1-AW129)+0.10*BF129))</f>
        <v/>
      </c>
      <c r="BI129">
        <f>MAX(0,MIN(1,0.30*AV129+0.20*AZ129+0.20*AW129+0.15*(1-BH129)+0.15*(1-BO129)))</f>
        <v/>
      </c>
      <c r="BJ129">
        <f>MAX(0,1-(ABS(((( AX129+AY129)/2)-0.55)*1.6)))</f>
        <v/>
      </c>
      <c r="BK129">
        <f>MAX(0,MIN(1,0.28*AR129+0.18*AT129+0.16*BJ129+0.14*(1-AV129)+0.12*BQ129+0.12*BO129))</f>
        <v/>
      </c>
      <c r="BL129">
        <f>MAX(0,MIN(1,0.22*AQ129+0.18*AS129+0.18*BC129+0.18*BD129+0.08*BE129+0.10*BF129+0.06*BO129))</f>
        <v/>
      </c>
      <c r="BM129">
        <f>MAX(0,MIN(1,0.20*(1-AZ129)+0.16*(1-BA129)+0.14*(1-AW129)+0.14*AU129+0.18*BG129+0.10*BH129+0.08*BP129))</f>
        <v/>
      </c>
      <c r="BN129">
        <f>MAX(0,MIN(1,0.42*BJ129+0.33*BK129+0.15*AT129+0.10*BQ129))</f>
        <v/>
      </c>
      <c r="BO129">
        <f>MAX(0,MIN(1,0.30*BC129+0.24*BD129+0.18*AS129+0.14*(1-BI129)+0.14*AT129))</f>
        <v/>
      </c>
      <c r="BP129">
        <f>MAX(0,MIN(1,0.26*AS129+0.20*(1-BA129)+0.16*(1-AW129)+0.18*BG129+0.10*AU129+0.10+BB129))</f>
        <v/>
      </c>
      <c r="BQ129">
        <f>MAX(0,MIN(1,0.24*AT129+0.18*BF129+0.14*AR129+0.14*BO129+0.14*(1-AV129)+0.16*(1-AZ129)))</f>
        <v/>
      </c>
      <c r="BR129">
        <f>IF(BO129&gt;=0.80,"Open",IF(BO129&gt;=0.62,"Measured",IF(BO129&gt;=0.45,"Selective","Guarded")))</f>
        <v/>
      </c>
      <c r="BS129">
        <f>IF(Y129="COMM_Direct","Direct",IF(Y129="COMM_Emotional","Emotional",IF(Y129="COMM_Logical","Logical",IF(Y129="COMM_Indirect","Indirect","Avoidant"))))</f>
        <v/>
      </c>
      <c r="BT129">
        <f>IF(BG129&gt;=0.78,"Co-repair",IF(BG129&gt;=0.58,"Re-engage",IF(BG129&gt;=0.40,"Delay","Suppress")))</f>
        <v/>
      </c>
      <c r="BU129">
        <f>IF(BI129&gt;=0.70,"Retreat-risk",IF(BH129&lt;=0.40,"Rush-risk",IF(BH129&gt;=0.65,"Slow-build","Mixed")))</f>
        <v/>
      </c>
      <c r="BV129">
        <f>IF(BL129-BM129&gt;=0.15,"Stimulation-seeking",IF(BM129-BL129&gt;=0.15,"Calm-seeking","Mixed")))</f>
        <v/>
      </c>
      <c r="BW129">
        <f>IF(AND(BL129&gt;=0.72,BM129&lt;0.48),"High",IF(AND(BL129&gt;=0.60,BM129&lt;0.58),"Medium","Low"))</f>
        <v/>
      </c>
    </row>
    <row r="130" ht="162" customHeight="1" s="10">
      <c r="A130" s="2" t="inlineStr">
        <is>
          <t>Q26_D</t>
        </is>
      </c>
      <c r="B130" s="2" t="n">
        <v>26</v>
      </c>
      <c r="C130" s="2" t="n">
        <v>26</v>
      </c>
      <c r="D130" s="2" t="inlineStr">
        <is>
          <t>Core</t>
        </is>
      </c>
      <c r="E130" s="2" t="n">
        <v>1.1</v>
      </c>
      <c r="F130" s="2" t="inlineStr">
        <is>
          <t>ValuesLifestyle</t>
        </is>
      </c>
      <c r="G130" s="2" t="inlineStr">
        <is>
          <t>IntentAlignment</t>
        </is>
      </c>
      <c r="H130" s="2" t="n"/>
      <c r="I130" s="2" t="inlineStr">
        <is>
          <t>D</t>
        </is>
      </c>
      <c r="J130" s="2" t="inlineStr">
        <is>
          <t>D</t>
        </is>
      </c>
      <c r="K130" s="2" t="inlineStr">
        <is>
          <t>I end up doing it myself and tell myself it's fine. I've always handled things alone, so why expect different now?</t>
        </is>
      </c>
      <c r="L130" s="2" t="n">
        <v>6</v>
      </c>
      <c r="M130" s="2" t="n">
        <v>7</v>
      </c>
      <c r="N130" s="2" t="n">
        <v>4</v>
      </c>
      <c r="O130" s="2" t="n">
        <v>6</v>
      </c>
      <c r="P130" s="2" t="n">
        <v>4</v>
      </c>
      <c r="Q130" s="2" t="inlineStr">
        <is>
          <t>Survivor</t>
        </is>
      </c>
      <c r="R130" s="2" t="n">
        <v>8</v>
      </c>
      <c r="S130" s="2" t="n"/>
      <c r="T130" s="2" t="n"/>
      <c r="U130" s="2" t="n">
        <v>0</v>
      </c>
      <c r="V130" s="2" t="inlineStr">
        <is>
          <t>masc:0.3;fem:1.3</t>
        </is>
      </c>
      <c r="W130" s="2" t="n">
        <v>0.3</v>
      </c>
      <c r="X130" s="2" t="n">
        <v>1.3</v>
      </c>
      <c r="Y130" s="2" t="inlineStr">
        <is>
          <t>COMM_Emotional</t>
        </is>
      </c>
      <c r="Z130" s="2" t="inlineStr">
        <is>
          <t>REG_SelfSoother</t>
        </is>
      </c>
      <c r="AA130" s="2" t="inlineStr">
        <is>
          <t>LANG_Touch</t>
        </is>
      </c>
      <c r="AB130" s="2" t="inlineStr">
        <is>
          <t>Vulnerability_Loop</t>
        </is>
      </c>
      <c r="AC130" s="2" t="inlineStr">
        <is>
          <t>Vulnerability_Loop</t>
        </is>
      </c>
      <c r="AD130" s="2" t="n"/>
      <c r="AE130" s="2" t="n">
        <v>5</v>
      </c>
      <c r="AF130" s="2" t="inlineStr">
        <is>
          <t>forced self-reliance</t>
        </is>
      </c>
      <c r="AG130" s="2" t="inlineStr">
        <is>
          <t>self-sufficient pullback</t>
        </is>
      </c>
      <c r="AH130" s="2" t="n">
        <v>0</v>
      </c>
      <c r="AI130" s="2" t="inlineStr">
        <is>
          <t>yes</t>
        </is>
      </c>
      <c r="AJ130" s="2" t="inlineStr">
        <is>
          <t>no</t>
        </is>
      </c>
      <c r="AK130" s="2" t="inlineStr">
        <is>
          <t>no</t>
        </is>
      </c>
      <c r="AL130" s="2" t="inlineStr">
        <is>
          <t>no</t>
        </is>
      </c>
      <c r="AM130" s="2" t="n"/>
      <c r="AN130" s="2" t="n"/>
      <c r="AO130" s="2" t="n"/>
      <c r="AP130" s="2" t="inlineStr">
        <is>
          <t>v3_2026-03-19</t>
        </is>
      </c>
      <c r="AQ130">
        <f>(L130-Schema_v5!$C2)/(Schema_v5!$C3-Schema_v5!$C2)</f>
        <v/>
      </c>
      <c r="AR130">
        <f>(M130-Schema_v5!$C4)/(Schema_v5!$C5-Schema_v5!$C4)</f>
        <v/>
      </c>
      <c r="AS130">
        <f>N130/Schema_v5!$C6</f>
        <v/>
      </c>
      <c r="AT130">
        <f>O130/Schema_v5!$C7</f>
        <v/>
      </c>
      <c r="AU130">
        <f>P130/Schema_v5!$C8</f>
        <v/>
      </c>
      <c r="AV130">
        <f>IF(Schema_v5!$C9=0,0,AH130/Schema_v5!$C9)</f>
        <v/>
      </c>
      <c r="AW130">
        <f>IF(Schema_v5!$C10=0,0,AE130/Schema_v5!$C10)</f>
        <v/>
      </c>
      <c r="AX130">
        <f>(W130-Schema_v5!$C11)/(Schema_v5!$C12-Schema_v5!$C11)</f>
        <v/>
      </c>
      <c r="AY130">
        <f>(X130-Schema_v5!$C13)/(Schema_v5!$C14-Schema_v5!$C13)</f>
        <v/>
      </c>
      <c r="AZ130">
        <f>MIN(1,MAX(0,U130/Schema_v7!$C$9))</f>
        <v/>
      </c>
      <c r="BA130">
        <f>IF(AJ130="yes",0.55,0)</f>
        <v/>
      </c>
      <c r="BB130">
        <f>IF(AI130="yes",0.10,0)</f>
        <v/>
      </c>
      <c r="BC130">
        <f>IF(Y130="COMM_Direct",0.92,IF(Y130="COMM_Emotional",0.70,IF(Y130="COMM_Logical",0.65,IF(Y130="COMM_Indirect",0.55,0.35))))</f>
        <v/>
      </c>
      <c r="BD130">
        <f>IF(Z130="REG_CoRegulator",0.92,IF(Z130="REG_SelfSoother",0.76,IF(Z130="REG_Distractor",0.48,0.35)))</f>
        <v/>
      </c>
      <c r="BE130">
        <f>IF(AA130="LANG_Time",0.76,IF(AA130="LANG_Service",0.70,IF(AA130="LANG_Words",0.72,IF(AA130="LANG_Touch",0.68,0.60))))</f>
        <v/>
      </c>
      <c r="BF130">
        <f>MAX(0,MIN(1,0.28*AS130+0.16*AT130+0.18*BC130+0.18*BD130+0.10*(1-AZ130)+0.10*(1-BA130)+BB130))</f>
        <v/>
      </c>
      <c r="BG130">
        <f>MAX(0,MIN(1,0.24*AU130+0.18*AS130+0.18*BC130+0.20*BD130+0.10*(1-AW130)+0.10*(1-BA130)))</f>
        <v/>
      </c>
      <c r="BH130">
        <f>MAX(0,MIN(1,0.28*AR130+0.18*AT130+0.16*AU130+0.18*(1-AV130)+0.10*(1-AW130)+0.10*BF130))</f>
        <v/>
      </c>
      <c r="BI130">
        <f>MAX(0,MIN(1,0.30*AV130+0.20*AZ130+0.20*AW130+0.15*(1-BH130)+0.15*(1-BO130)))</f>
        <v/>
      </c>
      <c r="BJ130">
        <f>MAX(0,1-(ABS(((( AX130+AY130)/2)-0.55)*1.6)))</f>
        <v/>
      </c>
      <c r="BK130">
        <f>MAX(0,MIN(1,0.28*AR130+0.18*AT130+0.16*BJ130+0.14*(1-AV130)+0.12*BQ130+0.12*BO130))</f>
        <v/>
      </c>
      <c r="BL130">
        <f>MAX(0,MIN(1,0.22*AQ130+0.18*AS130+0.18*BC130+0.18*BD130+0.08*BE130+0.10*BF130+0.06*BO130))</f>
        <v/>
      </c>
      <c r="BM130">
        <f>MAX(0,MIN(1,0.20*(1-AZ130)+0.16*(1-BA130)+0.14*(1-AW130)+0.14*AU130+0.18*BG130+0.10*BH130+0.08*BP130))</f>
        <v/>
      </c>
      <c r="BN130">
        <f>MAX(0,MIN(1,0.42*BJ130+0.33*BK130+0.15*AT130+0.10*BQ130))</f>
        <v/>
      </c>
      <c r="BO130">
        <f>MAX(0,MIN(1,0.30*BC130+0.24*BD130+0.18*AS130+0.14*(1-BI130)+0.14*AT130))</f>
        <v/>
      </c>
      <c r="BP130">
        <f>MAX(0,MIN(1,0.26*AS130+0.20*(1-BA130)+0.16*(1-AW130)+0.18*BG130+0.10*AU130+0.10+BB130))</f>
        <v/>
      </c>
      <c r="BQ130">
        <f>MAX(0,MIN(1,0.24*AT130+0.18*BF130+0.14*AR130+0.14*BO130+0.14*(1-AV130)+0.16*(1-AZ130)))</f>
        <v/>
      </c>
      <c r="BR130">
        <f>IF(BO130&gt;=0.80,"Open",IF(BO130&gt;=0.62,"Measured",IF(BO130&gt;=0.45,"Selective","Guarded")))</f>
        <v/>
      </c>
      <c r="BS130">
        <f>IF(Y130="COMM_Direct","Direct",IF(Y130="COMM_Emotional","Emotional",IF(Y130="COMM_Logical","Logical",IF(Y130="COMM_Indirect","Indirect","Avoidant"))))</f>
        <v/>
      </c>
      <c r="BT130">
        <f>IF(BG130&gt;=0.78,"Co-repair",IF(BG130&gt;=0.58,"Re-engage",IF(BG130&gt;=0.40,"Delay","Suppress")))</f>
        <v/>
      </c>
      <c r="BU130">
        <f>IF(BI130&gt;=0.70,"Retreat-risk",IF(BH130&lt;=0.40,"Rush-risk",IF(BH130&gt;=0.65,"Slow-build","Mixed")))</f>
        <v/>
      </c>
      <c r="BV130">
        <f>IF(BL130-BM130&gt;=0.15,"Stimulation-seeking",IF(BM130-BL130&gt;=0.15,"Calm-seeking","Mixed")))</f>
        <v/>
      </c>
      <c r="BW130">
        <f>IF(AND(BL130&gt;=0.72,BM130&lt;0.48),"High",IF(AND(BL130&gt;=0.60,BM130&lt;0.58),"Medium","Low"))</f>
        <v/>
      </c>
    </row>
    <row r="131" ht="108" customHeight="1" s="10">
      <c r="A131" s="2" t="inlineStr">
        <is>
          <t>Q26_E</t>
        </is>
      </c>
      <c r="B131" s="2" t="n">
        <v>26</v>
      </c>
      <c r="C131" s="2" t="n">
        <v>26</v>
      </c>
      <c r="D131" s="2" t="inlineStr">
        <is>
          <t>Core</t>
        </is>
      </c>
      <c r="E131" s="2" t="n">
        <v>1.1</v>
      </c>
      <c r="F131" s="2" t="inlineStr">
        <is>
          <t>ValuesLifestyle</t>
        </is>
      </c>
      <c r="G131" s="2" t="inlineStr">
        <is>
          <t>IntentAlignment</t>
        </is>
      </c>
      <c r="H131" s="2" t="n"/>
      <c r="I131" s="2" t="inlineStr">
        <is>
          <t>E</t>
        </is>
      </c>
      <c r="J131" s="2" t="inlineStr">
        <is>
          <t>E</t>
        </is>
      </c>
      <c r="K131" s="2" t="inlineStr">
        <is>
          <t>I give them the benefit of the doubt... for now. But next time I ask, I'm watching closely.</t>
        </is>
      </c>
      <c r="L131" s="2" t="n">
        <v>7</v>
      </c>
      <c r="M131" s="2" t="n">
        <v>8</v>
      </c>
      <c r="N131" s="2" t="n">
        <v>6</v>
      </c>
      <c r="O131" s="2" t="n">
        <v>6</v>
      </c>
      <c r="P131" s="2" t="n">
        <v>4</v>
      </c>
      <c r="Q131" s="2" t="inlineStr">
        <is>
          <t>Romantic Idealist</t>
        </is>
      </c>
      <c r="R131" s="2" t="n">
        <v>6</v>
      </c>
      <c r="S131" s="2" t="n"/>
      <c r="T131" s="2" t="n"/>
      <c r="U131" s="2" t="n">
        <v>0</v>
      </c>
      <c r="V131" s="2" t="inlineStr">
        <is>
          <t>masc:-0.4;fem:1.5</t>
        </is>
      </c>
      <c r="W131" s="2" t="n">
        <v>-0.4</v>
      </c>
      <c r="X131" s="2" t="n">
        <v>1.5</v>
      </c>
      <c r="Y131" s="2" t="inlineStr">
        <is>
          <t>COMM_Emotional</t>
        </is>
      </c>
      <c r="Z131" s="2" t="inlineStr">
        <is>
          <t>REG_Distractor</t>
        </is>
      </c>
      <c r="AA131" s="2" t="inlineStr">
        <is>
          <t>LANG_Gifts</t>
        </is>
      </c>
      <c r="AB131" s="2" t="n"/>
      <c r="AC131" s="2" t="n"/>
      <c r="AD131" s="2" t="n"/>
      <c r="AE131" s="2" t="n">
        <v>0</v>
      </c>
      <c r="AF131" s="2" t="inlineStr">
        <is>
          <t>conditional grace</t>
        </is>
      </c>
      <c r="AG131" s="2" t="inlineStr">
        <is>
          <t>hopeful monitor</t>
        </is>
      </c>
      <c r="AH131" s="2" t="n">
        <v>0</v>
      </c>
      <c r="AI131" s="2" t="inlineStr">
        <is>
          <t>no</t>
        </is>
      </c>
      <c r="AJ131" s="2" t="inlineStr">
        <is>
          <t>no</t>
        </is>
      </c>
      <c r="AK131" s="2" t="inlineStr">
        <is>
          <t>no</t>
        </is>
      </c>
      <c r="AL131" s="2" t="inlineStr">
        <is>
          <t>no</t>
        </is>
      </c>
      <c r="AM131" s="2" t="n"/>
      <c r="AN131" s="2" t="n"/>
      <c r="AO131" s="2" t="n"/>
      <c r="AP131" s="2" t="inlineStr">
        <is>
          <t>v3_2026-03-19</t>
        </is>
      </c>
      <c r="AQ131">
        <f>(L131-Schema_v5!$C2)/(Schema_v5!$C3-Schema_v5!$C2)</f>
        <v/>
      </c>
      <c r="AR131">
        <f>(M131-Schema_v5!$C4)/(Schema_v5!$C5-Schema_v5!$C4)</f>
        <v/>
      </c>
      <c r="AS131">
        <f>N131/Schema_v5!$C6</f>
        <v/>
      </c>
      <c r="AT131">
        <f>O131/Schema_v5!$C7</f>
        <v/>
      </c>
      <c r="AU131">
        <f>P131/Schema_v5!$C8</f>
        <v/>
      </c>
      <c r="AV131">
        <f>IF(Schema_v5!$C9=0,0,AH131/Schema_v5!$C9)</f>
        <v/>
      </c>
      <c r="AW131">
        <f>IF(Schema_v5!$C10=0,0,AE131/Schema_v5!$C10)</f>
        <v/>
      </c>
      <c r="AX131">
        <f>(W131-Schema_v5!$C11)/(Schema_v5!$C12-Schema_v5!$C11)</f>
        <v/>
      </c>
      <c r="AY131">
        <f>(X131-Schema_v5!$C13)/(Schema_v5!$C14-Schema_v5!$C13)</f>
        <v/>
      </c>
      <c r="AZ131">
        <f>MIN(1,MAX(0,U131/Schema_v7!$C$9))</f>
        <v/>
      </c>
      <c r="BA131">
        <f>IF(AJ131="yes",0.55,0)</f>
        <v/>
      </c>
      <c r="BB131">
        <f>IF(AI131="yes",0.10,0)</f>
        <v/>
      </c>
      <c r="BC131">
        <f>IF(Y131="COMM_Direct",0.92,IF(Y131="COMM_Emotional",0.70,IF(Y131="COMM_Logical",0.65,IF(Y131="COMM_Indirect",0.55,0.35))))</f>
        <v/>
      </c>
      <c r="BD131">
        <f>IF(Z131="REG_CoRegulator",0.92,IF(Z131="REG_SelfSoother",0.76,IF(Z131="REG_Distractor",0.48,0.35)))</f>
        <v/>
      </c>
      <c r="BE131">
        <f>IF(AA131="LANG_Time",0.76,IF(AA131="LANG_Service",0.70,IF(AA131="LANG_Words",0.72,IF(AA131="LANG_Touch",0.68,0.60))))</f>
        <v/>
      </c>
      <c r="BF131">
        <f>MAX(0,MIN(1,0.28*AS131+0.16*AT131+0.18*BC131+0.18*BD131+0.10*(1-AZ131)+0.10*(1-BA131)+BB131))</f>
        <v/>
      </c>
      <c r="BG131">
        <f>MAX(0,MIN(1,0.24*AU131+0.18*AS131+0.18*BC131+0.20*BD131+0.10*(1-AW131)+0.10*(1-BA131)))</f>
        <v/>
      </c>
      <c r="BH131">
        <f>MAX(0,MIN(1,0.28*AR131+0.18*AT131+0.16*AU131+0.18*(1-AV131)+0.10*(1-AW131)+0.10*BF131))</f>
        <v/>
      </c>
      <c r="BI131">
        <f>MAX(0,MIN(1,0.30*AV131+0.20*AZ131+0.20*AW131+0.15*(1-BH131)+0.15*(1-BO131)))</f>
        <v/>
      </c>
      <c r="BJ131">
        <f>MAX(0,1-(ABS(((( AX131+AY131)/2)-0.55)*1.6)))</f>
        <v/>
      </c>
      <c r="BK131">
        <f>MAX(0,MIN(1,0.28*AR131+0.18*AT131+0.16*BJ131+0.14*(1-AV131)+0.12*BQ131+0.12*BO131))</f>
        <v/>
      </c>
      <c r="BL131">
        <f>MAX(0,MIN(1,0.22*AQ131+0.18*AS131+0.18*BC131+0.18*BD131+0.08*BE131+0.10*BF131+0.06*BO131))</f>
        <v/>
      </c>
      <c r="BM131">
        <f>MAX(0,MIN(1,0.20*(1-AZ131)+0.16*(1-BA131)+0.14*(1-AW131)+0.14*AU131+0.18*BG131+0.10*BH131+0.08*BP131))</f>
        <v/>
      </c>
      <c r="BN131">
        <f>MAX(0,MIN(1,0.42*BJ131+0.33*BK131+0.15*AT131+0.10*BQ131))</f>
        <v/>
      </c>
      <c r="BO131">
        <f>MAX(0,MIN(1,0.30*BC131+0.24*BD131+0.18*AS131+0.14*(1-BI131)+0.14*AT131))</f>
        <v/>
      </c>
      <c r="BP131">
        <f>MAX(0,MIN(1,0.26*AS131+0.20*(1-BA131)+0.16*(1-AW131)+0.18*BG131+0.10*AU131+0.10+BB131))</f>
        <v/>
      </c>
      <c r="BQ131">
        <f>MAX(0,MIN(1,0.24*AT131+0.18*BF131+0.14*AR131+0.14*BO131+0.14*(1-AV131)+0.16*(1-AZ131)))</f>
        <v/>
      </c>
      <c r="BR131">
        <f>IF(BO131&gt;=0.80,"Open",IF(BO131&gt;=0.62,"Measured",IF(BO131&gt;=0.45,"Selective","Guarded")))</f>
        <v/>
      </c>
      <c r="BS131">
        <f>IF(Y131="COMM_Direct","Direct",IF(Y131="COMM_Emotional","Emotional",IF(Y131="COMM_Logical","Logical",IF(Y131="COMM_Indirect","Indirect","Avoidant"))))</f>
        <v/>
      </c>
      <c r="BT131">
        <f>IF(BG131&gt;=0.78,"Co-repair",IF(BG131&gt;=0.58,"Re-engage",IF(BG131&gt;=0.40,"Delay","Suppress")))</f>
        <v/>
      </c>
      <c r="BU131">
        <f>IF(BI131&gt;=0.70,"Retreat-risk",IF(BH131&lt;=0.40,"Rush-risk",IF(BH131&gt;=0.65,"Slow-build","Mixed")))</f>
        <v/>
      </c>
      <c r="BV131">
        <f>IF(BL131-BM131&gt;=0.15,"Stimulation-seeking",IF(BM131-BL131&gt;=0.15,"Calm-seeking","Mixed")))</f>
        <v/>
      </c>
      <c r="BW131">
        <f>IF(AND(BL131&gt;=0.72,BM131&lt;0.48),"High",IF(AND(BL131&gt;=0.60,BM131&lt;0.58),"Medium","Low"))</f>
        <v/>
      </c>
    </row>
    <row r="132" ht="135" customHeight="1" s="10">
      <c r="A132" s="2" t="inlineStr">
        <is>
          <t>Q27_A</t>
        </is>
      </c>
      <c r="B132" s="2" t="n">
        <v>27</v>
      </c>
      <c r="C132" s="2" t="n">
        <v>27</v>
      </c>
      <c r="D132" s="2" t="inlineStr">
        <is>
          <t>Core</t>
        </is>
      </c>
      <c r="E132" s="2" t="n">
        <v>1.15</v>
      </c>
      <c r="F132" s="2" t="inlineStr">
        <is>
          <t>ValuesLifestyle</t>
        </is>
      </c>
      <c r="G132" s="2" t="inlineStr">
        <is>
          <t>IntentAlignment</t>
        </is>
      </c>
      <c r="H132" s="2" t="inlineStr">
        <is>
          <t>You finally open up about something that's been weighing on you. Their response feels... underwhelming. What now?</t>
        </is>
      </c>
      <c r="I132" s="2" t="inlineStr">
        <is>
          <t>A</t>
        </is>
      </c>
      <c r="J132" s="2" t="inlineStr">
        <is>
          <t>A</t>
        </is>
      </c>
      <c r="K132" s="2" t="inlineStr">
        <is>
          <t>Noted. That version of me won't show up again. I clock reactions.</t>
        </is>
      </c>
      <c r="L132" s="2" t="n">
        <v>9</v>
      </c>
      <c r="M132" s="2" t="n">
        <v>9</v>
      </c>
      <c r="N132" s="2" t="n">
        <v>6</v>
      </c>
      <c r="O132" s="2" t="n">
        <v>6</v>
      </c>
      <c r="P132" s="2" t="n">
        <v>2</v>
      </c>
      <c r="Q132" s="2" t="inlineStr">
        <is>
          <t>Icebox</t>
        </is>
      </c>
      <c r="R132" s="2" t="n">
        <v>1</v>
      </c>
      <c r="S132" s="2" t="n"/>
      <c r="T132" s="2" t="n"/>
      <c r="U132" s="2" t="n">
        <v>0</v>
      </c>
      <c r="V132" s="2" t="inlineStr">
        <is>
          <t>masc:1.8;fem:-1.6</t>
        </is>
      </c>
      <c r="W132" s="2" t="n">
        <v>1.8</v>
      </c>
      <c r="X132" s="2" t="n">
        <v>-1.6</v>
      </c>
      <c r="Y132" s="2" t="inlineStr">
        <is>
          <t>COMM_Avoidant</t>
        </is>
      </c>
      <c r="Z132" s="2" t="inlineStr">
        <is>
          <t>REG_Suppressor</t>
        </is>
      </c>
      <c r="AA132" s="2" t="inlineStr">
        <is>
          <t>LANG_Time</t>
        </is>
      </c>
      <c r="AB132" s="2" t="n"/>
      <c r="AC132" s="2" t="n"/>
      <c r="AD132" s="2" t="n"/>
      <c r="AE132" s="2" t="n">
        <v>0</v>
      </c>
      <c r="AF132" s="2" t="inlineStr">
        <is>
          <t>one-and-done disclosure</t>
        </is>
      </c>
      <c r="AG132" s="2" t="inlineStr">
        <is>
          <t>trust gatekeeper</t>
        </is>
      </c>
      <c r="AH132" s="2" t="n">
        <v>0</v>
      </c>
      <c r="AI132" s="2" t="inlineStr">
        <is>
          <t>no</t>
        </is>
      </c>
      <c r="AJ132" s="2" t="inlineStr">
        <is>
          <t>no</t>
        </is>
      </c>
      <c r="AK132" s="2" t="inlineStr">
        <is>
          <t>no</t>
        </is>
      </c>
      <c r="AL132" s="2" t="inlineStr">
        <is>
          <t>no</t>
        </is>
      </c>
      <c r="AM132" s="2" t="n"/>
      <c r="AN132" s="2" t="n"/>
      <c r="AO132" s="2" t="n"/>
      <c r="AP132" s="2" t="inlineStr">
        <is>
          <t>v3_2026-03-19</t>
        </is>
      </c>
      <c r="AQ132">
        <f>(L132-Schema_v5!$C2)/(Schema_v5!$C3-Schema_v5!$C2)</f>
        <v/>
      </c>
      <c r="AR132">
        <f>(M132-Schema_v5!$C4)/(Schema_v5!$C5-Schema_v5!$C4)</f>
        <v/>
      </c>
      <c r="AS132">
        <f>N132/Schema_v5!$C6</f>
        <v/>
      </c>
      <c r="AT132">
        <f>O132/Schema_v5!$C7</f>
        <v/>
      </c>
      <c r="AU132">
        <f>P132/Schema_v5!$C8</f>
        <v/>
      </c>
      <c r="AV132">
        <f>IF(Schema_v5!$C9=0,0,AH132/Schema_v5!$C9)</f>
        <v/>
      </c>
      <c r="AW132">
        <f>IF(Schema_v5!$C10=0,0,AE132/Schema_v5!$C10)</f>
        <v/>
      </c>
      <c r="AX132">
        <f>(W132-Schema_v5!$C11)/(Schema_v5!$C12-Schema_v5!$C11)</f>
        <v/>
      </c>
      <c r="AY132">
        <f>(X132-Schema_v5!$C13)/(Schema_v5!$C14-Schema_v5!$C13)</f>
        <v/>
      </c>
      <c r="AZ132">
        <f>MIN(1,MAX(0,U132/Schema_v7!$C$9))</f>
        <v/>
      </c>
      <c r="BA132">
        <f>IF(AJ132="yes",0.55,0)</f>
        <v/>
      </c>
      <c r="BB132">
        <f>IF(AI132="yes",0.10,0)</f>
        <v/>
      </c>
      <c r="BC132">
        <f>IF(Y132="COMM_Direct",0.92,IF(Y132="COMM_Emotional",0.70,IF(Y132="COMM_Logical",0.65,IF(Y132="COMM_Indirect",0.55,0.35))))</f>
        <v/>
      </c>
      <c r="BD132">
        <f>IF(Z132="REG_CoRegulator",0.92,IF(Z132="REG_SelfSoother",0.76,IF(Z132="REG_Distractor",0.48,0.35)))</f>
        <v/>
      </c>
      <c r="BE132">
        <f>IF(AA132="LANG_Time",0.76,IF(AA132="LANG_Service",0.70,IF(AA132="LANG_Words",0.72,IF(AA132="LANG_Touch",0.68,0.60))))</f>
        <v/>
      </c>
      <c r="BF132">
        <f>MAX(0,MIN(1,0.28*AS132+0.16*AT132+0.18*BC132+0.18*BD132+0.10*(1-AZ132)+0.10*(1-BA132)+BB132))</f>
        <v/>
      </c>
      <c r="BG132">
        <f>MAX(0,MIN(1,0.24*AU132+0.18*AS132+0.18*BC132+0.20*BD132+0.10*(1-AW132)+0.10*(1-BA132)))</f>
        <v/>
      </c>
      <c r="BH132">
        <f>MAX(0,MIN(1,0.28*AR132+0.18*AT132+0.16*AU132+0.18*(1-AV132)+0.10*(1-AW132)+0.10*BF132))</f>
        <v/>
      </c>
      <c r="BI132">
        <f>MAX(0,MIN(1,0.30*AV132+0.20*AZ132+0.20*AW132+0.15*(1-BH132)+0.15*(1-BO132)))</f>
        <v/>
      </c>
      <c r="BJ132">
        <f>MAX(0,1-(ABS(((( AX132+AY132)/2)-0.55)*1.6)))</f>
        <v/>
      </c>
      <c r="BK132">
        <f>MAX(0,MIN(1,0.28*AR132+0.18*AT132+0.16*BJ132+0.14*(1-AV132)+0.12*BQ132+0.12*BO132))</f>
        <v/>
      </c>
      <c r="BL132">
        <f>MAX(0,MIN(1,0.22*AQ132+0.18*AS132+0.18*BC132+0.18*BD132+0.08*BE132+0.10*BF132+0.06*BO132))</f>
        <v/>
      </c>
      <c r="BM132">
        <f>MAX(0,MIN(1,0.20*(1-AZ132)+0.16*(1-BA132)+0.14*(1-AW132)+0.14*AU132+0.18*BG132+0.10*BH132+0.08*BP132))</f>
        <v/>
      </c>
      <c r="BN132">
        <f>MAX(0,MIN(1,0.42*BJ132+0.33*BK132+0.15*AT132+0.10*BQ132))</f>
        <v/>
      </c>
      <c r="BO132">
        <f>MAX(0,MIN(1,0.30*BC132+0.24*BD132+0.18*AS132+0.14*(1-BI132)+0.14*AT132))</f>
        <v/>
      </c>
      <c r="BP132">
        <f>MAX(0,MIN(1,0.26*AS132+0.20*(1-BA132)+0.16*(1-AW132)+0.18*BG132+0.10*AU132+0.10+BB132))</f>
        <v/>
      </c>
      <c r="BQ132">
        <f>MAX(0,MIN(1,0.24*AT132+0.18*BF132+0.14*AR132+0.14*BO132+0.14*(1-AV132)+0.16*(1-AZ132)))</f>
        <v/>
      </c>
      <c r="BR132">
        <f>IF(BO132&gt;=0.80,"Open",IF(BO132&gt;=0.62,"Measured",IF(BO132&gt;=0.45,"Selective","Guarded")))</f>
        <v/>
      </c>
      <c r="BS132">
        <f>IF(Y132="COMM_Direct","Direct",IF(Y132="COMM_Emotional","Emotional",IF(Y132="COMM_Logical","Logical",IF(Y132="COMM_Indirect","Indirect","Avoidant"))))</f>
        <v/>
      </c>
      <c r="BT132">
        <f>IF(BG132&gt;=0.78,"Co-repair",IF(BG132&gt;=0.58,"Re-engage",IF(BG132&gt;=0.40,"Delay","Suppress")))</f>
        <v/>
      </c>
      <c r="BU132">
        <f>IF(BI132&gt;=0.70,"Retreat-risk",IF(BH132&lt;=0.40,"Rush-risk",IF(BH132&gt;=0.65,"Slow-build","Mixed")))</f>
        <v/>
      </c>
      <c r="BV132">
        <f>IF(BL132-BM132&gt;=0.15,"Stimulation-seeking",IF(BM132-BL132&gt;=0.15,"Calm-seeking","Mixed")))</f>
        <v/>
      </c>
      <c r="BW132">
        <f>IF(AND(BL132&gt;=0.72,BM132&lt;0.48),"High",IF(AND(BL132&gt;=0.60,BM132&lt;0.58),"Medium","Low"))</f>
        <v/>
      </c>
    </row>
    <row r="133" ht="108" customHeight="1" s="10">
      <c r="A133" s="2" t="inlineStr">
        <is>
          <t>Q27_B</t>
        </is>
      </c>
      <c r="B133" s="2" t="n">
        <v>27</v>
      </c>
      <c r="C133" s="2" t="n">
        <v>27</v>
      </c>
      <c r="D133" s="2" t="inlineStr">
        <is>
          <t>Core</t>
        </is>
      </c>
      <c r="E133" s="2" t="n">
        <v>1.15</v>
      </c>
      <c r="F133" s="2" t="inlineStr">
        <is>
          <t>ValuesLifestyle</t>
        </is>
      </c>
      <c r="G133" s="2" t="inlineStr">
        <is>
          <t>IntentAlignment</t>
        </is>
      </c>
      <c r="H133" s="2" t="n"/>
      <c r="I133" s="2" t="inlineStr">
        <is>
          <t>B</t>
        </is>
      </c>
      <c r="J133" s="2" t="inlineStr">
        <is>
          <t>B</t>
        </is>
      </c>
      <c r="K133" s="2" t="inlineStr">
        <is>
          <t>I say I'm fine, but now I feel weird. I think about how I made it awkward, then wish I'd kept it in.</t>
        </is>
      </c>
      <c r="L133" s="2" t="n">
        <v>4</v>
      </c>
      <c r="M133" s="2" t="n">
        <v>5</v>
      </c>
      <c r="N133" s="2" t="n">
        <v>2</v>
      </c>
      <c r="O133" s="2" t="n">
        <v>2</v>
      </c>
      <c r="P133" s="2" t="n">
        <v>0</v>
      </c>
      <c r="Q133" s="2" t="inlineStr">
        <is>
          <t>Phantom Seeker</t>
        </is>
      </c>
      <c r="R133" s="2" t="n">
        <v>10</v>
      </c>
      <c r="S133" s="2" t="n"/>
      <c r="T133" s="2" t="n"/>
      <c r="U133" s="2" t="n">
        <v>0</v>
      </c>
      <c r="V133" s="2" t="inlineStr">
        <is>
          <t>masc:-0.2;fem:1.5</t>
        </is>
      </c>
      <c r="W133" s="2" t="n">
        <v>-0.2</v>
      </c>
      <c r="X133" s="2" t="n">
        <v>1.5</v>
      </c>
      <c r="Y133" s="2" t="inlineStr">
        <is>
          <t>COMM_Emotional</t>
        </is>
      </c>
      <c r="Z133" s="2" t="inlineStr">
        <is>
          <t>REG_SelfSoother</t>
        </is>
      </c>
      <c r="AA133" s="2" t="inlineStr">
        <is>
          <t>LANG_Touch</t>
        </is>
      </c>
      <c r="AB133" s="2" t="inlineStr">
        <is>
          <t>Vulnerability_Loop</t>
        </is>
      </c>
      <c r="AC133" s="2" t="inlineStr">
        <is>
          <t>Vulnerability_Loop</t>
        </is>
      </c>
      <c r="AD133" s="2" t="n"/>
      <c r="AE133" s="2" t="n">
        <v>5</v>
      </c>
      <c r="AF133" s="2" t="inlineStr">
        <is>
          <t>vulnerability regret spiral</t>
        </is>
      </c>
      <c r="AG133" s="2" t="inlineStr">
        <is>
          <t>internal retreater</t>
        </is>
      </c>
      <c r="AH133" s="2" t="n">
        <v>0</v>
      </c>
      <c r="AI133" s="2" t="inlineStr">
        <is>
          <t>yes</t>
        </is>
      </c>
      <c r="AJ133" s="2" t="inlineStr">
        <is>
          <t>no</t>
        </is>
      </c>
      <c r="AK133" s="2" t="inlineStr">
        <is>
          <t>no</t>
        </is>
      </c>
      <c r="AL133" s="2" t="inlineStr">
        <is>
          <t>no</t>
        </is>
      </c>
      <c r="AM133" s="2" t="n"/>
      <c r="AN133" s="2" t="n"/>
      <c r="AO133" s="2" t="n"/>
      <c r="AP133" s="2" t="inlineStr">
        <is>
          <t>v3_2026-03-19</t>
        </is>
      </c>
      <c r="AQ133">
        <f>(L133-Schema_v5!$C2)/(Schema_v5!$C3-Schema_v5!$C2)</f>
        <v/>
      </c>
      <c r="AR133">
        <f>(M133-Schema_v5!$C4)/(Schema_v5!$C5-Schema_v5!$C4)</f>
        <v/>
      </c>
      <c r="AS133">
        <f>N133/Schema_v5!$C6</f>
        <v/>
      </c>
      <c r="AT133">
        <f>O133/Schema_v5!$C7</f>
        <v/>
      </c>
      <c r="AU133">
        <f>P133/Schema_v5!$C8</f>
        <v/>
      </c>
      <c r="AV133">
        <f>IF(Schema_v5!$C9=0,0,AH133/Schema_v5!$C9)</f>
        <v/>
      </c>
      <c r="AW133">
        <f>IF(Schema_v5!$C10=0,0,AE133/Schema_v5!$C10)</f>
        <v/>
      </c>
      <c r="AX133">
        <f>(W133-Schema_v5!$C11)/(Schema_v5!$C12-Schema_v5!$C11)</f>
        <v/>
      </c>
      <c r="AY133">
        <f>(X133-Schema_v5!$C13)/(Schema_v5!$C14-Schema_v5!$C13)</f>
        <v/>
      </c>
      <c r="AZ133">
        <f>MIN(1,MAX(0,U133/Schema_v7!$C$9))</f>
        <v/>
      </c>
      <c r="BA133">
        <f>IF(AJ133="yes",0.55,0)</f>
        <v/>
      </c>
      <c r="BB133">
        <f>IF(AI133="yes",0.10,0)</f>
        <v/>
      </c>
      <c r="BC133">
        <f>IF(Y133="COMM_Direct",0.92,IF(Y133="COMM_Emotional",0.70,IF(Y133="COMM_Logical",0.65,IF(Y133="COMM_Indirect",0.55,0.35))))</f>
        <v/>
      </c>
      <c r="BD133">
        <f>IF(Z133="REG_CoRegulator",0.92,IF(Z133="REG_SelfSoother",0.76,IF(Z133="REG_Distractor",0.48,0.35)))</f>
        <v/>
      </c>
      <c r="BE133">
        <f>IF(AA133="LANG_Time",0.76,IF(AA133="LANG_Service",0.70,IF(AA133="LANG_Words",0.72,IF(AA133="LANG_Touch",0.68,0.60))))</f>
        <v/>
      </c>
      <c r="BF133">
        <f>MAX(0,MIN(1,0.28*AS133+0.16*AT133+0.18*BC133+0.18*BD133+0.10*(1-AZ133)+0.10*(1-BA133)+BB133))</f>
        <v/>
      </c>
      <c r="BG133">
        <f>MAX(0,MIN(1,0.24*AU133+0.18*AS133+0.18*BC133+0.20*BD133+0.10*(1-AW133)+0.10*(1-BA133)))</f>
        <v/>
      </c>
      <c r="BH133">
        <f>MAX(0,MIN(1,0.28*AR133+0.18*AT133+0.16*AU133+0.18*(1-AV133)+0.10*(1-AW133)+0.10*BF133))</f>
        <v/>
      </c>
      <c r="BI133">
        <f>MAX(0,MIN(1,0.30*AV133+0.20*AZ133+0.20*AW133+0.15*(1-BH133)+0.15*(1-BO133)))</f>
        <v/>
      </c>
      <c r="BJ133">
        <f>MAX(0,1-(ABS(((( AX133+AY133)/2)-0.55)*1.6)))</f>
        <v/>
      </c>
      <c r="BK133">
        <f>MAX(0,MIN(1,0.28*AR133+0.18*AT133+0.16*BJ133+0.14*(1-AV133)+0.12*BQ133+0.12*BO133))</f>
        <v/>
      </c>
      <c r="BL133">
        <f>MAX(0,MIN(1,0.22*AQ133+0.18*AS133+0.18*BC133+0.18*BD133+0.08*BE133+0.10*BF133+0.06*BO133))</f>
        <v/>
      </c>
      <c r="BM133">
        <f>MAX(0,MIN(1,0.20*(1-AZ133)+0.16*(1-BA133)+0.14*(1-AW133)+0.14*AU133+0.18*BG133+0.10*BH133+0.08*BP133))</f>
        <v/>
      </c>
      <c r="BN133">
        <f>MAX(0,MIN(1,0.42*BJ133+0.33*BK133+0.15*AT133+0.10*BQ133))</f>
        <v/>
      </c>
      <c r="BO133">
        <f>MAX(0,MIN(1,0.30*BC133+0.24*BD133+0.18*AS133+0.14*(1-BI133)+0.14*AT133))</f>
        <v/>
      </c>
      <c r="BP133">
        <f>MAX(0,MIN(1,0.26*AS133+0.20*(1-BA133)+0.16*(1-AW133)+0.18*BG133+0.10*AU133+0.10+BB133))</f>
        <v/>
      </c>
      <c r="BQ133">
        <f>MAX(0,MIN(1,0.24*AT133+0.18*BF133+0.14*AR133+0.14*BO133+0.14*(1-AV133)+0.16*(1-AZ133)))</f>
        <v/>
      </c>
      <c r="BR133">
        <f>IF(BO133&gt;=0.80,"Open",IF(BO133&gt;=0.62,"Measured",IF(BO133&gt;=0.45,"Selective","Guarded")))</f>
        <v/>
      </c>
      <c r="BS133">
        <f>IF(Y133="COMM_Direct","Direct",IF(Y133="COMM_Emotional","Emotional",IF(Y133="COMM_Logical","Logical",IF(Y133="COMM_Indirect","Indirect","Avoidant"))))</f>
        <v/>
      </c>
      <c r="BT133">
        <f>IF(BG133&gt;=0.78,"Co-repair",IF(BG133&gt;=0.58,"Re-engage",IF(BG133&gt;=0.40,"Delay","Suppress")))</f>
        <v/>
      </c>
      <c r="BU133">
        <f>IF(BI133&gt;=0.70,"Retreat-risk",IF(BH133&lt;=0.40,"Rush-risk",IF(BH133&gt;=0.65,"Slow-build","Mixed")))</f>
        <v/>
      </c>
      <c r="BV133">
        <f>IF(BL133-BM133&gt;=0.15,"Stimulation-seeking",IF(BM133-BL133&gt;=0.15,"Calm-seeking","Mixed")))</f>
        <v/>
      </c>
      <c r="BW133">
        <f>IF(AND(BL133&gt;=0.72,BM133&lt;0.48),"High",IF(AND(BL133&gt;=0.60,BM133&lt;0.58),"Medium","Low"))</f>
        <v/>
      </c>
    </row>
    <row r="134" ht="108" customHeight="1" s="10">
      <c r="A134" s="2" t="inlineStr">
        <is>
          <t>Q27_C</t>
        </is>
      </c>
      <c r="B134" s="2" t="n">
        <v>27</v>
      </c>
      <c r="C134" s="2" t="n">
        <v>27</v>
      </c>
      <c r="D134" s="2" t="inlineStr">
        <is>
          <t>Core</t>
        </is>
      </c>
      <c r="E134" s="2" t="n">
        <v>1.15</v>
      </c>
      <c r="F134" s="2" t="inlineStr">
        <is>
          <t>ValuesLifestyle</t>
        </is>
      </c>
      <c r="G134" s="2" t="inlineStr">
        <is>
          <t>IntentAlignment</t>
        </is>
      </c>
      <c r="H134" s="2" t="n"/>
      <c r="I134" s="2" t="inlineStr">
        <is>
          <t>C</t>
        </is>
      </c>
      <c r="J134" s="2" t="inlineStr">
        <is>
          <t>C</t>
        </is>
      </c>
      <c r="K134" s="2" t="inlineStr">
        <is>
          <t>I replay their tone. Then I analyze whether they didn't care, or just didn't know how to respond.</t>
        </is>
      </c>
      <c r="L134" s="2" t="n">
        <v>7</v>
      </c>
      <c r="M134" s="2" t="n">
        <v>8</v>
      </c>
      <c r="N134" s="2" t="n">
        <v>6</v>
      </c>
      <c r="O134" s="2" t="n">
        <v>8</v>
      </c>
      <c r="P134" s="2" t="n">
        <v>6</v>
      </c>
      <c r="Q134" s="2" t="inlineStr">
        <is>
          <t>Analyzer</t>
        </is>
      </c>
      <c r="R134" s="2" t="n">
        <v>2</v>
      </c>
      <c r="S134" s="2" t="n"/>
      <c r="T134" s="2" t="n"/>
      <c r="U134" s="2" t="n">
        <v>0</v>
      </c>
      <c r="V134" s="2" t="inlineStr">
        <is>
          <t>masc:1.4;fem:0.1</t>
        </is>
      </c>
      <c r="W134" s="2" t="n">
        <v>1.4</v>
      </c>
      <c r="X134" s="2" t="n">
        <v>0.1</v>
      </c>
      <c r="Y134" s="2" t="inlineStr">
        <is>
          <t>COMM_Logical</t>
        </is>
      </c>
      <c r="Z134" s="2" t="inlineStr">
        <is>
          <t>REG_SelfSoother</t>
        </is>
      </c>
      <c r="AA134" s="2" t="inlineStr">
        <is>
          <t>LANG_Service</t>
        </is>
      </c>
      <c r="AB134" s="2" t="n"/>
      <c r="AC134" s="2" t="n"/>
      <c r="AD134" s="2" t="n"/>
      <c r="AE134" s="2" t="n">
        <v>0</v>
      </c>
      <c r="AF134" s="2" t="inlineStr">
        <is>
          <t>emotional forensics</t>
        </is>
      </c>
      <c r="AG134" s="2" t="inlineStr">
        <is>
          <t>intent decoder</t>
        </is>
      </c>
      <c r="AH134" s="2" t="n">
        <v>0</v>
      </c>
      <c r="AI134" s="2" t="inlineStr">
        <is>
          <t>no</t>
        </is>
      </c>
      <c r="AJ134" s="2" t="inlineStr">
        <is>
          <t>no</t>
        </is>
      </c>
      <c r="AK134" s="2" t="inlineStr">
        <is>
          <t>no</t>
        </is>
      </c>
      <c r="AL134" s="2" t="inlineStr">
        <is>
          <t>no</t>
        </is>
      </c>
      <c r="AM134" s="2" t="n"/>
      <c r="AN134" s="2" t="n"/>
      <c r="AO134" s="2" t="n"/>
      <c r="AP134" s="2" t="inlineStr">
        <is>
          <t>v3_2026-03-19</t>
        </is>
      </c>
      <c r="AQ134">
        <f>(L134-Schema_v5!$C2)/(Schema_v5!$C3-Schema_v5!$C2)</f>
        <v/>
      </c>
      <c r="AR134">
        <f>(M134-Schema_v5!$C4)/(Schema_v5!$C5-Schema_v5!$C4)</f>
        <v/>
      </c>
      <c r="AS134">
        <f>N134/Schema_v5!$C6</f>
        <v/>
      </c>
      <c r="AT134">
        <f>O134/Schema_v5!$C7</f>
        <v/>
      </c>
      <c r="AU134">
        <f>P134/Schema_v5!$C8</f>
        <v/>
      </c>
      <c r="AV134">
        <f>IF(Schema_v5!$C9=0,0,AH134/Schema_v5!$C9)</f>
        <v/>
      </c>
      <c r="AW134">
        <f>IF(Schema_v5!$C10=0,0,AE134/Schema_v5!$C10)</f>
        <v/>
      </c>
      <c r="AX134">
        <f>(W134-Schema_v5!$C11)/(Schema_v5!$C12-Schema_v5!$C11)</f>
        <v/>
      </c>
      <c r="AY134">
        <f>(X134-Schema_v5!$C13)/(Schema_v5!$C14-Schema_v5!$C13)</f>
        <v/>
      </c>
      <c r="AZ134">
        <f>MIN(1,MAX(0,U134/Schema_v7!$C$9))</f>
        <v/>
      </c>
      <c r="BA134">
        <f>IF(AJ134="yes",0.55,0)</f>
        <v/>
      </c>
      <c r="BB134">
        <f>IF(AI134="yes",0.10,0)</f>
        <v/>
      </c>
      <c r="BC134">
        <f>IF(Y134="COMM_Direct",0.92,IF(Y134="COMM_Emotional",0.70,IF(Y134="COMM_Logical",0.65,IF(Y134="COMM_Indirect",0.55,0.35))))</f>
        <v/>
      </c>
      <c r="BD134">
        <f>IF(Z134="REG_CoRegulator",0.92,IF(Z134="REG_SelfSoother",0.76,IF(Z134="REG_Distractor",0.48,0.35)))</f>
        <v/>
      </c>
      <c r="BE134">
        <f>IF(AA134="LANG_Time",0.76,IF(AA134="LANG_Service",0.70,IF(AA134="LANG_Words",0.72,IF(AA134="LANG_Touch",0.68,0.60))))</f>
        <v/>
      </c>
      <c r="BF134">
        <f>MAX(0,MIN(1,0.28*AS134+0.16*AT134+0.18*BC134+0.18*BD134+0.10*(1-AZ134)+0.10*(1-BA134)+BB134))</f>
        <v/>
      </c>
      <c r="BG134">
        <f>MAX(0,MIN(1,0.24*AU134+0.18*AS134+0.18*BC134+0.20*BD134+0.10*(1-AW134)+0.10*(1-BA134)))</f>
        <v/>
      </c>
      <c r="BH134">
        <f>MAX(0,MIN(1,0.28*AR134+0.18*AT134+0.16*AU134+0.18*(1-AV134)+0.10*(1-AW134)+0.10*BF134))</f>
        <v/>
      </c>
      <c r="BI134">
        <f>MAX(0,MIN(1,0.30*AV134+0.20*AZ134+0.20*AW134+0.15*(1-BH134)+0.15*(1-BO134)))</f>
        <v/>
      </c>
      <c r="BJ134">
        <f>MAX(0,1-(ABS(((( AX134+AY134)/2)-0.55)*1.6)))</f>
        <v/>
      </c>
      <c r="BK134">
        <f>MAX(0,MIN(1,0.28*AR134+0.18*AT134+0.16*BJ134+0.14*(1-AV134)+0.12*BQ134+0.12*BO134))</f>
        <v/>
      </c>
      <c r="BL134">
        <f>MAX(0,MIN(1,0.22*AQ134+0.18*AS134+0.18*BC134+0.18*BD134+0.08*BE134+0.10*BF134+0.06*BO134))</f>
        <v/>
      </c>
      <c r="BM134">
        <f>MAX(0,MIN(1,0.20*(1-AZ134)+0.16*(1-BA134)+0.14*(1-AW134)+0.14*AU134+0.18*BG134+0.10*BH134+0.08*BP134))</f>
        <v/>
      </c>
      <c r="BN134">
        <f>MAX(0,MIN(1,0.42*BJ134+0.33*BK134+0.15*AT134+0.10*BQ134))</f>
        <v/>
      </c>
      <c r="BO134">
        <f>MAX(0,MIN(1,0.30*BC134+0.24*BD134+0.18*AS134+0.14*(1-BI134)+0.14*AT134))</f>
        <v/>
      </c>
      <c r="BP134">
        <f>MAX(0,MIN(1,0.26*AS134+0.20*(1-BA134)+0.16*(1-AW134)+0.18*BG134+0.10*AU134+0.10+BB134))</f>
        <v/>
      </c>
      <c r="BQ134">
        <f>MAX(0,MIN(1,0.24*AT134+0.18*BF134+0.14*AR134+0.14*BO134+0.14*(1-AV134)+0.16*(1-AZ134)))</f>
        <v/>
      </c>
      <c r="BR134">
        <f>IF(BO134&gt;=0.80,"Open",IF(BO134&gt;=0.62,"Measured",IF(BO134&gt;=0.45,"Selective","Guarded")))</f>
        <v/>
      </c>
      <c r="BS134">
        <f>IF(Y134="COMM_Direct","Direct",IF(Y134="COMM_Emotional","Emotional",IF(Y134="COMM_Logical","Logical",IF(Y134="COMM_Indirect","Indirect","Avoidant"))))</f>
        <v/>
      </c>
      <c r="BT134">
        <f>IF(BG134&gt;=0.78,"Co-repair",IF(BG134&gt;=0.58,"Re-engage",IF(BG134&gt;=0.40,"Delay","Suppress")))</f>
        <v/>
      </c>
      <c r="BU134">
        <f>IF(BI134&gt;=0.70,"Retreat-risk",IF(BH134&lt;=0.40,"Rush-risk",IF(BH134&gt;=0.65,"Slow-build","Mixed")))</f>
        <v/>
      </c>
      <c r="BV134">
        <f>IF(BL134-BM134&gt;=0.15,"Stimulation-seeking",IF(BM134-BL134&gt;=0.15,"Calm-seeking","Mixed")))</f>
        <v/>
      </c>
      <c r="BW134">
        <f>IF(AND(BL134&gt;=0.72,BM134&lt;0.48),"High",IF(AND(BL134&gt;=0.60,BM134&lt;0.58),"Medium","Low"))</f>
        <v/>
      </c>
    </row>
    <row r="135" ht="135" customHeight="1" s="10">
      <c r="A135" s="2" t="inlineStr">
        <is>
          <t>Q27_D</t>
        </is>
      </c>
      <c r="B135" s="2" t="n">
        <v>27</v>
      </c>
      <c r="C135" s="2" t="n">
        <v>27</v>
      </c>
      <c r="D135" s="2" t="inlineStr">
        <is>
          <t>Core</t>
        </is>
      </c>
      <c r="E135" s="2" t="n">
        <v>1.15</v>
      </c>
      <c r="F135" s="2" t="inlineStr">
        <is>
          <t>ValuesLifestyle</t>
        </is>
      </c>
      <c r="G135" s="2" t="inlineStr">
        <is>
          <t>IntentAlignment</t>
        </is>
      </c>
      <c r="H135" s="2" t="n"/>
      <c r="I135" s="2" t="inlineStr">
        <is>
          <t>D</t>
        </is>
      </c>
      <c r="J135" s="2" t="inlineStr">
        <is>
          <t>D</t>
        </is>
      </c>
      <c r="K135" s="2" t="inlineStr">
        <is>
          <t>I try to clean it up, like "Haha never mind," so they're not uncomfortable. It's easier if I'm the one holding the weight.</t>
        </is>
      </c>
      <c r="L135" s="2" t="n">
        <v>5</v>
      </c>
      <c r="M135" s="2" t="n">
        <v>6</v>
      </c>
      <c r="N135" s="2" t="n">
        <v>4</v>
      </c>
      <c r="O135" s="2" t="n">
        <v>4</v>
      </c>
      <c r="P135" s="2" t="n">
        <v>4</v>
      </c>
      <c r="Q135" s="2" t="inlineStr">
        <is>
          <t>Fixer</t>
        </is>
      </c>
      <c r="R135" s="2" t="n">
        <v>5</v>
      </c>
      <c r="S135" s="2" t="n"/>
      <c r="T135" s="2" t="n"/>
      <c r="U135" s="2" t="n">
        <v>0</v>
      </c>
      <c r="V135" s="2" t="inlineStr">
        <is>
          <t>masc:-0.4;fem:2.0</t>
        </is>
      </c>
      <c r="W135" s="2" t="n">
        <v>-0.4</v>
      </c>
      <c r="X135" s="2" t="n">
        <v>2</v>
      </c>
      <c r="Y135" s="2" t="inlineStr">
        <is>
          <t>COMM_Emotional</t>
        </is>
      </c>
      <c r="Z135" s="2" t="inlineStr">
        <is>
          <t>REG_CoRegulator</t>
        </is>
      </c>
      <c r="AA135" s="2" t="inlineStr">
        <is>
          <t>LANG_Service</t>
        </is>
      </c>
      <c r="AB135" s="2" t="inlineStr">
        <is>
          <t>Vulnerability_Loop</t>
        </is>
      </c>
      <c r="AC135" s="2" t="inlineStr">
        <is>
          <t>Vulnerability_Loop</t>
        </is>
      </c>
      <c r="AD135" s="2" t="n"/>
      <c r="AE135" s="2" t="n">
        <v>5</v>
      </c>
      <c r="AF135" s="2" t="inlineStr">
        <is>
          <t>self-erasure for harmony</t>
        </is>
      </c>
      <c r="AG135" s="2" t="inlineStr">
        <is>
          <t>over-accommodator</t>
        </is>
      </c>
      <c r="AH135" s="2" t="n">
        <v>0</v>
      </c>
      <c r="AI135" s="2" t="inlineStr">
        <is>
          <t>yes</t>
        </is>
      </c>
      <c r="AJ135" s="2" t="inlineStr">
        <is>
          <t>no</t>
        </is>
      </c>
      <c r="AK135" s="2" t="inlineStr">
        <is>
          <t>no</t>
        </is>
      </c>
      <c r="AL135" s="2" t="inlineStr">
        <is>
          <t>no</t>
        </is>
      </c>
      <c r="AM135" s="2" t="n"/>
      <c r="AN135" s="2" t="n"/>
      <c r="AO135" s="2" t="n"/>
      <c r="AP135" s="2" t="inlineStr">
        <is>
          <t>v3_2026-03-19</t>
        </is>
      </c>
      <c r="AQ135">
        <f>(L135-Schema_v5!$C2)/(Schema_v5!$C3-Schema_v5!$C2)</f>
        <v/>
      </c>
      <c r="AR135">
        <f>(M135-Schema_v5!$C4)/(Schema_v5!$C5-Schema_v5!$C4)</f>
        <v/>
      </c>
      <c r="AS135">
        <f>N135/Schema_v5!$C6</f>
        <v/>
      </c>
      <c r="AT135">
        <f>O135/Schema_v5!$C7</f>
        <v/>
      </c>
      <c r="AU135">
        <f>P135/Schema_v5!$C8</f>
        <v/>
      </c>
      <c r="AV135">
        <f>IF(Schema_v5!$C9=0,0,AH135/Schema_v5!$C9)</f>
        <v/>
      </c>
      <c r="AW135">
        <f>IF(Schema_v5!$C10=0,0,AE135/Schema_v5!$C10)</f>
        <v/>
      </c>
      <c r="AX135">
        <f>(W135-Schema_v5!$C11)/(Schema_v5!$C12-Schema_v5!$C11)</f>
        <v/>
      </c>
      <c r="AY135">
        <f>(X135-Schema_v5!$C13)/(Schema_v5!$C14-Schema_v5!$C13)</f>
        <v/>
      </c>
      <c r="AZ135">
        <f>MIN(1,MAX(0,U135/Schema_v7!$C$9))</f>
        <v/>
      </c>
      <c r="BA135">
        <f>IF(AJ135="yes",0.55,0)</f>
        <v/>
      </c>
      <c r="BB135">
        <f>IF(AI135="yes",0.10,0)</f>
        <v/>
      </c>
      <c r="BC135">
        <f>IF(Y135="COMM_Direct",0.92,IF(Y135="COMM_Emotional",0.70,IF(Y135="COMM_Logical",0.65,IF(Y135="COMM_Indirect",0.55,0.35))))</f>
        <v/>
      </c>
      <c r="BD135">
        <f>IF(Z135="REG_CoRegulator",0.92,IF(Z135="REG_SelfSoother",0.76,IF(Z135="REG_Distractor",0.48,0.35)))</f>
        <v/>
      </c>
      <c r="BE135">
        <f>IF(AA135="LANG_Time",0.76,IF(AA135="LANG_Service",0.70,IF(AA135="LANG_Words",0.72,IF(AA135="LANG_Touch",0.68,0.60))))</f>
        <v/>
      </c>
      <c r="BF135">
        <f>MAX(0,MIN(1,0.28*AS135+0.16*AT135+0.18*BC135+0.18*BD135+0.10*(1-AZ135)+0.10*(1-BA135)+BB135))</f>
        <v/>
      </c>
      <c r="BG135">
        <f>MAX(0,MIN(1,0.24*AU135+0.18*AS135+0.18*BC135+0.20*BD135+0.10*(1-AW135)+0.10*(1-BA135)))</f>
        <v/>
      </c>
      <c r="BH135">
        <f>MAX(0,MIN(1,0.28*AR135+0.18*AT135+0.16*AU135+0.18*(1-AV135)+0.10*(1-AW135)+0.10*BF135))</f>
        <v/>
      </c>
      <c r="BI135">
        <f>MAX(0,MIN(1,0.30*AV135+0.20*AZ135+0.20*AW135+0.15*(1-BH135)+0.15*(1-BO135)))</f>
        <v/>
      </c>
      <c r="BJ135">
        <f>MAX(0,1-(ABS(((( AX135+AY135)/2)-0.55)*1.6)))</f>
        <v/>
      </c>
      <c r="BK135">
        <f>MAX(0,MIN(1,0.28*AR135+0.18*AT135+0.16*BJ135+0.14*(1-AV135)+0.12*BQ135+0.12*BO135))</f>
        <v/>
      </c>
      <c r="BL135">
        <f>MAX(0,MIN(1,0.22*AQ135+0.18*AS135+0.18*BC135+0.18*BD135+0.08*BE135+0.10*BF135+0.06*BO135))</f>
        <v/>
      </c>
      <c r="BM135">
        <f>MAX(0,MIN(1,0.20*(1-AZ135)+0.16*(1-BA135)+0.14*(1-AW135)+0.14*AU135+0.18*BG135+0.10*BH135+0.08*BP135))</f>
        <v/>
      </c>
      <c r="BN135">
        <f>MAX(0,MIN(1,0.42*BJ135+0.33*BK135+0.15*AT135+0.10*BQ135))</f>
        <v/>
      </c>
      <c r="BO135">
        <f>MAX(0,MIN(1,0.30*BC135+0.24*BD135+0.18*AS135+0.14*(1-BI135)+0.14*AT135))</f>
        <v/>
      </c>
      <c r="BP135">
        <f>MAX(0,MIN(1,0.26*AS135+0.20*(1-BA135)+0.16*(1-AW135)+0.18*BG135+0.10*AU135+0.10+BB135))</f>
        <v/>
      </c>
      <c r="BQ135">
        <f>MAX(0,MIN(1,0.24*AT135+0.18*BF135+0.14*AR135+0.14*BO135+0.14*(1-AV135)+0.16*(1-AZ135)))</f>
        <v/>
      </c>
      <c r="BR135">
        <f>IF(BO135&gt;=0.80,"Open",IF(BO135&gt;=0.62,"Measured",IF(BO135&gt;=0.45,"Selective","Guarded")))</f>
        <v/>
      </c>
      <c r="BS135">
        <f>IF(Y135="COMM_Direct","Direct",IF(Y135="COMM_Emotional","Emotional",IF(Y135="COMM_Logical","Logical",IF(Y135="COMM_Indirect","Indirect","Avoidant"))))</f>
        <v/>
      </c>
      <c r="BT135">
        <f>IF(BG135&gt;=0.78,"Co-repair",IF(BG135&gt;=0.58,"Re-engage",IF(BG135&gt;=0.40,"Delay","Suppress")))</f>
        <v/>
      </c>
      <c r="BU135">
        <f>IF(BI135&gt;=0.70,"Retreat-risk",IF(BH135&lt;=0.40,"Rush-risk",IF(BH135&gt;=0.65,"Slow-build","Mixed")))</f>
        <v/>
      </c>
      <c r="BV135">
        <f>IF(BL135-BM135&gt;=0.15,"Stimulation-seeking",IF(BM135-BL135&gt;=0.15,"Calm-seeking","Mixed")))</f>
        <v/>
      </c>
      <c r="BW135">
        <f>IF(AND(BL135&gt;=0.72,BM135&lt;0.48),"High",IF(AND(BL135&gt;=0.60,BM135&lt;0.58),"Medium","Low"))</f>
        <v/>
      </c>
    </row>
    <row r="136" ht="121.5" customHeight="1" s="10">
      <c r="A136" s="2" t="inlineStr">
        <is>
          <t>Q27_E</t>
        </is>
      </c>
      <c r="B136" s="2" t="n">
        <v>27</v>
      </c>
      <c r="C136" s="2" t="n">
        <v>27</v>
      </c>
      <c r="D136" s="2" t="inlineStr">
        <is>
          <t>Core</t>
        </is>
      </c>
      <c r="E136" s="2" t="n">
        <v>1.15</v>
      </c>
      <c r="F136" s="2" t="inlineStr">
        <is>
          <t>ValuesLifestyle</t>
        </is>
      </c>
      <c r="G136" s="2" t="inlineStr">
        <is>
          <t>IntentAlignment</t>
        </is>
      </c>
      <c r="H136" s="2" t="n"/>
      <c r="I136" s="2" t="inlineStr">
        <is>
          <t>E</t>
        </is>
      </c>
      <c r="J136" s="2" t="inlineStr">
        <is>
          <t>E</t>
        </is>
      </c>
      <c r="K136" s="2" t="inlineStr">
        <is>
          <t>I let it go in the moment, but the next time they open up, I mirror that same half-hearted energy back.</t>
        </is>
      </c>
      <c r="L136" s="2" t="n">
        <v>8</v>
      </c>
      <c r="M136" s="2" t="n">
        <v>8</v>
      </c>
      <c r="N136" s="2" t="n">
        <v>4</v>
      </c>
      <c r="O136" s="2" t="n">
        <v>4</v>
      </c>
      <c r="P136" s="2" t="n">
        <v>2</v>
      </c>
      <c r="Q136" s="2" t="inlineStr">
        <is>
          <t>Quiet Exit</t>
        </is>
      </c>
      <c r="R136" s="2" t="n">
        <v>4</v>
      </c>
      <c r="S136" s="2" t="n"/>
      <c r="T136" s="2" t="n"/>
      <c r="U136" s="2" t="n">
        <v>0</v>
      </c>
      <c r="V136" s="2" t="inlineStr">
        <is>
          <t>masc:1.4;fem:-1.3</t>
        </is>
      </c>
      <c r="W136" s="2" t="n">
        <v>1.4</v>
      </c>
      <c r="X136" s="2" t="n">
        <v>-1.3</v>
      </c>
      <c r="Y136" s="2" t="inlineStr">
        <is>
          <t>COMM_Avoidant</t>
        </is>
      </c>
      <c r="Z136" s="2" t="inlineStr">
        <is>
          <t>REG_Suppressor</t>
        </is>
      </c>
      <c r="AA136" s="2" t="inlineStr">
        <is>
          <t>LANG_Time</t>
        </is>
      </c>
      <c r="AB136" s="2" t="n"/>
      <c r="AC136" s="2" t="n"/>
      <c r="AD136" s="2" t="n"/>
      <c r="AE136" s="2" t="n">
        <v>0</v>
      </c>
      <c r="AF136" s="2" t="inlineStr">
        <is>
          <t>balanced withdrawal test</t>
        </is>
      </c>
      <c r="AG136" s="2" t="inlineStr">
        <is>
          <t>mirrored responder</t>
        </is>
      </c>
      <c r="AH136" s="2" t="n">
        <v>0.8</v>
      </c>
      <c r="AI136" s="2" t="inlineStr">
        <is>
          <t>no</t>
        </is>
      </c>
      <c r="AJ136" s="2" t="inlineStr">
        <is>
          <t>no</t>
        </is>
      </c>
      <c r="AK136" s="2" t="inlineStr">
        <is>
          <t>no</t>
        </is>
      </c>
      <c r="AL136" s="2" t="inlineStr">
        <is>
          <t>no</t>
        </is>
      </c>
      <c r="AM136" s="2" t="n"/>
      <c r="AN136" s="2" t="n"/>
      <c r="AO136" s="2" t="n"/>
      <c r="AP136" s="2" t="inlineStr">
        <is>
          <t>v3_2026-03-19</t>
        </is>
      </c>
      <c r="AQ136">
        <f>(L136-Schema_v5!$C2)/(Schema_v5!$C3-Schema_v5!$C2)</f>
        <v/>
      </c>
      <c r="AR136">
        <f>(M136-Schema_v5!$C4)/(Schema_v5!$C5-Schema_v5!$C4)</f>
        <v/>
      </c>
      <c r="AS136">
        <f>N136/Schema_v5!$C6</f>
        <v/>
      </c>
      <c r="AT136">
        <f>O136/Schema_v5!$C7</f>
        <v/>
      </c>
      <c r="AU136">
        <f>P136/Schema_v5!$C8</f>
        <v/>
      </c>
      <c r="AV136">
        <f>IF(Schema_v5!$C9=0,0,AH136/Schema_v5!$C9)</f>
        <v/>
      </c>
      <c r="AW136">
        <f>IF(Schema_v5!$C10=0,0,AE136/Schema_v5!$C10)</f>
        <v/>
      </c>
      <c r="AX136">
        <f>(W136-Schema_v5!$C11)/(Schema_v5!$C12-Schema_v5!$C11)</f>
        <v/>
      </c>
      <c r="AY136">
        <f>(X136-Schema_v5!$C13)/(Schema_v5!$C14-Schema_v5!$C13)</f>
        <v/>
      </c>
      <c r="AZ136">
        <f>MIN(1,MAX(0,U136/Schema_v7!$C$9))</f>
        <v/>
      </c>
      <c r="BA136">
        <f>IF(AJ136="yes",0.55,0)</f>
        <v/>
      </c>
      <c r="BB136">
        <f>IF(AI136="yes",0.10,0)</f>
        <v/>
      </c>
      <c r="BC136">
        <f>IF(Y136="COMM_Direct",0.92,IF(Y136="COMM_Emotional",0.70,IF(Y136="COMM_Logical",0.65,IF(Y136="COMM_Indirect",0.55,0.35))))</f>
        <v/>
      </c>
      <c r="BD136">
        <f>IF(Z136="REG_CoRegulator",0.92,IF(Z136="REG_SelfSoother",0.76,IF(Z136="REG_Distractor",0.48,0.35)))</f>
        <v/>
      </c>
      <c r="BE136">
        <f>IF(AA136="LANG_Time",0.76,IF(AA136="LANG_Service",0.70,IF(AA136="LANG_Words",0.72,IF(AA136="LANG_Touch",0.68,0.60))))</f>
        <v/>
      </c>
      <c r="BF136">
        <f>MAX(0,MIN(1,0.28*AS136+0.16*AT136+0.18*BC136+0.18*BD136+0.10*(1-AZ136)+0.10*(1-BA136)+BB136))</f>
        <v/>
      </c>
      <c r="BG136">
        <f>MAX(0,MIN(1,0.24*AU136+0.18*AS136+0.18*BC136+0.20*BD136+0.10*(1-AW136)+0.10*(1-BA136)))</f>
        <v/>
      </c>
      <c r="BH136">
        <f>MAX(0,MIN(1,0.28*AR136+0.18*AT136+0.16*AU136+0.18*(1-AV136)+0.10*(1-AW136)+0.10*BF136))</f>
        <v/>
      </c>
      <c r="BI136">
        <f>MAX(0,MIN(1,0.30*AV136+0.20*AZ136+0.20*AW136+0.15*(1-BH136)+0.15*(1-BO136)))</f>
        <v/>
      </c>
      <c r="BJ136">
        <f>MAX(0,1-(ABS(((( AX136+AY136)/2)-0.55)*1.6)))</f>
        <v/>
      </c>
      <c r="BK136">
        <f>MAX(0,MIN(1,0.28*AR136+0.18*AT136+0.16*BJ136+0.14*(1-AV136)+0.12*BQ136+0.12*BO136))</f>
        <v/>
      </c>
      <c r="BL136">
        <f>MAX(0,MIN(1,0.22*AQ136+0.18*AS136+0.18*BC136+0.18*BD136+0.08*BE136+0.10*BF136+0.06*BO136))</f>
        <v/>
      </c>
      <c r="BM136">
        <f>MAX(0,MIN(1,0.20*(1-AZ136)+0.16*(1-BA136)+0.14*(1-AW136)+0.14*AU136+0.18*BG136+0.10*BH136+0.08*BP136))</f>
        <v/>
      </c>
      <c r="BN136">
        <f>MAX(0,MIN(1,0.42*BJ136+0.33*BK136+0.15*AT136+0.10*BQ136))</f>
        <v/>
      </c>
      <c r="BO136">
        <f>MAX(0,MIN(1,0.30*BC136+0.24*BD136+0.18*AS136+0.14*(1-BI136)+0.14*AT136))</f>
        <v/>
      </c>
      <c r="BP136">
        <f>MAX(0,MIN(1,0.26*AS136+0.20*(1-BA136)+0.16*(1-AW136)+0.18*BG136+0.10*AU136+0.10+BB136))</f>
        <v/>
      </c>
      <c r="BQ136">
        <f>MAX(0,MIN(1,0.24*AT136+0.18*BF136+0.14*AR136+0.14*BO136+0.14*(1-AV136)+0.16*(1-AZ136)))</f>
        <v/>
      </c>
      <c r="BR136">
        <f>IF(BO136&gt;=0.80,"Open",IF(BO136&gt;=0.62,"Measured",IF(BO136&gt;=0.45,"Selective","Guarded")))</f>
        <v/>
      </c>
      <c r="BS136">
        <f>IF(Y136="COMM_Direct","Direct",IF(Y136="COMM_Emotional","Emotional",IF(Y136="COMM_Logical","Logical",IF(Y136="COMM_Indirect","Indirect","Avoidant"))))</f>
        <v/>
      </c>
      <c r="BT136">
        <f>IF(BG136&gt;=0.78,"Co-repair",IF(BG136&gt;=0.58,"Re-engage",IF(BG136&gt;=0.40,"Delay","Suppress")))</f>
        <v/>
      </c>
      <c r="BU136">
        <f>IF(BI136&gt;=0.70,"Retreat-risk",IF(BH136&lt;=0.40,"Rush-risk",IF(BH136&gt;=0.65,"Slow-build","Mixed")))</f>
        <v/>
      </c>
      <c r="BV136">
        <f>IF(BL136-BM136&gt;=0.15,"Stimulation-seeking",IF(BM136-BL136&gt;=0.15,"Calm-seeking","Mixed")))</f>
        <v/>
      </c>
      <c r="BW136">
        <f>IF(AND(BL136&gt;=0.72,BM136&lt;0.48),"High",IF(AND(BL136&gt;=0.60,BM136&lt;0.58),"Medium","Low"))</f>
        <v/>
      </c>
    </row>
    <row r="137" ht="148.5" customHeight="1" s="10">
      <c r="A137" s="2" t="inlineStr">
        <is>
          <t>Q28_A</t>
        </is>
      </c>
      <c r="B137" s="2" t="n">
        <v>28</v>
      </c>
      <c r="C137" s="2" t="n">
        <v>28</v>
      </c>
      <c r="D137" s="2" t="inlineStr">
        <is>
          <t>Core</t>
        </is>
      </c>
      <c r="E137" s="2" t="n">
        <v>1.15</v>
      </c>
      <c r="F137" s="2" t="inlineStr">
        <is>
          <t>ValuesLifestyle</t>
        </is>
      </c>
      <c r="G137" s="2" t="inlineStr">
        <is>
          <t>IntentAlignment</t>
        </is>
      </c>
      <c r="H137" s="2" t="inlineStr">
        <is>
          <t>You catch them doing something shady-not cheating, but definitely questionable. They don't know you know. What's your move?</t>
        </is>
      </c>
      <c r="I137" s="2" t="inlineStr">
        <is>
          <t>A</t>
        </is>
      </c>
      <c r="J137" s="2" t="inlineStr">
        <is>
          <t>A</t>
        </is>
      </c>
      <c r="K137" s="2" t="inlineStr">
        <is>
          <t>I don't confront, I collect. I want to see if they'll admit it before I say anything.</t>
        </is>
      </c>
      <c r="L137" s="2" t="n">
        <v>7</v>
      </c>
      <c r="M137" s="2" t="n">
        <v>8</v>
      </c>
      <c r="N137" s="2" t="n">
        <v>6</v>
      </c>
      <c r="O137" s="2" t="n">
        <v>6</v>
      </c>
      <c r="P137" s="2" t="n">
        <v>6</v>
      </c>
      <c r="Q137" s="2" t="inlineStr">
        <is>
          <t>Analyzer</t>
        </is>
      </c>
      <c r="R137" s="2" t="n">
        <v>2</v>
      </c>
      <c r="S137" s="2" t="n"/>
      <c r="T137" s="2" t="n"/>
      <c r="U137" s="2" t="n">
        <v>0</v>
      </c>
      <c r="V137" s="2" t="inlineStr">
        <is>
          <t>masc:1.4;fem:0.1</t>
        </is>
      </c>
      <c r="W137" s="2" t="n">
        <v>1.4</v>
      </c>
      <c r="X137" s="2" t="n">
        <v>0.1</v>
      </c>
      <c r="Y137" s="2" t="inlineStr">
        <is>
          <t>COMM_Logical</t>
        </is>
      </c>
      <c r="Z137" s="2" t="inlineStr">
        <is>
          <t>REG_SelfSoother</t>
        </is>
      </c>
      <c r="AA137" s="2" t="inlineStr">
        <is>
          <t>LANG_Service</t>
        </is>
      </c>
      <c r="AB137" s="2" t="n"/>
      <c r="AC137" s="2" t="n"/>
      <c r="AD137" s="2" t="n"/>
      <c r="AE137" s="2" t="n">
        <v>0</v>
      </c>
      <c r="AF137" s="2" t="inlineStr">
        <is>
          <t>silent pattern tracker</t>
        </is>
      </c>
      <c r="AG137" s="2" t="inlineStr">
        <is>
          <t>quiet investigator</t>
        </is>
      </c>
      <c r="AH137" s="2" t="n">
        <v>1.2</v>
      </c>
      <c r="AI137" s="2" t="inlineStr">
        <is>
          <t>no</t>
        </is>
      </c>
      <c r="AJ137" s="2" t="inlineStr">
        <is>
          <t>no</t>
        </is>
      </c>
      <c r="AK137" s="2" t="inlineStr">
        <is>
          <t>no</t>
        </is>
      </c>
      <c r="AL137" s="2" t="inlineStr">
        <is>
          <t>no</t>
        </is>
      </c>
      <c r="AM137" s="2" t="n"/>
      <c r="AN137" s="2" t="n"/>
      <c r="AO137" s="2" t="n"/>
      <c r="AP137" s="2" t="inlineStr">
        <is>
          <t>v3_2026-03-19</t>
        </is>
      </c>
      <c r="AQ137">
        <f>(L137-Schema_v5!$C2)/(Schema_v5!$C3-Schema_v5!$C2)</f>
        <v/>
      </c>
      <c r="AR137">
        <f>(M137-Schema_v5!$C4)/(Schema_v5!$C5-Schema_v5!$C4)</f>
        <v/>
      </c>
      <c r="AS137">
        <f>N137/Schema_v5!$C6</f>
        <v/>
      </c>
      <c r="AT137">
        <f>O137/Schema_v5!$C7</f>
        <v/>
      </c>
      <c r="AU137">
        <f>P137/Schema_v5!$C8</f>
        <v/>
      </c>
      <c r="AV137">
        <f>IF(Schema_v5!$C9=0,0,AH137/Schema_v5!$C9)</f>
        <v/>
      </c>
      <c r="AW137">
        <f>IF(Schema_v5!$C10=0,0,AE137/Schema_v5!$C10)</f>
        <v/>
      </c>
      <c r="AX137">
        <f>(W137-Schema_v5!$C11)/(Schema_v5!$C12-Schema_v5!$C11)</f>
        <v/>
      </c>
      <c r="AY137">
        <f>(X137-Schema_v5!$C13)/(Schema_v5!$C14-Schema_v5!$C13)</f>
        <v/>
      </c>
      <c r="AZ137">
        <f>MIN(1,MAX(0,U137/Schema_v7!$C$9))</f>
        <v/>
      </c>
      <c r="BA137">
        <f>IF(AJ137="yes",0.55,0)</f>
        <v/>
      </c>
      <c r="BB137">
        <f>IF(AI137="yes",0.10,0)</f>
        <v/>
      </c>
      <c r="BC137">
        <f>IF(Y137="COMM_Direct",0.92,IF(Y137="COMM_Emotional",0.70,IF(Y137="COMM_Logical",0.65,IF(Y137="COMM_Indirect",0.55,0.35))))</f>
        <v/>
      </c>
      <c r="BD137">
        <f>IF(Z137="REG_CoRegulator",0.92,IF(Z137="REG_SelfSoother",0.76,IF(Z137="REG_Distractor",0.48,0.35)))</f>
        <v/>
      </c>
      <c r="BE137">
        <f>IF(AA137="LANG_Time",0.76,IF(AA137="LANG_Service",0.70,IF(AA137="LANG_Words",0.72,IF(AA137="LANG_Touch",0.68,0.60))))</f>
        <v/>
      </c>
      <c r="BF137">
        <f>MAX(0,MIN(1,0.28*AS137+0.16*AT137+0.18*BC137+0.18*BD137+0.10*(1-AZ137)+0.10*(1-BA137)+BB137))</f>
        <v/>
      </c>
      <c r="BG137">
        <f>MAX(0,MIN(1,0.24*AU137+0.18*AS137+0.18*BC137+0.20*BD137+0.10*(1-AW137)+0.10*(1-BA137)))</f>
        <v/>
      </c>
      <c r="BH137">
        <f>MAX(0,MIN(1,0.28*AR137+0.18*AT137+0.16*AU137+0.18*(1-AV137)+0.10*(1-AW137)+0.10*BF137))</f>
        <v/>
      </c>
      <c r="BI137">
        <f>MAX(0,MIN(1,0.30*AV137+0.20*AZ137+0.20*AW137+0.15*(1-BH137)+0.15*(1-BO137)))</f>
        <v/>
      </c>
      <c r="BJ137">
        <f>MAX(0,1-(ABS(((( AX137+AY137)/2)-0.55)*1.6)))</f>
        <v/>
      </c>
      <c r="BK137">
        <f>MAX(0,MIN(1,0.28*AR137+0.18*AT137+0.16*BJ137+0.14*(1-AV137)+0.12*BQ137+0.12*BO137))</f>
        <v/>
      </c>
      <c r="BL137">
        <f>MAX(0,MIN(1,0.22*AQ137+0.18*AS137+0.18*BC137+0.18*BD137+0.08*BE137+0.10*BF137+0.06*BO137))</f>
        <v/>
      </c>
      <c r="BM137">
        <f>MAX(0,MIN(1,0.20*(1-AZ137)+0.16*(1-BA137)+0.14*(1-AW137)+0.14*AU137+0.18*BG137+0.10*BH137+0.08*BP137))</f>
        <v/>
      </c>
      <c r="BN137">
        <f>MAX(0,MIN(1,0.42*BJ137+0.33*BK137+0.15*AT137+0.10*BQ137))</f>
        <v/>
      </c>
      <c r="BO137">
        <f>MAX(0,MIN(1,0.30*BC137+0.24*BD137+0.18*AS137+0.14*(1-BI137)+0.14*AT137))</f>
        <v/>
      </c>
      <c r="BP137">
        <f>MAX(0,MIN(1,0.26*AS137+0.20*(1-BA137)+0.16*(1-AW137)+0.18*BG137+0.10*AU137+0.10+BB137))</f>
        <v/>
      </c>
      <c r="BQ137">
        <f>MAX(0,MIN(1,0.24*AT137+0.18*BF137+0.14*AR137+0.14*BO137+0.14*(1-AV137)+0.16*(1-AZ137)))</f>
        <v/>
      </c>
      <c r="BR137">
        <f>IF(BO137&gt;=0.80,"Open",IF(BO137&gt;=0.62,"Measured",IF(BO137&gt;=0.45,"Selective","Guarded")))</f>
        <v/>
      </c>
      <c r="BS137">
        <f>IF(Y137="COMM_Direct","Direct",IF(Y137="COMM_Emotional","Emotional",IF(Y137="COMM_Logical","Logical",IF(Y137="COMM_Indirect","Indirect","Avoidant"))))</f>
        <v/>
      </c>
      <c r="BT137">
        <f>IF(BG137&gt;=0.78,"Co-repair",IF(BG137&gt;=0.58,"Re-engage",IF(BG137&gt;=0.40,"Delay","Suppress")))</f>
        <v/>
      </c>
      <c r="BU137">
        <f>IF(BI137&gt;=0.70,"Retreat-risk",IF(BH137&lt;=0.40,"Rush-risk",IF(BH137&gt;=0.65,"Slow-build","Mixed")))</f>
        <v/>
      </c>
      <c r="BV137">
        <f>IF(BL137-BM137&gt;=0.15,"Stimulation-seeking",IF(BM137-BL137&gt;=0.15,"Calm-seeking","Mixed")))</f>
        <v/>
      </c>
      <c r="BW137">
        <f>IF(AND(BL137&gt;=0.72,BM137&lt;0.48),"High",IF(AND(BL137&gt;=0.60,BM137&lt;0.58),"Medium","Low"))</f>
        <v/>
      </c>
    </row>
    <row r="138" ht="135" customHeight="1" s="10">
      <c r="A138" s="2" t="inlineStr">
        <is>
          <t>Q28_B</t>
        </is>
      </c>
      <c r="B138" s="2" t="n">
        <v>28</v>
      </c>
      <c r="C138" s="2" t="n">
        <v>28</v>
      </c>
      <c r="D138" s="2" t="inlineStr">
        <is>
          <t>Core</t>
        </is>
      </c>
      <c r="E138" s="2" t="n">
        <v>1.15</v>
      </c>
      <c r="F138" s="2" t="inlineStr">
        <is>
          <t>ValuesLifestyle</t>
        </is>
      </c>
      <c r="G138" s="2" t="inlineStr">
        <is>
          <t>IntentAlignment</t>
        </is>
      </c>
      <c r="H138" s="2" t="n"/>
      <c r="I138" s="2" t="inlineStr">
        <is>
          <t>B</t>
        </is>
      </c>
      <c r="J138" s="2" t="inlineStr">
        <is>
          <t>B</t>
        </is>
      </c>
      <c r="K138" s="2" t="inlineStr">
        <is>
          <t>I act normal, but I'm already shifting. If you could do that once, you'll do it again. I don't wait for repeats.</t>
        </is>
      </c>
      <c r="L138" s="2" t="n">
        <v>8</v>
      </c>
      <c r="M138" s="2" t="n">
        <v>9</v>
      </c>
      <c r="N138" s="2" t="n">
        <v>4</v>
      </c>
      <c r="O138" s="2" t="n">
        <v>6</v>
      </c>
      <c r="P138" s="2" t="n">
        <v>2</v>
      </c>
      <c r="Q138" s="2" t="inlineStr">
        <is>
          <t>Icebox</t>
        </is>
      </c>
      <c r="R138" s="2" t="n">
        <v>1</v>
      </c>
      <c r="S138" s="2" t="n"/>
      <c r="T138" s="2" t="n"/>
      <c r="U138" s="2" t="n">
        <v>0</v>
      </c>
      <c r="V138" s="2" t="inlineStr">
        <is>
          <t>masc:1.8;fem:-1.6</t>
        </is>
      </c>
      <c r="W138" s="2" t="n">
        <v>1.8</v>
      </c>
      <c r="X138" s="2" t="n">
        <v>-1.6</v>
      </c>
      <c r="Y138" s="2" t="inlineStr">
        <is>
          <t>COMM_Avoidant</t>
        </is>
      </c>
      <c r="Z138" s="2" t="inlineStr">
        <is>
          <t>REG_Suppressor</t>
        </is>
      </c>
      <c r="AA138" s="2" t="inlineStr">
        <is>
          <t>LANG_Time</t>
        </is>
      </c>
      <c r="AB138" s="2" t="n"/>
      <c r="AC138" s="2" t="n"/>
      <c r="AD138" s="2" t="n"/>
      <c r="AE138" s="2" t="n">
        <v>0</v>
      </c>
      <c r="AF138" s="2" t="inlineStr">
        <is>
          <t>silent judgment</t>
        </is>
      </c>
      <c r="AG138" s="2" t="inlineStr">
        <is>
          <t>fast exiter</t>
        </is>
      </c>
      <c r="AH138" s="2" t="n">
        <v>0.6</v>
      </c>
      <c r="AI138" s="2" t="inlineStr">
        <is>
          <t>no</t>
        </is>
      </c>
      <c r="AJ138" s="2" t="inlineStr">
        <is>
          <t>no</t>
        </is>
      </c>
      <c r="AK138" s="2" t="inlineStr">
        <is>
          <t>no</t>
        </is>
      </c>
      <c r="AL138" s="2" t="inlineStr">
        <is>
          <t>no</t>
        </is>
      </c>
      <c r="AM138" s="2" t="n"/>
      <c r="AN138" s="2" t="n"/>
      <c r="AO138" s="2" t="n"/>
      <c r="AP138" s="2" t="inlineStr">
        <is>
          <t>v3_2026-03-19</t>
        </is>
      </c>
      <c r="AQ138">
        <f>(L138-Schema_v5!$C2)/(Schema_v5!$C3-Schema_v5!$C2)</f>
        <v/>
      </c>
      <c r="AR138">
        <f>(M138-Schema_v5!$C4)/(Schema_v5!$C5-Schema_v5!$C4)</f>
        <v/>
      </c>
      <c r="AS138">
        <f>N138/Schema_v5!$C6</f>
        <v/>
      </c>
      <c r="AT138">
        <f>O138/Schema_v5!$C7</f>
        <v/>
      </c>
      <c r="AU138">
        <f>P138/Schema_v5!$C8</f>
        <v/>
      </c>
      <c r="AV138">
        <f>IF(Schema_v5!$C9=0,0,AH138/Schema_v5!$C9)</f>
        <v/>
      </c>
      <c r="AW138">
        <f>IF(Schema_v5!$C10=0,0,AE138/Schema_v5!$C10)</f>
        <v/>
      </c>
      <c r="AX138">
        <f>(W138-Schema_v5!$C11)/(Schema_v5!$C12-Schema_v5!$C11)</f>
        <v/>
      </c>
      <c r="AY138">
        <f>(X138-Schema_v5!$C13)/(Schema_v5!$C14-Schema_v5!$C13)</f>
        <v/>
      </c>
      <c r="AZ138">
        <f>MIN(1,MAX(0,U138/Schema_v7!$C$9))</f>
        <v/>
      </c>
      <c r="BA138">
        <f>IF(AJ138="yes",0.55,0)</f>
        <v/>
      </c>
      <c r="BB138">
        <f>IF(AI138="yes",0.10,0)</f>
        <v/>
      </c>
      <c r="BC138">
        <f>IF(Y138="COMM_Direct",0.92,IF(Y138="COMM_Emotional",0.70,IF(Y138="COMM_Logical",0.65,IF(Y138="COMM_Indirect",0.55,0.35))))</f>
        <v/>
      </c>
      <c r="BD138">
        <f>IF(Z138="REG_CoRegulator",0.92,IF(Z138="REG_SelfSoother",0.76,IF(Z138="REG_Distractor",0.48,0.35)))</f>
        <v/>
      </c>
      <c r="BE138">
        <f>IF(AA138="LANG_Time",0.76,IF(AA138="LANG_Service",0.70,IF(AA138="LANG_Words",0.72,IF(AA138="LANG_Touch",0.68,0.60))))</f>
        <v/>
      </c>
      <c r="BF138">
        <f>MAX(0,MIN(1,0.28*AS138+0.16*AT138+0.18*BC138+0.18*BD138+0.10*(1-AZ138)+0.10*(1-BA138)+BB138))</f>
        <v/>
      </c>
      <c r="BG138">
        <f>MAX(0,MIN(1,0.24*AU138+0.18*AS138+0.18*BC138+0.20*BD138+0.10*(1-AW138)+0.10*(1-BA138)))</f>
        <v/>
      </c>
      <c r="BH138">
        <f>MAX(0,MIN(1,0.28*AR138+0.18*AT138+0.16*AU138+0.18*(1-AV138)+0.10*(1-AW138)+0.10*BF138))</f>
        <v/>
      </c>
      <c r="BI138">
        <f>MAX(0,MIN(1,0.30*AV138+0.20*AZ138+0.20*AW138+0.15*(1-BH138)+0.15*(1-BO138)))</f>
        <v/>
      </c>
      <c r="BJ138">
        <f>MAX(0,1-(ABS(((( AX138+AY138)/2)-0.55)*1.6)))</f>
        <v/>
      </c>
      <c r="BK138">
        <f>MAX(0,MIN(1,0.28*AR138+0.18*AT138+0.16*BJ138+0.14*(1-AV138)+0.12*BQ138+0.12*BO138))</f>
        <v/>
      </c>
      <c r="BL138">
        <f>MAX(0,MIN(1,0.22*AQ138+0.18*AS138+0.18*BC138+0.18*BD138+0.08*BE138+0.10*BF138+0.06*BO138))</f>
        <v/>
      </c>
      <c r="BM138">
        <f>MAX(0,MIN(1,0.20*(1-AZ138)+0.16*(1-BA138)+0.14*(1-AW138)+0.14*AU138+0.18*BG138+0.10*BH138+0.08*BP138))</f>
        <v/>
      </c>
      <c r="BN138">
        <f>MAX(0,MIN(1,0.42*BJ138+0.33*BK138+0.15*AT138+0.10*BQ138))</f>
        <v/>
      </c>
      <c r="BO138">
        <f>MAX(0,MIN(1,0.30*BC138+0.24*BD138+0.18*AS138+0.14*(1-BI138)+0.14*AT138))</f>
        <v/>
      </c>
      <c r="BP138">
        <f>MAX(0,MIN(1,0.26*AS138+0.20*(1-BA138)+0.16*(1-AW138)+0.18*BG138+0.10*AU138+0.10+BB138))</f>
        <v/>
      </c>
      <c r="BQ138">
        <f>MAX(0,MIN(1,0.24*AT138+0.18*BF138+0.14*AR138+0.14*BO138+0.14*(1-AV138)+0.16*(1-AZ138)))</f>
        <v/>
      </c>
      <c r="BR138">
        <f>IF(BO138&gt;=0.80,"Open",IF(BO138&gt;=0.62,"Measured",IF(BO138&gt;=0.45,"Selective","Guarded")))</f>
        <v/>
      </c>
      <c r="BS138">
        <f>IF(Y138="COMM_Direct","Direct",IF(Y138="COMM_Emotional","Emotional",IF(Y138="COMM_Logical","Logical",IF(Y138="COMM_Indirect","Indirect","Avoidant"))))</f>
        <v/>
      </c>
      <c r="BT138">
        <f>IF(BG138&gt;=0.78,"Co-repair",IF(BG138&gt;=0.58,"Re-engage",IF(BG138&gt;=0.40,"Delay","Suppress")))</f>
        <v/>
      </c>
      <c r="BU138">
        <f>IF(BI138&gt;=0.70,"Retreat-risk",IF(BH138&lt;=0.40,"Rush-risk",IF(BH138&gt;=0.65,"Slow-build","Mixed")))</f>
        <v/>
      </c>
      <c r="BV138">
        <f>IF(BL138-BM138&gt;=0.15,"Stimulation-seeking",IF(BM138-BL138&gt;=0.15,"Calm-seeking","Mixed")))</f>
        <v/>
      </c>
      <c r="BW138">
        <f>IF(AND(BL138&gt;=0.72,BM138&lt;0.48),"High",IF(AND(BL138&gt;=0.60,BM138&lt;0.58),"Medium","Low"))</f>
        <v/>
      </c>
    </row>
    <row r="139" ht="108" customHeight="1" s="10">
      <c r="A139" s="2" t="inlineStr">
        <is>
          <t>Q28_C</t>
        </is>
      </c>
      <c r="B139" s="2" t="n">
        <v>28</v>
      </c>
      <c r="C139" s="2" t="n">
        <v>28</v>
      </c>
      <c r="D139" s="2" t="inlineStr">
        <is>
          <t>Core</t>
        </is>
      </c>
      <c r="E139" s="2" t="n">
        <v>1.15</v>
      </c>
      <c r="F139" s="2" t="inlineStr">
        <is>
          <t>ValuesLifestyle</t>
        </is>
      </c>
      <c r="G139" s="2" t="inlineStr">
        <is>
          <t>IntentAlignment</t>
        </is>
      </c>
      <c r="H139" s="2" t="n"/>
      <c r="I139" s="2" t="inlineStr">
        <is>
          <t>C</t>
        </is>
      </c>
      <c r="J139" s="2" t="inlineStr">
        <is>
          <t>C</t>
        </is>
      </c>
      <c r="K139" s="2" t="inlineStr">
        <is>
          <t>I ask directly. If you lie to my face, I'm done. I'd rather deal with a harsh truth than slow deceit.</t>
        </is>
      </c>
      <c r="L139" s="2" t="n">
        <v>10</v>
      </c>
      <c r="M139" s="2" t="n">
        <v>10</v>
      </c>
      <c r="N139" s="2" t="n">
        <v>10</v>
      </c>
      <c r="O139" s="2" t="n">
        <v>10</v>
      </c>
      <c r="P139" s="2" t="n">
        <v>10</v>
      </c>
      <c r="Q139" s="2" t="inlineStr">
        <is>
          <t>Regulated Grown-Up</t>
        </is>
      </c>
      <c r="R139" s="2" t="n">
        <v>9</v>
      </c>
      <c r="S139" s="2" t="n"/>
      <c r="T139" s="2" t="n"/>
      <c r="U139" s="2" t="n">
        <v>0</v>
      </c>
      <c r="V139" s="2" t="inlineStr">
        <is>
          <t>masc:1.1;fem:0.9</t>
        </is>
      </c>
      <c r="W139" s="2" t="n">
        <v>1.1</v>
      </c>
      <c r="X139" s="2" t="n">
        <v>0.9</v>
      </c>
      <c r="Y139" s="2" t="inlineStr">
        <is>
          <t>COMM_Direct</t>
        </is>
      </c>
      <c r="Z139" s="2" t="inlineStr">
        <is>
          <t>REG_CoRegulator</t>
        </is>
      </c>
      <c r="AA139" s="2" t="inlineStr">
        <is>
          <t>LANG_Words</t>
        </is>
      </c>
      <c r="AB139" s="2" t="n"/>
      <c r="AC139" s="2" t="n"/>
      <c r="AD139" s="2" t="n"/>
      <c r="AE139" s="2" t="n">
        <v>0</v>
      </c>
      <c r="AF139" s="2" t="inlineStr">
        <is>
          <t>boundary with teeth</t>
        </is>
      </c>
      <c r="AG139" s="2" t="inlineStr">
        <is>
          <t>direct confronter</t>
        </is>
      </c>
      <c r="AH139" s="2" t="n">
        <v>0</v>
      </c>
      <c r="AI139" s="2" t="inlineStr">
        <is>
          <t>no</t>
        </is>
      </c>
      <c r="AJ139" s="2" t="inlineStr">
        <is>
          <t>no</t>
        </is>
      </c>
      <c r="AK139" s="2" t="inlineStr">
        <is>
          <t>no</t>
        </is>
      </c>
      <c r="AL139" s="2" t="inlineStr">
        <is>
          <t>no</t>
        </is>
      </c>
      <c r="AM139" s="2" t="n"/>
      <c r="AN139" s="2" t="n"/>
      <c r="AO139" s="2" t="n"/>
      <c r="AP139" s="2" t="inlineStr">
        <is>
          <t>v3_2026-03-19</t>
        </is>
      </c>
      <c r="AQ139">
        <f>(L139-Schema_v5!$C2)/(Schema_v5!$C3-Schema_v5!$C2)</f>
        <v/>
      </c>
      <c r="AR139">
        <f>(M139-Schema_v5!$C4)/(Schema_v5!$C5-Schema_v5!$C4)</f>
        <v/>
      </c>
      <c r="AS139">
        <f>N139/Schema_v5!$C6</f>
        <v/>
      </c>
      <c r="AT139">
        <f>O139/Schema_v5!$C7</f>
        <v/>
      </c>
      <c r="AU139">
        <f>P139/Schema_v5!$C8</f>
        <v/>
      </c>
      <c r="AV139">
        <f>IF(Schema_v5!$C9=0,0,AH139/Schema_v5!$C9)</f>
        <v/>
      </c>
      <c r="AW139">
        <f>IF(Schema_v5!$C10=0,0,AE139/Schema_v5!$C10)</f>
        <v/>
      </c>
      <c r="AX139">
        <f>(W139-Schema_v5!$C11)/(Schema_v5!$C12-Schema_v5!$C11)</f>
        <v/>
      </c>
      <c r="AY139">
        <f>(X139-Schema_v5!$C13)/(Schema_v5!$C14-Schema_v5!$C13)</f>
        <v/>
      </c>
      <c r="AZ139">
        <f>MIN(1,MAX(0,U139/Schema_v7!$C$9))</f>
        <v/>
      </c>
      <c r="BA139">
        <f>IF(AJ139="yes",0.55,0)</f>
        <v/>
      </c>
      <c r="BB139">
        <f>IF(AI139="yes",0.10,0)</f>
        <v/>
      </c>
      <c r="BC139">
        <f>IF(Y139="COMM_Direct",0.92,IF(Y139="COMM_Emotional",0.70,IF(Y139="COMM_Logical",0.65,IF(Y139="COMM_Indirect",0.55,0.35))))</f>
        <v/>
      </c>
      <c r="BD139">
        <f>IF(Z139="REG_CoRegulator",0.92,IF(Z139="REG_SelfSoother",0.76,IF(Z139="REG_Distractor",0.48,0.35)))</f>
        <v/>
      </c>
      <c r="BE139">
        <f>IF(AA139="LANG_Time",0.76,IF(AA139="LANG_Service",0.70,IF(AA139="LANG_Words",0.72,IF(AA139="LANG_Touch",0.68,0.60))))</f>
        <v/>
      </c>
      <c r="BF139">
        <f>MAX(0,MIN(1,0.28*AS139+0.16*AT139+0.18*BC139+0.18*BD139+0.10*(1-AZ139)+0.10*(1-BA139)+BB139))</f>
        <v/>
      </c>
      <c r="BG139">
        <f>MAX(0,MIN(1,0.24*AU139+0.18*AS139+0.18*BC139+0.20*BD139+0.10*(1-AW139)+0.10*(1-BA139)))</f>
        <v/>
      </c>
      <c r="BH139">
        <f>MAX(0,MIN(1,0.28*AR139+0.18*AT139+0.16*AU139+0.18*(1-AV139)+0.10*(1-AW139)+0.10*BF139))</f>
        <v/>
      </c>
      <c r="BI139">
        <f>MAX(0,MIN(1,0.30*AV139+0.20*AZ139+0.20*AW139+0.15*(1-BH139)+0.15*(1-BO139)))</f>
        <v/>
      </c>
      <c r="BJ139">
        <f>MAX(0,1-(ABS(((( AX139+AY139)/2)-0.55)*1.6)))</f>
        <v/>
      </c>
      <c r="BK139">
        <f>MAX(0,MIN(1,0.28*AR139+0.18*AT139+0.16*BJ139+0.14*(1-AV139)+0.12*BQ139+0.12*BO139))</f>
        <v/>
      </c>
      <c r="BL139">
        <f>MAX(0,MIN(1,0.22*AQ139+0.18*AS139+0.18*BC139+0.18*BD139+0.08*BE139+0.10*BF139+0.06*BO139))</f>
        <v/>
      </c>
      <c r="BM139">
        <f>MAX(0,MIN(1,0.20*(1-AZ139)+0.16*(1-BA139)+0.14*(1-AW139)+0.14*AU139+0.18*BG139+0.10*BH139+0.08*BP139))</f>
        <v/>
      </c>
      <c r="BN139">
        <f>MAX(0,MIN(1,0.42*BJ139+0.33*BK139+0.15*AT139+0.10*BQ139))</f>
        <v/>
      </c>
      <c r="BO139">
        <f>MAX(0,MIN(1,0.30*BC139+0.24*BD139+0.18*AS139+0.14*(1-BI139)+0.14*AT139))</f>
        <v/>
      </c>
      <c r="BP139">
        <f>MAX(0,MIN(1,0.26*AS139+0.20*(1-BA139)+0.16*(1-AW139)+0.18*BG139+0.10*AU139+0.10+BB139))</f>
        <v/>
      </c>
      <c r="BQ139">
        <f>MAX(0,MIN(1,0.24*AT139+0.18*BF139+0.14*AR139+0.14*BO139+0.14*(1-AV139)+0.16*(1-AZ139)))</f>
        <v/>
      </c>
      <c r="BR139">
        <f>IF(BO139&gt;=0.80,"Open",IF(BO139&gt;=0.62,"Measured",IF(BO139&gt;=0.45,"Selective","Guarded")))</f>
        <v/>
      </c>
      <c r="BS139">
        <f>IF(Y139="COMM_Direct","Direct",IF(Y139="COMM_Emotional","Emotional",IF(Y139="COMM_Logical","Logical",IF(Y139="COMM_Indirect","Indirect","Avoidant"))))</f>
        <v/>
      </c>
      <c r="BT139">
        <f>IF(BG139&gt;=0.78,"Co-repair",IF(BG139&gt;=0.58,"Re-engage",IF(BG139&gt;=0.40,"Delay","Suppress")))</f>
        <v/>
      </c>
      <c r="BU139">
        <f>IF(BI139&gt;=0.70,"Retreat-risk",IF(BH139&lt;=0.40,"Rush-risk",IF(BH139&gt;=0.65,"Slow-build","Mixed")))</f>
        <v/>
      </c>
      <c r="BV139">
        <f>IF(BL139-BM139&gt;=0.15,"Stimulation-seeking",IF(BM139-BL139&gt;=0.15,"Calm-seeking","Mixed")))</f>
        <v/>
      </c>
      <c r="BW139">
        <f>IF(AND(BL139&gt;=0.72,BM139&lt;0.48),"High",IF(AND(BL139&gt;=0.60,BM139&lt;0.58),"Medium","Low"))</f>
        <v/>
      </c>
    </row>
    <row r="140" ht="108" customHeight="1" s="10">
      <c r="A140" s="2" t="inlineStr">
        <is>
          <t>Q28_D</t>
        </is>
      </c>
      <c r="B140" s="2" t="n">
        <v>28</v>
      </c>
      <c r="C140" s="2" t="n">
        <v>28</v>
      </c>
      <c r="D140" s="2" t="inlineStr">
        <is>
          <t>Core</t>
        </is>
      </c>
      <c r="E140" s="2" t="n">
        <v>1.15</v>
      </c>
      <c r="F140" s="2" t="inlineStr">
        <is>
          <t>ValuesLifestyle</t>
        </is>
      </c>
      <c r="G140" s="2" t="inlineStr">
        <is>
          <t>IntentAlignment</t>
        </is>
      </c>
      <c r="H140" s="2" t="n"/>
      <c r="I140" s="2" t="inlineStr">
        <is>
          <t>D</t>
        </is>
      </c>
      <c r="J140" s="2" t="inlineStr">
        <is>
          <t>D</t>
        </is>
      </c>
      <c r="K140" s="2" t="inlineStr">
        <is>
          <t>I make a sarcastic comment or drop a subtle clue that I saw it, just to see how they react.</t>
        </is>
      </c>
      <c r="L140" s="2" t="n">
        <v>6</v>
      </c>
      <c r="M140" s="2" t="n">
        <v>7</v>
      </c>
      <c r="N140" s="2" t="n">
        <v>4</v>
      </c>
      <c r="O140" s="2" t="n">
        <v>4</v>
      </c>
      <c r="P140" s="2" t="n">
        <v>2</v>
      </c>
      <c r="Q140" s="2" t="inlineStr">
        <is>
          <t>Performer</t>
        </is>
      </c>
      <c r="R140" s="2" t="n">
        <v>7</v>
      </c>
      <c r="S140" s="2" t="n"/>
      <c r="T140" s="2" t="n"/>
      <c r="U140" s="2" t="n">
        <v>0</v>
      </c>
      <c r="V140" s="2" t="inlineStr">
        <is>
          <t>masc:0.2;fem:1.1</t>
        </is>
      </c>
      <c r="W140" s="2" t="n">
        <v>0.2</v>
      </c>
      <c r="X140" s="2" t="n">
        <v>1.1</v>
      </c>
      <c r="Y140" s="2" t="inlineStr">
        <is>
          <t>COMM_Indirect</t>
        </is>
      </c>
      <c r="Z140" s="2" t="inlineStr">
        <is>
          <t>REG_CoRegulator</t>
        </is>
      </c>
      <c r="AA140" s="2" t="inlineStr">
        <is>
          <t>LANG_Words</t>
        </is>
      </c>
      <c r="AB140" s="2" t="inlineStr">
        <is>
          <t>Scorekeeping_Echo</t>
        </is>
      </c>
      <c r="AC140" s="2" t="inlineStr">
        <is>
          <t>Scorekeeping_Echo</t>
        </is>
      </c>
      <c r="AD140" s="2" t="n"/>
      <c r="AE140" s="2" t="n">
        <v>8</v>
      </c>
      <c r="AF140" s="2" t="inlineStr">
        <is>
          <t>passive confrontation via humor</t>
        </is>
      </c>
      <c r="AG140" s="2" t="inlineStr">
        <is>
          <t>playful tester</t>
        </is>
      </c>
      <c r="AH140" s="2" t="n">
        <v>0.6</v>
      </c>
      <c r="AI140" s="2" t="inlineStr">
        <is>
          <t>yes</t>
        </is>
      </c>
      <c r="AJ140" s="2" t="inlineStr">
        <is>
          <t>no</t>
        </is>
      </c>
      <c r="AK140" s="2" t="inlineStr">
        <is>
          <t>no</t>
        </is>
      </c>
      <c r="AL140" s="2" t="inlineStr">
        <is>
          <t>no</t>
        </is>
      </c>
      <c r="AM140" s="2" t="n"/>
      <c r="AN140" s="2" t="n"/>
      <c r="AO140" s="2" t="n"/>
      <c r="AP140" s="2" t="inlineStr">
        <is>
          <t>v3_2026-03-19</t>
        </is>
      </c>
      <c r="AQ140">
        <f>(L140-Schema_v5!$C2)/(Schema_v5!$C3-Schema_v5!$C2)</f>
        <v/>
      </c>
      <c r="AR140">
        <f>(M140-Schema_v5!$C4)/(Schema_v5!$C5-Schema_v5!$C4)</f>
        <v/>
      </c>
      <c r="AS140">
        <f>N140/Schema_v5!$C6</f>
        <v/>
      </c>
      <c r="AT140">
        <f>O140/Schema_v5!$C7</f>
        <v/>
      </c>
      <c r="AU140">
        <f>P140/Schema_v5!$C8</f>
        <v/>
      </c>
      <c r="AV140">
        <f>IF(Schema_v5!$C9=0,0,AH140/Schema_v5!$C9)</f>
        <v/>
      </c>
      <c r="AW140">
        <f>IF(Schema_v5!$C10=0,0,AE140/Schema_v5!$C10)</f>
        <v/>
      </c>
      <c r="AX140">
        <f>(W140-Schema_v5!$C11)/(Schema_v5!$C12-Schema_v5!$C11)</f>
        <v/>
      </c>
      <c r="AY140">
        <f>(X140-Schema_v5!$C13)/(Schema_v5!$C14-Schema_v5!$C13)</f>
        <v/>
      </c>
      <c r="AZ140">
        <f>MIN(1,MAX(0,U140/Schema_v7!$C$9))</f>
        <v/>
      </c>
      <c r="BA140">
        <f>IF(AJ140="yes",0.55,0)</f>
        <v/>
      </c>
      <c r="BB140">
        <f>IF(AI140="yes",0.10,0)</f>
        <v/>
      </c>
      <c r="BC140">
        <f>IF(Y140="COMM_Direct",0.92,IF(Y140="COMM_Emotional",0.70,IF(Y140="COMM_Logical",0.65,IF(Y140="COMM_Indirect",0.55,0.35))))</f>
        <v/>
      </c>
      <c r="BD140">
        <f>IF(Z140="REG_CoRegulator",0.92,IF(Z140="REG_SelfSoother",0.76,IF(Z140="REG_Distractor",0.48,0.35)))</f>
        <v/>
      </c>
      <c r="BE140">
        <f>IF(AA140="LANG_Time",0.76,IF(AA140="LANG_Service",0.70,IF(AA140="LANG_Words",0.72,IF(AA140="LANG_Touch",0.68,0.60))))</f>
        <v/>
      </c>
      <c r="BF140">
        <f>MAX(0,MIN(1,0.28*AS140+0.16*AT140+0.18*BC140+0.18*BD140+0.10*(1-AZ140)+0.10*(1-BA140)+BB140))</f>
        <v/>
      </c>
      <c r="BG140">
        <f>MAX(0,MIN(1,0.24*AU140+0.18*AS140+0.18*BC140+0.20*BD140+0.10*(1-AW140)+0.10*(1-BA140)))</f>
        <v/>
      </c>
      <c r="BH140">
        <f>MAX(0,MIN(1,0.28*AR140+0.18*AT140+0.16*AU140+0.18*(1-AV140)+0.10*(1-AW140)+0.10*BF140))</f>
        <v/>
      </c>
      <c r="BI140">
        <f>MAX(0,MIN(1,0.30*AV140+0.20*AZ140+0.20*AW140+0.15*(1-BH140)+0.15*(1-BO140)))</f>
        <v/>
      </c>
      <c r="BJ140">
        <f>MAX(0,1-(ABS(((( AX140+AY140)/2)-0.55)*1.6)))</f>
        <v/>
      </c>
      <c r="BK140">
        <f>MAX(0,MIN(1,0.28*AR140+0.18*AT140+0.16*BJ140+0.14*(1-AV140)+0.12*BQ140+0.12*BO140))</f>
        <v/>
      </c>
      <c r="BL140">
        <f>MAX(0,MIN(1,0.22*AQ140+0.18*AS140+0.18*BC140+0.18*BD140+0.08*BE140+0.10*BF140+0.06*BO140))</f>
        <v/>
      </c>
      <c r="BM140">
        <f>MAX(0,MIN(1,0.20*(1-AZ140)+0.16*(1-BA140)+0.14*(1-AW140)+0.14*AU140+0.18*BG140+0.10*BH140+0.08*BP140))</f>
        <v/>
      </c>
      <c r="BN140">
        <f>MAX(0,MIN(1,0.42*BJ140+0.33*BK140+0.15*AT140+0.10*BQ140))</f>
        <v/>
      </c>
      <c r="BO140">
        <f>MAX(0,MIN(1,0.30*BC140+0.24*BD140+0.18*AS140+0.14*(1-BI140)+0.14*AT140))</f>
        <v/>
      </c>
      <c r="BP140">
        <f>MAX(0,MIN(1,0.26*AS140+0.20*(1-BA140)+0.16*(1-AW140)+0.18*BG140+0.10*AU140+0.10+BB140))</f>
        <v/>
      </c>
      <c r="BQ140">
        <f>MAX(0,MIN(1,0.24*AT140+0.18*BF140+0.14*AR140+0.14*BO140+0.14*(1-AV140)+0.16*(1-AZ140)))</f>
        <v/>
      </c>
      <c r="BR140">
        <f>IF(BO140&gt;=0.80,"Open",IF(BO140&gt;=0.62,"Measured",IF(BO140&gt;=0.45,"Selective","Guarded")))</f>
        <v/>
      </c>
      <c r="BS140">
        <f>IF(Y140="COMM_Direct","Direct",IF(Y140="COMM_Emotional","Emotional",IF(Y140="COMM_Logical","Logical",IF(Y140="COMM_Indirect","Indirect","Avoidant"))))</f>
        <v/>
      </c>
      <c r="BT140">
        <f>IF(BG140&gt;=0.78,"Co-repair",IF(BG140&gt;=0.58,"Re-engage",IF(BG140&gt;=0.40,"Delay","Suppress")))</f>
        <v/>
      </c>
      <c r="BU140">
        <f>IF(BI140&gt;=0.70,"Retreat-risk",IF(BH140&lt;=0.40,"Rush-risk",IF(BH140&gt;=0.65,"Slow-build","Mixed")))</f>
        <v/>
      </c>
      <c r="BV140">
        <f>IF(BL140-BM140&gt;=0.15,"Stimulation-seeking",IF(BM140-BL140&gt;=0.15,"Calm-seeking","Mixed")))</f>
        <v/>
      </c>
      <c r="BW140">
        <f>IF(AND(BL140&gt;=0.72,BM140&lt;0.48),"High",IF(AND(BL140&gt;=0.60,BM140&lt;0.58),"Medium","Low"))</f>
        <v/>
      </c>
    </row>
    <row r="141" ht="121.5" customHeight="1" s="10">
      <c r="A141" s="2" t="inlineStr">
        <is>
          <t>Q28_E</t>
        </is>
      </c>
      <c r="B141" s="2" t="n">
        <v>28</v>
      </c>
      <c r="C141" s="2" t="n">
        <v>28</v>
      </c>
      <c r="D141" s="2" t="inlineStr">
        <is>
          <t>Core</t>
        </is>
      </c>
      <c r="E141" s="2" t="n">
        <v>1.15</v>
      </c>
      <c r="F141" s="2" t="inlineStr">
        <is>
          <t>ValuesLifestyle</t>
        </is>
      </c>
      <c r="G141" s="2" t="inlineStr">
        <is>
          <t>IntentAlignment</t>
        </is>
      </c>
      <c r="H141" s="2" t="n"/>
      <c r="I141" s="2" t="inlineStr">
        <is>
          <t>E</t>
        </is>
      </c>
      <c r="J141" s="2" t="inlineStr">
        <is>
          <t>E</t>
        </is>
      </c>
      <c r="K141" s="2" t="inlineStr">
        <is>
          <t>I question myself first. Maybe I misunderstood. Maybe they had a reason. I spiral before I speak.</t>
        </is>
      </c>
      <c r="L141" s="2" t="n">
        <v>5</v>
      </c>
      <c r="M141" s="2" t="n">
        <v>6</v>
      </c>
      <c r="N141" s="2" t="n">
        <v>2</v>
      </c>
      <c r="O141" s="2" t="n">
        <v>4</v>
      </c>
      <c r="P141" s="2" t="n">
        <v>2</v>
      </c>
      <c r="Q141" s="2" t="inlineStr">
        <is>
          <t>Romantic Idealist</t>
        </is>
      </c>
      <c r="R141" s="2" t="n">
        <v>6</v>
      </c>
      <c r="S141" s="2" t="n"/>
      <c r="T141" s="2" t="n"/>
      <c r="U141" s="2" t="n">
        <v>0</v>
      </c>
      <c r="V141" s="2" t="inlineStr">
        <is>
          <t>masc:-0.4;fem:1.5</t>
        </is>
      </c>
      <c r="W141" s="2" t="n">
        <v>-0.4</v>
      </c>
      <c r="X141" s="2" t="n">
        <v>1.5</v>
      </c>
      <c r="Y141" s="2" t="inlineStr">
        <is>
          <t>COMM_Emotional</t>
        </is>
      </c>
      <c r="Z141" s="2" t="inlineStr">
        <is>
          <t>REG_Distractor</t>
        </is>
      </c>
      <c r="AA141" s="2" t="inlineStr">
        <is>
          <t>LANG_Gifts</t>
        </is>
      </c>
      <c r="AB141" s="2" t="inlineStr">
        <is>
          <t>Commitment_Ambiguity</t>
        </is>
      </c>
      <c r="AC141" s="2" t="inlineStr">
        <is>
          <t>Commitment_Ambiguity</t>
        </is>
      </c>
      <c r="AD141" s="2" t="n"/>
      <c r="AE141" s="2" t="n">
        <v>5</v>
      </c>
      <c r="AF141" s="2" t="inlineStr">
        <is>
          <t>self-gaslighting</t>
        </is>
      </c>
      <c r="AG141" s="2" t="inlineStr">
        <is>
          <t>doubtful justifier</t>
        </is>
      </c>
      <c r="AH141" s="2" t="n">
        <v>0</v>
      </c>
      <c r="AI141" s="2" t="inlineStr">
        <is>
          <t>yes</t>
        </is>
      </c>
      <c r="AJ141" s="2" t="inlineStr">
        <is>
          <t>no</t>
        </is>
      </c>
      <c r="AK141" s="2" t="inlineStr">
        <is>
          <t>no</t>
        </is>
      </c>
      <c r="AL141" s="2" t="inlineStr">
        <is>
          <t>no</t>
        </is>
      </c>
      <c r="AM141" s="2" t="n"/>
      <c r="AN141" s="2" t="n"/>
      <c r="AO141" s="2" t="n"/>
      <c r="AP141" s="2" t="inlineStr">
        <is>
          <t>v3_2026-03-19</t>
        </is>
      </c>
      <c r="AQ141">
        <f>(L141-Schema_v5!$C2)/(Schema_v5!$C3-Schema_v5!$C2)</f>
        <v/>
      </c>
      <c r="AR141">
        <f>(M141-Schema_v5!$C4)/(Schema_v5!$C5-Schema_v5!$C4)</f>
        <v/>
      </c>
      <c r="AS141">
        <f>N141/Schema_v5!$C6</f>
        <v/>
      </c>
      <c r="AT141">
        <f>O141/Schema_v5!$C7</f>
        <v/>
      </c>
      <c r="AU141">
        <f>P141/Schema_v5!$C8</f>
        <v/>
      </c>
      <c r="AV141">
        <f>IF(Schema_v5!$C9=0,0,AH141/Schema_v5!$C9)</f>
        <v/>
      </c>
      <c r="AW141">
        <f>IF(Schema_v5!$C10=0,0,AE141/Schema_v5!$C10)</f>
        <v/>
      </c>
      <c r="AX141">
        <f>(W141-Schema_v5!$C11)/(Schema_v5!$C12-Schema_v5!$C11)</f>
        <v/>
      </c>
      <c r="AY141">
        <f>(X141-Schema_v5!$C13)/(Schema_v5!$C14-Schema_v5!$C13)</f>
        <v/>
      </c>
      <c r="AZ141">
        <f>MIN(1,MAX(0,U141/Schema_v7!$C$9))</f>
        <v/>
      </c>
      <c r="BA141">
        <f>IF(AJ141="yes",0.55,0)</f>
        <v/>
      </c>
      <c r="BB141">
        <f>IF(AI141="yes",0.10,0)</f>
        <v/>
      </c>
      <c r="BC141">
        <f>IF(Y141="COMM_Direct",0.92,IF(Y141="COMM_Emotional",0.70,IF(Y141="COMM_Logical",0.65,IF(Y141="COMM_Indirect",0.55,0.35))))</f>
        <v/>
      </c>
      <c r="BD141">
        <f>IF(Z141="REG_CoRegulator",0.92,IF(Z141="REG_SelfSoother",0.76,IF(Z141="REG_Distractor",0.48,0.35)))</f>
        <v/>
      </c>
      <c r="BE141">
        <f>IF(AA141="LANG_Time",0.76,IF(AA141="LANG_Service",0.70,IF(AA141="LANG_Words",0.72,IF(AA141="LANG_Touch",0.68,0.60))))</f>
        <v/>
      </c>
      <c r="BF141">
        <f>MAX(0,MIN(1,0.28*AS141+0.16*AT141+0.18*BC141+0.18*BD141+0.10*(1-AZ141)+0.10*(1-BA141)+BB141))</f>
        <v/>
      </c>
      <c r="BG141">
        <f>MAX(0,MIN(1,0.24*AU141+0.18*AS141+0.18*BC141+0.20*BD141+0.10*(1-AW141)+0.10*(1-BA141)))</f>
        <v/>
      </c>
      <c r="BH141">
        <f>MAX(0,MIN(1,0.28*AR141+0.18*AT141+0.16*AU141+0.18*(1-AV141)+0.10*(1-AW141)+0.10*BF141))</f>
        <v/>
      </c>
      <c r="BI141">
        <f>MAX(0,MIN(1,0.30*AV141+0.20*AZ141+0.20*AW141+0.15*(1-BH141)+0.15*(1-BO141)))</f>
        <v/>
      </c>
      <c r="BJ141">
        <f>MAX(0,1-(ABS(((( AX141+AY141)/2)-0.55)*1.6)))</f>
        <v/>
      </c>
      <c r="BK141">
        <f>MAX(0,MIN(1,0.28*AR141+0.18*AT141+0.16*BJ141+0.14*(1-AV141)+0.12*BQ141+0.12*BO141))</f>
        <v/>
      </c>
      <c r="BL141">
        <f>MAX(0,MIN(1,0.22*AQ141+0.18*AS141+0.18*BC141+0.18*BD141+0.08*BE141+0.10*BF141+0.06*BO141))</f>
        <v/>
      </c>
      <c r="BM141">
        <f>MAX(0,MIN(1,0.20*(1-AZ141)+0.16*(1-BA141)+0.14*(1-AW141)+0.14*AU141+0.18*BG141+0.10*BH141+0.08*BP141))</f>
        <v/>
      </c>
      <c r="BN141">
        <f>MAX(0,MIN(1,0.42*BJ141+0.33*BK141+0.15*AT141+0.10*BQ141))</f>
        <v/>
      </c>
      <c r="BO141">
        <f>MAX(0,MIN(1,0.30*BC141+0.24*BD141+0.18*AS141+0.14*(1-BI141)+0.14*AT141))</f>
        <v/>
      </c>
      <c r="BP141">
        <f>MAX(0,MIN(1,0.26*AS141+0.20*(1-BA141)+0.16*(1-AW141)+0.18*BG141+0.10*AU141+0.10+BB141))</f>
        <v/>
      </c>
      <c r="BQ141">
        <f>MAX(0,MIN(1,0.24*AT141+0.18*BF141+0.14*AR141+0.14*BO141+0.14*(1-AV141)+0.16*(1-AZ141)))</f>
        <v/>
      </c>
      <c r="BR141">
        <f>IF(BO141&gt;=0.80,"Open",IF(BO141&gt;=0.62,"Measured",IF(BO141&gt;=0.45,"Selective","Guarded")))</f>
        <v/>
      </c>
      <c r="BS141">
        <f>IF(Y141="COMM_Direct","Direct",IF(Y141="COMM_Emotional","Emotional",IF(Y141="COMM_Logical","Logical",IF(Y141="COMM_Indirect","Indirect","Avoidant"))))</f>
        <v/>
      </c>
      <c r="BT141">
        <f>IF(BG141&gt;=0.78,"Co-repair",IF(BG141&gt;=0.58,"Re-engage",IF(BG141&gt;=0.40,"Delay","Suppress")))</f>
        <v/>
      </c>
      <c r="BU141">
        <f>IF(BI141&gt;=0.70,"Retreat-risk",IF(BH141&lt;=0.40,"Rush-risk",IF(BH141&gt;=0.65,"Slow-build","Mixed")))</f>
        <v/>
      </c>
      <c r="BV141">
        <f>IF(BL141-BM141&gt;=0.15,"Stimulation-seeking",IF(BM141-BL141&gt;=0.15,"Calm-seeking","Mixed")))</f>
        <v/>
      </c>
      <c r="BW141">
        <f>IF(AND(BL141&gt;=0.72,BM141&lt;0.48),"High",IF(AND(BL141&gt;=0.60,BM141&lt;0.58),"Medium","Low"))</f>
        <v/>
      </c>
    </row>
    <row r="142" ht="121.5" customHeight="1" s="10">
      <c r="A142" s="2" t="inlineStr">
        <is>
          <t>Q29_A</t>
        </is>
      </c>
      <c r="B142" s="2" t="n">
        <v>29</v>
      </c>
      <c r="C142" s="2" t="n">
        <v>29</v>
      </c>
      <c r="D142" s="2" t="inlineStr">
        <is>
          <t>Core</t>
        </is>
      </c>
      <c r="E142" s="2" t="n">
        <v>1.15</v>
      </c>
      <c r="F142" s="2" t="inlineStr">
        <is>
          <t>ValuesLifestyle</t>
        </is>
      </c>
      <c r="G142" s="2" t="inlineStr">
        <is>
          <t>IntentAlignment</t>
        </is>
      </c>
      <c r="H142" s="2" t="inlineStr">
        <is>
          <t>You start feeling like they're pulling back emotionally-but they haven't said anything. What's your instinct?</t>
        </is>
      </c>
      <c r="I142" s="2" t="inlineStr">
        <is>
          <t>A</t>
        </is>
      </c>
      <c r="J142" s="2" t="inlineStr">
        <is>
          <t>A</t>
        </is>
      </c>
      <c r="K142" s="2" t="inlineStr">
        <is>
          <t>I match the shift. You move less, I move less. I'm not here to overextend where I'm not met.</t>
        </is>
      </c>
      <c r="L142" s="2" t="n">
        <v>8</v>
      </c>
      <c r="M142" s="2" t="n">
        <v>9</v>
      </c>
      <c r="N142" s="2" t="n">
        <v>4</v>
      </c>
      <c r="O142" s="2" t="n">
        <v>6</v>
      </c>
      <c r="P142" s="2" t="n">
        <v>2</v>
      </c>
      <c r="Q142" s="2" t="inlineStr">
        <is>
          <t>Icebox</t>
        </is>
      </c>
      <c r="R142" s="2" t="n">
        <v>1</v>
      </c>
      <c r="S142" s="2" t="n"/>
      <c r="T142" s="2" t="n"/>
      <c r="U142" s="2" t="n">
        <v>0</v>
      </c>
      <c r="V142" s="2" t="inlineStr">
        <is>
          <t>masc:1.8;fem:-1.6</t>
        </is>
      </c>
      <c r="W142" s="2" t="n">
        <v>1.8</v>
      </c>
      <c r="X142" s="2" t="n">
        <v>-1.6</v>
      </c>
      <c r="Y142" s="2" t="inlineStr">
        <is>
          <t>COMM_Avoidant</t>
        </is>
      </c>
      <c r="Z142" s="2" t="inlineStr">
        <is>
          <t>REG_Suppressor</t>
        </is>
      </c>
      <c r="AA142" s="2" t="inlineStr">
        <is>
          <t>LANG_Time</t>
        </is>
      </c>
      <c r="AB142" s="2" t="n"/>
      <c r="AC142" s="2" t="n"/>
      <c r="AD142" s="2" t="n"/>
      <c r="AE142" s="2" t="n">
        <v>0</v>
      </c>
      <c r="AF142" s="2" t="inlineStr">
        <is>
          <t>energy mirror reflex</t>
        </is>
      </c>
      <c r="AG142" s="2" t="inlineStr">
        <is>
          <t>mirrored boundary</t>
        </is>
      </c>
      <c r="AH142" s="2" t="n">
        <v>0</v>
      </c>
      <c r="AI142" s="2" t="inlineStr">
        <is>
          <t>no</t>
        </is>
      </c>
      <c r="AJ142" s="2" t="inlineStr">
        <is>
          <t>no</t>
        </is>
      </c>
      <c r="AK142" s="2" t="inlineStr">
        <is>
          <t>no</t>
        </is>
      </c>
      <c r="AL142" s="2" t="inlineStr">
        <is>
          <t>no</t>
        </is>
      </c>
      <c r="AM142" s="2" t="n"/>
      <c r="AN142" s="2" t="n"/>
      <c r="AO142" s="2" t="n"/>
      <c r="AP142" s="2" t="inlineStr">
        <is>
          <t>v3_2026-03-19</t>
        </is>
      </c>
      <c r="AQ142">
        <f>(L142-Schema_v5!$C2)/(Schema_v5!$C3-Schema_v5!$C2)</f>
        <v/>
      </c>
      <c r="AR142">
        <f>(M142-Schema_v5!$C4)/(Schema_v5!$C5-Schema_v5!$C4)</f>
        <v/>
      </c>
      <c r="AS142">
        <f>N142/Schema_v5!$C6</f>
        <v/>
      </c>
      <c r="AT142">
        <f>O142/Schema_v5!$C7</f>
        <v/>
      </c>
      <c r="AU142">
        <f>P142/Schema_v5!$C8</f>
        <v/>
      </c>
      <c r="AV142">
        <f>IF(Schema_v5!$C9=0,0,AH142/Schema_v5!$C9)</f>
        <v/>
      </c>
      <c r="AW142">
        <f>IF(Schema_v5!$C10=0,0,AE142/Schema_v5!$C10)</f>
        <v/>
      </c>
      <c r="AX142">
        <f>(W142-Schema_v5!$C11)/(Schema_v5!$C12-Schema_v5!$C11)</f>
        <v/>
      </c>
      <c r="AY142">
        <f>(X142-Schema_v5!$C13)/(Schema_v5!$C14-Schema_v5!$C13)</f>
        <v/>
      </c>
      <c r="AZ142">
        <f>MIN(1,MAX(0,U142/Schema_v7!$C$9))</f>
        <v/>
      </c>
      <c r="BA142">
        <f>IF(AJ142="yes",0.55,0)</f>
        <v/>
      </c>
      <c r="BB142">
        <f>IF(AI142="yes",0.10,0)</f>
        <v/>
      </c>
      <c r="BC142">
        <f>IF(Y142="COMM_Direct",0.92,IF(Y142="COMM_Emotional",0.70,IF(Y142="COMM_Logical",0.65,IF(Y142="COMM_Indirect",0.55,0.35))))</f>
        <v/>
      </c>
      <c r="BD142">
        <f>IF(Z142="REG_CoRegulator",0.92,IF(Z142="REG_SelfSoother",0.76,IF(Z142="REG_Distractor",0.48,0.35)))</f>
        <v/>
      </c>
      <c r="BE142">
        <f>IF(AA142="LANG_Time",0.76,IF(AA142="LANG_Service",0.70,IF(AA142="LANG_Words",0.72,IF(AA142="LANG_Touch",0.68,0.60))))</f>
        <v/>
      </c>
      <c r="BF142">
        <f>MAX(0,MIN(1,0.28*AS142+0.16*AT142+0.18*BC142+0.18*BD142+0.10*(1-AZ142)+0.10*(1-BA142)+BB142))</f>
        <v/>
      </c>
      <c r="BG142">
        <f>MAX(0,MIN(1,0.24*AU142+0.18*AS142+0.18*BC142+0.20*BD142+0.10*(1-AW142)+0.10*(1-BA142)))</f>
        <v/>
      </c>
      <c r="BH142">
        <f>MAX(0,MIN(1,0.28*AR142+0.18*AT142+0.16*AU142+0.18*(1-AV142)+0.10*(1-AW142)+0.10*BF142))</f>
        <v/>
      </c>
      <c r="BI142">
        <f>MAX(0,MIN(1,0.30*AV142+0.20*AZ142+0.20*AW142+0.15*(1-BH142)+0.15*(1-BO142)))</f>
        <v/>
      </c>
      <c r="BJ142">
        <f>MAX(0,1-(ABS(((( AX142+AY142)/2)-0.55)*1.6)))</f>
        <v/>
      </c>
      <c r="BK142">
        <f>MAX(0,MIN(1,0.28*AR142+0.18*AT142+0.16*BJ142+0.14*(1-AV142)+0.12*BQ142+0.12*BO142))</f>
        <v/>
      </c>
      <c r="BL142">
        <f>MAX(0,MIN(1,0.22*AQ142+0.18*AS142+0.18*BC142+0.18*BD142+0.08*BE142+0.10*BF142+0.06*BO142))</f>
        <v/>
      </c>
      <c r="BM142">
        <f>MAX(0,MIN(1,0.20*(1-AZ142)+0.16*(1-BA142)+0.14*(1-AW142)+0.14*AU142+0.18*BG142+0.10*BH142+0.08*BP142))</f>
        <v/>
      </c>
      <c r="BN142">
        <f>MAX(0,MIN(1,0.42*BJ142+0.33*BK142+0.15*AT142+0.10*BQ142))</f>
        <v/>
      </c>
      <c r="BO142">
        <f>MAX(0,MIN(1,0.30*BC142+0.24*BD142+0.18*AS142+0.14*(1-BI142)+0.14*AT142))</f>
        <v/>
      </c>
      <c r="BP142">
        <f>MAX(0,MIN(1,0.26*AS142+0.20*(1-BA142)+0.16*(1-AW142)+0.18*BG142+0.10*AU142+0.10+BB142))</f>
        <v/>
      </c>
      <c r="BQ142">
        <f>MAX(0,MIN(1,0.24*AT142+0.18*BF142+0.14*AR142+0.14*BO142+0.14*(1-AV142)+0.16*(1-AZ142)))</f>
        <v/>
      </c>
      <c r="BR142">
        <f>IF(BO142&gt;=0.80,"Open",IF(BO142&gt;=0.62,"Measured",IF(BO142&gt;=0.45,"Selective","Guarded")))</f>
        <v/>
      </c>
      <c r="BS142">
        <f>IF(Y142="COMM_Direct","Direct",IF(Y142="COMM_Emotional","Emotional",IF(Y142="COMM_Logical","Logical",IF(Y142="COMM_Indirect","Indirect","Avoidant"))))</f>
        <v/>
      </c>
      <c r="BT142">
        <f>IF(BG142&gt;=0.78,"Co-repair",IF(BG142&gt;=0.58,"Re-engage",IF(BG142&gt;=0.40,"Delay","Suppress")))</f>
        <v/>
      </c>
      <c r="BU142">
        <f>IF(BI142&gt;=0.70,"Retreat-risk",IF(BH142&lt;=0.40,"Rush-risk",IF(BH142&gt;=0.65,"Slow-build","Mixed")))</f>
        <v/>
      </c>
      <c r="BV142">
        <f>IF(BL142-BM142&gt;=0.15,"Stimulation-seeking",IF(BM142-BL142&gt;=0.15,"Calm-seeking","Mixed")))</f>
        <v/>
      </c>
      <c r="BW142">
        <f>IF(AND(BL142&gt;=0.72,BM142&lt;0.48),"High",IF(AND(BL142&gt;=0.60,BM142&lt;0.58),"Medium","Low"))</f>
        <v/>
      </c>
    </row>
    <row r="143" ht="135" customHeight="1" s="10">
      <c r="A143" s="2" t="inlineStr">
        <is>
          <t>Q29_B</t>
        </is>
      </c>
      <c r="B143" s="2" t="n">
        <v>29</v>
      </c>
      <c r="C143" s="2" t="n">
        <v>29</v>
      </c>
      <c r="D143" s="2" t="inlineStr">
        <is>
          <t>Core</t>
        </is>
      </c>
      <c r="E143" s="2" t="n">
        <v>1.15</v>
      </c>
      <c r="F143" s="2" t="inlineStr">
        <is>
          <t>ValuesLifestyle</t>
        </is>
      </c>
      <c r="G143" s="2" t="inlineStr">
        <is>
          <t>IntentAlignment</t>
        </is>
      </c>
      <c r="H143" s="2" t="n"/>
      <c r="I143" s="2" t="inlineStr">
        <is>
          <t>B</t>
        </is>
      </c>
      <c r="J143" s="2" t="inlineStr">
        <is>
          <t>B</t>
        </is>
      </c>
      <c r="K143" s="2" t="inlineStr">
        <is>
          <t>I keep the conversations going, but lighter. I don't want to ask directly, I'd rather just try to stay in their world a bit longer.</t>
        </is>
      </c>
      <c r="L143" s="2" t="n">
        <v>5</v>
      </c>
      <c r="M143" s="2" t="n">
        <v>6</v>
      </c>
      <c r="N143" s="2" t="n">
        <v>2</v>
      </c>
      <c r="O143" s="2" t="n">
        <v>4</v>
      </c>
      <c r="P143" s="2" t="n">
        <v>2</v>
      </c>
      <c r="Q143" s="2" t="inlineStr">
        <is>
          <t>Phantom Seeker</t>
        </is>
      </c>
      <c r="R143" s="2" t="n">
        <v>10</v>
      </c>
      <c r="S143" s="2" t="n"/>
      <c r="T143" s="2" t="n"/>
      <c r="U143" s="2" t="n">
        <v>0</v>
      </c>
      <c r="V143" s="2" t="inlineStr">
        <is>
          <t>masc:-0.2;fem:1.5</t>
        </is>
      </c>
      <c r="W143" s="2" t="n">
        <v>-0.2</v>
      </c>
      <c r="X143" s="2" t="n">
        <v>1.5</v>
      </c>
      <c r="Y143" s="2" t="inlineStr">
        <is>
          <t>COMM_Emotional</t>
        </is>
      </c>
      <c r="Z143" s="2" t="inlineStr">
        <is>
          <t>REG_SelfSoother</t>
        </is>
      </c>
      <c r="AA143" s="2" t="inlineStr">
        <is>
          <t>LANG_Touch</t>
        </is>
      </c>
      <c r="AB143" s="2" t="inlineStr">
        <is>
          <t>Vulnerability_Loop</t>
        </is>
      </c>
      <c r="AC143" s="2" t="inlineStr">
        <is>
          <t>Vulnerability_Loop</t>
        </is>
      </c>
      <c r="AD143" s="2" t="n"/>
      <c r="AE143" s="2" t="n">
        <v>5</v>
      </c>
      <c r="AF143" s="2" t="inlineStr">
        <is>
          <t>soft presence maintenance</t>
        </is>
      </c>
      <c r="AG143" s="2" t="inlineStr">
        <is>
          <t>gentle holder</t>
        </is>
      </c>
      <c r="AH143" s="2" t="n">
        <v>0</v>
      </c>
      <c r="AI143" s="2" t="inlineStr">
        <is>
          <t>yes</t>
        </is>
      </c>
      <c r="AJ143" s="2" t="inlineStr">
        <is>
          <t>no</t>
        </is>
      </c>
      <c r="AK143" s="2" t="inlineStr">
        <is>
          <t>no</t>
        </is>
      </c>
      <c r="AL143" s="2" t="inlineStr">
        <is>
          <t>no</t>
        </is>
      </c>
      <c r="AM143" s="2" t="n"/>
      <c r="AN143" s="2" t="n"/>
      <c r="AO143" s="2" t="n"/>
      <c r="AP143" s="2" t="inlineStr">
        <is>
          <t>v3_2026-03-19</t>
        </is>
      </c>
      <c r="AQ143">
        <f>(L143-Schema_v5!$C2)/(Schema_v5!$C3-Schema_v5!$C2)</f>
        <v/>
      </c>
      <c r="AR143">
        <f>(M143-Schema_v5!$C4)/(Schema_v5!$C5-Schema_v5!$C4)</f>
        <v/>
      </c>
      <c r="AS143">
        <f>N143/Schema_v5!$C6</f>
        <v/>
      </c>
      <c r="AT143">
        <f>O143/Schema_v5!$C7</f>
        <v/>
      </c>
      <c r="AU143">
        <f>P143/Schema_v5!$C8</f>
        <v/>
      </c>
      <c r="AV143">
        <f>IF(Schema_v5!$C9=0,0,AH143/Schema_v5!$C9)</f>
        <v/>
      </c>
      <c r="AW143">
        <f>IF(Schema_v5!$C10=0,0,AE143/Schema_v5!$C10)</f>
        <v/>
      </c>
      <c r="AX143">
        <f>(W143-Schema_v5!$C11)/(Schema_v5!$C12-Schema_v5!$C11)</f>
        <v/>
      </c>
      <c r="AY143">
        <f>(X143-Schema_v5!$C13)/(Schema_v5!$C14-Schema_v5!$C13)</f>
        <v/>
      </c>
      <c r="AZ143">
        <f>MIN(1,MAX(0,U143/Schema_v7!$C$9))</f>
        <v/>
      </c>
      <c r="BA143">
        <f>IF(AJ143="yes",0.55,0)</f>
        <v/>
      </c>
      <c r="BB143">
        <f>IF(AI143="yes",0.10,0)</f>
        <v/>
      </c>
      <c r="BC143">
        <f>IF(Y143="COMM_Direct",0.92,IF(Y143="COMM_Emotional",0.70,IF(Y143="COMM_Logical",0.65,IF(Y143="COMM_Indirect",0.55,0.35))))</f>
        <v/>
      </c>
      <c r="BD143">
        <f>IF(Z143="REG_CoRegulator",0.92,IF(Z143="REG_SelfSoother",0.76,IF(Z143="REG_Distractor",0.48,0.35)))</f>
        <v/>
      </c>
      <c r="BE143">
        <f>IF(AA143="LANG_Time",0.76,IF(AA143="LANG_Service",0.70,IF(AA143="LANG_Words",0.72,IF(AA143="LANG_Touch",0.68,0.60))))</f>
        <v/>
      </c>
      <c r="BF143">
        <f>MAX(0,MIN(1,0.28*AS143+0.16*AT143+0.18*BC143+0.18*BD143+0.10*(1-AZ143)+0.10*(1-BA143)+BB143))</f>
        <v/>
      </c>
      <c r="BG143">
        <f>MAX(0,MIN(1,0.24*AU143+0.18*AS143+0.18*BC143+0.20*BD143+0.10*(1-AW143)+0.10*(1-BA143)))</f>
        <v/>
      </c>
      <c r="BH143">
        <f>MAX(0,MIN(1,0.28*AR143+0.18*AT143+0.16*AU143+0.18*(1-AV143)+0.10*(1-AW143)+0.10*BF143))</f>
        <v/>
      </c>
      <c r="BI143">
        <f>MAX(0,MIN(1,0.30*AV143+0.20*AZ143+0.20*AW143+0.15*(1-BH143)+0.15*(1-BO143)))</f>
        <v/>
      </c>
      <c r="BJ143">
        <f>MAX(0,1-(ABS(((( AX143+AY143)/2)-0.55)*1.6)))</f>
        <v/>
      </c>
      <c r="BK143">
        <f>MAX(0,MIN(1,0.28*AR143+0.18*AT143+0.16*BJ143+0.14*(1-AV143)+0.12*BQ143+0.12*BO143))</f>
        <v/>
      </c>
      <c r="BL143">
        <f>MAX(0,MIN(1,0.22*AQ143+0.18*AS143+0.18*BC143+0.18*BD143+0.08*BE143+0.10*BF143+0.06*BO143))</f>
        <v/>
      </c>
      <c r="BM143">
        <f>MAX(0,MIN(1,0.20*(1-AZ143)+0.16*(1-BA143)+0.14*(1-AW143)+0.14*AU143+0.18*BG143+0.10*BH143+0.08*BP143))</f>
        <v/>
      </c>
      <c r="BN143">
        <f>MAX(0,MIN(1,0.42*BJ143+0.33*BK143+0.15*AT143+0.10*BQ143))</f>
        <v/>
      </c>
      <c r="BO143">
        <f>MAX(0,MIN(1,0.30*BC143+0.24*BD143+0.18*AS143+0.14*(1-BI143)+0.14*AT143))</f>
        <v/>
      </c>
      <c r="BP143">
        <f>MAX(0,MIN(1,0.26*AS143+0.20*(1-BA143)+0.16*(1-AW143)+0.18*BG143+0.10*AU143+0.10+BB143))</f>
        <v/>
      </c>
      <c r="BQ143">
        <f>MAX(0,MIN(1,0.24*AT143+0.18*BF143+0.14*AR143+0.14*BO143+0.14*(1-AV143)+0.16*(1-AZ143)))</f>
        <v/>
      </c>
      <c r="BR143">
        <f>IF(BO143&gt;=0.80,"Open",IF(BO143&gt;=0.62,"Measured",IF(BO143&gt;=0.45,"Selective","Guarded")))</f>
        <v/>
      </c>
      <c r="BS143">
        <f>IF(Y143="COMM_Direct","Direct",IF(Y143="COMM_Emotional","Emotional",IF(Y143="COMM_Logical","Logical",IF(Y143="COMM_Indirect","Indirect","Avoidant"))))</f>
        <v/>
      </c>
      <c r="BT143">
        <f>IF(BG143&gt;=0.78,"Co-repair",IF(BG143&gt;=0.58,"Re-engage",IF(BG143&gt;=0.40,"Delay","Suppress")))</f>
        <v/>
      </c>
      <c r="BU143">
        <f>IF(BI143&gt;=0.70,"Retreat-risk",IF(BH143&lt;=0.40,"Rush-risk",IF(BH143&gt;=0.65,"Slow-build","Mixed")))</f>
        <v/>
      </c>
      <c r="BV143">
        <f>IF(BL143-BM143&gt;=0.15,"Stimulation-seeking",IF(BM143-BL143&gt;=0.15,"Calm-seeking","Mixed")))</f>
        <v/>
      </c>
      <c r="BW143">
        <f>IF(AND(BL143&gt;=0.72,BM143&lt;0.48),"High",IF(AND(BL143&gt;=0.60,BM143&lt;0.58),"Medium","Low"))</f>
        <v/>
      </c>
    </row>
    <row r="144" ht="135" customHeight="1" s="10">
      <c r="A144" s="2" t="inlineStr">
        <is>
          <t>Q29_C</t>
        </is>
      </c>
      <c r="B144" s="2" t="n">
        <v>29</v>
      </c>
      <c r="C144" s="2" t="n">
        <v>29</v>
      </c>
      <c r="D144" s="2" t="inlineStr">
        <is>
          <t>Core</t>
        </is>
      </c>
      <c r="E144" s="2" t="n">
        <v>1.15</v>
      </c>
      <c r="F144" s="2" t="inlineStr">
        <is>
          <t>ValuesLifestyle</t>
        </is>
      </c>
      <c r="G144" s="2" t="inlineStr">
        <is>
          <t>IntentAlignment</t>
        </is>
      </c>
      <c r="H144" s="2" t="n"/>
      <c r="I144" s="2" t="inlineStr">
        <is>
          <t>C</t>
        </is>
      </c>
      <c r="J144" s="2" t="inlineStr">
        <is>
          <t>C</t>
        </is>
      </c>
      <c r="K144" s="2" t="inlineStr">
        <is>
          <t>I bring it up. I don't like guessing games. If we're drifting, I'd rather name it than pretend it's not happening.</t>
        </is>
      </c>
      <c r="L144" s="2" t="n">
        <v>10</v>
      </c>
      <c r="M144" s="2" t="n">
        <v>10</v>
      </c>
      <c r="N144" s="2" t="n">
        <v>10</v>
      </c>
      <c r="O144" s="2" t="n">
        <v>10</v>
      </c>
      <c r="P144" s="2" t="n">
        <v>10</v>
      </c>
      <c r="Q144" s="2" t="inlineStr">
        <is>
          <t>Regulated Grown-Up</t>
        </is>
      </c>
      <c r="R144" s="2" t="n">
        <v>9</v>
      </c>
      <c r="S144" s="2" t="n"/>
      <c r="T144" s="2" t="n"/>
      <c r="U144" s="2" t="n">
        <v>0</v>
      </c>
      <c r="V144" s="2" t="inlineStr">
        <is>
          <t>masc:1.1;fem:0.9</t>
        </is>
      </c>
      <c r="W144" s="2" t="n">
        <v>1.1</v>
      </c>
      <c r="X144" s="2" t="n">
        <v>0.9</v>
      </c>
      <c r="Y144" s="2" t="inlineStr">
        <is>
          <t>COMM_Direct</t>
        </is>
      </c>
      <c r="Z144" s="2" t="inlineStr">
        <is>
          <t>REG_CoRegulator</t>
        </is>
      </c>
      <c r="AA144" s="2" t="inlineStr">
        <is>
          <t>LANG_Words</t>
        </is>
      </c>
      <c r="AB144" s="2" t="n"/>
      <c r="AC144" s="2" t="n"/>
      <c r="AD144" s="2" t="n"/>
      <c r="AE144" s="2" t="n">
        <v>0</v>
      </c>
      <c r="AF144" s="2" t="inlineStr">
        <is>
          <t>clarity seeker</t>
        </is>
      </c>
      <c r="AG144" s="2" t="inlineStr">
        <is>
          <t>direct communicator</t>
        </is>
      </c>
      <c r="AH144" s="2" t="n">
        <v>0.5</v>
      </c>
      <c r="AI144" s="2" t="inlineStr">
        <is>
          <t>no</t>
        </is>
      </c>
      <c r="AJ144" s="2" t="inlineStr">
        <is>
          <t>no</t>
        </is>
      </c>
      <c r="AK144" s="2" t="inlineStr">
        <is>
          <t>no</t>
        </is>
      </c>
      <c r="AL144" s="2" t="inlineStr">
        <is>
          <t>no</t>
        </is>
      </c>
      <c r="AM144" s="2" t="n"/>
      <c r="AN144" s="2" t="n"/>
      <c r="AO144" s="2" t="n"/>
      <c r="AP144" s="2" t="inlineStr">
        <is>
          <t>v3_2026-03-19</t>
        </is>
      </c>
      <c r="AQ144">
        <f>(L144-Schema_v5!$C2)/(Schema_v5!$C3-Schema_v5!$C2)</f>
        <v/>
      </c>
      <c r="AR144">
        <f>(M144-Schema_v5!$C4)/(Schema_v5!$C5-Schema_v5!$C4)</f>
        <v/>
      </c>
      <c r="AS144">
        <f>N144/Schema_v5!$C6</f>
        <v/>
      </c>
      <c r="AT144">
        <f>O144/Schema_v5!$C7</f>
        <v/>
      </c>
      <c r="AU144">
        <f>P144/Schema_v5!$C8</f>
        <v/>
      </c>
      <c r="AV144">
        <f>IF(Schema_v5!$C9=0,0,AH144/Schema_v5!$C9)</f>
        <v/>
      </c>
      <c r="AW144">
        <f>IF(Schema_v5!$C10=0,0,AE144/Schema_v5!$C10)</f>
        <v/>
      </c>
      <c r="AX144">
        <f>(W144-Schema_v5!$C11)/(Schema_v5!$C12-Schema_v5!$C11)</f>
        <v/>
      </c>
      <c r="AY144">
        <f>(X144-Schema_v5!$C13)/(Schema_v5!$C14-Schema_v5!$C13)</f>
        <v/>
      </c>
      <c r="AZ144">
        <f>MIN(1,MAX(0,U144/Schema_v7!$C$9))</f>
        <v/>
      </c>
      <c r="BA144">
        <f>IF(AJ144="yes",0.55,0)</f>
        <v/>
      </c>
      <c r="BB144">
        <f>IF(AI144="yes",0.10,0)</f>
        <v/>
      </c>
      <c r="BC144">
        <f>IF(Y144="COMM_Direct",0.92,IF(Y144="COMM_Emotional",0.70,IF(Y144="COMM_Logical",0.65,IF(Y144="COMM_Indirect",0.55,0.35))))</f>
        <v/>
      </c>
      <c r="BD144">
        <f>IF(Z144="REG_CoRegulator",0.92,IF(Z144="REG_SelfSoother",0.76,IF(Z144="REG_Distractor",0.48,0.35)))</f>
        <v/>
      </c>
      <c r="BE144">
        <f>IF(AA144="LANG_Time",0.76,IF(AA144="LANG_Service",0.70,IF(AA144="LANG_Words",0.72,IF(AA144="LANG_Touch",0.68,0.60))))</f>
        <v/>
      </c>
      <c r="BF144">
        <f>MAX(0,MIN(1,0.28*AS144+0.16*AT144+0.18*BC144+0.18*BD144+0.10*(1-AZ144)+0.10*(1-BA144)+BB144))</f>
        <v/>
      </c>
      <c r="BG144">
        <f>MAX(0,MIN(1,0.24*AU144+0.18*AS144+0.18*BC144+0.20*BD144+0.10*(1-AW144)+0.10*(1-BA144)))</f>
        <v/>
      </c>
      <c r="BH144">
        <f>MAX(0,MIN(1,0.28*AR144+0.18*AT144+0.16*AU144+0.18*(1-AV144)+0.10*(1-AW144)+0.10*BF144))</f>
        <v/>
      </c>
      <c r="BI144">
        <f>MAX(0,MIN(1,0.30*AV144+0.20*AZ144+0.20*AW144+0.15*(1-BH144)+0.15*(1-BO144)))</f>
        <v/>
      </c>
      <c r="BJ144">
        <f>MAX(0,1-(ABS(((( AX144+AY144)/2)-0.55)*1.6)))</f>
        <v/>
      </c>
      <c r="BK144">
        <f>MAX(0,MIN(1,0.28*AR144+0.18*AT144+0.16*BJ144+0.14*(1-AV144)+0.12*BQ144+0.12*BO144))</f>
        <v/>
      </c>
      <c r="BL144">
        <f>MAX(0,MIN(1,0.22*AQ144+0.18*AS144+0.18*BC144+0.18*BD144+0.08*BE144+0.10*BF144+0.06*BO144))</f>
        <v/>
      </c>
      <c r="BM144">
        <f>MAX(0,MIN(1,0.20*(1-AZ144)+0.16*(1-BA144)+0.14*(1-AW144)+0.14*AU144+0.18*BG144+0.10*BH144+0.08*BP144))</f>
        <v/>
      </c>
      <c r="BN144">
        <f>MAX(0,MIN(1,0.42*BJ144+0.33*BK144+0.15*AT144+0.10*BQ144))</f>
        <v/>
      </c>
      <c r="BO144">
        <f>MAX(0,MIN(1,0.30*BC144+0.24*BD144+0.18*AS144+0.14*(1-BI144)+0.14*AT144))</f>
        <v/>
      </c>
      <c r="BP144">
        <f>MAX(0,MIN(1,0.26*AS144+0.20*(1-BA144)+0.16*(1-AW144)+0.18*BG144+0.10*AU144+0.10+BB144))</f>
        <v/>
      </c>
      <c r="BQ144">
        <f>MAX(0,MIN(1,0.24*AT144+0.18*BF144+0.14*AR144+0.14*BO144+0.14*(1-AV144)+0.16*(1-AZ144)))</f>
        <v/>
      </c>
      <c r="BR144">
        <f>IF(BO144&gt;=0.80,"Open",IF(BO144&gt;=0.62,"Measured",IF(BO144&gt;=0.45,"Selective","Guarded")))</f>
        <v/>
      </c>
      <c r="BS144">
        <f>IF(Y144="COMM_Direct","Direct",IF(Y144="COMM_Emotional","Emotional",IF(Y144="COMM_Logical","Logical",IF(Y144="COMM_Indirect","Indirect","Avoidant"))))</f>
        <v/>
      </c>
      <c r="BT144">
        <f>IF(BG144&gt;=0.78,"Co-repair",IF(BG144&gt;=0.58,"Re-engage",IF(BG144&gt;=0.40,"Delay","Suppress")))</f>
        <v/>
      </c>
      <c r="BU144">
        <f>IF(BI144&gt;=0.70,"Retreat-risk",IF(BH144&lt;=0.40,"Rush-risk",IF(BH144&gt;=0.65,"Slow-build","Mixed")))</f>
        <v/>
      </c>
      <c r="BV144">
        <f>IF(BL144-BM144&gt;=0.15,"Stimulation-seeking",IF(BM144-BL144&gt;=0.15,"Calm-seeking","Mixed")))</f>
        <v/>
      </c>
      <c r="BW144">
        <f>IF(AND(BL144&gt;=0.72,BM144&lt;0.48),"High",IF(AND(BL144&gt;=0.60,BM144&lt;0.58),"Medium","Low"))</f>
        <v/>
      </c>
    </row>
    <row r="145" ht="135" customHeight="1" s="10">
      <c r="A145" s="2" t="inlineStr">
        <is>
          <t>Q29_D</t>
        </is>
      </c>
      <c r="B145" s="2" t="n">
        <v>29</v>
      </c>
      <c r="C145" s="2" t="n">
        <v>29</v>
      </c>
      <c r="D145" s="2" t="inlineStr">
        <is>
          <t>Core</t>
        </is>
      </c>
      <c r="E145" s="2" t="n">
        <v>1.15</v>
      </c>
      <c r="F145" s="2" t="inlineStr">
        <is>
          <t>ValuesLifestyle</t>
        </is>
      </c>
      <c r="G145" s="2" t="inlineStr">
        <is>
          <t>IntentAlignment</t>
        </is>
      </c>
      <c r="H145" s="2" t="n"/>
      <c r="I145" s="2" t="inlineStr">
        <is>
          <t>D</t>
        </is>
      </c>
      <c r="J145" s="2" t="inlineStr">
        <is>
          <t>D</t>
        </is>
      </c>
      <c r="K145" s="2" t="inlineStr">
        <is>
          <t>I start mentally preparing for the end. I've seen this before, distance always comes before the goodbye.</t>
        </is>
      </c>
      <c r="L145" s="2" t="n">
        <v>6</v>
      </c>
      <c r="M145" s="2" t="n">
        <v>7</v>
      </c>
      <c r="N145" s="2" t="n">
        <v>4</v>
      </c>
      <c r="O145" s="2" t="n">
        <v>6</v>
      </c>
      <c r="P145" s="2" t="n">
        <v>4</v>
      </c>
      <c r="Q145" s="2" t="inlineStr">
        <is>
          <t>Survivor</t>
        </is>
      </c>
      <c r="R145" s="2" t="n">
        <v>8</v>
      </c>
      <c r="S145" s="2" t="n"/>
      <c r="T145" s="2" t="n"/>
      <c r="U145" s="2" t="n">
        <v>0</v>
      </c>
      <c r="V145" s="2" t="inlineStr">
        <is>
          <t>masc:0.3;fem:1.3</t>
        </is>
      </c>
      <c r="W145" s="2" t="n">
        <v>0.3</v>
      </c>
      <c r="X145" s="2" t="n">
        <v>1.3</v>
      </c>
      <c r="Y145" s="2" t="inlineStr">
        <is>
          <t>COMM_Emotional</t>
        </is>
      </c>
      <c r="Z145" s="2" t="inlineStr">
        <is>
          <t>REG_SelfSoother</t>
        </is>
      </c>
      <c r="AA145" s="2" t="inlineStr">
        <is>
          <t>LANG_Service</t>
        </is>
      </c>
      <c r="AB145" s="2" t="inlineStr">
        <is>
          <t>Vulnerability_Loop</t>
        </is>
      </c>
      <c r="AC145" s="2" t="inlineStr">
        <is>
          <t>Vulnerability_Loop</t>
        </is>
      </c>
      <c r="AD145" s="2" t="n"/>
      <c r="AE145" s="2" t="n">
        <v>5</v>
      </c>
      <c r="AF145" s="2" t="inlineStr">
        <is>
          <t>preemptive grief process</t>
        </is>
      </c>
      <c r="AG145" s="2" t="inlineStr">
        <is>
          <t>guarded planner</t>
        </is>
      </c>
      <c r="AH145" s="2" t="n">
        <v>0</v>
      </c>
      <c r="AI145" s="2" t="inlineStr">
        <is>
          <t>yes</t>
        </is>
      </c>
      <c r="AJ145" s="2" t="inlineStr">
        <is>
          <t>no</t>
        </is>
      </c>
      <c r="AK145" s="2" t="inlineStr">
        <is>
          <t>no</t>
        </is>
      </c>
      <c r="AL145" s="2" t="inlineStr">
        <is>
          <t>no</t>
        </is>
      </c>
      <c r="AM145" s="2" t="n"/>
      <c r="AN145" s="2" t="n"/>
      <c r="AO145" s="2" t="n"/>
      <c r="AP145" s="2" t="inlineStr">
        <is>
          <t>v3_2026-03-19</t>
        </is>
      </c>
      <c r="AQ145">
        <f>(L145-Schema_v5!$C2)/(Schema_v5!$C3-Schema_v5!$C2)</f>
        <v/>
      </c>
      <c r="AR145">
        <f>(M145-Schema_v5!$C4)/(Schema_v5!$C5-Schema_v5!$C4)</f>
        <v/>
      </c>
      <c r="AS145">
        <f>N145/Schema_v5!$C6</f>
        <v/>
      </c>
      <c r="AT145">
        <f>O145/Schema_v5!$C7</f>
        <v/>
      </c>
      <c r="AU145">
        <f>P145/Schema_v5!$C8</f>
        <v/>
      </c>
      <c r="AV145">
        <f>IF(Schema_v5!$C9=0,0,AH145/Schema_v5!$C9)</f>
        <v/>
      </c>
      <c r="AW145">
        <f>IF(Schema_v5!$C10=0,0,AE145/Schema_v5!$C10)</f>
        <v/>
      </c>
      <c r="AX145">
        <f>(W145-Schema_v5!$C11)/(Schema_v5!$C12-Schema_v5!$C11)</f>
        <v/>
      </c>
      <c r="AY145">
        <f>(X145-Schema_v5!$C13)/(Schema_v5!$C14-Schema_v5!$C13)</f>
        <v/>
      </c>
      <c r="AZ145">
        <f>MIN(1,MAX(0,U145/Schema_v7!$C$9))</f>
        <v/>
      </c>
      <c r="BA145">
        <f>IF(AJ145="yes",0.55,0)</f>
        <v/>
      </c>
      <c r="BB145">
        <f>IF(AI145="yes",0.10,0)</f>
        <v/>
      </c>
      <c r="BC145">
        <f>IF(Y145="COMM_Direct",0.92,IF(Y145="COMM_Emotional",0.70,IF(Y145="COMM_Logical",0.65,IF(Y145="COMM_Indirect",0.55,0.35))))</f>
        <v/>
      </c>
      <c r="BD145">
        <f>IF(Z145="REG_CoRegulator",0.92,IF(Z145="REG_SelfSoother",0.76,IF(Z145="REG_Distractor",0.48,0.35)))</f>
        <v/>
      </c>
      <c r="BE145">
        <f>IF(AA145="LANG_Time",0.76,IF(AA145="LANG_Service",0.70,IF(AA145="LANG_Words",0.72,IF(AA145="LANG_Touch",0.68,0.60))))</f>
        <v/>
      </c>
      <c r="BF145">
        <f>MAX(0,MIN(1,0.28*AS145+0.16*AT145+0.18*BC145+0.18*BD145+0.10*(1-AZ145)+0.10*(1-BA145)+BB145))</f>
        <v/>
      </c>
      <c r="BG145">
        <f>MAX(0,MIN(1,0.24*AU145+0.18*AS145+0.18*BC145+0.20*BD145+0.10*(1-AW145)+0.10*(1-BA145)))</f>
        <v/>
      </c>
      <c r="BH145">
        <f>MAX(0,MIN(1,0.28*AR145+0.18*AT145+0.16*AU145+0.18*(1-AV145)+0.10*(1-AW145)+0.10*BF145))</f>
        <v/>
      </c>
      <c r="BI145">
        <f>MAX(0,MIN(1,0.30*AV145+0.20*AZ145+0.20*AW145+0.15*(1-BH145)+0.15*(1-BO145)))</f>
        <v/>
      </c>
      <c r="BJ145">
        <f>MAX(0,1-(ABS(((( AX145+AY145)/2)-0.55)*1.6)))</f>
        <v/>
      </c>
      <c r="BK145">
        <f>MAX(0,MIN(1,0.28*AR145+0.18*AT145+0.16*BJ145+0.14*(1-AV145)+0.12*BQ145+0.12*BO145))</f>
        <v/>
      </c>
      <c r="BL145">
        <f>MAX(0,MIN(1,0.22*AQ145+0.18*AS145+0.18*BC145+0.18*BD145+0.08*BE145+0.10*BF145+0.06*BO145))</f>
        <v/>
      </c>
      <c r="BM145">
        <f>MAX(0,MIN(1,0.20*(1-AZ145)+0.16*(1-BA145)+0.14*(1-AW145)+0.14*AU145+0.18*BG145+0.10*BH145+0.08*BP145))</f>
        <v/>
      </c>
      <c r="BN145">
        <f>MAX(0,MIN(1,0.42*BJ145+0.33*BK145+0.15*AT145+0.10*BQ145))</f>
        <v/>
      </c>
      <c r="BO145">
        <f>MAX(0,MIN(1,0.30*BC145+0.24*BD145+0.18*AS145+0.14*(1-BI145)+0.14*AT145))</f>
        <v/>
      </c>
      <c r="BP145">
        <f>MAX(0,MIN(1,0.26*AS145+0.20*(1-BA145)+0.16*(1-AW145)+0.18*BG145+0.10*AU145+0.10+BB145))</f>
        <v/>
      </c>
      <c r="BQ145">
        <f>MAX(0,MIN(1,0.24*AT145+0.18*BF145+0.14*AR145+0.14*BO145+0.14*(1-AV145)+0.16*(1-AZ145)))</f>
        <v/>
      </c>
      <c r="BR145">
        <f>IF(BO145&gt;=0.80,"Open",IF(BO145&gt;=0.62,"Measured",IF(BO145&gt;=0.45,"Selective","Guarded")))</f>
        <v/>
      </c>
      <c r="BS145">
        <f>IF(Y145="COMM_Direct","Direct",IF(Y145="COMM_Emotional","Emotional",IF(Y145="COMM_Logical","Logical",IF(Y145="COMM_Indirect","Indirect","Avoidant"))))</f>
        <v/>
      </c>
      <c r="BT145">
        <f>IF(BG145&gt;=0.78,"Co-repair",IF(BG145&gt;=0.58,"Re-engage",IF(BG145&gt;=0.40,"Delay","Suppress")))</f>
        <v/>
      </c>
      <c r="BU145">
        <f>IF(BI145&gt;=0.70,"Retreat-risk",IF(BH145&lt;=0.40,"Rush-risk",IF(BH145&gt;=0.65,"Slow-build","Mixed")))</f>
        <v/>
      </c>
      <c r="BV145">
        <f>IF(BL145-BM145&gt;=0.15,"Stimulation-seeking",IF(BM145-BL145&gt;=0.15,"Calm-seeking","Mixed")))</f>
        <v/>
      </c>
      <c r="BW145">
        <f>IF(AND(BL145&gt;=0.72,BM145&lt;0.48),"High",IF(AND(BL145&gt;=0.60,BM145&lt;0.58),"Medium","Low"))</f>
        <v/>
      </c>
    </row>
    <row r="146" ht="135" customHeight="1" s="10">
      <c r="A146" s="2" t="inlineStr">
        <is>
          <t>Q29_E</t>
        </is>
      </c>
      <c r="B146" s="2" t="n">
        <v>29</v>
      </c>
      <c r="C146" s="2" t="n">
        <v>29</v>
      </c>
      <c r="D146" s="2" t="inlineStr">
        <is>
          <t>Core</t>
        </is>
      </c>
      <c r="E146" s="2" t="n">
        <v>1.15</v>
      </c>
      <c r="F146" s="2" t="inlineStr">
        <is>
          <t>ValuesLifestyle</t>
        </is>
      </c>
      <c r="G146" s="2" t="inlineStr">
        <is>
          <t>IntentAlignment</t>
        </is>
      </c>
      <c r="H146" s="2" t="n"/>
      <c r="I146" s="2" t="inlineStr">
        <is>
          <t>E</t>
        </is>
      </c>
      <c r="J146" s="2" t="inlineStr">
        <is>
          <t>E</t>
        </is>
      </c>
      <c r="K146" s="2" t="inlineStr">
        <is>
          <t>I start monitoring everything, timing, wording, vibe. I try to pinpoint exactly when the shift started.</t>
        </is>
      </c>
      <c r="L146" s="2" t="n">
        <v>7</v>
      </c>
      <c r="M146" s="2" t="n">
        <v>8</v>
      </c>
      <c r="N146" s="2" t="n">
        <v>6</v>
      </c>
      <c r="O146" s="2" t="n">
        <v>6</v>
      </c>
      <c r="P146" s="2" t="n">
        <v>6</v>
      </c>
      <c r="Q146" s="2" t="inlineStr">
        <is>
          <t>Analyzer</t>
        </is>
      </c>
      <c r="R146" s="2" t="n">
        <v>2</v>
      </c>
      <c r="S146" s="2" t="n"/>
      <c r="T146" s="2" t="n"/>
      <c r="U146" s="2" t="n">
        <v>0</v>
      </c>
      <c r="V146" s="2" t="inlineStr">
        <is>
          <t>masc:1.4;fem:0.1</t>
        </is>
      </c>
      <c r="W146" s="2" t="n">
        <v>1.4</v>
      </c>
      <c r="X146" s="2" t="n">
        <v>0.1</v>
      </c>
      <c r="Y146" s="2" t="inlineStr">
        <is>
          <t>COMM_Logical</t>
        </is>
      </c>
      <c r="Z146" s="2" t="inlineStr">
        <is>
          <t>REG_SelfSoother</t>
        </is>
      </c>
      <c r="AA146" s="2" t="inlineStr">
        <is>
          <t>LANG_Service</t>
        </is>
      </c>
      <c r="AB146" s="2" t="n"/>
      <c r="AC146" s="2" t="n"/>
      <c r="AD146" s="2" t="n"/>
      <c r="AE146" s="2" t="n">
        <v>0</v>
      </c>
      <c r="AF146" s="2" t="inlineStr">
        <is>
          <t>pattern lockdown mode</t>
        </is>
      </c>
      <c r="AG146" s="2" t="inlineStr">
        <is>
          <t>detailed tracker</t>
        </is>
      </c>
      <c r="AH146" s="2" t="n">
        <v>0.6</v>
      </c>
      <c r="AI146" s="2" t="inlineStr">
        <is>
          <t>no</t>
        </is>
      </c>
      <c r="AJ146" s="2" t="inlineStr">
        <is>
          <t>no</t>
        </is>
      </c>
      <c r="AK146" s="2" t="inlineStr">
        <is>
          <t>no</t>
        </is>
      </c>
      <c r="AL146" s="2" t="inlineStr">
        <is>
          <t>no</t>
        </is>
      </c>
      <c r="AM146" s="2" t="n"/>
      <c r="AN146" s="2" t="n"/>
      <c r="AO146" s="2" t="n"/>
      <c r="AP146" s="2" t="inlineStr">
        <is>
          <t>v3_2026-03-19</t>
        </is>
      </c>
      <c r="AQ146">
        <f>(L146-Schema_v5!$C2)/(Schema_v5!$C3-Schema_v5!$C2)</f>
        <v/>
      </c>
      <c r="AR146">
        <f>(M146-Schema_v5!$C4)/(Schema_v5!$C5-Schema_v5!$C4)</f>
        <v/>
      </c>
      <c r="AS146">
        <f>N146/Schema_v5!$C6</f>
        <v/>
      </c>
      <c r="AT146">
        <f>O146/Schema_v5!$C7</f>
        <v/>
      </c>
      <c r="AU146">
        <f>P146/Schema_v5!$C8</f>
        <v/>
      </c>
      <c r="AV146">
        <f>IF(Schema_v5!$C9=0,0,AH146/Schema_v5!$C9)</f>
        <v/>
      </c>
      <c r="AW146">
        <f>IF(Schema_v5!$C10=0,0,AE146/Schema_v5!$C10)</f>
        <v/>
      </c>
      <c r="AX146">
        <f>(W146-Schema_v5!$C11)/(Schema_v5!$C12-Schema_v5!$C11)</f>
        <v/>
      </c>
      <c r="AY146">
        <f>(X146-Schema_v5!$C13)/(Schema_v5!$C14-Schema_v5!$C13)</f>
        <v/>
      </c>
      <c r="AZ146">
        <f>MIN(1,MAX(0,U146/Schema_v7!$C$9))</f>
        <v/>
      </c>
      <c r="BA146">
        <f>IF(AJ146="yes",0.55,0)</f>
        <v/>
      </c>
      <c r="BB146">
        <f>IF(AI146="yes",0.10,0)</f>
        <v/>
      </c>
      <c r="BC146">
        <f>IF(Y146="COMM_Direct",0.92,IF(Y146="COMM_Emotional",0.70,IF(Y146="COMM_Logical",0.65,IF(Y146="COMM_Indirect",0.55,0.35))))</f>
        <v/>
      </c>
      <c r="BD146">
        <f>IF(Z146="REG_CoRegulator",0.92,IF(Z146="REG_SelfSoother",0.76,IF(Z146="REG_Distractor",0.48,0.35)))</f>
        <v/>
      </c>
      <c r="BE146">
        <f>IF(AA146="LANG_Time",0.76,IF(AA146="LANG_Service",0.70,IF(AA146="LANG_Words",0.72,IF(AA146="LANG_Touch",0.68,0.60))))</f>
        <v/>
      </c>
      <c r="BF146">
        <f>MAX(0,MIN(1,0.28*AS146+0.16*AT146+0.18*BC146+0.18*BD146+0.10*(1-AZ146)+0.10*(1-BA146)+BB146))</f>
        <v/>
      </c>
      <c r="BG146">
        <f>MAX(0,MIN(1,0.24*AU146+0.18*AS146+0.18*BC146+0.20*BD146+0.10*(1-AW146)+0.10*(1-BA146)))</f>
        <v/>
      </c>
      <c r="BH146">
        <f>MAX(0,MIN(1,0.28*AR146+0.18*AT146+0.16*AU146+0.18*(1-AV146)+0.10*(1-AW146)+0.10*BF146))</f>
        <v/>
      </c>
      <c r="BI146">
        <f>MAX(0,MIN(1,0.30*AV146+0.20*AZ146+0.20*AW146+0.15*(1-BH146)+0.15*(1-BO146)))</f>
        <v/>
      </c>
      <c r="BJ146">
        <f>MAX(0,1-(ABS(((( AX146+AY146)/2)-0.55)*1.6)))</f>
        <v/>
      </c>
      <c r="BK146">
        <f>MAX(0,MIN(1,0.28*AR146+0.18*AT146+0.16*BJ146+0.14*(1-AV146)+0.12*BQ146+0.12*BO146))</f>
        <v/>
      </c>
      <c r="BL146">
        <f>MAX(0,MIN(1,0.22*AQ146+0.18*AS146+0.18*BC146+0.18*BD146+0.08*BE146+0.10*BF146+0.06*BO146))</f>
        <v/>
      </c>
      <c r="BM146">
        <f>MAX(0,MIN(1,0.20*(1-AZ146)+0.16*(1-BA146)+0.14*(1-AW146)+0.14*AU146+0.18*BG146+0.10*BH146+0.08*BP146))</f>
        <v/>
      </c>
      <c r="BN146">
        <f>MAX(0,MIN(1,0.42*BJ146+0.33*BK146+0.15*AT146+0.10*BQ146))</f>
        <v/>
      </c>
      <c r="BO146">
        <f>MAX(0,MIN(1,0.30*BC146+0.24*BD146+0.18*AS146+0.14*(1-BI146)+0.14*AT146))</f>
        <v/>
      </c>
      <c r="BP146">
        <f>MAX(0,MIN(1,0.26*AS146+0.20*(1-BA146)+0.16*(1-AW146)+0.18*BG146+0.10*AU146+0.10+BB146))</f>
        <v/>
      </c>
      <c r="BQ146">
        <f>MAX(0,MIN(1,0.24*AT146+0.18*BF146+0.14*AR146+0.14*BO146+0.14*(1-AV146)+0.16*(1-AZ146)))</f>
        <v/>
      </c>
      <c r="BR146">
        <f>IF(BO146&gt;=0.80,"Open",IF(BO146&gt;=0.62,"Measured",IF(BO146&gt;=0.45,"Selective","Guarded")))</f>
        <v/>
      </c>
      <c r="BS146">
        <f>IF(Y146="COMM_Direct","Direct",IF(Y146="COMM_Emotional","Emotional",IF(Y146="COMM_Logical","Logical",IF(Y146="COMM_Indirect","Indirect","Avoidant"))))</f>
        <v/>
      </c>
      <c r="BT146">
        <f>IF(BG146&gt;=0.78,"Co-repair",IF(BG146&gt;=0.58,"Re-engage",IF(BG146&gt;=0.40,"Delay","Suppress")))</f>
        <v/>
      </c>
      <c r="BU146">
        <f>IF(BI146&gt;=0.70,"Retreat-risk",IF(BH146&lt;=0.40,"Rush-risk",IF(BH146&gt;=0.65,"Slow-build","Mixed")))</f>
        <v/>
      </c>
      <c r="BV146">
        <f>IF(BL146-BM146&gt;=0.15,"Stimulation-seeking",IF(BM146-BL146&gt;=0.15,"Calm-seeking","Mixed")))</f>
        <v/>
      </c>
      <c r="BW146">
        <f>IF(AND(BL146&gt;=0.72,BM146&lt;0.48),"High",IF(AND(BL146&gt;=0.60,BM146&lt;0.58),"Medium","Low"))</f>
        <v/>
      </c>
    </row>
    <row r="147" ht="135" customHeight="1" s="10">
      <c r="A147" s="2" t="inlineStr">
        <is>
          <t>Q30_A</t>
        </is>
      </c>
      <c r="B147" s="2" t="n">
        <v>30</v>
      </c>
      <c r="C147" s="2" t="n">
        <v>30</v>
      </c>
      <c r="D147" s="2" t="inlineStr">
        <is>
          <t>Core</t>
        </is>
      </c>
      <c r="E147" s="2" t="n">
        <v>1.15</v>
      </c>
      <c r="F147" s="2" t="inlineStr">
        <is>
          <t>ValuesLifestyle</t>
        </is>
      </c>
      <c r="G147" s="2" t="inlineStr">
        <is>
          <t>IntentAlignment</t>
        </is>
      </c>
      <c r="H147" s="2" t="inlineStr">
        <is>
          <t>You show up honest-open, maybe even a little unsure. But they respond with distance or sarcasm. What's your next move?</t>
        </is>
      </c>
      <c r="I147" s="2" t="inlineStr">
        <is>
          <t>A</t>
        </is>
      </c>
      <c r="J147" s="2" t="inlineStr">
        <is>
          <t>A</t>
        </is>
      </c>
      <c r="K147" s="2" t="inlineStr">
        <is>
          <t>I laugh it off like I wasn't being serious. Then I close that part of myself off, probably for good.</t>
        </is>
      </c>
      <c r="L147" s="2" t="n">
        <v>8</v>
      </c>
      <c r="M147" s="2" t="n">
        <v>9</v>
      </c>
      <c r="N147" s="2" t="n">
        <v>4</v>
      </c>
      <c r="O147" s="2" t="n">
        <v>6</v>
      </c>
      <c r="P147" s="2" t="n">
        <v>2</v>
      </c>
      <c r="Q147" s="2" t="inlineStr">
        <is>
          <t>Icebox</t>
        </is>
      </c>
      <c r="R147" s="2" t="n">
        <v>1</v>
      </c>
      <c r="S147" s="2" t="n"/>
      <c r="T147" s="2" t="n"/>
      <c r="U147" s="2" t="n">
        <v>0</v>
      </c>
      <c r="V147" s="2" t="inlineStr">
        <is>
          <t>masc:1.8;fem:-1.6</t>
        </is>
      </c>
      <c r="W147" s="2" t="n">
        <v>1.8</v>
      </c>
      <c r="X147" s="2" t="n">
        <v>-1.6</v>
      </c>
      <c r="Y147" s="2" t="inlineStr">
        <is>
          <t>COMM_Avoidant</t>
        </is>
      </c>
      <c r="Z147" s="2" t="inlineStr">
        <is>
          <t>REG_Suppressor</t>
        </is>
      </c>
      <c r="AA147" s="2" t="inlineStr">
        <is>
          <t>LANG_Time</t>
        </is>
      </c>
      <c r="AB147" s="2" t="n"/>
      <c r="AC147" s="2" t="n"/>
      <c r="AD147" s="2" t="n"/>
      <c r="AE147" s="2" t="n">
        <v>0</v>
      </c>
      <c r="AF147" s="2" t="inlineStr">
        <is>
          <t>emotional retraction protocol</t>
        </is>
      </c>
      <c r="AG147" s="2" t="inlineStr">
        <is>
          <t>trust closer</t>
        </is>
      </c>
      <c r="AH147" s="2" t="n">
        <v>0</v>
      </c>
      <c r="AI147" s="2" t="inlineStr">
        <is>
          <t>no</t>
        </is>
      </c>
      <c r="AJ147" s="2" t="inlineStr">
        <is>
          <t>no</t>
        </is>
      </c>
      <c r="AK147" s="2" t="inlineStr">
        <is>
          <t>no</t>
        </is>
      </c>
      <c r="AL147" s="2" t="inlineStr">
        <is>
          <t>no</t>
        </is>
      </c>
      <c r="AM147" s="2" t="n"/>
      <c r="AN147" s="2" t="n"/>
      <c r="AO147" s="2" t="n"/>
      <c r="AP147" s="2" t="inlineStr">
        <is>
          <t>v3_2026-03-19</t>
        </is>
      </c>
      <c r="AQ147">
        <f>(L147-Schema_v5!$C2)/(Schema_v5!$C3-Schema_v5!$C2)</f>
        <v/>
      </c>
      <c r="AR147">
        <f>(M147-Schema_v5!$C4)/(Schema_v5!$C5-Schema_v5!$C4)</f>
        <v/>
      </c>
      <c r="AS147">
        <f>N147/Schema_v5!$C6</f>
        <v/>
      </c>
      <c r="AT147">
        <f>O147/Schema_v5!$C7</f>
        <v/>
      </c>
      <c r="AU147">
        <f>P147/Schema_v5!$C8</f>
        <v/>
      </c>
      <c r="AV147">
        <f>IF(Schema_v5!$C9=0,0,AH147/Schema_v5!$C9)</f>
        <v/>
      </c>
      <c r="AW147">
        <f>IF(Schema_v5!$C10=0,0,AE147/Schema_v5!$C10)</f>
        <v/>
      </c>
      <c r="AX147">
        <f>(W147-Schema_v5!$C11)/(Schema_v5!$C12-Schema_v5!$C11)</f>
        <v/>
      </c>
      <c r="AY147">
        <f>(X147-Schema_v5!$C13)/(Schema_v5!$C14-Schema_v5!$C13)</f>
        <v/>
      </c>
      <c r="AZ147">
        <f>MIN(1,MAX(0,U147/Schema_v7!$C$9))</f>
        <v/>
      </c>
      <c r="BA147">
        <f>IF(AJ147="yes",0.55,0)</f>
        <v/>
      </c>
      <c r="BB147">
        <f>IF(AI147="yes",0.10,0)</f>
        <v/>
      </c>
      <c r="BC147">
        <f>IF(Y147="COMM_Direct",0.92,IF(Y147="COMM_Emotional",0.70,IF(Y147="COMM_Logical",0.65,IF(Y147="COMM_Indirect",0.55,0.35))))</f>
        <v/>
      </c>
      <c r="BD147">
        <f>IF(Z147="REG_CoRegulator",0.92,IF(Z147="REG_SelfSoother",0.76,IF(Z147="REG_Distractor",0.48,0.35)))</f>
        <v/>
      </c>
      <c r="BE147">
        <f>IF(AA147="LANG_Time",0.76,IF(AA147="LANG_Service",0.70,IF(AA147="LANG_Words",0.72,IF(AA147="LANG_Touch",0.68,0.60))))</f>
        <v/>
      </c>
      <c r="BF147">
        <f>MAX(0,MIN(1,0.28*AS147+0.16*AT147+0.18*BC147+0.18*BD147+0.10*(1-AZ147)+0.10*(1-BA147)+BB147))</f>
        <v/>
      </c>
      <c r="BG147">
        <f>MAX(0,MIN(1,0.24*AU147+0.18*AS147+0.18*BC147+0.20*BD147+0.10*(1-AW147)+0.10*(1-BA147)))</f>
        <v/>
      </c>
      <c r="BH147">
        <f>MAX(0,MIN(1,0.28*AR147+0.18*AT147+0.16*AU147+0.18*(1-AV147)+0.10*(1-AW147)+0.10*BF147))</f>
        <v/>
      </c>
      <c r="BI147">
        <f>MAX(0,MIN(1,0.30*AV147+0.20*AZ147+0.20*AW147+0.15*(1-BH147)+0.15*(1-BO147)))</f>
        <v/>
      </c>
      <c r="BJ147">
        <f>MAX(0,1-(ABS(((( AX147+AY147)/2)-0.55)*1.6)))</f>
        <v/>
      </c>
      <c r="BK147">
        <f>MAX(0,MIN(1,0.28*AR147+0.18*AT147+0.16*BJ147+0.14*(1-AV147)+0.12*BQ147+0.12*BO147))</f>
        <v/>
      </c>
      <c r="BL147">
        <f>MAX(0,MIN(1,0.22*AQ147+0.18*AS147+0.18*BC147+0.18*BD147+0.08*BE147+0.10*BF147+0.06*BO147))</f>
        <v/>
      </c>
      <c r="BM147">
        <f>MAX(0,MIN(1,0.20*(1-AZ147)+0.16*(1-BA147)+0.14*(1-AW147)+0.14*AU147+0.18*BG147+0.10*BH147+0.08*BP147))</f>
        <v/>
      </c>
      <c r="BN147">
        <f>MAX(0,MIN(1,0.42*BJ147+0.33*BK147+0.15*AT147+0.10*BQ147))</f>
        <v/>
      </c>
      <c r="BO147">
        <f>MAX(0,MIN(1,0.30*BC147+0.24*BD147+0.18*AS147+0.14*(1-BI147)+0.14*AT147))</f>
        <v/>
      </c>
      <c r="BP147">
        <f>MAX(0,MIN(1,0.26*AS147+0.20*(1-BA147)+0.16*(1-AW147)+0.18*BG147+0.10*AU147+0.10+BB147))</f>
        <v/>
      </c>
      <c r="BQ147">
        <f>MAX(0,MIN(1,0.24*AT147+0.18*BF147+0.14*AR147+0.14*BO147+0.14*(1-AV147)+0.16*(1-AZ147)))</f>
        <v/>
      </c>
      <c r="BR147">
        <f>IF(BO147&gt;=0.80,"Open",IF(BO147&gt;=0.62,"Measured",IF(BO147&gt;=0.45,"Selective","Guarded")))</f>
        <v/>
      </c>
      <c r="BS147">
        <f>IF(Y147="COMM_Direct","Direct",IF(Y147="COMM_Emotional","Emotional",IF(Y147="COMM_Logical","Logical",IF(Y147="COMM_Indirect","Indirect","Avoidant"))))</f>
        <v/>
      </c>
      <c r="BT147">
        <f>IF(BG147&gt;=0.78,"Co-repair",IF(BG147&gt;=0.58,"Re-engage",IF(BG147&gt;=0.40,"Delay","Suppress")))</f>
        <v/>
      </c>
      <c r="BU147">
        <f>IF(BI147&gt;=0.70,"Retreat-risk",IF(BH147&lt;=0.40,"Rush-risk",IF(BH147&gt;=0.65,"Slow-build","Mixed")))</f>
        <v/>
      </c>
      <c r="BV147">
        <f>IF(BL147-BM147&gt;=0.15,"Stimulation-seeking",IF(BM147-BL147&gt;=0.15,"Calm-seeking","Mixed")))</f>
        <v/>
      </c>
      <c r="BW147">
        <f>IF(AND(BL147&gt;=0.72,BM147&lt;0.48),"High",IF(AND(BL147&gt;=0.60,BM147&lt;0.58),"Medium","Low"))</f>
        <v/>
      </c>
    </row>
    <row r="148" ht="121.5" customHeight="1" s="10">
      <c r="A148" s="2" t="inlineStr">
        <is>
          <t>Q30_B</t>
        </is>
      </c>
      <c r="B148" s="2" t="n">
        <v>30</v>
      </c>
      <c r="C148" s="2" t="n">
        <v>30</v>
      </c>
      <c r="D148" s="2" t="inlineStr">
        <is>
          <t>Core</t>
        </is>
      </c>
      <c r="E148" s="2" t="n">
        <v>1.15</v>
      </c>
      <c r="F148" s="2" t="inlineStr">
        <is>
          <t>ValuesLifestyle</t>
        </is>
      </c>
      <c r="G148" s="2" t="inlineStr">
        <is>
          <t>IntentAlignment</t>
        </is>
      </c>
      <c r="H148" s="2" t="n"/>
      <c r="I148" s="2" t="inlineStr">
        <is>
          <t>B</t>
        </is>
      </c>
      <c r="J148" s="2" t="inlineStr">
        <is>
          <t>B</t>
        </is>
      </c>
      <c r="K148" s="2" t="inlineStr">
        <is>
          <t>I over-explain myself. I try to make it less intense so maybe they'll lean back in. I just hate the silence.</t>
        </is>
      </c>
      <c r="L148" s="2" t="n">
        <v>4</v>
      </c>
      <c r="M148" s="2" t="n">
        <v>5</v>
      </c>
      <c r="N148" s="2" t="n">
        <v>2</v>
      </c>
      <c r="O148" s="2" t="n">
        <v>2</v>
      </c>
      <c r="P148" s="2" t="n">
        <v>0</v>
      </c>
      <c r="Q148" s="2" t="inlineStr">
        <is>
          <t>Phantom Seeker</t>
        </is>
      </c>
      <c r="R148" s="2" t="n">
        <v>10</v>
      </c>
      <c r="S148" s="2" t="n"/>
      <c r="T148" s="2" t="n"/>
      <c r="U148" s="2" t="n">
        <v>0</v>
      </c>
      <c r="V148" s="2" t="inlineStr">
        <is>
          <t>masc:-0.2;fem:1.5</t>
        </is>
      </c>
      <c r="W148" s="2" t="n">
        <v>-0.2</v>
      </c>
      <c r="X148" s="2" t="n">
        <v>1.5</v>
      </c>
      <c r="Y148" s="2" t="inlineStr">
        <is>
          <t>COMM_Emotional</t>
        </is>
      </c>
      <c r="Z148" s="2" t="inlineStr">
        <is>
          <t>REG_SelfSoother</t>
        </is>
      </c>
      <c r="AA148" s="2" t="inlineStr">
        <is>
          <t>LANG_Touch</t>
        </is>
      </c>
      <c r="AB148" s="2" t="inlineStr">
        <is>
          <t>Commitment_Ambiguity</t>
        </is>
      </c>
      <c r="AC148" s="2" t="inlineStr">
        <is>
          <t>Commitment_Ambiguity</t>
        </is>
      </c>
      <c r="AD148" s="2" t="n"/>
      <c r="AE148" s="2" t="n">
        <v>5</v>
      </c>
      <c r="AF148" s="2" t="inlineStr">
        <is>
          <t>emotional recalibration attempt</t>
        </is>
      </c>
      <c r="AG148" s="2" t="inlineStr">
        <is>
          <t>approval seeker</t>
        </is>
      </c>
      <c r="AH148" s="2" t="n">
        <v>0</v>
      </c>
      <c r="AI148" s="2" t="inlineStr">
        <is>
          <t>yes</t>
        </is>
      </c>
      <c r="AJ148" s="2" t="inlineStr">
        <is>
          <t>no</t>
        </is>
      </c>
      <c r="AK148" s="2" t="inlineStr">
        <is>
          <t>no</t>
        </is>
      </c>
      <c r="AL148" s="2" t="inlineStr">
        <is>
          <t>no</t>
        </is>
      </c>
      <c r="AM148" s="2" t="n"/>
      <c r="AN148" s="2" t="n"/>
      <c r="AO148" s="2" t="n"/>
      <c r="AP148" s="2" t="inlineStr">
        <is>
          <t>v3_2026-03-19</t>
        </is>
      </c>
      <c r="AQ148">
        <f>(L148-Schema_v5!$C2)/(Schema_v5!$C3-Schema_v5!$C2)</f>
        <v/>
      </c>
      <c r="AR148">
        <f>(M148-Schema_v5!$C4)/(Schema_v5!$C5-Schema_v5!$C4)</f>
        <v/>
      </c>
      <c r="AS148">
        <f>N148/Schema_v5!$C6</f>
        <v/>
      </c>
      <c r="AT148">
        <f>O148/Schema_v5!$C7</f>
        <v/>
      </c>
      <c r="AU148">
        <f>P148/Schema_v5!$C8</f>
        <v/>
      </c>
      <c r="AV148">
        <f>IF(Schema_v5!$C9=0,0,AH148/Schema_v5!$C9)</f>
        <v/>
      </c>
      <c r="AW148">
        <f>IF(Schema_v5!$C10=0,0,AE148/Schema_v5!$C10)</f>
        <v/>
      </c>
      <c r="AX148">
        <f>(W148-Schema_v5!$C11)/(Schema_v5!$C12-Schema_v5!$C11)</f>
        <v/>
      </c>
      <c r="AY148">
        <f>(X148-Schema_v5!$C13)/(Schema_v5!$C14-Schema_v5!$C13)</f>
        <v/>
      </c>
      <c r="AZ148">
        <f>MIN(1,MAX(0,U148/Schema_v7!$C$9))</f>
        <v/>
      </c>
      <c r="BA148">
        <f>IF(AJ148="yes",0.55,0)</f>
        <v/>
      </c>
      <c r="BB148">
        <f>IF(AI148="yes",0.10,0)</f>
        <v/>
      </c>
      <c r="BC148">
        <f>IF(Y148="COMM_Direct",0.92,IF(Y148="COMM_Emotional",0.70,IF(Y148="COMM_Logical",0.65,IF(Y148="COMM_Indirect",0.55,0.35))))</f>
        <v/>
      </c>
      <c r="BD148">
        <f>IF(Z148="REG_CoRegulator",0.92,IF(Z148="REG_SelfSoother",0.76,IF(Z148="REG_Distractor",0.48,0.35)))</f>
        <v/>
      </c>
      <c r="BE148">
        <f>IF(AA148="LANG_Time",0.76,IF(AA148="LANG_Service",0.70,IF(AA148="LANG_Words",0.72,IF(AA148="LANG_Touch",0.68,0.60))))</f>
        <v/>
      </c>
      <c r="BF148">
        <f>MAX(0,MIN(1,0.28*AS148+0.16*AT148+0.18*BC148+0.18*BD148+0.10*(1-AZ148)+0.10*(1-BA148)+BB148))</f>
        <v/>
      </c>
      <c r="BG148">
        <f>MAX(0,MIN(1,0.24*AU148+0.18*AS148+0.18*BC148+0.20*BD148+0.10*(1-AW148)+0.10*(1-BA148)))</f>
        <v/>
      </c>
      <c r="BH148">
        <f>MAX(0,MIN(1,0.28*AR148+0.18*AT148+0.16*AU148+0.18*(1-AV148)+0.10*(1-AW148)+0.10*BF148))</f>
        <v/>
      </c>
      <c r="BI148">
        <f>MAX(0,MIN(1,0.30*AV148+0.20*AZ148+0.20*AW148+0.15*(1-BH148)+0.15*(1-BO148)))</f>
        <v/>
      </c>
      <c r="BJ148">
        <f>MAX(0,1-(ABS(((( AX148+AY148)/2)-0.55)*1.6)))</f>
        <v/>
      </c>
      <c r="BK148">
        <f>MAX(0,MIN(1,0.28*AR148+0.18*AT148+0.16*BJ148+0.14*(1-AV148)+0.12*BQ148+0.12*BO148))</f>
        <v/>
      </c>
      <c r="BL148">
        <f>MAX(0,MIN(1,0.22*AQ148+0.18*AS148+0.18*BC148+0.18*BD148+0.08*BE148+0.10*BF148+0.06*BO148))</f>
        <v/>
      </c>
      <c r="BM148">
        <f>MAX(0,MIN(1,0.20*(1-AZ148)+0.16*(1-BA148)+0.14*(1-AW148)+0.14*AU148+0.18*BG148+0.10*BH148+0.08*BP148))</f>
        <v/>
      </c>
      <c r="BN148">
        <f>MAX(0,MIN(1,0.42*BJ148+0.33*BK148+0.15*AT148+0.10*BQ148))</f>
        <v/>
      </c>
      <c r="BO148">
        <f>MAX(0,MIN(1,0.30*BC148+0.24*BD148+0.18*AS148+0.14*(1-BI148)+0.14*AT148))</f>
        <v/>
      </c>
      <c r="BP148">
        <f>MAX(0,MIN(1,0.26*AS148+0.20*(1-BA148)+0.16*(1-AW148)+0.18*BG148+0.10*AU148+0.10+BB148))</f>
        <v/>
      </c>
      <c r="BQ148">
        <f>MAX(0,MIN(1,0.24*AT148+0.18*BF148+0.14*AR148+0.14*BO148+0.14*(1-AV148)+0.16*(1-AZ148)))</f>
        <v/>
      </c>
      <c r="BR148">
        <f>IF(BO148&gt;=0.80,"Open",IF(BO148&gt;=0.62,"Measured",IF(BO148&gt;=0.45,"Selective","Guarded")))</f>
        <v/>
      </c>
      <c r="BS148">
        <f>IF(Y148="COMM_Direct","Direct",IF(Y148="COMM_Emotional","Emotional",IF(Y148="COMM_Logical","Logical",IF(Y148="COMM_Indirect","Indirect","Avoidant"))))</f>
        <v/>
      </c>
      <c r="BT148">
        <f>IF(BG148&gt;=0.78,"Co-repair",IF(BG148&gt;=0.58,"Re-engage",IF(BG148&gt;=0.40,"Delay","Suppress")))</f>
        <v/>
      </c>
      <c r="BU148">
        <f>IF(BI148&gt;=0.70,"Retreat-risk",IF(BH148&lt;=0.40,"Rush-risk",IF(BH148&gt;=0.65,"Slow-build","Mixed")))</f>
        <v/>
      </c>
      <c r="BV148">
        <f>IF(BL148-BM148&gt;=0.15,"Stimulation-seeking",IF(BM148-BL148&gt;=0.15,"Calm-seeking","Mixed")))</f>
        <v/>
      </c>
      <c r="BW148">
        <f>IF(AND(BL148&gt;=0.72,BM148&lt;0.48),"High",IF(AND(BL148&gt;=0.60,BM148&lt;0.58),"Medium","Low"))</f>
        <v/>
      </c>
    </row>
    <row r="149" ht="135" customHeight="1" s="10">
      <c r="A149" s="2" t="inlineStr">
        <is>
          <t>Q30_C</t>
        </is>
      </c>
      <c r="B149" s="2" t="n">
        <v>30</v>
      </c>
      <c r="C149" s="2" t="n">
        <v>30</v>
      </c>
      <c r="D149" s="2" t="inlineStr">
        <is>
          <t>Core</t>
        </is>
      </c>
      <c r="E149" s="2" t="n">
        <v>1.15</v>
      </c>
      <c r="F149" s="2" t="inlineStr">
        <is>
          <t>ValuesLifestyle</t>
        </is>
      </c>
      <c r="G149" s="2" t="inlineStr">
        <is>
          <t>IntentAlignment</t>
        </is>
      </c>
      <c r="H149" s="2" t="n"/>
      <c r="I149" s="2" t="inlineStr">
        <is>
          <t>C</t>
        </is>
      </c>
      <c r="J149" s="2" t="inlineStr">
        <is>
          <t>C</t>
        </is>
      </c>
      <c r="K149" s="2" t="inlineStr">
        <is>
          <t>I say something direct, "That wasn't really the moment for that." If I'm being real, I expect the same back.</t>
        </is>
      </c>
      <c r="L149" s="2" t="n">
        <v>9</v>
      </c>
      <c r="M149" s="2" t="n">
        <v>9</v>
      </c>
      <c r="N149" s="2" t="n">
        <v>10</v>
      </c>
      <c r="O149" s="2" t="n">
        <v>10</v>
      </c>
      <c r="P149" s="2" t="n">
        <v>10</v>
      </c>
      <c r="Q149" s="2" t="inlineStr">
        <is>
          <t>Regulated Grown-Up</t>
        </is>
      </c>
      <c r="R149" s="2" t="n">
        <v>9</v>
      </c>
      <c r="S149" s="2" t="n"/>
      <c r="T149" s="2" t="n"/>
      <c r="U149" s="2" t="n">
        <v>0</v>
      </c>
      <c r="V149" s="2" t="inlineStr">
        <is>
          <t>masc:1.1;fem:0.9</t>
        </is>
      </c>
      <c r="W149" s="2" t="n">
        <v>1.1</v>
      </c>
      <c r="X149" s="2" t="n">
        <v>0.9</v>
      </c>
      <c r="Y149" s="2" t="inlineStr">
        <is>
          <t>COMM_Direct</t>
        </is>
      </c>
      <c r="Z149" s="2" t="inlineStr">
        <is>
          <t>REG_CoRegulator</t>
        </is>
      </c>
      <c r="AA149" s="2" t="inlineStr">
        <is>
          <t>LANG_Words</t>
        </is>
      </c>
      <c r="AB149" s="2" t="n"/>
      <c r="AC149" s="2" t="n"/>
      <c r="AD149" s="2" t="n"/>
      <c r="AE149" s="2" t="n">
        <v>0</v>
      </c>
      <c r="AF149" s="2" t="inlineStr">
        <is>
          <t>standard of reciprocity</t>
        </is>
      </c>
      <c r="AG149" s="2" t="inlineStr">
        <is>
          <t>boundary enforcer</t>
        </is>
      </c>
      <c r="AH149" s="2" t="n">
        <v>0</v>
      </c>
      <c r="AI149" s="2" t="inlineStr">
        <is>
          <t>no</t>
        </is>
      </c>
      <c r="AJ149" s="2" t="inlineStr">
        <is>
          <t>no</t>
        </is>
      </c>
      <c r="AK149" s="2" t="inlineStr">
        <is>
          <t>no</t>
        </is>
      </c>
      <c r="AL149" s="2" t="inlineStr">
        <is>
          <t>no</t>
        </is>
      </c>
      <c r="AM149" s="2" t="n"/>
      <c r="AN149" s="2" t="n"/>
      <c r="AO149" s="2" t="n"/>
      <c r="AP149" s="2" t="inlineStr">
        <is>
          <t>v3_2026-03-19</t>
        </is>
      </c>
      <c r="AQ149">
        <f>(L149-Schema_v5!$C2)/(Schema_v5!$C3-Schema_v5!$C2)</f>
        <v/>
      </c>
      <c r="AR149">
        <f>(M149-Schema_v5!$C4)/(Schema_v5!$C5-Schema_v5!$C4)</f>
        <v/>
      </c>
      <c r="AS149">
        <f>N149/Schema_v5!$C6</f>
        <v/>
      </c>
      <c r="AT149">
        <f>O149/Schema_v5!$C7</f>
        <v/>
      </c>
      <c r="AU149">
        <f>P149/Schema_v5!$C8</f>
        <v/>
      </c>
      <c r="AV149">
        <f>IF(Schema_v5!$C9=0,0,AH149/Schema_v5!$C9)</f>
        <v/>
      </c>
      <c r="AW149">
        <f>IF(Schema_v5!$C10=0,0,AE149/Schema_v5!$C10)</f>
        <v/>
      </c>
      <c r="AX149">
        <f>(W149-Schema_v5!$C11)/(Schema_v5!$C12-Schema_v5!$C11)</f>
        <v/>
      </c>
      <c r="AY149">
        <f>(X149-Schema_v5!$C13)/(Schema_v5!$C14-Schema_v5!$C13)</f>
        <v/>
      </c>
      <c r="AZ149">
        <f>MIN(1,MAX(0,U149/Schema_v7!$C$9))</f>
        <v/>
      </c>
      <c r="BA149">
        <f>IF(AJ149="yes",0.55,0)</f>
        <v/>
      </c>
      <c r="BB149">
        <f>IF(AI149="yes",0.10,0)</f>
        <v/>
      </c>
      <c r="BC149">
        <f>IF(Y149="COMM_Direct",0.92,IF(Y149="COMM_Emotional",0.70,IF(Y149="COMM_Logical",0.65,IF(Y149="COMM_Indirect",0.55,0.35))))</f>
        <v/>
      </c>
      <c r="BD149">
        <f>IF(Z149="REG_CoRegulator",0.92,IF(Z149="REG_SelfSoother",0.76,IF(Z149="REG_Distractor",0.48,0.35)))</f>
        <v/>
      </c>
      <c r="BE149">
        <f>IF(AA149="LANG_Time",0.76,IF(AA149="LANG_Service",0.70,IF(AA149="LANG_Words",0.72,IF(AA149="LANG_Touch",0.68,0.60))))</f>
        <v/>
      </c>
      <c r="BF149">
        <f>MAX(0,MIN(1,0.28*AS149+0.16*AT149+0.18*BC149+0.18*BD149+0.10*(1-AZ149)+0.10*(1-BA149)+BB149))</f>
        <v/>
      </c>
      <c r="BG149">
        <f>MAX(0,MIN(1,0.24*AU149+0.18*AS149+0.18*BC149+0.20*BD149+0.10*(1-AW149)+0.10*(1-BA149)))</f>
        <v/>
      </c>
      <c r="BH149">
        <f>MAX(0,MIN(1,0.28*AR149+0.18*AT149+0.16*AU149+0.18*(1-AV149)+0.10*(1-AW149)+0.10*BF149))</f>
        <v/>
      </c>
      <c r="BI149">
        <f>MAX(0,MIN(1,0.30*AV149+0.20*AZ149+0.20*AW149+0.15*(1-BH149)+0.15*(1-BO149)))</f>
        <v/>
      </c>
      <c r="BJ149">
        <f>MAX(0,1-(ABS(((( AX149+AY149)/2)-0.55)*1.6)))</f>
        <v/>
      </c>
      <c r="BK149">
        <f>MAX(0,MIN(1,0.28*AR149+0.18*AT149+0.16*BJ149+0.14*(1-AV149)+0.12*BQ149+0.12*BO149))</f>
        <v/>
      </c>
      <c r="BL149">
        <f>MAX(0,MIN(1,0.22*AQ149+0.18*AS149+0.18*BC149+0.18*BD149+0.08*BE149+0.10*BF149+0.06*BO149))</f>
        <v/>
      </c>
      <c r="BM149">
        <f>MAX(0,MIN(1,0.20*(1-AZ149)+0.16*(1-BA149)+0.14*(1-AW149)+0.14*AU149+0.18*BG149+0.10*BH149+0.08*BP149))</f>
        <v/>
      </c>
      <c r="BN149">
        <f>MAX(0,MIN(1,0.42*BJ149+0.33*BK149+0.15*AT149+0.10*BQ149))</f>
        <v/>
      </c>
      <c r="BO149">
        <f>MAX(0,MIN(1,0.30*BC149+0.24*BD149+0.18*AS149+0.14*(1-BI149)+0.14*AT149))</f>
        <v/>
      </c>
      <c r="BP149">
        <f>MAX(0,MIN(1,0.26*AS149+0.20*(1-BA149)+0.16*(1-AW149)+0.18*BG149+0.10*AU149+0.10+BB149))</f>
        <v/>
      </c>
      <c r="BQ149">
        <f>MAX(0,MIN(1,0.24*AT149+0.18*BF149+0.14*AR149+0.14*BO149+0.14*(1-AV149)+0.16*(1-AZ149)))</f>
        <v/>
      </c>
      <c r="BR149">
        <f>IF(BO149&gt;=0.80,"Open",IF(BO149&gt;=0.62,"Measured",IF(BO149&gt;=0.45,"Selective","Guarded")))</f>
        <v/>
      </c>
      <c r="BS149">
        <f>IF(Y149="COMM_Direct","Direct",IF(Y149="COMM_Emotional","Emotional",IF(Y149="COMM_Logical","Logical",IF(Y149="COMM_Indirect","Indirect","Avoidant"))))</f>
        <v/>
      </c>
      <c r="BT149">
        <f>IF(BG149&gt;=0.78,"Co-repair",IF(BG149&gt;=0.58,"Re-engage",IF(BG149&gt;=0.40,"Delay","Suppress")))</f>
        <v/>
      </c>
      <c r="BU149">
        <f>IF(BI149&gt;=0.70,"Retreat-risk",IF(BH149&lt;=0.40,"Rush-risk",IF(BH149&gt;=0.65,"Slow-build","Mixed")))</f>
        <v/>
      </c>
      <c r="BV149">
        <f>IF(BL149-BM149&gt;=0.15,"Stimulation-seeking",IF(BM149-BL149&gt;=0.15,"Calm-seeking","Mixed")))</f>
        <v/>
      </c>
      <c r="BW149">
        <f>IF(AND(BL149&gt;=0.72,BM149&lt;0.48),"High",IF(AND(BL149&gt;=0.60,BM149&lt;0.58),"Medium","Low"))</f>
        <v/>
      </c>
    </row>
    <row r="150" ht="148.5" customHeight="1" s="10">
      <c r="A150" s="2" t="inlineStr">
        <is>
          <t>Q30_D</t>
        </is>
      </c>
      <c r="B150" s="2" t="n">
        <v>30</v>
      </c>
      <c r="C150" s="2" t="n">
        <v>30</v>
      </c>
      <c r="D150" s="2" t="inlineStr">
        <is>
          <t>Core</t>
        </is>
      </c>
      <c r="E150" s="2" t="n">
        <v>1.15</v>
      </c>
      <c r="F150" s="2" t="inlineStr">
        <is>
          <t>ValuesLifestyle</t>
        </is>
      </c>
      <c r="G150" s="2" t="inlineStr">
        <is>
          <t>IntentAlignment</t>
        </is>
      </c>
      <c r="H150" s="2" t="n"/>
      <c r="I150" s="2" t="inlineStr">
        <is>
          <t>D</t>
        </is>
      </c>
      <c r="J150" s="2" t="inlineStr">
        <is>
          <t>D</t>
        </is>
      </c>
      <c r="K150" s="2" t="inlineStr">
        <is>
          <t>I flip the energy fast. I shift into playful or sarcastic too. It's easier to hide behind the bit than stay vulnerable alone.</t>
        </is>
      </c>
      <c r="L150" s="2" t="n">
        <v>6</v>
      </c>
      <c r="M150" s="2" t="n">
        <v>7</v>
      </c>
      <c r="N150" s="2" t="n">
        <v>2</v>
      </c>
      <c r="O150" s="2" t="n">
        <v>4</v>
      </c>
      <c r="P150" s="2" t="n">
        <v>0</v>
      </c>
      <c r="Q150" s="2" t="inlineStr">
        <is>
          <t>Performer</t>
        </is>
      </c>
      <c r="R150" s="2" t="n">
        <v>7</v>
      </c>
      <c r="S150" s="2" t="n"/>
      <c r="T150" s="2" t="n"/>
      <c r="U150" s="2" t="n">
        <v>0</v>
      </c>
      <c r="V150" s="2" t="inlineStr">
        <is>
          <t>masc:0.3;fem:0.5</t>
        </is>
      </c>
      <c r="W150" s="2" t="n">
        <v>0.3</v>
      </c>
      <c r="X150" s="2" t="n">
        <v>0.5</v>
      </c>
      <c r="Y150" s="2" t="inlineStr">
        <is>
          <t>COMM_Indirect</t>
        </is>
      </c>
      <c r="Z150" s="2" t="inlineStr">
        <is>
          <t>REG_Distractor</t>
        </is>
      </c>
      <c r="AA150" s="2" t="inlineStr">
        <is>
          <t>LANG_Gifts</t>
        </is>
      </c>
      <c r="AB150" s="2" t="inlineStr">
        <is>
          <t>Vulnerability_Loop</t>
        </is>
      </c>
      <c r="AC150" s="2" t="inlineStr">
        <is>
          <t>Vulnerability_Loop</t>
        </is>
      </c>
      <c r="AD150" s="2" t="n"/>
      <c r="AE150" s="2" t="n">
        <v>5</v>
      </c>
      <c r="AF150" s="2" t="inlineStr">
        <is>
          <t>humorous armor deployment</t>
        </is>
      </c>
      <c r="AG150" s="2" t="inlineStr">
        <is>
          <t>deflection player</t>
        </is>
      </c>
      <c r="AH150" s="2" t="n">
        <v>0.6</v>
      </c>
      <c r="AI150" s="2" t="inlineStr">
        <is>
          <t>yes</t>
        </is>
      </c>
      <c r="AJ150" s="2" t="inlineStr">
        <is>
          <t>no</t>
        </is>
      </c>
      <c r="AK150" s="2" t="inlineStr">
        <is>
          <t>no</t>
        </is>
      </c>
      <c r="AL150" s="2" t="inlineStr">
        <is>
          <t>no</t>
        </is>
      </c>
      <c r="AM150" s="2" t="n"/>
      <c r="AN150" s="2" t="n"/>
      <c r="AO150" s="2" t="n"/>
      <c r="AP150" s="2" t="inlineStr">
        <is>
          <t>v3_2026-03-19</t>
        </is>
      </c>
      <c r="AQ150">
        <f>(L150-Schema_v5!$C2)/(Schema_v5!$C3-Schema_v5!$C2)</f>
        <v/>
      </c>
      <c r="AR150">
        <f>(M150-Schema_v5!$C4)/(Schema_v5!$C5-Schema_v5!$C4)</f>
        <v/>
      </c>
      <c r="AS150">
        <f>N150/Schema_v5!$C6</f>
        <v/>
      </c>
      <c r="AT150">
        <f>O150/Schema_v5!$C7</f>
        <v/>
      </c>
      <c r="AU150">
        <f>P150/Schema_v5!$C8</f>
        <v/>
      </c>
      <c r="AV150">
        <f>IF(Schema_v5!$C9=0,0,AH150/Schema_v5!$C9)</f>
        <v/>
      </c>
      <c r="AW150">
        <f>IF(Schema_v5!$C10=0,0,AE150/Schema_v5!$C10)</f>
        <v/>
      </c>
      <c r="AX150">
        <f>(W150-Schema_v5!$C11)/(Schema_v5!$C12-Schema_v5!$C11)</f>
        <v/>
      </c>
      <c r="AY150">
        <f>(X150-Schema_v5!$C13)/(Schema_v5!$C14-Schema_v5!$C13)</f>
        <v/>
      </c>
      <c r="AZ150">
        <f>MIN(1,MAX(0,U150/Schema_v7!$C$9))</f>
        <v/>
      </c>
      <c r="BA150">
        <f>IF(AJ150="yes",0.55,0)</f>
        <v/>
      </c>
      <c r="BB150">
        <f>IF(AI150="yes",0.10,0)</f>
        <v/>
      </c>
      <c r="BC150">
        <f>IF(Y150="COMM_Direct",0.92,IF(Y150="COMM_Emotional",0.70,IF(Y150="COMM_Logical",0.65,IF(Y150="COMM_Indirect",0.55,0.35))))</f>
        <v/>
      </c>
      <c r="BD150">
        <f>IF(Z150="REG_CoRegulator",0.92,IF(Z150="REG_SelfSoother",0.76,IF(Z150="REG_Distractor",0.48,0.35)))</f>
        <v/>
      </c>
      <c r="BE150">
        <f>IF(AA150="LANG_Time",0.76,IF(AA150="LANG_Service",0.70,IF(AA150="LANG_Words",0.72,IF(AA150="LANG_Touch",0.68,0.60))))</f>
        <v/>
      </c>
      <c r="BF150">
        <f>MAX(0,MIN(1,0.28*AS150+0.16*AT150+0.18*BC150+0.18*BD150+0.10*(1-AZ150)+0.10*(1-BA150)+BB150))</f>
        <v/>
      </c>
      <c r="BG150">
        <f>MAX(0,MIN(1,0.24*AU150+0.18*AS150+0.18*BC150+0.20*BD150+0.10*(1-AW150)+0.10*(1-BA150)))</f>
        <v/>
      </c>
      <c r="BH150">
        <f>MAX(0,MIN(1,0.28*AR150+0.18*AT150+0.16*AU150+0.18*(1-AV150)+0.10*(1-AW150)+0.10*BF150))</f>
        <v/>
      </c>
      <c r="BI150">
        <f>MAX(0,MIN(1,0.30*AV150+0.20*AZ150+0.20*AW150+0.15*(1-BH150)+0.15*(1-BO150)))</f>
        <v/>
      </c>
      <c r="BJ150">
        <f>MAX(0,1-(ABS(((( AX150+AY150)/2)-0.55)*1.6)))</f>
        <v/>
      </c>
      <c r="BK150">
        <f>MAX(0,MIN(1,0.28*AR150+0.18*AT150+0.16*BJ150+0.14*(1-AV150)+0.12*BQ150+0.12*BO150))</f>
        <v/>
      </c>
      <c r="BL150">
        <f>MAX(0,MIN(1,0.22*AQ150+0.18*AS150+0.18*BC150+0.18*BD150+0.08*BE150+0.10*BF150+0.06*BO150))</f>
        <v/>
      </c>
      <c r="BM150">
        <f>MAX(0,MIN(1,0.20*(1-AZ150)+0.16*(1-BA150)+0.14*(1-AW150)+0.14*AU150+0.18*BG150+0.10*BH150+0.08*BP150))</f>
        <v/>
      </c>
      <c r="BN150">
        <f>MAX(0,MIN(1,0.42*BJ150+0.33*BK150+0.15*AT150+0.10*BQ150))</f>
        <v/>
      </c>
      <c r="BO150">
        <f>MAX(0,MIN(1,0.30*BC150+0.24*BD150+0.18*AS150+0.14*(1-BI150)+0.14*AT150))</f>
        <v/>
      </c>
      <c r="BP150">
        <f>MAX(0,MIN(1,0.26*AS150+0.20*(1-BA150)+0.16*(1-AW150)+0.18*BG150+0.10*AU150+0.10+BB150))</f>
        <v/>
      </c>
      <c r="BQ150">
        <f>MAX(0,MIN(1,0.24*AT150+0.18*BF150+0.14*AR150+0.14*BO150+0.14*(1-AV150)+0.16*(1-AZ150)))</f>
        <v/>
      </c>
      <c r="BR150">
        <f>IF(BO150&gt;=0.80,"Open",IF(BO150&gt;=0.62,"Measured",IF(BO150&gt;=0.45,"Selective","Guarded")))</f>
        <v/>
      </c>
      <c r="BS150">
        <f>IF(Y150="COMM_Direct","Direct",IF(Y150="COMM_Emotional","Emotional",IF(Y150="COMM_Logical","Logical",IF(Y150="COMM_Indirect","Indirect","Avoidant"))))</f>
        <v/>
      </c>
      <c r="BT150">
        <f>IF(BG150&gt;=0.78,"Co-repair",IF(BG150&gt;=0.58,"Re-engage",IF(BG150&gt;=0.40,"Delay","Suppress")))</f>
        <v/>
      </c>
      <c r="BU150">
        <f>IF(BI150&gt;=0.70,"Retreat-risk",IF(BH150&lt;=0.40,"Rush-risk",IF(BH150&gt;=0.65,"Slow-build","Mixed")))</f>
        <v/>
      </c>
      <c r="BV150">
        <f>IF(BL150-BM150&gt;=0.15,"Stimulation-seeking",IF(BM150-BL150&gt;=0.15,"Calm-seeking","Mixed")))</f>
        <v/>
      </c>
      <c r="BW150">
        <f>IF(AND(BL150&gt;=0.72,BM150&lt;0.48),"High",IF(AND(BL150&gt;=0.60,BM150&lt;0.58),"Medium","Low"))</f>
        <v/>
      </c>
    </row>
    <row r="151" ht="135" customHeight="1" s="10">
      <c r="A151" s="2" t="inlineStr">
        <is>
          <t>Q30_E</t>
        </is>
      </c>
      <c r="B151" s="2" t="n">
        <v>30</v>
      </c>
      <c r="C151" s="2" t="n">
        <v>30</v>
      </c>
      <c r="D151" s="2" t="inlineStr">
        <is>
          <t>Core</t>
        </is>
      </c>
      <c r="E151" s="2" t="n">
        <v>1.15</v>
      </c>
      <c r="F151" s="2" t="inlineStr">
        <is>
          <t>ValuesLifestyle</t>
        </is>
      </c>
      <c r="G151" s="2" t="inlineStr">
        <is>
          <t>IntentAlignment</t>
        </is>
      </c>
      <c r="H151" s="2" t="n"/>
      <c r="I151" s="2" t="inlineStr">
        <is>
          <t>E</t>
        </is>
      </c>
      <c r="J151" s="2" t="inlineStr">
        <is>
          <t>E</t>
        </is>
      </c>
      <c r="K151" s="2" t="inlineStr">
        <is>
          <t>I retreat a little, but I take note. That kind of reaction stings more than I'll admit, and I don't forget it.</t>
        </is>
      </c>
      <c r="L151" s="2" t="n">
        <v>7</v>
      </c>
      <c r="M151" s="2" t="n">
        <v>8</v>
      </c>
      <c r="N151" s="2" t="n">
        <v>4</v>
      </c>
      <c r="O151" s="2" t="n">
        <v>4</v>
      </c>
      <c r="P151" s="2" t="n">
        <v>0</v>
      </c>
      <c r="Q151" s="2" t="inlineStr">
        <is>
          <t>Quiet Exit</t>
        </is>
      </c>
      <c r="R151" s="2" t="n">
        <v>4</v>
      </c>
      <c r="S151" s="2" t="n"/>
      <c r="T151" s="2" t="n"/>
      <c r="U151" s="2" t="n">
        <v>0</v>
      </c>
      <c r="V151" s="2" t="inlineStr">
        <is>
          <t>masc:1.4;fem:-1.3</t>
        </is>
      </c>
      <c r="W151" s="2" t="n">
        <v>1.4</v>
      </c>
      <c r="X151" s="2" t="n">
        <v>-1.3</v>
      </c>
      <c r="Y151" s="2" t="inlineStr">
        <is>
          <t>COMM_Avoidant</t>
        </is>
      </c>
      <c r="Z151" s="2" t="inlineStr">
        <is>
          <t>REG_Suppressor</t>
        </is>
      </c>
      <c r="AA151" s="2" t="inlineStr">
        <is>
          <t>LANG_Time</t>
        </is>
      </c>
      <c r="AB151" s="2" t="n"/>
      <c r="AC151" s="2" t="n"/>
      <c r="AD151" s="2" t="n"/>
      <c r="AE151" s="2" t="n">
        <v>0</v>
      </c>
      <c r="AF151" s="2" t="inlineStr">
        <is>
          <t>subtle hurt long memory</t>
        </is>
      </c>
      <c r="AG151" s="2" t="inlineStr">
        <is>
          <t>quiet recorder</t>
        </is>
      </c>
      <c r="AH151" s="2" t="n">
        <v>0</v>
      </c>
      <c r="AI151" s="2" t="inlineStr">
        <is>
          <t>no</t>
        </is>
      </c>
      <c r="AJ151" s="2" t="inlineStr">
        <is>
          <t>no</t>
        </is>
      </c>
      <c r="AK151" s="2" t="inlineStr">
        <is>
          <t>no</t>
        </is>
      </c>
      <c r="AL151" s="2" t="inlineStr">
        <is>
          <t>no</t>
        </is>
      </c>
      <c r="AM151" s="2" t="n"/>
      <c r="AN151" s="2" t="n"/>
      <c r="AO151" s="2" t="n"/>
      <c r="AP151" s="2" t="inlineStr">
        <is>
          <t>v3_2026-03-19</t>
        </is>
      </c>
      <c r="AQ151">
        <f>(L151-Schema_v5!$C2)/(Schema_v5!$C3-Schema_v5!$C2)</f>
        <v/>
      </c>
      <c r="AR151">
        <f>(M151-Schema_v5!$C4)/(Schema_v5!$C5-Schema_v5!$C4)</f>
        <v/>
      </c>
      <c r="AS151">
        <f>N151/Schema_v5!$C6</f>
        <v/>
      </c>
      <c r="AT151">
        <f>O151/Schema_v5!$C7</f>
        <v/>
      </c>
      <c r="AU151">
        <f>P151/Schema_v5!$C8</f>
        <v/>
      </c>
      <c r="AV151">
        <f>IF(Schema_v5!$C9=0,0,AH151/Schema_v5!$C9)</f>
        <v/>
      </c>
      <c r="AW151">
        <f>IF(Schema_v5!$C10=0,0,AE151/Schema_v5!$C10)</f>
        <v/>
      </c>
      <c r="AX151">
        <f>(W151-Schema_v5!$C11)/(Schema_v5!$C12-Schema_v5!$C11)</f>
        <v/>
      </c>
      <c r="AY151">
        <f>(X151-Schema_v5!$C13)/(Schema_v5!$C14-Schema_v5!$C13)</f>
        <v/>
      </c>
      <c r="AZ151">
        <f>MIN(1,MAX(0,U151/Schema_v7!$C$9))</f>
        <v/>
      </c>
      <c r="BA151">
        <f>IF(AJ151="yes",0.55,0)</f>
        <v/>
      </c>
      <c r="BB151">
        <f>IF(AI151="yes",0.10,0)</f>
        <v/>
      </c>
      <c r="BC151">
        <f>IF(Y151="COMM_Direct",0.92,IF(Y151="COMM_Emotional",0.70,IF(Y151="COMM_Logical",0.65,IF(Y151="COMM_Indirect",0.55,0.35))))</f>
        <v/>
      </c>
      <c r="BD151">
        <f>IF(Z151="REG_CoRegulator",0.92,IF(Z151="REG_SelfSoother",0.76,IF(Z151="REG_Distractor",0.48,0.35)))</f>
        <v/>
      </c>
      <c r="BE151">
        <f>IF(AA151="LANG_Time",0.76,IF(AA151="LANG_Service",0.70,IF(AA151="LANG_Words",0.72,IF(AA151="LANG_Touch",0.68,0.60))))</f>
        <v/>
      </c>
      <c r="BF151">
        <f>MAX(0,MIN(1,0.28*AS151+0.16*AT151+0.18*BC151+0.18*BD151+0.10*(1-AZ151)+0.10*(1-BA151)+BB151))</f>
        <v/>
      </c>
      <c r="BG151">
        <f>MAX(0,MIN(1,0.24*AU151+0.18*AS151+0.18*BC151+0.20*BD151+0.10*(1-AW151)+0.10*(1-BA151)))</f>
        <v/>
      </c>
      <c r="BH151">
        <f>MAX(0,MIN(1,0.28*AR151+0.18*AT151+0.16*AU151+0.18*(1-AV151)+0.10*(1-AW151)+0.10*BF151))</f>
        <v/>
      </c>
      <c r="BI151">
        <f>MAX(0,MIN(1,0.30*AV151+0.20*AZ151+0.20*AW151+0.15*(1-BH151)+0.15*(1-BO151)))</f>
        <v/>
      </c>
      <c r="BJ151">
        <f>MAX(0,1-(ABS(((( AX151+AY151)/2)-0.55)*1.6)))</f>
        <v/>
      </c>
      <c r="BK151">
        <f>MAX(0,MIN(1,0.28*AR151+0.18*AT151+0.16*BJ151+0.14*(1-AV151)+0.12*BQ151+0.12*BO151))</f>
        <v/>
      </c>
      <c r="BL151">
        <f>MAX(0,MIN(1,0.22*AQ151+0.18*AS151+0.18*BC151+0.18*BD151+0.08*BE151+0.10*BF151+0.06*BO151))</f>
        <v/>
      </c>
      <c r="BM151">
        <f>MAX(0,MIN(1,0.20*(1-AZ151)+0.16*(1-BA151)+0.14*(1-AW151)+0.14*AU151+0.18*BG151+0.10*BH151+0.08*BP151))</f>
        <v/>
      </c>
      <c r="BN151">
        <f>MAX(0,MIN(1,0.42*BJ151+0.33*BK151+0.15*AT151+0.10*BQ151))</f>
        <v/>
      </c>
      <c r="BO151">
        <f>MAX(0,MIN(1,0.30*BC151+0.24*BD151+0.18*AS151+0.14*(1-BI151)+0.14*AT151))</f>
        <v/>
      </c>
      <c r="BP151">
        <f>MAX(0,MIN(1,0.26*AS151+0.20*(1-BA151)+0.16*(1-AW151)+0.18*BG151+0.10*AU151+0.10+BB151))</f>
        <v/>
      </c>
      <c r="BQ151">
        <f>MAX(0,MIN(1,0.24*AT151+0.18*BF151+0.14*AR151+0.14*BO151+0.14*(1-AV151)+0.16*(1-AZ151)))</f>
        <v/>
      </c>
      <c r="BR151">
        <f>IF(BO151&gt;=0.80,"Open",IF(BO151&gt;=0.62,"Measured",IF(BO151&gt;=0.45,"Selective","Guarded")))</f>
        <v/>
      </c>
      <c r="BS151">
        <f>IF(Y151="COMM_Direct","Direct",IF(Y151="COMM_Emotional","Emotional",IF(Y151="COMM_Logical","Logical",IF(Y151="COMM_Indirect","Indirect","Avoidant"))))</f>
        <v/>
      </c>
      <c r="BT151">
        <f>IF(BG151&gt;=0.78,"Co-repair",IF(BG151&gt;=0.58,"Re-engage",IF(BG151&gt;=0.40,"Delay","Suppress")))</f>
        <v/>
      </c>
      <c r="BU151">
        <f>IF(BI151&gt;=0.70,"Retreat-risk",IF(BH151&lt;=0.40,"Rush-risk",IF(BH151&gt;=0.65,"Slow-build","Mixed")))</f>
        <v/>
      </c>
      <c r="BV151">
        <f>IF(BL151-BM151&gt;=0.15,"Stimulation-seeking",IF(BM151-BL151&gt;=0.15,"Calm-seeking","Mixed")))</f>
        <v/>
      </c>
      <c r="BW151">
        <f>IF(AND(BL151&gt;=0.72,BM151&lt;0.48),"High",IF(AND(BL151&gt;=0.60,BM151&lt;0.58),"Medium","Low"))</f>
        <v/>
      </c>
    </row>
    <row r="152" ht="121.5" customHeight="1" s="10">
      <c r="A152" s="2" t="inlineStr">
        <is>
          <t>Q31_A</t>
        </is>
      </c>
      <c r="B152" s="2" t="n">
        <v>31</v>
      </c>
      <c r="C152" s="2" t="n">
        <v>31</v>
      </c>
      <c r="D152" s="2" t="inlineStr">
        <is>
          <t>Core</t>
        </is>
      </c>
      <c r="E152" s="2" t="n">
        <v>1.15</v>
      </c>
      <c r="F152" s="2" t="inlineStr">
        <is>
          <t>ValuesLifestyle</t>
        </is>
      </c>
      <c r="G152" s="2" t="inlineStr">
        <is>
          <t>IntentAlignment</t>
        </is>
      </c>
      <c r="H152" s="2" t="inlineStr">
        <is>
          <t>You realize you said or did something that might've hurt them. They haven't brought it up. How do you usually handle it?</t>
        </is>
      </c>
      <c r="I152" s="2" t="inlineStr">
        <is>
          <t>A</t>
        </is>
      </c>
      <c r="J152" s="2" t="inlineStr">
        <is>
          <t>A</t>
        </is>
      </c>
      <c r="K152" s="2" t="inlineStr">
        <is>
          <t>I let it pass. If they're not saying anything, maybe it wasn't that deep.</t>
        </is>
      </c>
      <c r="L152" s="2" t="n">
        <v>8</v>
      </c>
      <c r="M152" s="2" t="n">
        <v>8</v>
      </c>
      <c r="N152" s="2" t="n">
        <v>4</v>
      </c>
      <c r="O152" s="2" t="n">
        <v>4</v>
      </c>
      <c r="P152" s="2" t="n">
        <v>2</v>
      </c>
      <c r="Q152" s="2" t="inlineStr">
        <is>
          <t>Icebox</t>
        </is>
      </c>
      <c r="R152" s="2" t="n">
        <v>1</v>
      </c>
      <c r="S152" s="2" t="n"/>
      <c r="T152" s="2" t="n"/>
      <c r="U152" s="2" t="n">
        <v>0</v>
      </c>
      <c r="V152" s="2" t="inlineStr">
        <is>
          <t>masc:1.8;fem:-1.6</t>
        </is>
      </c>
      <c r="W152" s="2" t="n">
        <v>1.8</v>
      </c>
      <c r="X152" s="2" t="n">
        <v>-1.6</v>
      </c>
      <c r="Y152" s="2" t="inlineStr">
        <is>
          <t>COMM_Avoidant</t>
        </is>
      </c>
      <c r="Z152" s="2" t="inlineStr">
        <is>
          <t>REG_Suppressor</t>
        </is>
      </c>
      <c r="AA152" s="2" t="inlineStr">
        <is>
          <t>LANG_Time</t>
        </is>
      </c>
      <c r="AB152" s="2" t="n"/>
      <c r="AC152" s="2" t="n"/>
      <c r="AD152" s="2" t="n"/>
      <c r="AE152" s="2" t="n">
        <v>0</v>
      </c>
      <c r="AF152" s="2" t="inlineStr">
        <is>
          <t>let it die in silence</t>
        </is>
      </c>
      <c r="AG152" s="2" t="inlineStr">
        <is>
          <t>passive resolver</t>
        </is>
      </c>
      <c r="AH152" s="2" t="n">
        <v>0</v>
      </c>
      <c r="AI152" s="2" t="inlineStr">
        <is>
          <t>no</t>
        </is>
      </c>
      <c r="AJ152" s="2" t="inlineStr">
        <is>
          <t>no</t>
        </is>
      </c>
      <c r="AK152" s="2" t="inlineStr">
        <is>
          <t>no</t>
        </is>
      </c>
      <c r="AL152" s="2" t="inlineStr">
        <is>
          <t>no</t>
        </is>
      </c>
      <c r="AM152" s="2" t="n"/>
      <c r="AN152" s="2" t="n"/>
      <c r="AO152" s="2" t="n"/>
      <c r="AP152" s="2" t="inlineStr">
        <is>
          <t>v3_2026-03-19</t>
        </is>
      </c>
      <c r="AQ152">
        <f>(L152-Schema_v5!$C2)/(Schema_v5!$C3-Schema_v5!$C2)</f>
        <v/>
      </c>
      <c r="AR152">
        <f>(M152-Schema_v5!$C4)/(Schema_v5!$C5-Schema_v5!$C4)</f>
        <v/>
      </c>
      <c r="AS152">
        <f>N152/Schema_v5!$C6</f>
        <v/>
      </c>
      <c r="AT152">
        <f>O152/Schema_v5!$C7</f>
        <v/>
      </c>
      <c r="AU152">
        <f>P152/Schema_v5!$C8</f>
        <v/>
      </c>
      <c r="AV152">
        <f>IF(Schema_v5!$C9=0,0,AH152/Schema_v5!$C9)</f>
        <v/>
      </c>
      <c r="AW152">
        <f>IF(Schema_v5!$C10=0,0,AE152/Schema_v5!$C10)</f>
        <v/>
      </c>
      <c r="AX152">
        <f>(W152-Schema_v5!$C11)/(Schema_v5!$C12-Schema_v5!$C11)</f>
        <v/>
      </c>
      <c r="AY152">
        <f>(X152-Schema_v5!$C13)/(Schema_v5!$C14-Schema_v5!$C13)</f>
        <v/>
      </c>
      <c r="AZ152">
        <f>MIN(1,MAX(0,U152/Schema_v7!$C$9))</f>
        <v/>
      </c>
      <c r="BA152">
        <f>IF(AJ152="yes",0.55,0)</f>
        <v/>
      </c>
      <c r="BB152">
        <f>IF(AI152="yes",0.10,0)</f>
        <v/>
      </c>
      <c r="BC152">
        <f>IF(Y152="COMM_Direct",0.92,IF(Y152="COMM_Emotional",0.70,IF(Y152="COMM_Logical",0.65,IF(Y152="COMM_Indirect",0.55,0.35))))</f>
        <v/>
      </c>
      <c r="BD152">
        <f>IF(Z152="REG_CoRegulator",0.92,IF(Z152="REG_SelfSoother",0.76,IF(Z152="REG_Distractor",0.48,0.35)))</f>
        <v/>
      </c>
      <c r="BE152">
        <f>IF(AA152="LANG_Time",0.76,IF(AA152="LANG_Service",0.70,IF(AA152="LANG_Words",0.72,IF(AA152="LANG_Touch",0.68,0.60))))</f>
        <v/>
      </c>
      <c r="BF152">
        <f>MAX(0,MIN(1,0.28*AS152+0.16*AT152+0.18*BC152+0.18*BD152+0.10*(1-AZ152)+0.10*(1-BA152)+BB152))</f>
        <v/>
      </c>
      <c r="BG152">
        <f>MAX(0,MIN(1,0.24*AU152+0.18*AS152+0.18*BC152+0.20*BD152+0.10*(1-AW152)+0.10*(1-BA152)))</f>
        <v/>
      </c>
      <c r="BH152">
        <f>MAX(0,MIN(1,0.28*AR152+0.18*AT152+0.16*AU152+0.18*(1-AV152)+0.10*(1-AW152)+0.10*BF152))</f>
        <v/>
      </c>
      <c r="BI152">
        <f>MAX(0,MIN(1,0.30*AV152+0.20*AZ152+0.20*AW152+0.15*(1-BH152)+0.15*(1-BO152)))</f>
        <v/>
      </c>
      <c r="BJ152">
        <f>MAX(0,1-(ABS(((( AX152+AY152)/2)-0.55)*1.6)))</f>
        <v/>
      </c>
      <c r="BK152">
        <f>MAX(0,MIN(1,0.28*AR152+0.18*AT152+0.16*BJ152+0.14*(1-AV152)+0.12*BQ152+0.12*BO152))</f>
        <v/>
      </c>
      <c r="BL152">
        <f>MAX(0,MIN(1,0.22*AQ152+0.18*AS152+0.18*BC152+0.18*BD152+0.08*BE152+0.10*BF152+0.06*BO152))</f>
        <v/>
      </c>
      <c r="BM152">
        <f>MAX(0,MIN(1,0.20*(1-AZ152)+0.16*(1-BA152)+0.14*(1-AW152)+0.14*AU152+0.18*BG152+0.10*BH152+0.08*BP152))</f>
        <v/>
      </c>
      <c r="BN152">
        <f>MAX(0,MIN(1,0.42*BJ152+0.33*BK152+0.15*AT152+0.10*BQ152))</f>
        <v/>
      </c>
      <c r="BO152">
        <f>MAX(0,MIN(1,0.30*BC152+0.24*BD152+0.18*AS152+0.14*(1-BI152)+0.14*AT152))</f>
        <v/>
      </c>
      <c r="BP152">
        <f>MAX(0,MIN(1,0.26*AS152+0.20*(1-BA152)+0.16*(1-AW152)+0.18*BG152+0.10*AU152+0.10+BB152))</f>
        <v/>
      </c>
      <c r="BQ152">
        <f>MAX(0,MIN(1,0.24*AT152+0.18*BF152+0.14*AR152+0.14*BO152+0.14*(1-AV152)+0.16*(1-AZ152)))</f>
        <v/>
      </c>
      <c r="BR152">
        <f>IF(BO152&gt;=0.80,"Open",IF(BO152&gt;=0.62,"Measured",IF(BO152&gt;=0.45,"Selective","Guarded")))</f>
        <v/>
      </c>
      <c r="BS152">
        <f>IF(Y152="COMM_Direct","Direct",IF(Y152="COMM_Emotional","Emotional",IF(Y152="COMM_Logical","Logical",IF(Y152="COMM_Indirect","Indirect","Avoidant"))))</f>
        <v/>
      </c>
      <c r="BT152">
        <f>IF(BG152&gt;=0.78,"Co-repair",IF(BG152&gt;=0.58,"Re-engage",IF(BG152&gt;=0.40,"Delay","Suppress")))</f>
        <v/>
      </c>
      <c r="BU152">
        <f>IF(BI152&gt;=0.70,"Retreat-risk",IF(BH152&lt;=0.40,"Rush-risk",IF(BH152&gt;=0.65,"Slow-build","Mixed")))</f>
        <v/>
      </c>
      <c r="BV152">
        <f>IF(BL152-BM152&gt;=0.15,"Stimulation-seeking",IF(BM152-BL152&gt;=0.15,"Calm-seeking","Mixed")))</f>
        <v/>
      </c>
      <c r="BW152">
        <f>IF(AND(BL152&gt;=0.72,BM152&lt;0.48),"High",IF(AND(BL152&gt;=0.60,BM152&lt;0.58),"Medium","Low"))</f>
        <v/>
      </c>
    </row>
    <row r="153" ht="135" customHeight="1" s="10">
      <c r="A153" s="2" t="inlineStr">
        <is>
          <t>Q31_B</t>
        </is>
      </c>
      <c r="B153" s="2" t="n">
        <v>31</v>
      </c>
      <c r="C153" s="2" t="n">
        <v>31</v>
      </c>
      <c r="D153" s="2" t="inlineStr">
        <is>
          <t>Core</t>
        </is>
      </c>
      <c r="E153" s="2" t="n">
        <v>1.15</v>
      </c>
      <c r="F153" s="2" t="inlineStr">
        <is>
          <t>ValuesLifestyle</t>
        </is>
      </c>
      <c r="G153" s="2" t="inlineStr">
        <is>
          <t>IntentAlignment</t>
        </is>
      </c>
      <c r="H153" s="2" t="n"/>
      <c r="I153" s="2" t="inlineStr">
        <is>
          <t>B</t>
        </is>
      </c>
      <c r="J153" s="2" t="inlineStr">
        <is>
          <t>B</t>
        </is>
      </c>
      <c r="K153" s="2" t="inlineStr">
        <is>
          <t>I sit with it for a while, overthinking every part. I want to apologize, but I'm scared it'll make it worse.</t>
        </is>
      </c>
      <c r="L153" s="2" t="n">
        <v>4</v>
      </c>
      <c r="M153" s="2" t="n">
        <v>5</v>
      </c>
      <c r="N153" s="2" t="n">
        <v>2</v>
      </c>
      <c r="O153" s="2" t="n">
        <v>2</v>
      </c>
      <c r="P153" s="2" t="n">
        <v>0</v>
      </c>
      <c r="Q153" s="2" t="inlineStr">
        <is>
          <t>Phantom Seeker</t>
        </is>
      </c>
      <c r="R153" s="2" t="n">
        <v>10</v>
      </c>
      <c r="S153" s="2" t="n"/>
      <c r="T153" s="2" t="n"/>
      <c r="U153" s="2" t="n">
        <v>0</v>
      </c>
      <c r="V153" s="2" t="inlineStr">
        <is>
          <t>masc:-0.2;fem:1.5</t>
        </is>
      </c>
      <c r="W153" s="2" t="n">
        <v>-0.2</v>
      </c>
      <c r="X153" s="2" t="n">
        <v>1.5</v>
      </c>
      <c r="Y153" s="2" t="inlineStr">
        <is>
          <t>COMM_Emotional</t>
        </is>
      </c>
      <c r="Z153" s="2" t="inlineStr">
        <is>
          <t>REG_SelfSoother</t>
        </is>
      </c>
      <c r="AA153" s="2" t="inlineStr">
        <is>
          <t>LANG_Touch</t>
        </is>
      </c>
      <c r="AB153" s="2" t="inlineStr">
        <is>
          <t>Vulnerability_Loop</t>
        </is>
      </c>
      <c r="AC153" s="2" t="inlineStr">
        <is>
          <t>Vulnerability_Loop</t>
        </is>
      </c>
      <c r="AD153" s="2" t="n"/>
      <c r="AE153" s="2" t="n">
        <v>5</v>
      </c>
      <c r="AF153" s="2" t="inlineStr">
        <is>
          <t>shame paralysis</t>
        </is>
      </c>
      <c r="AG153" s="2" t="inlineStr">
        <is>
          <t>anxious holder</t>
        </is>
      </c>
      <c r="AH153" s="2" t="n">
        <v>0</v>
      </c>
      <c r="AI153" s="2" t="inlineStr">
        <is>
          <t>yes</t>
        </is>
      </c>
      <c r="AJ153" s="2" t="inlineStr">
        <is>
          <t>no</t>
        </is>
      </c>
      <c r="AK153" s="2" t="inlineStr">
        <is>
          <t>no</t>
        </is>
      </c>
      <c r="AL153" s="2" t="inlineStr">
        <is>
          <t>no</t>
        </is>
      </c>
      <c r="AM153" s="2" t="n"/>
      <c r="AN153" s="2" t="n"/>
      <c r="AO153" s="2" t="n"/>
      <c r="AP153" s="2" t="inlineStr">
        <is>
          <t>v3_2026-03-19</t>
        </is>
      </c>
      <c r="AQ153">
        <f>(L153-Schema_v5!$C2)/(Schema_v5!$C3-Schema_v5!$C2)</f>
        <v/>
      </c>
      <c r="AR153">
        <f>(M153-Schema_v5!$C4)/(Schema_v5!$C5-Schema_v5!$C4)</f>
        <v/>
      </c>
      <c r="AS153">
        <f>N153/Schema_v5!$C6</f>
        <v/>
      </c>
      <c r="AT153">
        <f>O153/Schema_v5!$C7</f>
        <v/>
      </c>
      <c r="AU153">
        <f>P153/Schema_v5!$C8</f>
        <v/>
      </c>
      <c r="AV153">
        <f>IF(Schema_v5!$C9=0,0,AH153/Schema_v5!$C9)</f>
        <v/>
      </c>
      <c r="AW153">
        <f>IF(Schema_v5!$C10=0,0,AE153/Schema_v5!$C10)</f>
        <v/>
      </c>
      <c r="AX153">
        <f>(W153-Schema_v5!$C11)/(Schema_v5!$C12-Schema_v5!$C11)</f>
        <v/>
      </c>
      <c r="AY153">
        <f>(X153-Schema_v5!$C13)/(Schema_v5!$C14-Schema_v5!$C13)</f>
        <v/>
      </c>
      <c r="AZ153">
        <f>MIN(1,MAX(0,U153/Schema_v7!$C$9))</f>
        <v/>
      </c>
      <c r="BA153">
        <f>IF(AJ153="yes",0.55,0)</f>
        <v/>
      </c>
      <c r="BB153">
        <f>IF(AI153="yes",0.10,0)</f>
        <v/>
      </c>
      <c r="BC153">
        <f>IF(Y153="COMM_Direct",0.92,IF(Y153="COMM_Emotional",0.70,IF(Y153="COMM_Logical",0.65,IF(Y153="COMM_Indirect",0.55,0.35))))</f>
        <v/>
      </c>
      <c r="BD153">
        <f>IF(Z153="REG_CoRegulator",0.92,IF(Z153="REG_SelfSoother",0.76,IF(Z153="REG_Distractor",0.48,0.35)))</f>
        <v/>
      </c>
      <c r="BE153">
        <f>IF(AA153="LANG_Time",0.76,IF(AA153="LANG_Service",0.70,IF(AA153="LANG_Words",0.72,IF(AA153="LANG_Touch",0.68,0.60))))</f>
        <v/>
      </c>
      <c r="BF153">
        <f>MAX(0,MIN(1,0.28*AS153+0.16*AT153+0.18*BC153+0.18*BD153+0.10*(1-AZ153)+0.10*(1-BA153)+BB153))</f>
        <v/>
      </c>
      <c r="BG153">
        <f>MAX(0,MIN(1,0.24*AU153+0.18*AS153+0.18*BC153+0.20*BD153+0.10*(1-AW153)+0.10*(1-BA153)))</f>
        <v/>
      </c>
      <c r="BH153">
        <f>MAX(0,MIN(1,0.28*AR153+0.18*AT153+0.16*AU153+0.18*(1-AV153)+0.10*(1-AW153)+0.10*BF153))</f>
        <v/>
      </c>
      <c r="BI153">
        <f>MAX(0,MIN(1,0.30*AV153+0.20*AZ153+0.20*AW153+0.15*(1-BH153)+0.15*(1-BO153)))</f>
        <v/>
      </c>
      <c r="BJ153">
        <f>MAX(0,1-(ABS(((( AX153+AY153)/2)-0.55)*1.6)))</f>
        <v/>
      </c>
      <c r="BK153">
        <f>MAX(0,MIN(1,0.28*AR153+0.18*AT153+0.16*BJ153+0.14*(1-AV153)+0.12*BQ153+0.12*BO153))</f>
        <v/>
      </c>
      <c r="BL153">
        <f>MAX(0,MIN(1,0.22*AQ153+0.18*AS153+0.18*BC153+0.18*BD153+0.08*BE153+0.10*BF153+0.06*BO153))</f>
        <v/>
      </c>
      <c r="BM153">
        <f>MAX(0,MIN(1,0.20*(1-AZ153)+0.16*(1-BA153)+0.14*(1-AW153)+0.14*AU153+0.18*BG153+0.10*BH153+0.08*BP153))</f>
        <v/>
      </c>
      <c r="BN153">
        <f>MAX(0,MIN(1,0.42*BJ153+0.33*BK153+0.15*AT153+0.10*BQ153))</f>
        <v/>
      </c>
      <c r="BO153">
        <f>MAX(0,MIN(1,0.30*BC153+0.24*BD153+0.18*AS153+0.14*(1-BI153)+0.14*AT153))</f>
        <v/>
      </c>
      <c r="BP153">
        <f>MAX(0,MIN(1,0.26*AS153+0.20*(1-BA153)+0.16*(1-AW153)+0.18*BG153+0.10*AU153+0.10+BB153))</f>
        <v/>
      </c>
      <c r="BQ153">
        <f>MAX(0,MIN(1,0.24*AT153+0.18*BF153+0.14*AR153+0.14*BO153+0.14*(1-AV153)+0.16*(1-AZ153)))</f>
        <v/>
      </c>
      <c r="BR153">
        <f>IF(BO153&gt;=0.80,"Open",IF(BO153&gt;=0.62,"Measured",IF(BO153&gt;=0.45,"Selective","Guarded")))</f>
        <v/>
      </c>
      <c r="BS153">
        <f>IF(Y153="COMM_Direct","Direct",IF(Y153="COMM_Emotional","Emotional",IF(Y153="COMM_Logical","Logical",IF(Y153="COMM_Indirect","Indirect","Avoidant"))))</f>
        <v/>
      </c>
      <c r="BT153">
        <f>IF(BG153&gt;=0.78,"Co-repair",IF(BG153&gt;=0.58,"Re-engage",IF(BG153&gt;=0.40,"Delay","Suppress")))</f>
        <v/>
      </c>
      <c r="BU153">
        <f>IF(BI153&gt;=0.70,"Retreat-risk",IF(BH153&lt;=0.40,"Rush-risk",IF(BH153&gt;=0.65,"Slow-build","Mixed")))</f>
        <v/>
      </c>
      <c r="BV153">
        <f>IF(BL153-BM153&gt;=0.15,"Stimulation-seeking",IF(BM153-BL153&gt;=0.15,"Calm-seeking","Mixed")))</f>
        <v/>
      </c>
      <c r="BW153">
        <f>IF(AND(BL153&gt;=0.72,BM153&lt;0.48),"High",IF(AND(BL153&gt;=0.60,BM153&lt;0.58),"Medium","Low"))</f>
        <v/>
      </c>
    </row>
    <row r="154" ht="81" customHeight="1" s="10">
      <c r="A154" s="2" t="inlineStr">
        <is>
          <t>Q31_C</t>
        </is>
      </c>
      <c r="B154" s="2" t="n">
        <v>31</v>
      </c>
      <c r="C154" s="2" t="n">
        <v>31</v>
      </c>
      <c r="D154" s="2" t="inlineStr">
        <is>
          <t>Core</t>
        </is>
      </c>
      <c r="E154" s="2" t="n">
        <v>1.15</v>
      </c>
      <c r="F154" s="2" t="inlineStr">
        <is>
          <t>ValuesLifestyle</t>
        </is>
      </c>
      <c r="G154" s="2" t="inlineStr">
        <is>
          <t>IntentAlignment</t>
        </is>
      </c>
      <c r="H154" s="2" t="n"/>
      <c r="I154" s="2" t="inlineStr">
        <is>
          <t>C</t>
        </is>
      </c>
      <c r="J154" s="2" t="inlineStr">
        <is>
          <t>C</t>
        </is>
      </c>
      <c r="K154" s="2" t="inlineStr">
        <is>
          <t>I bring it up myself. Even if they say it's fine, I want them to know I saw it.</t>
        </is>
      </c>
      <c r="L154" s="2" t="n">
        <v>9</v>
      </c>
      <c r="M154" s="2" t="n">
        <v>9</v>
      </c>
      <c r="N154" s="2" t="n">
        <v>10</v>
      </c>
      <c r="O154" s="2" t="n">
        <v>10</v>
      </c>
      <c r="P154" s="2" t="n">
        <v>10</v>
      </c>
      <c r="Q154" s="2" t="inlineStr">
        <is>
          <t>Regulated Grown-Up</t>
        </is>
      </c>
      <c r="R154" s="2" t="n">
        <v>9</v>
      </c>
      <c r="S154" s="2" t="n"/>
      <c r="T154" s="2" t="n"/>
      <c r="U154" s="2" t="n">
        <v>0</v>
      </c>
      <c r="V154" s="2" t="inlineStr">
        <is>
          <t>masc:1.1;fem:0.9</t>
        </is>
      </c>
      <c r="W154" s="2" t="n">
        <v>1.1</v>
      </c>
      <c r="X154" s="2" t="n">
        <v>0.9</v>
      </c>
      <c r="Y154" s="2" t="inlineStr">
        <is>
          <t>COMM_Direct</t>
        </is>
      </c>
      <c r="Z154" s="2" t="inlineStr">
        <is>
          <t>REG_CoRegulator</t>
        </is>
      </c>
      <c r="AA154" s="2" t="inlineStr">
        <is>
          <t>LANG_Words</t>
        </is>
      </c>
      <c r="AB154" s="2" t="n"/>
      <c r="AC154" s="2" t="n"/>
      <c r="AD154" s="2" t="n"/>
      <c r="AE154" s="2" t="n">
        <v>0</v>
      </c>
      <c r="AF154" s="2" t="inlineStr">
        <is>
          <t>proactive accountability</t>
        </is>
      </c>
      <c r="AG154" s="2" t="inlineStr">
        <is>
          <t>direct repairer</t>
        </is>
      </c>
      <c r="AH154" s="2" t="n">
        <v>0</v>
      </c>
      <c r="AI154" s="2" t="inlineStr">
        <is>
          <t>no</t>
        </is>
      </c>
      <c r="AJ154" s="2" t="inlineStr">
        <is>
          <t>no</t>
        </is>
      </c>
      <c r="AK154" s="2" t="inlineStr">
        <is>
          <t>no</t>
        </is>
      </c>
      <c r="AL154" s="2" t="inlineStr">
        <is>
          <t>no</t>
        </is>
      </c>
      <c r="AM154" s="2" t="n"/>
      <c r="AN154" s="2" t="n"/>
      <c r="AO154" s="2" t="n"/>
      <c r="AP154" s="2" t="inlineStr">
        <is>
          <t>v3_2026-03-19</t>
        </is>
      </c>
      <c r="AQ154">
        <f>(L154-Schema_v5!$C2)/(Schema_v5!$C3-Schema_v5!$C2)</f>
        <v/>
      </c>
      <c r="AR154">
        <f>(M154-Schema_v5!$C4)/(Schema_v5!$C5-Schema_v5!$C4)</f>
        <v/>
      </c>
      <c r="AS154">
        <f>N154/Schema_v5!$C6</f>
        <v/>
      </c>
      <c r="AT154">
        <f>O154/Schema_v5!$C7</f>
        <v/>
      </c>
      <c r="AU154">
        <f>P154/Schema_v5!$C8</f>
        <v/>
      </c>
      <c r="AV154">
        <f>IF(Schema_v5!$C9=0,0,AH154/Schema_v5!$C9)</f>
        <v/>
      </c>
      <c r="AW154">
        <f>IF(Schema_v5!$C10=0,0,AE154/Schema_v5!$C10)</f>
        <v/>
      </c>
      <c r="AX154">
        <f>(W154-Schema_v5!$C11)/(Schema_v5!$C12-Schema_v5!$C11)</f>
        <v/>
      </c>
      <c r="AY154">
        <f>(X154-Schema_v5!$C13)/(Schema_v5!$C14-Schema_v5!$C13)</f>
        <v/>
      </c>
      <c r="AZ154">
        <f>MIN(1,MAX(0,U154/Schema_v7!$C$9))</f>
        <v/>
      </c>
      <c r="BA154">
        <f>IF(AJ154="yes",0.55,0)</f>
        <v/>
      </c>
      <c r="BB154">
        <f>IF(AI154="yes",0.10,0)</f>
        <v/>
      </c>
      <c r="BC154">
        <f>IF(Y154="COMM_Direct",0.92,IF(Y154="COMM_Emotional",0.70,IF(Y154="COMM_Logical",0.65,IF(Y154="COMM_Indirect",0.55,0.35))))</f>
        <v/>
      </c>
      <c r="BD154">
        <f>IF(Z154="REG_CoRegulator",0.92,IF(Z154="REG_SelfSoother",0.76,IF(Z154="REG_Distractor",0.48,0.35)))</f>
        <v/>
      </c>
      <c r="BE154">
        <f>IF(AA154="LANG_Time",0.76,IF(AA154="LANG_Service",0.70,IF(AA154="LANG_Words",0.72,IF(AA154="LANG_Touch",0.68,0.60))))</f>
        <v/>
      </c>
      <c r="BF154">
        <f>MAX(0,MIN(1,0.28*AS154+0.16*AT154+0.18*BC154+0.18*BD154+0.10*(1-AZ154)+0.10*(1-BA154)+BB154))</f>
        <v/>
      </c>
      <c r="BG154">
        <f>MAX(0,MIN(1,0.24*AU154+0.18*AS154+0.18*BC154+0.20*BD154+0.10*(1-AW154)+0.10*(1-BA154)))</f>
        <v/>
      </c>
      <c r="BH154">
        <f>MAX(0,MIN(1,0.28*AR154+0.18*AT154+0.16*AU154+0.18*(1-AV154)+0.10*(1-AW154)+0.10*BF154))</f>
        <v/>
      </c>
      <c r="BI154">
        <f>MAX(0,MIN(1,0.30*AV154+0.20*AZ154+0.20*AW154+0.15*(1-BH154)+0.15*(1-BO154)))</f>
        <v/>
      </c>
      <c r="BJ154">
        <f>MAX(0,1-(ABS(((( AX154+AY154)/2)-0.55)*1.6)))</f>
        <v/>
      </c>
      <c r="BK154">
        <f>MAX(0,MIN(1,0.28*AR154+0.18*AT154+0.16*BJ154+0.14*(1-AV154)+0.12*BQ154+0.12*BO154))</f>
        <v/>
      </c>
      <c r="BL154">
        <f>MAX(0,MIN(1,0.22*AQ154+0.18*AS154+0.18*BC154+0.18*BD154+0.08*BE154+0.10*BF154+0.06*BO154))</f>
        <v/>
      </c>
      <c r="BM154">
        <f>MAX(0,MIN(1,0.20*(1-AZ154)+0.16*(1-BA154)+0.14*(1-AW154)+0.14*AU154+0.18*BG154+0.10*BH154+0.08*BP154))</f>
        <v/>
      </c>
      <c r="BN154">
        <f>MAX(0,MIN(1,0.42*BJ154+0.33*BK154+0.15*AT154+0.10*BQ154))</f>
        <v/>
      </c>
      <c r="BO154">
        <f>MAX(0,MIN(1,0.30*BC154+0.24*BD154+0.18*AS154+0.14*(1-BI154)+0.14*AT154))</f>
        <v/>
      </c>
      <c r="BP154">
        <f>MAX(0,MIN(1,0.26*AS154+0.20*(1-BA154)+0.16*(1-AW154)+0.18*BG154+0.10*AU154+0.10+BB154))</f>
        <v/>
      </c>
      <c r="BQ154">
        <f>MAX(0,MIN(1,0.24*AT154+0.18*BF154+0.14*AR154+0.14*BO154+0.14*(1-AV154)+0.16*(1-AZ154)))</f>
        <v/>
      </c>
      <c r="BR154">
        <f>IF(BO154&gt;=0.80,"Open",IF(BO154&gt;=0.62,"Measured",IF(BO154&gt;=0.45,"Selective","Guarded")))</f>
        <v/>
      </c>
      <c r="BS154">
        <f>IF(Y154="COMM_Direct","Direct",IF(Y154="COMM_Emotional","Emotional",IF(Y154="COMM_Logical","Logical",IF(Y154="COMM_Indirect","Indirect","Avoidant"))))</f>
        <v/>
      </c>
      <c r="BT154">
        <f>IF(BG154&gt;=0.78,"Co-repair",IF(BG154&gt;=0.58,"Re-engage",IF(BG154&gt;=0.40,"Delay","Suppress")))</f>
        <v/>
      </c>
      <c r="BU154">
        <f>IF(BI154&gt;=0.70,"Retreat-risk",IF(BH154&lt;=0.40,"Rush-risk",IF(BH154&gt;=0.65,"Slow-build","Mixed")))</f>
        <v/>
      </c>
      <c r="BV154">
        <f>IF(BL154-BM154&gt;=0.15,"Stimulation-seeking",IF(BM154-BL154&gt;=0.15,"Calm-seeking","Mixed")))</f>
        <v/>
      </c>
      <c r="BW154">
        <f>IF(AND(BL154&gt;=0.72,BM154&lt;0.48),"High",IF(AND(BL154&gt;=0.60,BM154&lt;0.58),"Medium","Low"))</f>
        <v/>
      </c>
    </row>
    <row r="155" ht="121.5" customHeight="1" s="10">
      <c r="A155" s="2" t="inlineStr">
        <is>
          <t>Q31_D</t>
        </is>
      </c>
      <c r="B155" s="2" t="n">
        <v>31</v>
      </c>
      <c r="C155" s="2" t="n">
        <v>31</v>
      </c>
      <c r="D155" s="2" t="inlineStr">
        <is>
          <t>Core</t>
        </is>
      </c>
      <c r="E155" s="2" t="n">
        <v>1.15</v>
      </c>
      <c r="F155" s="2" t="inlineStr">
        <is>
          <t>ValuesLifestyle</t>
        </is>
      </c>
      <c r="G155" s="2" t="inlineStr">
        <is>
          <t>IntentAlignment</t>
        </is>
      </c>
      <c r="H155" s="2" t="n"/>
      <c r="I155" s="2" t="inlineStr">
        <is>
          <t>D</t>
        </is>
      </c>
      <c r="J155" s="2" t="inlineStr">
        <is>
          <t>D</t>
        </is>
      </c>
      <c r="K155" s="2" t="inlineStr">
        <is>
          <t>I drop hints that I noticed, like being extra nice or saying, "You good?" Hoping they'll give me a way back in.</t>
        </is>
      </c>
      <c r="L155" s="2" t="n">
        <v>6</v>
      </c>
      <c r="M155" s="2" t="n">
        <v>7</v>
      </c>
      <c r="N155" s="2" t="n">
        <v>4</v>
      </c>
      <c r="O155" s="2" t="n">
        <v>4</v>
      </c>
      <c r="P155" s="2" t="n">
        <v>2</v>
      </c>
      <c r="Q155" s="2" t="inlineStr">
        <is>
          <t>Performer</t>
        </is>
      </c>
      <c r="R155" s="2" t="n">
        <v>7</v>
      </c>
      <c r="S155" s="2" t="n"/>
      <c r="T155" s="2" t="n"/>
      <c r="U155" s="2" t="n">
        <v>0</v>
      </c>
      <c r="V155" s="2" t="inlineStr">
        <is>
          <t>masc:0.3;fem:0.5</t>
        </is>
      </c>
      <c r="W155" s="2" t="n">
        <v>0.3</v>
      </c>
      <c r="X155" s="2" t="n">
        <v>0.5</v>
      </c>
      <c r="Y155" s="2" t="inlineStr">
        <is>
          <t>COMM_Indirect</t>
        </is>
      </c>
      <c r="Z155" s="2" t="inlineStr">
        <is>
          <t>REG_Distractor</t>
        </is>
      </c>
      <c r="AA155" s="2" t="inlineStr">
        <is>
          <t>LANG_Gifts</t>
        </is>
      </c>
      <c r="AB155" s="2" t="inlineStr">
        <is>
          <t>Vulnerability_Loop</t>
        </is>
      </c>
      <c r="AC155" s="2" t="inlineStr">
        <is>
          <t>Vulnerability_Loop</t>
        </is>
      </c>
      <c r="AD155" s="2" t="n"/>
      <c r="AE155" s="2" t="n">
        <v>5</v>
      </c>
      <c r="AF155" s="2" t="inlineStr">
        <is>
          <t>indirect repair attempt</t>
        </is>
      </c>
      <c r="AG155" s="2" t="inlineStr">
        <is>
          <t>soft restorer</t>
        </is>
      </c>
      <c r="AH155" s="2" t="n">
        <v>0</v>
      </c>
      <c r="AI155" s="2" t="inlineStr">
        <is>
          <t>yes</t>
        </is>
      </c>
      <c r="AJ155" s="2" t="inlineStr">
        <is>
          <t>no</t>
        </is>
      </c>
      <c r="AK155" s="2" t="inlineStr">
        <is>
          <t>no</t>
        </is>
      </c>
      <c r="AL155" s="2" t="inlineStr">
        <is>
          <t>no</t>
        </is>
      </c>
      <c r="AM155" s="2" t="n"/>
      <c r="AN155" s="2" t="n"/>
      <c r="AO155" s="2" t="n"/>
      <c r="AP155" s="2" t="inlineStr">
        <is>
          <t>v3_2026-03-19</t>
        </is>
      </c>
      <c r="AQ155">
        <f>(L155-Schema_v5!$C2)/(Schema_v5!$C3-Schema_v5!$C2)</f>
        <v/>
      </c>
      <c r="AR155">
        <f>(M155-Schema_v5!$C4)/(Schema_v5!$C5-Schema_v5!$C4)</f>
        <v/>
      </c>
      <c r="AS155">
        <f>N155/Schema_v5!$C6</f>
        <v/>
      </c>
      <c r="AT155">
        <f>O155/Schema_v5!$C7</f>
        <v/>
      </c>
      <c r="AU155">
        <f>P155/Schema_v5!$C8</f>
        <v/>
      </c>
      <c r="AV155">
        <f>IF(Schema_v5!$C9=0,0,AH155/Schema_v5!$C9)</f>
        <v/>
      </c>
      <c r="AW155">
        <f>IF(Schema_v5!$C10=0,0,AE155/Schema_v5!$C10)</f>
        <v/>
      </c>
      <c r="AX155">
        <f>(W155-Schema_v5!$C11)/(Schema_v5!$C12-Schema_v5!$C11)</f>
        <v/>
      </c>
      <c r="AY155">
        <f>(X155-Schema_v5!$C13)/(Schema_v5!$C14-Schema_v5!$C13)</f>
        <v/>
      </c>
      <c r="AZ155">
        <f>MIN(1,MAX(0,U155/Schema_v7!$C$9))</f>
        <v/>
      </c>
      <c r="BA155">
        <f>IF(AJ155="yes",0.55,0)</f>
        <v/>
      </c>
      <c r="BB155">
        <f>IF(AI155="yes",0.10,0)</f>
        <v/>
      </c>
      <c r="BC155">
        <f>IF(Y155="COMM_Direct",0.92,IF(Y155="COMM_Emotional",0.70,IF(Y155="COMM_Logical",0.65,IF(Y155="COMM_Indirect",0.55,0.35))))</f>
        <v/>
      </c>
      <c r="BD155">
        <f>IF(Z155="REG_CoRegulator",0.92,IF(Z155="REG_SelfSoother",0.76,IF(Z155="REG_Distractor",0.48,0.35)))</f>
        <v/>
      </c>
      <c r="BE155">
        <f>IF(AA155="LANG_Time",0.76,IF(AA155="LANG_Service",0.70,IF(AA155="LANG_Words",0.72,IF(AA155="LANG_Touch",0.68,0.60))))</f>
        <v/>
      </c>
      <c r="BF155">
        <f>MAX(0,MIN(1,0.28*AS155+0.16*AT155+0.18*BC155+0.18*BD155+0.10*(1-AZ155)+0.10*(1-BA155)+BB155))</f>
        <v/>
      </c>
      <c r="BG155">
        <f>MAX(0,MIN(1,0.24*AU155+0.18*AS155+0.18*BC155+0.20*BD155+0.10*(1-AW155)+0.10*(1-BA155)))</f>
        <v/>
      </c>
      <c r="BH155">
        <f>MAX(0,MIN(1,0.28*AR155+0.18*AT155+0.16*AU155+0.18*(1-AV155)+0.10*(1-AW155)+0.10*BF155))</f>
        <v/>
      </c>
      <c r="BI155">
        <f>MAX(0,MIN(1,0.30*AV155+0.20*AZ155+0.20*AW155+0.15*(1-BH155)+0.15*(1-BO155)))</f>
        <v/>
      </c>
      <c r="BJ155">
        <f>MAX(0,1-(ABS(((( AX155+AY155)/2)-0.55)*1.6)))</f>
        <v/>
      </c>
      <c r="BK155">
        <f>MAX(0,MIN(1,0.28*AR155+0.18*AT155+0.16*BJ155+0.14*(1-AV155)+0.12*BQ155+0.12*BO155))</f>
        <v/>
      </c>
      <c r="BL155">
        <f>MAX(0,MIN(1,0.22*AQ155+0.18*AS155+0.18*BC155+0.18*BD155+0.08*BE155+0.10*BF155+0.06*BO155))</f>
        <v/>
      </c>
      <c r="BM155">
        <f>MAX(0,MIN(1,0.20*(1-AZ155)+0.16*(1-BA155)+0.14*(1-AW155)+0.14*AU155+0.18*BG155+0.10*BH155+0.08*BP155))</f>
        <v/>
      </c>
      <c r="BN155">
        <f>MAX(0,MIN(1,0.42*BJ155+0.33*BK155+0.15*AT155+0.10*BQ155))</f>
        <v/>
      </c>
      <c r="BO155">
        <f>MAX(0,MIN(1,0.30*BC155+0.24*BD155+0.18*AS155+0.14*(1-BI155)+0.14*AT155))</f>
        <v/>
      </c>
      <c r="BP155">
        <f>MAX(0,MIN(1,0.26*AS155+0.20*(1-BA155)+0.16*(1-AW155)+0.18*BG155+0.10*AU155+0.10+BB155))</f>
        <v/>
      </c>
      <c r="BQ155">
        <f>MAX(0,MIN(1,0.24*AT155+0.18*BF155+0.14*AR155+0.14*BO155+0.14*(1-AV155)+0.16*(1-AZ155)))</f>
        <v/>
      </c>
      <c r="BR155">
        <f>IF(BO155&gt;=0.80,"Open",IF(BO155&gt;=0.62,"Measured",IF(BO155&gt;=0.45,"Selective","Guarded")))</f>
        <v/>
      </c>
      <c r="BS155">
        <f>IF(Y155="COMM_Direct","Direct",IF(Y155="COMM_Emotional","Emotional",IF(Y155="COMM_Logical","Logical",IF(Y155="COMM_Indirect","Indirect","Avoidant"))))</f>
        <v/>
      </c>
      <c r="BT155">
        <f>IF(BG155&gt;=0.78,"Co-repair",IF(BG155&gt;=0.58,"Re-engage",IF(BG155&gt;=0.40,"Delay","Suppress")))</f>
        <v/>
      </c>
      <c r="BU155">
        <f>IF(BI155&gt;=0.70,"Retreat-risk",IF(BH155&lt;=0.40,"Rush-risk",IF(BH155&gt;=0.65,"Slow-build","Mixed")))</f>
        <v/>
      </c>
      <c r="BV155">
        <f>IF(BL155-BM155&gt;=0.15,"Stimulation-seeking",IF(BM155-BL155&gt;=0.15,"Calm-seeking","Mixed")))</f>
        <v/>
      </c>
      <c r="BW155">
        <f>IF(AND(BL155&gt;=0.72,BM155&lt;0.48),"High",IF(AND(BL155&gt;=0.60,BM155&lt;0.58),"Medium","Low"))</f>
        <v/>
      </c>
    </row>
    <row r="156" ht="108" customHeight="1" s="10">
      <c r="A156" s="2" t="inlineStr">
        <is>
          <t>Q31_E</t>
        </is>
      </c>
      <c r="B156" s="2" t="n">
        <v>31</v>
      </c>
      <c r="C156" s="2" t="n">
        <v>31</v>
      </c>
      <c r="D156" s="2" t="inlineStr">
        <is>
          <t>Core</t>
        </is>
      </c>
      <c r="E156" s="2" t="n">
        <v>1.15</v>
      </c>
      <c r="F156" s="2" t="inlineStr">
        <is>
          <t>ValuesLifestyle</t>
        </is>
      </c>
      <c r="G156" s="2" t="inlineStr">
        <is>
          <t>IntentAlignment</t>
        </is>
      </c>
      <c r="H156" s="2" t="n"/>
      <c r="I156" s="2" t="inlineStr">
        <is>
          <t>E</t>
        </is>
      </c>
      <c r="J156" s="2" t="inlineStr">
        <is>
          <t>E</t>
        </is>
      </c>
      <c r="K156" s="2" t="inlineStr">
        <is>
          <t>I kind of punish myself internally. I tell myself this is why people pull away from me.</t>
        </is>
      </c>
      <c r="L156" s="2" t="n">
        <v>4</v>
      </c>
      <c r="M156" s="2" t="n">
        <v>5</v>
      </c>
      <c r="N156" s="2" t="n">
        <v>2</v>
      </c>
      <c r="O156" s="2" t="n">
        <v>2</v>
      </c>
      <c r="P156" s="2" t="n">
        <v>2</v>
      </c>
      <c r="Q156" s="2" t="inlineStr">
        <is>
          <t>Survivor</t>
        </is>
      </c>
      <c r="R156" s="2" t="n">
        <v>8</v>
      </c>
      <c r="S156" s="2" t="n"/>
      <c r="T156" s="2" t="n"/>
      <c r="U156" s="2" t="n">
        <v>0</v>
      </c>
      <c r="V156" s="2" t="inlineStr">
        <is>
          <t>masc:0.3;fem:1.3</t>
        </is>
      </c>
      <c r="W156" s="2" t="n">
        <v>0.3</v>
      </c>
      <c r="X156" s="2" t="n">
        <v>1.3</v>
      </c>
      <c r="Y156" s="2" t="inlineStr">
        <is>
          <t>COMM_Emotional</t>
        </is>
      </c>
      <c r="Z156" s="2" t="inlineStr">
        <is>
          <t>REG_SelfSoother</t>
        </is>
      </c>
      <c r="AA156" s="2" t="inlineStr">
        <is>
          <t>LANG_Service</t>
        </is>
      </c>
      <c r="AB156" s="2" t="inlineStr">
        <is>
          <t>Vulnerability_Loop</t>
        </is>
      </c>
      <c r="AC156" s="2" t="inlineStr">
        <is>
          <t>Vulnerability_Loop</t>
        </is>
      </c>
      <c r="AD156" s="2" t="n"/>
      <c r="AE156" s="2" t="n">
        <v>5</v>
      </c>
      <c r="AF156" s="2" t="inlineStr">
        <is>
          <t>internalized blame cycle</t>
        </is>
      </c>
      <c r="AG156" s="2" t="inlineStr">
        <is>
          <t>self-blamer</t>
        </is>
      </c>
      <c r="AH156" s="2" t="n">
        <v>0.6</v>
      </c>
      <c r="AI156" s="2" t="inlineStr">
        <is>
          <t>yes</t>
        </is>
      </c>
      <c r="AJ156" s="2" t="inlineStr">
        <is>
          <t>no</t>
        </is>
      </c>
      <c r="AK156" s="2" t="inlineStr">
        <is>
          <t>no</t>
        </is>
      </c>
      <c r="AL156" s="2" t="inlineStr">
        <is>
          <t>no</t>
        </is>
      </c>
      <c r="AM156" s="2" t="n"/>
      <c r="AN156" s="2" t="n"/>
      <c r="AO156" s="2" t="n"/>
      <c r="AP156" s="2" t="inlineStr">
        <is>
          <t>v3_2026-03-19</t>
        </is>
      </c>
      <c r="AQ156">
        <f>(L156-Schema_v5!$C2)/(Schema_v5!$C3-Schema_v5!$C2)</f>
        <v/>
      </c>
      <c r="AR156">
        <f>(M156-Schema_v5!$C4)/(Schema_v5!$C5-Schema_v5!$C4)</f>
        <v/>
      </c>
      <c r="AS156">
        <f>N156/Schema_v5!$C6</f>
        <v/>
      </c>
      <c r="AT156">
        <f>O156/Schema_v5!$C7</f>
        <v/>
      </c>
      <c r="AU156">
        <f>P156/Schema_v5!$C8</f>
        <v/>
      </c>
      <c r="AV156">
        <f>IF(Schema_v5!$C9=0,0,AH156/Schema_v5!$C9)</f>
        <v/>
      </c>
      <c r="AW156">
        <f>IF(Schema_v5!$C10=0,0,AE156/Schema_v5!$C10)</f>
        <v/>
      </c>
      <c r="AX156">
        <f>(W156-Schema_v5!$C11)/(Schema_v5!$C12-Schema_v5!$C11)</f>
        <v/>
      </c>
      <c r="AY156">
        <f>(X156-Schema_v5!$C13)/(Schema_v5!$C14-Schema_v5!$C13)</f>
        <v/>
      </c>
      <c r="AZ156">
        <f>MIN(1,MAX(0,U156/Schema_v7!$C$9))</f>
        <v/>
      </c>
      <c r="BA156">
        <f>IF(AJ156="yes",0.55,0)</f>
        <v/>
      </c>
      <c r="BB156">
        <f>IF(AI156="yes",0.10,0)</f>
        <v/>
      </c>
      <c r="BC156">
        <f>IF(Y156="COMM_Direct",0.92,IF(Y156="COMM_Emotional",0.70,IF(Y156="COMM_Logical",0.65,IF(Y156="COMM_Indirect",0.55,0.35))))</f>
        <v/>
      </c>
      <c r="BD156">
        <f>IF(Z156="REG_CoRegulator",0.92,IF(Z156="REG_SelfSoother",0.76,IF(Z156="REG_Distractor",0.48,0.35)))</f>
        <v/>
      </c>
      <c r="BE156">
        <f>IF(AA156="LANG_Time",0.76,IF(AA156="LANG_Service",0.70,IF(AA156="LANG_Words",0.72,IF(AA156="LANG_Touch",0.68,0.60))))</f>
        <v/>
      </c>
      <c r="BF156">
        <f>MAX(0,MIN(1,0.28*AS156+0.16*AT156+0.18*BC156+0.18*BD156+0.10*(1-AZ156)+0.10*(1-BA156)+BB156))</f>
        <v/>
      </c>
      <c r="BG156">
        <f>MAX(0,MIN(1,0.24*AU156+0.18*AS156+0.18*BC156+0.20*BD156+0.10*(1-AW156)+0.10*(1-BA156)))</f>
        <v/>
      </c>
      <c r="BH156">
        <f>MAX(0,MIN(1,0.28*AR156+0.18*AT156+0.16*AU156+0.18*(1-AV156)+0.10*(1-AW156)+0.10*BF156))</f>
        <v/>
      </c>
      <c r="BI156">
        <f>MAX(0,MIN(1,0.30*AV156+0.20*AZ156+0.20*AW156+0.15*(1-BH156)+0.15*(1-BO156)))</f>
        <v/>
      </c>
      <c r="BJ156">
        <f>MAX(0,1-(ABS(((( AX156+AY156)/2)-0.55)*1.6)))</f>
        <v/>
      </c>
      <c r="BK156">
        <f>MAX(0,MIN(1,0.28*AR156+0.18*AT156+0.16*BJ156+0.14*(1-AV156)+0.12*BQ156+0.12*BO156))</f>
        <v/>
      </c>
      <c r="BL156">
        <f>MAX(0,MIN(1,0.22*AQ156+0.18*AS156+0.18*BC156+0.18*BD156+0.08*BE156+0.10*BF156+0.06*BO156))</f>
        <v/>
      </c>
      <c r="BM156">
        <f>MAX(0,MIN(1,0.20*(1-AZ156)+0.16*(1-BA156)+0.14*(1-AW156)+0.14*AU156+0.18*BG156+0.10*BH156+0.08*BP156))</f>
        <v/>
      </c>
      <c r="BN156">
        <f>MAX(0,MIN(1,0.42*BJ156+0.33*BK156+0.15*AT156+0.10*BQ156))</f>
        <v/>
      </c>
      <c r="BO156">
        <f>MAX(0,MIN(1,0.30*BC156+0.24*BD156+0.18*AS156+0.14*(1-BI156)+0.14*AT156))</f>
        <v/>
      </c>
      <c r="BP156">
        <f>MAX(0,MIN(1,0.26*AS156+0.20*(1-BA156)+0.16*(1-AW156)+0.18*BG156+0.10*AU156+0.10+BB156))</f>
        <v/>
      </c>
      <c r="BQ156">
        <f>MAX(0,MIN(1,0.24*AT156+0.18*BF156+0.14*AR156+0.14*BO156+0.14*(1-AV156)+0.16*(1-AZ156)))</f>
        <v/>
      </c>
      <c r="BR156">
        <f>IF(BO156&gt;=0.80,"Open",IF(BO156&gt;=0.62,"Measured",IF(BO156&gt;=0.45,"Selective","Guarded")))</f>
        <v/>
      </c>
      <c r="BS156">
        <f>IF(Y156="COMM_Direct","Direct",IF(Y156="COMM_Emotional","Emotional",IF(Y156="COMM_Logical","Logical",IF(Y156="COMM_Indirect","Indirect","Avoidant"))))</f>
        <v/>
      </c>
      <c r="BT156">
        <f>IF(BG156&gt;=0.78,"Co-repair",IF(BG156&gt;=0.58,"Re-engage",IF(BG156&gt;=0.40,"Delay","Suppress")))</f>
        <v/>
      </c>
      <c r="BU156">
        <f>IF(BI156&gt;=0.70,"Retreat-risk",IF(BH156&lt;=0.40,"Rush-risk",IF(BH156&gt;=0.65,"Slow-build","Mixed")))</f>
        <v/>
      </c>
      <c r="BV156">
        <f>IF(BL156-BM156&gt;=0.15,"Stimulation-seeking",IF(BM156-BL156&gt;=0.15,"Calm-seeking","Mixed")))</f>
        <v/>
      </c>
      <c r="BW156">
        <f>IF(AND(BL156&gt;=0.72,BM156&lt;0.48),"High",IF(AND(BL156&gt;=0.60,BM156&lt;0.58),"Medium","Low"))</f>
        <v/>
      </c>
    </row>
    <row r="157" ht="121.5" customHeight="1" s="10">
      <c r="A157" s="2" t="inlineStr">
        <is>
          <t>Q32_A</t>
        </is>
      </c>
      <c r="B157" s="2" t="n">
        <v>32</v>
      </c>
      <c r="C157" s="2" t="n">
        <v>32</v>
      </c>
      <c r="D157" s="2" t="inlineStr">
        <is>
          <t>Core</t>
        </is>
      </c>
      <c r="E157" s="2" t="n">
        <v>1.15</v>
      </c>
      <c r="F157" s="2" t="inlineStr">
        <is>
          <t>ValuesLifestyle</t>
        </is>
      </c>
      <c r="G157" s="2" t="inlineStr">
        <is>
          <t>IntentAlignment</t>
        </is>
      </c>
      <c r="H157" s="2" t="inlineStr">
        <is>
          <t>You notice you've been putting in more effort-texting first, planning things, carrying the vibe. What's your response?</t>
        </is>
      </c>
      <c r="I157" s="2" t="inlineStr">
        <is>
          <t>A</t>
        </is>
      </c>
      <c r="J157" s="2" t="inlineStr">
        <is>
          <t>A</t>
        </is>
      </c>
      <c r="K157" s="2" t="inlineStr">
        <is>
          <t>I pull back immediately. If I feel one-sided energy, I shut it down without warning.</t>
        </is>
      </c>
      <c r="L157" s="2" t="n">
        <v>9</v>
      </c>
      <c r="M157" s="2" t="n">
        <v>9</v>
      </c>
      <c r="N157" s="2" t="n">
        <v>6</v>
      </c>
      <c r="O157" s="2" t="n">
        <v>6</v>
      </c>
      <c r="P157" s="2" t="n">
        <v>2</v>
      </c>
      <c r="Q157" s="2" t="inlineStr">
        <is>
          <t>Icebox</t>
        </is>
      </c>
      <c r="R157" s="2" t="n">
        <v>1</v>
      </c>
      <c r="S157" s="2" t="n"/>
      <c r="T157" s="2" t="n"/>
      <c r="U157" s="2" t="n">
        <v>0</v>
      </c>
      <c r="V157" s="2" t="inlineStr">
        <is>
          <t>masc:1.8;fem:-1.6</t>
        </is>
      </c>
      <c r="W157" s="2" t="n">
        <v>1.8</v>
      </c>
      <c r="X157" s="2" t="n">
        <v>-1.6</v>
      </c>
      <c r="Y157" s="2" t="inlineStr">
        <is>
          <t>COMM_Avoidant</t>
        </is>
      </c>
      <c r="Z157" s="2" t="inlineStr">
        <is>
          <t>REG_Suppressor</t>
        </is>
      </c>
      <c r="AA157" s="2" t="inlineStr">
        <is>
          <t>LANG_Time</t>
        </is>
      </c>
      <c r="AB157" s="2" t="n"/>
      <c r="AC157" s="2" t="n"/>
      <c r="AD157" s="2" t="n"/>
      <c r="AE157" s="2" t="n">
        <v>0</v>
      </c>
      <c r="AF157" s="2" t="inlineStr">
        <is>
          <t>cut-the-cord reflex</t>
        </is>
      </c>
      <c r="AG157" s="2" t="inlineStr">
        <is>
          <t>decisive withdrawer</t>
        </is>
      </c>
      <c r="AH157" s="2" t="n">
        <v>1.2</v>
      </c>
      <c r="AI157" s="2" t="inlineStr">
        <is>
          <t>no</t>
        </is>
      </c>
      <c r="AJ157" s="2" t="inlineStr">
        <is>
          <t>no</t>
        </is>
      </c>
      <c r="AK157" s="2" t="inlineStr">
        <is>
          <t>no</t>
        </is>
      </c>
      <c r="AL157" s="2" t="inlineStr">
        <is>
          <t>no</t>
        </is>
      </c>
      <c r="AM157" s="2" t="n"/>
      <c r="AN157" s="2" t="n"/>
      <c r="AO157" s="2" t="n"/>
      <c r="AP157" s="2" t="inlineStr">
        <is>
          <t>v3_2026-03-19</t>
        </is>
      </c>
      <c r="AQ157">
        <f>(L157-Schema_v5!$C2)/(Schema_v5!$C3-Schema_v5!$C2)</f>
        <v/>
      </c>
      <c r="AR157">
        <f>(M157-Schema_v5!$C4)/(Schema_v5!$C5-Schema_v5!$C4)</f>
        <v/>
      </c>
      <c r="AS157">
        <f>N157/Schema_v5!$C6</f>
        <v/>
      </c>
      <c r="AT157">
        <f>O157/Schema_v5!$C7</f>
        <v/>
      </c>
      <c r="AU157">
        <f>P157/Schema_v5!$C8</f>
        <v/>
      </c>
      <c r="AV157">
        <f>IF(Schema_v5!$C9=0,0,AH157/Schema_v5!$C9)</f>
        <v/>
      </c>
      <c r="AW157">
        <f>IF(Schema_v5!$C10=0,0,AE157/Schema_v5!$C10)</f>
        <v/>
      </c>
      <c r="AX157">
        <f>(W157-Schema_v5!$C11)/(Schema_v5!$C12-Schema_v5!$C11)</f>
        <v/>
      </c>
      <c r="AY157">
        <f>(X157-Schema_v5!$C13)/(Schema_v5!$C14-Schema_v5!$C13)</f>
        <v/>
      </c>
      <c r="AZ157">
        <f>MIN(1,MAX(0,U157/Schema_v7!$C$9))</f>
        <v/>
      </c>
      <c r="BA157">
        <f>IF(AJ157="yes",0.55,0)</f>
        <v/>
      </c>
      <c r="BB157">
        <f>IF(AI157="yes",0.10,0)</f>
        <v/>
      </c>
      <c r="BC157">
        <f>IF(Y157="COMM_Direct",0.92,IF(Y157="COMM_Emotional",0.70,IF(Y157="COMM_Logical",0.65,IF(Y157="COMM_Indirect",0.55,0.35))))</f>
        <v/>
      </c>
      <c r="BD157">
        <f>IF(Z157="REG_CoRegulator",0.92,IF(Z157="REG_SelfSoother",0.76,IF(Z157="REG_Distractor",0.48,0.35)))</f>
        <v/>
      </c>
      <c r="BE157">
        <f>IF(AA157="LANG_Time",0.76,IF(AA157="LANG_Service",0.70,IF(AA157="LANG_Words",0.72,IF(AA157="LANG_Touch",0.68,0.60))))</f>
        <v/>
      </c>
      <c r="BF157">
        <f>MAX(0,MIN(1,0.28*AS157+0.16*AT157+0.18*BC157+0.18*BD157+0.10*(1-AZ157)+0.10*(1-BA157)+BB157))</f>
        <v/>
      </c>
      <c r="BG157">
        <f>MAX(0,MIN(1,0.24*AU157+0.18*AS157+0.18*BC157+0.20*BD157+0.10*(1-AW157)+0.10*(1-BA157)))</f>
        <v/>
      </c>
      <c r="BH157">
        <f>MAX(0,MIN(1,0.28*AR157+0.18*AT157+0.16*AU157+0.18*(1-AV157)+0.10*(1-AW157)+0.10*BF157))</f>
        <v/>
      </c>
      <c r="BI157">
        <f>MAX(0,MIN(1,0.30*AV157+0.20*AZ157+0.20*AW157+0.15*(1-BH157)+0.15*(1-BO157)))</f>
        <v/>
      </c>
      <c r="BJ157">
        <f>MAX(0,1-(ABS(((( AX157+AY157)/2)-0.55)*1.6)))</f>
        <v/>
      </c>
      <c r="BK157">
        <f>MAX(0,MIN(1,0.28*AR157+0.18*AT157+0.16*BJ157+0.14*(1-AV157)+0.12*BQ157+0.12*BO157))</f>
        <v/>
      </c>
      <c r="BL157">
        <f>MAX(0,MIN(1,0.22*AQ157+0.18*AS157+0.18*BC157+0.18*BD157+0.08*BE157+0.10*BF157+0.06*BO157))</f>
        <v/>
      </c>
      <c r="BM157">
        <f>MAX(0,MIN(1,0.20*(1-AZ157)+0.16*(1-BA157)+0.14*(1-AW157)+0.14*AU157+0.18*BG157+0.10*BH157+0.08*BP157))</f>
        <v/>
      </c>
      <c r="BN157">
        <f>MAX(0,MIN(1,0.42*BJ157+0.33*BK157+0.15*AT157+0.10*BQ157))</f>
        <v/>
      </c>
      <c r="BO157">
        <f>MAX(0,MIN(1,0.30*BC157+0.24*BD157+0.18*AS157+0.14*(1-BI157)+0.14*AT157))</f>
        <v/>
      </c>
      <c r="BP157">
        <f>MAX(0,MIN(1,0.26*AS157+0.20*(1-BA157)+0.16*(1-AW157)+0.18*BG157+0.10*AU157+0.10+BB157))</f>
        <v/>
      </c>
      <c r="BQ157">
        <f>MAX(0,MIN(1,0.24*AT157+0.18*BF157+0.14*AR157+0.14*BO157+0.14*(1-AV157)+0.16*(1-AZ157)))</f>
        <v/>
      </c>
      <c r="BR157">
        <f>IF(BO157&gt;=0.80,"Open",IF(BO157&gt;=0.62,"Measured",IF(BO157&gt;=0.45,"Selective","Guarded")))</f>
        <v/>
      </c>
      <c r="BS157">
        <f>IF(Y157="COMM_Direct","Direct",IF(Y157="COMM_Emotional","Emotional",IF(Y157="COMM_Logical","Logical",IF(Y157="COMM_Indirect","Indirect","Avoidant"))))</f>
        <v/>
      </c>
      <c r="BT157">
        <f>IF(BG157&gt;=0.78,"Co-repair",IF(BG157&gt;=0.58,"Re-engage",IF(BG157&gt;=0.40,"Delay","Suppress")))</f>
        <v/>
      </c>
      <c r="BU157">
        <f>IF(BI157&gt;=0.70,"Retreat-risk",IF(BH157&lt;=0.40,"Rush-risk",IF(BH157&gt;=0.65,"Slow-build","Mixed")))</f>
        <v/>
      </c>
      <c r="BV157">
        <f>IF(BL157-BM157&gt;=0.15,"Stimulation-seeking",IF(BM157-BL157&gt;=0.15,"Calm-seeking","Mixed")))</f>
        <v/>
      </c>
      <c r="BW157">
        <f>IF(AND(BL157&gt;=0.72,BM157&lt;0.48),"High",IF(AND(BL157&gt;=0.60,BM157&lt;0.58),"Medium","Low"))</f>
        <v/>
      </c>
    </row>
    <row r="158" ht="135" customHeight="1" s="10">
      <c r="A158" s="2" t="inlineStr">
        <is>
          <t>Q32_B</t>
        </is>
      </c>
      <c r="B158" s="2" t="n">
        <v>32</v>
      </c>
      <c r="C158" s="2" t="n">
        <v>32</v>
      </c>
      <c r="D158" s="2" t="inlineStr">
        <is>
          <t>Core</t>
        </is>
      </c>
      <c r="E158" s="2" t="n">
        <v>1.15</v>
      </c>
      <c r="F158" s="2" t="inlineStr">
        <is>
          <t>ValuesLifestyle</t>
        </is>
      </c>
      <c r="G158" s="2" t="inlineStr">
        <is>
          <t>IntentAlignment</t>
        </is>
      </c>
      <c r="H158" s="2" t="n"/>
      <c r="I158" s="2" t="inlineStr">
        <is>
          <t>B</t>
        </is>
      </c>
      <c r="J158" s="2" t="inlineStr">
        <is>
          <t>B</t>
        </is>
      </c>
      <c r="K158" s="2" t="inlineStr">
        <is>
          <t>I start wondering what I did wrong. Maybe I'm overstepping, so I ease up and wait for them to miss me.</t>
        </is>
      </c>
      <c r="L158" s="2" t="n">
        <v>5</v>
      </c>
      <c r="M158" s="2" t="n">
        <v>6</v>
      </c>
      <c r="N158" s="2" t="n">
        <v>2</v>
      </c>
      <c r="O158" s="2" t="n">
        <v>2</v>
      </c>
      <c r="P158" s="2" t="n">
        <v>2</v>
      </c>
      <c r="Q158" s="2" t="inlineStr">
        <is>
          <t>Phantom Seeker</t>
        </is>
      </c>
      <c r="R158" s="2" t="n">
        <v>10</v>
      </c>
      <c r="S158" s="2" t="n"/>
      <c r="T158" s="2" t="n"/>
      <c r="U158" s="2" t="n">
        <v>0</v>
      </c>
      <c r="V158" s="2" t="inlineStr">
        <is>
          <t>masc:-0.2;fem:1.5</t>
        </is>
      </c>
      <c r="W158" s="2" t="n">
        <v>-0.2</v>
      </c>
      <c r="X158" s="2" t="n">
        <v>1.5</v>
      </c>
      <c r="Y158" s="2" t="inlineStr">
        <is>
          <t>COMM_Emotional</t>
        </is>
      </c>
      <c r="Z158" s="2" t="inlineStr">
        <is>
          <t>REG_SelfSoother</t>
        </is>
      </c>
      <c r="AA158" s="2" t="inlineStr">
        <is>
          <t>LANG_Touch</t>
        </is>
      </c>
      <c r="AB158" s="2" t="inlineStr">
        <is>
          <t>Commitment_Ambiguity</t>
        </is>
      </c>
      <c r="AC158" s="2" t="inlineStr">
        <is>
          <t>Commitment_Ambiguity</t>
        </is>
      </c>
      <c r="AD158" s="2" t="n"/>
      <c r="AE158" s="2" t="n">
        <v>5</v>
      </c>
      <c r="AF158" s="2" t="inlineStr">
        <is>
          <t>emotional retraction test</t>
        </is>
      </c>
      <c r="AG158" s="2" t="inlineStr">
        <is>
          <t>subtle distancer</t>
        </is>
      </c>
      <c r="AH158" s="2" t="n">
        <v>0.6</v>
      </c>
      <c r="AI158" s="2" t="inlineStr">
        <is>
          <t>yes</t>
        </is>
      </c>
      <c r="AJ158" s="2" t="inlineStr">
        <is>
          <t>no</t>
        </is>
      </c>
      <c r="AK158" s="2" t="inlineStr">
        <is>
          <t>no</t>
        </is>
      </c>
      <c r="AL158" s="2" t="inlineStr">
        <is>
          <t>no</t>
        </is>
      </c>
      <c r="AM158" s="2" t="n"/>
      <c r="AN158" s="2" t="n"/>
      <c r="AO158" s="2" t="n"/>
      <c r="AP158" s="2" t="inlineStr">
        <is>
          <t>v3_2026-03-19</t>
        </is>
      </c>
      <c r="AQ158">
        <f>(L158-Schema_v5!$C2)/(Schema_v5!$C3-Schema_v5!$C2)</f>
        <v/>
      </c>
      <c r="AR158">
        <f>(M158-Schema_v5!$C4)/(Schema_v5!$C5-Schema_v5!$C4)</f>
        <v/>
      </c>
      <c r="AS158">
        <f>N158/Schema_v5!$C6</f>
        <v/>
      </c>
      <c r="AT158">
        <f>O158/Schema_v5!$C7</f>
        <v/>
      </c>
      <c r="AU158">
        <f>P158/Schema_v5!$C8</f>
        <v/>
      </c>
      <c r="AV158">
        <f>IF(Schema_v5!$C9=0,0,AH158/Schema_v5!$C9)</f>
        <v/>
      </c>
      <c r="AW158">
        <f>IF(Schema_v5!$C10=0,0,AE158/Schema_v5!$C10)</f>
        <v/>
      </c>
      <c r="AX158">
        <f>(W158-Schema_v5!$C11)/(Schema_v5!$C12-Schema_v5!$C11)</f>
        <v/>
      </c>
      <c r="AY158">
        <f>(X158-Schema_v5!$C13)/(Schema_v5!$C14-Schema_v5!$C13)</f>
        <v/>
      </c>
      <c r="AZ158">
        <f>MIN(1,MAX(0,U158/Schema_v7!$C$9))</f>
        <v/>
      </c>
      <c r="BA158">
        <f>IF(AJ158="yes",0.55,0)</f>
        <v/>
      </c>
      <c r="BB158">
        <f>IF(AI158="yes",0.10,0)</f>
        <v/>
      </c>
      <c r="BC158">
        <f>IF(Y158="COMM_Direct",0.92,IF(Y158="COMM_Emotional",0.70,IF(Y158="COMM_Logical",0.65,IF(Y158="COMM_Indirect",0.55,0.35))))</f>
        <v/>
      </c>
      <c r="BD158">
        <f>IF(Z158="REG_CoRegulator",0.92,IF(Z158="REG_SelfSoother",0.76,IF(Z158="REG_Distractor",0.48,0.35)))</f>
        <v/>
      </c>
      <c r="BE158">
        <f>IF(AA158="LANG_Time",0.76,IF(AA158="LANG_Service",0.70,IF(AA158="LANG_Words",0.72,IF(AA158="LANG_Touch",0.68,0.60))))</f>
        <v/>
      </c>
      <c r="BF158">
        <f>MAX(0,MIN(1,0.28*AS158+0.16*AT158+0.18*BC158+0.18*BD158+0.10*(1-AZ158)+0.10*(1-BA158)+BB158))</f>
        <v/>
      </c>
      <c r="BG158">
        <f>MAX(0,MIN(1,0.24*AU158+0.18*AS158+0.18*BC158+0.20*BD158+0.10*(1-AW158)+0.10*(1-BA158)))</f>
        <v/>
      </c>
      <c r="BH158">
        <f>MAX(0,MIN(1,0.28*AR158+0.18*AT158+0.16*AU158+0.18*(1-AV158)+0.10*(1-AW158)+0.10*BF158))</f>
        <v/>
      </c>
      <c r="BI158">
        <f>MAX(0,MIN(1,0.30*AV158+0.20*AZ158+0.20*AW158+0.15*(1-BH158)+0.15*(1-BO158)))</f>
        <v/>
      </c>
      <c r="BJ158">
        <f>MAX(0,1-(ABS(((( AX158+AY158)/2)-0.55)*1.6)))</f>
        <v/>
      </c>
      <c r="BK158">
        <f>MAX(0,MIN(1,0.28*AR158+0.18*AT158+0.16*BJ158+0.14*(1-AV158)+0.12*BQ158+0.12*BO158))</f>
        <v/>
      </c>
      <c r="BL158">
        <f>MAX(0,MIN(1,0.22*AQ158+0.18*AS158+0.18*BC158+0.18*BD158+0.08*BE158+0.10*BF158+0.06*BO158))</f>
        <v/>
      </c>
      <c r="BM158">
        <f>MAX(0,MIN(1,0.20*(1-AZ158)+0.16*(1-BA158)+0.14*(1-AW158)+0.14*AU158+0.18*BG158+0.10*BH158+0.08*BP158))</f>
        <v/>
      </c>
      <c r="BN158">
        <f>MAX(0,MIN(1,0.42*BJ158+0.33*BK158+0.15*AT158+0.10*BQ158))</f>
        <v/>
      </c>
      <c r="BO158">
        <f>MAX(0,MIN(1,0.30*BC158+0.24*BD158+0.18*AS158+0.14*(1-BI158)+0.14*AT158))</f>
        <v/>
      </c>
      <c r="BP158">
        <f>MAX(0,MIN(1,0.26*AS158+0.20*(1-BA158)+0.16*(1-AW158)+0.18*BG158+0.10*AU158+0.10+BB158))</f>
        <v/>
      </c>
      <c r="BQ158">
        <f>MAX(0,MIN(1,0.24*AT158+0.18*BF158+0.14*AR158+0.14*BO158+0.14*(1-AV158)+0.16*(1-AZ158)))</f>
        <v/>
      </c>
      <c r="BR158">
        <f>IF(BO158&gt;=0.80,"Open",IF(BO158&gt;=0.62,"Measured",IF(BO158&gt;=0.45,"Selective","Guarded")))</f>
        <v/>
      </c>
      <c r="BS158">
        <f>IF(Y158="COMM_Direct","Direct",IF(Y158="COMM_Emotional","Emotional",IF(Y158="COMM_Logical","Logical",IF(Y158="COMM_Indirect","Indirect","Avoidant"))))</f>
        <v/>
      </c>
      <c r="BT158">
        <f>IF(BG158&gt;=0.78,"Co-repair",IF(BG158&gt;=0.58,"Re-engage",IF(BG158&gt;=0.40,"Delay","Suppress")))</f>
        <v/>
      </c>
      <c r="BU158">
        <f>IF(BI158&gt;=0.70,"Retreat-risk",IF(BH158&lt;=0.40,"Rush-risk",IF(BH158&gt;=0.65,"Slow-build","Mixed")))</f>
        <v/>
      </c>
      <c r="BV158">
        <f>IF(BL158-BM158&gt;=0.15,"Stimulation-seeking",IF(BM158-BL158&gt;=0.15,"Calm-seeking","Mixed")))</f>
        <v/>
      </c>
      <c r="BW158">
        <f>IF(AND(BL158&gt;=0.72,BM158&lt;0.48),"High",IF(AND(BL158&gt;=0.60,BM158&lt;0.58),"Medium","Low"))</f>
        <v/>
      </c>
    </row>
    <row r="159" ht="108" customHeight="1" s="10">
      <c r="A159" s="2" t="inlineStr">
        <is>
          <t>Q32_C</t>
        </is>
      </c>
      <c r="B159" s="2" t="n">
        <v>32</v>
      </c>
      <c r="C159" s="2" t="n">
        <v>32</v>
      </c>
      <c r="D159" s="2" t="inlineStr">
        <is>
          <t>Core</t>
        </is>
      </c>
      <c r="E159" s="2" t="n">
        <v>1.15</v>
      </c>
      <c r="F159" s="2" t="inlineStr">
        <is>
          <t>ValuesLifestyle</t>
        </is>
      </c>
      <c r="G159" s="2" t="inlineStr">
        <is>
          <t>IntentAlignment</t>
        </is>
      </c>
      <c r="H159" s="2" t="n"/>
      <c r="I159" s="2" t="inlineStr">
        <is>
          <t>C</t>
        </is>
      </c>
      <c r="J159" s="2" t="inlineStr">
        <is>
          <t>C</t>
        </is>
      </c>
      <c r="K159" s="2" t="inlineStr">
        <is>
          <t>I bring it up casually "Hey, I've been doing a lot of the reaching out lately. Everything good?"</t>
        </is>
      </c>
      <c r="L159" s="2" t="n">
        <v>9</v>
      </c>
      <c r="M159" s="2" t="n">
        <v>9</v>
      </c>
      <c r="N159" s="2" t="n">
        <v>10</v>
      </c>
      <c r="O159" s="2" t="n">
        <v>10</v>
      </c>
      <c r="P159" s="2" t="n">
        <v>10</v>
      </c>
      <c r="Q159" s="2" t="inlineStr">
        <is>
          <t>Regulated Grown-Up</t>
        </is>
      </c>
      <c r="R159" s="2" t="n">
        <v>9</v>
      </c>
      <c r="S159" s="2" t="n"/>
      <c r="T159" s="2" t="n"/>
      <c r="U159" s="2" t="n">
        <v>0</v>
      </c>
      <c r="V159" s="2" t="inlineStr">
        <is>
          <t>masc:1.1;fem:0.9</t>
        </is>
      </c>
      <c r="W159" s="2" t="n">
        <v>1.1</v>
      </c>
      <c r="X159" s="2" t="n">
        <v>0.9</v>
      </c>
      <c r="Y159" s="2" t="inlineStr">
        <is>
          <t>COMM_Direct</t>
        </is>
      </c>
      <c r="Z159" s="2" t="inlineStr">
        <is>
          <t>REG_CoRegulator</t>
        </is>
      </c>
      <c r="AA159" s="2" t="inlineStr">
        <is>
          <t>LANG_Words</t>
        </is>
      </c>
      <c r="AB159" s="2" t="n"/>
      <c r="AC159" s="2" t="n"/>
      <c r="AD159" s="2" t="n"/>
      <c r="AE159" s="2" t="n">
        <v>0</v>
      </c>
      <c r="AF159" s="2" t="inlineStr">
        <is>
          <t>balance check</t>
        </is>
      </c>
      <c r="AG159" s="2" t="inlineStr">
        <is>
          <t>direct communicator</t>
        </is>
      </c>
      <c r="AH159" s="2" t="n">
        <v>0</v>
      </c>
      <c r="AI159" s="2" t="inlineStr">
        <is>
          <t>no</t>
        </is>
      </c>
      <c r="AJ159" s="2" t="inlineStr">
        <is>
          <t>no</t>
        </is>
      </c>
      <c r="AK159" s="2" t="inlineStr">
        <is>
          <t>no</t>
        </is>
      </c>
      <c r="AL159" s="2" t="inlineStr">
        <is>
          <t>no</t>
        </is>
      </c>
      <c r="AM159" s="2" t="n"/>
      <c r="AN159" s="2" t="n"/>
      <c r="AO159" s="2" t="n"/>
      <c r="AP159" s="2" t="inlineStr">
        <is>
          <t>v3_2026-03-19</t>
        </is>
      </c>
      <c r="AQ159">
        <f>(L159-Schema_v5!$C2)/(Schema_v5!$C3-Schema_v5!$C2)</f>
        <v/>
      </c>
      <c r="AR159">
        <f>(M159-Schema_v5!$C4)/(Schema_v5!$C5-Schema_v5!$C4)</f>
        <v/>
      </c>
      <c r="AS159">
        <f>N159/Schema_v5!$C6</f>
        <v/>
      </c>
      <c r="AT159">
        <f>O159/Schema_v5!$C7</f>
        <v/>
      </c>
      <c r="AU159">
        <f>P159/Schema_v5!$C8</f>
        <v/>
      </c>
      <c r="AV159">
        <f>IF(Schema_v5!$C9=0,0,AH159/Schema_v5!$C9)</f>
        <v/>
      </c>
      <c r="AW159">
        <f>IF(Schema_v5!$C10=0,0,AE159/Schema_v5!$C10)</f>
        <v/>
      </c>
      <c r="AX159">
        <f>(W159-Schema_v5!$C11)/(Schema_v5!$C12-Schema_v5!$C11)</f>
        <v/>
      </c>
      <c r="AY159">
        <f>(X159-Schema_v5!$C13)/(Schema_v5!$C14-Schema_v5!$C13)</f>
        <v/>
      </c>
      <c r="AZ159">
        <f>MIN(1,MAX(0,U159/Schema_v7!$C$9))</f>
        <v/>
      </c>
      <c r="BA159">
        <f>IF(AJ159="yes",0.55,0)</f>
        <v/>
      </c>
      <c r="BB159">
        <f>IF(AI159="yes",0.10,0)</f>
        <v/>
      </c>
      <c r="BC159">
        <f>IF(Y159="COMM_Direct",0.92,IF(Y159="COMM_Emotional",0.70,IF(Y159="COMM_Logical",0.65,IF(Y159="COMM_Indirect",0.55,0.35))))</f>
        <v/>
      </c>
      <c r="BD159">
        <f>IF(Z159="REG_CoRegulator",0.92,IF(Z159="REG_SelfSoother",0.76,IF(Z159="REG_Distractor",0.48,0.35)))</f>
        <v/>
      </c>
      <c r="BE159">
        <f>IF(AA159="LANG_Time",0.76,IF(AA159="LANG_Service",0.70,IF(AA159="LANG_Words",0.72,IF(AA159="LANG_Touch",0.68,0.60))))</f>
        <v/>
      </c>
      <c r="BF159">
        <f>MAX(0,MIN(1,0.28*AS159+0.16*AT159+0.18*BC159+0.18*BD159+0.10*(1-AZ159)+0.10*(1-BA159)+BB159))</f>
        <v/>
      </c>
      <c r="BG159">
        <f>MAX(0,MIN(1,0.24*AU159+0.18*AS159+0.18*BC159+0.20*BD159+0.10*(1-AW159)+0.10*(1-BA159)))</f>
        <v/>
      </c>
      <c r="BH159">
        <f>MAX(0,MIN(1,0.28*AR159+0.18*AT159+0.16*AU159+0.18*(1-AV159)+0.10*(1-AW159)+0.10*BF159))</f>
        <v/>
      </c>
      <c r="BI159">
        <f>MAX(0,MIN(1,0.30*AV159+0.20*AZ159+0.20*AW159+0.15*(1-BH159)+0.15*(1-BO159)))</f>
        <v/>
      </c>
      <c r="BJ159">
        <f>MAX(0,1-(ABS(((( AX159+AY159)/2)-0.55)*1.6)))</f>
        <v/>
      </c>
      <c r="BK159">
        <f>MAX(0,MIN(1,0.28*AR159+0.18*AT159+0.16*BJ159+0.14*(1-AV159)+0.12*BQ159+0.12*BO159))</f>
        <v/>
      </c>
      <c r="BL159">
        <f>MAX(0,MIN(1,0.22*AQ159+0.18*AS159+0.18*BC159+0.18*BD159+0.08*BE159+0.10*BF159+0.06*BO159))</f>
        <v/>
      </c>
      <c r="BM159">
        <f>MAX(0,MIN(1,0.20*(1-AZ159)+0.16*(1-BA159)+0.14*(1-AW159)+0.14*AU159+0.18*BG159+0.10*BH159+0.08*BP159))</f>
        <v/>
      </c>
      <c r="BN159">
        <f>MAX(0,MIN(1,0.42*BJ159+0.33*BK159+0.15*AT159+0.10*BQ159))</f>
        <v/>
      </c>
      <c r="BO159">
        <f>MAX(0,MIN(1,0.30*BC159+0.24*BD159+0.18*AS159+0.14*(1-BI159)+0.14*AT159))</f>
        <v/>
      </c>
      <c r="BP159">
        <f>MAX(0,MIN(1,0.26*AS159+0.20*(1-BA159)+0.16*(1-AW159)+0.18*BG159+0.10*AU159+0.10+BB159))</f>
        <v/>
      </c>
      <c r="BQ159">
        <f>MAX(0,MIN(1,0.24*AT159+0.18*BF159+0.14*AR159+0.14*BO159+0.14*(1-AV159)+0.16*(1-AZ159)))</f>
        <v/>
      </c>
      <c r="BR159">
        <f>IF(BO159&gt;=0.80,"Open",IF(BO159&gt;=0.62,"Measured",IF(BO159&gt;=0.45,"Selective","Guarded")))</f>
        <v/>
      </c>
      <c r="BS159">
        <f>IF(Y159="COMM_Direct","Direct",IF(Y159="COMM_Emotional","Emotional",IF(Y159="COMM_Logical","Logical",IF(Y159="COMM_Indirect","Indirect","Avoidant"))))</f>
        <v/>
      </c>
      <c r="BT159">
        <f>IF(BG159&gt;=0.78,"Co-repair",IF(BG159&gt;=0.58,"Re-engage",IF(BG159&gt;=0.40,"Delay","Suppress")))</f>
        <v/>
      </c>
      <c r="BU159">
        <f>IF(BI159&gt;=0.70,"Retreat-risk",IF(BH159&lt;=0.40,"Rush-risk",IF(BH159&gt;=0.65,"Slow-build","Mixed")))</f>
        <v/>
      </c>
      <c r="BV159">
        <f>IF(BL159-BM159&gt;=0.15,"Stimulation-seeking",IF(BM159-BL159&gt;=0.15,"Calm-seeking","Mixed")))</f>
        <v/>
      </c>
      <c r="BW159">
        <f>IF(AND(BL159&gt;=0.72,BM159&lt;0.48),"High",IF(AND(BL159&gt;=0.60,BM159&lt;0.58),"Medium","Low"))</f>
        <v/>
      </c>
    </row>
    <row r="160" ht="94.5" customHeight="1" s="10">
      <c r="A160" s="2" t="inlineStr">
        <is>
          <t>Q32_D</t>
        </is>
      </c>
      <c r="B160" s="2" t="n">
        <v>32</v>
      </c>
      <c r="C160" s="2" t="n">
        <v>32</v>
      </c>
      <c r="D160" s="2" t="inlineStr">
        <is>
          <t>Core</t>
        </is>
      </c>
      <c r="E160" s="2" t="n">
        <v>1.15</v>
      </c>
      <c r="F160" s="2" t="inlineStr">
        <is>
          <t>ValuesLifestyle</t>
        </is>
      </c>
      <c r="G160" s="2" t="inlineStr">
        <is>
          <t>IntentAlignment</t>
        </is>
      </c>
      <c r="H160" s="2" t="n"/>
      <c r="I160" s="2" t="inlineStr">
        <is>
          <t>D</t>
        </is>
      </c>
      <c r="J160" s="2" t="inlineStr">
        <is>
          <t>D</t>
        </is>
      </c>
      <c r="K160" s="2" t="inlineStr">
        <is>
          <t>I keep doing it, honestly. If I care, I'd rather carry it than risk the connection falling off.</t>
        </is>
      </c>
      <c r="L160" s="2" t="n">
        <v>4</v>
      </c>
      <c r="M160" s="2" t="n">
        <v>5</v>
      </c>
      <c r="N160" s="2" t="n">
        <v>2</v>
      </c>
      <c r="O160" s="2" t="n">
        <v>2</v>
      </c>
      <c r="P160" s="2" t="n">
        <v>2</v>
      </c>
      <c r="Q160" s="2" t="inlineStr">
        <is>
          <t>Fixer</t>
        </is>
      </c>
      <c r="R160" s="2" t="n">
        <v>5</v>
      </c>
      <c r="S160" s="2" t="n"/>
      <c r="T160" s="2" t="n"/>
      <c r="U160" s="2" t="n">
        <v>0</v>
      </c>
      <c r="V160" s="2" t="inlineStr">
        <is>
          <t>masc:-0.2;fem:1.7</t>
        </is>
      </c>
      <c r="W160" s="2" t="n">
        <v>-0.2</v>
      </c>
      <c r="X160" s="2" t="n">
        <v>1.7</v>
      </c>
      <c r="Y160" s="2" t="inlineStr">
        <is>
          <t>COMM_Emotional</t>
        </is>
      </c>
      <c r="Z160" s="2" t="inlineStr">
        <is>
          <t>REG_SelfSoother</t>
        </is>
      </c>
      <c r="AA160" s="2" t="inlineStr">
        <is>
          <t>LANG_Service</t>
        </is>
      </c>
      <c r="AB160" s="2" t="inlineStr">
        <is>
          <t>Vulnerability_Loop</t>
        </is>
      </c>
      <c r="AC160" s="2" t="inlineStr">
        <is>
          <t>Vulnerability_Loop</t>
        </is>
      </c>
      <c r="AD160" s="2" t="n"/>
      <c r="AE160" s="2" t="n">
        <v>5</v>
      </c>
      <c r="AF160" s="2" t="inlineStr">
        <is>
          <t>emotional weight-lifter</t>
        </is>
      </c>
      <c r="AG160" s="2" t="inlineStr">
        <is>
          <t>overfunctioner</t>
        </is>
      </c>
      <c r="AH160" s="2" t="n">
        <v>0</v>
      </c>
      <c r="AI160" s="2" t="inlineStr">
        <is>
          <t>yes</t>
        </is>
      </c>
      <c r="AJ160" s="2" t="inlineStr">
        <is>
          <t>no</t>
        </is>
      </c>
      <c r="AK160" s="2" t="inlineStr">
        <is>
          <t>no</t>
        </is>
      </c>
      <c r="AL160" s="2" t="inlineStr">
        <is>
          <t>no</t>
        </is>
      </c>
      <c r="AM160" s="2" t="n"/>
      <c r="AN160" s="2" t="n"/>
      <c r="AO160" s="2" t="n"/>
      <c r="AP160" s="2" t="inlineStr">
        <is>
          <t>v3_2026-03-19</t>
        </is>
      </c>
      <c r="AQ160">
        <f>(L160-Schema_v5!$C2)/(Schema_v5!$C3-Schema_v5!$C2)</f>
        <v/>
      </c>
      <c r="AR160">
        <f>(M160-Schema_v5!$C4)/(Schema_v5!$C5-Schema_v5!$C4)</f>
        <v/>
      </c>
      <c r="AS160">
        <f>N160/Schema_v5!$C6</f>
        <v/>
      </c>
      <c r="AT160">
        <f>O160/Schema_v5!$C7</f>
        <v/>
      </c>
      <c r="AU160">
        <f>P160/Schema_v5!$C8</f>
        <v/>
      </c>
      <c r="AV160">
        <f>IF(Schema_v5!$C9=0,0,AH160/Schema_v5!$C9)</f>
        <v/>
      </c>
      <c r="AW160">
        <f>IF(Schema_v5!$C10=0,0,AE160/Schema_v5!$C10)</f>
        <v/>
      </c>
      <c r="AX160">
        <f>(W160-Schema_v5!$C11)/(Schema_v5!$C12-Schema_v5!$C11)</f>
        <v/>
      </c>
      <c r="AY160">
        <f>(X160-Schema_v5!$C13)/(Schema_v5!$C14-Schema_v5!$C13)</f>
        <v/>
      </c>
      <c r="AZ160">
        <f>MIN(1,MAX(0,U160/Schema_v7!$C$9))</f>
        <v/>
      </c>
      <c r="BA160">
        <f>IF(AJ160="yes",0.55,0)</f>
        <v/>
      </c>
      <c r="BB160">
        <f>IF(AI160="yes",0.10,0)</f>
        <v/>
      </c>
      <c r="BC160">
        <f>IF(Y160="COMM_Direct",0.92,IF(Y160="COMM_Emotional",0.70,IF(Y160="COMM_Logical",0.65,IF(Y160="COMM_Indirect",0.55,0.35))))</f>
        <v/>
      </c>
      <c r="BD160">
        <f>IF(Z160="REG_CoRegulator",0.92,IF(Z160="REG_SelfSoother",0.76,IF(Z160="REG_Distractor",0.48,0.35)))</f>
        <v/>
      </c>
      <c r="BE160">
        <f>IF(AA160="LANG_Time",0.76,IF(AA160="LANG_Service",0.70,IF(AA160="LANG_Words",0.72,IF(AA160="LANG_Touch",0.68,0.60))))</f>
        <v/>
      </c>
      <c r="BF160">
        <f>MAX(0,MIN(1,0.28*AS160+0.16*AT160+0.18*BC160+0.18*BD160+0.10*(1-AZ160)+0.10*(1-BA160)+BB160))</f>
        <v/>
      </c>
      <c r="BG160">
        <f>MAX(0,MIN(1,0.24*AU160+0.18*AS160+0.18*BC160+0.20*BD160+0.10*(1-AW160)+0.10*(1-BA160)))</f>
        <v/>
      </c>
      <c r="BH160">
        <f>MAX(0,MIN(1,0.28*AR160+0.18*AT160+0.16*AU160+0.18*(1-AV160)+0.10*(1-AW160)+0.10*BF160))</f>
        <v/>
      </c>
      <c r="BI160">
        <f>MAX(0,MIN(1,0.30*AV160+0.20*AZ160+0.20*AW160+0.15*(1-BH160)+0.15*(1-BO160)))</f>
        <v/>
      </c>
      <c r="BJ160">
        <f>MAX(0,1-(ABS(((( AX160+AY160)/2)-0.55)*1.6)))</f>
        <v/>
      </c>
      <c r="BK160">
        <f>MAX(0,MIN(1,0.28*AR160+0.18*AT160+0.16*BJ160+0.14*(1-AV160)+0.12*BQ160+0.12*BO160))</f>
        <v/>
      </c>
      <c r="BL160">
        <f>MAX(0,MIN(1,0.22*AQ160+0.18*AS160+0.18*BC160+0.18*BD160+0.08*BE160+0.10*BF160+0.06*BO160))</f>
        <v/>
      </c>
      <c r="BM160">
        <f>MAX(0,MIN(1,0.20*(1-AZ160)+0.16*(1-BA160)+0.14*(1-AW160)+0.14*AU160+0.18*BG160+0.10*BH160+0.08*BP160))</f>
        <v/>
      </c>
      <c r="BN160">
        <f>MAX(0,MIN(1,0.42*BJ160+0.33*BK160+0.15*AT160+0.10*BQ160))</f>
        <v/>
      </c>
      <c r="BO160">
        <f>MAX(0,MIN(1,0.30*BC160+0.24*BD160+0.18*AS160+0.14*(1-BI160)+0.14*AT160))</f>
        <v/>
      </c>
      <c r="BP160">
        <f>MAX(0,MIN(1,0.26*AS160+0.20*(1-BA160)+0.16*(1-AW160)+0.18*BG160+0.10*AU160+0.10+BB160))</f>
        <v/>
      </c>
      <c r="BQ160">
        <f>MAX(0,MIN(1,0.24*AT160+0.18*BF160+0.14*AR160+0.14*BO160+0.14*(1-AV160)+0.16*(1-AZ160)))</f>
        <v/>
      </c>
      <c r="BR160">
        <f>IF(BO160&gt;=0.80,"Open",IF(BO160&gt;=0.62,"Measured",IF(BO160&gt;=0.45,"Selective","Guarded")))</f>
        <v/>
      </c>
      <c r="BS160">
        <f>IF(Y160="COMM_Direct","Direct",IF(Y160="COMM_Emotional","Emotional",IF(Y160="COMM_Logical","Logical",IF(Y160="COMM_Indirect","Indirect","Avoidant"))))</f>
        <v/>
      </c>
      <c r="BT160">
        <f>IF(BG160&gt;=0.78,"Co-repair",IF(BG160&gt;=0.58,"Re-engage",IF(BG160&gt;=0.40,"Delay","Suppress")))</f>
        <v/>
      </c>
      <c r="BU160">
        <f>IF(BI160&gt;=0.70,"Retreat-risk",IF(BH160&lt;=0.40,"Rush-risk",IF(BH160&gt;=0.65,"Slow-build","Mixed")))</f>
        <v/>
      </c>
      <c r="BV160">
        <f>IF(BL160-BM160&gt;=0.15,"Stimulation-seeking",IF(BM160-BL160&gt;=0.15,"Calm-seeking","Mixed")))</f>
        <v/>
      </c>
      <c r="BW160">
        <f>IF(AND(BL160&gt;=0.72,BM160&lt;0.48),"High",IF(AND(BL160&gt;=0.60,BM160&lt;0.58),"Medium","Low"))</f>
        <v/>
      </c>
    </row>
    <row r="161" ht="108" customHeight="1" s="10">
      <c r="A161" s="2" t="inlineStr">
        <is>
          <t>Q32_E</t>
        </is>
      </c>
      <c r="B161" s="2" t="n">
        <v>32</v>
      </c>
      <c r="C161" s="2" t="n">
        <v>32</v>
      </c>
      <c r="D161" s="2" t="inlineStr">
        <is>
          <t>Core</t>
        </is>
      </c>
      <c r="E161" s="2" t="n">
        <v>1.15</v>
      </c>
      <c r="F161" s="2" t="inlineStr">
        <is>
          <t>ValuesLifestyle</t>
        </is>
      </c>
      <c r="G161" s="2" t="inlineStr">
        <is>
          <t>IntentAlignment</t>
        </is>
      </c>
      <c r="H161" s="2" t="n"/>
      <c r="I161" s="2" t="inlineStr">
        <is>
          <t>E</t>
        </is>
      </c>
      <c r="J161" s="2" t="inlineStr">
        <is>
          <t>E</t>
        </is>
      </c>
      <c r="K161" s="2" t="inlineStr">
        <is>
          <t>I start getting passive-aggressive, short replies, less effort, hoping they'll notice and step up.</t>
        </is>
      </c>
      <c r="L161" s="2" t="n">
        <v>5</v>
      </c>
      <c r="M161" s="2" t="n">
        <v>6</v>
      </c>
      <c r="N161" s="2" t="n">
        <v>0</v>
      </c>
      <c r="O161" s="2" t="n">
        <v>2</v>
      </c>
      <c r="P161" s="2" t="n">
        <v>0</v>
      </c>
      <c r="Q161" s="2" t="inlineStr">
        <is>
          <t>Performer</t>
        </is>
      </c>
      <c r="R161" s="2" t="n">
        <v>7</v>
      </c>
      <c r="S161" s="2" t="n"/>
      <c r="T161" s="2" t="n"/>
      <c r="U161" s="2" t="n">
        <v>0</v>
      </c>
      <c r="V161" s="2" t="inlineStr">
        <is>
          <t>masc:0.3;fem:0.5</t>
        </is>
      </c>
      <c r="W161" s="2" t="n">
        <v>0.3</v>
      </c>
      <c r="X161" s="2" t="n">
        <v>0.5</v>
      </c>
      <c r="Y161" s="2" t="inlineStr">
        <is>
          <t>COMM_Indirect</t>
        </is>
      </c>
      <c r="Z161" s="2" t="inlineStr">
        <is>
          <t>REG_Distractor</t>
        </is>
      </c>
      <c r="AA161" s="2" t="inlineStr">
        <is>
          <t>LANG_Gifts</t>
        </is>
      </c>
      <c r="AB161" s="2" t="inlineStr">
        <is>
          <t>Scorekeeping_Echo</t>
        </is>
      </c>
      <c r="AC161" s="2" t="inlineStr">
        <is>
          <t>Scorekeeping_Echo</t>
        </is>
      </c>
      <c r="AD161" s="2" t="n"/>
      <c r="AE161" s="2" t="n">
        <v>8</v>
      </c>
      <c r="AF161" s="2" t="inlineStr">
        <is>
          <t>withdrawal performance</t>
        </is>
      </c>
      <c r="AG161" s="2" t="inlineStr">
        <is>
          <t>subtle protester</t>
        </is>
      </c>
      <c r="AH161" s="2" t="n">
        <v>1.2</v>
      </c>
      <c r="AI161" s="2" t="inlineStr">
        <is>
          <t>yes</t>
        </is>
      </c>
      <c r="AJ161" s="2" t="inlineStr">
        <is>
          <t>no</t>
        </is>
      </c>
      <c r="AK161" s="2" t="inlineStr">
        <is>
          <t>no</t>
        </is>
      </c>
      <c r="AL161" s="2" t="inlineStr">
        <is>
          <t>no</t>
        </is>
      </c>
      <c r="AM161" s="2" t="n"/>
      <c r="AN161" s="2" t="n"/>
      <c r="AO161" s="2" t="n"/>
      <c r="AP161" s="2" t="inlineStr">
        <is>
          <t>v3_2026-03-19</t>
        </is>
      </c>
      <c r="AQ161">
        <f>(L161-Schema_v5!$C2)/(Schema_v5!$C3-Schema_v5!$C2)</f>
        <v/>
      </c>
      <c r="AR161">
        <f>(M161-Schema_v5!$C4)/(Schema_v5!$C5-Schema_v5!$C4)</f>
        <v/>
      </c>
      <c r="AS161">
        <f>N161/Schema_v5!$C6</f>
        <v/>
      </c>
      <c r="AT161">
        <f>O161/Schema_v5!$C7</f>
        <v/>
      </c>
      <c r="AU161">
        <f>P161/Schema_v5!$C8</f>
        <v/>
      </c>
      <c r="AV161">
        <f>IF(Schema_v5!$C9=0,0,AH161/Schema_v5!$C9)</f>
        <v/>
      </c>
      <c r="AW161">
        <f>IF(Schema_v5!$C10=0,0,AE161/Schema_v5!$C10)</f>
        <v/>
      </c>
      <c r="AX161">
        <f>(W161-Schema_v5!$C11)/(Schema_v5!$C12-Schema_v5!$C11)</f>
        <v/>
      </c>
      <c r="AY161">
        <f>(X161-Schema_v5!$C13)/(Schema_v5!$C14-Schema_v5!$C13)</f>
        <v/>
      </c>
      <c r="AZ161">
        <f>MIN(1,MAX(0,U161/Schema_v7!$C$9))</f>
        <v/>
      </c>
      <c r="BA161">
        <f>IF(AJ161="yes",0.55,0)</f>
        <v/>
      </c>
      <c r="BB161">
        <f>IF(AI161="yes",0.10,0)</f>
        <v/>
      </c>
      <c r="BC161">
        <f>IF(Y161="COMM_Direct",0.92,IF(Y161="COMM_Emotional",0.70,IF(Y161="COMM_Logical",0.65,IF(Y161="COMM_Indirect",0.55,0.35))))</f>
        <v/>
      </c>
      <c r="BD161">
        <f>IF(Z161="REG_CoRegulator",0.92,IF(Z161="REG_SelfSoother",0.76,IF(Z161="REG_Distractor",0.48,0.35)))</f>
        <v/>
      </c>
      <c r="BE161">
        <f>IF(AA161="LANG_Time",0.76,IF(AA161="LANG_Service",0.70,IF(AA161="LANG_Words",0.72,IF(AA161="LANG_Touch",0.68,0.60))))</f>
        <v/>
      </c>
      <c r="BF161">
        <f>MAX(0,MIN(1,0.28*AS161+0.16*AT161+0.18*BC161+0.18*BD161+0.10*(1-AZ161)+0.10*(1-BA161)+BB161))</f>
        <v/>
      </c>
      <c r="BG161">
        <f>MAX(0,MIN(1,0.24*AU161+0.18*AS161+0.18*BC161+0.20*BD161+0.10*(1-AW161)+0.10*(1-BA161)))</f>
        <v/>
      </c>
      <c r="BH161">
        <f>MAX(0,MIN(1,0.28*AR161+0.18*AT161+0.16*AU161+0.18*(1-AV161)+0.10*(1-AW161)+0.10*BF161))</f>
        <v/>
      </c>
      <c r="BI161">
        <f>MAX(0,MIN(1,0.30*AV161+0.20*AZ161+0.20*AW161+0.15*(1-BH161)+0.15*(1-BO161)))</f>
        <v/>
      </c>
      <c r="BJ161">
        <f>MAX(0,1-(ABS(((( AX161+AY161)/2)-0.55)*1.6)))</f>
        <v/>
      </c>
      <c r="BK161">
        <f>MAX(0,MIN(1,0.28*AR161+0.18*AT161+0.16*BJ161+0.14*(1-AV161)+0.12*BQ161+0.12*BO161))</f>
        <v/>
      </c>
      <c r="BL161">
        <f>MAX(0,MIN(1,0.22*AQ161+0.18*AS161+0.18*BC161+0.18*BD161+0.08*BE161+0.10*BF161+0.06*BO161))</f>
        <v/>
      </c>
      <c r="BM161">
        <f>MAX(0,MIN(1,0.20*(1-AZ161)+0.16*(1-BA161)+0.14*(1-AW161)+0.14*AU161+0.18*BG161+0.10*BH161+0.08*BP161))</f>
        <v/>
      </c>
      <c r="BN161">
        <f>MAX(0,MIN(1,0.42*BJ161+0.33*BK161+0.15*AT161+0.10*BQ161))</f>
        <v/>
      </c>
      <c r="BO161">
        <f>MAX(0,MIN(1,0.30*BC161+0.24*BD161+0.18*AS161+0.14*(1-BI161)+0.14*AT161))</f>
        <v/>
      </c>
      <c r="BP161">
        <f>MAX(0,MIN(1,0.26*AS161+0.20*(1-BA161)+0.16*(1-AW161)+0.18*BG161+0.10*AU161+0.10+BB161))</f>
        <v/>
      </c>
      <c r="BQ161">
        <f>MAX(0,MIN(1,0.24*AT161+0.18*BF161+0.14*AR161+0.14*BO161+0.14*(1-AV161)+0.16*(1-AZ161)))</f>
        <v/>
      </c>
      <c r="BR161">
        <f>IF(BO161&gt;=0.80,"Open",IF(BO161&gt;=0.62,"Measured",IF(BO161&gt;=0.45,"Selective","Guarded")))</f>
        <v/>
      </c>
      <c r="BS161">
        <f>IF(Y161="COMM_Direct","Direct",IF(Y161="COMM_Emotional","Emotional",IF(Y161="COMM_Logical","Logical",IF(Y161="COMM_Indirect","Indirect","Avoidant"))))</f>
        <v/>
      </c>
      <c r="BT161">
        <f>IF(BG161&gt;=0.78,"Co-repair",IF(BG161&gt;=0.58,"Re-engage",IF(BG161&gt;=0.40,"Delay","Suppress")))</f>
        <v/>
      </c>
      <c r="BU161">
        <f>IF(BI161&gt;=0.70,"Retreat-risk",IF(BH161&lt;=0.40,"Rush-risk",IF(BH161&gt;=0.65,"Slow-build","Mixed")))</f>
        <v/>
      </c>
      <c r="BV161">
        <f>IF(BL161-BM161&gt;=0.15,"Stimulation-seeking",IF(BM161-BL161&gt;=0.15,"Calm-seeking","Mixed")))</f>
        <v/>
      </c>
      <c r="BW161">
        <f>IF(AND(BL161&gt;=0.72,BM161&lt;0.48),"High",IF(AND(BL161&gt;=0.60,BM161&lt;0.58),"Medium","Low"))</f>
        <v/>
      </c>
    </row>
    <row r="162" ht="108" customHeight="1" s="10">
      <c r="A162" s="2" t="inlineStr">
        <is>
          <t>Q33_A</t>
        </is>
      </c>
      <c r="B162" s="2" t="n">
        <v>33</v>
      </c>
      <c r="C162" s="2" t="n">
        <v>33</v>
      </c>
      <c r="D162" s="2" t="inlineStr">
        <is>
          <t>Core</t>
        </is>
      </c>
      <c r="E162" s="2" t="n">
        <v>1.15</v>
      </c>
      <c r="F162" s="2" t="inlineStr">
        <is>
          <t>CommitmentPace</t>
        </is>
      </c>
      <c r="G162" s="2" t="inlineStr">
        <is>
          <t>IntentAlignment</t>
        </is>
      </c>
      <c r="H162" s="2" t="inlineStr">
        <is>
          <t>You realize you're not feeling it with someone-but they clearly are. How do you usually pull back?</t>
        </is>
      </c>
      <c r="I162" s="2" t="inlineStr">
        <is>
          <t>A</t>
        </is>
      </c>
      <c r="J162" s="2" t="inlineStr">
        <is>
          <t>A</t>
        </is>
      </c>
      <c r="K162" s="2" t="inlineStr">
        <is>
          <t>I slowly drift. Less texts, less talk, hoping they get the hint without me having to say it</t>
        </is>
      </c>
      <c r="L162" s="2" t="n">
        <v>8</v>
      </c>
      <c r="M162" s="2" t="n">
        <v>8</v>
      </c>
      <c r="N162" s="2" t="n">
        <v>4</v>
      </c>
      <c r="O162" s="2" t="n">
        <v>4</v>
      </c>
      <c r="P162" s="2" t="n">
        <v>2</v>
      </c>
      <c r="Q162" s="2" t="inlineStr">
        <is>
          <t>Quiet Exit</t>
        </is>
      </c>
      <c r="R162" s="2" t="n">
        <v>4</v>
      </c>
      <c r="S162" s="2" t="n"/>
      <c r="T162" s="2" t="n"/>
      <c r="U162" s="2" t="n">
        <v>0</v>
      </c>
      <c r="V162" s="2" t="inlineStr">
        <is>
          <t>masc:1.4;fem:-1.3</t>
        </is>
      </c>
      <c r="W162" s="2" t="n">
        <v>1.4</v>
      </c>
      <c r="X162" s="2" t="n">
        <v>-1.3</v>
      </c>
      <c r="Y162" s="2" t="inlineStr">
        <is>
          <t>COMM_Avoidant</t>
        </is>
      </c>
      <c r="Z162" s="2" t="inlineStr">
        <is>
          <t>REG_Suppressor</t>
        </is>
      </c>
      <c r="AA162" s="2" t="inlineStr">
        <is>
          <t>LANG_Time</t>
        </is>
      </c>
      <c r="AB162" s="2" t="n"/>
      <c r="AC162" s="2" t="n"/>
      <c r="AD162" s="2" t="n"/>
      <c r="AE162" s="2" t="n">
        <v>0</v>
      </c>
      <c r="AF162" s="2" t="inlineStr">
        <is>
          <t>emotional phase-out</t>
        </is>
      </c>
      <c r="AG162" s="2" t="inlineStr">
        <is>
          <t>quiet exiter</t>
        </is>
      </c>
      <c r="AH162" s="2" t="n">
        <v>0</v>
      </c>
      <c r="AI162" s="2" t="inlineStr">
        <is>
          <t>no</t>
        </is>
      </c>
      <c r="AJ162" s="2" t="inlineStr">
        <is>
          <t>no</t>
        </is>
      </c>
      <c r="AK162" s="2" t="inlineStr">
        <is>
          <t>yes</t>
        </is>
      </c>
      <c r="AL162" s="2" t="inlineStr">
        <is>
          <t>yes</t>
        </is>
      </c>
      <c r="AM162" s="2" t="n"/>
      <c r="AN162" s="2" t="n"/>
      <c r="AO162" s="2" t="n"/>
      <c r="AP162" s="2" t="inlineStr">
        <is>
          <t>v3_2026-03-19</t>
        </is>
      </c>
      <c r="AQ162">
        <f>(L162-Schema_v5!$C2)/(Schema_v5!$C3-Schema_v5!$C2)</f>
        <v/>
      </c>
      <c r="AR162">
        <f>(M162-Schema_v5!$C4)/(Schema_v5!$C5-Schema_v5!$C4)</f>
        <v/>
      </c>
      <c r="AS162">
        <f>N162/Schema_v5!$C6</f>
        <v/>
      </c>
      <c r="AT162">
        <f>O162/Schema_v5!$C7</f>
        <v/>
      </c>
      <c r="AU162">
        <f>P162/Schema_v5!$C8</f>
        <v/>
      </c>
      <c r="AV162">
        <f>IF(Schema_v5!$C9=0,0,AH162/Schema_v5!$C9)</f>
        <v/>
      </c>
      <c r="AW162">
        <f>IF(Schema_v5!$C10=0,0,AE162/Schema_v5!$C10)</f>
        <v/>
      </c>
      <c r="AX162">
        <f>(W162-Schema_v5!$C11)/(Schema_v5!$C12-Schema_v5!$C11)</f>
        <v/>
      </c>
      <c r="AY162">
        <f>(X162-Schema_v5!$C13)/(Schema_v5!$C14-Schema_v5!$C13)</f>
        <v/>
      </c>
      <c r="AZ162">
        <f>MIN(1,MAX(0,U162/Schema_v7!$C$9))</f>
        <v/>
      </c>
      <c r="BA162">
        <f>IF(AJ162="yes",0.55,0)</f>
        <v/>
      </c>
      <c r="BB162">
        <f>IF(AI162="yes",0.10,0)</f>
        <v/>
      </c>
      <c r="BC162">
        <f>IF(Y162="COMM_Direct",0.92,IF(Y162="COMM_Emotional",0.70,IF(Y162="COMM_Logical",0.65,IF(Y162="COMM_Indirect",0.55,0.35))))</f>
        <v/>
      </c>
      <c r="BD162">
        <f>IF(Z162="REG_CoRegulator",0.92,IF(Z162="REG_SelfSoother",0.76,IF(Z162="REG_Distractor",0.48,0.35)))</f>
        <v/>
      </c>
      <c r="BE162">
        <f>IF(AA162="LANG_Time",0.76,IF(AA162="LANG_Service",0.70,IF(AA162="LANG_Words",0.72,IF(AA162="LANG_Touch",0.68,0.60))))</f>
        <v/>
      </c>
      <c r="BF162">
        <f>MAX(0,MIN(1,0.28*AS162+0.16*AT162+0.18*BC162+0.18*BD162+0.10*(1-AZ162)+0.10*(1-BA162)+BB162))</f>
        <v/>
      </c>
      <c r="BG162">
        <f>MAX(0,MIN(1,0.24*AU162+0.18*AS162+0.18*BC162+0.20*BD162+0.10*(1-AW162)+0.10*(1-BA162)))</f>
        <v/>
      </c>
      <c r="BH162">
        <f>MAX(0,MIN(1,0.28*AR162+0.18*AT162+0.16*AU162+0.18*(1-AV162)+0.10*(1-AW162)+0.10*BF162))</f>
        <v/>
      </c>
      <c r="BI162">
        <f>MAX(0,MIN(1,0.30*AV162+0.20*AZ162+0.20*AW162+0.15*(1-BH162)+0.15*(1-BO162)))</f>
        <v/>
      </c>
      <c r="BJ162">
        <f>MAX(0,1-(ABS(((( AX162+AY162)/2)-0.55)*1.6)))</f>
        <v/>
      </c>
      <c r="BK162">
        <f>MAX(0,MIN(1,0.28*AR162+0.18*AT162+0.16*BJ162+0.14*(1-AV162)+0.12*BQ162+0.12*BO162))</f>
        <v/>
      </c>
      <c r="BL162">
        <f>MAX(0,MIN(1,0.22*AQ162+0.18*AS162+0.18*BC162+0.18*BD162+0.08*BE162+0.10*BF162+0.06*BO162))</f>
        <v/>
      </c>
      <c r="BM162">
        <f>MAX(0,MIN(1,0.20*(1-AZ162)+0.16*(1-BA162)+0.14*(1-AW162)+0.14*AU162+0.18*BG162+0.10*BH162+0.08*BP162))</f>
        <v/>
      </c>
      <c r="BN162">
        <f>MAX(0,MIN(1,0.42*BJ162+0.33*BK162+0.15*AT162+0.10*BQ162))</f>
        <v/>
      </c>
      <c r="BO162">
        <f>MAX(0,MIN(1,0.30*BC162+0.24*BD162+0.18*AS162+0.14*(1-BI162)+0.14*AT162))</f>
        <v/>
      </c>
      <c r="BP162">
        <f>MAX(0,MIN(1,0.26*AS162+0.20*(1-BA162)+0.16*(1-AW162)+0.18*BG162+0.10*AU162+0.10+BB162))</f>
        <v/>
      </c>
      <c r="BQ162">
        <f>MAX(0,MIN(1,0.24*AT162+0.18*BF162+0.14*AR162+0.14*BO162+0.14*(1-AV162)+0.16*(1-AZ162)))</f>
        <v/>
      </c>
      <c r="BR162">
        <f>IF(BO162&gt;=0.80,"Open",IF(BO162&gt;=0.62,"Measured",IF(BO162&gt;=0.45,"Selective","Guarded")))</f>
        <v/>
      </c>
      <c r="BS162">
        <f>IF(Y162="COMM_Direct","Direct",IF(Y162="COMM_Emotional","Emotional",IF(Y162="COMM_Logical","Logical",IF(Y162="COMM_Indirect","Indirect","Avoidant"))))</f>
        <v/>
      </c>
      <c r="BT162">
        <f>IF(BG162&gt;=0.78,"Co-repair",IF(BG162&gt;=0.58,"Re-engage",IF(BG162&gt;=0.40,"Delay","Suppress")))</f>
        <v/>
      </c>
      <c r="BU162">
        <f>IF(BI162&gt;=0.70,"Retreat-risk",IF(BH162&lt;=0.40,"Rush-risk",IF(BH162&gt;=0.65,"Slow-build","Mixed")))</f>
        <v/>
      </c>
      <c r="BV162">
        <f>IF(BL162-BM162&gt;=0.15,"Stimulation-seeking",IF(BM162-BL162&gt;=0.15,"Calm-seeking","Mixed")))</f>
        <v/>
      </c>
      <c r="BW162">
        <f>IF(AND(BL162&gt;=0.72,BM162&lt;0.48),"High",IF(AND(BL162&gt;=0.60,BM162&lt;0.58),"Medium","Low"))</f>
        <v/>
      </c>
    </row>
    <row r="163" ht="94.5" customHeight="1" s="10">
      <c r="A163" s="2" t="inlineStr">
        <is>
          <t>Q33_B</t>
        </is>
      </c>
      <c r="B163" s="2" t="n">
        <v>33</v>
      </c>
      <c r="C163" s="2" t="n">
        <v>33</v>
      </c>
      <c r="D163" s="2" t="inlineStr">
        <is>
          <t>Core</t>
        </is>
      </c>
      <c r="E163" s="2" t="n">
        <v>1.15</v>
      </c>
      <c r="F163" s="2" t="inlineStr">
        <is>
          <t>CommitmentPace</t>
        </is>
      </c>
      <c r="G163" s="2" t="inlineStr">
        <is>
          <t>IntentAlignment</t>
        </is>
      </c>
      <c r="H163" s="2" t="n"/>
      <c r="I163" s="2" t="inlineStr">
        <is>
          <t>B</t>
        </is>
      </c>
      <c r="J163" s="2" t="inlineStr">
        <is>
          <t>B</t>
        </is>
      </c>
      <c r="K163" s="2" t="inlineStr">
        <is>
          <t>I still show up, but colder. I make it easier for them to walk away first.</t>
        </is>
      </c>
      <c r="L163" s="2" t="n">
        <v>7</v>
      </c>
      <c r="M163" s="2" t="n">
        <v>8</v>
      </c>
      <c r="N163" s="2" t="n">
        <v>4</v>
      </c>
      <c r="O163" s="2" t="n">
        <v>4</v>
      </c>
      <c r="P163" s="2" t="n">
        <v>0</v>
      </c>
      <c r="Q163" s="2" t="inlineStr">
        <is>
          <t>Icebox</t>
        </is>
      </c>
      <c r="R163" s="2" t="n">
        <v>1</v>
      </c>
      <c r="S163" s="2" t="n"/>
      <c r="T163" s="2" t="n"/>
      <c r="U163" s="2" t="n">
        <v>0</v>
      </c>
      <c r="V163" s="2" t="inlineStr">
        <is>
          <t>masc:1.8;fem:-1.6</t>
        </is>
      </c>
      <c r="W163" s="2" t="n">
        <v>1.8</v>
      </c>
      <c r="X163" s="2" t="n">
        <v>-1.6</v>
      </c>
      <c r="Y163" s="2" t="inlineStr">
        <is>
          <t>COMM_Avoidant</t>
        </is>
      </c>
      <c r="Z163" s="2" t="inlineStr">
        <is>
          <t>REG_Suppressor</t>
        </is>
      </c>
      <c r="AA163" s="2" t="inlineStr">
        <is>
          <t>LANG_Time</t>
        </is>
      </c>
      <c r="AB163" s="2" t="n"/>
      <c r="AC163" s="2" t="n"/>
      <c r="AD163" s="2" t="n"/>
      <c r="AE163" s="2" t="n">
        <v>0</v>
      </c>
      <c r="AF163" s="2" t="inlineStr">
        <is>
          <t>indirect push-away</t>
        </is>
      </c>
      <c r="AG163" s="2" t="inlineStr">
        <is>
          <t>soft detacher</t>
        </is>
      </c>
      <c r="AH163" s="2" t="n">
        <v>0.8</v>
      </c>
      <c r="AI163" s="2" t="inlineStr">
        <is>
          <t>no</t>
        </is>
      </c>
      <c r="AJ163" s="2" t="inlineStr">
        <is>
          <t>no</t>
        </is>
      </c>
      <c r="AK163" s="2" t="inlineStr">
        <is>
          <t>yes</t>
        </is>
      </c>
      <c r="AL163" s="2" t="inlineStr">
        <is>
          <t>yes</t>
        </is>
      </c>
      <c r="AM163" s="2" t="n"/>
      <c r="AN163" s="2" t="n"/>
      <c r="AO163" s="2" t="n"/>
      <c r="AP163" s="2" t="inlineStr">
        <is>
          <t>v3_2026-03-19</t>
        </is>
      </c>
      <c r="AQ163">
        <f>(L163-Schema_v5!$C2)/(Schema_v5!$C3-Schema_v5!$C2)</f>
        <v/>
      </c>
      <c r="AR163">
        <f>(M163-Schema_v5!$C4)/(Schema_v5!$C5-Schema_v5!$C4)</f>
        <v/>
      </c>
      <c r="AS163">
        <f>N163/Schema_v5!$C6</f>
        <v/>
      </c>
      <c r="AT163">
        <f>O163/Schema_v5!$C7</f>
        <v/>
      </c>
      <c r="AU163">
        <f>P163/Schema_v5!$C8</f>
        <v/>
      </c>
      <c r="AV163">
        <f>IF(Schema_v5!$C9=0,0,AH163/Schema_v5!$C9)</f>
        <v/>
      </c>
      <c r="AW163">
        <f>IF(Schema_v5!$C10=0,0,AE163/Schema_v5!$C10)</f>
        <v/>
      </c>
      <c r="AX163">
        <f>(W163-Schema_v5!$C11)/(Schema_v5!$C12-Schema_v5!$C11)</f>
        <v/>
      </c>
      <c r="AY163">
        <f>(X163-Schema_v5!$C13)/(Schema_v5!$C14-Schema_v5!$C13)</f>
        <v/>
      </c>
      <c r="AZ163">
        <f>MIN(1,MAX(0,U163/Schema_v7!$C$9))</f>
        <v/>
      </c>
      <c r="BA163">
        <f>IF(AJ163="yes",0.55,0)</f>
        <v/>
      </c>
      <c r="BB163">
        <f>IF(AI163="yes",0.10,0)</f>
        <v/>
      </c>
      <c r="BC163">
        <f>IF(Y163="COMM_Direct",0.92,IF(Y163="COMM_Emotional",0.70,IF(Y163="COMM_Logical",0.65,IF(Y163="COMM_Indirect",0.55,0.35))))</f>
        <v/>
      </c>
      <c r="BD163">
        <f>IF(Z163="REG_CoRegulator",0.92,IF(Z163="REG_SelfSoother",0.76,IF(Z163="REG_Distractor",0.48,0.35)))</f>
        <v/>
      </c>
      <c r="BE163">
        <f>IF(AA163="LANG_Time",0.76,IF(AA163="LANG_Service",0.70,IF(AA163="LANG_Words",0.72,IF(AA163="LANG_Touch",0.68,0.60))))</f>
        <v/>
      </c>
      <c r="BF163">
        <f>MAX(0,MIN(1,0.28*AS163+0.16*AT163+0.18*BC163+0.18*BD163+0.10*(1-AZ163)+0.10*(1-BA163)+BB163))</f>
        <v/>
      </c>
      <c r="BG163">
        <f>MAX(0,MIN(1,0.24*AU163+0.18*AS163+0.18*BC163+0.20*BD163+0.10*(1-AW163)+0.10*(1-BA163)))</f>
        <v/>
      </c>
      <c r="BH163">
        <f>MAX(0,MIN(1,0.28*AR163+0.18*AT163+0.16*AU163+0.18*(1-AV163)+0.10*(1-AW163)+0.10*BF163))</f>
        <v/>
      </c>
      <c r="BI163">
        <f>MAX(0,MIN(1,0.30*AV163+0.20*AZ163+0.20*AW163+0.15*(1-BH163)+0.15*(1-BO163)))</f>
        <v/>
      </c>
      <c r="BJ163">
        <f>MAX(0,1-(ABS(((( AX163+AY163)/2)-0.55)*1.6)))</f>
        <v/>
      </c>
      <c r="BK163">
        <f>MAX(0,MIN(1,0.28*AR163+0.18*AT163+0.16*BJ163+0.14*(1-AV163)+0.12*BQ163+0.12*BO163))</f>
        <v/>
      </c>
      <c r="BL163">
        <f>MAX(0,MIN(1,0.22*AQ163+0.18*AS163+0.18*BC163+0.18*BD163+0.08*BE163+0.10*BF163+0.06*BO163))</f>
        <v/>
      </c>
      <c r="BM163">
        <f>MAX(0,MIN(1,0.20*(1-AZ163)+0.16*(1-BA163)+0.14*(1-AW163)+0.14*AU163+0.18*BG163+0.10*BH163+0.08*BP163))</f>
        <v/>
      </c>
      <c r="BN163">
        <f>MAX(0,MIN(1,0.42*BJ163+0.33*BK163+0.15*AT163+0.10*BQ163))</f>
        <v/>
      </c>
      <c r="BO163">
        <f>MAX(0,MIN(1,0.30*BC163+0.24*BD163+0.18*AS163+0.14*(1-BI163)+0.14*AT163))</f>
        <v/>
      </c>
      <c r="BP163">
        <f>MAX(0,MIN(1,0.26*AS163+0.20*(1-BA163)+0.16*(1-AW163)+0.18*BG163+0.10*AU163+0.10+BB163))</f>
        <v/>
      </c>
      <c r="BQ163">
        <f>MAX(0,MIN(1,0.24*AT163+0.18*BF163+0.14*AR163+0.14*BO163+0.14*(1-AV163)+0.16*(1-AZ163)))</f>
        <v/>
      </c>
      <c r="BR163">
        <f>IF(BO163&gt;=0.80,"Open",IF(BO163&gt;=0.62,"Measured",IF(BO163&gt;=0.45,"Selective","Guarded")))</f>
        <v/>
      </c>
      <c r="BS163">
        <f>IF(Y163="COMM_Direct","Direct",IF(Y163="COMM_Emotional","Emotional",IF(Y163="COMM_Logical","Logical",IF(Y163="COMM_Indirect","Indirect","Avoidant"))))</f>
        <v/>
      </c>
      <c r="BT163">
        <f>IF(BG163&gt;=0.78,"Co-repair",IF(BG163&gt;=0.58,"Re-engage",IF(BG163&gt;=0.40,"Delay","Suppress")))</f>
        <v/>
      </c>
      <c r="BU163">
        <f>IF(BI163&gt;=0.70,"Retreat-risk",IF(BH163&lt;=0.40,"Rush-risk",IF(BH163&gt;=0.65,"Slow-build","Mixed")))</f>
        <v/>
      </c>
      <c r="BV163">
        <f>IF(BL163-BM163&gt;=0.15,"Stimulation-seeking",IF(BM163-BL163&gt;=0.15,"Calm-seeking","Mixed")))</f>
        <v/>
      </c>
      <c r="BW163">
        <f>IF(AND(BL163&gt;=0.72,BM163&lt;0.48),"High",IF(AND(BL163&gt;=0.60,BM163&lt;0.58),"Medium","Low"))</f>
        <v/>
      </c>
    </row>
    <row r="164" ht="135" customHeight="1" s="10">
      <c r="A164" s="2" t="inlineStr">
        <is>
          <t>Q33_C</t>
        </is>
      </c>
      <c r="B164" s="2" t="n">
        <v>33</v>
      </c>
      <c r="C164" s="2" t="n">
        <v>33</v>
      </c>
      <c r="D164" s="2" t="inlineStr">
        <is>
          <t>Core</t>
        </is>
      </c>
      <c r="E164" s="2" t="n">
        <v>1.15</v>
      </c>
      <c r="F164" s="2" t="inlineStr">
        <is>
          <t>CommitmentPace</t>
        </is>
      </c>
      <c r="G164" s="2" t="inlineStr">
        <is>
          <t>IntentAlignment</t>
        </is>
      </c>
      <c r="H164" s="2" t="n"/>
      <c r="I164" s="2" t="inlineStr">
        <is>
          <t>C</t>
        </is>
      </c>
      <c r="J164" s="2" t="inlineStr">
        <is>
          <t>C</t>
        </is>
      </c>
      <c r="K164" s="2" t="inlineStr">
        <is>
          <t>I stay a little longer than I mean to. I don't want to hurt them, and part of me feels responsible for how they feel.</t>
        </is>
      </c>
      <c r="L164" s="2" t="n">
        <v>5</v>
      </c>
      <c r="M164" s="2" t="n">
        <v>6</v>
      </c>
      <c r="N164" s="2" t="n">
        <v>4</v>
      </c>
      <c r="O164" s="2" t="n">
        <v>4</v>
      </c>
      <c r="P164" s="2" t="n">
        <v>4</v>
      </c>
      <c r="Q164" s="2" t="inlineStr">
        <is>
          <t>Fixer</t>
        </is>
      </c>
      <c r="R164" s="2" t="n">
        <v>5</v>
      </c>
      <c r="S164" s="2" t="n"/>
      <c r="T164" s="2" t="n"/>
      <c r="U164" s="2" t="n">
        <v>0</v>
      </c>
      <c r="V164" s="2" t="inlineStr">
        <is>
          <t>masc:-0.4;fem:2.0</t>
        </is>
      </c>
      <c r="W164" s="2" t="n">
        <v>-0.4</v>
      </c>
      <c r="X164" s="2" t="n">
        <v>2</v>
      </c>
      <c r="Y164" s="2" t="inlineStr">
        <is>
          <t>COMM_Emotional</t>
        </is>
      </c>
      <c r="Z164" s="2" t="inlineStr">
        <is>
          <t>REG_CoRegulator</t>
        </is>
      </c>
      <c r="AA164" s="2" t="inlineStr">
        <is>
          <t>LANG_Service</t>
        </is>
      </c>
      <c r="AB164" s="2" t="inlineStr">
        <is>
          <t>Vulnerability_Loop</t>
        </is>
      </c>
      <c r="AC164" s="2" t="inlineStr">
        <is>
          <t>Vulnerability_Loop</t>
        </is>
      </c>
      <c r="AD164" s="2" t="n"/>
      <c r="AE164" s="2" t="n">
        <v>5</v>
      </c>
      <c r="AF164" s="2" t="inlineStr">
        <is>
          <t>guilt-fueled delay</t>
        </is>
      </c>
      <c r="AG164" s="2" t="inlineStr">
        <is>
          <t>hesitant leaver</t>
        </is>
      </c>
      <c r="AH164" s="2" t="n">
        <v>0.2</v>
      </c>
      <c r="AI164" s="2" t="inlineStr">
        <is>
          <t>yes</t>
        </is>
      </c>
      <c r="AJ164" s="2" t="inlineStr">
        <is>
          <t>no</t>
        </is>
      </c>
      <c r="AK164" s="2" t="inlineStr">
        <is>
          <t>yes</t>
        </is>
      </c>
      <c r="AL164" s="2" t="inlineStr">
        <is>
          <t>yes</t>
        </is>
      </c>
      <c r="AM164" s="2" t="n"/>
      <c r="AN164" s="2" t="n"/>
      <c r="AO164" s="2" t="n"/>
      <c r="AP164" s="2" t="inlineStr">
        <is>
          <t>v3_2026-03-19</t>
        </is>
      </c>
      <c r="AQ164">
        <f>(L164-Schema_v5!$C2)/(Schema_v5!$C3-Schema_v5!$C2)</f>
        <v/>
      </c>
      <c r="AR164">
        <f>(M164-Schema_v5!$C4)/(Schema_v5!$C5-Schema_v5!$C4)</f>
        <v/>
      </c>
      <c r="AS164">
        <f>N164/Schema_v5!$C6</f>
        <v/>
      </c>
      <c r="AT164">
        <f>O164/Schema_v5!$C7</f>
        <v/>
      </c>
      <c r="AU164">
        <f>P164/Schema_v5!$C8</f>
        <v/>
      </c>
      <c r="AV164">
        <f>IF(Schema_v5!$C9=0,0,AH164/Schema_v5!$C9)</f>
        <v/>
      </c>
      <c r="AW164">
        <f>IF(Schema_v5!$C10=0,0,AE164/Schema_v5!$C10)</f>
        <v/>
      </c>
      <c r="AX164">
        <f>(W164-Schema_v5!$C11)/(Schema_v5!$C12-Schema_v5!$C11)</f>
        <v/>
      </c>
      <c r="AY164">
        <f>(X164-Schema_v5!$C13)/(Schema_v5!$C14-Schema_v5!$C13)</f>
        <v/>
      </c>
      <c r="AZ164">
        <f>MIN(1,MAX(0,U164/Schema_v7!$C$9))</f>
        <v/>
      </c>
      <c r="BA164">
        <f>IF(AJ164="yes",0.55,0)</f>
        <v/>
      </c>
      <c r="BB164">
        <f>IF(AI164="yes",0.10,0)</f>
        <v/>
      </c>
      <c r="BC164">
        <f>IF(Y164="COMM_Direct",0.92,IF(Y164="COMM_Emotional",0.70,IF(Y164="COMM_Logical",0.65,IF(Y164="COMM_Indirect",0.55,0.35))))</f>
        <v/>
      </c>
      <c r="BD164">
        <f>IF(Z164="REG_CoRegulator",0.92,IF(Z164="REG_SelfSoother",0.76,IF(Z164="REG_Distractor",0.48,0.35)))</f>
        <v/>
      </c>
      <c r="BE164">
        <f>IF(AA164="LANG_Time",0.76,IF(AA164="LANG_Service",0.70,IF(AA164="LANG_Words",0.72,IF(AA164="LANG_Touch",0.68,0.60))))</f>
        <v/>
      </c>
      <c r="BF164">
        <f>MAX(0,MIN(1,0.28*AS164+0.16*AT164+0.18*BC164+0.18*BD164+0.10*(1-AZ164)+0.10*(1-BA164)+BB164))</f>
        <v/>
      </c>
      <c r="BG164">
        <f>MAX(0,MIN(1,0.24*AU164+0.18*AS164+0.18*BC164+0.20*BD164+0.10*(1-AW164)+0.10*(1-BA164)))</f>
        <v/>
      </c>
      <c r="BH164">
        <f>MAX(0,MIN(1,0.28*AR164+0.18*AT164+0.16*AU164+0.18*(1-AV164)+0.10*(1-AW164)+0.10*BF164))</f>
        <v/>
      </c>
      <c r="BI164">
        <f>MAX(0,MIN(1,0.30*AV164+0.20*AZ164+0.20*AW164+0.15*(1-BH164)+0.15*(1-BO164)))</f>
        <v/>
      </c>
      <c r="BJ164">
        <f>MAX(0,1-(ABS(((( AX164+AY164)/2)-0.55)*1.6)))</f>
        <v/>
      </c>
      <c r="BK164">
        <f>MAX(0,MIN(1,0.28*AR164+0.18*AT164+0.16*BJ164+0.14*(1-AV164)+0.12*BQ164+0.12*BO164))</f>
        <v/>
      </c>
      <c r="BL164">
        <f>MAX(0,MIN(1,0.22*AQ164+0.18*AS164+0.18*BC164+0.18*BD164+0.08*BE164+0.10*BF164+0.06*BO164))</f>
        <v/>
      </c>
      <c r="BM164">
        <f>MAX(0,MIN(1,0.20*(1-AZ164)+0.16*(1-BA164)+0.14*(1-AW164)+0.14*AU164+0.18*BG164+0.10*BH164+0.08*BP164))</f>
        <v/>
      </c>
      <c r="BN164">
        <f>MAX(0,MIN(1,0.42*BJ164+0.33*BK164+0.15*AT164+0.10*BQ164))</f>
        <v/>
      </c>
      <c r="BO164">
        <f>MAX(0,MIN(1,0.30*BC164+0.24*BD164+0.18*AS164+0.14*(1-BI164)+0.14*AT164))</f>
        <v/>
      </c>
      <c r="BP164">
        <f>MAX(0,MIN(1,0.26*AS164+0.20*(1-BA164)+0.16*(1-AW164)+0.18*BG164+0.10*AU164+0.10+BB164))</f>
        <v/>
      </c>
      <c r="BQ164">
        <f>MAX(0,MIN(1,0.24*AT164+0.18*BF164+0.14*AR164+0.14*BO164+0.14*(1-AV164)+0.16*(1-AZ164)))</f>
        <v/>
      </c>
      <c r="BR164">
        <f>IF(BO164&gt;=0.80,"Open",IF(BO164&gt;=0.62,"Measured",IF(BO164&gt;=0.45,"Selective","Guarded")))</f>
        <v/>
      </c>
      <c r="BS164">
        <f>IF(Y164="COMM_Direct","Direct",IF(Y164="COMM_Emotional","Emotional",IF(Y164="COMM_Logical","Logical",IF(Y164="COMM_Indirect","Indirect","Avoidant"))))</f>
        <v/>
      </c>
      <c r="BT164">
        <f>IF(BG164&gt;=0.78,"Co-repair",IF(BG164&gt;=0.58,"Re-engage",IF(BG164&gt;=0.40,"Delay","Suppress")))</f>
        <v/>
      </c>
      <c r="BU164">
        <f>IF(BI164&gt;=0.70,"Retreat-risk",IF(BH164&lt;=0.40,"Rush-risk",IF(BH164&gt;=0.65,"Slow-build","Mixed")))</f>
        <v/>
      </c>
      <c r="BV164">
        <f>IF(BL164-BM164&gt;=0.15,"Stimulation-seeking",IF(BM164-BL164&gt;=0.15,"Calm-seeking","Mixed")))</f>
        <v/>
      </c>
      <c r="BW164">
        <f>IF(AND(BL164&gt;=0.72,BM164&lt;0.48),"High",IF(AND(BL164&gt;=0.60,BM164&lt;0.58),"Medium","Low"))</f>
        <v/>
      </c>
    </row>
    <row r="165" ht="148.5" customHeight="1" s="10">
      <c r="A165" s="2" t="inlineStr">
        <is>
          <t>Q33_D</t>
        </is>
      </c>
      <c r="B165" s="2" t="n">
        <v>33</v>
      </c>
      <c r="C165" s="2" t="n">
        <v>33</v>
      </c>
      <c r="D165" s="2" t="inlineStr">
        <is>
          <t>Core</t>
        </is>
      </c>
      <c r="E165" s="2" t="n">
        <v>1.15</v>
      </c>
      <c r="F165" s="2" t="inlineStr">
        <is>
          <t>CommitmentPace</t>
        </is>
      </c>
      <c r="G165" s="2" t="inlineStr">
        <is>
          <t>IntentAlignment</t>
        </is>
      </c>
      <c r="H165" s="2" t="n"/>
      <c r="I165" s="2" t="inlineStr">
        <is>
          <t>D</t>
        </is>
      </c>
      <c r="J165" s="2" t="inlineStr">
        <is>
          <t>D</t>
        </is>
      </c>
      <c r="K165" s="2" t="inlineStr">
        <is>
          <t>I avoid the conversation by blaming timing or saying "I'm just not in the right headspace," even if that's not the full truth.</t>
        </is>
      </c>
      <c r="L165" s="2" t="n">
        <v>5</v>
      </c>
      <c r="M165" s="2" t="n">
        <v>6</v>
      </c>
      <c r="N165" s="2" t="n">
        <v>2</v>
      </c>
      <c r="O165" s="2" t="n">
        <v>2</v>
      </c>
      <c r="P165" s="2" t="n">
        <v>0</v>
      </c>
      <c r="Q165" s="2" t="inlineStr">
        <is>
          <t>Performer</t>
        </is>
      </c>
      <c r="R165" s="2" t="n">
        <v>7</v>
      </c>
      <c r="S165" s="2" t="n"/>
      <c r="T165" s="2" t="n"/>
      <c r="U165" s="2" t="n">
        <v>0</v>
      </c>
      <c r="V165" s="2" t="inlineStr">
        <is>
          <t>masc:0.3;fem:0.5</t>
        </is>
      </c>
      <c r="W165" s="2" t="n">
        <v>0.3</v>
      </c>
      <c r="X165" s="2" t="n">
        <v>0.5</v>
      </c>
      <c r="Y165" s="2" t="inlineStr">
        <is>
          <t>COMM_Indirect</t>
        </is>
      </c>
      <c r="Z165" s="2" t="inlineStr">
        <is>
          <t>REG_Distractor</t>
        </is>
      </c>
      <c r="AA165" s="2" t="inlineStr">
        <is>
          <t>LANG_Gifts</t>
        </is>
      </c>
      <c r="AB165" s="2" t="inlineStr">
        <is>
          <t>Vulnerability_Loop</t>
        </is>
      </c>
      <c r="AC165" s="2" t="inlineStr">
        <is>
          <t>Vulnerability_Loop</t>
        </is>
      </c>
      <c r="AD165" s="2" t="n"/>
      <c r="AE165" s="2" t="n">
        <v>5</v>
      </c>
      <c r="AF165" s="2" t="inlineStr">
        <is>
          <t>exit with surface excuse</t>
        </is>
      </c>
      <c r="AG165" s="2" t="inlineStr">
        <is>
          <t>impression manager</t>
        </is>
      </c>
      <c r="AH165" s="2" t="n">
        <v>0.6</v>
      </c>
      <c r="AI165" s="2" t="inlineStr">
        <is>
          <t>yes</t>
        </is>
      </c>
      <c r="AJ165" s="2" t="inlineStr">
        <is>
          <t>no</t>
        </is>
      </c>
      <c r="AK165" s="2" t="inlineStr">
        <is>
          <t>yes</t>
        </is>
      </c>
      <c r="AL165" s="2" t="inlineStr">
        <is>
          <t>yes</t>
        </is>
      </c>
      <c r="AM165" s="2" t="n"/>
      <c r="AN165" s="2" t="n"/>
      <c r="AO165" s="2" t="n"/>
      <c r="AP165" s="2" t="inlineStr">
        <is>
          <t>v3_2026-03-19</t>
        </is>
      </c>
      <c r="AQ165">
        <f>(L165-Schema_v5!$C2)/(Schema_v5!$C3-Schema_v5!$C2)</f>
        <v/>
      </c>
      <c r="AR165">
        <f>(M165-Schema_v5!$C4)/(Schema_v5!$C5-Schema_v5!$C4)</f>
        <v/>
      </c>
      <c r="AS165">
        <f>N165/Schema_v5!$C6</f>
        <v/>
      </c>
      <c r="AT165">
        <f>O165/Schema_v5!$C7</f>
        <v/>
      </c>
      <c r="AU165">
        <f>P165/Schema_v5!$C8</f>
        <v/>
      </c>
      <c r="AV165">
        <f>IF(Schema_v5!$C9=0,0,AH165/Schema_v5!$C9)</f>
        <v/>
      </c>
      <c r="AW165">
        <f>IF(Schema_v5!$C10=0,0,AE165/Schema_v5!$C10)</f>
        <v/>
      </c>
      <c r="AX165">
        <f>(W165-Schema_v5!$C11)/(Schema_v5!$C12-Schema_v5!$C11)</f>
        <v/>
      </c>
      <c r="AY165">
        <f>(X165-Schema_v5!$C13)/(Schema_v5!$C14-Schema_v5!$C13)</f>
        <v/>
      </c>
      <c r="AZ165">
        <f>MIN(1,MAX(0,U165/Schema_v7!$C$9))</f>
        <v/>
      </c>
      <c r="BA165">
        <f>IF(AJ165="yes",0.55,0)</f>
        <v/>
      </c>
      <c r="BB165">
        <f>IF(AI165="yes",0.10,0)</f>
        <v/>
      </c>
      <c r="BC165">
        <f>IF(Y165="COMM_Direct",0.92,IF(Y165="COMM_Emotional",0.70,IF(Y165="COMM_Logical",0.65,IF(Y165="COMM_Indirect",0.55,0.35))))</f>
        <v/>
      </c>
      <c r="BD165">
        <f>IF(Z165="REG_CoRegulator",0.92,IF(Z165="REG_SelfSoother",0.76,IF(Z165="REG_Distractor",0.48,0.35)))</f>
        <v/>
      </c>
      <c r="BE165">
        <f>IF(AA165="LANG_Time",0.76,IF(AA165="LANG_Service",0.70,IF(AA165="LANG_Words",0.72,IF(AA165="LANG_Touch",0.68,0.60))))</f>
        <v/>
      </c>
      <c r="BF165">
        <f>MAX(0,MIN(1,0.28*AS165+0.16*AT165+0.18*BC165+0.18*BD165+0.10*(1-AZ165)+0.10*(1-BA165)+BB165))</f>
        <v/>
      </c>
      <c r="BG165">
        <f>MAX(0,MIN(1,0.24*AU165+0.18*AS165+0.18*BC165+0.20*BD165+0.10*(1-AW165)+0.10*(1-BA165)))</f>
        <v/>
      </c>
      <c r="BH165">
        <f>MAX(0,MIN(1,0.28*AR165+0.18*AT165+0.16*AU165+0.18*(1-AV165)+0.10*(1-AW165)+0.10*BF165))</f>
        <v/>
      </c>
      <c r="BI165">
        <f>MAX(0,MIN(1,0.30*AV165+0.20*AZ165+0.20*AW165+0.15*(1-BH165)+0.15*(1-BO165)))</f>
        <v/>
      </c>
      <c r="BJ165">
        <f>MAX(0,1-(ABS(((( AX165+AY165)/2)-0.55)*1.6)))</f>
        <v/>
      </c>
      <c r="BK165">
        <f>MAX(0,MIN(1,0.28*AR165+0.18*AT165+0.16*BJ165+0.14*(1-AV165)+0.12*BQ165+0.12*BO165))</f>
        <v/>
      </c>
      <c r="BL165">
        <f>MAX(0,MIN(1,0.22*AQ165+0.18*AS165+0.18*BC165+0.18*BD165+0.08*BE165+0.10*BF165+0.06*BO165))</f>
        <v/>
      </c>
      <c r="BM165">
        <f>MAX(0,MIN(1,0.20*(1-AZ165)+0.16*(1-BA165)+0.14*(1-AW165)+0.14*AU165+0.18*BG165+0.10*BH165+0.08*BP165))</f>
        <v/>
      </c>
      <c r="BN165">
        <f>MAX(0,MIN(1,0.42*BJ165+0.33*BK165+0.15*AT165+0.10*BQ165))</f>
        <v/>
      </c>
      <c r="BO165">
        <f>MAX(0,MIN(1,0.30*BC165+0.24*BD165+0.18*AS165+0.14*(1-BI165)+0.14*AT165))</f>
        <v/>
      </c>
      <c r="BP165">
        <f>MAX(0,MIN(1,0.26*AS165+0.20*(1-BA165)+0.16*(1-AW165)+0.18*BG165+0.10*AU165+0.10+BB165))</f>
        <v/>
      </c>
      <c r="BQ165">
        <f>MAX(0,MIN(1,0.24*AT165+0.18*BF165+0.14*AR165+0.14*BO165+0.14*(1-AV165)+0.16*(1-AZ165)))</f>
        <v/>
      </c>
      <c r="BR165">
        <f>IF(BO165&gt;=0.80,"Open",IF(BO165&gt;=0.62,"Measured",IF(BO165&gt;=0.45,"Selective","Guarded")))</f>
        <v/>
      </c>
      <c r="BS165">
        <f>IF(Y165="COMM_Direct","Direct",IF(Y165="COMM_Emotional","Emotional",IF(Y165="COMM_Logical","Logical",IF(Y165="COMM_Indirect","Indirect","Avoidant"))))</f>
        <v/>
      </c>
      <c r="BT165">
        <f>IF(BG165&gt;=0.78,"Co-repair",IF(BG165&gt;=0.58,"Re-engage",IF(BG165&gt;=0.40,"Delay","Suppress")))</f>
        <v/>
      </c>
      <c r="BU165">
        <f>IF(BI165&gt;=0.70,"Retreat-risk",IF(BH165&lt;=0.40,"Rush-risk",IF(BH165&gt;=0.65,"Slow-build","Mixed")))</f>
        <v/>
      </c>
      <c r="BV165">
        <f>IF(BL165-BM165&gt;=0.15,"Stimulation-seeking",IF(BM165-BL165&gt;=0.15,"Calm-seeking","Mixed")))</f>
        <v/>
      </c>
      <c r="BW165">
        <f>IF(AND(BL165&gt;=0.72,BM165&lt;0.48),"High",IF(AND(BL165&gt;=0.60,BM165&lt;0.58),"Medium","Low"))</f>
        <v/>
      </c>
    </row>
    <row r="166" ht="108" customHeight="1" s="10">
      <c r="A166" s="2" t="inlineStr">
        <is>
          <t>Q33_E</t>
        </is>
      </c>
      <c r="B166" s="2" t="n">
        <v>33</v>
      </c>
      <c r="C166" s="2" t="n">
        <v>33</v>
      </c>
      <c r="D166" s="2" t="inlineStr">
        <is>
          <t>Core</t>
        </is>
      </c>
      <c r="E166" s="2" t="n">
        <v>1.15</v>
      </c>
      <c r="F166" s="2" t="inlineStr">
        <is>
          <t>CommitmentPace</t>
        </is>
      </c>
      <c r="G166" s="2" t="inlineStr">
        <is>
          <t>IntentAlignment</t>
        </is>
      </c>
      <c r="H166" s="2" t="n"/>
      <c r="I166" s="2" t="inlineStr">
        <is>
          <t>E</t>
        </is>
      </c>
      <c r="J166" s="2" t="inlineStr">
        <is>
          <t>E</t>
        </is>
      </c>
      <c r="K166" s="2" t="inlineStr">
        <is>
          <t>I act casual, like we're just vibing, but inside I'm already out. I don't like being the one to say it.</t>
        </is>
      </c>
      <c r="L166" s="2" t="n">
        <v>4</v>
      </c>
      <c r="M166" s="2" t="n">
        <v>5</v>
      </c>
      <c r="N166" s="2" t="n">
        <v>0</v>
      </c>
      <c r="O166" s="2" t="n">
        <v>2</v>
      </c>
      <c r="P166" s="2" t="n">
        <v>0</v>
      </c>
      <c r="Q166" s="2" t="inlineStr">
        <is>
          <t>Phantom Seeker</t>
        </is>
      </c>
      <c r="R166" s="2" t="n">
        <v>10</v>
      </c>
      <c r="S166" s="2" t="n"/>
      <c r="T166" s="2" t="n"/>
      <c r="U166" s="2" t="n">
        <v>0</v>
      </c>
      <c r="V166" s="2" t="inlineStr">
        <is>
          <t>masc:-0.2;fem:1.5</t>
        </is>
      </c>
      <c r="W166" s="2" t="n">
        <v>-0.2</v>
      </c>
      <c r="X166" s="2" t="n">
        <v>1.5</v>
      </c>
      <c r="Y166" s="2" t="inlineStr">
        <is>
          <t>COMM_Emotional</t>
        </is>
      </c>
      <c r="Z166" s="2" t="inlineStr">
        <is>
          <t>REG_SelfSoother</t>
        </is>
      </c>
      <c r="AA166" s="2" t="inlineStr">
        <is>
          <t>LANG_Touch</t>
        </is>
      </c>
      <c r="AB166" s="2" t="inlineStr">
        <is>
          <t>Vulnerability_Loop</t>
        </is>
      </c>
      <c r="AC166" s="2" t="inlineStr">
        <is>
          <t>Vulnerability_Loop</t>
        </is>
      </c>
      <c r="AD166" s="2" t="n"/>
      <c r="AE166" s="2" t="n">
        <v>5</v>
      </c>
      <c r="AF166" s="2" t="inlineStr">
        <is>
          <t>discomfort avoidance</t>
        </is>
      </c>
      <c r="AG166" s="2" t="inlineStr">
        <is>
          <t>quiet escape</t>
        </is>
      </c>
      <c r="AH166" s="2" t="n">
        <v>0.6</v>
      </c>
      <c r="AI166" s="2" t="inlineStr">
        <is>
          <t>yes</t>
        </is>
      </c>
      <c r="AJ166" s="2" t="inlineStr">
        <is>
          <t>no</t>
        </is>
      </c>
      <c r="AK166" s="2" t="inlineStr">
        <is>
          <t>yes</t>
        </is>
      </c>
      <c r="AL166" s="2" t="inlineStr">
        <is>
          <t>yes</t>
        </is>
      </c>
      <c r="AM166" s="2" t="n"/>
      <c r="AN166" s="2" t="n"/>
      <c r="AO166" s="2" t="n"/>
      <c r="AP166" s="2" t="inlineStr">
        <is>
          <t>v3_2026-03-19</t>
        </is>
      </c>
      <c r="AQ166">
        <f>(L166-Schema_v5!$C2)/(Schema_v5!$C3-Schema_v5!$C2)</f>
        <v/>
      </c>
      <c r="AR166">
        <f>(M166-Schema_v5!$C4)/(Schema_v5!$C5-Schema_v5!$C4)</f>
        <v/>
      </c>
      <c r="AS166">
        <f>N166/Schema_v5!$C6</f>
        <v/>
      </c>
      <c r="AT166">
        <f>O166/Schema_v5!$C7</f>
        <v/>
      </c>
      <c r="AU166">
        <f>P166/Schema_v5!$C8</f>
        <v/>
      </c>
      <c r="AV166">
        <f>IF(Schema_v5!$C9=0,0,AH166/Schema_v5!$C9)</f>
        <v/>
      </c>
      <c r="AW166">
        <f>IF(Schema_v5!$C10=0,0,AE166/Schema_v5!$C10)</f>
        <v/>
      </c>
      <c r="AX166">
        <f>(W166-Schema_v5!$C11)/(Schema_v5!$C12-Schema_v5!$C11)</f>
        <v/>
      </c>
      <c r="AY166">
        <f>(X166-Schema_v5!$C13)/(Schema_v5!$C14-Schema_v5!$C13)</f>
        <v/>
      </c>
      <c r="AZ166">
        <f>MIN(1,MAX(0,U166/Schema_v7!$C$9))</f>
        <v/>
      </c>
      <c r="BA166">
        <f>IF(AJ166="yes",0.55,0)</f>
        <v/>
      </c>
      <c r="BB166">
        <f>IF(AI166="yes",0.10,0)</f>
        <v/>
      </c>
      <c r="BC166">
        <f>IF(Y166="COMM_Direct",0.92,IF(Y166="COMM_Emotional",0.70,IF(Y166="COMM_Logical",0.65,IF(Y166="COMM_Indirect",0.55,0.35))))</f>
        <v/>
      </c>
      <c r="BD166">
        <f>IF(Z166="REG_CoRegulator",0.92,IF(Z166="REG_SelfSoother",0.76,IF(Z166="REG_Distractor",0.48,0.35)))</f>
        <v/>
      </c>
      <c r="BE166">
        <f>IF(AA166="LANG_Time",0.76,IF(AA166="LANG_Service",0.70,IF(AA166="LANG_Words",0.72,IF(AA166="LANG_Touch",0.68,0.60))))</f>
        <v/>
      </c>
      <c r="BF166">
        <f>MAX(0,MIN(1,0.28*AS166+0.16*AT166+0.18*BC166+0.18*BD166+0.10*(1-AZ166)+0.10*(1-BA166)+BB166))</f>
        <v/>
      </c>
      <c r="BG166">
        <f>MAX(0,MIN(1,0.24*AU166+0.18*AS166+0.18*BC166+0.20*BD166+0.10*(1-AW166)+0.10*(1-BA166)))</f>
        <v/>
      </c>
      <c r="BH166">
        <f>MAX(0,MIN(1,0.28*AR166+0.18*AT166+0.16*AU166+0.18*(1-AV166)+0.10*(1-AW166)+0.10*BF166))</f>
        <v/>
      </c>
      <c r="BI166">
        <f>MAX(0,MIN(1,0.30*AV166+0.20*AZ166+0.20*AW166+0.15*(1-BH166)+0.15*(1-BO166)))</f>
        <v/>
      </c>
      <c r="BJ166">
        <f>MAX(0,1-(ABS(((( AX166+AY166)/2)-0.55)*1.6)))</f>
        <v/>
      </c>
      <c r="BK166">
        <f>MAX(0,MIN(1,0.28*AR166+0.18*AT166+0.16*BJ166+0.14*(1-AV166)+0.12*BQ166+0.12*BO166))</f>
        <v/>
      </c>
      <c r="BL166">
        <f>MAX(0,MIN(1,0.22*AQ166+0.18*AS166+0.18*BC166+0.18*BD166+0.08*BE166+0.10*BF166+0.06*BO166))</f>
        <v/>
      </c>
      <c r="BM166">
        <f>MAX(0,MIN(1,0.20*(1-AZ166)+0.16*(1-BA166)+0.14*(1-AW166)+0.14*AU166+0.18*BG166+0.10*BH166+0.08*BP166))</f>
        <v/>
      </c>
      <c r="BN166">
        <f>MAX(0,MIN(1,0.42*BJ166+0.33*BK166+0.15*AT166+0.10*BQ166))</f>
        <v/>
      </c>
      <c r="BO166">
        <f>MAX(0,MIN(1,0.30*BC166+0.24*BD166+0.18*AS166+0.14*(1-BI166)+0.14*AT166))</f>
        <v/>
      </c>
      <c r="BP166">
        <f>MAX(0,MIN(1,0.26*AS166+0.20*(1-BA166)+0.16*(1-AW166)+0.18*BG166+0.10*AU166+0.10+BB166))</f>
        <v/>
      </c>
      <c r="BQ166">
        <f>MAX(0,MIN(1,0.24*AT166+0.18*BF166+0.14*AR166+0.14*BO166+0.14*(1-AV166)+0.16*(1-AZ166)))</f>
        <v/>
      </c>
      <c r="BR166">
        <f>IF(BO166&gt;=0.80,"Open",IF(BO166&gt;=0.62,"Measured",IF(BO166&gt;=0.45,"Selective","Guarded")))</f>
        <v/>
      </c>
      <c r="BS166">
        <f>IF(Y166="COMM_Direct","Direct",IF(Y166="COMM_Emotional","Emotional",IF(Y166="COMM_Logical","Logical",IF(Y166="COMM_Indirect","Indirect","Avoidant"))))</f>
        <v/>
      </c>
      <c r="BT166">
        <f>IF(BG166&gt;=0.78,"Co-repair",IF(BG166&gt;=0.58,"Re-engage",IF(BG166&gt;=0.40,"Delay","Suppress")))</f>
        <v/>
      </c>
      <c r="BU166">
        <f>IF(BI166&gt;=0.70,"Retreat-risk",IF(BH166&lt;=0.40,"Rush-risk",IF(BH166&gt;=0.65,"Slow-build","Mixed")))</f>
        <v/>
      </c>
      <c r="BV166">
        <f>IF(BL166-BM166&gt;=0.15,"Stimulation-seeking",IF(BM166-BL166&gt;=0.15,"Calm-seeking","Mixed")))</f>
        <v/>
      </c>
      <c r="BW166">
        <f>IF(AND(BL166&gt;=0.72,BM166&lt;0.48),"High",IF(AND(BL166&gt;=0.60,BM166&lt;0.58),"Medium","Low"))</f>
        <v/>
      </c>
    </row>
    <row r="167" ht="135" customHeight="1" s="10">
      <c r="A167" s="2" t="inlineStr">
        <is>
          <t>Q34_A</t>
        </is>
      </c>
      <c r="B167" s="2" t="n">
        <v>34</v>
      </c>
      <c r="C167" s="2" t="n">
        <v>34</v>
      </c>
      <c r="D167" s="2" t="inlineStr">
        <is>
          <t>Core</t>
        </is>
      </c>
      <c r="E167" s="2" t="n">
        <v>1.15</v>
      </c>
      <c r="F167" s="2" t="inlineStr">
        <is>
          <t>CommitmentPace</t>
        </is>
      </c>
      <c r="G167" s="2" t="inlineStr">
        <is>
          <t>IntentAlignment</t>
        </is>
      </c>
      <c r="H167" s="2" t="inlineStr">
        <is>
          <t>You start noticing they only really show up when it benefits them-emotionally or otherwise. What's your instinct?</t>
        </is>
      </c>
      <c r="I167" s="2" t="inlineStr">
        <is>
          <t>A</t>
        </is>
      </c>
      <c r="J167" s="2" t="inlineStr">
        <is>
          <t>A</t>
        </is>
      </c>
      <c r="K167" s="2" t="inlineStr">
        <is>
          <t>I don't say a word. I just clock it and start shifting out. I don't play loyalty with users.</t>
        </is>
      </c>
      <c r="L167" s="2" t="n">
        <v>9</v>
      </c>
      <c r="M167" s="2" t="n">
        <v>9</v>
      </c>
      <c r="N167" s="2" t="n">
        <v>6</v>
      </c>
      <c r="O167" s="2" t="n">
        <v>6</v>
      </c>
      <c r="P167" s="2" t="n">
        <v>2</v>
      </c>
      <c r="Q167" s="2" t="inlineStr">
        <is>
          <t>Icebox</t>
        </is>
      </c>
      <c r="R167" s="2" t="n">
        <v>1</v>
      </c>
      <c r="S167" s="2" t="n"/>
      <c r="T167" s="2" t="n"/>
      <c r="U167" s="2" t="n">
        <v>0</v>
      </c>
      <c r="V167" s="2" t="inlineStr">
        <is>
          <t>masc:1.8;fem:-1.6</t>
        </is>
      </c>
      <c r="W167" s="2" t="n">
        <v>1.8</v>
      </c>
      <c r="X167" s="2" t="n">
        <v>-1.6</v>
      </c>
      <c r="Y167" s="2" t="inlineStr">
        <is>
          <t>COMM_Avoidant</t>
        </is>
      </c>
      <c r="Z167" s="2" t="inlineStr">
        <is>
          <t>REG_Suppressor</t>
        </is>
      </c>
      <c r="AA167" s="2" t="inlineStr">
        <is>
          <t>LANG_Time</t>
        </is>
      </c>
      <c r="AB167" s="2" t="n"/>
      <c r="AC167" s="2" t="n"/>
      <c r="AD167" s="2" t="n"/>
      <c r="AE167" s="2" t="n">
        <v>0</v>
      </c>
      <c r="AF167" s="2" t="inlineStr">
        <is>
          <t>silent pattern cut-off</t>
        </is>
      </c>
      <c r="AG167" s="2" t="inlineStr">
        <is>
          <t>boundary enforcer</t>
        </is>
      </c>
      <c r="AH167" s="2" t="n">
        <v>0.2</v>
      </c>
      <c r="AI167" s="2" t="inlineStr">
        <is>
          <t>no</t>
        </is>
      </c>
      <c r="AJ167" s="2" t="inlineStr">
        <is>
          <t>no</t>
        </is>
      </c>
      <c r="AK167" s="2" t="inlineStr">
        <is>
          <t>yes</t>
        </is>
      </c>
      <c r="AL167" s="2" t="inlineStr">
        <is>
          <t>yes</t>
        </is>
      </c>
      <c r="AM167" s="2" t="n"/>
      <c r="AN167" s="2" t="n"/>
      <c r="AO167" s="2" t="n"/>
      <c r="AP167" s="2" t="inlineStr">
        <is>
          <t>v3_2026-03-19</t>
        </is>
      </c>
      <c r="AQ167">
        <f>(L167-Schema_v5!$C2)/(Schema_v5!$C3-Schema_v5!$C2)</f>
        <v/>
      </c>
      <c r="AR167">
        <f>(M167-Schema_v5!$C4)/(Schema_v5!$C5-Schema_v5!$C4)</f>
        <v/>
      </c>
      <c r="AS167">
        <f>N167/Schema_v5!$C6</f>
        <v/>
      </c>
      <c r="AT167">
        <f>O167/Schema_v5!$C7</f>
        <v/>
      </c>
      <c r="AU167">
        <f>P167/Schema_v5!$C8</f>
        <v/>
      </c>
      <c r="AV167">
        <f>IF(Schema_v5!$C9=0,0,AH167/Schema_v5!$C9)</f>
        <v/>
      </c>
      <c r="AW167">
        <f>IF(Schema_v5!$C10=0,0,AE167/Schema_v5!$C10)</f>
        <v/>
      </c>
      <c r="AX167">
        <f>(W167-Schema_v5!$C11)/(Schema_v5!$C12-Schema_v5!$C11)</f>
        <v/>
      </c>
      <c r="AY167">
        <f>(X167-Schema_v5!$C13)/(Schema_v5!$C14-Schema_v5!$C13)</f>
        <v/>
      </c>
      <c r="AZ167">
        <f>MIN(1,MAX(0,U167/Schema_v7!$C$9))</f>
        <v/>
      </c>
      <c r="BA167">
        <f>IF(AJ167="yes",0.55,0)</f>
        <v/>
      </c>
      <c r="BB167">
        <f>IF(AI167="yes",0.10,0)</f>
        <v/>
      </c>
      <c r="BC167">
        <f>IF(Y167="COMM_Direct",0.92,IF(Y167="COMM_Emotional",0.70,IF(Y167="COMM_Logical",0.65,IF(Y167="COMM_Indirect",0.55,0.35))))</f>
        <v/>
      </c>
      <c r="BD167">
        <f>IF(Z167="REG_CoRegulator",0.92,IF(Z167="REG_SelfSoother",0.76,IF(Z167="REG_Distractor",0.48,0.35)))</f>
        <v/>
      </c>
      <c r="BE167">
        <f>IF(AA167="LANG_Time",0.76,IF(AA167="LANG_Service",0.70,IF(AA167="LANG_Words",0.72,IF(AA167="LANG_Touch",0.68,0.60))))</f>
        <v/>
      </c>
      <c r="BF167">
        <f>MAX(0,MIN(1,0.28*AS167+0.16*AT167+0.18*BC167+0.18*BD167+0.10*(1-AZ167)+0.10*(1-BA167)+BB167))</f>
        <v/>
      </c>
      <c r="BG167">
        <f>MAX(0,MIN(1,0.24*AU167+0.18*AS167+0.18*BC167+0.20*BD167+0.10*(1-AW167)+0.10*(1-BA167)))</f>
        <v/>
      </c>
      <c r="BH167">
        <f>MAX(0,MIN(1,0.28*AR167+0.18*AT167+0.16*AU167+0.18*(1-AV167)+0.10*(1-AW167)+0.10*BF167))</f>
        <v/>
      </c>
      <c r="BI167">
        <f>MAX(0,MIN(1,0.30*AV167+0.20*AZ167+0.20*AW167+0.15*(1-BH167)+0.15*(1-BO167)))</f>
        <v/>
      </c>
      <c r="BJ167">
        <f>MAX(0,1-(ABS(((( AX167+AY167)/2)-0.55)*1.6)))</f>
        <v/>
      </c>
      <c r="BK167">
        <f>MAX(0,MIN(1,0.28*AR167+0.18*AT167+0.16*BJ167+0.14*(1-AV167)+0.12*BQ167+0.12*BO167))</f>
        <v/>
      </c>
      <c r="BL167">
        <f>MAX(0,MIN(1,0.22*AQ167+0.18*AS167+0.18*BC167+0.18*BD167+0.08*BE167+0.10*BF167+0.06*BO167))</f>
        <v/>
      </c>
      <c r="BM167">
        <f>MAX(0,MIN(1,0.20*(1-AZ167)+0.16*(1-BA167)+0.14*(1-AW167)+0.14*AU167+0.18*BG167+0.10*BH167+0.08*BP167))</f>
        <v/>
      </c>
      <c r="BN167">
        <f>MAX(0,MIN(1,0.42*BJ167+0.33*BK167+0.15*AT167+0.10*BQ167))</f>
        <v/>
      </c>
      <c r="BO167">
        <f>MAX(0,MIN(1,0.30*BC167+0.24*BD167+0.18*AS167+0.14*(1-BI167)+0.14*AT167))</f>
        <v/>
      </c>
      <c r="BP167">
        <f>MAX(0,MIN(1,0.26*AS167+0.20*(1-BA167)+0.16*(1-AW167)+0.18*BG167+0.10*AU167+0.10+BB167))</f>
        <v/>
      </c>
      <c r="BQ167">
        <f>MAX(0,MIN(1,0.24*AT167+0.18*BF167+0.14*AR167+0.14*BO167+0.14*(1-AV167)+0.16*(1-AZ167)))</f>
        <v/>
      </c>
      <c r="BR167">
        <f>IF(BO167&gt;=0.80,"Open",IF(BO167&gt;=0.62,"Measured",IF(BO167&gt;=0.45,"Selective","Guarded")))</f>
        <v/>
      </c>
      <c r="BS167">
        <f>IF(Y167="COMM_Direct","Direct",IF(Y167="COMM_Emotional","Emotional",IF(Y167="COMM_Logical","Logical",IF(Y167="COMM_Indirect","Indirect","Avoidant"))))</f>
        <v/>
      </c>
      <c r="BT167">
        <f>IF(BG167&gt;=0.78,"Co-repair",IF(BG167&gt;=0.58,"Re-engage",IF(BG167&gt;=0.40,"Delay","Suppress")))</f>
        <v/>
      </c>
      <c r="BU167">
        <f>IF(BI167&gt;=0.70,"Retreat-risk",IF(BH167&lt;=0.40,"Rush-risk",IF(BH167&gt;=0.65,"Slow-build","Mixed")))</f>
        <v/>
      </c>
      <c r="BV167">
        <f>IF(BL167-BM167&gt;=0.15,"Stimulation-seeking",IF(BM167-BL167&gt;=0.15,"Calm-seeking","Mixed")))</f>
        <v/>
      </c>
      <c r="BW167">
        <f>IF(AND(BL167&gt;=0.72,BM167&lt;0.48),"High",IF(AND(BL167&gt;=0.60,BM167&lt;0.58),"Medium","Low"))</f>
        <v/>
      </c>
    </row>
    <row r="168" ht="121.5" customHeight="1" s="10">
      <c r="A168" s="2" t="inlineStr">
        <is>
          <t>Q34_B</t>
        </is>
      </c>
      <c r="B168" s="2" t="n">
        <v>34</v>
      </c>
      <c r="C168" s="2" t="n">
        <v>34</v>
      </c>
      <c r="D168" s="2" t="inlineStr">
        <is>
          <t>Core</t>
        </is>
      </c>
      <c r="E168" s="2" t="n">
        <v>1.15</v>
      </c>
      <c r="F168" s="2" t="inlineStr">
        <is>
          <t>CommitmentPace</t>
        </is>
      </c>
      <c r="G168" s="2" t="inlineStr">
        <is>
          <t>IntentAlignment</t>
        </is>
      </c>
      <c r="H168" s="2" t="n"/>
      <c r="I168" s="2" t="inlineStr">
        <is>
          <t>B</t>
        </is>
      </c>
      <c r="J168" s="2" t="inlineStr">
        <is>
          <t>B</t>
        </is>
      </c>
      <c r="K168" s="2" t="inlineStr">
        <is>
          <t>I try to be okay with it, but it messes with my head. I keep wondering if I'm reading too much into it.</t>
        </is>
      </c>
      <c r="L168" s="2" t="n">
        <v>5</v>
      </c>
      <c r="M168" s="2" t="n">
        <v>6</v>
      </c>
      <c r="N168" s="2" t="n">
        <v>2</v>
      </c>
      <c r="O168" s="2" t="n">
        <v>4</v>
      </c>
      <c r="P168" s="2" t="n">
        <v>2</v>
      </c>
      <c r="Q168" s="2" t="inlineStr">
        <is>
          <t>Phantom Seeker</t>
        </is>
      </c>
      <c r="R168" s="2" t="n">
        <v>10</v>
      </c>
      <c r="S168" s="2" t="n"/>
      <c r="T168" s="2" t="n"/>
      <c r="U168" s="2" t="n">
        <v>0</v>
      </c>
      <c r="V168" s="2" t="inlineStr">
        <is>
          <t>masc:-0.2;fem:1.5</t>
        </is>
      </c>
      <c r="W168" s="2" t="n">
        <v>-0.2</v>
      </c>
      <c r="X168" s="2" t="n">
        <v>1.5</v>
      </c>
      <c r="Y168" s="2" t="inlineStr">
        <is>
          <t>COMM_Emotional</t>
        </is>
      </c>
      <c r="Z168" s="2" t="inlineStr">
        <is>
          <t>REG_SelfSoother</t>
        </is>
      </c>
      <c r="AA168" s="2" t="inlineStr">
        <is>
          <t>LANG_Touch</t>
        </is>
      </c>
      <c r="AB168" s="2" t="inlineStr">
        <is>
          <t>Vulnerability_Loop</t>
        </is>
      </c>
      <c r="AC168" s="2" t="inlineStr">
        <is>
          <t>Vulnerability_Loop</t>
        </is>
      </c>
      <c r="AD168" s="2" t="n"/>
      <c r="AE168" s="2" t="n">
        <v>5</v>
      </c>
      <c r="AF168" s="2" t="inlineStr">
        <is>
          <t>self-doubt spiral</t>
        </is>
      </c>
      <c r="AG168" s="2" t="inlineStr">
        <is>
          <t>uncertain assessor</t>
        </is>
      </c>
      <c r="AH168" s="2" t="n">
        <v>0</v>
      </c>
      <c r="AI168" s="2" t="inlineStr">
        <is>
          <t>yes</t>
        </is>
      </c>
      <c r="AJ168" s="2" t="inlineStr">
        <is>
          <t>no</t>
        </is>
      </c>
      <c r="AK168" s="2" t="inlineStr">
        <is>
          <t>yes</t>
        </is>
      </c>
      <c r="AL168" s="2" t="inlineStr">
        <is>
          <t>yes</t>
        </is>
      </c>
      <c r="AM168" s="2" t="n"/>
      <c r="AN168" s="2" t="n"/>
      <c r="AO168" s="2" t="n"/>
      <c r="AP168" s="2" t="inlineStr">
        <is>
          <t>v3_2026-03-19</t>
        </is>
      </c>
      <c r="AQ168">
        <f>(L168-Schema_v5!$C2)/(Schema_v5!$C3-Schema_v5!$C2)</f>
        <v/>
      </c>
      <c r="AR168">
        <f>(M168-Schema_v5!$C4)/(Schema_v5!$C5-Schema_v5!$C4)</f>
        <v/>
      </c>
      <c r="AS168">
        <f>N168/Schema_v5!$C6</f>
        <v/>
      </c>
      <c r="AT168">
        <f>O168/Schema_v5!$C7</f>
        <v/>
      </c>
      <c r="AU168">
        <f>P168/Schema_v5!$C8</f>
        <v/>
      </c>
      <c r="AV168">
        <f>IF(Schema_v5!$C9=0,0,AH168/Schema_v5!$C9)</f>
        <v/>
      </c>
      <c r="AW168">
        <f>IF(Schema_v5!$C10=0,0,AE168/Schema_v5!$C10)</f>
        <v/>
      </c>
      <c r="AX168">
        <f>(W168-Schema_v5!$C11)/(Schema_v5!$C12-Schema_v5!$C11)</f>
        <v/>
      </c>
      <c r="AY168">
        <f>(X168-Schema_v5!$C13)/(Schema_v5!$C14-Schema_v5!$C13)</f>
        <v/>
      </c>
      <c r="AZ168">
        <f>MIN(1,MAX(0,U168/Schema_v7!$C$9))</f>
        <v/>
      </c>
      <c r="BA168">
        <f>IF(AJ168="yes",0.55,0)</f>
        <v/>
      </c>
      <c r="BB168">
        <f>IF(AI168="yes",0.10,0)</f>
        <v/>
      </c>
      <c r="BC168">
        <f>IF(Y168="COMM_Direct",0.92,IF(Y168="COMM_Emotional",0.70,IF(Y168="COMM_Logical",0.65,IF(Y168="COMM_Indirect",0.55,0.35))))</f>
        <v/>
      </c>
      <c r="BD168">
        <f>IF(Z168="REG_CoRegulator",0.92,IF(Z168="REG_SelfSoother",0.76,IF(Z168="REG_Distractor",0.48,0.35)))</f>
        <v/>
      </c>
      <c r="BE168">
        <f>IF(AA168="LANG_Time",0.76,IF(AA168="LANG_Service",0.70,IF(AA168="LANG_Words",0.72,IF(AA168="LANG_Touch",0.68,0.60))))</f>
        <v/>
      </c>
      <c r="BF168">
        <f>MAX(0,MIN(1,0.28*AS168+0.16*AT168+0.18*BC168+0.18*BD168+0.10*(1-AZ168)+0.10*(1-BA168)+BB168))</f>
        <v/>
      </c>
      <c r="BG168">
        <f>MAX(0,MIN(1,0.24*AU168+0.18*AS168+0.18*BC168+0.20*BD168+0.10*(1-AW168)+0.10*(1-BA168)))</f>
        <v/>
      </c>
      <c r="BH168">
        <f>MAX(0,MIN(1,0.28*AR168+0.18*AT168+0.16*AU168+0.18*(1-AV168)+0.10*(1-AW168)+0.10*BF168))</f>
        <v/>
      </c>
      <c r="BI168">
        <f>MAX(0,MIN(1,0.30*AV168+0.20*AZ168+0.20*AW168+0.15*(1-BH168)+0.15*(1-BO168)))</f>
        <v/>
      </c>
      <c r="BJ168">
        <f>MAX(0,1-(ABS(((( AX168+AY168)/2)-0.55)*1.6)))</f>
        <v/>
      </c>
      <c r="BK168">
        <f>MAX(0,MIN(1,0.28*AR168+0.18*AT168+0.16*BJ168+0.14*(1-AV168)+0.12*BQ168+0.12*BO168))</f>
        <v/>
      </c>
      <c r="BL168">
        <f>MAX(0,MIN(1,0.22*AQ168+0.18*AS168+0.18*BC168+0.18*BD168+0.08*BE168+0.10*BF168+0.06*BO168))</f>
        <v/>
      </c>
      <c r="BM168">
        <f>MAX(0,MIN(1,0.20*(1-AZ168)+0.16*(1-BA168)+0.14*(1-AW168)+0.14*AU168+0.18*BG168+0.10*BH168+0.08*BP168))</f>
        <v/>
      </c>
      <c r="BN168">
        <f>MAX(0,MIN(1,0.42*BJ168+0.33*BK168+0.15*AT168+0.10*BQ168))</f>
        <v/>
      </c>
      <c r="BO168">
        <f>MAX(0,MIN(1,0.30*BC168+0.24*BD168+0.18*AS168+0.14*(1-BI168)+0.14*AT168))</f>
        <v/>
      </c>
      <c r="BP168">
        <f>MAX(0,MIN(1,0.26*AS168+0.20*(1-BA168)+0.16*(1-AW168)+0.18*BG168+0.10*AU168+0.10+BB168))</f>
        <v/>
      </c>
      <c r="BQ168">
        <f>MAX(0,MIN(1,0.24*AT168+0.18*BF168+0.14*AR168+0.14*BO168+0.14*(1-AV168)+0.16*(1-AZ168)))</f>
        <v/>
      </c>
      <c r="BR168">
        <f>IF(BO168&gt;=0.80,"Open",IF(BO168&gt;=0.62,"Measured",IF(BO168&gt;=0.45,"Selective","Guarded")))</f>
        <v/>
      </c>
      <c r="BS168">
        <f>IF(Y168="COMM_Direct","Direct",IF(Y168="COMM_Emotional","Emotional",IF(Y168="COMM_Logical","Logical",IF(Y168="COMM_Indirect","Indirect","Avoidant"))))</f>
        <v/>
      </c>
      <c r="BT168">
        <f>IF(BG168&gt;=0.78,"Co-repair",IF(BG168&gt;=0.58,"Re-engage",IF(BG168&gt;=0.40,"Delay","Suppress")))</f>
        <v/>
      </c>
      <c r="BU168">
        <f>IF(BI168&gt;=0.70,"Retreat-risk",IF(BH168&lt;=0.40,"Rush-risk",IF(BH168&gt;=0.65,"Slow-build","Mixed")))</f>
        <v/>
      </c>
      <c r="BV168">
        <f>IF(BL168-BM168&gt;=0.15,"Stimulation-seeking",IF(BM168-BL168&gt;=0.15,"Calm-seeking","Mixed")))</f>
        <v/>
      </c>
      <c r="BW168">
        <f>IF(AND(BL168&gt;=0.72,BM168&lt;0.48),"High",IF(AND(BL168&gt;=0.60,BM168&lt;0.58),"Medium","Low"))</f>
        <v/>
      </c>
    </row>
    <row r="169" ht="94.5" customHeight="1" s="10">
      <c r="A169" s="2" t="inlineStr">
        <is>
          <t>Q34_C</t>
        </is>
      </c>
      <c r="B169" s="2" t="n">
        <v>34</v>
      </c>
      <c r="C169" s="2" t="n">
        <v>34</v>
      </c>
      <c r="D169" s="2" t="inlineStr">
        <is>
          <t>Core</t>
        </is>
      </c>
      <c r="E169" s="2" t="n">
        <v>1.15</v>
      </c>
      <c r="F169" s="2" t="inlineStr">
        <is>
          <t>CommitmentPace</t>
        </is>
      </c>
      <c r="G169" s="2" t="inlineStr">
        <is>
          <t>IntentAlignment</t>
        </is>
      </c>
      <c r="H169" s="2" t="n"/>
      <c r="I169" s="2" t="inlineStr">
        <is>
          <t>C</t>
        </is>
      </c>
      <c r="J169" s="2" t="inlineStr">
        <is>
          <t>C</t>
        </is>
      </c>
      <c r="K169" s="2" t="inlineStr">
        <is>
          <t>I adjust. If they only come around for certain things, I act like that's all I want too.</t>
        </is>
      </c>
      <c r="L169" s="2" t="n">
        <v>5</v>
      </c>
      <c r="M169" s="2" t="n">
        <v>6</v>
      </c>
      <c r="N169" s="2" t="n">
        <v>2</v>
      </c>
      <c r="O169" s="2" t="n">
        <v>2</v>
      </c>
      <c r="P169" s="2" t="n">
        <v>0</v>
      </c>
      <c r="Q169" s="2" t="inlineStr">
        <is>
          <t>Performer</t>
        </is>
      </c>
      <c r="R169" s="2" t="n">
        <v>7</v>
      </c>
      <c r="S169" s="2" t="n"/>
      <c r="T169" s="2" t="n"/>
      <c r="U169" s="2" t="n">
        <v>0</v>
      </c>
      <c r="V169" s="2" t="inlineStr">
        <is>
          <t>masc:0.3;fem:0.5</t>
        </is>
      </c>
      <c r="W169" s="2" t="n">
        <v>0.3</v>
      </c>
      <c r="X169" s="2" t="n">
        <v>0.5</v>
      </c>
      <c r="Y169" s="2" t="inlineStr">
        <is>
          <t>COMM_Indirect</t>
        </is>
      </c>
      <c r="Z169" s="2" t="inlineStr">
        <is>
          <t>REG_Distractor</t>
        </is>
      </c>
      <c r="AA169" s="2" t="inlineStr">
        <is>
          <t>LANG_Gifts</t>
        </is>
      </c>
      <c r="AB169" s="2" t="inlineStr">
        <is>
          <t>Vulnerability_Loop</t>
        </is>
      </c>
      <c r="AC169" s="2" t="inlineStr">
        <is>
          <t>Vulnerability_Loop</t>
        </is>
      </c>
      <c r="AD169" s="2" t="n"/>
      <c r="AE169" s="2" t="n">
        <v>5</v>
      </c>
      <c r="AF169" s="2" t="inlineStr">
        <is>
          <t>emotional roleplay reflex</t>
        </is>
      </c>
      <c r="AG169" s="2" t="inlineStr">
        <is>
          <t>adaptive masker</t>
        </is>
      </c>
      <c r="AH169" s="2" t="n">
        <v>0.6</v>
      </c>
      <c r="AI169" s="2" t="inlineStr">
        <is>
          <t>yes</t>
        </is>
      </c>
      <c r="AJ169" s="2" t="inlineStr">
        <is>
          <t>no</t>
        </is>
      </c>
      <c r="AK169" s="2" t="inlineStr">
        <is>
          <t>yes</t>
        </is>
      </c>
      <c r="AL169" s="2" t="inlineStr">
        <is>
          <t>yes</t>
        </is>
      </c>
      <c r="AM169" s="2" t="n"/>
      <c r="AN169" s="2" t="n"/>
      <c r="AO169" s="2" t="n"/>
      <c r="AP169" s="2" t="inlineStr">
        <is>
          <t>v3_2026-03-19</t>
        </is>
      </c>
      <c r="AQ169">
        <f>(L169-Schema_v5!$C2)/(Schema_v5!$C3-Schema_v5!$C2)</f>
        <v/>
      </c>
      <c r="AR169">
        <f>(M169-Schema_v5!$C4)/(Schema_v5!$C5-Schema_v5!$C4)</f>
        <v/>
      </c>
      <c r="AS169">
        <f>N169/Schema_v5!$C6</f>
        <v/>
      </c>
      <c r="AT169">
        <f>O169/Schema_v5!$C7</f>
        <v/>
      </c>
      <c r="AU169">
        <f>P169/Schema_v5!$C8</f>
        <v/>
      </c>
      <c r="AV169">
        <f>IF(Schema_v5!$C9=0,0,AH169/Schema_v5!$C9)</f>
        <v/>
      </c>
      <c r="AW169">
        <f>IF(Schema_v5!$C10=0,0,AE169/Schema_v5!$C10)</f>
        <v/>
      </c>
      <c r="AX169">
        <f>(W169-Schema_v5!$C11)/(Schema_v5!$C12-Schema_v5!$C11)</f>
        <v/>
      </c>
      <c r="AY169">
        <f>(X169-Schema_v5!$C13)/(Schema_v5!$C14-Schema_v5!$C13)</f>
        <v/>
      </c>
      <c r="AZ169">
        <f>MIN(1,MAX(0,U169/Schema_v7!$C$9))</f>
        <v/>
      </c>
      <c r="BA169">
        <f>IF(AJ169="yes",0.55,0)</f>
        <v/>
      </c>
      <c r="BB169">
        <f>IF(AI169="yes",0.10,0)</f>
        <v/>
      </c>
      <c r="BC169">
        <f>IF(Y169="COMM_Direct",0.92,IF(Y169="COMM_Emotional",0.70,IF(Y169="COMM_Logical",0.65,IF(Y169="COMM_Indirect",0.55,0.35))))</f>
        <v/>
      </c>
      <c r="BD169">
        <f>IF(Z169="REG_CoRegulator",0.92,IF(Z169="REG_SelfSoother",0.76,IF(Z169="REG_Distractor",0.48,0.35)))</f>
        <v/>
      </c>
      <c r="BE169">
        <f>IF(AA169="LANG_Time",0.76,IF(AA169="LANG_Service",0.70,IF(AA169="LANG_Words",0.72,IF(AA169="LANG_Touch",0.68,0.60))))</f>
        <v/>
      </c>
      <c r="BF169">
        <f>MAX(0,MIN(1,0.28*AS169+0.16*AT169+0.18*BC169+0.18*BD169+0.10*(1-AZ169)+0.10*(1-BA169)+BB169))</f>
        <v/>
      </c>
      <c r="BG169">
        <f>MAX(0,MIN(1,0.24*AU169+0.18*AS169+0.18*BC169+0.20*BD169+0.10*(1-AW169)+0.10*(1-BA169)))</f>
        <v/>
      </c>
      <c r="BH169">
        <f>MAX(0,MIN(1,0.28*AR169+0.18*AT169+0.16*AU169+0.18*(1-AV169)+0.10*(1-AW169)+0.10*BF169))</f>
        <v/>
      </c>
      <c r="BI169">
        <f>MAX(0,MIN(1,0.30*AV169+0.20*AZ169+0.20*AW169+0.15*(1-BH169)+0.15*(1-BO169)))</f>
        <v/>
      </c>
      <c r="BJ169">
        <f>MAX(0,1-(ABS(((( AX169+AY169)/2)-0.55)*1.6)))</f>
        <v/>
      </c>
      <c r="BK169">
        <f>MAX(0,MIN(1,0.28*AR169+0.18*AT169+0.16*BJ169+0.14*(1-AV169)+0.12*BQ169+0.12*BO169))</f>
        <v/>
      </c>
      <c r="BL169">
        <f>MAX(0,MIN(1,0.22*AQ169+0.18*AS169+0.18*BC169+0.18*BD169+0.08*BE169+0.10*BF169+0.06*BO169))</f>
        <v/>
      </c>
      <c r="BM169">
        <f>MAX(0,MIN(1,0.20*(1-AZ169)+0.16*(1-BA169)+0.14*(1-AW169)+0.14*AU169+0.18*BG169+0.10*BH169+0.08*BP169))</f>
        <v/>
      </c>
      <c r="BN169">
        <f>MAX(0,MIN(1,0.42*BJ169+0.33*BK169+0.15*AT169+0.10*BQ169))</f>
        <v/>
      </c>
      <c r="BO169">
        <f>MAX(0,MIN(1,0.30*BC169+0.24*BD169+0.18*AS169+0.14*(1-BI169)+0.14*AT169))</f>
        <v/>
      </c>
      <c r="BP169">
        <f>MAX(0,MIN(1,0.26*AS169+0.20*(1-BA169)+0.16*(1-AW169)+0.18*BG169+0.10*AU169+0.10+BB169))</f>
        <v/>
      </c>
      <c r="BQ169">
        <f>MAX(0,MIN(1,0.24*AT169+0.18*BF169+0.14*AR169+0.14*BO169+0.14*(1-AV169)+0.16*(1-AZ169)))</f>
        <v/>
      </c>
      <c r="BR169">
        <f>IF(BO169&gt;=0.80,"Open",IF(BO169&gt;=0.62,"Measured",IF(BO169&gt;=0.45,"Selective","Guarded")))</f>
        <v/>
      </c>
      <c r="BS169">
        <f>IF(Y169="COMM_Direct","Direct",IF(Y169="COMM_Emotional","Emotional",IF(Y169="COMM_Logical","Logical",IF(Y169="COMM_Indirect","Indirect","Avoidant"))))</f>
        <v/>
      </c>
      <c r="BT169">
        <f>IF(BG169&gt;=0.78,"Co-repair",IF(BG169&gt;=0.58,"Re-engage",IF(BG169&gt;=0.40,"Delay","Suppress")))</f>
        <v/>
      </c>
      <c r="BU169">
        <f>IF(BI169&gt;=0.70,"Retreat-risk",IF(BH169&lt;=0.40,"Rush-risk",IF(BH169&gt;=0.65,"Slow-build","Mixed")))</f>
        <v/>
      </c>
      <c r="BV169">
        <f>IF(BL169-BM169&gt;=0.15,"Stimulation-seeking",IF(BM169-BL169&gt;=0.15,"Calm-seeking","Mixed")))</f>
        <v/>
      </c>
      <c r="BW169">
        <f>IF(AND(BL169&gt;=0.72,BM169&lt;0.48),"High",IF(AND(BL169&gt;=0.60,BM169&lt;0.58),"Medium","Low"))</f>
        <v/>
      </c>
    </row>
    <row r="170" ht="148.5" customHeight="1" s="10">
      <c r="A170" s="2" t="inlineStr">
        <is>
          <t>Q34_D</t>
        </is>
      </c>
      <c r="B170" s="2" t="n">
        <v>34</v>
      </c>
      <c r="C170" s="2" t="n">
        <v>34</v>
      </c>
      <c r="D170" s="2" t="inlineStr">
        <is>
          <t>Core</t>
        </is>
      </c>
      <c r="E170" s="2" t="n">
        <v>1.15</v>
      </c>
      <c r="F170" s="2" t="inlineStr">
        <is>
          <t>CommitmentPace</t>
        </is>
      </c>
      <c r="G170" s="2" t="inlineStr">
        <is>
          <t>IntentAlignment</t>
        </is>
      </c>
      <c r="H170" s="2" t="n"/>
      <c r="I170" s="2" t="inlineStr">
        <is>
          <t>D</t>
        </is>
      </c>
      <c r="J170" s="2" t="inlineStr">
        <is>
          <t>D</t>
        </is>
      </c>
      <c r="K170" s="2" t="inlineStr">
        <is>
          <t>I make excuses for them. Maybe they're going through something. Maybe they don't even realize they're doing it.</t>
        </is>
      </c>
      <c r="L170" s="2" t="n">
        <v>4</v>
      </c>
      <c r="M170" s="2" t="n">
        <v>5</v>
      </c>
      <c r="N170" s="2" t="n">
        <v>2</v>
      </c>
      <c r="O170" s="2" t="n">
        <v>2</v>
      </c>
      <c r="P170" s="2" t="n">
        <v>2</v>
      </c>
      <c r="Q170" s="2" t="inlineStr">
        <is>
          <t>Fixer</t>
        </is>
      </c>
      <c r="R170" s="2" t="n">
        <v>5</v>
      </c>
      <c r="S170" s="2" t="n"/>
      <c r="T170" s="2" t="n"/>
      <c r="U170" s="2" t="n">
        <v>0</v>
      </c>
      <c r="V170" s="2" t="inlineStr">
        <is>
          <t>masc:-0.4;fem:2.0</t>
        </is>
      </c>
      <c r="W170" s="2" t="n">
        <v>-0.4</v>
      </c>
      <c r="X170" s="2" t="n">
        <v>2</v>
      </c>
      <c r="Y170" s="2" t="inlineStr">
        <is>
          <t>COMM_Emotional</t>
        </is>
      </c>
      <c r="Z170" s="2" t="inlineStr">
        <is>
          <t>REG_CoRegulator</t>
        </is>
      </c>
      <c r="AA170" s="2" t="inlineStr">
        <is>
          <t>LANG_Service</t>
        </is>
      </c>
      <c r="AB170" s="2" t="inlineStr">
        <is>
          <t>Commitment_Ambiguity</t>
        </is>
      </c>
      <c r="AC170" s="2" t="inlineStr">
        <is>
          <t>Commitment_Ambiguity</t>
        </is>
      </c>
      <c r="AD170" s="2" t="n"/>
      <c r="AE170" s="2" t="n">
        <v>5</v>
      </c>
      <c r="AF170" s="2" t="inlineStr">
        <is>
          <t>justification loop</t>
        </is>
      </c>
      <c r="AG170" s="2" t="inlineStr">
        <is>
          <t>excuse maker</t>
        </is>
      </c>
      <c r="AH170" s="2" t="n">
        <v>0</v>
      </c>
      <c r="AI170" s="2" t="inlineStr">
        <is>
          <t>yes</t>
        </is>
      </c>
      <c r="AJ170" s="2" t="inlineStr">
        <is>
          <t>no</t>
        </is>
      </c>
      <c r="AK170" s="2" t="inlineStr">
        <is>
          <t>yes</t>
        </is>
      </c>
      <c r="AL170" s="2" t="inlineStr">
        <is>
          <t>yes</t>
        </is>
      </c>
      <c r="AM170" s="2" t="n"/>
      <c r="AN170" s="2" t="n"/>
      <c r="AO170" s="2" t="n"/>
      <c r="AP170" s="2" t="inlineStr">
        <is>
          <t>v3_2026-03-19</t>
        </is>
      </c>
      <c r="AQ170">
        <f>(L170-Schema_v5!$C2)/(Schema_v5!$C3-Schema_v5!$C2)</f>
        <v/>
      </c>
      <c r="AR170">
        <f>(M170-Schema_v5!$C4)/(Schema_v5!$C5-Schema_v5!$C4)</f>
        <v/>
      </c>
      <c r="AS170">
        <f>N170/Schema_v5!$C6</f>
        <v/>
      </c>
      <c r="AT170">
        <f>O170/Schema_v5!$C7</f>
        <v/>
      </c>
      <c r="AU170">
        <f>P170/Schema_v5!$C8</f>
        <v/>
      </c>
      <c r="AV170">
        <f>IF(Schema_v5!$C9=0,0,AH170/Schema_v5!$C9)</f>
        <v/>
      </c>
      <c r="AW170">
        <f>IF(Schema_v5!$C10=0,0,AE170/Schema_v5!$C10)</f>
        <v/>
      </c>
      <c r="AX170">
        <f>(W170-Schema_v5!$C11)/(Schema_v5!$C12-Schema_v5!$C11)</f>
        <v/>
      </c>
      <c r="AY170">
        <f>(X170-Schema_v5!$C13)/(Schema_v5!$C14-Schema_v5!$C13)</f>
        <v/>
      </c>
      <c r="AZ170">
        <f>MIN(1,MAX(0,U170/Schema_v7!$C$9))</f>
        <v/>
      </c>
      <c r="BA170">
        <f>IF(AJ170="yes",0.55,0)</f>
        <v/>
      </c>
      <c r="BB170">
        <f>IF(AI170="yes",0.10,0)</f>
        <v/>
      </c>
      <c r="BC170">
        <f>IF(Y170="COMM_Direct",0.92,IF(Y170="COMM_Emotional",0.70,IF(Y170="COMM_Logical",0.65,IF(Y170="COMM_Indirect",0.55,0.35))))</f>
        <v/>
      </c>
      <c r="BD170">
        <f>IF(Z170="REG_CoRegulator",0.92,IF(Z170="REG_SelfSoother",0.76,IF(Z170="REG_Distractor",0.48,0.35)))</f>
        <v/>
      </c>
      <c r="BE170">
        <f>IF(AA170="LANG_Time",0.76,IF(AA170="LANG_Service",0.70,IF(AA170="LANG_Words",0.72,IF(AA170="LANG_Touch",0.68,0.60))))</f>
        <v/>
      </c>
      <c r="BF170">
        <f>MAX(0,MIN(1,0.28*AS170+0.16*AT170+0.18*BC170+0.18*BD170+0.10*(1-AZ170)+0.10*(1-BA170)+BB170))</f>
        <v/>
      </c>
      <c r="BG170">
        <f>MAX(0,MIN(1,0.24*AU170+0.18*AS170+0.18*BC170+0.20*BD170+0.10*(1-AW170)+0.10*(1-BA170)))</f>
        <v/>
      </c>
      <c r="BH170">
        <f>MAX(0,MIN(1,0.28*AR170+0.18*AT170+0.16*AU170+0.18*(1-AV170)+0.10*(1-AW170)+0.10*BF170))</f>
        <v/>
      </c>
      <c r="BI170">
        <f>MAX(0,MIN(1,0.30*AV170+0.20*AZ170+0.20*AW170+0.15*(1-BH170)+0.15*(1-BO170)))</f>
        <v/>
      </c>
      <c r="BJ170">
        <f>MAX(0,1-(ABS(((( AX170+AY170)/2)-0.55)*1.6)))</f>
        <v/>
      </c>
      <c r="BK170">
        <f>MAX(0,MIN(1,0.28*AR170+0.18*AT170+0.16*BJ170+0.14*(1-AV170)+0.12*BQ170+0.12*BO170))</f>
        <v/>
      </c>
      <c r="BL170">
        <f>MAX(0,MIN(1,0.22*AQ170+0.18*AS170+0.18*BC170+0.18*BD170+0.08*BE170+0.10*BF170+0.06*BO170))</f>
        <v/>
      </c>
      <c r="BM170">
        <f>MAX(0,MIN(1,0.20*(1-AZ170)+0.16*(1-BA170)+0.14*(1-AW170)+0.14*AU170+0.18*BG170+0.10*BH170+0.08*BP170))</f>
        <v/>
      </c>
      <c r="BN170">
        <f>MAX(0,MIN(1,0.42*BJ170+0.33*BK170+0.15*AT170+0.10*BQ170))</f>
        <v/>
      </c>
      <c r="BO170">
        <f>MAX(0,MIN(1,0.30*BC170+0.24*BD170+0.18*AS170+0.14*(1-BI170)+0.14*AT170))</f>
        <v/>
      </c>
      <c r="BP170">
        <f>MAX(0,MIN(1,0.26*AS170+0.20*(1-BA170)+0.16*(1-AW170)+0.18*BG170+0.10*AU170+0.10+BB170))</f>
        <v/>
      </c>
      <c r="BQ170">
        <f>MAX(0,MIN(1,0.24*AT170+0.18*BF170+0.14*AR170+0.14*BO170+0.14*(1-AV170)+0.16*(1-AZ170)))</f>
        <v/>
      </c>
      <c r="BR170">
        <f>IF(BO170&gt;=0.80,"Open",IF(BO170&gt;=0.62,"Measured",IF(BO170&gt;=0.45,"Selective","Guarded")))</f>
        <v/>
      </c>
      <c r="BS170">
        <f>IF(Y170="COMM_Direct","Direct",IF(Y170="COMM_Emotional","Emotional",IF(Y170="COMM_Logical","Logical",IF(Y170="COMM_Indirect","Indirect","Avoidant"))))</f>
        <v/>
      </c>
      <c r="BT170">
        <f>IF(BG170&gt;=0.78,"Co-repair",IF(BG170&gt;=0.58,"Re-engage",IF(BG170&gt;=0.40,"Delay","Suppress")))</f>
        <v/>
      </c>
      <c r="BU170">
        <f>IF(BI170&gt;=0.70,"Retreat-risk",IF(BH170&lt;=0.40,"Rush-risk",IF(BH170&gt;=0.65,"Slow-build","Mixed")))</f>
        <v/>
      </c>
      <c r="BV170">
        <f>IF(BL170-BM170&gt;=0.15,"Stimulation-seeking",IF(BM170-BL170&gt;=0.15,"Calm-seeking","Mixed")))</f>
        <v/>
      </c>
      <c r="BW170">
        <f>IF(AND(BL170&gt;=0.72,BM170&lt;0.48),"High",IF(AND(BL170&gt;=0.60,BM170&lt;0.58),"Medium","Low"))</f>
        <v/>
      </c>
    </row>
    <row r="171" ht="94.5" customHeight="1" s="10">
      <c r="A171" s="2" t="inlineStr">
        <is>
          <t>Q34_E</t>
        </is>
      </c>
      <c r="B171" s="2" t="n">
        <v>34</v>
      </c>
      <c r="C171" s="2" t="n">
        <v>34</v>
      </c>
      <c r="D171" s="2" t="inlineStr">
        <is>
          <t>Core</t>
        </is>
      </c>
      <c r="E171" s="2" t="n">
        <v>1.15</v>
      </c>
      <c r="F171" s="2" t="inlineStr">
        <is>
          <t>CommitmentPace</t>
        </is>
      </c>
      <c r="G171" s="2" t="inlineStr">
        <is>
          <t>IntentAlignment</t>
        </is>
      </c>
      <c r="H171" s="2" t="n"/>
      <c r="I171" s="2" t="inlineStr">
        <is>
          <t>E</t>
        </is>
      </c>
      <c r="J171" s="2" t="inlineStr">
        <is>
          <t>E</t>
        </is>
      </c>
      <c r="K171" s="2" t="inlineStr">
        <is>
          <t>I start testing it, pull back on what I give and see how long it takes for them to disappear.</t>
        </is>
      </c>
      <c r="L171" s="2" t="n">
        <v>8</v>
      </c>
      <c r="M171" s="2" t="n">
        <v>9</v>
      </c>
      <c r="N171" s="2" t="n">
        <v>8</v>
      </c>
      <c r="O171" s="2" t="n">
        <v>8</v>
      </c>
      <c r="P171" s="2" t="n">
        <v>6</v>
      </c>
      <c r="Q171" s="2" t="inlineStr">
        <is>
          <t>Analyzer</t>
        </is>
      </c>
      <c r="R171" s="2" t="n">
        <v>2</v>
      </c>
      <c r="S171" s="2" t="n"/>
      <c r="T171" s="2" t="n"/>
      <c r="U171" s="2" t="n">
        <v>0</v>
      </c>
      <c r="V171" s="2" t="inlineStr">
        <is>
          <t>masc:1.4;fem:0.1</t>
        </is>
      </c>
      <c r="W171" s="2" t="n">
        <v>1.4</v>
      </c>
      <c r="X171" s="2" t="n">
        <v>0.1</v>
      </c>
      <c r="Y171" s="2" t="inlineStr">
        <is>
          <t>COMM_Logical</t>
        </is>
      </c>
      <c r="Z171" s="2" t="inlineStr">
        <is>
          <t>REG_SelfSoother</t>
        </is>
      </c>
      <c r="AA171" s="2" t="inlineStr">
        <is>
          <t>LANG_Service</t>
        </is>
      </c>
      <c r="AB171" s="2" t="n"/>
      <c r="AC171" s="2" t="n"/>
      <c r="AD171" s="2" t="n"/>
      <c r="AE171" s="2" t="n">
        <v>0</v>
      </c>
      <c r="AF171" s="2" t="inlineStr">
        <is>
          <t>value-to-effort gauge</t>
        </is>
      </c>
      <c r="AG171" s="2" t="inlineStr">
        <is>
          <t>behavioral tester</t>
        </is>
      </c>
      <c r="AH171" s="2" t="n">
        <v>1.8</v>
      </c>
      <c r="AI171" s="2" t="inlineStr">
        <is>
          <t>no</t>
        </is>
      </c>
      <c r="AJ171" s="2" t="inlineStr">
        <is>
          <t>no</t>
        </is>
      </c>
      <c r="AK171" s="2" t="inlineStr">
        <is>
          <t>yes</t>
        </is>
      </c>
      <c r="AL171" s="2" t="inlineStr">
        <is>
          <t>yes</t>
        </is>
      </c>
      <c r="AM171" s="2" t="n"/>
      <c r="AN171" s="2" t="n"/>
      <c r="AO171" s="2" t="n"/>
      <c r="AP171" s="2" t="inlineStr">
        <is>
          <t>v3_2026-03-19</t>
        </is>
      </c>
      <c r="AQ171">
        <f>(L171-Schema_v5!$C2)/(Schema_v5!$C3-Schema_v5!$C2)</f>
        <v/>
      </c>
      <c r="AR171">
        <f>(M171-Schema_v5!$C4)/(Schema_v5!$C5-Schema_v5!$C4)</f>
        <v/>
      </c>
      <c r="AS171">
        <f>N171/Schema_v5!$C6</f>
        <v/>
      </c>
      <c r="AT171">
        <f>O171/Schema_v5!$C7</f>
        <v/>
      </c>
      <c r="AU171">
        <f>P171/Schema_v5!$C8</f>
        <v/>
      </c>
      <c r="AV171">
        <f>IF(Schema_v5!$C9=0,0,AH171/Schema_v5!$C9)</f>
        <v/>
      </c>
      <c r="AW171">
        <f>IF(Schema_v5!$C10=0,0,AE171/Schema_v5!$C10)</f>
        <v/>
      </c>
      <c r="AX171">
        <f>(W171-Schema_v5!$C11)/(Schema_v5!$C12-Schema_v5!$C11)</f>
        <v/>
      </c>
      <c r="AY171">
        <f>(X171-Schema_v5!$C13)/(Schema_v5!$C14-Schema_v5!$C13)</f>
        <v/>
      </c>
      <c r="AZ171">
        <f>MIN(1,MAX(0,U171/Schema_v7!$C$9))</f>
        <v/>
      </c>
      <c r="BA171">
        <f>IF(AJ171="yes",0.55,0)</f>
        <v/>
      </c>
      <c r="BB171">
        <f>IF(AI171="yes",0.10,0)</f>
        <v/>
      </c>
      <c r="BC171">
        <f>IF(Y171="COMM_Direct",0.92,IF(Y171="COMM_Emotional",0.70,IF(Y171="COMM_Logical",0.65,IF(Y171="COMM_Indirect",0.55,0.35))))</f>
        <v/>
      </c>
      <c r="BD171">
        <f>IF(Z171="REG_CoRegulator",0.92,IF(Z171="REG_SelfSoother",0.76,IF(Z171="REG_Distractor",0.48,0.35)))</f>
        <v/>
      </c>
      <c r="BE171">
        <f>IF(AA171="LANG_Time",0.76,IF(AA171="LANG_Service",0.70,IF(AA171="LANG_Words",0.72,IF(AA171="LANG_Touch",0.68,0.60))))</f>
        <v/>
      </c>
      <c r="BF171">
        <f>MAX(0,MIN(1,0.28*AS171+0.16*AT171+0.18*BC171+0.18*BD171+0.10*(1-AZ171)+0.10*(1-BA171)+BB171))</f>
        <v/>
      </c>
      <c r="BG171">
        <f>MAX(0,MIN(1,0.24*AU171+0.18*AS171+0.18*BC171+0.20*BD171+0.10*(1-AW171)+0.10*(1-BA171)))</f>
        <v/>
      </c>
      <c r="BH171">
        <f>MAX(0,MIN(1,0.28*AR171+0.18*AT171+0.16*AU171+0.18*(1-AV171)+0.10*(1-AW171)+0.10*BF171))</f>
        <v/>
      </c>
      <c r="BI171">
        <f>MAX(0,MIN(1,0.30*AV171+0.20*AZ171+0.20*AW171+0.15*(1-BH171)+0.15*(1-BO171)))</f>
        <v/>
      </c>
      <c r="BJ171">
        <f>MAX(0,1-(ABS(((( AX171+AY171)/2)-0.55)*1.6)))</f>
        <v/>
      </c>
      <c r="BK171">
        <f>MAX(0,MIN(1,0.28*AR171+0.18*AT171+0.16*BJ171+0.14*(1-AV171)+0.12*BQ171+0.12*BO171))</f>
        <v/>
      </c>
      <c r="BL171">
        <f>MAX(0,MIN(1,0.22*AQ171+0.18*AS171+0.18*BC171+0.18*BD171+0.08*BE171+0.10*BF171+0.06*BO171))</f>
        <v/>
      </c>
      <c r="BM171">
        <f>MAX(0,MIN(1,0.20*(1-AZ171)+0.16*(1-BA171)+0.14*(1-AW171)+0.14*AU171+0.18*BG171+0.10*BH171+0.08*BP171))</f>
        <v/>
      </c>
      <c r="BN171">
        <f>MAX(0,MIN(1,0.42*BJ171+0.33*BK171+0.15*AT171+0.10*BQ171))</f>
        <v/>
      </c>
      <c r="BO171">
        <f>MAX(0,MIN(1,0.30*BC171+0.24*BD171+0.18*AS171+0.14*(1-BI171)+0.14*AT171))</f>
        <v/>
      </c>
      <c r="BP171">
        <f>MAX(0,MIN(1,0.26*AS171+0.20*(1-BA171)+0.16*(1-AW171)+0.18*BG171+0.10*AU171+0.10+BB171))</f>
        <v/>
      </c>
      <c r="BQ171">
        <f>MAX(0,MIN(1,0.24*AT171+0.18*BF171+0.14*AR171+0.14*BO171+0.14*(1-AV171)+0.16*(1-AZ171)))</f>
        <v/>
      </c>
      <c r="BR171">
        <f>IF(BO171&gt;=0.80,"Open",IF(BO171&gt;=0.62,"Measured",IF(BO171&gt;=0.45,"Selective","Guarded")))</f>
        <v/>
      </c>
      <c r="BS171">
        <f>IF(Y171="COMM_Direct","Direct",IF(Y171="COMM_Emotional","Emotional",IF(Y171="COMM_Logical","Logical",IF(Y171="COMM_Indirect","Indirect","Avoidant"))))</f>
        <v/>
      </c>
      <c r="BT171">
        <f>IF(BG171&gt;=0.78,"Co-repair",IF(BG171&gt;=0.58,"Re-engage",IF(BG171&gt;=0.40,"Delay","Suppress")))</f>
        <v/>
      </c>
      <c r="BU171">
        <f>IF(BI171&gt;=0.70,"Retreat-risk",IF(BH171&lt;=0.40,"Rush-risk",IF(BH171&gt;=0.65,"Slow-build","Mixed")))</f>
        <v/>
      </c>
      <c r="BV171">
        <f>IF(BL171-BM171&gt;=0.15,"Stimulation-seeking",IF(BM171-BL171&gt;=0.15,"Calm-seeking","Mixed")))</f>
        <v/>
      </c>
      <c r="BW171">
        <f>IF(AND(BL171&gt;=0.72,BM171&lt;0.48),"High",IF(AND(BL171&gt;=0.60,BM171&lt;0.58),"Medium","Low"))</f>
        <v/>
      </c>
    </row>
    <row r="172" ht="135" customHeight="1" s="10">
      <c r="A172" s="2" t="inlineStr">
        <is>
          <t>Q35_A</t>
        </is>
      </c>
      <c r="B172" s="2" t="n">
        <v>35</v>
      </c>
      <c r="C172" s="2" t="n">
        <v>35</v>
      </c>
      <c r="D172" s="2" t="inlineStr">
        <is>
          <t>Core</t>
        </is>
      </c>
      <c r="E172" s="2" t="n">
        <v>1.15</v>
      </c>
      <c r="F172" s="2" t="inlineStr">
        <is>
          <t>CommitmentPace</t>
        </is>
      </c>
      <c r="G172" s="2" t="inlineStr">
        <is>
          <t>IntentAlignment</t>
        </is>
      </c>
      <c r="H172" s="2" t="inlineStr">
        <is>
          <t>Someone calls you out-not mean, but honest. Says you hurt them or dropped the ball emotionally. What's your first reaction?</t>
        </is>
      </c>
      <c r="I172" s="2" t="inlineStr">
        <is>
          <t>A</t>
        </is>
      </c>
      <c r="J172" s="2" t="inlineStr">
        <is>
          <t>A</t>
        </is>
      </c>
      <c r="K172" s="2" t="inlineStr">
        <is>
          <t>I get quiet. My instinct is to pull away until I can think through what they said.</t>
        </is>
      </c>
      <c r="L172" s="2" t="n">
        <v>8</v>
      </c>
      <c r="M172" s="2" t="n">
        <v>8</v>
      </c>
      <c r="N172" s="2" t="n">
        <v>4</v>
      </c>
      <c r="O172" s="2" t="n">
        <v>4</v>
      </c>
      <c r="P172" s="2" t="n">
        <v>2</v>
      </c>
      <c r="Q172" s="2" t="inlineStr">
        <is>
          <t>Icebox</t>
        </is>
      </c>
      <c r="R172" s="2" t="n">
        <v>1</v>
      </c>
      <c r="S172" s="2" t="n"/>
      <c r="T172" s="2" t="n"/>
      <c r="U172" s="2" t="n">
        <v>0</v>
      </c>
      <c r="V172" s="2" t="inlineStr">
        <is>
          <t>masc:1.8;fem:-1.6</t>
        </is>
      </c>
      <c r="W172" s="2" t="n">
        <v>1.8</v>
      </c>
      <c r="X172" s="2" t="n">
        <v>-1.6</v>
      </c>
      <c r="Y172" s="2" t="inlineStr">
        <is>
          <t>COMM_Avoidant</t>
        </is>
      </c>
      <c r="Z172" s="2" t="inlineStr">
        <is>
          <t>REG_Suppressor</t>
        </is>
      </c>
      <c r="AA172" s="2" t="inlineStr">
        <is>
          <t>LANG_Time</t>
        </is>
      </c>
      <c r="AB172" s="2" t="n"/>
      <c r="AC172" s="2" t="n"/>
      <c r="AD172" s="2" t="n"/>
      <c r="AE172" s="2" t="n">
        <v>0</v>
      </c>
      <c r="AF172" s="2" t="inlineStr">
        <is>
          <t>internal processing lockdown</t>
        </is>
      </c>
      <c r="AG172" s="2" t="inlineStr">
        <is>
          <t>space taker</t>
        </is>
      </c>
      <c r="AH172" s="2" t="n">
        <v>0</v>
      </c>
      <c r="AI172" s="2" t="inlineStr">
        <is>
          <t>no</t>
        </is>
      </c>
      <c r="AJ172" s="2" t="inlineStr">
        <is>
          <t>no</t>
        </is>
      </c>
      <c r="AK172" s="2" t="inlineStr">
        <is>
          <t>yes</t>
        </is>
      </c>
      <c r="AL172" s="2" t="inlineStr">
        <is>
          <t>yes</t>
        </is>
      </c>
      <c r="AM172" s="2" t="n"/>
      <c r="AN172" s="2" t="n"/>
      <c r="AO172" s="2" t="n"/>
      <c r="AP172" s="2" t="inlineStr">
        <is>
          <t>v3_2026-03-19</t>
        </is>
      </c>
      <c r="AQ172">
        <f>(L172-Schema_v5!$C2)/(Schema_v5!$C3-Schema_v5!$C2)</f>
        <v/>
      </c>
      <c r="AR172">
        <f>(M172-Schema_v5!$C4)/(Schema_v5!$C5-Schema_v5!$C4)</f>
        <v/>
      </c>
      <c r="AS172">
        <f>N172/Schema_v5!$C6</f>
        <v/>
      </c>
      <c r="AT172">
        <f>O172/Schema_v5!$C7</f>
        <v/>
      </c>
      <c r="AU172">
        <f>P172/Schema_v5!$C8</f>
        <v/>
      </c>
      <c r="AV172">
        <f>IF(Schema_v5!$C9=0,0,AH172/Schema_v5!$C9)</f>
        <v/>
      </c>
      <c r="AW172">
        <f>IF(Schema_v5!$C10=0,0,AE172/Schema_v5!$C10)</f>
        <v/>
      </c>
      <c r="AX172">
        <f>(W172-Schema_v5!$C11)/(Schema_v5!$C12-Schema_v5!$C11)</f>
        <v/>
      </c>
      <c r="AY172">
        <f>(X172-Schema_v5!$C13)/(Schema_v5!$C14-Schema_v5!$C13)</f>
        <v/>
      </c>
      <c r="AZ172">
        <f>MIN(1,MAX(0,U172/Schema_v7!$C$9))</f>
        <v/>
      </c>
      <c r="BA172">
        <f>IF(AJ172="yes",0.55,0)</f>
        <v/>
      </c>
      <c r="BB172">
        <f>IF(AI172="yes",0.10,0)</f>
        <v/>
      </c>
      <c r="BC172">
        <f>IF(Y172="COMM_Direct",0.92,IF(Y172="COMM_Emotional",0.70,IF(Y172="COMM_Logical",0.65,IF(Y172="COMM_Indirect",0.55,0.35))))</f>
        <v/>
      </c>
      <c r="BD172">
        <f>IF(Z172="REG_CoRegulator",0.92,IF(Z172="REG_SelfSoother",0.76,IF(Z172="REG_Distractor",0.48,0.35)))</f>
        <v/>
      </c>
      <c r="BE172">
        <f>IF(AA172="LANG_Time",0.76,IF(AA172="LANG_Service",0.70,IF(AA172="LANG_Words",0.72,IF(AA172="LANG_Touch",0.68,0.60))))</f>
        <v/>
      </c>
      <c r="BF172">
        <f>MAX(0,MIN(1,0.28*AS172+0.16*AT172+0.18*BC172+0.18*BD172+0.10*(1-AZ172)+0.10*(1-BA172)+BB172))</f>
        <v/>
      </c>
      <c r="BG172">
        <f>MAX(0,MIN(1,0.24*AU172+0.18*AS172+0.18*BC172+0.20*BD172+0.10*(1-AW172)+0.10*(1-BA172)))</f>
        <v/>
      </c>
      <c r="BH172">
        <f>MAX(0,MIN(1,0.28*AR172+0.18*AT172+0.16*AU172+0.18*(1-AV172)+0.10*(1-AW172)+0.10*BF172))</f>
        <v/>
      </c>
      <c r="BI172">
        <f>MAX(0,MIN(1,0.30*AV172+0.20*AZ172+0.20*AW172+0.15*(1-BH172)+0.15*(1-BO172)))</f>
        <v/>
      </c>
      <c r="BJ172">
        <f>MAX(0,1-(ABS(((( AX172+AY172)/2)-0.55)*1.6)))</f>
        <v/>
      </c>
      <c r="BK172">
        <f>MAX(0,MIN(1,0.28*AR172+0.18*AT172+0.16*BJ172+0.14*(1-AV172)+0.12*BQ172+0.12*BO172))</f>
        <v/>
      </c>
      <c r="BL172">
        <f>MAX(0,MIN(1,0.22*AQ172+0.18*AS172+0.18*BC172+0.18*BD172+0.08*BE172+0.10*BF172+0.06*BO172))</f>
        <v/>
      </c>
      <c r="BM172">
        <f>MAX(0,MIN(1,0.20*(1-AZ172)+0.16*(1-BA172)+0.14*(1-AW172)+0.14*AU172+0.18*BG172+0.10*BH172+0.08*BP172))</f>
        <v/>
      </c>
      <c r="BN172">
        <f>MAX(0,MIN(1,0.42*BJ172+0.33*BK172+0.15*AT172+0.10*BQ172))</f>
        <v/>
      </c>
      <c r="BO172">
        <f>MAX(0,MIN(1,0.30*BC172+0.24*BD172+0.18*AS172+0.14*(1-BI172)+0.14*AT172))</f>
        <v/>
      </c>
      <c r="BP172">
        <f>MAX(0,MIN(1,0.26*AS172+0.20*(1-BA172)+0.16*(1-AW172)+0.18*BG172+0.10*AU172+0.10+BB172))</f>
        <v/>
      </c>
      <c r="BQ172">
        <f>MAX(0,MIN(1,0.24*AT172+0.18*BF172+0.14*AR172+0.14*BO172+0.14*(1-AV172)+0.16*(1-AZ172)))</f>
        <v/>
      </c>
      <c r="BR172">
        <f>IF(BO172&gt;=0.80,"Open",IF(BO172&gt;=0.62,"Measured",IF(BO172&gt;=0.45,"Selective","Guarded")))</f>
        <v/>
      </c>
      <c r="BS172">
        <f>IF(Y172="COMM_Direct","Direct",IF(Y172="COMM_Emotional","Emotional",IF(Y172="COMM_Logical","Logical",IF(Y172="COMM_Indirect","Indirect","Avoidant"))))</f>
        <v/>
      </c>
      <c r="BT172">
        <f>IF(BG172&gt;=0.78,"Co-repair",IF(BG172&gt;=0.58,"Re-engage",IF(BG172&gt;=0.40,"Delay","Suppress")))</f>
        <v/>
      </c>
      <c r="BU172">
        <f>IF(BI172&gt;=0.70,"Retreat-risk",IF(BH172&lt;=0.40,"Rush-risk",IF(BH172&gt;=0.65,"Slow-build","Mixed")))</f>
        <v/>
      </c>
      <c r="BV172">
        <f>IF(BL172-BM172&gt;=0.15,"Stimulation-seeking",IF(BM172-BL172&gt;=0.15,"Calm-seeking","Mixed")))</f>
        <v/>
      </c>
      <c r="BW172">
        <f>IF(AND(BL172&gt;=0.72,BM172&lt;0.48),"High",IF(AND(BL172&gt;=0.60,BM172&lt;0.58),"Medium","Low"))</f>
        <v/>
      </c>
    </row>
    <row r="173" ht="108" customHeight="1" s="10">
      <c r="A173" s="2" t="inlineStr">
        <is>
          <t>Q35_B</t>
        </is>
      </c>
      <c r="B173" s="2" t="n">
        <v>35</v>
      </c>
      <c r="C173" s="2" t="n">
        <v>35</v>
      </c>
      <c r="D173" s="2" t="inlineStr">
        <is>
          <t>Core</t>
        </is>
      </c>
      <c r="E173" s="2" t="n">
        <v>1.15</v>
      </c>
      <c r="F173" s="2" t="inlineStr">
        <is>
          <t>CommitmentPace</t>
        </is>
      </c>
      <c r="G173" s="2" t="inlineStr">
        <is>
          <t>IntentAlignment</t>
        </is>
      </c>
      <c r="H173" s="2" t="n"/>
      <c r="I173" s="2" t="inlineStr">
        <is>
          <t>B</t>
        </is>
      </c>
      <c r="J173" s="2" t="inlineStr">
        <is>
          <t>B</t>
        </is>
      </c>
      <c r="K173" s="2" t="inlineStr">
        <is>
          <t>I feel awful. I start apologizing right away, even if I don't fully understand it yet.</t>
        </is>
      </c>
      <c r="L173" s="2" t="n">
        <v>6</v>
      </c>
      <c r="M173" s="2" t="n">
        <v>7</v>
      </c>
      <c r="N173" s="2" t="n">
        <v>4</v>
      </c>
      <c r="O173" s="2" t="n">
        <v>4</v>
      </c>
      <c r="P173" s="2" t="n">
        <v>2</v>
      </c>
      <c r="Q173" s="2" t="inlineStr">
        <is>
          <t>Phantom Seeker</t>
        </is>
      </c>
      <c r="R173" s="2" t="n">
        <v>10</v>
      </c>
      <c r="S173" s="2" t="n"/>
      <c r="T173" s="2" t="n"/>
      <c r="U173" s="2" t="n">
        <v>0</v>
      </c>
      <c r="V173" s="2" t="inlineStr">
        <is>
          <t>masc:-0.2;fem:1.5</t>
        </is>
      </c>
      <c r="W173" s="2" t="n">
        <v>-0.2</v>
      </c>
      <c r="X173" s="2" t="n">
        <v>1.5</v>
      </c>
      <c r="Y173" s="2" t="inlineStr">
        <is>
          <t>COMM_Emotional</t>
        </is>
      </c>
      <c r="Z173" s="2" t="inlineStr">
        <is>
          <t>REG_SelfSoother</t>
        </is>
      </c>
      <c r="AA173" s="2" t="inlineStr">
        <is>
          <t>LANG_Touch</t>
        </is>
      </c>
      <c r="AB173" s="2" t="inlineStr">
        <is>
          <t>Vulnerability_Loop</t>
        </is>
      </c>
      <c r="AC173" s="2" t="inlineStr">
        <is>
          <t>Vulnerability_Loop</t>
        </is>
      </c>
      <c r="AD173" s="2" t="n"/>
      <c r="AE173" s="2" t="n">
        <v>5</v>
      </c>
      <c r="AF173" s="2" t="inlineStr">
        <is>
          <t>guilt-fueled repair attempt</t>
        </is>
      </c>
      <c r="AG173" s="2" t="inlineStr">
        <is>
          <t>quick apologizer</t>
        </is>
      </c>
      <c r="AH173" s="2" t="n">
        <v>0.2</v>
      </c>
      <c r="AI173" s="2" t="inlineStr">
        <is>
          <t>yes</t>
        </is>
      </c>
      <c r="AJ173" s="2" t="inlineStr">
        <is>
          <t>no</t>
        </is>
      </c>
      <c r="AK173" s="2" t="inlineStr">
        <is>
          <t>yes</t>
        </is>
      </c>
      <c r="AL173" s="2" t="inlineStr">
        <is>
          <t>yes</t>
        </is>
      </c>
      <c r="AM173" s="2" t="n"/>
      <c r="AN173" s="2" t="n"/>
      <c r="AO173" s="2" t="n"/>
      <c r="AP173" s="2" t="inlineStr">
        <is>
          <t>v3_2026-03-19</t>
        </is>
      </c>
      <c r="AQ173">
        <f>(L173-Schema_v5!$C2)/(Schema_v5!$C3-Schema_v5!$C2)</f>
        <v/>
      </c>
      <c r="AR173">
        <f>(M173-Schema_v5!$C4)/(Schema_v5!$C5-Schema_v5!$C4)</f>
        <v/>
      </c>
      <c r="AS173">
        <f>N173/Schema_v5!$C6</f>
        <v/>
      </c>
      <c r="AT173">
        <f>O173/Schema_v5!$C7</f>
        <v/>
      </c>
      <c r="AU173">
        <f>P173/Schema_v5!$C8</f>
        <v/>
      </c>
      <c r="AV173">
        <f>IF(Schema_v5!$C9=0,0,AH173/Schema_v5!$C9)</f>
        <v/>
      </c>
      <c r="AW173">
        <f>IF(Schema_v5!$C10=0,0,AE173/Schema_v5!$C10)</f>
        <v/>
      </c>
      <c r="AX173">
        <f>(W173-Schema_v5!$C11)/(Schema_v5!$C12-Schema_v5!$C11)</f>
        <v/>
      </c>
      <c r="AY173">
        <f>(X173-Schema_v5!$C13)/(Schema_v5!$C14-Schema_v5!$C13)</f>
        <v/>
      </c>
      <c r="AZ173">
        <f>MIN(1,MAX(0,U173/Schema_v7!$C$9))</f>
        <v/>
      </c>
      <c r="BA173">
        <f>IF(AJ173="yes",0.55,0)</f>
        <v/>
      </c>
      <c r="BB173">
        <f>IF(AI173="yes",0.10,0)</f>
        <v/>
      </c>
      <c r="BC173">
        <f>IF(Y173="COMM_Direct",0.92,IF(Y173="COMM_Emotional",0.70,IF(Y173="COMM_Logical",0.65,IF(Y173="COMM_Indirect",0.55,0.35))))</f>
        <v/>
      </c>
      <c r="BD173">
        <f>IF(Z173="REG_CoRegulator",0.92,IF(Z173="REG_SelfSoother",0.76,IF(Z173="REG_Distractor",0.48,0.35)))</f>
        <v/>
      </c>
      <c r="BE173">
        <f>IF(AA173="LANG_Time",0.76,IF(AA173="LANG_Service",0.70,IF(AA173="LANG_Words",0.72,IF(AA173="LANG_Touch",0.68,0.60))))</f>
        <v/>
      </c>
      <c r="BF173">
        <f>MAX(0,MIN(1,0.28*AS173+0.16*AT173+0.18*BC173+0.18*BD173+0.10*(1-AZ173)+0.10*(1-BA173)+BB173))</f>
        <v/>
      </c>
      <c r="BG173">
        <f>MAX(0,MIN(1,0.24*AU173+0.18*AS173+0.18*BC173+0.20*BD173+0.10*(1-AW173)+0.10*(1-BA173)))</f>
        <v/>
      </c>
      <c r="BH173">
        <f>MAX(0,MIN(1,0.28*AR173+0.18*AT173+0.16*AU173+0.18*(1-AV173)+0.10*(1-AW173)+0.10*BF173))</f>
        <v/>
      </c>
      <c r="BI173">
        <f>MAX(0,MIN(1,0.30*AV173+0.20*AZ173+0.20*AW173+0.15*(1-BH173)+0.15*(1-BO173)))</f>
        <v/>
      </c>
      <c r="BJ173">
        <f>MAX(0,1-(ABS(((( AX173+AY173)/2)-0.55)*1.6)))</f>
        <v/>
      </c>
      <c r="BK173">
        <f>MAX(0,MIN(1,0.28*AR173+0.18*AT173+0.16*BJ173+0.14*(1-AV173)+0.12*BQ173+0.12*BO173))</f>
        <v/>
      </c>
      <c r="BL173">
        <f>MAX(0,MIN(1,0.22*AQ173+0.18*AS173+0.18*BC173+0.18*BD173+0.08*BE173+0.10*BF173+0.06*BO173))</f>
        <v/>
      </c>
      <c r="BM173">
        <f>MAX(0,MIN(1,0.20*(1-AZ173)+0.16*(1-BA173)+0.14*(1-AW173)+0.14*AU173+0.18*BG173+0.10*BH173+0.08*BP173))</f>
        <v/>
      </c>
      <c r="BN173">
        <f>MAX(0,MIN(1,0.42*BJ173+0.33*BK173+0.15*AT173+0.10*BQ173))</f>
        <v/>
      </c>
      <c r="BO173">
        <f>MAX(0,MIN(1,0.30*BC173+0.24*BD173+0.18*AS173+0.14*(1-BI173)+0.14*AT173))</f>
        <v/>
      </c>
      <c r="BP173">
        <f>MAX(0,MIN(1,0.26*AS173+0.20*(1-BA173)+0.16*(1-AW173)+0.18*BG173+0.10*AU173+0.10+BB173))</f>
        <v/>
      </c>
      <c r="BQ173">
        <f>MAX(0,MIN(1,0.24*AT173+0.18*BF173+0.14*AR173+0.14*BO173+0.14*(1-AV173)+0.16*(1-AZ173)))</f>
        <v/>
      </c>
      <c r="BR173">
        <f>IF(BO173&gt;=0.80,"Open",IF(BO173&gt;=0.62,"Measured",IF(BO173&gt;=0.45,"Selective","Guarded")))</f>
        <v/>
      </c>
      <c r="BS173">
        <f>IF(Y173="COMM_Direct","Direct",IF(Y173="COMM_Emotional","Emotional",IF(Y173="COMM_Logical","Logical",IF(Y173="COMM_Indirect","Indirect","Avoidant"))))</f>
        <v/>
      </c>
      <c r="BT173">
        <f>IF(BG173&gt;=0.78,"Co-repair",IF(BG173&gt;=0.58,"Re-engage",IF(BG173&gt;=0.40,"Delay","Suppress")))</f>
        <v/>
      </c>
      <c r="BU173">
        <f>IF(BI173&gt;=0.70,"Retreat-risk",IF(BH173&lt;=0.40,"Rush-risk",IF(BH173&gt;=0.65,"Slow-build","Mixed")))</f>
        <v/>
      </c>
      <c r="BV173">
        <f>IF(BL173-BM173&gt;=0.15,"Stimulation-seeking",IF(BM173-BL173&gt;=0.15,"Calm-seeking","Mixed")))</f>
        <v/>
      </c>
      <c r="BW173">
        <f>IF(AND(BL173&gt;=0.72,BM173&lt;0.48),"High",IF(AND(BL173&gt;=0.60,BM173&lt;0.58),"Medium","Low"))</f>
        <v/>
      </c>
    </row>
    <row r="174" ht="108" customHeight="1" s="10">
      <c r="A174" s="2" t="inlineStr">
        <is>
          <t>Q35_C</t>
        </is>
      </c>
      <c r="B174" s="2" t="n">
        <v>35</v>
      </c>
      <c r="C174" s="2" t="n">
        <v>35</v>
      </c>
      <c r="D174" s="2" t="inlineStr">
        <is>
          <t>Core</t>
        </is>
      </c>
      <c r="E174" s="2" t="n">
        <v>1.15</v>
      </c>
      <c r="F174" s="2" t="inlineStr">
        <is>
          <t>CommitmentPace</t>
        </is>
      </c>
      <c r="G174" s="2" t="inlineStr">
        <is>
          <t>IntentAlignment</t>
        </is>
      </c>
      <c r="H174" s="2" t="n"/>
      <c r="I174" s="2" t="inlineStr">
        <is>
          <t>C</t>
        </is>
      </c>
      <c r="J174" s="2" t="inlineStr">
        <is>
          <t>C</t>
        </is>
      </c>
      <c r="K174" s="2" t="inlineStr">
        <is>
          <t>I get defensive at first. Then I think about it later, sometimes for way too long.</t>
        </is>
      </c>
      <c r="L174" s="2" t="n">
        <v>6</v>
      </c>
      <c r="M174" s="2" t="n">
        <v>7</v>
      </c>
      <c r="N174" s="2" t="n">
        <v>4</v>
      </c>
      <c r="O174" s="2" t="n">
        <v>6</v>
      </c>
      <c r="P174" s="2" t="n">
        <v>4</v>
      </c>
      <c r="Q174" s="2" t="inlineStr">
        <is>
          <t>Analyzer</t>
        </is>
      </c>
      <c r="R174" s="2" t="n">
        <v>2</v>
      </c>
      <c r="S174" s="2" t="n"/>
      <c r="T174" s="2" t="n"/>
      <c r="U174" s="2" t="n">
        <v>0</v>
      </c>
      <c r="V174" s="2" t="inlineStr">
        <is>
          <t>masc:1.4;fem:0.1</t>
        </is>
      </c>
      <c r="W174" s="2" t="n">
        <v>1.4</v>
      </c>
      <c r="X174" s="2" t="n">
        <v>0.1</v>
      </c>
      <c r="Y174" s="2" t="inlineStr">
        <is>
          <t>COMM_Logical</t>
        </is>
      </c>
      <c r="Z174" s="2" t="inlineStr">
        <is>
          <t>REG_SelfSoother</t>
        </is>
      </c>
      <c r="AA174" s="2" t="inlineStr">
        <is>
          <t>LANG_Service</t>
        </is>
      </c>
      <c r="AB174" s="2" t="inlineStr">
        <is>
          <t>Commitment_Ambiguity</t>
        </is>
      </c>
      <c r="AC174" s="2" t="inlineStr">
        <is>
          <t>Commitment_Ambiguity</t>
        </is>
      </c>
      <c r="AD174" s="2" t="n"/>
      <c r="AE174" s="2" t="n">
        <v>5</v>
      </c>
      <c r="AF174" s="2" t="inlineStr">
        <is>
          <t>delayed accountability</t>
        </is>
      </c>
      <c r="AG174" s="2" t="inlineStr">
        <is>
          <t>defensive processor</t>
        </is>
      </c>
      <c r="AH174" s="2" t="n">
        <v>0</v>
      </c>
      <c r="AI174" s="2" t="inlineStr">
        <is>
          <t>yes</t>
        </is>
      </c>
      <c r="AJ174" s="2" t="inlineStr">
        <is>
          <t>no</t>
        </is>
      </c>
      <c r="AK174" s="2" t="inlineStr">
        <is>
          <t>yes</t>
        </is>
      </c>
      <c r="AL174" s="2" t="inlineStr">
        <is>
          <t>yes</t>
        </is>
      </c>
      <c r="AM174" s="2" t="n"/>
      <c r="AN174" s="2" t="n"/>
      <c r="AO174" s="2" t="n"/>
      <c r="AP174" s="2" t="inlineStr">
        <is>
          <t>v3_2026-03-19</t>
        </is>
      </c>
      <c r="AQ174">
        <f>(L174-Schema_v5!$C2)/(Schema_v5!$C3-Schema_v5!$C2)</f>
        <v/>
      </c>
      <c r="AR174">
        <f>(M174-Schema_v5!$C4)/(Schema_v5!$C5-Schema_v5!$C4)</f>
        <v/>
      </c>
      <c r="AS174">
        <f>N174/Schema_v5!$C6</f>
        <v/>
      </c>
      <c r="AT174">
        <f>O174/Schema_v5!$C7</f>
        <v/>
      </c>
      <c r="AU174">
        <f>P174/Schema_v5!$C8</f>
        <v/>
      </c>
      <c r="AV174">
        <f>IF(Schema_v5!$C9=0,0,AH174/Schema_v5!$C9)</f>
        <v/>
      </c>
      <c r="AW174">
        <f>IF(Schema_v5!$C10=0,0,AE174/Schema_v5!$C10)</f>
        <v/>
      </c>
      <c r="AX174">
        <f>(W174-Schema_v5!$C11)/(Schema_v5!$C12-Schema_v5!$C11)</f>
        <v/>
      </c>
      <c r="AY174">
        <f>(X174-Schema_v5!$C13)/(Schema_v5!$C14-Schema_v5!$C13)</f>
        <v/>
      </c>
      <c r="AZ174">
        <f>MIN(1,MAX(0,U174/Schema_v7!$C$9))</f>
        <v/>
      </c>
      <c r="BA174">
        <f>IF(AJ174="yes",0.55,0)</f>
        <v/>
      </c>
      <c r="BB174">
        <f>IF(AI174="yes",0.10,0)</f>
        <v/>
      </c>
      <c r="BC174">
        <f>IF(Y174="COMM_Direct",0.92,IF(Y174="COMM_Emotional",0.70,IF(Y174="COMM_Logical",0.65,IF(Y174="COMM_Indirect",0.55,0.35))))</f>
        <v/>
      </c>
      <c r="BD174">
        <f>IF(Z174="REG_CoRegulator",0.92,IF(Z174="REG_SelfSoother",0.76,IF(Z174="REG_Distractor",0.48,0.35)))</f>
        <v/>
      </c>
      <c r="BE174">
        <f>IF(AA174="LANG_Time",0.76,IF(AA174="LANG_Service",0.70,IF(AA174="LANG_Words",0.72,IF(AA174="LANG_Touch",0.68,0.60))))</f>
        <v/>
      </c>
      <c r="BF174">
        <f>MAX(0,MIN(1,0.28*AS174+0.16*AT174+0.18*BC174+0.18*BD174+0.10*(1-AZ174)+0.10*(1-BA174)+BB174))</f>
        <v/>
      </c>
      <c r="BG174">
        <f>MAX(0,MIN(1,0.24*AU174+0.18*AS174+0.18*BC174+0.20*BD174+0.10*(1-AW174)+0.10*(1-BA174)))</f>
        <v/>
      </c>
      <c r="BH174">
        <f>MAX(0,MIN(1,0.28*AR174+0.18*AT174+0.16*AU174+0.18*(1-AV174)+0.10*(1-AW174)+0.10*BF174))</f>
        <v/>
      </c>
      <c r="BI174">
        <f>MAX(0,MIN(1,0.30*AV174+0.20*AZ174+0.20*AW174+0.15*(1-BH174)+0.15*(1-BO174)))</f>
        <v/>
      </c>
      <c r="BJ174">
        <f>MAX(0,1-(ABS(((( AX174+AY174)/2)-0.55)*1.6)))</f>
        <v/>
      </c>
      <c r="BK174">
        <f>MAX(0,MIN(1,0.28*AR174+0.18*AT174+0.16*BJ174+0.14*(1-AV174)+0.12*BQ174+0.12*BO174))</f>
        <v/>
      </c>
      <c r="BL174">
        <f>MAX(0,MIN(1,0.22*AQ174+0.18*AS174+0.18*BC174+0.18*BD174+0.08*BE174+0.10*BF174+0.06*BO174))</f>
        <v/>
      </c>
      <c r="BM174">
        <f>MAX(0,MIN(1,0.20*(1-AZ174)+0.16*(1-BA174)+0.14*(1-AW174)+0.14*AU174+0.18*BG174+0.10*BH174+0.08*BP174))</f>
        <v/>
      </c>
      <c r="BN174">
        <f>MAX(0,MIN(1,0.42*BJ174+0.33*BK174+0.15*AT174+0.10*BQ174))</f>
        <v/>
      </c>
      <c r="BO174">
        <f>MAX(0,MIN(1,0.30*BC174+0.24*BD174+0.18*AS174+0.14*(1-BI174)+0.14*AT174))</f>
        <v/>
      </c>
      <c r="BP174">
        <f>MAX(0,MIN(1,0.26*AS174+0.20*(1-BA174)+0.16*(1-AW174)+0.18*BG174+0.10*AU174+0.10+BB174))</f>
        <v/>
      </c>
      <c r="BQ174">
        <f>MAX(0,MIN(1,0.24*AT174+0.18*BF174+0.14*AR174+0.14*BO174+0.14*(1-AV174)+0.16*(1-AZ174)))</f>
        <v/>
      </c>
      <c r="BR174">
        <f>IF(BO174&gt;=0.80,"Open",IF(BO174&gt;=0.62,"Measured",IF(BO174&gt;=0.45,"Selective","Guarded")))</f>
        <v/>
      </c>
      <c r="BS174">
        <f>IF(Y174="COMM_Direct","Direct",IF(Y174="COMM_Emotional","Emotional",IF(Y174="COMM_Logical","Logical",IF(Y174="COMM_Indirect","Indirect","Avoidant"))))</f>
        <v/>
      </c>
      <c r="BT174">
        <f>IF(BG174&gt;=0.78,"Co-repair",IF(BG174&gt;=0.58,"Re-engage",IF(BG174&gt;=0.40,"Delay","Suppress")))</f>
        <v/>
      </c>
      <c r="BU174">
        <f>IF(BI174&gt;=0.70,"Retreat-risk",IF(BH174&lt;=0.40,"Rush-risk",IF(BH174&gt;=0.65,"Slow-build","Mixed")))</f>
        <v/>
      </c>
      <c r="BV174">
        <f>IF(BL174-BM174&gt;=0.15,"Stimulation-seeking",IF(BM174-BL174&gt;=0.15,"Calm-seeking","Mixed")))</f>
        <v/>
      </c>
      <c r="BW174">
        <f>IF(AND(BL174&gt;=0.72,BM174&lt;0.48),"High",IF(AND(BL174&gt;=0.60,BM174&lt;0.58),"Medium","Low"))</f>
        <v/>
      </c>
    </row>
    <row r="175" ht="121.5" customHeight="1" s="10">
      <c r="A175" s="2" t="inlineStr">
        <is>
          <t>Q35_D</t>
        </is>
      </c>
      <c r="B175" s="2" t="n">
        <v>35</v>
      </c>
      <c r="C175" s="2" t="n">
        <v>35</v>
      </c>
      <c r="D175" s="2" t="inlineStr">
        <is>
          <t>Core</t>
        </is>
      </c>
      <c r="E175" s="2" t="n">
        <v>1.15</v>
      </c>
      <c r="F175" s="2" t="inlineStr">
        <is>
          <t>CommitmentPace</t>
        </is>
      </c>
      <c r="G175" s="2" t="inlineStr">
        <is>
          <t>IntentAlignment</t>
        </is>
      </c>
      <c r="H175" s="2" t="n"/>
      <c r="I175" s="2" t="inlineStr">
        <is>
          <t>D</t>
        </is>
      </c>
      <c r="J175" s="2" t="inlineStr">
        <is>
          <t>D</t>
        </is>
      </c>
      <c r="K175" s="2" t="inlineStr">
        <is>
          <t>I try to fix it immediately, ask what they need, how I can make it right. I don't want them sitting in pain.</t>
        </is>
      </c>
      <c r="L175" s="2" t="n">
        <v>9</v>
      </c>
      <c r="M175" s="2" t="n">
        <v>9</v>
      </c>
      <c r="N175" s="2" t="n">
        <v>10</v>
      </c>
      <c r="O175" s="2" t="n">
        <v>10</v>
      </c>
      <c r="P175" s="2" t="n">
        <v>10</v>
      </c>
      <c r="Q175" s="2" t="inlineStr">
        <is>
          <t>Fixer</t>
        </is>
      </c>
      <c r="R175" s="2" t="n">
        <v>5</v>
      </c>
      <c r="S175" s="2" t="n"/>
      <c r="T175" s="2" t="n"/>
      <c r="U175" s="2" t="n">
        <v>0</v>
      </c>
      <c r="V175" s="2" t="inlineStr">
        <is>
          <t>masc:-0.4;fem:2.0</t>
        </is>
      </c>
      <c r="W175" s="2" t="n">
        <v>-0.4</v>
      </c>
      <c r="X175" s="2" t="n">
        <v>2</v>
      </c>
      <c r="Y175" s="2" t="inlineStr">
        <is>
          <t>COMM_Emotional</t>
        </is>
      </c>
      <c r="Z175" s="2" t="inlineStr">
        <is>
          <t>REG_CoRegulator</t>
        </is>
      </c>
      <c r="AA175" s="2" t="inlineStr">
        <is>
          <t>LANG_Service</t>
        </is>
      </c>
      <c r="AB175" s="2" t="n"/>
      <c r="AC175" s="2" t="n"/>
      <c r="AD175" s="2" t="n"/>
      <c r="AE175" s="2" t="n">
        <v>0</v>
      </c>
      <c r="AF175" s="2" t="inlineStr">
        <is>
          <t>urgent repair mode</t>
        </is>
      </c>
      <c r="AG175" s="2" t="inlineStr">
        <is>
          <t>immediate fixer</t>
        </is>
      </c>
      <c r="AH175" s="2" t="n">
        <v>0</v>
      </c>
      <c r="AI175" s="2" t="inlineStr">
        <is>
          <t>no</t>
        </is>
      </c>
      <c r="AJ175" s="2" t="inlineStr">
        <is>
          <t>no</t>
        </is>
      </c>
      <c r="AK175" s="2" t="inlineStr">
        <is>
          <t>yes</t>
        </is>
      </c>
      <c r="AL175" s="2" t="inlineStr">
        <is>
          <t>yes</t>
        </is>
      </c>
      <c r="AM175" s="2" t="n"/>
      <c r="AN175" s="2" t="n"/>
      <c r="AO175" s="2" t="n"/>
      <c r="AP175" s="2" t="inlineStr">
        <is>
          <t>v3_2026-03-19</t>
        </is>
      </c>
      <c r="AQ175">
        <f>(L175-Schema_v5!$C2)/(Schema_v5!$C3-Schema_v5!$C2)</f>
        <v/>
      </c>
      <c r="AR175">
        <f>(M175-Schema_v5!$C4)/(Schema_v5!$C5-Schema_v5!$C4)</f>
        <v/>
      </c>
      <c r="AS175">
        <f>N175/Schema_v5!$C6</f>
        <v/>
      </c>
      <c r="AT175">
        <f>O175/Schema_v5!$C7</f>
        <v/>
      </c>
      <c r="AU175">
        <f>P175/Schema_v5!$C8</f>
        <v/>
      </c>
      <c r="AV175">
        <f>IF(Schema_v5!$C9=0,0,AH175/Schema_v5!$C9)</f>
        <v/>
      </c>
      <c r="AW175">
        <f>IF(Schema_v5!$C10=0,0,AE175/Schema_v5!$C10)</f>
        <v/>
      </c>
      <c r="AX175">
        <f>(W175-Schema_v5!$C11)/(Schema_v5!$C12-Schema_v5!$C11)</f>
        <v/>
      </c>
      <c r="AY175">
        <f>(X175-Schema_v5!$C13)/(Schema_v5!$C14-Schema_v5!$C13)</f>
        <v/>
      </c>
      <c r="AZ175">
        <f>MIN(1,MAX(0,U175/Schema_v7!$C$9))</f>
        <v/>
      </c>
      <c r="BA175">
        <f>IF(AJ175="yes",0.55,0)</f>
        <v/>
      </c>
      <c r="BB175">
        <f>IF(AI175="yes",0.10,0)</f>
        <v/>
      </c>
      <c r="BC175">
        <f>IF(Y175="COMM_Direct",0.92,IF(Y175="COMM_Emotional",0.70,IF(Y175="COMM_Logical",0.65,IF(Y175="COMM_Indirect",0.55,0.35))))</f>
        <v/>
      </c>
      <c r="BD175">
        <f>IF(Z175="REG_CoRegulator",0.92,IF(Z175="REG_SelfSoother",0.76,IF(Z175="REG_Distractor",0.48,0.35)))</f>
        <v/>
      </c>
      <c r="BE175">
        <f>IF(AA175="LANG_Time",0.76,IF(AA175="LANG_Service",0.70,IF(AA175="LANG_Words",0.72,IF(AA175="LANG_Touch",0.68,0.60))))</f>
        <v/>
      </c>
      <c r="BF175">
        <f>MAX(0,MIN(1,0.28*AS175+0.16*AT175+0.18*BC175+0.18*BD175+0.10*(1-AZ175)+0.10*(1-BA175)+BB175))</f>
        <v/>
      </c>
      <c r="BG175">
        <f>MAX(0,MIN(1,0.24*AU175+0.18*AS175+0.18*BC175+0.20*BD175+0.10*(1-AW175)+0.10*(1-BA175)))</f>
        <v/>
      </c>
      <c r="BH175">
        <f>MAX(0,MIN(1,0.28*AR175+0.18*AT175+0.16*AU175+0.18*(1-AV175)+0.10*(1-AW175)+0.10*BF175))</f>
        <v/>
      </c>
      <c r="BI175">
        <f>MAX(0,MIN(1,0.30*AV175+0.20*AZ175+0.20*AW175+0.15*(1-BH175)+0.15*(1-BO175)))</f>
        <v/>
      </c>
      <c r="BJ175">
        <f>MAX(0,1-(ABS(((( AX175+AY175)/2)-0.55)*1.6)))</f>
        <v/>
      </c>
      <c r="BK175">
        <f>MAX(0,MIN(1,0.28*AR175+0.18*AT175+0.16*BJ175+0.14*(1-AV175)+0.12*BQ175+0.12*BO175))</f>
        <v/>
      </c>
      <c r="BL175">
        <f>MAX(0,MIN(1,0.22*AQ175+0.18*AS175+0.18*BC175+0.18*BD175+0.08*BE175+0.10*BF175+0.06*BO175))</f>
        <v/>
      </c>
      <c r="BM175">
        <f>MAX(0,MIN(1,0.20*(1-AZ175)+0.16*(1-BA175)+0.14*(1-AW175)+0.14*AU175+0.18*BG175+0.10*BH175+0.08*BP175))</f>
        <v/>
      </c>
      <c r="BN175">
        <f>MAX(0,MIN(1,0.42*BJ175+0.33*BK175+0.15*AT175+0.10*BQ175))</f>
        <v/>
      </c>
      <c r="BO175">
        <f>MAX(0,MIN(1,0.30*BC175+0.24*BD175+0.18*AS175+0.14*(1-BI175)+0.14*AT175))</f>
        <v/>
      </c>
      <c r="BP175">
        <f>MAX(0,MIN(1,0.26*AS175+0.20*(1-BA175)+0.16*(1-AW175)+0.18*BG175+0.10*AU175+0.10+BB175))</f>
        <v/>
      </c>
      <c r="BQ175">
        <f>MAX(0,MIN(1,0.24*AT175+0.18*BF175+0.14*AR175+0.14*BO175+0.14*(1-AV175)+0.16*(1-AZ175)))</f>
        <v/>
      </c>
      <c r="BR175">
        <f>IF(BO175&gt;=0.80,"Open",IF(BO175&gt;=0.62,"Measured",IF(BO175&gt;=0.45,"Selective","Guarded")))</f>
        <v/>
      </c>
      <c r="BS175">
        <f>IF(Y175="COMM_Direct","Direct",IF(Y175="COMM_Emotional","Emotional",IF(Y175="COMM_Logical","Logical",IF(Y175="COMM_Indirect","Indirect","Avoidant"))))</f>
        <v/>
      </c>
      <c r="BT175">
        <f>IF(BG175&gt;=0.78,"Co-repair",IF(BG175&gt;=0.58,"Re-engage",IF(BG175&gt;=0.40,"Delay","Suppress")))</f>
        <v/>
      </c>
      <c r="BU175">
        <f>IF(BI175&gt;=0.70,"Retreat-risk",IF(BH175&lt;=0.40,"Rush-risk",IF(BH175&gt;=0.65,"Slow-build","Mixed")))</f>
        <v/>
      </c>
      <c r="BV175">
        <f>IF(BL175-BM175&gt;=0.15,"Stimulation-seeking",IF(BM175-BL175&gt;=0.15,"Calm-seeking","Mixed")))</f>
        <v/>
      </c>
      <c r="BW175">
        <f>IF(AND(BL175&gt;=0.72,BM175&lt;0.48),"High",IF(AND(BL175&gt;=0.60,BM175&lt;0.58),"Medium","Low"))</f>
        <v/>
      </c>
    </row>
    <row r="176" ht="94.5" customHeight="1" s="10">
      <c r="A176" s="2" t="inlineStr">
        <is>
          <t>Q35_E</t>
        </is>
      </c>
      <c r="B176" s="2" t="n">
        <v>35</v>
      </c>
      <c r="C176" s="2" t="n">
        <v>35</v>
      </c>
      <c r="D176" s="2" t="inlineStr">
        <is>
          <t>Core</t>
        </is>
      </c>
      <c r="E176" s="2" t="n">
        <v>1.15</v>
      </c>
      <c r="F176" s="2" t="inlineStr">
        <is>
          <t>CommitmentPace</t>
        </is>
      </c>
      <c r="G176" s="2" t="inlineStr">
        <is>
          <t>IntentAlignment</t>
        </is>
      </c>
      <c r="H176" s="2" t="n"/>
      <c r="I176" s="2" t="inlineStr">
        <is>
          <t>E</t>
        </is>
      </c>
      <c r="J176" s="2" t="inlineStr">
        <is>
          <t>E</t>
        </is>
      </c>
      <c r="K176" s="2" t="inlineStr">
        <is>
          <t>I make a joke or shift the vibe. I hate heavy stuff, so I try to steer it back to calm</t>
        </is>
      </c>
      <c r="L176" s="2" t="n">
        <v>5</v>
      </c>
      <c r="M176" s="2" t="n">
        <v>6</v>
      </c>
      <c r="N176" s="2" t="n">
        <v>2</v>
      </c>
      <c r="O176" s="2" t="n">
        <v>2</v>
      </c>
      <c r="P176" s="2" t="n">
        <v>0</v>
      </c>
      <c r="Q176" s="2" t="inlineStr">
        <is>
          <t>Performer</t>
        </is>
      </c>
      <c r="R176" s="2" t="n">
        <v>7</v>
      </c>
      <c r="S176" s="2" t="n"/>
      <c r="T176" s="2" t="n"/>
      <c r="U176" s="2" t="n">
        <v>0</v>
      </c>
      <c r="V176" s="2" t="inlineStr">
        <is>
          <t>masc:0.3;fem:0.5</t>
        </is>
      </c>
      <c r="W176" s="2" t="n">
        <v>0.3</v>
      </c>
      <c r="X176" s="2" t="n">
        <v>0.5</v>
      </c>
      <c r="Y176" s="2" t="inlineStr">
        <is>
          <t>COMM_Indirect</t>
        </is>
      </c>
      <c r="Z176" s="2" t="inlineStr">
        <is>
          <t>REG_Distractor</t>
        </is>
      </c>
      <c r="AA176" s="2" t="inlineStr">
        <is>
          <t>LANG_Gifts</t>
        </is>
      </c>
      <c r="AB176" s="2" t="inlineStr">
        <is>
          <t>Humor_Shield</t>
        </is>
      </c>
      <c r="AC176" s="2" t="inlineStr">
        <is>
          <t>Humor_Shield</t>
        </is>
      </c>
      <c r="AD176" s="2" t="n"/>
      <c r="AE176" s="2" t="n">
        <v>3</v>
      </c>
      <c r="AF176" s="2" t="inlineStr">
        <is>
          <t>emotional re-route reflex</t>
        </is>
      </c>
      <c r="AG176" s="2" t="inlineStr">
        <is>
          <t>mood deflector</t>
        </is>
      </c>
      <c r="AH176" s="2" t="n">
        <v>0.2</v>
      </c>
      <c r="AI176" s="2" t="inlineStr">
        <is>
          <t>yes</t>
        </is>
      </c>
      <c r="AJ176" s="2" t="inlineStr">
        <is>
          <t>no</t>
        </is>
      </c>
      <c r="AK176" s="2" t="inlineStr">
        <is>
          <t>yes</t>
        </is>
      </c>
      <c r="AL176" s="2" t="inlineStr">
        <is>
          <t>yes</t>
        </is>
      </c>
      <c r="AM176" s="2" t="n"/>
      <c r="AN176" s="2" t="n"/>
      <c r="AO176" s="2" t="n"/>
      <c r="AP176" s="2" t="inlineStr">
        <is>
          <t>v3_2026-03-19</t>
        </is>
      </c>
      <c r="AQ176">
        <f>(L176-Schema_v5!$C2)/(Schema_v5!$C3-Schema_v5!$C2)</f>
        <v/>
      </c>
      <c r="AR176">
        <f>(M176-Schema_v5!$C4)/(Schema_v5!$C5-Schema_v5!$C4)</f>
        <v/>
      </c>
      <c r="AS176">
        <f>N176/Schema_v5!$C6</f>
        <v/>
      </c>
      <c r="AT176">
        <f>O176/Schema_v5!$C7</f>
        <v/>
      </c>
      <c r="AU176">
        <f>P176/Schema_v5!$C8</f>
        <v/>
      </c>
      <c r="AV176">
        <f>IF(Schema_v5!$C9=0,0,AH176/Schema_v5!$C9)</f>
        <v/>
      </c>
      <c r="AW176">
        <f>IF(Schema_v5!$C10=0,0,AE176/Schema_v5!$C10)</f>
        <v/>
      </c>
      <c r="AX176">
        <f>(W176-Schema_v5!$C11)/(Schema_v5!$C12-Schema_v5!$C11)</f>
        <v/>
      </c>
      <c r="AY176">
        <f>(X176-Schema_v5!$C13)/(Schema_v5!$C14-Schema_v5!$C13)</f>
        <v/>
      </c>
      <c r="AZ176">
        <f>MIN(1,MAX(0,U176/Schema_v7!$C$9))</f>
        <v/>
      </c>
      <c r="BA176">
        <f>IF(AJ176="yes",0.55,0)</f>
        <v/>
      </c>
      <c r="BB176">
        <f>IF(AI176="yes",0.10,0)</f>
        <v/>
      </c>
      <c r="BC176">
        <f>IF(Y176="COMM_Direct",0.92,IF(Y176="COMM_Emotional",0.70,IF(Y176="COMM_Logical",0.65,IF(Y176="COMM_Indirect",0.55,0.35))))</f>
        <v/>
      </c>
      <c r="BD176">
        <f>IF(Z176="REG_CoRegulator",0.92,IF(Z176="REG_SelfSoother",0.76,IF(Z176="REG_Distractor",0.48,0.35)))</f>
        <v/>
      </c>
      <c r="BE176">
        <f>IF(AA176="LANG_Time",0.76,IF(AA176="LANG_Service",0.70,IF(AA176="LANG_Words",0.72,IF(AA176="LANG_Touch",0.68,0.60))))</f>
        <v/>
      </c>
      <c r="BF176">
        <f>MAX(0,MIN(1,0.28*AS176+0.16*AT176+0.18*BC176+0.18*BD176+0.10*(1-AZ176)+0.10*(1-BA176)+BB176))</f>
        <v/>
      </c>
      <c r="BG176">
        <f>MAX(0,MIN(1,0.24*AU176+0.18*AS176+0.18*BC176+0.20*BD176+0.10*(1-AW176)+0.10*(1-BA176)))</f>
        <v/>
      </c>
      <c r="BH176">
        <f>MAX(0,MIN(1,0.28*AR176+0.18*AT176+0.16*AU176+0.18*(1-AV176)+0.10*(1-AW176)+0.10*BF176))</f>
        <v/>
      </c>
      <c r="BI176">
        <f>MAX(0,MIN(1,0.30*AV176+0.20*AZ176+0.20*AW176+0.15*(1-BH176)+0.15*(1-BO176)))</f>
        <v/>
      </c>
      <c r="BJ176">
        <f>MAX(0,1-(ABS(((( AX176+AY176)/2)-0.55)*1.6)))</f>
        <v/>
      </c>
      <c r="BK176">
        <f>MAX(0,MIN(1,0.28*AR176+0.18*AT176+0.16*BJ176+0.14*(1-AV176)+0.12*BQ176+0.12*BO176))</f>
        <v/>
      </c>
      <c r="BL176">
        <f>MAX(0,MIN(1,0.22*AQ176+0.18*AS176+0.18*BC176+0.18*BD176+0.08*BE176+0.10*BF176+0.06*BO176))</f>
        <v/>
      </c>
      <c r="BM176">
        <f>MAX(0,MIN(1,0.20*(1-AZ176)+0.16*(1-BA176)+0.14*(1-AW176)+0.14*AU176+0.18*BG176+0.10*BH176+0.08*BP176))</f>
        <v/>
      </c>
      <c r="BN176">
        <f>MAX(0,MIN(1,0.42*BJ176+0.33*BK176+0.15*AT176+0.10*BQ176))</f>
        <v/>
      </c>
      <c r="BO176">
        <f>MAX(0,MIN(1,0.30*BC176+0.24*BD176+0.18*AS176+0.14*(1-BI176)+0.14*AT176))</f>
        <v/>
      </c>
      <c r="BP176">
        <f>MAX(0,MIN(1,0.26*AS176+0.20*(1-BA176)+0.16*(1-AW176)+0.18*BG176+0.10*AU176+0.10+BB176))</f>
        <v/>
      </c>
      <c r="BQ176">
        <f>MAX(0,MIN(1,0.24*AT176+0.18*BF176+0.14*AR176+0.14*BO176+0.14*(1-AV176)+0.16*(1-AZ176)))</f>
        <v/>
      </c>
      <c r="BR176">
        <f>IF(BO176&gt;=0.80,"Open",IF(BO176&gt;=0.62,"Measured",IF(BO176&gt;=0.45,"Selective","Guarded")))</f>
        <v/>
      </c>
      <c r="BS176">
        <f>IF(Y176="COMM_Direct","Direct",IF(Y176="COMM_Emotional","Emotional",IF(Y176="COMM_Logical","Logical",IF(Y176="COMM_Indirect","Indirect","Avoidant"))))</f>
        <v/>
      </c>
      <c r="BT176">
        <f>IF(BG176&gt;=0.78,"Co-repair",IF(BG176&gt;=0.58,"Re-engage",IF(BG176&gt;=0.40,"Delay","Suppress")))</f>
        <v/>
      </c>
      <c r="BU176">
        <f>IF(BI176&gt;=0.70,"Retreat-risk",IF(BH176&lt;=0.40,"Rush-risk",IF(BH176&gt;=0.65,"Slow-build","Mixed")))</f>
        <v/>
      </c>
      <c r="BV176">
        <f>IF(BL176-BM176&gt;=0.15,"Stimulation-seeking",IF(BM176-BL176&gt;=0.15,"Calm-seeking","Mixed")))</f>
        <v/>
      </c>
      <c r="BW176">
        <f>IF(AND(BL176&gt;=0.72,BM176&lt;0.48),"High",IF(AND(BL176&gt;=0.60,BM176&lt;0.58),"Medium","Low"))</f>
        <v/>
      </c>
    </row>
    <row r="177" ht="135" customHeight="1" s="10">
      <c r="A177" s="2" t="inlineStr">
        <is>
          <t>Q36_A</t>
        </is>
      </c>
      <c r="B177" s="2" t="n">
        <v>36</v>
      </c>
      <c r="C177" s="2" t="n">
        <v>36</v>
      </c>
      <c r="D177" s="2" t="inlineStr">
        <is>
          <t>Core</t>
        </is>
      </c>
      <c r="E177" s="2" t="n">
        <v>1.15</v>
      </c>
      <c r="F177" s="2" t="inlineStr">
        <is>
          <t>CommitmentPace</t>
        </is>
      </c>
      <c r="G177" s="2" t="inlineStr">
        <is>
          <t>IntentAlignment</t>
        </is>
      </c>
      <c r="H177" s="2" t="inlineStr">
        <is>
          <t>You were consistent, showed up, and stayed real-but they still chose someone else. What's your honest reaction?</t>
        </is>
      </c>
      <c r="I177" s="2" t="inlineStr">
        <is>
          <t>A</t>
        </is>
      </c>
      <c r="J177" s="2" t="inlineStr">
        <is>
          <t>A</t>
        </is>
      </c>
      <c r="K177" s="2" t="inlineStr">
        <is>
          <t>I start comparing myself to the person they picked, quietly trying to figure out what they had that I didn't.</t>
        </is>
      </c>
      <c r="L177" s="2" t="n">
        <v>5</v>
      </c>
      <c r="M177" s="2" t="n">
        <v>6</v>
      </c>
      <c r="N177" s="2" t="n">
        <v>4</v>
      </c>
      <c r="O177" s="2" t="n">
        <v>4</v>
      </c>
      <c r="P177" s="2" t="n">
        <v>2</v>
      </c>
      <c r="Q177" s="2" t="inlineStr">
        <is>
          <t>Analyzer</t>
        </is>
      </c>
      <c r="R177" s="2" t="n">
        <v>2</v>
      </c>
      <c r="S177" s="2" t="n"/>
      <c r="T177" s="2" t="n"/>
      <c r="U177" s="2" t="n">
        <v>0</v>
      </c>
      <c r="V177" s="2" t="inlineStr">
        <is>
          <t>masc:1.4;fem:0.1</t>
        </is>
      </c>
      <c r="W177" s="2" t="n">
        <v>1.4</v>
      </c>
      <c r="X177" s="2" t="n">
        <v>0.1</v>
      </c>
      <c r="Y177" s="2" t="inlineStr">
        <is>
          <t>COMM_Logical</t>
        </is>
      </c>
      <c r="Z177" s="2" t="inlineStr">
        <is>
          <t>REG_SelfSoother</t>
        </is>
      </c>
      <c r="AA177" s="2" t="inlineStr">
        <is>
          <t>LANG_Service</t>
        </is>
      </c>
      <c r="AB177" s="2" t="inlineStr">
        <is>
          <t>Vulnerability_Loop</t>
        </is>
      </c>
      <c r="AC177" s="2" t="inlineStr">
        <is>
          <t>Vulnerability_Loop</t>
        </is>
      </c>
      <c r="AD177" s="2" t="n"/>
      <c r="AE177" s="2" t="n">
        <v>5</v>
      </c>
      <c r="AF177" s="2" t="inlineStr">
        <is>
          <t>post-rejection audit</t>
        </is>
      </c>
      <c r="AG177" s="2" t="inlineStr">
        <is>
          <t>comparison seeker</t>
        </is>
      </c>
      <c r="AH177" s="2" t="n">
        <v>0</v>
      </c>
      <c r="AI177" s="2" t="inlineStr">
        <is>
          <t>yes</t>
        </is>
      </c>
      <c r="AJ177" s="2" t="inlineStr">
        <is>
          <t>no</t>
        </is>
      </c>
      <c r="AK177" s="2" t="inlineStr">
        <is>
          <t>yes</t>
        </is>
      </c>
      <c r="AL177" s="2" t="inlineStr">
        <is>
          <t>yes</t>
        </is>
      </c>
      <c r="AM177" s="2" t="n"/>
      <c r="AN177" s="2" t="n"/>
      <c r="AO177" s="2" t="n"/>
      <c r="AP177" s="2" t="inlineStr">
        <is>
          <t>v3_2026-03-19</t>
        </is>
      </c>
      <c r="AQ177">
        <f>(L177-Schema_v5!$C2)/(Schema_v5!$C3-Schema_v5!$C2)</f>
        <v/>
      </c>
      <c r="AR177">
        <f>(M177-Schema_v5!$C4)/(Schema_v5!$C5-Schema_v5!$C4)</f>
        <v/>
      </c>
      <c r="AS177">
        <f>N177/Schema_v5!$C6</f>
        <v/>
      </c>
      <c r="AT177">
        <f>O177/Schema_v5!$C7</f>
        <v/>
      </c>
      <c r="AU177">
        <f>P177/Schema_v5!$C8</f>
        <v/>
      </c>
      <c r="AV177">
        <f>IF(Schema_v5!$C9=0,0,AH177/Schema_v5!$C9)</f>
        <v/>
      </c>
      <c r="AW177">
        <f>IF(Schema_v5!$C10=0,0,AE177/Schema_v5!$C10)</f>
        <v/>
      </c>
      <c r="AX177">
        <f>(W177-Schema_v5!$C11)/(Schema_v5!$C12-Schema_v5!$C11)</f>
        <v/>
      </c>
      <c r="AY177">
        <f>(X177-Schema_v5!$C13)/(Schema_v5!$C14-Schema_v5!$C13)</f>
        <v/>
      </c>
      <c r="AZ177">
        <f>MIN(1,MAX(0,U177/Schema_v7!$C$9))</f>
        <v/>
      </c>
      <c r="BA177">
        <f>IF(AJ177="yes",0.55,0)</f>
        <v/>
      </c>
      <c r="BB177">
        <f>IF(AI177="yes",0.10,0)</f>
        <v/>
      </c>
      <c r="BC177">
        <f>IF(Y177="COMM_Direct",0.92,IF(Y177="COMM_Emotional",0.70,IF(Y177="COMM_Logical",0.65,IF(Y177="COMM_Indirect",0.55,0.35))))</f>
        <v/>
      </c>
      <c r="BD177">
        <f>IF(Z177="REG_CoRegulator",0.92,IF(Z177="REG_SelfSoother",0.76,IF(Z177="REG_Distractor",0.48,0.35)))</f>
        <v/>
      </c>
      <c r="BE177">
        <f>IF(AA177="LANG_Time",0.76,IF(AA177="LANG_Service",0.70,IF(AA177="LANG_Words",0.72,IF(AA177="LANG_Touch",0.68,0.60))))</f>
        <v/>
      </c>
      <c r="BF177">
        <f>MAX(0,MIN(1,0.28*AS177+0.16*AT177+0.18*BC177+0.18*BD177+0.10*(1-AZ177)+0.10*(1-BA177)+BB177))</f>
        <v/>
      </c>
      <c r="BG177">
        <f>MAX(0,MIN(1,0.24*AU177+0.18*AS177+0.18*BC177+0.20*BD177+0.10*(1-AW177)+0.10*(1-BA177)))</f>
        <v/>
      </c>
      <c r="BH177">
        <f>MAX(0,MIN(1,0.28*AR177+0.18*AT177+0.16*AU177+0.18*(1-AV177)+0.10*(1-AW177)+0.10*BF177))</f>
        <v/>
      </c>
      <c r="BI177">
        <f>MAX(0,MIN(1,0.30*AV177+0.20*AZ177+0.20*AW177+0.15*(1-BH177)+0.15*(1-BO177)))</f>
        <v/>
      </c>
      <c r="BJ177">
        <f>MAX(0,1-(ABS(((( AX177+AY177)/2)-0.55)*1.6)))</f>
        <v/>
      </c>
      <c r="BK177">
        <f>MAX(0,MIN(1,0.28*AR177+0.18*AT177+0.16*BJ177+0.14*(1-AV177)+0.12*BQ177+0.12*BO177))</f>
        <v/>
      </c>
      <c r="BL177">
        <f>MAX(0,MIN(1,0.22*AQ177+0.18*AS177+0.18*BC177+0.18*BD177+0.08*BE177+0.10*BF177+0.06*BO177))</f>
        <v/>
      </c>
      <c r="BM177">
        <f>MAX(0,MIN(1,0.20*(1-AZ177)+0.16*(1-BA177)+0.14*(1-AW177)+0.14*AU177+0.18*BG177+0.10*BH177+0.08*BP177))</f>
        <v/>
      </c>
      <c r="BN177">
        <f>MAX(0,MIN(1,0.42*BJ177+0.33*BK177+0.15*AT177+0.10*BQ177))</f>
        <v/>
      </c>
      <c r="BO177">
        <f>MAX(0,MIN(1,0.30*BC177+0.24*BD177+0.18*AS177+0.14*(1-BI177)+0.14*AT177))</f>
        <v/>
      </c>
      <c r="BP177">
        <f>MAX(0,MIN(1,0.26*AS177+0.20*(1-BA177)+0.16*(1-AW177)+0.18*BG177+0.10*AU177+0.10+BB177))</f>
        <v/>
      </c>
      <c r="BQ177">
        <f>MAX(0,MIN(1,0.24*AT177+0.18*BF177+0.14*AR177+0.14*BO177+0.14*(1-AV177)+0.16*(1-AZ177)))</f>
        <v/>
      </c>
      <c r="BR177">
        <f>IF(BO177&gt;=0.80,"Open",IF(BO177&gt;=0.62,"Measured",IF(BO177&gt;=0.45,"Selective","Guarded")))</f>
        <v/>
      </c>
      <c r="BS177">
        <f>IF(Y177="COMM_Direct","Direct",IF(Y177="COMM_Emotional","Emotional",IF(Y177="COMM_Logical","Logical",IF(Y177="COMM_Indirect","Indirect","Avoidant"))))</f>
        <v/>
      </c>
      <c r="BT177">
        <f>IF(BG177&gt;=0.78,"Co-repair",IF(BG177&gt;=0.58,"Re-engage",IF(BG177&gt;=0.40,"Delay","Suppress")))</f>
        <v/>
      </c>
      <c r="BU177">
        <f>IF(BI177&gt;=0.70,"Retreat-risk",IF(BH177&lt;=0.40,"Rush-risk",IF(BH177&gt;=0.65,"Slow-build","Mixed")))</f>
        <v/>
      </c>
      <c r="BV177">
        <f>IF(BL177-BM177&gt;=0.15,"Stimulation-seeking",IF(BM177-BL177&gt;=0.15,"Calm-seeking","Mixed")))</f>
        <v/>
      </c>
      <c r="BW177">
        <f>IF(AND(BL177&gt;=0.72,BM177&lt;0.48),"High",IF(AND(BL177&gt;=0.60,BM177&lt;0.58),"Medium","Low"))</f>
        <v/>
      </c>
    </row>
    <row r="178" ht="81" customHeight="1" s="10">
      <c r="A178" s="2" t="inlineStr">
        <is>
          <t>Q36_B</t>
        </is>
      </c>
      <c r="B178" s="2" t="n">
        <v>36</v>
      </c>
      <c r="C178" s="2" t="n">
        <v>36</v>
      </c>
      <c r="D178" s="2" t="inlineStr">
        <is>
          <t>Core</t>
        </is>
      </c>
      <c r="E178" s="2" t="n">
        <v>1.15</v>
      </c>
      <c r="F178" s="2" t="inlineStr">
        <is>
          <t>CommitmentPace</t>
        </is>
      </c>
      <c r="G178" s="2" t="inlineStr">
        <is>
          <t>IntentAlignment</t>
        </is>
      </c>
      <c r="H178" s="2" t="n"/>
      <c r="I178" s="2" t="inlineStr">
        <is>
          <t>B</t>
        </is>
      </c>
      <c r="J178" s="2" t="inlineStr">
        <is>
          <t>B</t>
        </is>
      </c>
      <c r="K178" s="2" t="inlineStr">
        <is>
          <t>I shut down emotionally. If that wasn't enough, then nothing will be.</t>
        </is>
      </c>
      <c r="L178" s="2" t="n">
        <v>4</v>
      </c>
      <c r="M178" s="2" t="n">
        <v>5</v>
      </c>
      <c r="N178" s="2" t="n">
        <v>0</v>
      </c>
      <c r="O178" s="2" t="n">
        <v>0</v>
      </c>
      <c r="P178" s="2" t="n">
        <v>0</v>
      </c>
      <c r="Q178" s="2" t="inlineStr">
        <is>
          <t>Icebox</t>
        </is>
      </c>
      <c r="R178" s="2" t="n">
        <v>1</v>
      </c>
      <c r="S178" s="2" t="n"/>
      <c r="T178" s="2" t="n"/>
      <c r="U178" s="2" t="n">
        <v>0</v>
      </c>
      <c r="V178" s="2" t="inlineStr">
        <is>
          <t>masc:1.8;fem:-1.6</t>
        </is>
      </c>
      <c r="W178" s="2" t="n">
        <v>1.8</v>
      </c>
      <c r="X178" s="2" t="n">
        <v>-1.6</v>
      </c>
      <c r="Y178" s="2" t="inlineStr">
        <is>
          <t>COMM_Avoidant</t>
        </is>
      </c>
      <c r="Z178" s="2" t="inlineStr">
        <is>
          <t>REG_Suppressor</t>
        </is>
      </c>
      <c r="AA178" s="2" t="inlineStr">
        <is>
          <t>LANG_Time</t>
        </is>
      </c>
      <c r="AB178" s="2" t="inlineStr">
        <is>
          <t>Vulnerability_Loop , Pursuer_Distancer</t>
        </is>
      </c>
      <c r="AC178" s="2" t="inlineStr">
        <is>
          <t>Vulnerability_Loop</t>
        </is>
      </c>
      <c r="AD178" s="2" t="inlineStr">
        <is>
          <t>Pursuer_Distancer</t>
        </is>
      </c>
      <c r="AE178" s="2" t="n">
        <v>11</v>
      </c>
      <c r="AF178" s="2" t="inlineStr">
        <is>
          <t>proof of unlovability</t>
        </is>
      </c>
      <c r="AG178" s="2" t="inlineStr">
        <is>
          <t>emotional closer</t>
        </is>
      </c>
      <c r="AH178" s="2" t="n">
        <v>0</v>
      </c>
      <c r="AI178" s="2" t="inlineStr">
        <is>
          <t>yes</t>
        </is>
      </c>
      <c r="AJ178" s="2" t="inlineStr">
        <is>
          <t>no</t>
        </is>
      </c>
      <c r="AK178" s="2" t="inlineStr">
        <is>
          <t>yes</t>
        </is>
      </c>
      <c r="AL178" s="2" t="inlineStr">
        <is>
          <t>yes</t>
        </is>
      </c>
      <c r="AM178" s="2" t="n"/>
      <c r="AN178" s="2" t="n"/>
      <c r="AO178" s="2" t="n"/>
      <c r="AP178" s="2" t="inlineStr">
        <is>
          <t>v3_2026-03-19</t>
        </is>
      </c>
      <c r="AQ178">
        <f>(L178-Schema_v5!$C2)/(Schema_v5!$C3-Schema_v5!$C2)</f>
        <v/>
      </c>
      <c r="AR178">
        <f>(M178-Schema_v5!$C4)/(Schema_v5!$C5-Schema_v5!$C4)</f>
        <v/>
      </c>
      <c r="AS178">
        <f>N178/Schema_v5!$C6</f>
        <v/>
      </c>
      <c r="AT178">
        <f>O178/Schema_v5!$C7</f>
        <v/>
      </c>
      <c r="AU178">
        <f>P178/Schema_v5!$C8</f>
        <v/>
      </c>
      <c r="AV178">
        <f>IF(Schema_v5!$C9=0,0,AH178/Schema_v5!$C9)</f>
        <v/>
      </c>
      <c r="AW178">
        <f>IF(Schema_v5!$C10=0,0,AE178/Schema_v5!$C10)</f>
        <v/>
      </c>
      <c r="AX178">
        <f>(W178-Schema_v5!$C11)/(Schema_v5!$C12-Schema_v5!$C11)</f>
        <v/>
      </c>
      <c r="AY178">
        <f>(X178-Schema_v5!$C13)/(Schema_v5!$C14-Schema_v5!$C13)</f>
        <v/>
      </c>
      <c r="AZ178">
        <f>MIN(1,MAX(0,U178/Schema_v7!$C$9))</f>
        <v/>
      </c>
      <c r="BA178">
        <f>IF(AJ178="yes",0.55,0)</f>
        <v/>
      </c>
      <c r="BB178">
        <f>IF(AI178="yes",0.10,0)</f>
        <v/>
      </c>
      <c r="BC178">
        <f>IF(Y178="COMM_Direct",0.92,IF(Y178="COMM_Emotional",0.70,IF(Y178="COMM_Logical",0.65,IF(Y178="COMM_Indirect",0.55,0.35))))</f>
        <v/>
      </c>
      <c r="BD178">
        <f>IF(Z178="REG_CoRegulator",0.92,IF(Z178="REG_SelfSoother",0.76,IF(Z178="REG_Distractor",0.48,0.35)))</f>
        <v/>
      </c>
      <c r="BE178">
        <f>IF(AA178="LANG_Time",0.76,IF(AA178="LANG_Service",0.70,IF(AA178="LANG_Words",0.72,IF(AA178="LANG_Touch",0.68,0.60))))</f>
        <v/>
      </c>
      <c r="BF178">
        <f>MAX(0,MIN(1,0.28*AS178+0.16*AT178+0.18*BC178+0.18*BD178+0.10*(1-AZ178)+0.10*(1-BA178)+BB178))</f>
        <v/>
      </c>
      <c r="BG178">
        <f>MAX(0,MIN(1,0.24*AU178+0.18*AS178+0.18*BC178+0.20*BD178+0.10*(1-AW178)+0.10*(1-BA178)))</f>
        <v/>
      </c>
      <c r="BH178">
        <f>MAX(0,MIN(1,0.28*AR178+0.18*AT178+0.16*AU178+0.18*(1-AV178)+0.10*(1-AW178)+0.10*BF178))</f>
        <v/>
      </c>
      <c r="BI178">
        <f>MAX(0,MIN(1,0.30*AV178+0.20*AZ178+0.20*AW178+0.15*(1-BH178)+0.15*(1-BO178)))</f>
        <v/>
      </c>
      <c r="BJ178">
        <f>MAX(0,1-(ABS(((( AX178+AY178)/2)-0.55)*1.6)))</f>
        <v/>
      </c>
      <c r="BK178">
        <f>MAX(0,MIN(1,0.28*AR178+0.18*AT178+0.16*BJ178+0.14*(1-AV178)+0.12*BQ178+0.12*BO178))</f>
        <v/>
      </c>
      <c r="BL178">
        <f>MAX(0,MIN(1,0.22*AQ178+0.18*AS178+0.18*BC178+0.18*BD178+0.08*BE178+0.10*BF178+0.06*BO178))</f>
        <v/>
      </c>
      <c r="BM178">
        <f>MAX(0,MIN(1,0.20*(1-AZ178)+0.16*(1-BA178)+0.14*(1-AW178)+0.14*AU178+0.18*BG178+0.10*BH178+0.08*BP178))</f>
        <v/>
      </c>
      <c r="BN178">
        <f>MAX(0,MIN(1,0.42*BJ178+0.33*BK178+0.15*AT178+0.10*BQ178))</f>
        <v/>
      </c>
      <c r="BO178">
        <f>MAX(0,MIN(1,0.30*BC178+0.24*BD178+0.18*AS178+0.14*(1-BI178)+0.14*AT178))</f>
        <v/>
      </c>
      <c r="BP178">
        <f>MAX(0,MIN(1,0.26*AS178+0.20*(1-BA178)+0.16*(1-AW178)+0.18*BG178+0.10*AU178+0.10+BB178))</f>
        <v/>
      </c>
      <c r="BQ178">
        <f>MAX(0,MIN(1,0.24*AT178+0.18*BF178+0.14*AR178+0.14*BO178+0.14*(1-AV178)+0.16*(1-AZ178)))</f>
        <v/>
      </c>
      <c r="BR178">
        <f>IF(BO178&gt;=0.80,"Open",IF(BO178&gt;=0.62,"Measured",IF(BO178&gt;=0.45,"Selective","Guarded")))</f>
        <v/>
      </c>
      <c r="BS178">
        <f>IF(Y178="COMM_Direct","Direct",IF(Y178="COMM_Emotional","Emotional",IF(Y178="COMM_Logical","Logical",IF(Y178="COMM_Indirect","Indirect","Avoidant"))))</f>
        <v/>
      </c>
      <c r="BT178">
        <f>IF(BG178&gt;=0.78,"Co-repair",IF(BG178&gt;=0.58,"Re-engage",IF(BG178&gt;=0.40,"Delay","Suppress")))</f>
        <v/>
      </c>
      <c r="BU178">
        <f>IF(BI178&gt;=0.70,"Retreat-risk",IF(BH178&lt;=0.40,"Rush-risk",IF(BH178&gt;=0.65,"Slow-build","Mixed")))</f>
        <v/>
      </c>
      <c r="BV178">
        <f>IF(BL178-BM178&gt;=0.15,"Stimulation-seeking",IF(BM178-BL178&gt;=0.15,"Calm-seeking","Mixed")))</f>
        <v/>
      </c>
      <c r="BW178">
        <f>IF(AND(BL178&gt;=0.72,BM178&lt;0.48),"High",IF(AND(BL178&gt;=0.60,BM178&lt;0.58),"Medium","Low"))</f>
        <v/>
      </c>
    </row>
    <row r="179" ht="108" customHeight="1" s="10">
      <c r="A179" s="2" t="inlineStr">
        <is>
          <t>Q36_C</t>
        </is>
      </c>
      <c r="B179" s="2" t="n">
        <v>36</v>
      </c>
      <c r="C179" s="2" t="n">
        <v>36</v>
      </c>
      <c r="D179" s="2" t="inlineStr">
        <is>
          <t>Core</t>
        </is>
      </c>
      <c r="E179" s="2" t="n">
        <v>1.15</v>
      </c>
      <c r="F179" s="2" t="inlineStr">
        <is>
          <t>CommitmentPace</t>
        </is>
      </c>
      <c r="G179" s="2" t="inlineStr">
        <is>
          <t>IntentAlignment</t>
        </is>
      </c>
      <c r="H179" s="2" t="n"/>
      <c r="I179" s="2" t="inlineStr">
        <is>
          <t>C</t>
        </is>
      </c>
      <c r="J179" s="2" t="inlineStr">
        <is>
          <t>C</t>
        </is>
      </c>
      <c r="K179" s="2" t="inlineStr">
        <is>
          <t>I act like I'm fine, but I replay everything. I wonder if I was too much or not enough.</t>
        </is>
      </c>
      <c r="L179" s="2" t="n">
        <v>5</v>
      </c>
      <c r="M179" s="2" t="n">
        <v>6</v>
      </c>
      <c r="N179" s="2" t="n">
        <v>2</v>
      </c>
      <c r="O179" s="2" t="n">
        <v>4</v>
      </c>
      <c r="P179" s="2" t="n">
        <v>2</v>
      </c>
      <c r="Q179" s="2" t="inlineStr">
        <is>
          <t>Phantom Seeker</t>
        </is>
      </c>
      <c r="R179" s="2" t="n">
        <v>10</v>
      </c>
      <c r="S179" s="2" t="n"/>
      <c r="T179" s="2" t="n"/>
      <c r="U179" s="2" t="n">
        <v>0</v>
      </c>
      <c r="V179" s="2" t="inlineStr">
        <is>
          <t>masc:-0.2;fem:1.5</t>
        </is>
      </c>
      <c r="W179" s="2" t="n">
        <v>-0.2</v>
      </c>
      <c r="X179" s="2" t="n">
        <v>1.5</v>
      </c>
      <c r="Y179" s="2" t="inlineStr">
        <is>
          <t>COMM_Emotional</t>
        </is>
      </c>
      <c r="Z179" s="2" t="inlineStr">
        <is>
          <t>REG_SelfSoother</t>
        </is>
      </c>
      <c r="AA179" s="2" t="inlineStr">
        <is>
          <t>LANG_Touch</t>
        </is>
      </c>
      <c r="AB179" s="2" t="inlineStr">
        <is>
          <t>Vulnerability_Loop</t>
        </is>
      </c>
      <c r="AC179" s="2" t="inlineStr">
        <is>
          <t>Vulnerability_Loop</t>
        </is>
      </c>
      <c r="AD179" s="2" t="n"/>
      <c r="AE179" s="2" t="n">
        <v>5</v>
      </c>
      <c r="AF179" s="2" t="inlineStr">
        <is>
          <t>internal replay loop</t>
        </is>
      </c>
      <c r="AG179" s="2" t="inlineStr">
        <is>
          <t>self-doubter</t>
        </is>
      </c>
      <c r="AH179" s="2" t="n">
        <v>0</v>
      </c>
      <c r="AI179" s="2" t="inlineStr">
        <is>
          <t>yes</t>
        </is>
      </c>
      <c r="AJ179" s="2" t="inlineStr">
        <is>
          <t>no</t>
        </is>
      </c>
      <c r="AK179" s="2" t="inlineStr">
        <is>
          <t>yes</t>
        </is>
      </c>
      <c r="AL179" s="2" t="inlineStr">
        <is>
          <t>yes</t>
        </is>
      </c>
      <c r="AM179" s="2" t="n"/>
      <c r="AN179" s="2" t="n"/>
      <c r="AO179" s="2" t="n"/>
      <c r="AP179" s="2" t="inlineStr">
        <is>
          <t>v3_2026-03-19</t>
        </is>
      </c>
      <c r="AQ179">
        <f>(L179-Schema_v5!$C2)/(Schema_v5!$C3-Schema_v5!$C2)</f>
        <v/>
      </c>
      <c r="AR179">
        <f>(M179-Schema_v5!$C4)/(Schema_v5!$C5-Schema_v5!$C4)</f>
        <v/>
      </c>
      <c r="AS179">
        <f>N179/Schema_v5!$C6</f>
        <v/>
      </c>
      <c r="AT179">
        <f>O179/Schema_v5!$C7</f>
        <v/>
      </c>
      <c r="AU179">
        <f>P179/Schema_v5!$C8</f>
        <v/>
      </c>
      <c r="AV179">
        <f>IF(Schema_v5!$C9=0,0,AH179/Schema_v5!$C9)</f>
        <v/>
      </c>
      <c r="AW179">
        <f>IF(Schema_v5!$C10=0,0,AE179/Schema_v5!$C10)</f>
        <v/>
      </c>
      <c r="AX179">
        <f>(W179-Schema_v5!$C11)/(Schema_v5!$C12-Schema_v5!$C11)</f>
        <v/>
      </c>
      <c r="AY179">
        <f>(X179-Schema_v5!$C13)/(Schema_v5!$C14-Schema_v5!$C13)</f>
        <v/>
      </c>
      <c r="AZ179">
        <f>MIN(1,MAX(0,U179/Schema_v7!$C$9))</f>
        <v/>
      </c>
      <c r="BA179">
        <f>IF(AJ179="yes",0.55,0)</f>
        <v/>
      </c>
      <c r="BB179">
        <f>IF(AI179="yes",0.10,0)</f>
        <v/>
      </c>
      <c r="BC179">
        <f>IF(Y179="COMM_Direct",0.92,IF(Y179="COMM_Emotional",0.70,IF(Y179="COMM_Logical",0.65,IF(Y179="COMM_Indirect",0.55,0.35))))</f>
        <v/>
      </c>
      <c r="BD179">
        <f>IF(Z179="REG_CoRegulator",0.92,IF(Z179="REG_SelfSoother",0.76,IF(Z179="REG_Distractor",0.48,0.35)))</f>
        <v/>
      </c>
      <c r="BE179">
        <f>IF(AA179="LANG_Time",0.76,IF(AA179="LANG_Service",0.70,IF(AA179="LANG_Words",0.72,IF(AA179="LANG_Touch",0.68,0.60))))</f>
        <v/>
      </c>
      <c r="BF179">
        <f>MAX(0,MIN(1,0.28*AS179+0.16*AT179+0.18*BC179+0.18*BD179+0.10*(1-AZ179)+0.10*(1-BA179)+BB179))</f>
        <v/>
      </c>
      <c r="BG179">
        <f>MAX(0,MIN(1,0.24*AU179+0.18*AS179+0.18*BC179+0.20*BD179+0.10*(1-AW179)+0.10*(1-BA179)))</f>
        <v/>
      </c>
      <c r="BH179">
        <f>MAX(0,MIN(1,0.28*AR179+0.18*AT179+0.16*AU179+0.18*(1-AV179)+0.10*(1-AW179)+0.10*BF179))</f>
        <v/>
      </c>
      <c r="BI179">
        <f>MAX(0,MIN(1,0.30*AV179+0.20*AZ179+0.20*AW179+0.15*(1-BH179)+0.15*(1-BO179)))</f>
        <v/>
      </c>
      <c r="BJ179">
        <f>MAX(0,1-(ABS(((( AX179+AY179)/2)-0.55)*1.6)))</f>
        <v/>
      </c>
      <c r="BK179">
        <f>MAX(0,MIN(1,0.28*AR179+0.18*AT179+0.16*BJ179+0.14*(1-AV179)+0.12*BQ179+0.12*BO179))</f>
        <v/>
      </c>
      <c r="BL179">
        <f>MAX(0,MIN(1,0.22*AQ179+0.18*AS179+0.18*BC179+0.18*BD179+0.08*BE179+0.10*BF179+0.06*BO179))</f>
        <v/>
      </c>
      <c r="BM179">
        <f>MAX(0,MIN(1,0.20*(1-AZ179)+0.16*(1-BA179)+0.14*(1-AW179)+0.14*AU179+0.18*BG179+0.10*BH179+0.08*BP179))</f>
        <v/>
      </c>
      <c r="BN179">
        <f>MAX(0,MIN(1,0.42*BJ179+0.33*BK179+0.15*AT179+0.10*BQ179))</f>
        <v/>
      </c>
      <c r="BO179">
        <f>MAX(0,MIN(1,0.30*BC179+0.24*BD179+0.18*AS179+0.14*(1-BI179)+0.14*AT179))</f>
        <v/>
      </c>
      <c r="BP179">
        <f>MAX(0,MIN(1,0.26*AS179+0.20*(1-BA179)+0.16*(1-AW179)+0.18*BG179+0.10*AU179+0.10+BB179))</f>
        <v/>
      </c>
      <c r="BQ179">
        <f>MAX(0,MIN(1,0.24*AT179+0.18*BF179+0.14*AR179+0.14*BO179+0.14*(1-AV179)+0.16*(1-AZ179)))</f>
        <v/>
      </c>
      <c r="BR179">
        <f>IF(BO179&gt;=0.80,"Open",IF(BO179&gt;=0.62,"Measured",IF(BO179&gt;=0.45,"Selective","Guarded")))</f>
        <v/>
      </c>
      <c r="BS179">
        <f>IF(Y179="COMM_Direct","Direct",IF(Y179="COMM_Emotional","Emotional",IF(Y179="COMM_Logical","Logical",IF(Y179="COMM_Indirect","Indirect","Avoidant"))))</f>
        <v/>
      </c>
      <c r="BT179">
        <f>IF(BG179&gt;=0.78,"Co-repair",IF(BG179&gt;=0.58,"Re-engage",IF(BG179&gt;=0.40,"Delay","Suppress")))</f>
        <v/>
      </c>
      <c r="BU179">
        <f>IF(BI179&gt;=0.70,"Retreat-risk",IF(BH179&lt;=0.40,"Rush-risk",IF(BH179&gt;=0.65,"Slow-build","Mixed")))</f>
        <v/>
      </c>
      <c r="BV179">
        <f>IF(BL179-BM179&gt;=0.15,"Stimulation-seeking",IF(BM179-BL179&gt;=0.15,"Calm-seeking","Mixed")))</f>
        <v/>
      </c>
      <c r="BW179">
        <f>IF(AND(BL179&gt;=0.72,BM179&lt;0.48),"High",IF(AND(BL179&gt;=0.60,BM179&lt;0.58),"Medium","Low"))</f>
        <v/>
      </c>
    </row>
    <row r="180" ht="108" customHeight="1" s="10">
      <c r="A180" s="2" t="inlineStr">
        <is>
          <t>Q36_D</t>
        </is>
      </c>
      <c r="B180" s="2" t="n">
        <v>36</v>
      </c>
      <c r="C180" s="2" t="n">
        <v>36</v>
      </c>
      <c r="D180" s="2" t="inlineStr">
        <is>
          <t>Core</t>
        </is>
      </c>
      <c r="E180" s="2" t="n">
        <v>1.15</v>
      </c>
      <c r="F180" s="2" t="inlineStr">
        <is>
          <t>CommitmentPace</t>
        </is>
      </c>
      <c r="G180" s="2" t="inlineStr">
        <is>
          <t>IntentAlignment</t>
        </is>
      </c>
      <c r="H180" s="2" t="n"/>
      <c r="I180" s="2" t="inlineStr">
        <is>
          <t>D</t>
        </is>
      </c>
      <c r="J180" s="2" t="inlineStr">
        <is>
          <t>D</t>
        </is>
      </c>
      <c r="K180" s="2" t="inlineStr">
        <is>
          <t>I make a joke about it or post something slick. If I'm gonna lose, I'm losing with style</t>
        </is>
      </c>
      <c r="L180" s="2" t="n">
        <v>6</v>
      </c>
      <c r="M180" s="2" t="n">
        <v>7</v>
      </c>
      <c r="N180" s="2" t="n">
        <v>2</v>
      </c>
      <c r="O180" s="2" t="n">
        <v>4</v>
      </c>
      <c r="P180" s="2" t="n">
        <v>2</v>
      </c>
      <c r="Q180" s="2" t="inlineStr">
        <is>
          <t>Performer</t>
        </is>
      </c>
      <c r="R180" s="2" t="n">
        <v>7</v>
      </c>
      <c r="S180" s="2" t="n"/>
      <c r="T180" s="2" t="n"/>
      <c r="U180" s="2" t="n">
        <v>0</v>
      </c>
      <c r="V180" s="2" t="inlineStr">
        <is>
          <t>masc:0.3;fem:0.5</t>
        </is>
      </c>
      <c r="W180" s="2" t="n">
        <v>0.3</v>
      </c>
      <c r="X180" s="2" t="n">
        <v>0.5</v>
      </c>
      <c r="Y180" s="2" t="inlineStr">
        <is>
          <t>COMM_Indirect</t>
        </is>
      </c>
      <c r="Z180" s="2" t="inlineStr">
        <is>
          <t>REG_Distractor</t>
        </is>
      </c>
      <c r="AA180" s="2" t="inlineStr">
        <is>
          <t>LANG_Gifts</t>
        </is>
      </c>
      <c r="AB180" s="2" t="n"/>
      <c r="AC180" s="2" t="n"/>
      <c r="AD180" s="2" t="n"/>
      <c r="AE180" s="2" t="n">
        <v>0</v>
      </c>
      <c r="AF180" s="2" t="inlineStr">
        <is>
          <t>deflect with cool</t>
        </is>
      </c>
      <c r="AG180" s="2" t="inlineStr">
        <is>
          <t>image protector</t>
        </is>
      </c>
      <c r="AH180" s="2" t="n">
        <v>0.6</v>
      </c>
      <c r="AI180" s="2" t="inlineStr">
        <is>
          <t>no</t>
        </is>
      </c>
      <c r="AJ180" s="2" t="inlineStr">
        <is>
          <t>no</t>
        </is>
      </c>
      <c r="AK180" s="2" t="inlineStr">
        <is>
          <t>yes</t>
        </is>
      </c>
      <c r="AL180" s="2" t="inlineStr">
        <is>
          <t>yes</t>
        </is>
      </c>
      <c r="AM180" s="2" t="n"/>
      <c r="AN180" s="2" t="n"/>
      <c r="AO180" s="2" t="n"/>
      <c r="AP180" s="2" t="inlineStr">
        <is>
          <t>v3_2026-03-19</t>
        </is>
      </c>
      <c r="AQ180">
        <f>(L180-Schema_v5!$C2)/(Schema_v5!$C3-Schema_v5!$C2)</f>
        <v/>
      </c>
      <c r="AR180">
        <f>(M180-Schema_v5!$C4)/(Schema_v5!$C5-Schema_v5!$C4)</f>
        <v/>
      </c>
      <c r="AS180">
        <f>N180/Schema_v5!$C6</f>
        <v/>
      </c>
      <c r="AT180">
        <f>O180/Schema_v5!$C7</f>
        <v/>
      </c>
      <c r="AU180">
        <f>P180/Schema_v5!$C8</f>
        <v/>
      </c>
      <c r="AV180">
        <f>IF(Schema_v5!$C9=0,0,AH180/Schema_v5!$C9)</f>
        <v/>
      </c>
      <c r="AW180">
        <f>IF(Schema_v5!$C10=0,0,AE180/Schema_v5!$C10)</f>
        <v/>
      </c>
      <c r="AX180">
        <f>(W180-Schema_v5!$C11)/(Schema_v5!$C12-Schema_v5!$C11)</f>
        <v/>
      </c>
      <c r="AY180">
        <f>(X180-Schema_v5!$C13)/(Schema_v5!$C14-Schema_v5!$C13)</f>
        <v/>
      </c>
      <c r="AZ180">
        <f>MIN(1,MAX(0,U180/Schema_v7!$C$9))</f>
        <v/>
      </c>
      <c r="BA180">
        <f>IF(AJ180="yes",0.55,0)</f>
        <v/>
      </c>
      <c r="BB180">
        <f>IF(AI180="yes",0.10,0)</f>
        <v/>
      </c>
      <c r="BC180">
        <f>IF(Y180="COMM_Direct",0.92,IF(Y180="COMM_Emotional",0.70,IF(Y180="COMM_Logical",0.65,IF(Y180="COMM_Indirect",0.55,0.35))))</f>
        <v/>
      </c>
      <c r="BD180">
        <f>IF(Z180="REG_CoRegulator",0.92,IF(Z180="REG_SelfSoother",0.76,IF(Z180="REG_Distractor",0.48,0.35)))</f>
        <v/>
      </c>
      <c r="BE180">
        <f>IF(AA180="LANG_Time",0.76,IF(AA180="LANG_Service",0.70,IF(AA180="LANG_Words",0.72,IF(AA180="LANG_Touch",0.68,0.60))))</f>
        <v/>
      </c>
      <c r="BF180">
        <f>MAX(0,MIN(1,0.28*AS180+0.16*AT180+0.18*BC180+0.18*BD180+0.10*(1-AZ180)+0.10*(1-BA180)+BB180))</f>
        <v/>
      </c>
      <c r="BG180">
        <f>MAX(0,MIN(1,0.24*AU180+0.18*AS180+0.18*BC180+0.20*BD180+0.10*(1-AW180)+0.10*(1-BA180)))</f>
        <v/>
      </c>
      <c r="BH180">
        <f>MAX(0,MIN(1,0.28*AR180+0.18*AT180+0.16*AU180+0.18*(1-AV180)+0.10*(1-AW180)+0.10*BF180))</f>
        <v/>
      </c>
      <c r="BI180">
        <f>MAX(0,MIN(1,0.30*AV180+0.20*AZ180+0.20*AW180+0.15*(1-BH180)+0.15*(1-BO180)))</f>
        <v/>
      </c>
      <c r="BJ180">
        <f>MAX(0,1-(ABS(((( AX180+AY180)/2)-0.55)*1.6)))</f>
        <v/>
      </c>
      <c r="BK180">
        <f>MAX(0,MIN(1,0.28*AR180+0.18*AT180+0.16*BJ180+0.14*(1-AV180)+0.12*BQ180+0.12*BO180))</f>
        <v/>
      </c>
      <c r="BL180">
        <f>MAX(0,MIN(1,0.22*AQ180+0.18*AS180+0.18*BC180+0.18*BD180+0.08*BE180+0.10*BF180+0.06*BO180))</f>
        <v/>
      </c>
      <c r="BM180">
        <f>MAX(0,MIN(1,0.20*(1-AZ180)+0.16*(1-BA180)+0.14*(1-AW180)+0.14*AU180+0.18*BG180+0.10*BH180+0.08*BP180))</f>
        <v/>
      </c>
      <c r="BN180">
        <f>MAX(0,MIN(1,0.42*BJ180+0.33*BK180+0.15*AT180+0.10*BQ180))</f>
        <v/>
      </c>
      <c r="BO180">
        <f>MAX(0,MIN(1,0.30*BC180+0.24*BD180+0.18*AS180+0.14*(1-BI180)+0.14*AT180))</f>
        <v/>
      </c>
      <c r="BP180">
        <f>MAX(0,MIN(1,0.26*AS180+0.20*(1-BA180)+0.16*(1-AW180)+0.18*BG180+0.10*AU180+0.10+BB180))</f>
        <v/>
      </c>
      <c r="BQ180">
        <f>MAX(0,MIN(1,0.24*AT180+0.18*BF180+0.14*AR180+0.14*BO180+0.14*(1-AV180)+0.16*(1-AZ180)))</f>
        <v/>
      </c>
      <c r="BR180">
        <f>IF(BO180&gt;=0.80,"Open",IF(BO180&gt;=0.62,"Measured",IF(BO180&gt;=0.45,"Selective","Guarded")))</f>
        <v/>
      </c>
      <c r="BS180">
        <f>IF(Y180="COMM_Direct","Direct",IF(Y180="COMM_Emotional","Emotional",IF(Y180="COMM_Logical","Logical",IF(Y180="COMM_Indirect","Indirect","Avoidant"))))</f>
        <v/>
      </c>
      <c r="BT180">
        <f>IF(BG180&gt;=0.78,"Co-repair",IF(BG180&gt;=0.58,"Re-engage",IF(BG180&gt;=0.40,"Delay","Suppress")))</f>
        <v/>
      </c>
      <c r="BU180">
        <f>IF(BI180&gt;=0.70,"Retreat-risk",IF(BH180&lt;=0.40,"Rush-risk",IF(BH180&gt;=0.65,"Slow-build","Mixed")))</f>
        <v/>
      </c>
      <c r="BV180">
        <f>IF(BL180-BM180&gt;=0.15,"Stimulation-seeking",IF(BM180-BL180&gt;=0.15,"Calm-seeking","Mixed")))</f>
        <v/>
      </c>
      <c r="BW180">
        <f>IF(AND(BL180&gt;=0.72,BM180&lt;0.48),"High",IF(AND(BL180&gt;=0.60,BM180&lt;0.58),"Medium","Low"))</f>
        <v/>
      </c>
    </row>
    <row r="181" ht="94.5" customHeight="1" s="10">
      <c r="A181" s="2" t="inlineStr">
        <is>
          <t>Q36_E</t>
        </is>
      </c>
      <c r="B181" s="2" t="n">
        <v>36</v>
      </c>
      <c r="C181" s="2" t="n">
        <v>36</v>
      </c>
      <c r="D181" s="2" t="inlineStr">
        <is>
          <t>Core</t>
        </is>
      </c>
      <c r="E181" s="2" t="n">
        <v>1.15</v>
      </c>
      <c r="F181" s="2" t="inlineStr">
        <is>
          <t>CommitmentPace</t>
        </is>
      </c>
      <c r="G181" s="2" t="inlineStr">
        <is>
          <t>IntentAlignment</t>
        </is>
      </c>
      <c r="H181" s="2" t="n"/>
      <c r="I181" s="2" t="inlineStr">
        <is>
          <t>E</t>
        </is>
      </c>
      <c r="J181" s="2" t="inlineStr">
        <is>
          <t>E</t>
        </is>
      </c>
      <c r="K181" s="2" t="inlineStr">
        <is>
          <t>I convince myself it was never real to begin with. If it was, they wouldn't have left.</t>
        </is>
      </c>
      <c r="L181" s="2" t="n">
        <v>6</v>
      </c>
      <c r="M181" s="2" t="n">
        <v>7</v>
      </c>
      <c r="N181" s="2" t="n">
        <v>4</v>
      </c>
      <c r="O181" s="2" t="n">
        <v>6</v>
      </c>
      <c r="P181" s="2" t="n">
        <v>6</v>
      </c>
      <c r="Q181" s="2" t="inlineStr">
        <is>
          <t>Survivor</t>
        </is>
      </c>
      <c r="R181" s="2" t="n">
        <v>8</v>
      </c>
      <c r="S181" s="2" t="n"/>
      <c r="T181" s="2" t="n"/>
      <c r="U181" s="2" t="n">
        <v>0</v>
      </c>
      <c r="V181" s="2" t="inlineStr">
        <is>
          <t>masc:0.3;fem:1.3</t>
        </is>
      </c>
      <c r="W181" s="2" t="n">
        <v>0.3</v>
      </c>
      <c r="X181" s="2" t="n">
        <v>1.3</v>
      </c>
      <c r="Y181" s="2" t="inlineStr">
        <is>
          <t>COMM_Emotional</t>
        </is>
      </c>
      <c r="Z181" s="2" t="inlineStr">
        <is>
          <t>REG_SelfSoother</t>
        </is>
      </c>
      <c r="AA181" s="2" t="inlineStr">
        <is>
          <t>LANG_Service</t>
        </is>
      </c>
      <c r="AB181" s="2" t="n"/>
      <c r="AC181" s="2" t="n"/>
      <c r="AD181" s="2" t="n"/>
      <c r="AE181" s="2" t="n">
        <v>0</v>
      </c>
      <c r="AF181" s="2" t="inlineStr">
        <is>
          <t>protective rewrite</t>
        </is>
      </c>
      <c r="AG181" s="2" t="inlineStr">
        <is>
          <t>narrative reframer</t>
        </is>
      </c>
      <c r="AH181" s="2" t="n">
        <v>0</v>
      </c>
      <c r="AI181" s="2" t="inlineStr">
        <is>
          <t>no</t>
        </is>
      </c>
      <c r="AJ181" s="2" t="inlineStr">
        <is>
          <t>no</t>
        </is>
      </c>
      <c r="AK181" s="2" t="inlineStr">
        <is>
          <t>yes</t>
        </is>
      </c>
      <c r="AL181" s="2" t="inlineStr">
        <is>
          <t>yes</t>
        </is>
      </c>
      <c r="AM181" s="2" t="n"/>
      <c r="AN181" s="2" t="n"/>
      <c r="AO181" s="2" t="n"/>
      <c r="AP181" s="2" t="inlineStr">
        <is>
          <t>v3_2026-03-19</t>
        </is>
      </c>
      <c r="AQ181">
        <f>(L181-Schema_v5!$C2)/(Schema_v5!$C3-Schema_v5!$C2)</f>
        <v/>
      </c>
      <c r="AR181">
        <f>(M181-Schema_v5!$C4)/(Schema_v5!$C5-Schema_v5!$C4)</f>
        <v/>
      </c>
      <c r="AS181">
        <f>N181/Schema_v5!$C6</f>
        <v/>
      </c>
      <c r="AT181">
        <f>O181/Schema_v5!$C7</f>
        <v/>
      </c>
      <c r="AU181">
        <f>P181/Schema_v5!$C8</f>
        <v/>
      </c>
      <c r="AV181">
        <f>IF(Schema_v5!$C9=0,0,AH181/Schema_v5!$C9)</f>
        <v/>
      </c>
      <c r="AW181">
        <f>IF(Schema_v5!$C10=0,0,AE181/Schema_v5!$C10)</f>
        <v/>
      </c>
      <c r="AX181">
        <f>(W181-Schema_v5!$C11)/(Schema_v5!$C12-Schema_v5!$C11)</f>
        <v/>
      </c>
      <c r="AY181">
        <f>(X181-Schema_v5!$C13)/(Schema_v5!$C14-Schema_v5!$C13)</f>
        <v/>
      </c>
      <c r="AZ181">
        <f>MIN(1,MAX(0,U181/Schema_v7!$C$9))</f>
        <v/>
      </c>
      <c r="BA181">
        <f>IF(AJ181="yes",0.55,0)</f>
        <v/>
      </c>
      <c r="BB181">
        <f>IF(AI181="yes",0.10,0)</f>
        <v/>
      </c>
      <c r="BC181">
        <f>IF(Y181="COMM_Direct",0.92,IF(Y181="COMM_Emotional",0.70,IF(Y181="COMM_Logical",0.65,IF(Y181="COMM_Indirect",0.55,0.35))))</f>
        <v/>
      </c>
      <c r="BD181">
        <f>IF(Z181="REG_CoRegulator",0.92,IF(Z181="REG_SelfSoother",0.76,IF(Z181="REG_Distractor",0.48,0.35)))</f>
        <v/>
      </c>
      <c r="BE181">
        <f>IF(AA181="LANG_Time",0.76,IF(AA181="LANG_Service",0.70,IF(AA181="LANG_Words",0.72,IF(AA181="LANG_Touch",0.68,0.60))))</f>
        <v/>
      </c>
      <c r="BF181">
        <f>MAX(0,MIN(1,0.28*AS181+0.16*AT181+0.18*BC181+0.18*BD181+0.10*(1-AZ181)+0.10*(1-BA181)+BB181))</f>
        <v/>
      </c>
      <c r="BG181">
        <f>MAX(0,MIN(1,0.24*AU181+0.18*AS181+0.18*BC181+0.20*BD181+0.10*(1-AW181)+0.10*(1-BA181)))</f>
        <v/>
      </c>
      <c r="BH181">
        <f>MAX(0,MIN(1,0.28*AR181+0.18*AT181+0.16*AU181+0.18*(1-AV181)+0.10*(1-AW181)+0.10*BF181))</f>
        <v/>
      </c>
      <c r="BI181">
        <f>MAX(0,MIN(1,0.30*AV181+0.20*AZ181+0.20*AW181+0.15*(1-BH181)+0.15*(1-BO181)))</f>
        <v/>
      </c>
      <c r="BJ181">
        <f>MAX(0,1-(ABS(((( AX181+AY181)/2)-0.55)*1.6)))</f>
        <v/>
      </c>
      <c r="BK181">
        <f>MAX(0,MIN(1,0.28*AR181+0.18*AT181+0.16*BJ181+0.14*(1-AV181)+0.12*BQ181+0.12*BO181))</f>
        <v/>
      </c>
      <c r="BL181">
        <f>MAX(0,MIN(1,0.22*AQ181+0.18*AS181+0.18*BC181+0.18*BD181+0.08*BE181+0.10*BF181+0.06*BO181))</f>
        <v/>
      </c>
      <c r="BM181">
        <f>MAX(0,MIN(1,0.20*(1-AZ181)+0.16*(1-BA181)+0.14*(1-AW181)+0.14*AU181+0.18*BG181+0.10*BH181+0.08*BP181))</f>
        <v/>
      </c>
      <c r="BN181">
        <f>MAX(0,MIN(1,0.42*BJ181+0.33*BK181+0.15*AT181+0.10*BQ181))</f>
        <v/>
      </c>
      <c r="BO181">
        <f>MAX(0,MIN(1,0.30*BC181+0.24*BD181+0.18*AS181+0.14*(1-BI181)+0.14*AT181))</f>
        <v/>
      </c>
      <c r="BP181">
        <f>MAX(0,MIN(1,0.26*AS181+0.20*(1-BA181)+0.16*(1-AW181)+0.18*BG181+0.10*AU181+0.10+BB181))</f>
        <v/>
      </c>
      <c r="BQ181">
        <f>MAX(0,MIN(1,0.24*AT181+0.18*BF181+0.14*AR181+0.14*BO181+0.14*(1-AV181)+0.16*(1-AZ181)))</f>
        <v/>
      </c>
      <c r="BR181">
        <f>IF(BO181&gt;=0.80,"Open",IF(BO181&gt;=0.62,"Measured",IF(BO181&gt;=0.45,"Selective","Guarded")))</f>
        <v/>
      </c>
      <c r="BS181">
        <f>IF(Y181="COMM_Direct","Direct",IF(Y181="COMM_Emotional","Emotional",IF(Y181="COMM_Logical","Logical",IF(Y181="COMM_Indirect","Indirect","Avoidant"))))</f>
        <v/>
      </c>
      <c r="BT181">
        <f>IF(BG181&gt;=0.78,"Co-repair",IF(BG181&gt;=0.58,"Re-engage",IF(BG181&gt;=0.40,"Delay","Suppress")))</f>
        <v/>
      </c>
      <c r="BU181">
        <f>IF(BI181&gt;=0.70,"Retreat-risk",IF(BH181&lt;=0.40,"Rush-risk",IF(BH181&gt;=0.65,"Slow-build","Mixed")))</f>
        <v/>
      </c>
      <c r="BV181">
        <f>IF(BL181-BM181&gt;=0.15,"Stimulation-seeking",IF(BM181-BL181&gt;=0.15,"Calm-seeking","Mixed")))</f>
        <v/>
      </c>
      <c r="BW181">
        <f>IF(AND(BL181&gt;=0.72,BM181&lt;0.48),"High",IF(AND(BL181&gt;=0.60,BM181&lt;0.58),"Medium","Low"))</f>
        <v/>
      </c>
    </row>
    <row r="182" ht="121.5" customHeight="1" s="10">
      <c r="A182" s="2" t="inlineStr">
        <is>
          <t>Q37_A</t>
        </is>
      </c>
      <c r="B182" s="2" t="n">
        <v>37</v>
      </c>
      <c r="C182" s="2" t="n">
        <v>37</v>
      </c>
      <c r="D182" s="2" t="inlineStr">
        <is>
          <t>Core</t>
        </is>
      </c>
      <c r="E182" s="2" t="n">
        <v>1.2</v>
      </c>
      <c r="F182" s="2" t="inlineStr">
        <is>
          <t>CommitmentPace</t>
        </is>
      </c>
      <c r="G182" s="2" t="inlineStr">
        <is>
          <t>IntentAlignment</t>
        </is>
      </c>
      <c r="H182" s="2" t="inlineStr">
        <is>
          <t>You feel emotionally overloaded-something triggered you, but you don't want to show it. What usually happens next?</t>
        </is>
      </c>
      <c r="I182" s="2" t="inlineStr">
        <is>
          <t>A</t>
        </is>
      </c>
      <c r="J182" s="2" t="inlineStr">
        <is>
          <t>A</t>
        </is>
      </c>
      <c r="K182" s="2" t="inlineStr">
        <is>
          <t>I analyze it in my head, trying to figure out if I even should be this upset. I don't trust my first reaction.</t>
        </is>
      </c>
      <c r="L182" s="2" t="n">
        <v>7</v>
      </c>
      <c r="M182" s="2" t="n">
        <v>8</v>
      </c>
      <c r="N182" s="2" t="n">
        <v>6</v>
      </c>
      <c r="O182" s="2" t="n">
        <v>8</v>
      </c>
      <c r="P182" s="2" t="n">
        <v>6</v>
      </c>
      <c r="Q182" s="2" t="inlineStr">
        <is>
          <t>Analyzer</t>
        </is>
      </c>
      <c r="R182" s="2" t="n">
        <v>2</v>
      </c>
      <c r="S182" s="2" t="n"/>
      <c r="T182" s="2" t="n"/>
      <c r="U182" s="2" t="n">
        <v>0</v>
      </c>
      <c r="V182" s="2" t="inlineStr">
        <is>
          <t>masc:1.4;fem:0.1</t>
        </is>
      </c>
      <c r="W182" s="2" t="n">
        <v>1.4</v>
      </c>
      <c r="X182" s="2" t="n">
        <v>0.1</v>
      </c>
      <c r="Y182" s="2" t="inlineStr">
        <is>
          <t>COMM_Logical</t>
        </is>
      </c>
      <c r="Z182" s="2" t="inlineStr">
        <is>
          <t>REG_SelfSoother</t>
        </is>
      </c>
      <c r="AA182" s="2" t="inlineStr">
        <is>
          <t>LANG_Service</t>
        </is>
      </c>
      <c r="AB182" s="2" t="n"/>
      <c r="AC182" s="2" t="n"/>
      <c r="AD182" s="2" t="n"/>
      <c r="AE182" s="2" t="n">
        <v>0</v>
      </c>
      <c r="AF182" s="2" t="inlineStr">
        <is>
          <t>internal emotional filter</t>
        </is>
      </c>
      <c r="AG182" s="2" t="inlineStr">
        <is>
          <t>reaction assessor</t>
        </is>
      </c>
      <c r="AH182" s="2" t="n">
        <v>0</v>
      </c>
      <c r="AI182" s="2" t="inlineStr">
        <is>
          <t>no</t>
        </is>
      </c>
      <c r="AJ182" s="2" t="inlineStr">
        <is>
          <t>no</t>
        </is>
      </c>
      <c r="AK182" s="2" t="inlineStr">
        <is>
          <t>yes</t>
        </is>
      </c>
      <c r="AL182" s="2" t="inlineStr">
        <is>
          <t>yes</t>
        </is>
      </c>
      <c r="AM182" s="2" t="n"/>
      <c r="AN182" s="2" t="n"/>
      <c r="AO182" s="2" t="n"/>
      <c r="AP182" s="2" t="inlineStr">
        <is>
          <t>v3_2026-03-19</t>
        </is>
      </c>
      <c r="AQ182">
        <f>(L182-Schema_v5!$C2)/(Schema_v5!$C3-Schema_v5!$C2)</f>
        <v/>
      </c>
      <c r="AR182">
        <f>(M182-Schema_v5!$C4)/(Schema_v5!$C5-Schema_v5!$C4)</f>
        <v/>
      </c>
      <c r="AS182">
        <f>N182/Schema_v5!$C6</f>
        <v/>
      </c>
      <c r="AT182">
        <f>O182/Schema_v5!$C7</f>
        <v/>
      </c>
      <c r="AU182">
        <f>P182/Schema_v5!$C8</f>
        <v/>
      </c>
      <c r="AV182">
        <f>IF(Schema_v5!$C9=0,0,AH182/Schema_v5!$C9)</f>
        <v/>
      </c>
      <c r="AW182">
        <f>IF(Schema_v5!$C10=0,0,AE182/Schema_v5!$C10)</f>
        <v/>
      </c>
      <c r="AX182">
        <f>(W182-Schema_v5!$C11)/(Schema_v5!$C12-Schema_v5!$C11)</f>
        <v/>
      </c>
      <c r="AY182">
        <f>(X182-Schema_v5!$C13)/(Schema_v5!$C14-Schema_v5!$C13)</f>
        <v/>
      </c>
      <c r="AZ182">
        <f>MIN(1,MAX(0,U182/Schema_v7!$C$9))</f>
        <v/>
      </c>
      <c r="BA182">
        <f>IF(AJ182="yes",0.55,0)</f>
        <v/>
      </c>
      <c r="BB182">
        <f>IF(AI182="yes",0.10,0)</f>
        <v/>
      </c>
      <c r="BC182">
        <f>IF(Y182="COMM_Direct",0.92,IF(Y182="COMM_Emotional",0.70,IF(Y182="COMM_Logical",0.65,IF(Y182="COMM_Indirect",0.55,0.35))))</f>
        <v/>
      </c>
      <c r="BD182">
        <f>IF(Z182="REG_CoRegulator",0.92,IF(Z182="REG_SelfSoother",0.76,IF(Z182="REG_Distractor",0.48,0.35)))</f>
        <v/>
      </c>
      <c r="BE182">
        <f>IF(AA182="LANG_Time",0.76,IF(AA182="LANG_Service",0.70,IF(AA182="LANG_Words",0.72,IF(AA182="LANG_Touch",0.68,0.60))))</f>
        <v/>
      </c>
      <c r="BF182">
        <f>MAX(0,MIN(1,0.28*AS182+0.16*AT182+0.18*BC182+0.18*BD182+0.10*(1-AZ182)+0.10*(1-BA182)+BB182))</f>
        <v/>
      </c>
      <c r="BG182">
        <f>MAX(0,MIN(1,0.24*AU182+0.18*AS182+0.18*BC182+0.20*BD182+0.10*(1-AW182)+0.10*(1-BA182)))</f>
        <v/>
      </c>
      <c r="BH182">
        <f>MAX(0,MIN(1,0.28*AR182+0.18*AT182+0.16*AU182+0.18*(1-AV182)+0.10*(1-AW182)+0.10*BF182))</f>
        <v/>
      </c>
      <c r="BI182">
        <f>MAX(0,MIN(1,0.30*AV182+0.20*AZ182+0.20*AW182+0.15*(1-BH182)+0.15*(1-BO182)))</f>
        <v/>
      </c>
      <c r="BJ182">
        <f>MAX(0,1-(ABS(((( AX182+AY182)/2)-0.55)*1.6)))</f>
        <v/>
      </c>
      <c r="BK182">
        <f>MAX(0,MIN(1,0.28*AR182+0.18*AT182+0.16*BJ182+0.14*(1-AV182)+0.12*BQ182+0.12*BO182))</f>
        <v/>
      </c>
      <c r="BL182">
        <f>MAX(0,MIN(1,0.22*AQ182+0.18*AS182+0.18*BC182+0.18*BD182+0.08*BE182+0.10*BF182+0.06*BO182))</f>
        <v/>
      </c>
      <c r="BM182">
        <f>MAX(0,MIN(1,0.20*(1-AZ182)+0.16*(1-BA182)+0.14*(1-AW182)+0.14*AU182+0.18*BG182+0.10*BH182+0.08*BP182))</f>
        <v/>
      </c>
      <c r="BN182">
        <f>MAX(0,MIN(1,0.42*BJ182+0.33*BK182+0.15*AT182+0.10*BQ182))</f>
        <v/>
      </c>
      <c r="BO182">
        <f>MAX(0,MIN(1,0.30*BC182+0.24*BD182+0.18*AS182+0.14*(1-BI182)+0.14*AT182))</f>
        <v/>
      </c>
      <c r="BP182">
        <f>MAX(0,MIN(1,0.26*AS182+0.20*(1-BA182)+0.16*(1-AW182)+0.18*BG182+0.10*AU182+0.10+BB182))</f>
        <v/>
      </c>
      <c r="BQ182">
        <f>MAX(0,MIN(1,0.24*AT182+0.18*BF182+0.14*AR182+0.14*BO182+0.14*(1-AV182)+0.16*(1-AZ182)))</f>
        <v/>
      </c>
      <c r="BR182">
        <f>IF(BO182&gt;=0.80,"Open",IF(BO182&gt;=0.62,"Measured",IF(BO182&gt;=0.45,"Selective","Guarded")))</f>
        <v/>
      </c>
      <c r="BS182">
        <f>IF(Y182="COMM_Direct","Direct",IF(Y182="COMM_Emotional","Emotional",IF(Y182="COMM_Logical","Logical",IF(Y182="COMM_Indirect","Indirect","Avoidant"))))</f>
        <v/>
      </c>
      <c r="BT182">
        <f>IF(BG182&gt;=0.78,"Co-repair",IF(BG182&gt;=0.58,"Re-engage",IF(BG182&gt;=0.40,"Delay","Suppress")))</f>
        <v/>
      </c>
      <c r="BU182">
        <f>IF(BI182&gt;=0.70,"Retreat-risk",IF(BH182&lt;=0.40,"Rush-risk",IF(BH182&gt;=0.65,"Slow-build","Mixed")))</f>
        <v/>
      </c>
      <c r="BV182">
        <f>IF(BL182-BM182&gt;=0.15,"Stimulation-seeking",IF(BM182-BL182&gt;=0.15,"Calm-seeking","Mixed")))</f>
        <v/>
      </c>
      <c r="BW182">
        <f>IF(AND(BL182&gt;=0.72,BM182&lt;0.48),"High",IF(AND(BL182&gt;=0.60,BM182&lt;0.58),"Medium","Low"))</f>
        <v/>
      </c>
    </row>
    <row r="183" ht="162" customHeight="1" s="10">
      <c r="A183" s="2" t="inlineStr">
        <is>
          <t>Q37_B</t>
        </is>
      </c>
      <c r="B183" s="2" t="n">
        <v>37</v>
      </c>
      <c r="C183" s="2" t="n">
        <v>37</v>
      </c>
      <c r="D183" s="2" t="inlineStr">
        <is>
          <t>Core</t>
        </is>
      </c>
      <c r="E183" s="2" t="n">
        <v>1.2</v>
      </c>
      <c r="F183" s="2" t="inlineStr">
        <is>
          <t>CommitmentPace</t>
        </is>
      </c>
      <c r="G183" s="2" t="inlineStr">
        <is>
          <t>IntentAlignment</t>
        </is>
      </c>
      <c r="H183" s="2" t="n"/>
      <c r="I183" s="2" t="inlineStr">
        <is>
          <t>B</t>
        </is>
      </c>
      <c r="J183" s="2" t="inlineStr">
        <is>
          <t>B</t>
        </is>
      </c>
      <c r="K183" s="2" t="inlineStr">
        <is>
          <t>I shift the conversation fast or start asking questions about them. I'd rather be in control of the vibe than risk them seeing me spiral.</t>
        </is>
      </c>
      <c r="L183" s="2" t="n">
        <v>6</v>
      </c>
      <c r="M183" s="2" t="n">
        <v>7</v>
      </c>
      <c r="N183" s="2" t="n">
        <v>2</v>
      </c>
      <c r="O183" s="2" t="n">
        <v>4</v>
      </c>
      <c r="P183" s="2" t="n">
        <v>0</v>
      </c>
      <c r="Q183" s="2" t="inlineStr">
        <is>
          <t>Performer</t>
        </is>
      </c>
      <c r="R183" s="2" t="n">
        <v>7</v>
      </c>
      <c r="S183" s="2" t="n"/>
      <c r="T183" s="2" t="n"/>
      <c r="U183" s="2" t="n">
        <v>0</v>
      </c>
      <c r="V183" s="2" t="inlineStr">
        <is>
          <t>masc:0.3;fem:0.5</t>
        </is>
      </c>
      <c r="W183" s="2" t="n">
        <v>0.3</v>
      </c>
      <c r="X183" s="2" t="n">
        <v>0.5</v>
      </c>
      <c r="Y183" s="2" t="inlineStr">
        <is>
          <t>COMM_Indirect</t>
        </is>
      </c>
      <c r="Z183" s="2" t="inlineStr">
        <is>
          <t>REG_Distractor</t>
        </is>
      </c>
      <c r="AA183" s="2" t="inlineStr">
        <is>
          <t>LANG_Gifts</t>
        </is>
      </c>
      <c r="AB183" s="2" t="inlineStr">
        <is>
          <t>Control_Avoidance</t>
        </is>
      </c>
      <c r="AC183" s="2" t="inlineStr">
        <is>
          <t>Control_Avoidance</t>
        </is>
      </c>
      <c r="AD183" s="2" t="n"/>
      <c r="AE183" s="2" t="n">
        <v>6</v>
      </c>
      <c r="AF183" s="2" t="inlineStr">
        <is>
          <t>vibe manager reflex</t>
        </is>
      </c>
      <c r="AG183" s="2" t="inlineStr">
        <is>
          <t>tone shifter</t>
        </is>
      </c>
      <c r="AH183" s="2" t="n">
        <v>0</v>
      </c>
      <c r="AI183" s="2" t="inlineStr">
        <is>
          <t>yes</t>
        </is>
      </c>
      <c r="AJ183" s="2" t="inlineStr">
        <is>
          <t>no</t>
        </is>
      </c>
      <c r="AK183" s="2" t="inlineStr">
        <is>
          <t>yes</t>
        </is>
      </c>
      <c r="AL183" s="2" t="inlineStr">
        <is>
          <t>yes</t>
        </is>
      </c>
      <c r="AM183" s="2" t="n"/>
      <c r="AN183" s="2" t="n"/>
      <c r="AO183" s="2" t="n"/>
      <c r="AP183" s="2" t="inlineStr">
        <is>
          <t>v3_2026-03-19</t>
        </is>
      </c>
      <c r="AQ183">
        <f>(L183-Schema_v5!$C2)/(Schema_v5!$C3-Schema_v5!$C2)</f>
        <v/>
      </c>
      <c r="AR183">
        <f>(M183-Schema_v5!$C4)/(Schema_v5!$C5-Schema_v5!$C4)</f>
        <v/>
      </c>
      <c r="AS183">
        <f>N183/Schema_v5!$C6</f>
        <v/>
      </c>
      <c r="AT183">
        <f>O183/Schema_v5!$C7</f>
        <v/>
      </c>
      <c r="AU183">
        <f>P183/Schema_v5!$C8</f>
        <v/>
      </c>
      <c r="AV183">
        <f>IF(Schema_v5!$C9=0,0,AH183/Schema_v5!$C9)</f>
        <v/>
      </c>
      <c r="AW183">
        <f>IF(Schema_v5!$C10=0,0,AE183/Schema_v5!$C10)</f>
        <v/>
      </c>
      <c r="AX183">
        <f>(W183-Schema_v5!$C11)/(Schema_v5!$C12-Schema_v5!$C11)</f>
        <v/>
      </c>
      <c r="AY183">
        <f>(X183-Schema_v5!$C13)/(Schema_v5!$C14-Schema_v5!$C13)</f>
        <v/>
      </c>
      <c r="AZ183">
        <f>MIN(1,MAX(0,U183/Schema_v7!$C$9))</f>
        <v/>
      </c>
      <c r="BA183">
        <f>IF(AJ183="yes",0.55,0)</f>
        <v/>
      </c>
      <c r="BB183">
        <f>IF(AI183="yes",0.10,0)</f>
        <v/>
      </c>
      <c r="BC183">
        <f>IF(Y183="COMM_Direct",0.92,IF(Y183="COMM_Emotional",0.70,IF(Y183="COMM_Logical",0.65,IF(Y183="COMM_Indirect",0.55,0.35))))</f>
        <v/>
      </c>
      <c r="BD183">
        <f>IF(Z183="REG_CoRegulator",0.92,IF(Z183="REG_SelfSoother",0.76,IF(Z183="REG_Distractor",0.48,0.35)))</f>
        <v/>
      </c>
      <c r="BE183">
        <f>IF(AA183="LANG_Time",0.76,IF(AA183="LANG_Service",0.70,IF(AA183="LANG_Words",0.72,IF(AA183="LANG_Touch",0.68,0.60))))</f>
        <v/>
      </c>
      <c r="BF183">
        <f>MAX(0,MIN(1,0.28*AS183+0.16*AT183+0.18*BC183+0.18*BD183+0.10*(1-AZ183)+0.10*(1-BA183)+BB183))</f>
        <v/>
      </c>
      <c r="BG183">
        <f>MAX(0,MIN(1,0.24*AU183+0.18*AS183+0.18*BC183+0.20*BD183+0.10*(1-AW183)+0.10*(1-BA183)))</f>
        <v/>
      </c>
      <c r="BH183">
        <f>MAX(0,MIN(1,0.28*AR183+0.18*AT183+0.16*AU183+0.18*(1-AV183)+0.10*(1-AW183)+0.10*BF183))</f>
        <v/>
      </c>
      <c r="BI183">
        <f>MAX(0,MIN(1,0.30*AV183+0.20*AZ183+0.20*AW183+0.15*(1-BH183)+0.15*(1-BO183)))</f>
        <v/>
      </c>
      <c r="BJ183">
        <f>MAX(0,1-(ABS(((( AX183+AY183)/2)-0.55)*1.6)))</f>
        <v/>
      </c>
      <c r="BK183">
        <f>MAX(0,MIN(1,0.28*AR183+0.18*AT183+0.16*BJ183+0.14*(1-AV183)+0.12*BQ183+0.12*BO183))</f>
        <v/>
      </c>
      <c r="BL183">
        <f>MAX(0,MIN(1,0.22*AQ183+0.18*AS183+0.18*BC183+0.18*BD183+0.08*BE183+0.10*BF183+0.06*BO183))</f>
        <v/>
      </c>
      <c r="BM183">
        <f>MAX(0,MIN(1,0.20*(1-AZ183)+0.16*(1-BA183)+0.14*(1-AW183)+0.14*AU183+0.18*BG183+0.10*BH183+0.08*BP183))</f>
        <v/>
      </c>
      <c r="BN183">
        <f>MAX(0,MIN(1,0.42*BJ183+0.33*BK183+0.15*AT183+0.10*BQ183))</f>
        <v/>
      </c>
      <c r="BO183">
        <f>MAX(0,MIN(1,0.30*BC183+0.24*BD183+0.18*AS183+0.14*(1-BI183)+0.14*AT183))</f>
        <v/>
      </c>
      <c r="BP183">
        <f>MAX(0,MIN(1,0.26*AS183+0.20*(1-BA183)+0.16*(1-AW183)+0.18*BG183+0.10*AU183+0.10+BB183))</f>
        <v/>
      </c>
      <c r="BQ183">
        <f>MAX(0,MIN(1,0.24*AT183+0.18*BF183+0.14*AR183+0.14*BO183+0.14*(1-AV183)+0.16*(1-AZ183)))</f>
        <v/>
      </c>
      <c r="BR183">
        <f>IF(BO183&gt;=0.80,"Open",IF(BO183&gt;=0.62,"Measured",IF(BO183&gt;=0.45,"Selective","Guarded")))</f>
        <v/>
      </c>
      <c r="BS183">
        <f>IF(Y183="COMM_Direct","Direct",IF(Y183="COMM_Emotional","Emotional",IF(Y183="COMM_Logical","Logical",IF(Y183="COMM_Indirect","Indirect","Avoidant"))))</f>
        <v/>
      </c>
      <c r="BT183">
        <f>IF(BG183&gt;=0.78,"Co-repair",IF(BG183&gt;=0.58,"Re-engage",IF(BG183&gt;=0.40,"Delay","Suppress")))</f>
        <v/>
      </c>
      <c r="BU183">
        <f>IF(BI183&gt;=0.70,"Retreat-risk",IF(BH183&lt;=0.40,"Rush-risk",IF(BH183&gt;=0.65,"Slow-build","Mixed")))</f>
        <v/>
      </c>
      <c r="BV183">
        <f>IF(BL183-BM183&gt;=0.15,"Stimulation-seeking",IF(BM183-BL183&gt;=0.15,"Calm-seeking","Mixed")))</f>
        <v/>
      </c>
      <c r="BW183">
        <f>IF(AND(BL183&gt;=0.72,BM183&lt;0.48),"High",IF(AND(BL183&gt;=0.60,BM183&lt;0.58),"Medium","Low"))</f>
        <v/>
      </c>
    </row>
    <row r="184" ht="108" customHeight="1" s="10">
      <c r="A184" s="2" t="inlineStr">
        <is>
          <t>Q37_C</t>
        </is>
      </c>
      <c r="B184" s="2" t="n">
        <v>37</v>
      </c>
      <c r="C184" s="2" t="n">
        <v>37</v>
      </c>
      <c r="D184" s="2" t="inlineStr">
        <is>
          <t>Core</t>
        </is>
      </c>
      <c r="E184" s="2" t="n">
        <v>1.2</v>
      </c>
      <c r="F184" s="2" t="inlineStr">
        <is>
          <t>CommitmentPace</t>
        </is>
      </c>
      <c r="G184" s="2" t="inlineStr">
        <is>
          <t>IntentAlignment</t>
        </is>
      </c>
      <c r="H184" s="2" t="n"/>
      <c r="I184" s="2" t="inlineStr">
        <is>
          <t>C</t>
        </is>
      </c>
      <c r="J184" s="2" t="inlineStr">
        <is>
          <t>C</t>
        </is>
      </c>
      <c r="K184" s="2" t="inlineStr">
        <is>
          <t>I act extra calm or even helpful. I overcorrect so no one sees the mess I'm carrying underneath.</t>
        </is>
      </c>
      <c r="L184" s="2" t="n">
        <v>6</v>
      </c>
      <c r="M184" s="2" t="n">
        <v>7</v>
      </c>
      <c r="N184" s="2" t="n">
        <v>4</v>
      </c>
      <c r="O184" s="2" t="n">
        <v>6</v>
      </c>
      <c r="P184" s="2" t="n">
        <v>4</v>
      </c>
      <c r="Q184" s="2" t="inlineStr">
        <is>
          <t>Fixer</t>
        </is>
      </c>
      <c r="R184" s="2" t="n">
        <v>5</v>
      </c>
      <c r="S184" s="2" t="n"/>
      <c r="T184" s="2" t="n"/>
      <c r="U184" s="2" t="n">
        <v>0</v>
      </c>
      <c r="V184" s="2" t="inlineStr">
        <is>
          <t>masc:-0.4;fem:2.0</t>
        </is>
      </c>
      <c r="W184" s="2" t="n">
        <v>-0.4</v>
      </c>
      <c r="X184" s="2" t="n">
        <v>2</v>
      </c>
      <c r="Y184" s="2" t="inlineStr">
        <is>
          <t>COMM_Emotional</t>
        </is>
      </c>
      <c r="Z184" s="2" t="inlineStr">
        <is>
          <t>REG_CoRegulator</t>
        </is>
      </c>
      <c r="AA184" s="2" t="inlineStr">
        <is>
          <t>LANG_Service</t>
        </is>
      </c>
      <c r="AB184" s="2" t="inlineStr">
        <is>
          <t>Vulnerability_Loop</t>
        </is>
      </c>
      <c r="AC184" s="2" t="inlineStr">
        <is>
          <t>Vulnerability_Loop</t>
        </is>
      </c>
      <c r="AD184" s="2" t="n"/>
      <c r="AE184" s="2" t="n">
        <v>5</v>
      </c>
      <c r="AF184" s="2" t="inlineStr">
        <is>
          <t>composed but cracked</t>
        </is>
      </c>
      <c r="AG184" s="2" t="inlineStr">
        <is>
          <t>appearance keeper</t>
        </is>
      </c>
      <c r="AH184" s="2" t="n">
        <v>0</v>
      </c>
      <c r="AI184" s="2" t="inlineStr">
        <is>
          <t>yes</t>
        </is>
      </c>
      <c r="AJ184" s="2" t="inlineStr">
        <is>
          <t>no</t>
        </is>
      </c>
      <c r="AK184" s="2" t="inlineStr">
        <is>
          <t>yes</t>
        </is>
      </c>
      <c r="AL184" s="2" t="inlineStr">
        <is>
          <t>yes</t>
        </is>
      </c>
      <c r="AM184" s="2" t="n"/>
      <c r="AN184" s="2" t="n"/>
      <c r="AO184" s="2" t="n"/>
      <c r="AP184" s="2" t="inlineStr">
        <is>
          <t>v3_2026-03-19</t>
        </is>
      </c>
      <c r="AQ184">
        <f>(L184-Schema_v5!$C2)/(Schema_v5!$C3-Schema_v5!$C2)</f>
        <v/>
      </c>
      <c r="AR184">
        <f>(M184-Schema_v5!$C4)/(Schema_v5!$C5-Schema_v5!$C4)</f>
        <v/>
      </c>
      <c r="AS184">
        <f>N184/Schema_v5!$C6</f>
        <v/>
      </c>
      <c r="AT184">
        <f>O184/Schema_v5!$C7</f>
        <v/>
      </c>
      <c r="AU184">
        <f>P184/Schema_v5!$C8</f>
        <v/>
      </c>
      <c r="AV184">
        <f>IF(Schema_v5!$C9=0,0,AH184/Schema_v5!$C9)</f>
        <v/>
      </c>
      <c r="AW184">
        <f>IF(Schema_v5!$C10=0,0,AE184/Schema_v5!$C10)</f>
        <v/>
      </c>
      <c r="AX184">
        <f>(W184-Schema_v5!$C11)/(Schema_v5!$C12-Schema_v5!$C11)</f>
        <v/>
      </c>
      <c r="AY184">
        <f>(X184-Schema_v5!$C13)/(Schema_v5!$C14-Schema_v5!$C13)</f>
        <v/>
      </c>
      <c r="AZ184">
        <f>MIN(1,MAX(0,U184/Schema_v7!$C$9))</f>
        <v/>
      </c>
      <c r="BA184">
        <f>IF(AJ184="yes",0.55,0)</f>
        <v/>
      </c>
      <c r="BB184">
        <f>IF(AI184="yes",0.10,0)</f>
        <v/>
      </c>
      <c r="BC184">
        <f>IF(Y184="COMM_Direct",0.92,IF(Y184="COMM_Emotional",0.70,IF(Y184="COMM_Logical",0.65,IF(Y184="COMM_Indirect",0.55,0.35))))</f>
        <v/>
      </c>
      <c r="BD184">
        <f>IF(Z184="REG_CoRegulator",0.92,IF(Z184="REG_SelfSoother",0.76,IF(Z184="REG_Distractor",0.48,0.35)))</f>
        <v/>
      </c>
      <c r="BE184">
        <f>IF(AA184="LANG_Time",0.76,IF(AA184="LANG_Service",0.70,IF(AA184="LANG_Words",0.72,IF(AA184="LANG_Touch",0.68,0.60))))</f>
        <v/>
      </c>
      <c r="BF184">
        <f>MAX(0,MIN(1,0.28*AS184+0.16*AT184+0.18*BC184+0.18*BD184+0.10*(1-AZ184)+0.10*(1-BA184)+BB184))</f>
        <v/>
      </c>
      <c r="BG184">
        <f>MAX(0,MIN(1,0.24*AU184+0.18*AS184+0.18*BC184+0.20*BD184+0.10*(1-AW184)+0.10*(1-BA184)))</f>
        <v/>
      </c>
      <c r="BH184">
        <f>MAX(0,MIN(1,0.28*AR184+0.18*AT184+0.16*AU184+0.18*(1-AV184)+0.10*(1-AW184)+0.10*BF184))</f>
        <v/>
      </c>
      <c r="BI184">
        <f>MAX(0,MIN(1,0.30*AV184+0.20*AZ184+0.20*AW184+0.15*(1-BH184)+0.15*(1-BO184)))</f>
        <v/>
      </c>
      <c r="BJ184">
        <f>MAX(0,1-(ABS(((( AX184+AY184)/2)-0.55)*1.6)))</f>
        <v/>
      </c>
      <c r="BK184">
        <f>MAX(0,MIN(1,0.28*AR184+0.18*AT184+0.16*BJ184+0.14*(1-AV184)+0.12*BQ184+0.12*BO184))</f>
        <v/>
      </c>
      <c r="BL184">
        <f>MAX(0,MIN(1,0.22*AQ184+0.18*AS184+0.18*BC184+0.18*BD184+0.08*BE184+0.10*BF184+0.06*BO184))</f>
        <v/>
      </c>
      <c r="BM184">
        <f>MAX(0,MIN(1,0.20*(1-AZ184)+0.16*(1-BA184)+0.14*(1-AW184)+0.14*AU184+0.18*BG184+0.10*BH184+0.08*BP184))</f>
        <v/>
      </c>
      <c r="BN184">
        <f>MAX(0,MIN(1,0.42*BJ184+0.33*BK184+0.15*AT184+0.10*BQ184))</f>
        <v/>
      </c>
      <c r="BO184">
        <f>MAX(0,MIN(1,0.30*BC184+0.24*BD184+0.18*AS184+0.14*(1-BI184)+0.14*AT184))</f>
        <v/>
      </c>
      <c r="BP184">
        <f>MAX(0,MIN(1,0.26*AS184+0.20*(1-BA184)+0.16*(1-AW184)+0.18*BG184+0.10*AU184+0.10+BB184))</f>
        <v/>
      </c>
      <c r="BQ184">
        <f>MAX(0,MIN(1,0.24*AT184+0.18*BF184+0.14*AR184+0.14*BO184+0.14*(1-AV184)+0.16*(1-AZ184)))</f>
        <v/>
      </c>
      <c r="BR184">
        <f>IF(BO184&gt;=0.80,"Open",IF(BO184&gt;=0.62,"Measured",IF(BO184&gt;=0.45,"Selective","Guarded")))</f>
        <v/>
      </c>
      <c r="BS184">
        <f>IF(Y184="COMM_Direct","Direct",IF(Y184="COMM_Emotional","Emotional",IF(Y184="COMM_Logical","Logical",IF(Y184="COMM_Indirect","Indirect","Avoidant"))))</f>
        <v/>
      </c>
      <c r="BT184">
        <f>IF(BG184&gt;=0.78,"Co-repair",IF(BG184&gt;=0.58,"Re-engage",IF(BG184&gt;=0.40,"Delay","Suppress")))</f>
        <v/>
      </c>
      <c r="BU184">
        <f>IF(BI184&gt;=0.70,"Retreat-risk",IF(BH184&lt;=0.40,"Rush-risk",IF(BH184&gt;=0.65,"Slow-build","Mixed")))</f>
        <v/>
      </c>
      <c r="BV184">
        <f>IF(BL184-BM184&gt;=0.15,"Stimulation-seeking",IF(BM184-BL184&gt;=0.15,"Calm-seeking","Mixed")))</f>
        <v/>
      </c>
      <c r="BW184">
        <f>IF(AND(BL184&gt;=0.72,BM184&lt;0.48),"High",IF(AND(BL184&gt;=0.60,BM184&lt;0.58),"Medium","Low"))</f>
        <v/>
      </c>
    </row>
    <row r="185" ht="121.5" customHeight="1" s="10">
      <c r="A185" s="2" t="inlineStr">
        <is>
          <t>Q37_D</t>
        </is>
      </c>
      <c r="B185" s="2" t="n">
        <v>37</v>
      </c>
      <c r="C185" s="2" t="n">
        <v>37</v>
      </c>
      <c r="D185" s="2" t="inlineStr">
        <is>
          <t>Core</t>
        </is>
      </c>
      <c r="E185" s="2" t="n">
        <v>1.2</v>
      </c>
      <c r="F185" s="2" t="inlineStr">
        <is>
          <t>CommitmentPace</t>
        </is>
      </c>
      <c r="G185" s="2" t="inlineStr">
        <is>
          <t>IntentAlignment</t>
        </is>
      </c>
      <c r="H185" s="2" t="n"/>
      <c r="I185" s="2" t="inlineStr">
        <is>
          <t>D</t>
        </is>
      </c>
      <c r="J185" s="2" t="inlineStr">
        <is>
          <t>D</t>
        </is>
      </c>
      <c r="K185" s="2" t="inlineStr">
        <is>
          <t>I pretend I'm fine, but inside I'm spiraling. I don't say anything, just shut down and let it fester.</t>
        </is>
      </c>
      <c r="L185" s="2" t="n">
        <v>4</v>
      </c>
      <c r="M185" s="2" t="n">
        <v>5</v>
      </c>
      <c r="N185" s="2" t="n">
        <v>0</v>
      </c>
      <c r="O185" s="2" t="n">
        <v>0</v>
      </c>
      <c r="P185" s="2" t="n">
        <v>0</v>
      </c>
      <c r="Q185" s="2" t="inlineStr">
        <is>
          <t>Phantom Seeker</t>
        </is>
      </c>
      <c r="R185" s="2" t="n">
        <v>10</v>
      </c>
      <c r="S185" s="2" t="n"/>
      <c r="T185" s="2" t="n"/>
      <c r="U185" s="2" t="n">
        <v>0</v>
      </c>
      <c r="V185" s="2" t="inlineStr">
        <is>
          <t>masc:-0.2;fem:1.5</t>
        </is>
      </c>
      <c r="W185" s="2" t="n">
        <v>-0.2</v>
      </c>
      <c r="X185" s="2" t="n">
        <v>1.5</v>
      </c>
      <c r="Y185" s="2" t="inlineStr">
        <is>
          <t>COMM_Emotional</t>
        </is>
      </c>
      <c r="Z185" s="2" t="inlineStr">
        <is>
          <t>REG_SelfSoother</t>
        </is>
      </c>
      <c r="AA185" s="2" t="inlineStr">
        <is>
          <t>LANG_Touch</t>
        </is>
      </c>
      <c r="AB185" s="2" t="inlineStr">
        <is>
          <t>Vulnerability_Loop , Pursuer_Distancer</t>
        </is>
      </c>
      <c r="AC185" s="2" t="inlineStr">
        <is>
          <t>Vulnerability_Loop</t>
        </is>
      </c>
      <c r="AD185" s="2" t="inlineStr">
        <is>
          <t>Pursuer_Distancer</t>
        </is>
      </c>
      <c r="AE185" s="2" t="n">
        <v>11</v>
      </c>
      <c r="AF185" s="2" t="inlineStr">
        <is>
          <t>silent sufferer reflex</t>
        </is>
      </c>
      <c r="AG185" s="2" t="inlineStr">
        <is>
          <t>internalizer</t>
        </is>
      </c>
      <c r="AH185" s="2" t="n">
        <v>0.6</v>
      </c>
      <c r="AI185" s="2" t="inlineStr">
        <is>
          <t>yes</t>
        </is>
      </c>
      <c r="AJ185" s="2" t="inlineStr">
        <is>
          <t>no</t>
        </is>
      </c>
      <c r="AK185" s="2" t="inlineStr">
        <is>
          <t>yes</t>
        </is>
      </c>
      <c r="AL185" s="2" t="inlineStr">
        <is>
          <t>yes</t>
        </is>
      </c>
      <c r="AM185" s="2" t="n"/>
      <c r="AN185" s="2" t="n"/>
      <c r="AO185" s="2" t="n"/>
      <c r="AP185" s="2" t="inlineStr">
        <is>
          <t>v3_2026-03-19</t>
        </is>
      </c>
      <c r="AQ185">
        <f>(L185-Schema_v5!$C2)/(Schema_v5!$C3-Schema_v5!$C2)</f>
        <v/>
      </c>
      <c r="AR185">
        <f>(M185-Schema_v5!$C4)/(Schema_v5!$C5-Schema_v5!$C4)</f>
        <v/>
      </c>
      <c r="AS185">
        <f>N185/Schema_v5!$C6</f>
        <v/>
      </c>
      <c r="AT185">
        <f>O185/Schema_v5!$C7</f>
        <v/>
      </c>
      <c r="AU185">
        <f>P185/Schema_v5!$C8</f>
        <v/>
      </c>
      <c r="AV185">
        <f>IF(Schema_v5!$C9=0,0,AH185/Schema_v5!$C9)</f>
        <v/>
      </c>
      <c r="AW185">
        <f>IF(Schema_v5!$C10=0,0,AE185/Schema_v5!$C10)</f>
        <v/>
      </c>
      <c r="AX185">
        <f>(W185-Schema_v5!$C11)/(Schema_v5!$C12-Schema_v5!$C11)</f>
        <v/>
      </c>
      <c r="AY185">
        <f>(X185-Schema_v5!$C13)/(Schema_v5!$C14-Schema_v5!$C13)</f>
        <v/>
      </c>
      <c r="AZ185">
        <f>MIN(1,MAX(0,U185/Schema_v7!$C$9))</f>
        <v/>
      </c>
      <c r="BA185">
        <f>IF(AJ185="yes",0.55,0)</f>
        <v/>
      </c>
      <c r="BB185">
        <f>IF(AI185="yes",0.10,0)</f>
        <v/>
      </c>
      <c r="BC185">
        <f>IF(Y185="COMM_Direct",0.92,IF(Y185="COMM_Emotional",0.70,IF(Y185="COMM_Logical",0.65,IF(Y185="COMM_Indirect",0.55,0.35))))</f>
        <v/>
      </c>
      <c r="BD185">
        <f>IF(Z185="REG_CoRegulator",0.92,IF(Z185="REG_SelfSoother",0.76,IF(Z185="REG_Distractor",0.48,0.35)))</f>
        <v/>
      </c>
      <c r="BE185">
        <f>IF(AA185="LANG_Time",0.76,IF(AA185="LANG_Service",0.70,IF(AA185="LANG_Words",0.72,IF(AA185="LANG_Touch",0.68,0.60))))</f>
        <v/>
      </c>
      <c r="BF185">
        <f>MAX(0,MIN(1,0.28*AS185+0.16*AT185+0.18*BC185+0.18*BD185+0.10*(1-AZ185)+0.10*(1-BA185)+BB185))</f>
        <v/>
      </c>
      <c r="BG185">
        <f>MAX(0,MIN(1,0.24*AU185+0.18*AS185+0.18*BC185+0.20*BD185+0.10*(1-AW185)+0.10*(1-BA185)))</f>
        <v/>
      </c>
      <c r="BH185">
        <f>MAX(0,MIN(1,0.28*AR185+0.18*AT185+0.16*AU185+0.18*(1-AV185)+0.10*(1-AW185)+0.10*BF185))</f>
        <v/>
      </c>
      <c r="BI185">
        <f>MAX(0,MIN(1,0.30*AV185+0.20*AZ185+0.20*AW185+0.15*(1-BH185)+0.15*(1-BO185)))</f>
        <v/>
      </c>
      <c r="BJ185">
        <f>MAX(0,1-(ABS(((( AX185+AY185)/2)-0.55)*1.6)))</f>
        <v/>
      </c>
      <c r="BK185">
        <f>MAX(0,MIN(1,0.28*AR185+0.18*AT185+0.16*BJ185+0.14*(1-AV185)+0.12*BQ185+0.12*BO185))</f>
        <v/>
      </c>
      <c r="BL185">
        <f>MAX(0,MIN(1,0.22*AQ185+0.18*AS185+0.18*BC185+0.18*BD185+0.08*BE185+0.10*BF185+0.06*BO185))</f>
        <v/>
      </c>
      <c r="BM185">
        <f>MAX(0,MIN(1,0.20*(1-AZ185)+0.16*(1-BA185)+0.14*(1-AW185)+0.14*AU185+0.18*BG185+0.10*BH185+0.08*BP185))</f>
        <v/>
      </c>
      <c r="BN185">
        <f>MAX(0,MIN(1,0.42*BJ185+0.33*BK185+0.15*AT185+0.10*BQ185))</f>
        <v/>
      </c>
      <c r="BO185">
        <f>MAX(0,MIN(1,0.30*BC185+0.24*BD185+0.18*AS185+0.14*(1-BI185)+0.14*AT185))</f>
        <v/>
      </c>
      <c r="BP185">
        <f>MAX(0,MIN(1,0.26*AS185+0.20*(1-BA185)+0.16*(1-AW185)+0.18*BG185+0.10*AU185+0.10+BB185))</f>
        <v/>
      </c>
      <c r="BQ185">
        <f>MAX(0,MIN(1,0.24*AT185+0.18*BF185+0.14*AR185+0.14*BO185+0.14*(1-AV185)+0.16*(1-AZ185)))</f>
        <v/>
      </c>
      <c r="BR185">
        <f>IF(BO185&gt;=0.80,"Open",IF(BO185&gt;=0.62,"Measured",IF(BO185&gt;=0.45,"Selective","Guarded")))</f>
        <v/>
      </c>
      <c r="BS185">
        <f>IF(Y185="COMM_Direct","Direct",IF(Y185="COMM_Emotional","Emotional",IF(Y185="COMM_Logical","Logical",IF(Y185="COMM_Indirect","Indirect","Avoidant"))))</f>
        <v/>
      </c>
      <c r="BT185">
        <f>IF(BG185&gt;=0.78,"Co-repair",IF(BG185&gt;=0.58,"Re-engage",IF(BG185&gt;=0.40,"Delay","Suppress")))</f>
        <v/>
      </c>
      <c r="BU185">
        <f>IF(BI185&gt;=0.70,"Retreat-risk",IF(BH185&lt;=0.40,"Rush-risk",IF(BH185&gt;=0.65,"Slow-build","Mixed")))</f>
        <v/>
      </c>
      <c r="BV185">
        <f>IF(BL185-BM185&gt;=0.15,"Stimulation-seeking",IF(BM185-BL185&gt;=0.15,"Calm-seeking","Mixed")))</f>
        <v/>
      </c>
      <c r="BW185">
        <f>IF(AND(BL185&gt;=0.72,BM185&lt;0.48),"High",IF(AND(BL185&gt;=0.60,BM185&lt;0.58),"Medium","Low"))</f>
        <v/>
      </c>
    </row>
    <row r="186" ht="81" customHeight="1" s="10">
      <c r="A186" s="2" t="inlineStr">
        <is>
          <t>Q37_E</t>
        </is>
      </c>
      <c r="B186" s="2" t="n">
        <v>37</v>
      </c>
      <c r="C186" s="2" t="n">
        <v>37</v>
      </c>
      <c r="D186" s="2" t="inlineStr">
        <is>
          <t>Core</t>
        </is>
      </c>
      <c r="E186" s="2" t="n">
        <v>1.2</v>
      </c>
      <c r="F186" s="2" t="inlineStr">
        <is>
          <t>CommitmentPace</t>
        </is>
      </c>
      <c r="G186" s="2" t="inlineStr">
        <is>
          <t>IntentAlignment</t>
        </is>
      </c>
      <c r="H186" s="2" t="n"/>
      <c r="I186" s="2" t="inlineStr">
        <is>
          <t>E</t>
        </is>
      </c>
      <c r="J186" s="2" t="inlineStr">
        <is>
          <t>E</t>
        </is>
      </c>
      <c r="K186" s="2" t="inlineStr">
        <is>
          <t>I go cold. I don't mean to, but I get short or distant until I can reset.</t>
        </is>
      </c>
      <c r="L186" s="2" t="n">
        <v>6</v>
      </c>
      <c r="M186" s="2" t="n">
        <v>7</v>
      </c>
      <c r="N186" s="2" t="n">
        <v>2</v>
      </c>
      <c r="O186" s="2" t="n">
        <v>2</v>
      </c>
      <c r="P186" s="2" t="n">
        <v>0</v>
      </c>
      <c r="Q186" s="2" t="inlineStr">
        <is>
          <t>Icebox</t>
        </is>
      </c>
      <c r="R186" s="2" t="n">
        <v>1</v>
      </c>
      <c r="S186" s="2" t="n"/>
      <c r="T186" s="2" t="n"/>
      <c r="U186" s="2" t="n">
        <v>0</v>
      </c>
      <c r="V186" s="2" t="inlineStr">
        <is>
          <t>masc:1.8;fem:-1.6</t>
        </is>
      </c>
      <c r="W186" s="2" t="n">
        <v>1.8</v>
      </c>
      <c r="X186" s="2" t="n">
        <v>-1.6</v>
      </c>
      <c r="Y186" s="2" t="inlineStr">
        <is>
          <t>COMM_Avoidant</t>
        </is>
      </c>
      <c r="Z186" s="2" t="inlineStr">
        <is>
          <t>REG_Suppressor</t>
        </is>
      </c>
      <c r="AA186" s="2" t="inlineStr">
        <is>
          <t>LANG_Time</t>
        </is>
      </c>
      <c r="AB186" s="2" t="inlineStr">
        <is>
          <t>Vulnerability_Loop , Affection_Mismatch</t>
        </is>
      </c>
      <c r="AC186" s="2" t="inlineStr">
        <is>
          <t>Vulnerability_Loop</t>
        </is>
      </c>
      <c r="AD186" s="2" t="inlineStr">
        <is>
          <t>Affection_Mismatch</t>
        </is>
      </c>
      <c r="AE186" s="2" t="n">
        <v>9</v>
      </c>
      <c r="AF186" s="2" t="inlineStr">
        <is>
          <t>emotional lockdown</t>
        </is>
      </c>
      <c r="AG186" s="2" t="inlineStr">
        <is>
          <t>space taker</t>
        </is>
      </c>
      <c r="AH186" s="2" t="n">
        <v>0.6</v>
      </c>
      <c r="AI186" s="2" t="inlineStr">
        <is>
          <t>yes</t>
        </is>
      </c>
      <c r="AJ186" s="2" t="inlineStr">
        <is>
          <t>no</t>
        </is>
      </c>
      <c r="AK186" s="2" t="inlineStr">
        <is>
          <t>yes</t>
        </is>
      </c>
      <c r="AL186" s="2" t="inlineStr">
        <is>
          <t>yes</t>
        </is>
      </c>
      <c r="AM186" s="2" t="n"/>
      <c r="AN186" s="2" t="n"/>
      <c r="AO186" s="2" t="n"/>
      <c r="AP186" s="2" t="inlineStr">
        <is>
          <t>v3_2026-03-19</t>
        </is>
      </c>
      <c r="AQ186">
        <f>(L186-Schema_v5!$C2)/(Schema_v5!$C3-Schema_v5!$C2)</f>
        <v/>
      </c>
      <c r="AR186">
        <f>(M186-Schema_v5!$C4)/(Schema_v5!$C5-Schema_v5!$C4)</f>
        <v/>
      </c>
      <c r="AS186">
        <f>N186/Schema_v5!$C6</f>
        <v/>
      </c>
      <c r="AT186">
        <f>O186/Schema_v5!$C7</f>
        <v/>
      </c>
      <c r="AU186">
        <f>P186/Schema_v5!$C8</f>
        <v/>
      </c>
      <c r="AV186">
        <f>IF(Schema_v5!$C9=0,0,AH186/Schema_v5!$C9)</f>
        <v/>
      </c>
      <c r="AW186">
        <f>IF(Schema_v5!$C10=0,0,AE186/Schema_v5!$C10)</f>
        <v/>
      </c>
      <c r="AX186">
        <f>(W186-Schema_v5!$C11)/(Schema_v5!$C12-Schema_v5!$C11)</f>
        <v/>
      </c>
      <c r="AY186">
        <f>(X186-Schema_v5!$C13)/(Schema_v5!$C14-Schema_v5!$C13)</f>
        <v/>
      </c>
      <c r="AZ186">
        <f>MIN(1,MAX(0,U186/Schema_v7!$C$9))</f>
        <v/>
      </c>
      <c r="BA186">
        <f>IF(AJ186="yes",0.55,0)</f>
        <v/>
      </c>
      <c r="BB186">
        <f>IF(AI186="yes",0.10,0)</f>
        <v/>
      </c>
      <c r="BC186">
        <f>IF(Y186="COMM_Direct",0.92,IF(Y186="COMM_Emotional",0.70,IF(Y186="COMM_Logical",0.65,IF(Y186="COMM_Indirect",0.55,0.35))))</f>
        <v/>
      </c>
      <c r="BD186">
        <f>IF(Z186="REG_CoRegulator",0.92,IF(Z186="REG_SelfSoother",0.76,IF(Z186="REG_Distractor",0.48,0.35)))</f>
        <v/>
      </c>
      <c r="BE186">
        <f>IF(AA186="LANG_Time",0.76,IF(AA186="LANG_Service",0.70,IF(AA186="LANG_Words",0.72,IF(AA186="LANG_Touch",0.68,0.60))))</f>
        <v/>
      </c>
      <c r="BF186">
        <f>MAX(0,MIN(1,0.28*AS186+0.16*AT186+0.18*BC186+0.18*BD186+0.10*(1-AZ186)+0.10*(1-BA186)+BB186))</f>
        <v/>
      </c>
      <c r="BG186">
        <f>MAX(0,MIN(1,0.24*AU186+0.18*AS186+0.18*BC186+0.20*BD186+0.10*(1-AW186)+0.10*(1-BA186)))</f>
        <v/>
      </c>
      <c r="BH186">
        <f>MAX(0,MIN(1,0.28*AR186+0.18*AT186+0.16*AU186+0.18*(1-AV186)+0.10*(1-AW186)+0.10*BF186))</f>
        <v/>
      </c>
      <c r="BI186">
        <f>MAX(0,MIN(1,0.30*AV186+0.20*AZ186+0.20*AW186+0.15*(1-BH186)+0.15*(1-BO186)))</f>
        <v/>
      </c>
      <c r="BJ186">
        <f>MAX(0,1-(ABS(((( AX186+AY186)/2)-0.55)*1.6)))</f>
        <v/>
      </c>
      <c r="BK186">
        <f>MAX(0,MIN(1,0.28*AR186+0.18*AT186+0.16*BJ186+0.14*(1-AV186)+0.12*BQ186+0.12*BO186))</f>
        <v/>
      </c>
      <c r="BL186">
        <f>MAX(0,MIN(1,0.22*AQ186+0.18*AS186+0.18*BC186+0.18*BD186+0.08*BE186+0.10*BF186+0.06*BO186))</f>
        <v/>
      </c>
      <c r="BM186">
        <f>MAX(0,MIN(1,0.20*(1-AZ186)+0.16*(1-BA186)+0.14*(1-AW186)+0.14*AU186+0.18*BG186+0.10*BH186+0.08*BP186))</f>
        <v/>
      </c>
      <c r="BN186">
        <f>MAX(0,MIN(1,0.42*BJ186+0.33*BK186+0.15*AT186+0.10*BQ186))</f>
        <v/>
      </c>
      <c r="BO186">
        <f>MAX(0,MIN(1,0.30*BC186+0.24*BD186+0.18*AS186+0.14*(1-BI186)+0.14*AT186))</f>
        <v/>
      </c>
      <c r="BP186">
        <f>MAX(0,MIN(1,0.26*AS186+0.20*(1-BA186)+0.16*(1-AW186)+0.18*BG186+0.10*AU186+0.10+BB186))</f>
        <v/>
      </c>
      <c r="BQ186">
        <f>MAX(0,MIN(1,0.24*AT186+0.18*BF186+0.14*AR186+0.14*BO186+0.14*(1-AV186)+0.16*(1-AZ186)))</f>
        <v/>
      </c>
      <c r="BR186">
        <f>IF(BO186&gt;=0.80,"Open",IF(BO186&gt;=0.62,"Measured",IF(BO186&gt;=0.45,"Selective","Guarded")))</f>
        <v/>
      </c>
      <c r="BS186">
        <f>IF(Y186="COMM_Direct","Direct",IF(Y186="COMM_Emotional","Emotional",IF(Y186="COMM_Logical","Logical",IF(Y186="COMM_Indirect","Indirect","Avoidant"))))</f>
        <v/>
      </c>
      <c r="BT186">
        <f>IF(BG186&gt;=0.78,"Co-repair",IF(BG186&gt;=0.58,"Re-engage",IF(BG186&gt;=0.40,"Delay","Suppress")))</f>
        <v/>
      </c>
      <c r="BU186">
        <f>IF(BI186&gt;=0.70,"Retreat-risk",IF(BH186&lt;=0.40,"Rush-risk",IF(BH186&gt;=0.65,"Slow-build","Mixed")))</f>
        <v/>
      </c>
      <c r="BV186">
        <f>IF(BL186-BM186&gt;=0.15,"Stimulation-seeking",IF(BM186-BL186&gt;=0.15,"Calm-seeking","Mixed")))</f>
        <v/>
      </c>
      <c r="BW186">
        <f>IF(AND(BL186&gt;=0.72,BM186&lt;0.48),"High",IF(AND(BL186&gt;=0.60,BM186&lt;0.58),"Medium","Low"))</f>
        <v/>
      </c>
    </row>
    <row r="187" ht="121.5" customHeight="1" s="10">
      <c r="A187" s="2" t="inlineStr">
        <is>
          <t>Q38_A</t>
        </is>
      </c>
      <c r="B187" s="2" t="n">
        <v>38</v>
      </c>
      <c r="C187" s="2" t="n">
        <v>38</v>
      </c>
      <c r="D187" s="2" t="inlineStr">
        <is>
          <t>Core</t>
        </is>
      </c>
      <c r="E187" s="2" t="n">
        <v>1.2</v>
      </c>
      <c r="F187" s="2" t="inlineStr">
        <is>
          <t>CommitmentPace</t>
        </is>
      </c>
      <c r="G187" s="2" t="inlineStr">
        <is>
          <t>IntentAlignment</t>
        </is>
      </c>
      <c r="H187" s="2" t="inlineStr">
        <is>
          <t>Someone starts seeing the real you-your fears, flaws, the stuff you don't usually show. What happens next?</t>
        </is>
      </c>
      <c r="I187" s="2" t="inlineStr">
        <is>
          <t>A</t>
        </is>
      </c>
      <c r="J187" s="2" t="inlineStr">
        <is>
          <t>A</t>
        </is>
      </c>
      <c r="K187" s="2" t="inlineStr">
        <is>
          <t>I act normal on the surface, but I start scanning everything they say after that, looking for proof they meant it.</t>
        </is>
      </c>
      <c r="L187" s="2" t="n">
        <v>7</v>
      </c>
      <c r="M187" s="2" t="n">
        <v>8</v>
      </c>
      <c r="N187" s="2" t="n">
        <v>6</v>
      </c>
      <c r="O187" s="2" t="n">
        <v>8</v>
      </c>
      <c r="P187" s="2" t="n">
        <v>6</v>
      </c>
      <c r="Q187" s="2" t="inlineStr">
        <is>
          <t>Analyzer</t>
        </is>
      </c>
      <c r="R187" s="2" t="n">
        <v>2</v>
      </c>
      <c r="S187" s="2" t="n"/>
      <c r="T187" s="2" t="n"/>
      <c r="U187" s="2" t="n">
        <v>0</v>
      </c>
      <c r="V187" s="2" t="inlineStr">
        <is>
          <t>masc:1.4;fem:0.1</t>
        </is>
      </c>
      <c r="W187" s="2" t="n">
        <v>1.4</v>
      </c>
      <c r="X187" s="2" t="n">
        <v>0.1</v>
      </c>
      <c r="Y187" s="2" t="inlineStr">
        <is>
          <t>COMM_Logical</t>
        </is>
      </c>
      <c r="Z187" s="2" t="inlineStr">
        <is>
          <t>REG_SelfSoother</t>
        </is>
      </c>
      <c r="AA187" s="2" t="inlineStr">
        <is>
          <t>LANG_Service</t>
        </is>
      </c>
      <c r="AB187" s="2" t="n"/>
      <c r="AC187" s="2" t="n"/>
      <c r="AD187" s="2" t="n"/>
      <c r="AE187" s="2" t="n">
        <v>0</v>
      </c>
      <c r="AF187" s="2" t="inlineStr">
        <is>
          <t>authenticity investigator</t>
        </is>
      </c>
      <c r="AG187" s="2" t="inlineStr">
        <is>
          <t>intent checker</t>
        </is>
      </c>
      <c r="AH187" s="2" t="n">
        <v>0</v>
      </c>
      <c r="AI187" s="2" t="inlineStr">
        <is>
          <t>no</t>
        </is>
      </c>
      <c r="AJ187" s="2" t="inlineStr">
        <is>
          <t>no</t>
        </is>
      </c>
      <c r="AK187" s="2" t="inlineStr">
        <is>
          <t>yes</t>
        </is>
      </c>
      <c r="AL187" s="2" t="inlineStr">
        <is>
          <t>yes</t>
        </is>
      </c>
      <c r="AM187" s="2" t="n"/>
      <c r="AN187" s="2" t="n"/>
      <c r="AO187" s="2" t="n"/>
      <c r="AP187" s="2" t="inlineStr">
        <is>
          <t>v3_2026-03-19</t>
        </is>
      </c>
      <c r="AQ187">
        <f>(L187-Schema_v5!$C2)/(Schema_v5!$C3-Schema_v5!$C2)</f>
        <v/>
      </c>
      <c r="AR187">
        <f>(M187-Schema_v5!$C4)/(Schema_v5!$C5-Schema_v5!$C4)</f>
        <v/>
      </c>
      <c r="AS187">
        <f>N187/Schema_v5!$C6</f>
        <v/>
      </c>
      <c r="AT187">
        <f>O187/Schema_v5!$C7</f>
        <v/>
      </c>
      <c r="AU187">
        <f>P187/Schema_v5!$C8</f>
        <v/>
      </c>
      <c r="AV187">
        <f>IF(Schema_v5!$C9=0,0,AH187/Schema_v5!$C9)</f>
        <v/>
      </c>
      <c r="AW187">
        <f>IF(Schema_v5!$C10=0,0,AE187/Schema_v5!$C10)</f>
        <v/>
      </c>
      <c r="AX187">
        <f>(W187-Schema_v5!$C11)/(Schema_v5!$C12-Schema_v5!$C11)</f>
        <v/>
      </c>
      <c r="AY187">
        <f>(X187-Schema_v5!$C13)/(Schema_v5!$C14-Schema_v5!$C13)</f>
        <v/>
      </c>
      <c r="AZ187">
        <f>MIN(1,MAX(0,U187/Schema_v7!$C$9))</f>
        <v/>
      </c>
      <c r="BA187">
        <f>IF(AJ187="yes",0.55,0)</f>
        <v/>
      </c>
      <c r="BB187">
        <f>IF(AI187="yes",0.10,0)</f>
        <v/>
      </c>
      <c r="BC187">
        <f>IF(Y187="COMM_Direct",0.92,IF(Y187="COMM_Emotional",0.70,IF(Y187="COMM_Logical",0.65,IF(Y187="COMM_Indirect",0.55,0.35))))</f>
        <v/>
      </c>
      <c r="BD187">
        <f>IF(Z187="REG_CoRegulator",0.92,IF(Z187="REG_SelfSoother",0.76,IF(Z187="REG_Distractor",0.48,0.35)))</f>
        <v/>
      </c>
      <c r="BE187">
        <f>IF(AA187="LANG_Time",0.76,IF(AA187="LANG_Service",0.70,IF(AA187="LANG_Words",0.72,IF(AA187="LANG_Touch",0.68,0.60))))</f>
        <v/>
      </c>
      <c r="BF187">
        <f>MAX(0,MIN(1,0.28*AS187+0.16*AT187+0.18*BC187+0.18*BD187+0.10*(1-AZ187)+0.10*(1-BA187)+BB187))</f>
        <v/>
      </c>
      <c r="BG187">
        <f>MAX(0,MIN(1,0.24*AU187+0.18*AS187+0.18*BC187+0.20*BD187+0.10*(1-AW187)+0.10*(1-BA187)))</f>
        <v/>
      </c>
      <c r="BH187">
        <f>MAX(0,MIN(1,0.28*AR187+0.18*AT187+0.16*AU187+0.18*(1-AV187)+0.10*(1-AW187)+0.10*BF187))</f>
        <v/>
      </c>
      <c r="BI187">
        <f>MAX(0,MIN(1,0.30*AV187+0.20*AZ187+0.20*AW187+0.15*(1-BH187)+0.15*(1-BO187)))</f>
        <v/>
      </c>
      <c r="BJ187">
        <f>MAX(0,1-(ABS(((( AX187+AY187)/2)-0.55)*1.6)))</f>
        <v/>
      </c>
      <c r="BK187">
        <f>MAX(0,MIN(1,0.28*AR187+0.18*AT187+0.16*BJ187+0.14*(1-AV187)+0.12*BQ187+0.12*BO187))</f>
        <v/>
      </c>
      <c r="BL187">
        <f>MAX(0,MIN(1,0.22*AQ187+0.18*AS187+0.18*BC187+0.18*BD187+0.08*BE187+0.10*BF187+0.06*BO187))</f>
        <v/>
      </c>
      <c r="BM187">
        <f>MAX(0,MIN(1,0.20*(1-AZ187)+0.16*(1-BA187)+0.14*(1-AW187)+0.14*AU187+0.18*BG187+0.10*BH187+0.08*BP187))</f>
        <v/>
      </c>
      <c r="BN187">
        <f>MAX(0,MIN(1,0.42*BJ187+0.33*BK187+0.15*AT187+0.10*BQ187))</f>
        <v/>
      </c>
      <c r="BO187">
        <f>MAX(0,MIN(1,0.30*BC187+0.24*BD187+0.18*AS187+0.14*(1-BI187)+0.14*AT187))</f>
        <v/>
      </c>
      <c r="BP187">
        <f>MAX(0,MIN(1,0.26*AS187+0.20*(1-BA187)+0.16*(1-AW187)+0.18*BG187+0.10*AU187+0.10+BB187))</f>
        <v/>
      </c>
      <c r="BQ187">
        <f>MAX(0,MIN(1,0.24*AT187+0.18*BF187+0.14*AR187+0.14*BO187+0.14*(1-AV187)+0.16*(1-AZ187)))</f>
        <v/>
      </c>
      <c r="BR187">
        <f>IF(BO187&gt;=0.80,"Open",IF(BO187&gt;=0.62,"Measured",IF(BO187&gt;=0.45,"Selective","Guarded")))</f>
        <v/>
      </c>
      <c r="BS187">
        <f>IF(Y187="COMM_Direct","Direct",IF(Y187="COMM_Emotional","Emotional",IF(Y187="COMM_Logical","Logical",IF(Y187="COMM_Indirect","Indirect","Avoidant"))))</f>
        <v/>
      </c>
      <c r="BT187">
        <f>IF(BG187&gt;=0.78,"Co-repair",IF(BG187&gt;=0.58,"Re-engage",IF(BG187&gt;=0.40,"Delay","Suppress")))</f>
        <v/>
      </c>
      <c r="BU187">
        <f>IF(BI187&gt;=0.70,"Retreat-risk",IF(BH187&lt;=0.40,"Rush-risk",IF(BH187&gt;=0.65,"Slow-build","Mixed")))</f>
        <v/>
      </c>
      <c r="BV187">
        <f>IF(BL187-BM187&gt;=0.15,"Stimulation-seeking",IF(BM187-BL187&gt;=0.15,"Calm-seeking","Mixed")))</f>
        <v/>
      </c>
      <c r="BW187">
        <f>IF(AND(BL187&gt;=0.72,BM187&lt;0.48),"High",IF(AND(BL187&gt;=0.60,BM187&lt;0.58),"Medium","Low"))</f>
        <v/>
      </c>
    </row>
    <row r="188" ht="94.5" customHeight="1" s="10">
      <c r="A188" s="2" t="inlineStr">
        <is>
          <t>Q38_B</t>
        </is>
      </c>
      <c r="B188" s="2" t="n">
        <v>38</v>
      </c>
      <c r="C188" s="2" t="n">
        <v>38</v>
      </c>
      <c r="D188" s="2" t="inlineStr">
        <is>
          <t>Core</t>
        </is>
      </c>
      <c r="E188" s="2" t="n">
        <v>1.2</v>
      </c>
      <c r="F188" s="2" t="inlineStr">
        <is>
          <t>CommitmentPace</t>
        </is>
      </c>
      <c r="G188" s="2" t="inlineStr">
        <is>
          <t>IntentAlignment</t>
        </is>
      </c>
      <c r="H188" s="2" t="n"/>
      <c r="I188" s="2" t="inlineStr">
        <is>
          <t>B</t>
        </is>
      </c>
      <c r="J188" s="2" t="inlineStr">
        <is>
          <t>B</t>
        </is>
      </c>
      <c r="K188" s="2" t="inlineStr">
        <is>
          <t>I keep it light. They think they're seeing the real me, but I know what I hold back.</t>
        </is>
      </c>
      <c r="L188" s="2" t="n">
        <v>6</v>
      </c>
      <c r="M188" s="2" t="n">
        <v>7</v>
      </c>
      <c r="N188" s="2" t="n">
        <v>4</v>
      </c>
      <c r="O188" s="2" t="n">
        <v>4</v>
      </c>
      <c r="P188" s="2" t="n">
        <v>2</v>
      </c>
      <c r="Q188" s="2" t="inlineStr">
        <is>
          <t>Performer</t>
        </is>
      </c>
      <c r="R188" s="2" t="n">
        <v>7</v>
      </c>
      <c r="S188" s="2" t="n"/>
      <c r="T188" s="2" t="n"/>
      <c r="U188" s="2" t="n">
        <v>0</v>
      </c>
      <c r="V188" s="2" t="inlineStr">
        <is>
          <t>masc:0.3;fem:0.5</t>
        </is>
      </c>
      <c r="W188" s="2" t="n">
        <v>0.3</v>
      </c>
      <c r="X188" s="2" t="n">
        <v>0.5</v>
      </c>
      <c r="Y188" s="2" t="inlineStr">
        <is>
          <t>COMM_Indirect</t>
        </is>
      </c>
      <c r="Z188" s="2" t="inlineStr">
        <is>
          <t>REG_Distractor</t>
        </is>
      </c>
      <c r="AA188" s="2" t="inlineStr">
        <is>
          <t>LANG_Gifts</t>
        </is>
      </c>
      <c r="AB188" s="2" t="inlineStr">
        <is>
          <t>Conflict_Flip</t>
        </is>
      </c>
      <c r="AC188" s="2" t="inlineStr">
        <is>
          <t>Conflict_Flip</t>
        </is>
      </c>
      <c r="AD188" s="2" t="n"/>
      <c r="AE188" s="2" t="n">
        <v>4</v>
      </c>
      <c r="AF188" s="2" t="inlineStr">
        <is>
          <t>strategic revelation</t>
        </is>
      </c>
      <c r="AG188" s="2" t="inlineStr">
        <is>
          <t>controlled sharer</t>
        </is>
      </c>
      <c r="AH188" s="2" t="n">
        <v>0</v>
      </c>
      <c r="AI188" s="2" t="inlineStr">
        <is>
          <t>yes</t>
        </is>
      </c>
      <c r="AJ188" s="2" t="inlineStr">
        <is>
          <t>no</t>
        </is>
      </c>
      <c r="AK188" s="2" t="inlineStr">
        <is>
          <t>yes</t>
        </is>
      </c>
      <c r="AL188" s="2" t="inlineStr">
        <is>
          <t>yes</t>
        </is>
      </c>
      <c r="AM188" s="2" t="n"/>
      <c r="AN188" s="2" t="n"/>
      <c r="AO188" s="2" t="n"/>
      <c r="AP188" s="2" t="inlineStr">
        <is>
          <t>v3_2026-03-19</t>
        </is>
      </c>
      <c r="AQ188">
        <f>(L188-Schema_v5!$C2)/(Schema_v5!$C3-Schema_v5!$C2)</f>
        <v/>
      </c>
      <c r="AR188">
        <f>(M188-Schema_v5!$C4)/(Schema_v5!$C5-Schema_v5!$C4)</f>
        <v/>
      </c>
      <c r="AS188">
        <f>N188/Schema_v5!$C6</f>
        <v/>
      </c>
      <c r="AT188">
        <f>O188/Schema_v5!$C7</f>
        <v/>
      </c>
      <c r="AU188">
        <f>P188/Schema_v5!$C8</f>
        <v/>
      </c>
      <c r="AV188">
        <f>IF(Schema_v5!$C9=0,0,AH188/Schema_v5!$C9)</f>
        <v/>
      </c>
      <c r="AW188">
        <f>IF(Schema_v5!$C10=0,0,AE188/Schema_v5!$C10)</f>
        <v/>
      </c>
      <c r="AX188">
        <f>(W188-Schema_v5!$C11)/(Schema_v5!$C12-Schema_v5!$C11)</f>
        <v/>
      </c>
      <c r="AY188">
        <f>(X188-Schema_v5!$C13)/(Schema_v5!$C14-Schema_v5!$C13)</f>
        <v/>
      </c>
      <c r="AZ188">
        <f>MIN(1,MAX(0,U188/Schema_v7!$C$9))</f>
        <v/>
      </c>
      <c r="BA188">
        <f>IF(AJ188="yes",0.55,0)</f>
        <v/>
      </c>
      <c r="BB188">
        <f>IF(AI188="yes",0.10,0)</f>
        <v/>
      </c>
      <c r="BC188">
        <f>IF(Y188="COMM_Direct",0.92,IF(Y188="COMM_Emotional",0.70,IF(Y188="COMM_Logical",0.65,IF(Y188="COMM_Indirect",0.55,0.35))))</f>
        <v/>
      </c>
      <c r="BD188">
        <f>IF(Z188="REG_CoRegulator",0.92,IF(Z188="REG_SelfSoother",0.76,IF(Z188="REG_Distractor",0.48,0.35)))</f>
        <v/>
      </c>
      <c r="BE188">
        <f>IF(AA188="LANG_Time",0.76,IF(AA188="LANG_Service",0.70,IF(AA188="LANG_Words",0.72,IF(AA188="LANG_Touch",0.68,0.60))))</f>
        <v/>
      </c>
      <c r="BF188">
        <f>MAX(0,MIN(1,0.28*AS188+0.16*AT188+0.18*BC188+0.18*BD188+0.10*(1-AZ188)+0.10*(1-BA188)+BB188))</f>
        <v/>
      </c>
      <c r="BG188">
        <f>MAX(0,MIN(1,0.24*AU188+0.18*AS188+0.18*BC188+0.20*BD188+0.10*(1-AW188)+0.10*(1-BA188)))</f>
        <v/>
      </c>
      <c r="BH188">
        <f>MAX(0,MIN(1,0.28*AR188+0.18*AT188+0.16*AU188+0.18*(1-AV188)+0.10*(1-AW188)+0.10*BF188))</f>
        <v/>
      </c>
      <c r="BI188">
        <f>MAX(0,MIN(1,0.30*AV188+0.20*AZ188+0.20*AW188+0.15*(1-BH188)+0.15*(1-BO188)))</f>
        <v/>
      </c>
      <c r="BJ188">
        <f>MAX(0,1-(ABS(((( AX188+AY188)/2)-0.55)*1.6)))</f>
        <v/>
      </c>
      <c r="BK188">
        <f>MAX(0,MIN(1,0.28*AR188+0.18*AT188+0.16*BJ188+0.14*(1-AV188)+0.12*BQ188+0.12*BO188))</f>
        <v/>
      </c>
      <c r="BL188">
        <f>MAX(0,MIN(1,0.22*AQ188+0.18*AS188+0.18*BC188+0.18*BD188+0.08*BE188+0.10*BF188+0.06*BO188))</f>
        <v/>
      </c>
      <c r="BM188">
        <f>MAX(0,MIN(1,0.20*(1-AZ188)+0.16*(1-BA188)+0.14*(1-AW188)+0.14*AU188+0.18*BG188+0.10*BH188+0.08*BP188))</f>
        <v/>
      </c>
      <c r="BN188">
        <f>MAX(0,MIN(1,0.42*BJ188+0.33*BK188+0.15*AT188+0.10*BQ188))</f>
        <v/>
      </c>
      <c r="BO188">
        <f>MAX(0,MIN(1,0.30*BC188+0.24*BD188+0.18*AS188+0.14*(1-BI188)+0.14*AT188))</f>
        <v/>
      </c>
      <c r="BP188">
        <f>MAX(0,MIN(1,0.26*AS188+0.20*(1-BA188)+0.16*(1-AW188)+0.18*BG188+0.10*AU188+0.10+BB188))</f>
        <v/>
      </c>
      <c r="BQ188">
        <f>MAX(0,MIN(1,0.24*AT188+0.18*BF188+0.14*AR188+0.14*BO188+0.14*(1-AV188)+0.16*(1-AZ188)))</f>
        <v/>
      </c>
      <c r="BR188">
        <f>IF(BO188&gt;=0.80,"Open",IF(BO188&gt;=0.62,"Measured",IF(BO188&gt;=0.45,"Selective","Guarded")))</f>
        <v/>
      </c>
      <c r="BS188">
        <f>IF(Y188="COMM_Direct","Direct",IF(Y188="COMM_Emotional","Emotional",IF(Y188="COMM_Logical","Logical",IF(Y188="COMM_Indirect","Indirect","Avoidant"))))</f>
        <v/>
      </c>
      <c r="BT188">
        <f>IF(BG188&gt;=0.78,"Co-repair",IF(BG188&gt;=0.58,"Re-engage",IF(BG188&gt;=0.40,"Delay","Suppress")))</f>
        <v/>
      </c>
      <c r="BU188">
        <f>IF(BI188&gt;=0.70,"Retreat-risk",IF(BH188&lt;=0.40,"Rush-risk",IF(BH188&gt;=0.65,"Slow-build","Mixed")))</f>
        <v/>
      </c>
      <c r="BV188">
        <f>IF(BL188-BM188&gt;=0.15,"Stimulation-seeking",IF(BM188-BL188&gt;=0.15,"Calm-seeking","Mixed")))</f>
        <v/>
      </c>
      <c r="BW188">
        <f>IF(AND(BL188&gt;=0.72,BM188&lt;0.48),"High",IF(AND(BL188&gt;=0.60,BM188&lt;0.58),"Medium","Low"))</f>
        <v/>
      </c>
    </row>
    <row r="189" ht="108" customHeight="1" s="10">
      <c r="A189" s="2" t="inlineStr">
        <is>
          <t>Q38_C</t>
        </is>
      </c>
      <c r="B189" s="2" t="n">
        <v>38</v>
      </c>
      <c r="C189" s="2" t="n">
        <v>38</v>
      </c>
      <c r="D189" s="2" t="inlineStr">
        <is>
          <t>Core</t>
        </is>
      </c>
      <c r="E189" s="2" t="n">
        <v>1.2</v>
      </c>
      <c r="F189" s="2" t="inlineStr">
        <is>
          <t>CommitmentPace</t>
        </is>
      </c>
      <c r="G189" s="2" t="inlineStr">
        <is>
          <t>IntentAlignment</t>
        </is>
      </c>
      <c r="H189" s="2" t="n"/>
      <c r="I189" s="2" t="inlineStr">
        <is>
          <t>C</t>
        </is>
      </c>
      <c r="J189" s="2" t="inlineStr">
        <is>
          <t>C</t>
        </is>
      </c>
      <c r="K189" s="2" t="inlineStr">
        <is>
          <t>I pull back a little. It's not that I don't want to be seen, it's that I don't trust what they'll do with it.</t>
        </is>
      </c>
      <c r="L189" s="2" t="n">
        <v>7</v>
      </c>
      <c r="M189" s="2" t="n">
        <v>8</v>
      </c>
      <c r="N189" s="2" t="n">
        <v>4</v>
      </c>
      <c r="O189" s="2" t="n">
        <v>4</v>
      </c>
      <c r="P189" s="2" t="n">
        <v>0</v>
      </c>
      <c r="Q189" s="2" t="inlineStr">
        <is>
          <t>Icebox</t>
        </is>
      </c>
      <c r="R189" s="2" t="n">
        <v>1</v>
      </c>
      <c r="S189" s="2" t="n"/>
      <c r="T189" s="2" t="n"/>
      <c r="U189" s="2" t="n">
        <v>0</v>
      </c>
      <c r="V189" s="2" t="inlineStr">
        <is>
          <t>masc:1.8;fem:-1.6</t>
        </is>
      </c>
      <c r="W189" s="2" t="n">
        <v>1.8</v>
      </c>
      <c r="X189" s="2" t="n">
        <v>-1.6</v>
      </c>
      <c r="Y189" s="2" t="inlineStr">
        <is>
          <t>COMM_Avoidant</t>
        </is>
      </c>
      <c r="Z189" s="2" t="inlineStr">
        <is>
          <t>REG_Suppressor</t>
        </is>
      </c>
      <c r="AA189" s="2" t="inlineStr">
        <is>
          <t>LANG_Time</t>
        </is>
      </c>
      <c r="AB189" s="2" t="n"/>
      <c r="AC189" s="2" t="n"/>
      <c r="AD189" s="2" t="n"/>
      <c r="AE189" s="2" t="n">
        <v>0</v>
      </c>
      <c r="AF189" s="2" t="inlineStr">
        <is>
          <t>defensive vulnerability delay</t>
        </is>
      </c>
      <c r="AG189" s="2" t="inlineStr">
        <is>
          <t>cautious opener</t>
        </is>
      </c>
      <c r="AH189" s="2" t="n">
        <v>0.6</v>
      </c>
      <c r="AI189" s="2" t="inlineStr">
        <is>
          <t>no</t>
        </is>
      </c>
      <c r="AJ189" s="2" t="inlineStr">
        <is>
          <t>no</t>
        </is>
      </c>
      <c r="AK189" s="2" t="inlineStr">
        <is>
          <t>yes</t>
        </is>
      </c>
      <c r="AL189" s="2" t="inlineStr">
        <is>
          <t>yes</t>
        </is>
      </c>
      <c r="AM189" s="2" t="n"/>
      <c r="AN189" s="2" t="n"/>
      <c r="AO189" s="2" t="n"/>
      <c r="AP189" s="2" t="inlineStr">
        <is>
          <t>v3_2026-03-19</t>
        </is>
      </c>
      <c r="AQ189">
        <f>(L189-Schema_v5!$C2)/(Schema_v5!$C3-Schema_v5!$C2)</f>
        <v/>
      </c>
      <c r="AR189">
        <f>(M189-Schema_v5!$C4)/(Schema_v5!$C5-Schema_v5!$C4)</f>
        <v/>
      </c>
      <c r="AS189">
        <f>N189/Schema_v5!$C6</f>
        <v/>
      </c>
      <c r="AT189">
        <f>O189/Schema_v5!$C7</f>
        <v/>
      </c>
      <c r="AU189">
        <f>P189/Schema_v5!$C8</f>
        <v/>
      </c>
      <c r="AV189">
        <f>IF(Schema_v5!$C9=0,0,AH189/Schema_v5!$C9)</f>
        <v/>
      </c>
      <c r="AW189">
        <f>IF(Schema_v5!$C10=0,0,AE189/Schema_v5!$C10)</f>
        <v/>
      </c>
      <c r="AX189">
        <f>(W189-Schema_v5!$C11)/(Schema_v5!$C12-Schema_v5!$C11)</f>
        <v/>
      </c>
      <c r="AY189">
        <f>(X189-Schema_v5!$C13)/(Schema_v5!$C14-Schema_v5!$C13)</f>
        <v/>
      </c>
      <c r="AZ189">
        <f>MIN(1,MAX(0,U189/Schema_v7!$C$9))</f>
        <v/>
      </c>
      <c r="BA189">
        <f>IF(AJ189="yes",0.55,0)</f>
        <v/>
      </c>
      <c r="BB189">
        <f>IF(AI189="yes",0.10,0)</f>
        <v/>
      </c>
      <c r="BC189">
        <f>IF(Y189="COMM_Direct",0.92,IF(Y189="COMM_Emotional",0.70,IF(Y189="COMM_Logical",0.65,IF(Y189="COMM_Indirect",0.55,0.35))))</f>
        <v/>
      </c>
      <c r="BD189">
        <f>IF(Z189="REG_CoRegulator",0.92,IF(Z189="REG_SelfSoother",0.76,IF(Z189="REG_Distractor",0.48,0.35)))</f>
        <v/>
      </c>
      <c r="BE189">
        <f>IF(AA189="LANG_Time",0.76,IF(AA189="LANG_Service",0.70,IF(AA189="LANG_Words",0.72,IF(AA189="LANG_Touch",0.68,0.60))))</f>
        <v/>
      </c>
      <c r="BF189">
        <f>MAX(0,MIN(1,0.28*AS189+0.16*AT189+0.18*BC189+0.18*BD189+0.10*(1-AZ189)+0.10*(1-BA189)+BB189))</f>
        <v/>
      </c>
      <c r="BG189">
        <f>MAX(0,MIN(1,0.24*AU189+0.18*AS189+0.18*BC189+0.20*BD189+0.10*(1-AW189)+0.10*(1-BA189)))</f>
        <v/>
      </c>
      <c r="BH189">
        <f>MAX(0,MIN(1,0.28*AR189+0.18*AT189+0.16*AU189+0.18*(1-AV189)+0.10*(1-AW189)+0.10*BF189))</f>
        <v/>
      </c>
      <c r="BI189">
        <f>MAX(0,MIN(1,0.30*AV189+0.20*AZ189+0.20*AW189+0.15*(1-BH189)+0.15*(1-BO189)))</f>
        <v/>
      </c>
      <c r="BJ189">
        <f>MAX(0,1-(ABS(((( AX189+AY189)/2)-0.55)*1.6)))</f>
        <v/>
      </c>
      <c r="BK189">
        <f>MAX(0,MIN(1,0.28*AR189+0.18*AT189+0.16*BJ189+0.14*(1-AV189)+0.12*BQ189+0.12*BO189))</f>
        <v/>
      </c>
      <c r="BL189">
        <f>MAX(0,MIN(1,0.22*AQ189+0.18*AS189+0.18*BC189+0.18*BD189+0.08*BE189+0.10*BF189+0.06*BO189))</f>
        <v/>
      </c>
      <c r="BM189">
        <f>MAX(0,MIN(1,0.20*(1-AZ189)+0.16*(1-BA189)+0.14*(1-AW189)+0.14*AU189+0.18*BG189+0.10*BH189+0.08*BP189))</f>
        <v/>
      </c>
      <c r="BN189">
        <f>MAX(0,MIN(1,0.42*BJ189+0.33*BK189+0.15*AT189+0.10*BQ189))</f>
        <v/>
      </c>
      <c r="BO189">
        <f>MAX(0,MIN(1,0.30*BC189+0.24*BD189+0.18*AS189+0.14*(1-BI189)+0.14*AT189))</f>
        <v/>
      </c>
      <c r="BP189">
        <f>MAX(0,MIN(1,0.26*AS189+0.20*(1-BA189)+0.16*(1-AW189)+0.18*BG189+0.10*AU189+0.10+BB189))</f>
        <v/>
      </c>
      <c r="BQ189">
        <f>MAX(0,MIN(1,0.24*AT189+0.18*BF189+0.14*AR189+0.14*BO189+0.14*(1-AV189)+0.16*(1-AZ189)))</f>
        <v/>
      </c>
      <c r="BR189">
        <f>IF(BO189&gt;=0.80,"Open",IF(BO189&gt;=0.62,"Measured",IF(BO189&gt;=0.45,"Selective","Guarded")))</f>
        <v/>
      </c>
      <c r="BS189">
        <f>IF(Y189="COMM_Direct","Direct",IF(Y189="COMM_Emotional","Emotional",IF(Y189="COMM_Logical","Logical",IF(Y189="COMM_Indirect","Indirect","Avoidant"))))</f>
        <v/>
      </c>
      <c r="BT189">
        <f>IF(BG189&gt;=0.78,"Co-repair",IF(BG189&gt;=0.58,"Re-engage",IF(BG189&gt;=0.40,"Delay","Suppress")))</f>
        <v/>
      </c>
      <c r="BU189">
        <f>IF(BI189&gt;=0.70,"Retreat-risk",IF(BH189&lt;=0.40,"Rush-risk",IF(BH189&gt;=0.65,"Slow-build","Mixed")))</f>
        <v/>
      </c>
      <c r="BV189">
        <f>IF(BL189-BM189&gt;=0.15,"Stimulation-seeking",IF(BM189-BL189&gt;=0.15,"Calm-seeking","Mixed")))</f>
        <v/>
      </c>
      <c r="BW189">
        <f>IF(AND(BL189&gt;=0.72,BM189&lt;0.48),"High",IF(AND(BL189&gt;=0.60,BM189&lt;0.58),"Medium","Low"))</f>
        <v/>
      </c>
    </row>
    <row r="190" ht="121.5" customHeight="1" s="10">
      <c r="A190" s="2" t="inlineStr">
        <is>
          <t>Q38_D</t>
        </is>
      </c>
      <c r="B190" s="2" t="n">
        <v>38</v>
      </c>
      <c r="C190" s="2" t="n">
        <v>38</v>
      </c>
      <c r="D190" s="2" t="inlineStr">
        <is>
          <t>Core</t>
        </is>
      </c>
      <c r="E190" s="2" t="n">
        <v>1.2</v>
      </c>
      <c r="F190" s="2" t="inlineStr">
        <is>
          <t>CommitmentPace</t>
        </is>
      </c>
      <c r="G190" s="2" t="inlineStr">
        <is>
          <t>IntentAlignment</t>
        </is>
      </c>
      <c r="H190" s="2" t="n"/>
      <c r="I190" s="2" t="inlineStr">
        <is>
          <t>D</t>
        </is>
      </c>
      <c r="J190" s="2" t="inlineStr">
        <is>
          <t>D</t>
        </is>
      </c>
      <c r="K190" s="2" t="inlineStr">
        <is>
          <t>I start thinking it's too good to be true. I wonder how long until they get tired of the real me.</t>
        </is>
      </c>
      <c r="L190" s="2" t="n">
        <v>5</v>
      </c>
      <c r="M190" s="2" t="n">
        <v>6</v>
      </c>
      <c r="N190" s="2" t="n">
        <v>2</v>
      </c>
      <c r="O190" s="2" t="n">
        <v>4</v>
      </c>
      <c r="P190" s="2" t="n">
        <v>2</v>
      </c>
      <c r="Q190" s="2" t="inlineStr">
        <is>
          <t>Phantom Seeker</t>
        </is>
      </c>
      <c r="R190" s="2" t="n">
        <v>10</v>
      </c>
      <c r="S190" s="2" t="n"/>
      <c r="T190" s="2" t="n"/>
      <c r="U190" s="2" t="n">
        <v>0</v>
      </c>
      <c r="V190" s="2" t="inlineStr">
        <is>
          <t>masc:-0.2;fem:1.5</t>
        </is>
      </c>
      <c r="W190" s="2" t="n">
        <v>-0.2</v>
      </c>
      <c r="X190" s="2" t="n">
        <v>1.5</v>
      </c>
      <c r="Y190" s="2" t="inlineStr">
        <is>
          <t>COMM_Emotional</t>
        </is>
      </c>
      <c r="Z190" s="2" t="inlineStr">
        <is>
          <t>REG_SelfSoother</t>
        </is>
      </c>
      <c r="AA190" s="2" t="inlineStr">
        <is>
          <t>LANG_Touch</t>
        </is>
      </c>
      <c r="AB190" s="2" t="inlineStr">
        <is>
          <t>Vulnerability_Loop</t>
        </is>
      </c>
      <c r="AC190" s="2" t="inlineStr">
        <is>
          <t>Vulnerability_Loop</t>
        </is>
      </c>
      <c r="AD190" s="2" t="n"/>
      <c r="AE190" s="2" t="n">
        <v>5</v>
      </c>
      <c r="AF190" s="2" t="inlineStr">
        <is>
          <t>impostor attachment</t>
        </is>
      </c>
      <c r="AG190" s="2" t="inlineStr">
        <is>
          <t>doubtful connector</t>
        </is>
      </c>
      <c r="AH190" s="2" t="n">
        <v>0</v>
      </c>
      <c r="AI190" s="2" t="inlineStr">
        <is>
          <t>yes</t>
        </is>
      </c>
      <c r="AJ190" s="2" t="inlineStr">
        <is>
          <t>no</t>
        </is>
      </c>
      <c r="AK190" s="2" t="inlineStr">
        <is>
          <t>yes</t>
        </is>
      </c>
      <c r="AL190" s="2" t="inlineStr">
        <is>
          <t>yes</t>
        </is>
      </c>
      <c r="AM190" s="2" t="n"/>
      <c r="AN190" s="2" t="n"/>
      <c r="AO190" s="2" t="n"/>
      <c r="AP190" s="2" t="inlineStr">
        <is>
          <t>v3_2026-03-19</t>
        </is>
      </c>
      <c r="AQ190">
        <f>(L190-Schema_v5!$C2)/(Schema_v5!$C3-Schema_v5!$C2)</f>
        <v/>
      </c>
      <c r="AR190">
        <f>(M190-Schema_v5!$C4)/(Schema_v5!$C5-Schema_v5!$C4)</f>
        <v/>
      </c>
      <c r="AS190">
        <f>N190/Schema_v5!$C6</f>
        <v/>
      </c>
      <c r="AT190">
        <f>O190/Schema_v5!$C7</f>
        <v/>
      </c>
      <c r="AU190">
        <f>P190/Schema_v5!$C8</f>
        <v/>
      </c>
      <c r="AV190">
        <f>IF(Schema_v5!$C9=0,0,AH190/Schema_v5!$C9)</f>
        <v/>
      </c>
      <c r="AW190">
        <f>IF(Schema_v5!$C10=0,0,AE190/Schema_v5!$C10)</f>
        <v/>
      </c>
      <c r="AX190">
        <f>(W190-Schema_v5!$C11)/(Schema_v5!$C12-Schema_v5!$C11)</f>
        <v/>
      </c>
      <c r="AY190">
        <f>(X190-Schema_v5!$C13)/(Schema_v5!$C14-Schema_v5!$C13)</f>
        <v/>
      </c>
      <c r="AZ190">
        <f>MIN(1,MAX(0,U190/Schema_v7!$C$9))</f>
        <v/>
      </c>
      <c r="BA190">
        <f>IF(AJ190="yes",0.55,0)</f>
        <v/>
      </c>
      <c r="BB190">
        <f>IF(AI190="yes",0.10,0)</f>
        <v/>
      </c>
      <c r="BC190">
        <f>IF(Y190="COMM_Direct",0.92,IF(Y190="COMM_Emotional",0.70,IF(Y190="COMM_Logical",0.65,IF(Y190="COMM_Indirect",0.55,0.35))))</f>
        <v/>
      </c>
      <c r="BD190">
        <f>IF(Z190="REG_CoRegulator",0.92,IF(Z190="REG_SelfSoother",0.76,IF(Z190="REG_Distractor",0.48,0.35)))</f>
        <v/>
      </c>
      <c r="BE190">
        <f>IF(AA190="LANG_Time",0.76,IF(AA190="LANG_Service",0.70,IF(AA190="LANG_Words",0.72,IF(AA190="LANG_Touch",0.68,0.60))))</f>
        <v/>
      </c>
      <c r="BF190">
        <f>MAX(0,MIN(1,0.28*AS190+0.16*AT190+0.18*BC190+0.18*BD190+0.10*(1-AZ190)+0.10*(1-BA190)+BB190))</f>
        <v/>
      </c>
      <c r="BG190">
        <f>MAX(0,MIN(1,0.24*AU190+0.18*AS190+0.18*BC190+0.20*BD190+0.10*(1-AW190)+0.10*(1-BA190)))</f>
        <v/>
      </c>
      <c r="BH190">
        <f>MAX(0,MIN(1,0.28*AR190+0.18*AT190+0.16*AU190+0.18*(1-AV190)+0.10*(1-AW190)+0.10*BF190))</f>
        <v/>
      </c>
      <c r="BI190">
        <f>MAX(0,MIN(1,0.30*AV190+0.20*AZ190+0.20*AW190+0.15*(1-BH190)+0.15*(1-BO190)))</f>
        <v/>
      </c>
      <c r="BJ190">
        <f>MAX(0,1-(ABS(((( AX190+AY190)/2)-0.55)*1.6)))</f>
        <v/>
      </c>
      <c r="BK190">
        <f>MAX(0,MIN(1,0.28*AR190+0.18*AT190+0.16*BJ190+0.14*(1-AV190)+0.12*BQ190+0.12*BO190))</f>
        <v/>
      </c>
      <c r="BL190">
        <f>MAX(0,MIN(1,0.22*AQ190+0.18*AS190+0.18*BC190+0.18*BD190+0.08*BE190+0.10*BF190+0.06*BO190))</f>
        <v/>
      </c>
      <c r="BM190">
        <f>MAX(0,MIN(1,0.20*(1-AZ190)+0.16*(1-BA190)+0.14*(1-AW190)+0.14*AU190+0.18*BG190+0.10*BH190+0.08*BP190))</f>
        <v/>
      </c>
      <c r="BN190">
        <f>MAX(0,MIN(1,0.42*BJ190+0.33*BK190+0.15*AT190+0.10*BQ190))</f>
        <v/>
      </c>
      <c r="BO190">
        <f>MAX(0,MIN(1,0.30*BC190+0.24*BD190+0.18*AS190+0.14*(1-BI190)+0.14*AT190))</f>
        <v/>
      </c>
      <c r="BP190">
        <f>MAX(0,MIN(1,0.26*AS190+0.20*(1-BA190)+0.16*(1-AW190)+0.18*BG190+0.10*AU190+0.10+BB190))</f>
        <v/>
      </c>
      <c r="BQ190">
        <f>MAX(0,MIN(1,0.24*AT190+0.18*BF190+0.14*AR190+0.14*BO190+0.14*(1-AV190)+0.16*(1-AZ190)))</f>
        <v/>
      </c>
      <c r="BR190">
        <f>IF(BO190&gt;=0.80,"Open",IF(BO190&gt;=0.62,"Measured",IF(BO190&gt;=0.45,"Selective","Guarded")))</f>
        <v/>
      </c>
      <c r="BS190">
        <f>IF(Y190="COMM_Direct","Direct",IF(Y190="COMM_Emotional","Emotional",IF(Y190="COMM_Logical","Logical",IF(Y190="COMM_Indirect","Indirect","Avoidant"))))</f>
        <v/>
      </c>
      <c r="BT190">
        <f>IF(BG190&gt;=0.78,"Co-repair",IF(BG190&gt;=0.58,"Re-engage",IF(BG190&gt;=0.40,"Delay","Suppress")))</f>
        <v/>
      </c>
      <c r="BU190">
        <f>IF(BI190&gt;=0.70,"Retreat-risk",IF(BH190&lt;=0.40,"Rush-risk",IF(BH190&gt;=0.65,"Slow-build","Mixed")))</f>
        <v/>
      </c>
      <c r="BV190">
        <f>IF(BL190-BM190&gt;=0.15,"Stimulation-seeking",IF(BM190-BL190&gt;=0.15,"Calm-seeking","Mixed")))</f>
        <v/>
      </c>
      <c r="BW190">
        <f>IF(AND(BL190&gt;=0.72,BM190&lt;0.48),"High",IF(AND(BL190&gt;=0.60,BM190&lt;0.58),"Medium","Low"))</f>
        <v/>
      </c>
    </row>
    <row r="191" ht="121.5" customHeight="1" s="10">
      <c r="A191" s="2" t="inlineStr">
        <is>
          <t>Q38_E</t>
        </is>
      </c>
      <c r="B191" s="2" t="n">
        <v>38</v>
      </c>
      <c r="C191" s="2" t="n">
        <v>38</v>
      </c>
      <c r="D191" s="2" t="inlineStr">
        <is>
          <t>Core</t>
        </is>
      </c>
      <c r="E191" s="2" t="n">
        <v>1.2</v>
      </c>
      <c r="F191" s="2" t="inlineStr">
        <is>
          <t>CommitmentPace</t>
        </is>
      </c>
      <c r="G191" s="2" t="inlineStr">
        <is>
          <t>IntentAlignment</t>
        </is>
      </c>
      <c r="H191" s="2" t="n"/>
      <c r="I191" s="2" t="inlineStr">
        <is>
          <t>E</t>
        </is>
      </c>
      <c r="J191" s="2" t="inlineStr">
        <is>
          <t>E</t>
        </is>
      </c>
      <c r="K191" s="2" t="inlineStr">
        <is>
          <t>I try to prove I'm worth staying for-get more helpful, more thoughtful, like I need to earn that kind of care.</t>
        </is>
      </c>
      <c r="L191" s="2" t="n">
        <v>5</v>
      </c>
      <c r="M191" s="2" t="n">
        <v>6</v>
      </c>
      <c r="N191" s="2" t="n">
        <v>4</v>
      </c>
      <c r="O191" s="2" t="n">
        <v>4</v>
      </c>
      <c r="P191" s="2" t="n">
        <v>4</v>
      </c>
      <c r="Q191" s="2" t="inlineStr">
        <is>
          <t>Fixer</t>
        </is>
      </c>
      <c r="R191" s="2" t="n">
        <v>5</v>
      </c>
      <c r="S191" s="2" t="n"/>
      <c r="T191" s="2" t="n"/>
      <c r="U191" s="2" t="n">
        <v>0</v>
      </c>
      <c r="V191" s="2" t="inlineStr">
        <is>
          <t>masc:-0.4;fem:2.0</t>
        </is>
      </c>
      <c r="W191" s="2" t="n">
        <v>-0.4</v>
      </c>
      <c r="X191" s="2" t="n">
        <v>2</v>
      </c>
      <c r="Y191" s="2" t="inlineStr">
        <is>
          <t>COMM_Emotional</t>
        </is>
      </c>
      <c r="Z191" s="2" t="inlineStr">
        <is>
          <t>REG_CoRegulator</t>
        </is>
      </c>
      <c r="AA191" s="2" t="inlineStr">
        <is>
          <t>LANG_Service</t>
        </is>
      </c>
      <c r="AB191" s="2" t="inlineStr">
        <is>
          <t>Vulnerability_Loop</t>
        </is>
      </c>
      <c r="AC191" s="2" t="inlineStr">
        <is>
          <t>Vulnerability_Loop</t>
        </is>
      </c>
      <c r="AD191" s="2" t="n"/>
      <c r="AE191" s="2" t="n">
        <v>5</v>
      </c>
      <c r="AF191" s="2" t="inlineStr">
        <is>
          <t>worth-proving reflex</t>
        </is>
      </c>
      <c r="AG191" s="2" t="inlineStr">
        <is>
          <t>service justifier</t>
        </is>
      </c>
      <c r="AH191" s="2" t="n">
        <v>0</v>
      </c>
      <c r="AI191" s="2" t="inlineStr">
        <is>
          <t>yes</t>
        </is>
      </c>
      <c r="AJ191" s="2" t="inlineStr">
        <is>
          <t>no</t>
        </is>
      </c>
      <c r="AK191" s="2" t="inlineStr">
        <is>
          <t>yes</t>
        </is>
      </c>
      <c r="AL191" s="2" t="inlineStr">
        <is>
          <t>yes</t>
        </is>
      </c>
      <c r="AM191" s="2" t="n"/>
      <c r="AN191" s="2" t="n"/>
      <c r="AO191" s="2" t="n"/>
      <c r="AP191" s="2" t="inlineStr">
        <is>
          <t>v3_2026-03-19</t>
        </is>
      </c>
      <c r="AQ191">
        <f>(L191-Schema_v5!$C2)/(Schema_v5!$C3-Schema_v5!$C2)</f>
        <v/>
      </c>
      <c r="AR191">
        <f>(M191-Schema_v5!$C4)/(Schema_v5!$C5-Schema_v5!$C4)</f>
        <v/>
      </c>
      <c r="AS191">
        <f>N191/Schema_v5!$C6</f>
        <v/>
      </c>
      <c r="AT191">
        <f>O191/Schema_v5!$C7</f>
        <v/>
      </c>
      <c r="AU191">
        <f>P191/Schema_v5!$C8</f>
        <v/>
      </c>
      <c r="AV191">
        <f>IF(Schema_v5!$C9=0,0,AH191/Schema_v5!$C9)</f>
        <v/>
      </c>
      <c r="AW191">
        <f>IF(Schema_v5!$C10=0,0,AE191/Schema_v5!$C10)</f>
        <v/>
      </c>
      <c r="AX191">
        <f>(W191-Schema_v5!$C11)/(Schema_v5!$C12-Schema_v5!$C11)</f>
        <v/>
      </c>
      <c r="AY191">
        <f>(X191-Schema_v5!$C13)/(Schema_v5!$C14-Schema_v5!$C13)</f>
        <v/>
      </c>
      <c r="AZ191">
        <f>MIN(1,MAX(0,U191/Schema_v7!$C$9))</f>
        <v/>
      </c>
      <c r="BA191">
        <f>IF(AJ191="yes",0.55,0)</f>
        <v/>
      </c>
      <c r="BB191">
        <f>IF(AI191="yes",0.10,0)</f>
        <v/>
      </c>
      <c r="BC191">
        <f>IF(Y191="COMM_Direct",0.92,IF(Y191="COMM_Emotional",0.70,IF(Y191="COMM_Logical",0.65,IF(Y191="COMM_Indirect",0.55,0.35))))</f>
        <v/>
      </c>
      <c r="BD191">
        <f>IF(Z191="REG_CoRegulator",0.92,IF(Z191="REG_SelfSoother",0.76,IF(Z191="REG_Distractor",0.48,0.35)))</f>
        <v/>
      </c>
      <c r="BE191">
        <f>IF(AA191="LANG_Time",0.76,IF(AA191="LANG_Service",0.70,IF(AA191="LANG_Words",0.72,IF(AA191="LANG_Touch",0.68,0.60))))</f>
        <v/>
      </c>
      <c r="BF191">
        <f>MAX(0,MIN(1,0.28*AS191+0.16*AT191+0.18*BC191+0.18*BD191+0.10*(1-AZ191)+0.10*(1-BA191)+BB191))</f>
        <v/>
      </c>
      <c r="BG191">
        <f>MAX(0,MIN(1,0.24*AU191+0.18*AS191+0.18*BC191+0.20*BD191+0.10*(1-AW191)+0.10*(1-BA191)))</f>
        <v/>
      </c>
      <c r="BH191">
        <f>MAX(0,MIN(1,0.28*AR191+0.18*AT191+0.16*AU191+0.18*(1-AV191)+0.10*(1-AW191)+0.10*BF191))</f>
        <v/>
      </c>
      <c r="BI191">
        <f>MAX(0,MIN(1,0.30*AV191+0.20*AZ191+0.20*AW191+0.15*(1-BH191)+0.15*(1-BO191)))</f>
        <v/>
      </c>
      <c r="BJ191">
        <f>MAX(0,1-(ABS(((( AX191+AY191)/2)-0.55)*1.6)))</f>
        <v/>
      </c>
      <c r="BK191">
        <f>MAX(0,MIN(1,0.28*AR191+0.18*AT191+0.16*BJ191+0.14*(1-AV191)+0.12*BQ191+0.12*BO191))</f>
        <v/>
      </c>
      <c r="BL191">
        <f>MAX(0,MIN(1,0.22*AQ191+0.18*AS191+0.18*BC191+0.18*BD191+0.08*BE191+0.10*BF191+0.06*BO191))</f>
        <v/>
      </c>
      <c r="BM191">
        <f>MAX(0,MIN(1,0.20*(1-AZ191)+0.16*(1-BA191)+0.14*(1-AW191)+0.14*AU191+0.18*BG191+0.10*BH191+0.08*BP191))</f>
        <v/>
      </c>
      <c r="BN191">
        <f>MAX(0,MIN(1,0.42*BJ191+0.33*BK191+0.15*AT191+0.10*BQ191))</f>
        <v/>
      </c>
      <c r="BO191">
        <f>MAX(0,MIN(1,0.30*BC191+0.24*BD191+0.18*AS191+0.14*(1-BI191)+0.14*AT191))</f>
        <v/>
      </c>
      <c r="BP191">
        <f>MAX(0,MIN(1,0.26*AS191+0.20*(1-BA191)+0.16*(1-AW191)+0.18*BG191+0.10*AU191+0.10+BB191))</f>
        <v/>
      </c>
      <c r="BQ191">
        <f>MAX(0,MIN(1,0.24*AT191+0.18*BF191+0.14*AR191+0.14*BO191+0.14*(1-AV191)+0.16*(1-AZ191)))</f>
        <v/>
      </c>
      <c r="BR191">
        <f>IF(BO191&gt;=0.80,"Open",IF(BO191&gt;=0.62,"Measured",IF(BO191&gt;=0.45,"Selective","Guarded")))</f>
        <v/>
      </c>
      <c r="BS191">
        <f>IF(Y191="COMM_Direct","Direct",IF(Y191="COMM_Emotional","Emotional",IF(Y191="COMM_Logical","Logical",IF(Y191="COMM_Indirect","Indirect","Avoidant"))))</f>
        <v/>
      </c>
      <c r="BT191">
        <f>IF(BG191&gt;=0.78,"Co-repair",IF(BG191&gt;=0.58,"Re-engage",IF(BG191&gt;=0.40,"Delay","Suppress")))</f>
        <v/>
      </c>
      <c r="BU191">
        <f>IF(BI191&gt;=0.70,"Retreat-risk",IF(BH191&lt;=0.40,"Rush-risk",IF(BH191&gt;=0.65,"Slow-build","Mixed")))</f>
        <v/>
      </c>
      <c r="BV191">
        <f>IF(BL191-BM191&gt;=0.15,"Stimulation-seeking",IF(BM191-BL191&gt;=0.15,"Calm-seeking","Mixed")))</f>
        <v/>
      </c>
      <c r="BW191">
        <f>IF(AND(BL191&gt;=0.72,BM191&lt;0.48),"High",IF(AND(BL191&gt;=0.60,BM191&lt;0.58),"Medium","Low"))</f>
        <v/>
      </c>
    </row>
    <row r="192" ht="135" customHeight="1" s="10">
      <c r="A192" s="2" t="inlineStr">
        <is>
          <t>Q39_A</t>
        </is>
      </c>
      <c r="B192" s="2" t="n">
        <v>39</v>
      </c>
      <c r="C192" s="2" t="n">
        <v>39</v>
      </c>
      <c r="D192" s="2" t="inlineStr">
        <is>
          <t>Core</t>
        </is>
      </c>
      <c r="E192" s="2" t="n">
        <v>1.2</v>
      </c>
      <c r="F192" s="2" t="inlineStr">
        <is>
          <t>CommitmentPace</t>
        </is>
      </c>
      <c r="G192" s="2" t="inlineStr">
        <is>
          <t>IntentAlignment</t>
        </is>
      </c>
      <c r="H192" s="2" t="inlineStr">
        <is>
          <t>Someone you care about starts spiraling emotionally-maybe crying, venting, or breaking down. What's your honest first instinct?</t>
        </is>
      </c>
      <c r="I192" s="2" t="inlineStr">
        <is>
          <t>A</t>
        </is>
      </c>
      <c r="J192" s="2" t="inlineStr">
        <is>
          <t>A</t>
        </is>
      </c>
      <c r="K192" s="2" t="inlineStr">
        <is>
          <t>I freeze a little. I care, but I don't always know what to do when it gets intense.</t>
        </is>
      </c>
      <c r="L192" s="2" t="n">
        <v>6</v>
      </c>
      <c r="M192" s="2" t="n">
        <v>7</v>
      </c>
      <c r="N192" s="2" t="n">
        <v>2</v>
      </c>
      <c r="O192" s="2" t="n">
        <v>2</v>
      </c>
      <c r="P192" s="2" t="n">
        <v>0</v>
      </c>
      <c r="Q192" s="2" t="inlineStr">
        <is>
          <t>Icebox</t>
        </is>
      </c>
      <c r="R192" s="2" t="n">
        <v>1</v>
      </c>
      <c r="S192" s="2" t="n"/>
      <c r="T192" s="2" t="n"/>
      <c r="U192" s="2" t="n">
        <v>0</v>
      </c>
      <c r="V192" s="2" t="inlineStr">
        <is>
          <t>masc:1.8;fem:-1.6</t>
        </is>
      </c>
      <c r="W192" s="2" t="n">
        <v>1.8</v>
      </c>
      <c r="X192" s="2" t="n">
        <v>-1.6</v>
      </c>
      <c r="Y192" s="2" t="inlineStr">
        <is>
          <t>COMM_Avoidant</t>
        </is>
      </c>
      <c r="Z192" s="2" t="inlineStr">
        <is>
          <t>REG_Suppressor</t>
        </is>
      </c>
      <c r="AA192" s="2" t="inlineStr">
        <is>
          <t>LANG_Time</t>
        </is>
      </c>
      <c r="AB192" s="2" t="inlineStr">
        <is>
          <t>Vulnerability_Loop</t>
        </is>
      </c>
      <c r="AC192" s="2" t="inlineStr">
        <is>
          <t>Vulnerability_Loop</t>
        </is>
      </c>
      <c r="AD192" s="2" t="n"/>
      <c r="AE192" s="2" t="n">
        <v>5</v>
      </c>
      <c r="AF192" s="2" t="inlineStr">
        <is>
          <t>empathic freeze response</t>
        </is>
      </c>
      <c r="AG192" s="2" t="inlineStr">
        <is>
          <t>unsure supporter</t>
        </is>
      </c>
      <c r="AH192" s="2" t="n">
        <v>0</v>
      </c>
      <c r="AI192" s="2" t="inlineStr">
        <is>
          <t>yes</t>
        </is>
      </c>
      <c r="AJ192" s="2" t="inlineStr">
        <is>
          <t>no</t>
        </is>
      </c>
      <c r="AK192" s="2" t="inlineStr">
        <is>
          <t>yes</t>
        </is>
      </c>
      <c r="AL192" s="2" t="inlineStr">
        <is>
          <t>yes</t>
        </is>
      </c>
      <c r="AM192" s="2" t="n"/>
      <c r="AN192" s="2" t="n"/>
      <c r="AO192" s="2" t="n"/>
      <c r="AP192" s="2" t="inlineStr">
        <is>
          <t>v3_2026-03-19</t>
        </is>
      </c>
      <c r="AQ192">
        <f>(L192-Schema_v5!$C2)/(Schema_v5!$C3-Schema_v5!$C2)</f>
        <v/>
      </c>
      <c r="AR192">
        <f>(M192-Schema_v5!$C4)/(Schema_v5!$C5-Schema_v5!$C4)</f>
        <v/>
      </c>
      <c r="AS192">
        <f>N192/Schema_v5!$C6</f>
        <v/>
      </c>
      <c r="AT192">
        <f>O192/Schema_v5!$C7</f>
        <v/>
      </c>
      <c r="AU192">
        <f>P192/Schema_v5!$C8</f>
        <v/>
      </c>
      <c r="AV192">
        <f>IF(Schema_v5!$C9=0,0,AH192/Schema_v5!$C9)</f>
        <v/>
      </c>
      <c r="AW192">
        <f>IF(Schema_v5!$C10=0,0,AE192/Schema_v5!$C10)</f>
        <v/>
      </c>
      <c r="AX192">
        <f>(W192-Schema_v5!$C11)/(Schema_v5!$C12-Schema_v5!$C11)</f>
        <v/>
      </c>
      <c r="AY192">
        <f>(X192-Schema_v5!$C13)/(Schema_v5!$C14-Schema_v5!$C13)</f>
        <v/>
      </c>
      <c r="AZ192">
        <f>MIN(1,MAX(0,U192/Schema_v7!$C$9))</f>
        <v/>
      </c>
      <c r="BA192">
        <f>IF(AJ192="yes",0.55,0)</f>
        <v/>
      </c>
      <c r="BB192">
        <f>IF(AI192="yes",0.10,0)</f>
        <v/>
      </c>
      <c r="BC192">
        <f>IF(Y192="COMM_Direct",0.92,IF(Y192="COMM_Emotional",0.70,IF(Y192="COMM_Logical",0.65,IF(Y192="COMM_Indirect",0.55,0.35))))</f>
        <v/>
      </c>
      <c r="BD192">
        <f>IF(Z192="REG_CoRegulator",0.92,IF(Z192="REG_SelfSoother",0.76,IF(Z192="REG_Distractor",0.48,0.35)))</f>
        <v/>
      </c>
      <c r="BE192">
        <f>IF(AA192="LANG_Time",0.76,IF(AA192="LANG_Service",0.70,IF(AA192="LANG_Words",0.72,IF(AA192="LANG_Touch",0.68,0.60))))</f>
        <v/>
      </c>
      <c r="BF192">
        <f>MAX(0,MIN(1,0.28*AS192+0.16*AT192+0.18*BC192+0.18*BD192+0.10*(1-AZ192)+0.10*(1-BA192)+BB192))</f>
        <v/>
      </c>
      <c r="BG192">
        <f>MAX(0,MIN(1,0.24*AU192+0.18*AS192+0.18*BC192+0.20*BD192+0.10*(1-AW192)+0.10*(1-BA192)))</f>
        <v/>
      </c>
      <c r="BH192">
        <f>MAX(0,MIN(1,0.28*AR192+0.18*AT192+0.16*AU192+0.18*(1-AV192)+0.10*(1-AW192)+0.10*BF192))</f>
        <v/>
      </c>
      <c r="BI192">
        <f>MAX(0,MIN(1,0.30*AV192+0.20*AZ192+0.20*AW192+0.15*(1-BH192)+0.15*(1-BO192)))</f>
        <v/>
      </c>
      <c r="BJ192">
        <f>MAX(0,1-(ABS(((( AX192+AY192)/2)-0.55)*1.6)))</f>
        <v/>
      </c>
      <c r="BK192">
        <f>MAX(0,MIN(1,0.28*AR192+0.18*AT192+0.16*BJ192+0.14*(1-AV192)+0.12*BQ192+0.12*BO192))</f>
        <v/>
      </c>
      <c r="BL192">
        <f>MAX(0,MIN(1,0.22*AQ192+0.18*AS192+0.18*BC192+0.18*BD192+0.08*BE192+0.10*BF192+0.06*BO192))</f>
        <v/>
      </c>
      <c r="BM192">
        <f>MAX(0,MIN(1,0.20*(1-AZ192)+0.16*(1-BA192)+0.14*(1-AW192)+0.14*AU192+0.18*BG192+0.10*BH192+0.08*BP192))</f>
        <v/>
      </c>
      <c r="BN192">
        <f>MAX(0,MIN(1,0.42*BJ192+0.33*BK192+0.15*AT192+0.10*BQ192))</f>
        <v/>
      </c>
      <c r="BO192">
        <f>MAX(0,MIN(1,0.30*BC192+0.24*BD192+0.18*AS192+0.14*(1-BI192)+0.14*AT192))</f>
        <v/>
      </c>
      <c r="BP192">
        <f>MAX(0,MIN(1,0.26*AS192+0.20*(1-BA192)+0.16*(1-AW192)+0.18*BG192+0.10*AU192+0.10+BB192))</f>
        <v/>
      </c>
      <c r="BQ192">
        <f>MAX(0,MIN(1,0.24*AT192+0.18*BF192+0.14*AR192+0.14*BO192+0.14*(1-AV192)+0.16*(1-AZ192)))</f>
        <v/>
      </c>
      <c r="BR192">
        <f>IF(BO192&gt;=0.80,"Open",IF(BO192&gt;=0.62,"Measured",IF(BO192&gt;=0.45,"Selective","Guarded")))</f>
        <v/>
      </c>
      <c r="BS192">
        <f>IF(Y192="COMM_Direct","Direct",IF(Y192="COMM_Emotional","Emotional",IF(Y192="COMM_Logical","Logical",IF(Y192="COMM_Indirect","Indirect","Avoidant"))))</f>
        <v/>
      </c>
      <c r="BT192">
        <f>IF(BG192&gt;=0.78,"Co-repair",IF(BG192&gt;=0.58,"Re-engage",IF(BG192&gt;=0.40,"Delay","Suppress")))</f>
        <v/>
      </c>
      <c r="BU192">
        <f>IF(BI192&gt;=0.70,"Retreat-risk",IF(BH192&lt;=0.40,"Rush-risk",IF(BH192&gt;=0.65,"Slow-build","Mixed")))</f>
        <v/>
      </c>
      <c r="BV192">
        <f>IF(BL192-BM192&gt;=0.15,"Stimulation-seeking",IF(BM192-BL192&gt;=0.15,"Calm-seeking","Mixed")))</f>
        <v/>
      </c>
      <c r="BW192">
        <f>IF(AND(BL192&gt;=0.72,BM192&lt;0.48),"High",IF(AND(BL192&gt;=0.60,BM192&lt;0.58),"Medium","Low"))</f>
        <v/>
      </c>
    </row>
    <row r="193" ht="108" customHeight="1" s="10">
      <c r="A193" s="2" t="inlineStr">
        <is>
          <t>Q39_B</t>
        </is>
      </c>
      <c r="B193" s="2" t="n">
        <v>39</v>
      </c>
      <c r="C193" s="2" t="n">
        <v>39</v>
      </c>
      <c r="D193" s="2" t="inlineStr">
        <is>
          <t>Core</t>
        </is>
      </c>
      <c r="E193" s="2" t="n">
        <v>1.2</v>
      </c>
      <c r="F193" s="2" t="inlineStr">
        <is>
          <t>CommitmentPace</t>
        </is>
      </c>
      <c r="G193" s="2" t="inlineStr">
        <is>
          <t>IntentAlignment</t>
        </is>
      </c>
      <c r="H193" s="2" t="n"/>
      <c r="I193" s="2" t="inlineStr">
        <is>
          <t>B</t>
        </is>
      </c>
      <c r="J193" s="2" t="inlineStr">
        <is>
          <t>B</t>
        </is>
      </c>
      <c r="K193" s="2" t="inlineStr">
        <is>
          <t>I jump into soothe mode-even if I'm overwhelmed too. I just want to make it stop for them.</t>
        </is>
      </c>
      <c r="L193" s="2" t="n">
        <v>8</v>
      </c>
      <c r="M193" s="2" t="n">
        <v>9</v>
      </c>
      <c r="N193" s="2" t="n">
        <v>8</v>
      </c>
      <c r="O193" s="2" t="n">
        <v>10</v>
      </c>
      <c r="P193" s="2" t="n">
        <v>8</v>
      </c>
      <c r="Q193" s="2" t="inlineStr">
        <is>
          <t>Fixer</t>
        </is>
      </c>
      <c r="R193" s="2" t="n">
        <v>5</v>
      </c>
      <c r="S193" s="2" t="n"/>
      <c r="T193" s="2" t="n"/>
      <c r="U193" s="2" t="n">
        <v>0</v>
      </c>
      <c r="V193" s="2" t="inlineStr">
        <is>
          <t>masc:-0.4;fem:2.0</t>
        </is>
      </c>
      <c r="W193" s="2" t="n">
        <v>-0.4</v>
      </c>
      <c r="X193" s="2" t="n">
        <v>2</v>
      </c>
      <c r="Y193" s="2" t="inlineStr">
        <is>
          <t>COMM_Emotional</t>
        </is>
      </c>
      <c r="Z193" s="2" t="inlineStr">
        <is>
          <t>REG_CoRegulator</t>
        </is>
      </c>
      <c r="AA193" s="2" t="inlineStr">
        <is>
          <t>LANG_Service</t>
        </is>
      </c>
      <c r="AB193" s="2" t="n"/>
      <c r="AC193" s="2" t="n"/>
      <c r="AD193" s="2" t="n"/>
      <c r="AE193" s="2" t="n">
        <v>0</v>
      </c>
      <c r="AF193" s="2" t="inlineStr">
        <is>
          <t>emotional rescue reflex</t>
        </is>
      </c>
      <c r="AG193" s="2" t="inlineStr">
        <is>
          <t>active comforter</t>
        </is>
      </c>
      <c r="AH193" s="2" t="n">
        <v>0</v>
      </c>
      <c r="AI193" s="2" t="inlineStr">
        <is>
          <t>no</t>
        </is>
      </c>
      <c r="AJ193" s="2" t="inlineStr">
        <is>
          <t>no</t>
        </is>
      </c>
      <c r="AK193" s="2" t="inlineStr">
        <is>
          <t>yes</t>
        </is>
      </c>
      <c r="AL193" s="2" t="inlineStr">
        <is>
          <t>yes</t>
        </is>
      </c>
      <c r="AM193" s="2" t="n"/>
      <c r="AN193" s="2" t="n"/>
      <c r="AO193" s="2" t="n"/>
      <c r="AP193" s="2" t="inlineStr">
        <is>
          <t>v3_2026-03-19</t>
        </is>
      </c>
      <c r="AQ193">
        <f>(L193-Schema_v5!$C2)/(Schema_v5!$C3-Schema_v5!$C2)</f>
        <v/>
      </c>
      <c r="AR193">
        <f>(M193-Schema_v5!$C4)/(Schema_v5!$C5-Schema_v5!$C4)</f>
        <v/>
      </c>
      <c r="AS193">
        <f>N193/Schema_v5!$C6</f>
        <v/>
      </c>
      <c r="AT193">
        <f>O193/Schema_v5!$C7</f>
        <v/>
      </c>
      <c r="AU193">
        <f>P193/Schema_v5!$C8</f>
        <v/>
      </c>
      <c r="AV193">
        <f>IF(Schema_v5!$C9=0,0,AH193/Schema_v5!$C9)</f>
        <v/>
      </c>
      <c r="AW193">
        <f>IF(Schema_v5!$C10=0,0,AE193/Schema_v5!$C10)</f>
        <v/>
      </c>
      <c r="AX193">
        <f>(W193-Schema_v5!$C11)/(Schema_v5!$C12-Schema_v5!$C11)</f>
        <v/>
      </c>
      <c r="AY193">
        <f>(X193-Schema_v5!$C13)/(Schema_v5!$C14-Schema_v5!$C13)</f>
        <v/>
      </c>
      <c r="AZ193">
        <f>MIN(1,MAX(0,U193/Schema_v7!$C$9))</f>
        <v/>
      </c>
      <c r="BA193">
        <f>IF(AJ193="yes",0.55,0)</f>
        <v/>
      </c>
      <c r="BB193">
        <f>IF(AI193="yes",0.10,0)</f>
        <v/>
      </c>
      <c r="BC193">
        <f>IF(Y193="COMM_Direct",0.92,IF(Y193="COMM_Emotional",0.70,IF(Y193="COMM_Logical",0.65,IF(Y193="COMM_Indirect",0.55,0.35))))</f>
        <v/>
      </c>
      <c r="BD193">
        <f>IF(Z193="REG_CoRegulator",0.92,IF(Z193="REG_SelfSoother",0.76,IF(Z193="REG_Distractor",0.48,0.35)))</f>
        <v/>
      </c>
      <c r="BE193">
        <f>IF(AA193="LANG_Time",0.76,IF(AA193="LANG_Service",0.70,IF(AA193="LANG_Words",0.72,IF(AA193="LANG_Touch",0.68,0.60))))</f>
        <v/>
      </c>
      <c r="BF193">
        <f>MAX(0,MIN(1,0.28*AS193+0.16*AT193+0.18*BC193+0.18*BD193+0.10*(1-AZ193)+0.10*(1-BA193)+BB193))</f>
        <v/>
      </c>
      <c r="BG193">
        <f>MAX(0,MIN(1,0.24*AU193+0.18*AS193+0.18*BC193+0.20*BD193+0.10*(1-AW193)+0.10*(1-BA193)))</f>
        <v/>
      </c>
      <c r="BH193">
        <f>MAX(0,MIN(1,0.28*AR193+0.18*AT193+0.16*AU193+0.18*(1-AV193)+0.10*(1-AW193)+0.10*BF193))</f>
        <v/>
      </c>
      <c r="BI193">
        <f>MAX(0,MIN(1,0.30*AV193+0.20*AZ193+0.20*AW193+0.15*(1-BH193)+0.15*(1-BO193)))</f>
        <v/>
      </c>
      <c r="BJ193">
        <f>MAX(0,1-(ABS(((( AX193+AY193)/2)-0.55)*1.6)))</f>
        <v/>
      </c>
      <c r="BK193">
        <f>MAX(0,MIN(1,0.28*AR193+0.18*AT193+0.16*BJ193+0.14*(1-AV193)+0.12*BQ193+0.12*BO193))</f>
        <v/>
      </c>
      <c r="BL193">
        <f>MAX(0,MIN(1,0.22*AQ193+0.18*AS193+0.18*BC193+0.18*BD193+0.08*BE193+0.10*BF193+0.06*BO193))</f>
        <v/>
      </c>
      <c r="BM193">
        <f>MAX(0,MIN(1,0.20*(1-AZ193)+0.16*(1-BA193)+0.14*(1-AW193)+0.14*AU193+0.18*BG193+0.10*BH193+0.08*BP193))</f>
        <v/>
      </c>
      <c r="BN193">
        <f>MAX(0,MIN(1,0.42*BJ193+0.33*BK193+0.15*AT193+0.10*BQ193))</f>
        <v/>
      </c>
      <c r="BO193">
        <f>MAX(0,MIN(1,0.30*BC193+0.24*BD193+0.18*AS193+0.14*(1-BI193)+0.14*AT193))</f>
        <v/>
      </c>
      <c r="BP193">
        <f>MAX(0,MIN(1,0.26*AS193+0.20*(1-BA193)+0.16*(1-AW193)+0.18*BG193+0.10*AU193+0.10+BB193))</f>
        <v/>
      </c>
      <c r="BQ193">
        <f>MAX(0,MIN(1,0.24*AT193+0.18*BF193+0.14*AR193+0.14*BO193+0.14*(1-AV193)+0.16*(1-AZ193)))</f>
        <v/>
      </c>
      <c r="BR193">
        <f>IF(BO193&gt;=0.80,"Open",IF(BO193&gt;=0.62,"Measured",IF(BO193&gt;=0.45,"Selective","Guarded")))</f>
        <v/>
      </c>
      <c r="BS193">
        <f>IF(Y193="COMM_Direct","Direct",IF(Y193="COMM_Emotional","Emotional",IF(Y193="COMM_Logical","Logical",IF(Y193="COMM_Indirect","Indirect","Avoidant"))))</f>
        <v/>
      </c>
      <c r="BT193">
        <f>IF(BG193&gt;=0.78,"Co-repair",IF(BG193&gt;=0.58,"Re-engage",IF(BG193&gt;=0.40,"Delay","Suppress")))</f>
        <v/>
      </c>
      <c r="BU193">
        <f>IF(BI193&gt;=0.70,"Retreat-risk",IF(BH193&lt;=0.40,"Rush-risk",IF(BH193&gt;=0.65,"Slow-build","Mixed")))</f>
        <v/>
      </c>
      <c r="BV193">
        <f>IF(BL193-BM193&gt;=0.15,"Stimulation-seeking",IF(BM193-BL193&gt;=0.15,"Calm-seeking","Mixed")))</f>
        <v/>
      </c>
      <c r="BW193">
        <f>IF(AND(BL193&gt;=0.72,BM193&lt;0.48),"High",IF(AND(BL193&gt;=0.60,BM193&lt;0.58),"Medium","Low"))</f>
        <v/>
      </c>
    </row>
    <row r="194" ht="148.5" customHeight="1" s="10">
      <c r="A194" s="2" t="inlineStr">
        <is>
          <t>Q39_C</t>
        </is>
      </c>
      <c r="B194" s="2" t="n">
        <v>39</v>
      </c>
      <c r="C194" s="2" t="n">
        <v>39</v>
      </c>
      <c r="D194" s="2" t="inlineStr">
        <is>
          <t>Core</t>
        </is>
      </c>
      <c r="E194" s="2" t="n">
        <v>1.2</v>
      </c>
      <c r="F194" s="2" t="inlineStr">
        <is>
          <t>CommitmentPace</t>
        </is>
      </c>
      <c r="G194" s="2" t="inlineStr">
        <is>
          <t>IntentAlignment</t>
        </is>
      </c>
      <c r="H194" s="2" t="n"/>
      <c r="I194" s="2" t="inlineStr">
        <is>
          <t>C</t>
        </is>
      </c>
      <c r="J194" s="2" t="inlineStr">
        <is>
          <t>C</t>
        </is>
      </c>
      <c r="K194" s="2" t="inlineStr">
        <is>
          <t>I try to keep my face calm while scanning for the root of what triggered it. I want to understand more than react.</t>
        </is>
      </c>
      <c r="L194" s="2" t="n">
        <v>8</v>
      </c>
      <c r="M194" s="2" t="n">
        <v>9</v>
      </c>
      <c r="N194" s="2" t="n">
        <v>8</v>
      </c>
      <c r="O194" s="2" t="n">
        <v>8</v>
      </c>
      <c r="P194" s="2" t="n">
        <v>8</v>
      </c>
      <c r="Q194" s="2" t="inlineStr">
        <is>
          <t>Analyzer</t>
        </is>
      </c>
      <c r="R194" s="2" t="n">
        <v>2</v>
      </c>
      <c r="S194" s="2" t="n"/>
      <c r="T194" s="2" t="n"/>
      <c r="U194" s="2" t="n">
        <v>0</v>
      </c>
      <c r="V194" s="2" t="inlineStr">
        <is>
          <t>masc:1.4;fem:0.1</t>
        </is>
      </c>
      <c r="W194" s="2" t="n">
        <v>1.4</v>
      </c>
      <c r="X194" s="2" t="n">
        <v>0.1</v>
      </c>
      <c r="Y194" s="2" t="inlineStr">
        <is>
          <t>COMM_Logical</t>
        </is>
      </c>
      <c r="Z194" s="2" t="inlineStr">
        <is>
          <t>REG_SelfSoother</t>
        </is>
      </c>
      <c r="AA194" s="2" t="inlineStr">
        <is>
          <t>LANG_Service</t>
        </is>
      </c>
      <c r="AB194" s="2" t="n"/>
      <c r="AC194" s="2" t="n"/>
      <c r="AD194" s="2" t="n"/>
      <c r="AE194" s="2" t="n">
        <v>0</v>
      </c>
      <c r="AF194" s="2" t="inlineStr">
        <is>
          <t>real-time emotional investigator</t>
        </is>
      </c>
      <c r="AG194" s="2" t="inlineStr">
        <is>
          <t>cause finder</t>
        </is>
      </c>
      <c r="AH194" s="2" t="n">
        <v>0</v>
      </c>
      <c r="AI194" s="2" t="inlineStr">
        <is>
          <t>no</t>
        </is>
      </c>
      <c r="AJ194" s="2" t="inlineStr">
        <is>
          <t>no</t>
        </is>
      </c>
      <c r="AK194" s="2" t="inlineStr">
        <is>
          <t>yes</t>
        </is>
      </c>
      <c r="AL194" s="2" t="inlineStr">
        <is>
          <t>yes</t>
        </is>
      </c>
      <c r="AM194" s="2" t="n"/>
      <c r="AN194" s="2" t="n"/>
      <c r="AO194" s="2" t="n"/>
      <c r="AP194" s="2" t="inlineStr">
        <is>
          <t>v3_2026-03-19</t>
        </is>
      </c>
      <c r="AQ194">
        <f>(L194-Schema_v5!$C2)/(Schema_v5!$C3-Schema_v5!$C2)</f>
        <v/>
      </c>
      <c r="AR194">
        <f>(M194-Schema_v5!$C4)/(Schema_v5!$C5-Schema_v5!$C4)</f>
        <v/>
      </c>
      <c r="AS194">
        <f>N194/Schema_v5!$C6</f>
        <v/>
      </c>
      <c r="AT194">
        <f>O194/Schema_v5!$C7</f>
        <v/>
      </c>
      <c r="AU194">
        <f>P194/Schema_v5!$C8</f>
        <v/>
      </c>
      <c r="AV194">
        <f>IF(Schema_v5!$C9=0,0,AH194/Schema_v5!$C9)</f>
        <v/>
      </c>
      <c r="AW194">
        <f>IF(Schema_v5!$C10=0,0,AE194/Schema_v5!$C10)</f>
        <v/>
      </c>
      <c r="AX194">
        <f>(W194-Schema_v5!$C11)/(Schema_v5!$C12-Schema_v5!$C11)</f>
        <v/>
      </c>
      <c r="AY194">
        <f>(X194-Schema_v5!$C13)/(Schema_v5!$C14-Schema_v5!$C13)</f>
        <v/>
      </c>
      <c r="AZ194">
        <f>MIN(1,MAX(0,U194/Schema_v7!$C$9))</f>
        <v/>
      </c>
      <c r="BA194">
        <f>IF(AJ194="yes",0.55,0)</f>
        <v/>
      </c>
      <c r="BB194">
        <f>IF(AI194="yes",0.10,0)</f>
        <v/>
      </c>
      <c r="BC194">
        <f>IF(Y194="COMM_Direct",0.92,IF(Y194="COMM_Emotional",0.70,IF(Y194="COMM_Logical",0.65,IF(Y194="COMM_Indirect",0.55,0.35))))</f>
        <v/>
      </c>
      <c r="BD194">
        <f>IF(Z194="REG_CoRegulator",0.92,IF(Z194="REG_SelfSoother",0.76,IF(Z194="REG_Distractor",0.48,0.35)))</f>
        <v/>
      </c>
      <c r="BE194">
        <f>IF(AA194="LANG_Time",0.76,IF(AA194="LANG_Service",0.70,IF(AA194="LANG_Words",0.72,IF(AA194="LANG_Touch",0.68,0.60))))</f>
        <v/>
      </c>
      <c r="BF194">
        <f>MAX(0,MIN(1,0.28*AS194+0.16*AT194+0.18*BC194+0.18*BD194+0.10*(1-AZ194)+0.10*(1-BA194)+BB194))</f>
        <v/>
      </c>
      <c r="BG194">
        <f>MAX(0,MIN(1,0.24*AU194+0.18*AS194+0.18*BC194+0.20*BD194+0.10*(1-AW194)+0.10*(1-BA194)))</f>
        <v/>
      </c>
      <c r="BH194">
        <f>MAX(0,MIN(1,0.28*AR194+0.18*AT194+0.16*AU194+0.18*(1-AV194)+0.10*(1-AW194)+0.10*BF194))</f>
        <v/>
      </c>
      <c r="BI194">
        <f>MAX(0,MIN(1,0.30*AV194+0.20*AZ194+0.20*AW194+0.15*(1-BH194)+0.15*(1-BO194)))</f>
        <v/>
      </c>
      <c r="BJ194">
        <f>MAX(0,1-(ABS(((( AX194+AY194)/2)-0.55)*1.6)))</f>
        <v/>
      </c>
      <c r="BK194">
        <f>MAX(0,MIN(1,0.28*AR194+0.18*AT194+0.16*BJ194+0.14*(1-AV194)+0.12*BQ194+0.12*BO194))</f>
        <v/>
      </c>
      <c r="BL194">
        <f>MAX(0,MIN(1,0.22*AQ194+0.18*AS194+0.18*BC194+0.18*BD194+0.08*BE194+0.10*BF194+0.06*BO194))</f>
        <v/>
      </c>
      <c r="BM194">
        <f>MAX(0,MIN(1,0.20*(1-AZ194)+0.16*(1-BA194)+0.14*(1-AW194)+0.14*AU194+0.18*BG194+0.10*BH194+0.08*BP194))</f>
        <v/>
      </c>
      <c r="BN194">
        <f>MAX(0,MIN(1,0.42*BJ194+0.33*BK194+0.15*AT194+0.10*BQ194))</f>
        <v/>
      </c>
      <c r="BO194">
        <f>MAX(0,MIN(1,0.30*BC194+0.24*BD194+0.18*AS194+0.14*(1-BI194)+0.14*AT194))</f>
        <v/>
      </c>
      <c r="BP194">
        <f>MAX(0,MIN(1,0.26*AS194+0.20*(1-BA194)+0.16*(1-AW194)+0.18*BG194+0.10*AU194+0.10+BB194))</f>
        <v/>
      </c>
      <c r="BQ194">
        <f>MAX(0,MIN(1,0.24*AT194+0.18*BF194+0.14*AR194+0.14*BO194+0.14*(1-AV194)+0.16*(1-AZ194)))</f>
        <v/>
      </c>
      <c r="BR194">
        <f>IF(BO194&gt;=0.80,"Open",IF(BO194&gt;=0.62,"Measured",IF(BO194&gt;=0.45,"Selective","Guarded")))</f>
        <v/>
      </c>
      <c r="BS194">
        <f>IF(Y194="COMM_Direct","Direct",IF(Y194="COMM_Emotional","Emotional",IF(Y194="COMM_Logical","Logical",IF(Y194="COMM_Indirect","Indirect","Avoidant"))))</f>
        <v/>
      </c>
      <c r="BT194">
        <f>IF(BG194&gt;=0.78,"Co-repair",IF(BG194&gt;=0.58,"Re-engage",IF(BG194&gt;=0.40,"Delay","Suppress")))</f>
        <v/>
      </c>
      <c r="BU194">
        <f>IF(BI194&gt;=0.70,"Retreat-risk",IF(BH194&lt;=0.40,"Rush-risk",IF(BH194&gt;=0.65,"Slow-build","Mixed")))</f>
        <v/>
      </c>
      <c r="BV194">
        <f>IF(BL194-BM194&gt;=0.15,"Stimulation-seeking",IF(BM194-BL194&gt;=0.15,"Calm-seeking","Mixed")))</f>
        <v/>
      </c>
      <c r="BW194">
        <f>IF(AND(BL194&gt;=0.72,BM194&lt;0.48),"High",IF(AND(BL194&gt;=0.60,BM194&lt;0.58),"Medium","Low"))</f>
        <v/>
      </c>
    </row>
    <row r="195" ht="148.5" customHeight="1" s="10">
      <c r="A195" s="2" t="inlineStr">
        <is>
          <t>Q39_D</t>
        </is>
      </c>
      <c r="B195" s="2" t="n">
        <v>39</v>
      </c>
      <c r="C195" s="2" t="n">
        <v>39</v>
      </c>
      <c r="D195" s="2" t="inlineStr">
        <is>
          <t>Core</t>
        </is>
      </c>
      <c r="E195" s="2" t="n">
        <v>1.2</v>
      </c>
      <c r="F195" s="2" t="inlineStr">
        <is>
          <t>CommitmentPace</t>
        </is>
      </c>
      <c r="G195" s="2" t="inlineStr">
        <is>
          <t>IntentAlignment</t>
        </is>
      </c>
      <c r="H195" s="2" t="n"/>
      <c r="I195" s="2" t="inlineStr">
        <is>
          <t>D</t>
        </is>
      </c>
      <c r="J195" s="2" t="inlineStr">
        <is>
          <t>D</t>
        </is>
      </c>
      <c r="K195" s="2" t="inlineStr">
        <is>
          <t>I stay with them, but I don't say much. I figure they'll talk when they're ready-I just try to hold space without pressure.</t>
        </is>
      </c>
      <c r="L195" s="2" t="n">
        <v>8</v>
      </c>
      <c r="M195" s="2" t="n">
        <v>9</v>
      </c>
      <c r="N195" s="2" t="n">
        <v>8</v>
      </c>
      <c r="O195" s="2" t="n">
        <v>8</v>
      </c>
      <c r="P195" s="2" t="n">
        <v>8</v>
      </c>
      <c r="Q195" s="2" t="inlineStr">
        <is>
          <t>Survivor</t>
        </is>
      </c>
      <c r="R195" s="2" t="n">
        <v>8</v>
      </c>
      <c r="S195" s="2" t="n"/>
      <c r="T195" s="2" t="n"/>
      <c r="U195" s="2" t="n">
        <v>0</v>
      </c>
      <c r="V195" s="2" t="inlineStr">
        <is>
          <t>masc:0.3;fem:1.3</t>
        </is>
      </c>
      <c r="W195" s="2" t="n">
        <v>0.3</v>
      </c>
      <c r="X195" s="2" t="n">
        <v>1.3</v>
      </c>
      <c r="Y195" s="2" t="inlineStr">
        <is>
          <t>COMM_Emotional</t>
        </is>
      </c>
      <c r="Z195" s="2" t="inlineStr">
        <is>
          <t>REG_SelfSoother</t>
        </is>
      </c>
      <c r="AA195" s="2" t="inlineStr">
        <is>
          <t>LANG_Service</t>
        </is>
      </c>
      <c r="AB195" s="2" t="n"/>
      <c r="AC195" s="2" t="n"/>
      <c r="AD195" s="2" t="n"/>
      <c r="AE195" s="2" t="n">
        <v>0</v>
      </c>
      <c r="AF195" s="2" t="inlineStr">
        <is>
          <t>quiet steady presence</t>
        </is>
      </c>
      <c r="AG195" s="2" t="inlineStr">
        <is>
          <t>silent anchor</t>
        </is>
      </c>
      <c r="AH195" s="2" t="n">
        <v>0.6</v>
      </c>
      <c r="AI195" s="2" t="inlineStr">
        <is>
          <t>no</t>
        </is>
      </c>
      <c r="AJ195" s="2" t="inlineStr">
        <is>
          <t>no</t>
        </is>
      </c>
      <c r="AK195" s="2" t="inlineStr">
        <is>
          <t>yes</t>
        </is>
      </c>
      <c r="AL195" s="2" t="inlineStr">
        <is>
          <t>yes</t>
        </is>
      </c>
      <c r="AM195" s="2" t="n"/>
      <c r="AN195" s="2" t="n"/>
      <c r="AO195" s="2" t="n"/>
      <c r="AP195" s="2" t="inlineStr">
        <is>
          <t>v3_2026-03-19</t>
        </is>
      </c>
      <c r="AQ195">
        <f>(L195-Schema_v5!$C2)/(Schema_v5!$C3-Schema_v5!$C2)</f>
        <v/>
      </c>
      <c r="AR195">
        <f>(M195-Schema_v5!$C4)/(Schema_v5!$C5-Schema_v5!$C4)</f>
        <v/>
      </c>
      <c r="AS195">
        <f>N195/Schema_v5!$C6</f>
        <v/>
      </c>
      <c r="AT195">
        <f>O195/Schema_v5!$C7</f>
        <v/>
      </c>
      <c r="AU195">
        <f>P195/Schema_v5!$C8</f>
        <v/>
      </c>
      <c r="AV195">
        <f>IF(Schema_v5!$C9=0,0,AH195/Schema_v5!$C9)</f>
        <v/>
      </c>
      <c r="AW195">
        <f>IF(Schema_v5!$C10=0,0,AE195/Schema_v5!$C10)</f>
        <v/>
      </c>
      <c r="AX195">
        <f>(W195-Schema_v5!$C11)/(Schema_v5!$C12-Schema_v5!$C11)</f>
        <v/>
      </c>
      <c r="AY195">
        <f>(X195-Schema_v5!$C13)/(Schema_v5!$C14-Schema_v5!$C13)</f>
        <v/>
      </c>
      <c r="AZ195">
        <f>MIN(1,MAX(0,U195/Schema_v7!$C$9))</f>
        <v/>
      </c>
      <c r="BA195">
        <f>IF(AJ195="yes",0.55,0)</f>
        <v/>
      </c>
      <c r="BB195">
        <f>IF(AI195="yes",0.10,0)</f>
        <v/>
      </c>
      <c r="BC195">
        <f>IF(Y195="COMM_Direct",0.92,IF(Y195="COMM_Emotional",0.70,IF(Y195="COMM_Logical",0.65,IF(Y195="COMM_Indirect",0.55,0.35))))</f>
        <v/>
      </c>
      <c r="BD195">
        <f>IF(Z195="REG_CoRegulator",0.92,IF(Z195="REG_SelfSoother",0.76,IF(Z195="REG_Distractor",0.48,0.35)))</f>
        <v/>
      </c>
      <c r="BE195">
        <f>IF(AA195="LANG_Time",0.76,IF(AA195="LANG_Service",0.70,IF(AA195="LANG_Words",0.72,IF(AA195="LANG_Touch",0.68,0.60))))</f>
        <v/>
      </c>
      <c r="BF195">
        <f>MAX(0,MIN(1,0.28*AS195+0.16*AT195+0.18*BC195+0.18*BD195+0.10*(1-AZ195)+0.10*(1-BA195)+BB195))</f>
        <v/>
      </c>
      <c r="BG195">
        <f>MAX(0,MIN(1,0.24*AU195+0.18*AS195+0.18*BC195+0.20*BD195+0.10*(1-AW195)+0.10*(1-BA195)))</f>
        <v/>
      </c>
      <c r="BH195">
        <f>MAX(0,MIN(1,0.28*AR195+0.18*AT195+0.16*AU195+0.18*(1-AV195)+0.10*(1-AW195)+0.10*BF195))</f>
        <v/>
      </c>
      <c r="BI195">
        <f>MAX(0,MIN(1,0.30*AV195+0.20*AZ195+0.20*AW195+0.15*(1-BH195)+0.15*(1-BO195)))</f>
        <v/>
      </c>
      <c r="BJ195">
        <f>MAX(0,1-(ABS(((( AX195+AY195)/2)-0.55)*1.6)))</f>
        <v/>
      </c>
      <c r="BK195">
        <f>MAX(0,MIN(1,0.28*AR195+0.18*AT195+0.16*BJ195+0.14*(1-AV195)+0.12*BQ195+0.12*BO195))</f>
        <v/>
      </c>
      <c r="BL195">
        <f>MAX(0,MIN(1,0.22*AQ195+0.18*AS195+0.18*BC195+0.18*BD195+0.08*BE195+0.10*BF195+0.06*BO195))</f>
        <v/>
      </c>
      <c r="BM195">
        <f>MAX(0,MIN(1,0.20*(1-AZ195)+0.16*(1-BA195)+0.14*(1-AW195)+0.14*AU195+0.18*BG195+0.10*BH195+0.08*BP195))</f>
        <v/>
      </c>
      <c r="BN195">
        <f>MAX(0,MIN(1,0.42*BJ195+0.33*BK195+0.15*AT195+0.10*BQ195))</f>
        <v/>
      </c>
      <c r="BO195">
        <f>MAX(0,MIN(1,0.30*BC195+0.24*BD195+0.18*AS195+0.14*(1-BI195)+0.14*AT195))</f>
        <v/>
      </c>
      <c r="BP195">
        <f>MAX(0,MIN(1,0.26*AS195+0.20*(1-BA195)+0.16*(1-AW195)+0.18*BG195+0.10*AU195+0.10+BB195))</f>
        <v/>
      </c>
      <c r="BQ195">
        <f>MAX(0,MIN(1,0.24*AT195+0.18*BF195+0.14*AR195+0.14*BO195+0.14*(1-AV195)+0.16*(1-AZ195)))</f>
        <v/>
      </c>
      <c r="BR195">
        <f>IF(BO195&gt;=0.80,"Open",IF(BO195&gt;=0.62,"Measured",IF(BO195&gt;=0.45,"Selective","Guarded")))</f>
        <v/>
      </c>
      <c r="BS195">
        <f>IF(Y195="COMM_Direct","Direct",IF(Y195="COMM_Emotional","Emotional",IF(Y195="COMM_Logical","Logical",IF(Y195="COMM_Indirect","Indirect","Avoidant"))))</f>
        <v/>
      </c>
      <c r="BT195">
        <f>IF(BG195&gt;=0.78,"Co-repair",IF(BG195&gt;=0.58,"Re-engage",IF(BG195&gt;=0.40,"Delay","Suppress")))</f>
        <v/>
      </c>
      <c r="BU195">
        <f>IF(BI195&gt;=0.70,"Retreat-risk",IF(BH195&lt;=0.40,"Rush-risk",IF(BH195&gt;=0.65,"Slow-build","Mixed")))</f>
        <v/>
      </c>
      <c r="BV195">
        <f>IF(BL195-BM195&gt;=0.15,"Stimulation-seeking",IF(BM195-BL195&gt;=0.15,"Calm-seeking","Mixed")))</f>
        <v/>
      </c>
      <c r="BW195">
        <f>IF(AND(BL195&gt;=0.72,BM195&lt;0.48),"High",IF(AND(BL195&gt;=0.60,BM195&lt;0.58),"Medium","Low"))</f>
        <v/>
      </c>
    </row>
    <row r="196" ht="121.5" customHeight="1" s="10">
      <c r="A196" s="2" t="inlineStr">
        <is>
          <t>Q39_E</t>
        </is>
      </c>
      <c r="B196" s="2" t="n">
        <v>39</v>
      </c>
      <c r="C196" s="2" t="n">
        <v>39</v>
      </c>
      <c r="D196" s="2" t="inlineStr">
        <is>
          <t>Core</t>
        </is>
      </c>
      <c r="E196" s="2" t="n">
        <v>1.2</v>
      </c>
      <c r="F196" s="2" t="inlineStr">
        <is>
          <t>CommitmentPace</t>
        </is>
      </c>
      <c r="G196" s="2" t="inlineStr">
        <is>
          <t>IntentAlignment</t>
        </is>
      </c>
      <c r="H196" s="2" t="n"/>
      <c r="I196" s="2" t="inlineStr">
        <is>
          <t>E</t>
        </is>
      </c>
      <c r="J196" s="2" t="inlineStr">
        <is>
          <t>E</t>
        </is>
      </c>
      <c r="K196" s="2" t="inlineStr">
        <is>
          <t>I redirect. Ask if they wanna get food or watch something-anything to ground them and shift the energy.</t>
        </is>
      </c>
      <c r="L196" s="2" t="n">
        <v>6</v>
      </c>
      <c r="M196" s="2" t="n">
        <v>7</v>
      </c>
      <c r="N196" s="2" t="n">
        <v>4</v>
      </c>
      <c r="O196" s="2" t="n">
        <v>4</v>
      </c>
      <c r="P196" s="2" t="n">
        <v>2</v>
      </c>
      <c r="Q196" s="2" t="inlineStr">
        <is>
          <t>Performer</t>
        </is>
      </c>
      <c r="R196" s="2" t="n">
        <v>7</v>
      </c>
      <c r="S196" s="2" t="n"/>
      <c r="T196" s="2" t="n"/>
      <c r="U196" s="2" t="n">
        <v>0</v>
      </c>
      <c r="V196" s="2" t="inlineStr">
        <is>
          <t>masc:0.3;fem:0.5</t>
        </is>
      </c>
      <c r="W196" s="2" t="n">
        <v>0.3</v>
      </c>
      <c r="X196" s="2" t="n">
        <v>0.5</v>
      </c>
      <c r="Y196" s="2" t="inlineStr">
        <is>
          <t>COMM_Indirect</t>
        </is>
      </c>
      <c r="Z196" s="2" t="inlineStr">
        <is>
          <t>REG_Distractor</t>
        </is>
      </c>
      <c r="AA196" s="2" t="inlineStr">
        <is>
          <t>LANG_Gifts</t>
        </is>
      </c>
      <c r="AB196" s="2" t="inlineStr">
        <is>
          <t>Conflict_Flip</t>
        </is>
      </c>
      <c r="AC196" s="2" t="inlineStr">
        <is>
          <t>Conflict_Flip</t>
        </is>
      </c>
      <c r="AD196" s="2" t="n"/>
      <c r="AE196" s="2" t="n">
        <v>4</v>
      </c>
      <c r="AF196" s="2" t="inlineStr">
        <is>
          <t>soothing through distraction</t>
        </is>
      </c>
      <c r="AG196" s="2" t="inlineStr">
        <is>
          <t>light energy shifter</t>
        </is>
      </c>
      <c r="AH196" s="2" t="n">
        <v>0</v>
      </c>
      <c r="AI196" s="2" t="inlineStr">
        <is>
          <t>yes</t>
        </is>
      </c>
      <c r="AJ196" s="2" t="inlineStr">
        <is>
          <t>no</t>
        </is>
      </c>
      <c r="AK196" s="2" t="inlineStr">
        <is>
          <t>yes</t>
        </is>
      </c>
      <c r="AL196" s="2" t="inlineStr">
        <is>
          <t>yes</t>
        </is>
      </c>
      <c r="AM196" s="2" t="n"/>
      <c r="AN196" s="2" t="n"/>
      <c r="AO196" s="2" t="n"/>
      <c r="AP196" s="2" t="inlineStr">
        <is>
          <t>v3_2026-03-19</t>
        </is>
      </c>
      <c r="AQ196">
        <f>(L196-Schema_v5!$C2)/(Schema_v5!$C3-Schema_v5!$C2)</f>
        <v/>
      </c>
      <c r="AR196">
        <f>(M196-Schema_v5!$C4)/(Schema_v5!$C5-Schema_v5!$C4)</f>
        <v/>
      </c>
      <c r="AS196">
        <f>N196/Schema_v5!$C6</f>
        <v/>
      </c>
      <c r="AT196">
        <f>O196/Schema_v5!$C7</f>
        <v/>
      </c>
      <c r="AU196">
        <f>P196/Schema_v5!$C8</f>
        <v/>
      </c>
      <c r="AV196">
        <f>IF(Schema_v5!$C9=0,0,AH196/Schema_v5!$C9)</f>
        <v/>
      </c>
      <c r="AW196">
        <f>IF(Schema_v5!$C10=0,0,AE196/Schema_v5!$C10)</f>
        <v/>
      </c>
      <c r="AX196">
        <f>(W196-Schema_v5!$C11)/(Schema_v5!$C12-Schema_v5!$C11)</f>
        <v/>
      </c>
      <c r="AY196">
        <f>(X196-Schema_v5!$C13)/(Schema_v5!$C14-Schema_v5!$C13)</f>
        <v/>
      </c>
      <c r="AZ196">
        <f>MIN(1,MAX(0,U196/Schema_v7!$C$9))</f>
        <v/>
      </c>
      <c r="BA196">
        <f>IF(AJ196="yes",0.55,0)</f>
        <v/>
      </c>
      <c r="BB196">
        <f>IF(AI196="yes",0.10,0)</f>
        <v/>
      </c>
      <c r="BC196">
        <f>IF(Y196="COMM_Direct",0.92,IF(Y196="COMM_Emotional",0.70,IF(Y196="COMM_Logical",0.65,IF(Y196="COMM_Indirect",0.55,0.35))))</f>
        <v/>
      </c>
      <c r="BD196">
        <f>IF(Z196="REG_CoRegulator",0.92,IF(Z196="REG_SelfSoother",0.76,IF(Z196="REG_Distractor",0.48,0.35)))</f>
        <v/>
      </c>
      <c r="BE196">
        <f>IF(AA196="LANG_Time",0.76,IF(AA196="LANG_Service",0.70,IF(AA196="LANG_Words",0.72,IF(AA196="LANG_Touch",0.68,0.60))))</f>
        <v/>
      </c>
      <c r="BF196">
        <f>MAX(0,MIN(1,0.28*AS196+0.16*AT196+0.18*BC196+0.18*BD196+0.10*(1-AZ196)+0.10*(1-BA196)+BB196))</f>
        <v/>
      </c>
      <c r="BG196">
        <f>MAX(0,MIN(1,0.24*AU196+0.18*AS196+0.18*BC196+0.20*BD196+0.10*(1-AW196)+0.10*(1-BA196)))</f>
        <v/>
      </c>
      <c r="BH196">
        <f>MAX(0,MIN(1,0.28*AR196+0.18*AT196+0.16*AU196+0.18*(1-AV196)+0.10*(1-AW196)+0.10*BF196))</f>
        <v/>
      </c>
      <c r="BI196">
        <f>MAX(0,MIN(1,0.30*AV196+0.20*AZ196+0.20*AW196+0.15*(1-BH196)+0.15*(1-BO196)))</f>
        <v/>
      </c>
      <c r="BJ196">
        <f>MAX(0,1-(ABS(((( AX196+AY196)/2)-0.55)*1.6)))</f>
        <v/>
      </c>
      <c r="BK196">
        <f>MAX(0,MIN(1,0.28*AR196+0.18*AT196+0.16*BJ196+0.14*(1-AV196)+0.12*BQ196+0.12*BO196))</f>
        <v/>
      </c>
      <c r="BL196">
        <f>MAX(0,MIN(1,0.22*AQ196+0.18*AS196+0.18*BC196+0.18*BD196+0.08*BE196+0.10*BF196+0.06*BO196))</f>
        <v/>
      </c>
      <c r="BM196">
        <f>MAX(0,MIN(1,0.20*(1-AZ196)+0.16*(1-BA196)+0.14*(1-AW196)+0.14*AU196+0.18*BG196+0.10*BH196+0.08*BP196))</f>
        <v/>
      </c>
      <c r="BN196">
        <f>MAX(0,MIN(1,0.42*BJ196+0.33*BK196+0.15*AT196+0.10*BQ196))</f>
        <v/>
      </c>
      <c r="BO196">
        <f>MAX(0,MIN(1,0.30*BC196+0.24*BD196+0.18*AS196+0.14*(1-BI196)+0.14*AT196))</f>
        <v/>
      </c>
      <c r="BP196">
        <f>MAX(0,MIN(1,0.26*AS196+0.20*(1-BA196)+0.16*(1-AW196)+0.18*BG196+0.10*AU196+0.10+BB196))</f>
        <v/>
      </c>
      <c r="BQ196">
        <f>MAX(0,MIN(1,0.24*AT196+0.18*BF196+0.14*AR196+0.14*BO196+0.14*(1-AV196)+0.16*(1-AZ196)))</f>
        <v/>
      </c>
      <c r="BR196">
        <f>IF(BO196&gt;=0.80,"Open",IF(BO196&gt;=0.62,"Measured",IF(BO196&gt;=0.45,"Selective","Guarded")))</f>
        <v/>
      </c>
      <c r="BS196">
        <f>IF(Y196="COMM_Direct","Direct",IF(Y196="COMM_Emotional","Emotional",IF(Y196="COMM_Logical","Logical",IF(Y196="COMM_Indirect","Indirect","Avoidant"))))</f>
        <v/>
      </c>
      <c r="BT196">
        <f>IF(BG196&gt;=0.78,"Co-repair",IF(BG196&gt;=0.58,"Re-engage",IF(BG196&gt;=0.40,"Delay","Suppress")))</f>
        <v/>
      </c>
      <c r="BU196">
        <f>IF(BI196&gt;=0.70,"Retreat-risk",IF(BH196&lt;=0.40,"Rush-risk",IF(BH196&gt;=0.65,"Slow-build","Mixed")))</f>
        <v/>
      </c>
      <c r="BV196">
        <f>IF(BL196-BM196&gt;=0.15,"Stimulation-seeking",IF(BM196-BL196&gt;=0.15,"Calm-seeking","Mixed")))</f>
        <v/>
      </c>
      <c r="BW196">
        <f>IF(AND(BL196&gt;=0.72,BM196&lt;0.48),"High",IF(AND(BL196&gt;=0.60,BM196&lt;0.58),"Medium","Low"))</f>
        <v/>
      </c>
    </row>
    <row r="197" ht="94.5" customHeight="1" s="10">
      <c r="A197" s="2" t="inlineStr">
        <is>
          <t>Q40_A</t>
        </is>
      </c>
      <c r="B197" s="2" t="n">
        <v>40</v>
      </c>
      <c r="C197" s="2" t="n">
        <v>40</v>
      </c>
      <c r="D197" s="2" t="inlineStr">
        <is>
          <t>Core</t>
        </is>
      </c>
      <c r="E197" s="2" t="n">
        <v>1.2</v>
      </c>
      <c r="F197" s="2" t="inlineStr">
        <is>
          <t>CommitmentPace</t>
        </is>
      </c>
      <c r="G197" s="2" t="inlineStr">
        <is>
          <t>IntentAlignment</t>
        </is>
      </c>
      <c r="H197" s="2" t="inlineStr">
        <is>
          <t>If you're being honest-what's usually the real reason you try to win someone over?</t>
        </is>
      </c>
      <c r="I197" s="2" t="inlineStr">
        <is>
          <t>A</t>
        </is>
      </c>
      <c r="J197" s="2" t="inlineStr">
        <is>
          <t>A</t>
        </is>
      </c>
      <c r="K197" s="2" t="inlineStr">
        <is>
          <t>To prove I'm wanted. If I'm chosen, it means I'm not as forgettable as I feel.</t>
        </is>
      </c>
      <c r="L197" s="2" t="n">
        <v>4</v>
      </c>
      <c r="M197" s="2" t="n">
        <v>5</v>
      </c>
      <c r="N197" s="2" t="n">
        <v>2</v>
      </c>
      <c r="O197" s="2" t="n">
        <v>2</v>
      </c>
      <c r="P197" s="2" t="n">
        <v>0</v>
      </c>
      <c r="Q197" s="2" t="inlineStr">
        <is>
          <t>Phantom Seeker</t>
        </is>
      </c>
      <c r="R197" s="2" t="n">
        <v>10</v>
      </c>
      <c r="S197" s="2" t="n"/>
      <c r="T197" s="2" t="n"/>
      <c r="U197" s="2" t="n">
        <v>0</v>
      </c>
      <c r="V197" s="2" t="inlineStr">
        <is>
          <t>masc:-0.2;fem:1.5</t>
        </is>
      </c>
      <c r="W197" s="2" t="n">
        <v>-0.2</v>
      </c>
      <c r="X197" s="2" t="n">
        <v>1.5</v>
      </c>
      <c r="Y197" s="2" t="inlineStr">
        <is>
          <t>COMM_Emotional</t>
        </is>
      </c>
      <c r="Z197" s="2" t="inlineStr">
        <is>
          <t>REG_SelfSoother</t>
        </is>
      </c>
      <c r="AA197" s="2" t="inlineStr">
        <is>
          <t>LANG_Touch</t>
        </is>
      </c>
      <c r="AB197" s="2" t="inlineStr">
        <is>
          <t>Vulnerability_Loop</t>
        </is>
      </c>
      <c r="AC197" s="2" t="inlineStr">
        <is>
          <t>Vulnerability_Loop</t>
        </is>
      </c>
      <c r="AD197" s="2" t="n"/>
      <c r="AE197" s="2" t="n">
        <v>5</v>
      </c>
      <c r="AF197" s="2" t="inlineStr">
        <is>
          <t>longing for proof</t>
        </is>
      </c>
      <c r="AG197" s="2" t="inlineStr">
        <is>
          <t>validation seeker</t>
        </is>
      </c>
      <c r="AH197" s="2" t="n">
        <v>0</v>
      </c>
      <c r="AI197" s="2" t="inlineStr">
        <is>
          <t>yes</t>
        </is>
      </c>
      <c r="AJ197" s="2" t="inlineStr">
        <is>
          <t>no</t>
        </is>
      </c>
      <c r="AK197" s="2" t="inlineStr">
        <is>
          <t>yes</t>
        </is>
      </c>
      <c r="AL197" s="2" t="inlineStr">
        <is>
          <t>yes</t>
        </is>
      </c>
      <c r="AM197" s="2" t="n"/>
      <c r="AN197" s="2" t="n"/>
      <c r="AO197" s="2" t="n"/>
      <c r="AP197" s="2" t="inlineStr">
        <is>
          <t>v3_2026-03-19</t>
        </is>
      </c>
      <c r="AQ197">
        <f>(L197-Schema_v5!$C2)/(Schema_v5!$C3-Schema_v5!$C2)</f>
        <v/>
      </c>
      <c r="AR197">
        <f>(M197-Schema_v5!$C4)/(Schema_v5!$C5-Schema_v5!$C4)</f>
        <v/>
      </c>
      <c r="AS197">
        <f>N197/Schema_v5!$C6</f>
        <v/>
      </c>
      <c r="AT197">
        <f>O197/Schema_v5!$C7</f>
        <v/>
      </c>
      <c r="AU197">
        <f>P197/Schema_v5!$C8</f>
        <v/>
      </c>
      <c r="AV197">
        <f>IF(Schema_v5!$C9=0,0,AH197/Schema_v5!$C9)</f>
        <v/>
      </c>
      <c r="AW197">
        <f>IF(Schema_v5!$C10=0,0,AE197/Schema_v5!$C10)</f>
        <v/>
      </c>
      <c r="AX197">
        <f>(W197-Schema_v5!$C11)/(Schema_v5!$C12-Schema_v5!$C11)</f>
        <v/>
      </c>
      <c r="AY197">
        <f>(X197-Schema_v5!$C13)/(Schema_v5!$C14-Schema_v5!$C13)</f>
        <v/>
      </c>
      <c r="AZ197">
        <f>MIN(1,MAX(0,U197/Schema_v7!$C$9))</f>
        <v/>
      </c>
      <c r="BA197">
        <f>IF(AJ197="yes",0.55,0)</f>
        <v/>
      </c>
      <c r="BB197">
        <f>IF(AI197="yes",0.10,0)</f>
        <v/>
      </c>
      <c r="BC197">
        <f>IF(Y197="COMM_Direct",0.92,IF(Y197="COMM_Emotional",0.70,IF(Y197="COMM_Logical",0.65,IF(Y197="COMM_Indirect",0.55,0.35))))</f>
        <v/>
      </c>
      <c r="BD197">
        <f>IF(Z197="REG_CoRegulator",0.92,IF(Z197="REG_SelfSoother",0.76,IF(Z197="REG_Distractor",0.48,0.35)))</f>
        <v/>
      </c>
      <c r="BE197">
        <f>IF(AA197="LANG_Time",0.76,IF(AA197="LANG_Service",0.70,IF(AA197="LANG_Words",0.72,IF(AA197="LANG_Touch",0.68,0.60))))</f>
        <v/>
      </c>
      <c r="BF197">
        <f>MAX(0,MIN(1,0.28*AS197+0.16*AT197+0.18*BC197+0.18*BD197+0.10*(1-AZ197)+0.10*(1-BA197)+BB197))</f>
        <v/>
      </c>
      <c r="BG197">
        <f>MAX(0,MIN(1,0.24*AU197+0.18*AS197+0.18*BC197+0.20*BD197+0.10*(1-AW197)+0.10*(1-BA197)))</f>
        <v/>
      </c>
      <c r="BH197">
        <f>MAX(0,MIN(1,0.28*AR197+0.18*AT197+0.16*AU197+0.18*(1-AV197)+0.10*(1-AW197)+0.10*BF197))</f>
        <v/>
      </c>
      <c r="BI197">
        <f>MAX(0,MIN(1,0.30*AV197+0.20*AZ197+0.20*AW197+0.15*(1-BH197)+0.15*(1-BO197)))</f>
        <v/>
      </c>
      <c r="BJ197">
        <f>MAX(0,1-(ABS(((( AX197+AY197)/2)-0.55)*1.6)))</f>
        <v/>
      </c>
      <c r="BK197">
        <f>MAX(0,MIN(1,0.28*AR197+0.18*AT197+0.16*BJ197+0.14*(1-AV197)+0.12*BQ197+0.12*BO197))</f>
        <v/>
      </c>
      <c r="BL197">
        <f>MAX(0,MIN(1,0.22*AQ197+0.18*AS197+0.18*BC197+0.18*BD197+0.08*BE197+0.10*BF197+0.06*BO197))</f>
        <v/>
      </c>
      <c r="BM197">
        <f>MAX(0,MIN(1,0.20*(1-AZ197)+0.16*(1-BA197)+0.14*(1-AW197)+0.14*AU197+0.18*BG197+0.10*BH197+0.08*BP197))</f>
        <v/>
      </c>
      <c r="BN197">
        <f>MAX(0,MIN(1,0.42*BJ197+0.33*BK197+0.15*AT197+0.10*BQ197))</f>
        <v/>
      </c>
      <c r="BO197">
        <f>MAX(0,MIN(1,0.30*BC197+0.24*BD197+0.18*AS197+0.14*(1-BI197)+0.14*AT197))</f>
        <v/>
      </c>
      <c r="BP197">
        <f>MAX(0,MIN(1,0.26*AS197+0.20*(1-BA197)+0.16*(1-AW197)+0.18*BG197+0.10*AU197+0.10+BB197))</f>
        <v/>
      </c>
      <c r="BQ197">
        <f>MAX(0,MIN(1,0.24*AT197+0.18*BF197+0.14*AR197+0.14*BO197+0.14*(1-AV197)+0.16*(1-AZ197)))</f>
        <v/>
      </c>
      <c r="BR197">
        <f>IF(BO197&gt;=0.80,"Open",IF(BO197&gt;=0.62,"Measured",IF(BO197&gt;=0.45,"Selective","Guarded")))</f>
        <v/>
      </c>
      <c r="BS197">
        <f>IF(Y197="COMM_Direct","Direct",IF(Y197="COMM_Emotional","Emotional",IF(Y197="COMM_Logical","Logical",IF(Y197="COMM_Indirect","Indirect","Avoidant"))))</f>
        <v/>
      </c>
      <c r="BT197">
        <f>IF(BG197&gt;=0.78,"Co-repair",IF(BG197&gt;=0.58,"Re-engage",IF(BG197&gt;=0.40,"Delay","Suppress")))</f>
        <v/>
      </c>
      <c r="BU197">
        <f>IF(BI197&gt;=0.70,"Retreat-risk",IF(BH197&lt;=0.40,"Rush-risk",IF(BH197&gt;=0.65,"Slow-build","Mixed")))</f>
        <v/>
      </c>
      <c r="BV197">
        <f>IF(BL197-BM197&gt;=0.15,"Stimulation-seeking",IF(BM197-BL197&gt;=0.15,"Calm-seeking","Mixed")))</f>
        <v/>
      </c>
      <c r="BW197">
        <f>IF(AND(BL197&gt;=0.72,BM197&lt;0.48),"High",IF(AND(BL197&gt;=0.60,BM197&lt;0.58),"Medium","Low"))</f>
        <v/>
      </c>
    </row>
    <row r="198" ht="94.5" customHeight="1" s="10">
      <c r="A198" s="2" t="inlineStr">
        <is>
          <t>Q40_B</t>
        </is>
      </c>
      <c r="B198" s="2" t="n">
        <v>40</v>
      </c>
      <c r="C198" s="2" t="n">
        <v>40</v>
      </c>
      <c r="D198" s="2" t="inlineStr">
        <is>
          <t>Core</t>
        </is>
      </c>
      <c r="E198" s="2" t="n">
        <v>1.2</v>
      </c>
      <c r="F198" s="2" t="inlineStr">
        <is>
          <t>CommitmentPace</t>
        </is>
      </c>
      <c r="G198" s="2" t="inlineStr">
        <is>
          <t>IntentAlignment</t>
        </is>
      </c>
      <c r="H198" s="2" t="n"/>
      <c r="I198" s="2" t="inlineStr">
        <is>
          <t>B</t>
        </is>
      </c>
      <c r="J198" s="2" t="inlineStr">
        <is>
          <t>B</t>
        </is>
      </c>
      <c r="K198" s="2" t="inlineStr">
        <is>
          <t>To stay in control. If I keep the upper hand, I can leave before I get left.</t>
        </is>
      </c>
      <c r="L198" s="2" t="n">
        <v>6</v>
      </c>
      <c r="M198" s="2" t="n">
        <v>7</v>
      </c>
      <c r="N198" s="2" t="n">
        <v>2</v>
      </c>
      <c r="O198" s="2" t="n">
        <v>2</v>
      </c>
      <c r="P198" s="2" t="n">
        <v>0</v>
      </c>
      <c r="Q198" s="2" t="inlineStr">
        <is>
          <t>Icebox</t>
        </is>
      </c>
      <c r="R198" s="2" t="n">
        <v>1</v>
      </c>
      <c r="S198" s="2" t="n"/>
      <c r="T198" s="2" t="n"/>
      <c r="U198" s="2" t="n">
        <v>0</v>
      </c>
      <c r="V198" s="2" t="inlineStr">
        <is>
          <t>masc:1.8;fem:-1.6</t>
        </is>
      </c>
      <c r="W198" s="2" t="n">
        <v>1.8</v>
      </c>
      <c r="X198" s="2" t="n">
        <v>-1.6</v>
      </c>
      <c r="Y198" s="2" t="inlineStr">
        <is>
          <t>COMM_Avoidant</t>
        </is>
      </c>
      <c r="Z198" s="2" t="inlineStr">
        <is>
          <t>REG_Suppressor</t>
        </is>
      </c>
      <c r="AA198" s="2" t="inlineStr">
        <is>
          <t>LANG_Time</t>
        </is>
      </c>
      <c r="AB198" s="2" t="inlineStr">
        <is>
          <t>Control_Avoidance</t>
        </is>
      </c>
      <c r="AC198" s="2" t="inlineStr">
        <is>
          <t>Control_Avoidance</t>
        </is>
      </c>
      <c r="AD198" s="2" t="n"/>
      <c r="AE198" s="2" t="n">
        <v>6</v>
      </c>
      <c r="AF198" s="2" t="inlineStr">
        <is>
          <t>power preservation pattern</t>
        </is>
      </c>
      <c r="AG198" s="2" t="inlineStr">
        <is>
          <t>emotional guard</t>
        </is>
      </c>
      <c r="AH198" s="2" t="n">
        <v>0</v>
      </c>
      <c r="AI198" s="2" t="inlineStr">
        <is>
          <t>yes</t>
        </is>
      </c>
      <c r="AJ198" s="2" t="inlineStr">
        <is>
          <t>no</t>
        </is>
      </c>
      <c r="AK198" s="2" t="inlineStr">
        <is>
          <t>yes</t>
        </is>
      </c>
      <c r="AL198" s="2" t="inlineStr">
        <is>
          <t>yes</t>
        </is>
      </c>
      <c r="AM198" s="2" t="n"/>
      <c r="AN198" s="2" t="n"/>
      <c r="AO198" s="2" t="n"/>
      <c r="AP198" s="2" t="inlineStr">
        <is>
          <t>v3_2026-03-19</t>
        </is>
      </c>
      <c r="AQ198">
        <f>(L198-Schema_v5!$C2)/(Schema_v5!$C3-Schema_v5!$C2)</f>
        <v/>
      </c>
      <c r="AR198">
        <f>(M198-Schema_v5!$C4)/(Schema_v5!$C5-Schema_v5!$C4)</f>
        <v/>
      </c>
      <c r="AS198">
        <f>N198/Schema_v5!$C6</f>
        <v/>
      </c>
      <c r="AT198">
        <f>O198/Schema_v5!$C7</f>
        <v/>
      </c>
      <c r="AU198">
        <f>P198/Schema_v5!$C8</f>
        <v/>
      </c>
      <c r="AV198">
        <f>IF(Schema_v5!$C9=0,0,AH198/Schema_v5!$C9)</f>
        <v/>
      </c>
      <c r="AW198">
        <f>IF(Schema_v5!$C10=0,0,AE198/Schema_v5!$C10)</f>
        <v/>
      </c>
      <c r="AX198">
        <f>(W198-Schema_v5!$C11)/(Schema_v5!$C12-Schema_v5!$C11)</f>
        <v/>
      </c>
      <c r="AY198">
        <f>(X198-Schema_v5!$C13)/(Schema_v5!$C14-Schema_v5!$C13)</f>
        <v/>
      </c>
      <c r="AZ198">
        <f>MIN(1,MAX(0,U198/Schema_v7!$C$9))</f>
        <v/>
      </c>
      <c r="BA198">
        <f>IF(AJ198="yes",0.55,0)</f>
        <v/>
      </c>
      <c r="BB198">
        <f>IF(AI198="yes",0.10,0)</f>
        <v/>
      </c>
      <c r="BC198">
        <f>IF(Y198="COMM_Direct",0.92,IF(Y198="COMM_Emotional",0.70,IF(Y198="COMM_Logical",0.65,IF(Y198="COMM_Indirect",0.55,0.35))))</f>
        <v/>
      </c>
      <c r="BD198">
        <f>IF(Z198="REG_CoRegulator",0.92,IF(Z198="REG_SelfSoother",0.76,IF(Z198="REG_Distractor",0.48,0.35)))</f>
        <v/>
      </c>
      <c r="BE198">
        <f>IF(AA198="LANG_Time",0.76,IF(AA198="LANG_Service",0.70,IF(AA198="LANG_Words",0.72,IF(AA198="LANG_Touch",0.68,0.60))))</f>
        <v/>
      </c>
      <c r="BF198">
        <f>MAX(0,MIN(1,0.28*AS198+0.16*AT198+0.18*BC198+0.18*BD198+0.10*(1-AZ198)+0.10*(1-BA198)+BB198))</f>
        <v/>
      </c>
      <c r="BG198">
        <f>MAX(0,MIN(1,0.24*AU198+0.18*AS198+0.18*BC198+0.20*BD198+0.10*(1-AW198)+0.10*(1-BA198)))</f>
        <v/>
      </c>
      <c r="BH198">
        <f>MAX(0,MIN(1,0.28*AR198+0.18*AT198+0.16*AU198+0.18*(1-AV198)+0.10*(1-AW198)+0.10*BF198))</f>
        <v/>
      </c>
      <c r="BI198">
        <f>MAX(0,MIN(1,0.30*AV198+0.20*AZ198+0.20*AW198+0.15*(1-BH198)+0.15*(1-BO198)))</f>
        <v/>
      </c>
      <c r="BJ198">
        <f>MAX(0,1-(ABS(((( AX198+AY198)/2)-0.55)*1.6)))</f>
        <v/>
      </c>
      <c r="BK198">
        <f>MAX(0,MIN(1,0.28*AR198+0.18*AT198+0.16*BJ198+0.14*(1-AV198)+0.12*BQ198+0.12*BO198))</f>
        <v/>
      </c>
      <c r="BL198">
        <f>MAX(0,MIN(1,0.22*AQ198+0.18*AS198+0.18*BC198+0.18*BD198+0.08*BE198+0.10*BF198+0.06*BO198))</f>
        <v/>
      </c>
      <c r="BM198">
        <f>MAX(0,MIN(1,0.20*(1-AZ198)+0.16*(1-BA198)+0.14*(1-AW198)+0.14*AU198+0.18*BG198+0.10*BH198+0.08*BP198))</f>
        <v/>
      </c>
      <c r="BN198">
        <f>MAX(0,MIN(1,0.42*BJ198+0.33*BK198+0.15*AT198+0.10*BQ198))</f>
        <v/>
      </c>
      <c r="BO198">
        <f>MAX(0,MIN(1,0.30*BC198+0.24*BD198+0.18*AS198+0.14*(1-BI198)+0.14*AT198))</f>
        <v/>
      </c>
      <c r="BP198">
        <f>MAX(0,MIN(1,0.26*AS198+0.20*(1-BA198)+0.16*(1-AW198)+0.18*BG198+0.10*AU198+0.10+BB198))</f>
        <v/>
      </c>
      <c r="BQ198">
        <f>MAX(0,MIN(1,0.24*AT198+0.18*BF198+0.14*AR198+0.14*BO198+0.14*(1-AV198)+0.16*(1-AZ198)))</f>
        <v/>
      </c>
      <c r="BR198">
        <f>IF(BO198&gt;=0.80,"Open",IF(BO198&gt;=0.62,"Measured",IF(BO198&gt;=0.45,"Selective","Guarded")))</f>
        <v/>
      </c>
      <c r="BS198">
        <f>IF(Y198="COMM_Direct","Direct",IF(Y198="COMM_Emotional","Emotional",IF(Y198="COMM_Logical","Logical",IF(Y198="COMM_Indirect","Indirect","Avoidant"))))</f>
        <v/>
      </c>
      <c r="BT198">
        <f>IF(BG198&gt;=0.78,"Co-repair",IF(BG198&gt;=0.58,"Re-engage",IF(BG198&gt;=0.40,"Delay","Suppress")))</f>
        <v/>
      </c>
      <c r="BU198">
        <f>IF(BI198&gt;=0.70,"Retreat-risk",IF(BH198&lt;=0.40,"Rush-risk",IF(BH198&gt;=0.65,"Slow-build","Mixed")))</f>
        <v/>
      </c>
      <c r="BV198">
        <f>IF(BL198-BM198&gt;=0.15,"Stimulation-seeking",IF(BM198-BL198&gt;=0.15,"Calm-seeking","Mixed")))</f>
        <v/>
      </c>
      <c r="BW198">
        <f>IF(AND(BL198&gt;=0.72,BM198&lt;0.48),"High",IF(AND(BL198&gt;=0.60,BM198&lt;0.58),"Medium","Low"))</f>
        <v/>
      </c>
    </row>
    <row r="199" ht="81" customHeight="1" s="10">
      <c r="A199" s="2" t="inlineStr">
        <is>
          <t>Q40_C</t>
        </is>
      </c>
      <c r="B199" s="2" t="n">
        <v>40</v>
      </c>
      <c r="C199" s="2" t="n">
        <v>40</v>
      </c>
      <c r="D199" s="2" t="inlineStr">
        <is>
          <t>Core</t>
        </is>
      </c>
      <c r="E199" s="2" t="n">
        <v>1.2</v>
      </c>
      <c r="F199" s="2" t="inlineStr">
        <is>
          <t>CommitmentPace</t>
        </is>
      </c>
      <c r="G199" s="2" t="inlineStr">
        <is>
          <t>IntentAlignment</t>
        </is>
      </c>
      <c r="H199" s="2" t="n"/>
      <c r="I199" s="2" t="inlineStr">
        <is>
          <t>C</t>
        </is>
      </c>
      <c r="J199" s="2" t="inlineStr">
        <is>
          <t>C</t>
        </is>
      </c>
      <c r="K199" s="2" t="inlineStr">
        <is>
          <t>To matter. If I'm helpful or healing, it gives me a reason to be kept around.</t>
        </is>
      </c>
      <c r="L199" s="2" t="n">
        <v>8</v>
      </c>
      <c r="M199" s="2" t="n">
        <v>9</v>
      </c>
      <c r="N199" s="2" t="n">
        <v>8</v>
      </c>
      <c r="O199" s="2" t="n">
        <v>10</v>
      </c>
      <c r="P199" s="2" t="n">
        <v>8</v>
      </c>
      <c r="Q199" s="2" t="inlineStr">
        <is>
          <t>Fixer</t>
        </is>
      </c>
      <c r="R199" s="2" t="n">
        <v>5</v>
      </c>
      <c r="S199" s="2" t="n"/>
      <c r="T199" s="2" t="n"/>
      <c r="U199" s="2" t="n">
        <v>0</v>
      </c>
      <c r="V199" s="2" t="inlineStr">
        <is>
          <t>masc:-0.4;fem:2.0</t>
        </is>
      </c>
      <c r="W199" s="2" t="n">
        <v>-0.4</v>
      </c>
      <c r="X199" s="2" t="n">
        <v>2</v>
      </c>
      <c r="Y199" s="2" t="inlineStr">
        <is>
          <t>COMM_Emotional</t>
        </is>
      </c>
      <c r="Z199" s="2" t="inlineStr">
        <is>
          <t>REG_CoRegulator</t>
        </is>
      </c>
      <c r="AA199" s="2" t="inlineStr">
        <is>
          <t>LANG_Service</t>
        </is>
      </c>
      <c r="AB199" s="2" t="n"/>
      <c r="AC199" s="2" t="n"/>
      <c r="AD199" s="2" t="n"/>
      <c r="AE199" s="2" t="n">
        <v>0</v>
      </c>
      <c r="AF199" s="2" t="inlineStr">
        <is>
          <t>value-by-function reflex</t>
        </is>
      </c>
      <c r="AG199" s="2" t="inlineStr">
        <is>
          <t>role fulfiller</t>
        </is>
      </c>
      <c r="AH199" s="2" t="n">
        <v>0</v>
      </c>
      <c r="AI199" s="2" t="inlineStr">
        <is>
          <t>no</t>
        </is>
      </c>
      <c r="AJ199" s="2" t="inlineStr">
        <is>
          <t>no</t>
        </is>
      </c>
      <c r="AK199" s="2" t="inlineStr">
        <is>
          <t>yes</t>
        </is>
      </c>
      <c r="AL199" s="2" t="inlineStr">
        <is>
          <t>yes</t>
        </is>
      </c>
      <c r="AM199" s="2" t="n"/>
      <c r="AN199" s="2" t="n"/>
      <c r="AO199" s="2" t="n"/>
      <c r="AP199" s="2" t="inlineStr">
        <is>
          <t>v3_2026-03-19</t>
        </is>
      </c>
      <c r="AQ199">
        <f>(L199-Schema_v5!$C2)/(Schema_v5!$C3-Schema_v5!$C2)</f>
        <v/>
      </c>
      <c r="AR199">
        <f>(M199-Schema_v5!$C4)/(Schema_v5!$C5-Schema_v5!$C4)</f>
        <v/>
      </c>
      <c r="AS199">
        <f>N199/Schema_v5!$C6</f>
        <v/>
      </c>
      <c r="AT199">
        <f>O199/Schema_v5!$C7</f>
        <v/>
      </c>
      <c r="AU199">
        <f>P199/Schema_v5!$C8</f>
        <v/>
      </c>
      <c r="AV199">
        <f>IF(Schema_v5!$C9=0,0,AH199/Schema_v5!$C9)</f>
        <v/>
      </c>
      <c r="AW199">
        <f>IF(Schema_v5!$C10=0,0,AE199/Schema_v5!$C10)</f>
        <v/>
      </c>
      <c r="AX199">
        <f>(W199-Schema_v5!$C11)/(Schema_v5!$C12-Schema_v5!$C11)</f>
        <v/>
      </c>
      <c r="AY199">
        <f>(X199-Schema_v5!$C13)/(Schema_v5!$C14-Schema_v5!$C13)</f>
        <v/>
      </c>
      <c r="AZ199">
        <f>MIN(1,MAX(0,U199/Schema_v7!$C$9))</f>
        <v/>
      </c>
      <c r="BA199">
        <f>IF(AJ199="yes",0.55,0)</f>
        <v/>
      </c>
      <c r="BB199">
        <f>IF(AI199="yes",0.10,0)</f>
        <v/>
      </c>
      <c r="BC199">
        <f>IF(Y199="COMM_Direct",0.92,IF(Y199="COMM_Emotional",0.70,IF(Y199="COMM_Logical",0.65,IF(Y199="COMM_Indirect",0.55,0.35))))</f>
        <v/>
      </c>
      <c r="BD199">
        <f>IF(Z199="REG_CoRegulator",0.92,IF(Z199="REG_SelfSoother",0.76,IF(Z199="REG_Distractor",0.48,0.35)))</f>
        <v/>
      </c>
      <c r="BE199">
        <f>IF(AA199="LANG_Time",0.76,IF(AA199="LANG_Service",0.70,IF(AA199="LANG_Words",0.72,IF(AA199="LANG_Touch",0.68,0.60))))</f>
        <v/>
      </c>
      <c r="BF199">
        <f>MAX(0,MIN(1,0.28*AS199+0.16*AT199+0.18*BC199+0.18*BD199+0.10*(1-AZ199)+0.10*(1-BA199)+BB199))</f>
        <v/>
      </c>
      <c r="BG199">
        <f>MAX(0,MIN(1,0.24*AU199+0.18*AS199+0.18*BC199+0.20*BD199+0.10*(1-AW199)+0.10*(1-BA199)))</f>
        <v/>
      </c>
      <c r="BH199">
        <f>MAX(0,MIN(1,0.28*AR199+0.18*AT199+0.16*AU199+0.18*(1-AV199)+0.10*(1-AW199)+0.10*BF199))</f>
        <v/>
      </c>
      <c r="BI199">
        <f>MAX(0,MIN(1,0.30*AV199+0.20*AZ199+0.20*AW199+0.15*(1-BH199)+0.15*(1-BO199)))</f>
        <v/>
      </c>
      <c r="BJ199">
        <f>MAX(0,1-(ABS(((( AX199+AY199)/2)-0.55)*1.6)))</f>
        <v/>
      </c>
      <c r="BK199">
        <f>MAX(0,MIN(1,0.28*AR199+0.18*AT199+0.16*BJ199+0.14*(1-AV199)+0.12*BQ199+0.12*BO199))</f>
        <v/>
      </c>
      <c r="BL199">
        <f>MAX(0,MIN(1,0.22*AQ199+0.18*AS199+0.18*BC199+0.18*BD199+0.08*BE199+0.10*BF199+0.06*BO199))</f>
        <v/>
      </c>
      <c r="BM199">
        <f>MAX(0,MIN(1,0.20*(1-AZ199)+0.16*(1-BA199)+0.14*(1-AW199)+0.14*AU199+0.18*BG199+0.10*BH199+0.08*BP199))</f>
        <v/>
      </c>
      <c r="BN199">
        <f>MAX(0,MIN(1,0.42*BJ199+0.33*BK199+0.15*AT199+0.10*BQ199))</f>
        <v/>
      </c>
      <c r="BO199">
        <f>MAX(0,MIN(1,0.30*BC199+0.24*BD199+0.18*AS199+0.14*(1-BI199)+0.14*AT199))</f>
        <v/>
      </c>
      <c r="BP199">
        <f>MAX(0,MIN(1,0.26*AS199+0.20*(1-BA199)+0.16*(1-AW199)+0.18*BG199+0.10*AU199+0.10+BB199))</f>
        <v/>
      </c>
      <c r="BQ199">
        <f>MAX(0,MIN(1,0.24*AT199+0.18*BF199+0.14*AR199+0.14*BO199+0.14*(1-AV199)+0.16*(1-AZ199)))</f>
        <v/>
      </c>
      <c r="BR199">
        <f>IF(BO199&gt;=0.80,"Open",IF(BO199&gt;=0.62,"Measured",IF(BO199&gt;=0.45,"Selective","Guarded")))</f>
        <v/>
      </c>
      <c r="BS199">
        <f>IF(Y199="COMM_Direct","Direct",IF(Y199="COMM_Emotional","Emotional",IF(Y199="COMM_Logical","Logical",IF(Y199="COMM_Indirect","Indirect","Avoidant"))))</f>
        <v/>
      </c>
      <c r="BT199">
        <f>IF(BG199&gt;=0.78,"Co-repair",IF(BG199&gt;=0.58,"Re-engage",IF(BG199&gt;=0.40,"Delay","Suppress")))</f>
        <v/>
      </c>
      <c r="BU199">
        <f>IF(BI199&gt;=0.70,"Retreat-risk",IF(BH199&lt;=0.40,"Rush-risk",IF(BH199&gt;=0.65,"Slow-build","Mixed")))</f>
        <v/>
      </c>
      <c r="BV199">
        <f>IF(BL199-BM199&gt;=0.15,"Stimulation-seeking",IF(BM199-BL199&gt;=0.15,"Calm-seeking","Mixed")))</f>
        <v/>
      </c>
      <c r="BW199">
        <f>IF(AND(BL199&gt;=0.72,BM199&lt;0.48),"High",IF(AND(BL199&gt;=0.60,BM199&lt;0.58),"Medium","Low"))</f>
        <v/>
      </c>
    </row>
    <row r="200" ht="94.5" customHeight="1" s="10">
      <c r="A200" s="2" t="inlineStr">
        <is>
          <t>Q40_D</t>
        </is>
      </c>
      <c r="B200" s="2" t="n">
        <v>40</v>
      </c>
      <c r="C200" s="2" t="n">
        <v>40</v>
      </c>
      <c r="D200" s="2" t="inlineStr">
        <is>
          <t>Core</t>
        </is>
      </c>
      <c r="E200" s="2" t="n">
        <v>1.2</v>
      </c>
      <c r="F200" s="2" t="inlineStr">
        <is>
          <t>CommitmentPace</t>
        </is>
      </c>
      <c r="G200" s="2" t="inlineStr">
        <is>
          <t>IntentAlignment</t>
        </is>
      </c>
      <c r="H200" s="2" t="n"/>
      <c r="I200" s="2" t="inlineStr">
        <is>
          <t>D</t>
        </is>
      </c>
      <c r="J200" s="2" t="inlineStr">
        <is>
          <t>D</t>
        </is>
      </c>
      <c r="K200" s="2" t="inlineStr">
        <is>
          <t>To finally feel safe. If someone sees me fully and stays, that rewrites everything.</t>
        </is>
      </c>
      <c r="L200" s="2" t="n">
        <v>9</v>
      </c>
      <c r="M200" s="2" t="n">
        <v>9</v>
      </c>
      <c r="N200" s="2" t="n">
        <v>8</v>
      </c>
      <c r="O200" s="2" t="n">
        <v>8</v>
      </c>
      <c r="P200" s="2" t="n">
        <v>6</v>
      </c>
      <c r="Q200" s="2" t="inlineStr">
        <is>
          <t>Romantic Idealist</t>
        </is>
      </c>
      <c r="R200" s="2" t="n">
        <v>6</v>
      </c>
      <c r="S200" s="2" t="n"/>
      <c r="T200" s="2" t="n"/>
      <c r="U200" s="2" t="n">
        <v>0</v>
      </c>
      <c r="V200" s="2" t="inlineStr">
        <is>
          <t>masc:-0.4;fem:1.5</t>
        </is>
      </c>
      <c r="W200" s="2" t="n">
        <v>-0.4</v>
      </c>
      <c r="X200" s="2" t="n">
        <v>1.5</v>
      </c>
      <c r="Y200" s="2" t="inlineStr">
        <is>
          <t>COMM_Emotional</t>
        </is>
      </c>
      <c r="Z200" s="2" t="inlineStr">
        <is>
          <t>REG_Distractor</t>
        </is>
      </c>
      <c r="AA200" s="2" t="inlineStr">
        <is>
          <t>LANG_Gifts</t>
        </is>
      </c>
      <c r="AB200" s="2" t="n"/>
      <c r="AC200" s="2" t="n"/>
      <c r="AD200" s="2" t="n"/>
      <c r="AE200" s="2" t="n">
        <v>0</v>
      </c>
      <c r="AF200" s="2" t="inlineStr">
        <is>
          <t>redemption arc seeker</t>
        </is>
      </c>
      <c r="AG200" s="2" t="inlineStr">
        <is>
          <t>trust rebuilder</t>
        </is>
      </c>
      <c r="AH200" s="2" t="n">
        <v>0</v>
      </c>
      <c r="AI200" s="2" t="inlineStr">
        <is>
          <t>no</t>
        </is>
      </c>
      <c r="AJ200" s="2" t="inlineStr">
        <is>
          <t>no</t>
        </is>
      </c>
      <c r="AK200" s="2" t="inlineStr">
        <is>
          <t>yes</t>
        </is>
      </c>
      <c r="AL200" s="2" t="inlineStr">
        <is>
          <t>yes</t>
        </is>
      </c>
      <c r="AM200" s="2" t="n"/>
      <c r="AN200" s="2" t="n"/>
      <c r="AO200" s="2" t="n"/>
      <c r="AP200" s="2" t="inlineStr">
        <is>
          <t>v3_2026-03-19</t>
        </is>
      </c>
      <c r="AQ200">
        <f>(L200-Schema_v5!$C2)/(Schema_v5!$C3-Schema_v5!$C2)</f>
        <v/>
      </c>
      <c r="AR200">
        <f>(M200-Schema_v5!$C4)/(Schema_v5!$C5-Schema_v5!$C4)</f>
        <v/>
      </c>
      <c r="AS200">
        <f>N200/Schema_v5!$C6</f>
        <v/>
      </c>
      <c r="AT200">
        <f>O200/Schema_v5!$C7</f>
        <v/>
      </c>
      <c r="AU200">
        <f>P200/Schema_v5!$C8</f>
        <v/>
      </c>
      <c r="AV200">
        <f>IF(Schema_v5!$C9=0,0,AH200/Schema_v5!$C9)</f>
        <v/>
      </c>
      <c r="AW200">
        <f>IF(Schema_v5!$C10=0,0,AE200/Schema_v5!$C10)</f>
        <v/>
      </c>
      <c r="AX200">
        <f>(W200-Schema_v5!$C11)/(Schema_v5!$C12-Schema_v5!$C11)</f>
        <v/>
      </c>
      <c r="AY200">
        <f>(X200-Schema_v5!$C13)/(Schema_v5!$C14-Schema_v5!$C13)</f>
        <v/>
      </c>
      <c r="AZ200">
        <f>MIN(1,MAX(0,U200/Schema_v7!$C$9))</f>
        <v/>
      </c>
      <c r="BA200">
        <f>IF(AJ200="yes",0.55,0)</f>
        <v/>
      </c>
      <c r="BB200">
        <f>IF(AI200="yes",0.10,0)</f>
        <v/>
      </c>
      <c r="BC200">
        <f>IF(Y200="COMM_Direct",0.92,IF(Y200="COMM_Emotional",0.70,IF(Y200="COMM_Logical",0.65,IF(Y200="COMM_Indirect",0.55,0.35))))</f>
        <v/>
      </c>
      <c r="BD200">
        <f>IF(Z200="REG_CoRegulator",0.92,IF(Z200="REG_SelfSoother",0.76,IF(Z200="REG_Distractor",0.48,0.35)))</f>
        <v/>
      </c>
      <c r="BE200">
        <f>IF(AA200="LANG_Time",0.76,IF(AA200="LANG_Service",0.70,IF(AA200="LANG_Words",0.72,IF(AA200="LANG_Touch",0.68,0.60))))</f>
        <v/>
      </c>
      <c r="BF200">
        <f>MAX(0,MIN(1,0.28*AS200+0.16*AT200+0.18*BC200+0.18*BD200+0.10*(1-AZ200)+0.10*(1-BA200)+BB200))</f>
        <v/>
      </c>
      <c r="BG200">
        <f>MAX(0,MIN(1,0.24*AU200+0.18*AS200+0.18*BC200+0.20*BD200+0.10*(1-AW200)+0.10*(1-BA200)))</f>
        <v/>
      </c>
      <c r="BH200">
        <f>MAX(0,MIN(1,0.28*AR200+0.18*AT200+0.16*AU200+0.18*(1-AV200)+0.10*(1-AW200)+0.10*BF200))</f>
        <v/>
      </c>
      <c r="BI200">
        <f>MAX(0,MIN(1,0.30*AV200+0.20*AZ200+0.20*AW200+0.15*(1-BH200)+0.15*(1-BO200)))</f>
        <v/>
      </c>
      <c r="BJ200">
        <f>MAX(0,1-(ABS(((( AX200+AY200)/2)-0.55)*1.6)))</f>
        <v/>
      </c>
      <c r="BK200">
        <f>MAX(0,MIN(1,0.28*AR200+0.18*AT200+0.16*BJ200+0.14*(1-AV200)+0.12*BQ200+0.12*BO200))</f>
        <v/>
      </c>
      <c r="BL200">
        <f>MAX(0,MIN(1,0.22*AQ200+0.18*AS200+0.18*BC200+0.18*BD200+0.08*BE200+0.10*BF200+0.06*BO200))</f>
        <v/>
      </c>
      <c r="BM200">
        <f>MAX(0,MIN(1,0.20*(1-AZ200)+0.16*(1-BA200)+0.14*(1-AW200)+0.14*AU200+0.18*BG200+0.10*BH200+0.08*BP200))</f>
        <v/>
      </c>
      <c r="BN200">
        <f>MAX(0,MIN(1,0.42*BJ200+0.33*BK200+0.15*AT200+0.10*BQ200))</f>
        <v/>
      </c>
      <c r="BO200">
        <f>MAX(0,MIN(1,0.30*BC200+0.24*BD200+0.18*AS200+0.14*(1-BI200)+0.14*AT200))</f>
        <v/>
      </c>
      <c r="BP200">
        <f>MAX(0,MIN(1,0.26*AS200+0.20*(1-BA200)+0.16*(1-AW200)+0.18*BG200+0.10*AU200+0.10+BB200))</f>
        <v/>
      </c>
      <c r="BQ200">
        <f>MAX(0,MIN(1,0.24*AT200+0.18*BF200+0.14*AR200+0.14*BO200+0.14*(1-AV200)+0.16*(1-AZ200)))</f>
        <v/>
      </c>
      <c r="BR200">
        <f>IF(BO200&gt;=0.80,"Open",IF(BO200&gt;=0.62,"Measured",IF(BO200&gt;=0.45,"Selective","Guarded")))</f>
        <v/>
      </c>
      <c r="BS200">
        <f>IF(Y200="COMM_Direct","Direct",IF(Y200="COMM_Emotional","Emotional",IF(Y200="COMM_Logical","Logical",IF(Y200="COMM_Indirect","Indirect","Avoidant"))))</f>
        <v/>
      </c>
      <c r="BT200">
        <f>IF(BG200&gt;=0.78,"Co-repair",IF(BG200&gt;=0.58,"Re-engage",IF(BG200&gt;=0.40,"Delay","Suppress")))</f>
        <v/>
      </c>
      <c r="BU200">
        <f>IF(BI200&gt;=0.70,"Retreat-risk",IF(BH200&lt;=0.40,"Rush-risk",IF(BH200&gt;=0.65,"Slow-build","Mixed")))</f>
        <v/>
      </c>
      <c r="BV200">
        <f>IF(BL200-BM200&gt;=0.15,"Stimulation-seeking",IF(BM200-BL200&gt;=0.15,"Calm-seeking","Mixed")))</f>
        <v/>
      </c>
      <c r="BW200">
        <f>IF(AND(BL200&gt;=0.72,BM200&lt;0.48),"High",IF(AND(BL200&gt;=0.60,BM200&lt;0.58),"Medium","Low"))</f>
        <v/>
      </c>
    </row>
    <row r="201" ht="121.5" customHeight="1" s="10">
      <c r="A201" s="2" t="inlineStr">
        <is>
          <t>Q40_E</t>
        </is>
      </c>
      <c r="B201" s="2" t="n">
        <v>40</v>
      </c>
      <c r="C201" s="2" t="n">
        <v>40</v>
      </c>
      <c r="D201" s="2" t="inlineStr">
        <is>
          <t>Core</t>
        </is>
      </c>
      <c r="E201" s="2" t="n">
        <v>1.2</v>
      </c>
      <c r="F201" s="2" t="inlineStr">
        <is>
          <t>CommitmentPace</t>
        </is>
      </c>
      <c r="G201" s="2" t="inlineStr">
        <is>
          <t>IntentAlignment</t>
        </is>
      </c>
      <c r="H201" s="2" t="n"/>
      <c r="I201" s="2" t="inlineStr">
        <is>
          <t>E</t>
        </is>
      </c>
      <c r="J201" s="2" t="inlineStr">
        <is>
          <t>E</t>
        </is>
      </c>
      <c r="K201" s="2" t="inlineStr">
        <is>
          <t>To be mirrored. If someone gets me and reflects me back clearly, that's where I feel most alive</t>
        </is>
      </c>
      <c r="L201" s="2" t="n">
        <v>9</v>
      </c>
      <c r="M201" s="2" t="n">
        <v>9</v>
      </c>
      <c r="N201" s="2" t="n">
        <v>10</v>
      </c>
      <c r="O201" s="2" t="n">
        <v>8</v>
      </c>
      <c r="P201" s="2" t="n">
        <v>8</v>
      </c>
      <c r="Q201" s="2" t="inlineStr">
        <is>
          <t>Analyzer</t>
        </is>
      </c>
      <c r="R201" s="2" t="n">
        <v>2</v>
      </c>
      <c r="S201" s="2" t="n"/>
      <c r="T201" s="2" t="n"/>
      <c r="U201" s="2" t="n">
        <v>0</v>
      </c>
      <c r="V201" s="2" t="inlineStr">
        <is>
          <t>masc:1.4;fem:0.1</t>
        </is>
      </c>
      <c r="W201" s="2" t="n">
        <v>1.4</v>
      </c>
      <c r="X201" s="2" t="n">
        <v>0.1</v>
      </c>
      <c r="Y201" s="2" t="inlineStr">
        <is>
          <t>COMM_Logical</t>
        </is>
      </c>
      <c r="Z201" s="2" t="inlineStr">
        <is>
          <t>REG_SelfSoother</t>
        </is>
      </c>
      <c r="AA201" s="2" t="inlineStr">
        <is>
          <t>LANG_Service</t>
        </is>
      </c>
      <c r="AB201" s="2" t="n"/>
      <c r="AC201" s="2" t="n"/>
      <c r="AD201" s="2" t="n"/>
      <c r="AE201" s="2" t="n">
        <v>0</v>
      </c>
      <c r="AF201" s="2" t="inlineStr">
        <is>
          <t>emotional validation logic</t>
        </is>
      </c>
      <c r="AG201" s="2" t="inlineStr">
        <is>
          <t>reflective bond seeker</t>
        </is>
      </c>
      <c r="AH201" s="2" t="n">
        <v>0</v>
      </c>
      <c r="AI201" s="2" t="inlineStr">
        <is>
          <t>no</t>
        </is>
      </c>
      <c r="AJ201" s="2" t="inlineStr">
        <is>
          <t>no</t>
        </is>
      </c>
      <c r="AK201" s="2" t="inlineStr">
        <is>
          <t>yes</t>
        </is>
      </c>
      <c r="AL201" s="2" t="inlineStr">
        <is>
          <t>yes</t>
        </is>
      </c>
      <c r="AM201" s="2" t="n"/>
      <c r="AN201" s="2" t="n"/>
      <c r="AO201" s="2" t="n"/>
      <c r="AP201" s="2" t="inlineStr">
        <is>
          <t>v3_2026-03-19</t>
        </is>
      </c>
      <c r="AQ201">
        <f>(L201-Schema_v5!$C2)/(Schema_v5!$C3-Schema_v5!$C2)</f>
        <v/>
      </c>
      <c r="AR201">
        <f>(M201-Schema_v5!$C4)/(Schema_v5!$C5-Schema_v5!$C4)</f>
        <v/>
      </c>
      <c r="AS201">
        <f>N201/Schema_v5!$C6</f>
        <v/>
      </c>
      <c r="AT201">
        <f>O201/Schema_v5!$C7</f>
        <v/>
      </c>
      <c r="AU201">
        <f>P201/Schema_v5!$C8</f>
        <v/>
      </c>
      <c r="AV201">
        <f>IF(Schema_v5!$C9=0,0,AH201/Schema_v5!$C9)</f>
        <v/>
      </c>
      <c r="AW201">
        <f>IF(Schema_v5!$C10=0,0,AE201/Schema_v5!$C10)</f>
        <v/>
      </c>
      <c r="AX201">
        <f>(W201-Schema_v5!$C11)/(Schema_v5!$C12-Schema_v5!$C11)</f>
        <v/>
      </c>
      <c r="AY201">
        <f>(X201-Schema_v5!$C13)/(Schema_v5!$C14-Schema_v5!$C13)</f>
        <v/>
      </c>
      <c r="AZ201">
        <f>MIN(1,MAX(0,U201/Schema_v7!$C$9))</f>
        <v/>
      </c>
      <c r="BA201">
        <f>IF(AJ201="yes",0.55,0)</f>
        <v/>
      </c>
      <c r="BB201">
        <f>IF(AI201="yes",0.10,0)</f>
        <v/>
      </c>
      <c r="BC201">
        <f>IF(Y201="COMM_Direct",0.92,IF(Y201="COMM_Emotional",0.70,IF(Y201="COMM_Logical",0.65,IF(Y201="COMM_Indirect",0.55,0.35))))</f>
        <v/>
      </c>
      <c r="BD201">
        <f>IF(Z201="REG_CoRegulator",0.92,IF(Z201="REG_SelfSoother",0.76,IF(Z201="REG_Distractor",0.48,0.35)))</f>
        <v/>
      </c>
      <c r="BE201">
        <f>IF(AA201="LANG_Time",0.76,IF(AA201="LANG_Service",0.70,IF(AA201="LANG_Words",0.72,IF(AA201="LANG_Touch",0.68,0.60))))</f>
        <v/>
      </c>
      <c r="BF201">
        <f>MAX(0,MIN(1,0.28*AS201+0.16*AT201+0.18*BC201+0.18*BD201+0.10*(1-AZ201)+0.10*(1-BA201)+BB201))</f>
        <v/>
      </c>
      <c r="BG201">
        <f>MAX(0,MIN(1,0.24*AU201+0.18*AS201+0.18*BC201+0.20*BD201+0.10*(1-AW201)+0.10*(1-BA201)))</f>
        <v/>
      </c>
      <c r="BH201">
        <f>MAX(0,MIN(1,0.28*AR201+0.18*AT201+0.16*AU201+0.18*(1-AV201)+0.10*(1-AW201)+0.10*BF201))</f>
        <v/>
      </c>
      <c r="BI201">
        <f>MAX(0,MIN(1,0.30*AV201+0.20*AZ201+0.20*AW201+0.15*(1-BH201)+0.15*(1-BO201)))</f>
        <v/>
      </c>
      <c r="BJ201">
        <f>MAX(0,1-(ABS(((( AX201+AY201)/2)-0.55)*1.6)))</f>
        <v/>
      </c>
      <c r="BK201">
        <f>MAX(0,MIN(1,0.28*AR201+0.18*AT201+0.16*BJ201+0.14*(1-AV201)+0.12*BQ201+0.12*BO201))</f>
        <v/>
      </c>
      <c r="BL201">
        <f>MAX(0,MIN(1,0.22*AQ201+0.18*AS201+0.18*BC201+0.18*BD201+0.08*BE201+0.10*BF201+0.06*BO201))</f>
        <v/>
      </c>
      <c r="BM201">
        <f>MAX(0,MIN(1,0.20*(1-AZ201)+0.16*(1-BA201)+0.14*(1-AW201)+0.14*AU201+0.18*BG201+0.10*BH201+0.08*BP201))</f>
        <v/>
      </c>
      <c r="BN201">
        <f>MAX(0,MIN(1,0.42*BJ201+0.33*BK201+0.15*AT201+0.10*BQ201))</f>
        <v/>
      </c>
      <c r="BO201">
        <f>MAX(0,MIN(1,0.30*BC201+0.24*BD201+0.18*AS201+0.14*(1-BI201)+0.14*AT201))</f>
        <v/>
      </c>
      <c r="BP201">
        <f>MAX(0,MIN(1,0.26*AS201+0.20*(1-BA201)+0.16*(1-AW201)+0.18*BG201+0.10*AU201+0.10+BB201))</f>
        <v/>
      </c>
      <c r="BQ201">
        <f>MAX(0,MIN(1,0.24*AT201+0.18*BF201+0.14*AR201+0.14*BO201+0.14*(1-AV201)+0.16*(1-AZ201)))</f>
        <v/>
      </c>
      <c r="BR201">
        <f>IF(BO201&gt;=0.80,"Open",IF(BO201&gt;=0.62,"Measured",IF(BO201&gt;=0.45,"Selective","Guarded")))</f>
        <v/>
      </c>
      <c r="BS201">
        <f>IF(Y201="COMM_Direct","Direct",IF(Y201="COMM_Emotional","Emotional",IF(Y201="COMM_Logical","Logical",IF(Y201="COMM_Indirect","Indirect","Avoidant"))))</f>
        <v/>
      </c>
      <c r="BT201">
        <f>IF(BG201&gt;=0.78,"Co-repair",IF(BG201&gt;=0.58,"Re-engage",IF(BG201&gt;=0.40,"Delay","Suppress")))</f>
        <v/>
      </c>
      <c r="BU201">
        <f>IF(BI201&gt;=0.70,"Retreat-risk",IF(BH201&lt;=0.40,"Rush-risk",IF(BH201&gt;=0.65,"Slow-build","Mixed")))</f>
        <v/>
      </c>
      <c r="BV201">
        <f>IF(BL201-BM201&gt;=0.15,"Stimulation-seeking",IF(BM201-BL201&gt;=0.15,"Calm-seeking","Mixed")))</f>
        <v/>
      </c>
      <c r="BW201">
        <f>IF(AND(BL201&gt;=0.72,BM201&lt;0.48),"High",IF(AND(BL201&gt;=0.60,BM201&lt;0.58),"Medium","Low"))</f>
        <v/>
      </c>
    </row>
    <row r="202" ht="94.5" customHeight="1" s="10">
      <c r="A202" s="2" t="inlineStr">
        <is>
          <t>Q41_A</t>
        </is>
      </c>
      <c r="B202" s="2" t="n">
        <v>41</v>
      </c>
      <c r="C202" s="2" t="n">
        <v>41</v>
      </c>
      <c r="D202" s="2" t="inlineStr">
        <is>
          <t>Core</t>
        </is>
      </c>
      <c r="E202" s="2" t="n">
        <v>1.3</v>
      </c>
      <c r="F202" s="2" t="inlineStr">
        <is>
          <t>EmotionalNeeds</t>
        </is>
      </c>
      <c r="G202" s="2" t="inlineStr">
        <is>
          <t>IntimacyThreshold</t>
        </is>
      </c>
      <c r="H202" s="2" t="inlineStr">
        <is>
          <t>You say you want connection, but what do you actually chase without realizing it?</t>
        </is>
      </c>
      <c r="I202" s="2" t="inlineStr">
        <is>
          <t>A</t>
        </is>
      </c>
      <c r="J202" s="2" t="inlineStr">
        <is>
          <t>A</t>
        </is>
      </c>
      <c r="K202" s="2" t="inlineStr">
        <is>
          <t>People who feel just out of reach. If it's too easy, I question it.</t>
        </is>
      </c>
      <c r="L202" s="2" t="n">
        <v>5</v>
      </c>
      <c r="M202" s="2" t="n">
        <v>6</v>
      </c>
      <c r="N202" s="2" t="n">
        <v>2</v>
      </c>
      <c r="O202" s="2" t="n">
        <v>4</v>
      </c>
      <c r="P202" s="2" t="n">
        <v>2</v>
      </c>
      <c r="Q202" s="2" t="inlineStr">
        <is>
          <t>Phantom Seeker</t>
        </is>
      </c>
      <c r="R202" s="2" t="n">
        <v>10</v>
      </c>
      <c r="S202" s="2" t="n"/>
      <c r="T202" s="2" t="n"/>
      <c r="U202" s="2" t="n">
        <v>0</v>
      </c>
      <c r="V202" s="2" t="inlineStr">
        <is>
          <t>masc:-0.2;fem:1.5</t>
        </is>
      </c>
      <c r="W202" s="2" t="n">
        <v>-0.2</v>
      </c>
      <c r="X202" s="2" t="n">
        <v>1.5</v>
      </c>
      <c r="Y202" s="2" t="inlineStr">
        <is>
          <t>COMM_Emotional</t>
        </is>
      </c>
      <c r="Z202" s="2" t="inlineStr">
        <is>
          <t>REG_SelfSoother</t>
        </is>
      </c>
      <c r="AA202" s="2" t="inlineStr">
        <is>
          <t>LANG_Touch</t>
        </is>
      </c>
      <c r="AB202" s="2" t="inlineStr">
        <is>
          <t>Vulnerability_Loop</t>
        </is>
      </c>
      <c r="AC202" s="2" t="inlineStr">
        <is>
          <t>Vulnerability_Loop</t>
        </is>
      </c>
      <c r="AD202" s="2" t="n"/>
      <c r="AE202" s="2" t="n">
        <v>5</v>
      </c>
      <c r="AF202" s="2" t="inlineStr">
        <is>
          <t>familiar distance</t>
        </is>
      </c>
      <c r="AG202" s="2" t="inlineStr">
        <is>
          <t>unattainable chaser</t>
        </is>
      </c>
      <c r="AH202" s="2" t="n">
        <v>0</v>
      </c>
      <c r="AI202" s="2" t="inlineStr">
        <is>
          <t>yes</t>
        </is>
      </c>
      <c r="AJ202" s="2" t="inlineStr">
        <is>
          <t>no</t>
        </is>
      </c>
      <c r="AK202" s="2" t="inlineStr">
        <is>
          <t>no</t>
        </is>
      </c>
      <c r="AL202" s="2" t="inlineStr">
        <is>
          <t>no</t>
        </is>
      </c>
      <c r="AM202" s="2" t="n"/>
      <c r="AN202" s="2" t="n"/>
      <c r="AO202" s="2" t="n"/>
      <c r="AP202" s="2" t="inlineStr">
        <is>
          <t>v3_2026-03-19</t>
        </is>
      </c>
      <c r="AQ202">
        <f>(L202-Schema_v5!$C2)/(Schema_v5!$C3-Schema_v5!$C2)</f>
        <v/>
      </c>
      <c r="AR202">
        <f>(M202-Schema_v5!$C4)/(Schema_v5!$C5-Schema_v5!$C4)</f>
        <v/>
      </c>
      <c r="AS202">
        <f>N202/Schema_v5!$C6</f>
        <v/>
      </c>
      <c r="AT202">
        <f>O202/Schema_v5!$C7</f>
        <v/>
      </c>
      <c r="AU202">
        <f>P202/Schema_v5!$C8</f>
        <v/>
      </c>
      <c r="AV202">
        <f>IF(Schema_v5!$C9=0,0,AH202/Schema_v5!$C9)</f>
        <v/>
      </c>
      <c r="AW202">
        <f>IF(Schema_v5!$C10=0,0,AE202/Schema_v5!$C10)</f>
        <v/>
      </c>
      <c r="AX202">
        <f>(W202-Schema_v5!$C11)/(Schema_v5!$C12-Schema_v5!$C11)</f>
        <v/>
      </c>
      <c r="AY202">
        <f>(X202-Schema_v5!$C13)/(Schema_v5!$C14-Schema_v5!$C13)</f>
        <v/>
      </c>
      <c r="AZ202">
        <f>MIN(1,MAX(0,U202/Schema_v7!$C$9))</f>
        <v/>
      </c>
      <c r="BA202">
        <f>IF(AJ202="yes",0.55,0)</f>
        <v/>
      </c>
      <c r="BB202">
        <f>IF(AI202="yes",0.10,0)</f>
        <v/>
      </c>
      <c r="BC202">
        <f>IF(Y202="COMM_Direct",0.92,IF(Y202="COMM_Emotional",0.70,IF(Y202="COMM_Logical",0.65,IF(Y202="COMM_Indirect",0.55,0.35))))</f>
        <v/>
      </c>
      <c r="BD202">
        <f>IF(Z202="REG_CoRegulator",0.92,IF(Z202="REG_SelfSoother",0.76,IF(Z202="REG_Distractor",0.48,0.35)))</f>
        <v/>
      </c>
      <c r="BE202">
        <f>IF(AA202="LANG_Time",0.76,IF(AA202="LANG_Service",0.70,IF(AA202="LANG_Words",0.72,IF(AA202="LANG_Touch",0.68,0.60))))</f>
        <v/>
      </c>
      <c r="BF202">
        <f>MAX(0,MIN(1,0.28*AS202+0.16*AT202+0.18*BC202+0.18*BD202+0.10*(1-AZ202)+0.10*(1-BA202)+BB202))</f>
        <v/>
      </c>
      <c r="BG202">
        <f>MAX(0,MIN(1,0.24*AU202+0.18*AS202+0.18*BC202+0.20*BD202+0.10*(1-AW202)+0.10*(1-BA202)))</f>
        <v/>
      </c>
      <c r="BH202">
        <f>MAX(0,MIN(1,0.28*AR202+0.18*AT202+0.16*AU202+0.18*(1-AV202)+0.10*(1-AW202)+0.10*BF202))</f>
        <v/>
      </c>
      <c r="BI202">
        <f>MAX(0,MIN(1,0.30*AV202+0.20*AZ202+0.20*AW202+0.15*(1-BH202)+0.15*(1-BO202)))</f>
        <v/>
      </c>
      <c r="BJ202">
        <f>MAX(0,1-(ABS(((( AX202+AY202)/2)-0.55)*1.6)))</f>
        <v/>
      </c>
      <c r="BK202">
        <f>MAX(0,MIN(1,0.28*AR202+0.18*AT202+0.16*BJ202+0.14*(1-AV202)+0.12*BQ202+0.12*BO202))</f>
        <v/>
      </c>
      <c r="BL202">
        <f>MAX(0,MIN(1,0.22*AQ202+0.18*AS202+0.18*BC202+0.18*BD202+0.08*BE202+0.10*BF202+0.06*BO202))</f>
        <v/>
      </c>
      <c r="BM202">
        <f>MAX(0,MIN(1,0.20*(1-AZ202)+0.16*(1-BA202)+0.14*(1-AW202)+0.14*AU202+0.18*BG202+0.10*BH202+0.08*BP202))</f>
        <v/>
      </c>
      <c r="BN202">
        <f>MAX(0,MIN(1,0.42*BJ202+0.33*BK202+0.15*AT202+0.10*BQ202))</f>
        <v/>
      </c>
      <c r="BO202">
        <f>MAX(0,MIN(1,0.30*BC202+0.24*BD202+0.18*AS202+0.14*(1-BI202)+0.14*AT202))</f>
        <v/>
      </c>
      <c r="BP202">
        <f>MAX(0,MIN(1,0.26*AS202+0.20*(1-BA202)+0.16*(1-AW202)+0.18*BG202+0.10*AU202+0.10+BB202))</f>
        <v/>
      </c>
      <c r="BQ202">
        <f>MAX(0,MIN(1,0.24*AT202+0.18*BF202+0.14*AR202+0.14*BO202+0.14*(1-AV202)+0.16*(1-AZ202)))</f>
        <v/>
      </c>
      <c r="BR202">
        <f>IF(BO202&gt;=0.80,"Open",IF(BO202&gt;=0.62,"Measured",IF(BO202&gt;=0.45,"Selective","Guarded")))</f>
        <v/>
      </c>
      <c r="BS202">
        <f>IF(Y202="COMM_Direct","Direct",IF(Y202="COMM_Emotional","Emotional",IF(Y202="COMM_Logical","Logical",IF(Y202="COMM_Indirect","Indirect","Avoidant"))))</f>
        <v/>
      </c>
      <c r="BT202">
        <f>IF(BG202&gt;=0.78,"Co-repair",IF(BG202&gt;=0.58,"Re-engage",IF(BG202&gt;=0.40,"Delay","Suppress")))</f>
        <v/>
      </c>
      <c r="BU202">
        <f>IF(BI202&gt;=0.70,"Retreat-risk",IF(BH202&lt;=0.40,"Rush-risk",IF(BH202&gt;=0.65,"Slow-build","Mixed")))</f>
        <v/>
      </c>
      <c r="BV202">
        <f>IF(BL202-BM202&gt;=0.15,"Stimulation-seeking",IF(BM202-BL202&gt;=0.15,"Calm-seeking","Mixed")))</f>
        <v/>
      </c>
      <c r="BW202">
        <f>IF(AND(BL202&gt;=0.72,BM202&lt;0.48),"High",IF(AND(BL202&gt;=0.60,BM202&lt;0.58),"Medium","Low"))</f>
        <v/>
      </c>
    </row>
    <row r="203" ht="108" customHeight="1" s="10">
      <c r="A203" s="2" t="inlineStr">
        <is>
          <t>Q41_B</t>
        </is>
      </c>
      <c r="B203" s="2" t="n">
        <v>41</v>
      </c>
      <c r="C203" s="2" t="n">
        <v>41</v>
      </c>
      <c r="D203" s="2" t="inlineStr">
        <is>
          <t>Core</t>
        </is>
      </c>
      <c r="E203" s="2" t="n">
        <v>1.3</v>
      </c>
      <c r="F203" s="2" t="inlineStr">
        <is>
          <t>EmotionalNeeds</t>
        </is>
      </c>
      <c r="G203" s="2" t="inlineStr">
        <is>
          <t>IntimacyThreshold</t>
        </is>
      </c>
      <c r="H203" s="2" t="n"/>
      <c r="I203" s="2" t="inlineStr">
        <is>
          <t>B</t>
        </is>
      </c>
      <c r="J203" s="2" t="inlineStr">
        <is>
          <t>B</t>
        </is>
      </c>
      <c r="K203" s="2" t="inlineStr">
        <is>
          <t>The ones who don't really need me. If I win them over, it means I'm finally enough.</t>
        </is>
      </c>
      <c r="L203" s="2" t="n">
        <v>6</v>
      </c>
      <c r="M203" s="2" t="n">
        <v>7</v>
      </c>
      <c r="N203" s="2" t="n">
        <v>4</v>
      </c>
      <c r="O203" s="2" t="n">
        <v>6</v>
      </c>
      <c r="P203" s="2" t="n">
        <v>4</v>
      </c>
      <c r="Q203" s="2" t="inlineStr">
        <is>
          <t>Fixer</t>
        </is>
      </c>
      <c r="R203" s="2" t="n">
        <v>5</v>
      </c>
      <c r="S203" s="2" t="n"/>
      <c r="T203" s="2" t="n"/>
      <c r="U203" s="2" t="n">
        <v>0</v>
      </c>
      <c r="V203" s="2" t="inlineStr">
        <is>
          <t>masc:-0.4;fem:2.0</t>
        </is>
      </c>
      <c r="W203" s="2" t="n">
        <v>-0.4</v>
      </c>
      <c r="X203" s="2" t="n">
        <v>2</v>
      </c>
      <c r="Y203" s="2" t="inlineStr">
        <is>
          <t>COMM_Emotional</t>
        </is>
      </c>
      <c r="Z203" s="2" t="inlineStr">
        <is>
          <t>REG_CoRegulator</t>
        </is>
      </c>
      <c r="AA203" s="2" t="inlineStr">
        <is>
          <t>LANG_Service</t>
        </is>
      </c>
      <c r="AB203" s="2" t="inlineStr">
        <is>
          <t>Vulnerability_Loop</t>
        </is>
      </c>
      <c r="AC203" s="2" t="inlineStr">
        <is>
          <t>Vulnerability_Loop</t>
        </is>
      </c>
      <c r="AD203" s="2" t="n"/>
      <c r="AE203" s="2" t="n">
        <v>5</v>
      </c>
      <c r="AF203" s="2" t="inlineStr">
        <is>
          <t>approval through resistance</t>
        </is>
      </c>
      <c r="AG203" s="2" t="inlineStr">
        <is>
          <t>fixer targeter</t>
        </is>
      </c>
      <c r="AH203" s="2" t="n">
        <v>0</v>
      </c>
      <c r="AI203" s="2" t="inlineStr">
        <is>
          <t>yes</t>
        </is>
      </c>
      <c r="AJ203" s="2" t="inlineStr">
        <is>
          <t>no</t>
        </is>
      </c>
      <c r="AK203" s="2" t="inlineStr">
        <is>
          <t>no</t>
        </is>
      </c>
      <c r="AL203" s="2" t="inlineStr">
        <is>
          <t>no</t>
        </is>
      </c>
      <c r="AM203" s="2" t="n"/>
      <c r="AN203" s="2" t="n"/>
      <c r="AO203" s="2" t="n"/>
      <c r="AP203" s="2" t="inlineStr">
        <is>
          <t>v3_2026-03-19</t>
        </is>
      </c>
      <c r="AQ203">
        <f>(L203-Schema_v5!$C2)/(Schema_v5!$C3-Schema_v5!$C2)</f>
        <v/>
      </c>
      <c r="AR203">
        <f>(M203-Schema_v5!$C4)/(Schema_v5!$C5-Schema_v5!$C4)</f>
        <v/>
      </c>
      <c r="AS203">
        <f>N203/Schema_v5!$C6</f>
        <v/>
      </c>
      <c r="AT203">
        <f>O203/Schema_v5!$C7</f>
        <v/>
      </c>
      <c r="AU203">
        <f>P203/Schema_v5!$C8</f>
        <v/>
      </c>
      <c r="AV203">
        <f>IF(Schema_v5!$C9=0,0,AH203/Schema_v5!$C9)</f>
        <v/>
      </c>
      <c r="AW203">
        <f>IF(Schema_v5!$C10=0,0,AE203/Schema_v5!$C10)</f>
        <v/>
      </c>
      <c r="AX203">
        <f>(W203-Schema_v5!$C11)/(Schema_v5!$C12-Schema_v5!$C11)</f>
        <v/>
      </c>
      <c r="AY203">
        <f>(X203-Schema_v5!$C13)/(Schema_v5!$C14-Schema_v5!$C13)</f>
        <v/>
      </c>
      <c r="AZ203">
        <f>MIN(1,MAX(0,U203/Schema_v7!$C$9))</f>
        <v/>
      </c>
      <c r="BA203">
        <f>IF(AJ203="yes",0.55,0)</f>
        <v/>
      </c>
      <c r="BB203">
        <f>IF(AI203="yes",0.10,0)</f>
        <v/>
      </c>
      <c r="BC203">
        <f>IF(Y203="COMM_Direct",0.92,IF(Y203="COMM_Emotional",0.70,IF(Y203="COMM_Logical",0.65,IF(Y203="COMM_Indirect",0.55,0.35))))</f>
        <v/>
      </c>
      <c r="BD203">
        <f>IF(Z203="REG_CoRegulator",0.92,IF(Z203="REG_SelfSoother",0.76,IF(Z203="REG_Distractor",0.48,0.35)))</f>
        <v/>
      </c>
      <c r="BE203">
        <f>IF(AA203="LANG_Time",0.76,IF(AA203="LANG_Service",0.70,IF(AA203="LANG_Words",0.72,IF(AA203="LANG_Touch",0.68,0.60))))</f>
        <v/>
      </c>
      <c r="BF203">
        <f>MAX(0,MIN(1,0.28*AS203+0.16*AT203+0.18*BC203+0.18*BD203+0.10*(1-AZ203)+0.10*(1-BA203)+BB203))</f>
        <v/>
      </c>
      <c r="BG203">
        <f>MAX(0,MIN(1,0.24*AU203+0.18*AS203+0.18*BC203+0.20*BD203+0.10*(1-AW203)+0.10*(1-BA203)))</f>
        <v/>
      </c>
      <c r="BH203">
        <f>MAX(0,MIN(1,0.28*AR203+0.18*AT203+0.16*AU203+0.18*(1-AV203)+0.10*(1-AW203)+0.10*BF203))</f>
        <v/>
      </c>
      <c r="BI203">
        <f>MAX(0,MIN(1,0.30*AV203+0.20*AZ203+0.20*AW203+0.15*(1-BH203)+0.15*(1-BO203)))</f>
        <v/>
      </c>
      <c r="BJ203">
        <f>MAX(0,1-(ABS(((( AX203+AY203)/2)-0.55)*1.6)))</f>
        <v/>
      </c>
      <c r="BK203">
        <f>MAX(0,MIN(1,0.28*AR203+0.18*AT203+0.16*BJ203+0.14*(1-AV203)+0.12*BQ203+0.12*BO203))</f>
        <v/>
      </c>
      <c r="BL203">
        <f>MAX(0,MIN(1,0.22*AQ203+0.18*AS203+0.18*BC203+0.18*BD203+0.08*BE203+0.10*BF203+0.06*BO203))</f>
        <v/>
      </c>
      <c r="BM203">
        <f>MAX(0,MIN(1,0.20*(1-AZ203)+0.16*(1-BA203)+0.14*(1-AW203)+0.14*AU203+0.18*BG203+0.10*BH203+0.08*BP203))</f>
        <v/>
      </c>
      <c r="BN203">
        <f>MAX(0,MIN(1,0.42*BJ203+0.33*BK203+0.15*AT203+0.10*BQ203))</f>
        <v/>
      </c>
      <c r="BO203">
        <f>MAX(0,MIN(1,0.30*BC203+0.24*BD203+0.18*AS203+0.14*(1-BI203)+0.14*AT203))</f>
        <v/>
      </c>
      <c r="BP203">
        <f>MAX(0,MIN(1,0.26*AS203+0.20*(1-BA203)+0.16*(1-AW203)+0.18*BG203+0.10*AU203+0.10+BB203))</f>
        <v/>
      </c>
      <c r="BQ203">
        <f>MAX(0,MIN(1,0.24*AT203+0.18*BF203+0.14*AR203+0.14*BO203+0.14*(1-AV203)+0.16*(1-AZ203)))</f>
        <v/>
      </c>
      <c r="BR203">
        <f>IF(BO203&gt;=0.80,"Open",IF(BO203&gt;=0.62,"Measured",IF(BO203&gt;=0.45,"Selective","Guarded")))</f>
        <v/>
      </c>
      <c r="BS203">
        <f>IF(Y203="COMM_Direct","Direct",IF(Y203="COMM_Emotional","Emotional",IF(Y203="COMM_Logical","Logical",IF(Y203="COMM_Indirect","Indirect","Avoidant"))))</f>
        <v/>
      </c>
      <c r="BT203">
        <f>IF(BG203&gt;=0.78,"Co-repair",IF(BG203&gt;=0.58,"Re-engage",IF(BG203&gt;=0.40,"Delay","Suppress")))</f>
        <v/>
      </c>
      <c r="BU203">
        <f>IF(BI203&gt;=0.70,"Retreat-risk",IF(BH203&lt;=0.40,"Rush-risk",IF(BH203&gt;=0.65,"Slow-build","Mixed")))</f>
        <v/>
      </c>
      <c r="BV203">
        <f>IF(BL203-BM203&gt;=0.15,"Stimulation-seeking",IF(BM203-BL203&gt;=0.15,"Calm-seeking","Mixed")))</f>
        <v/>
      </c>
      <c r="BW203">
        <f>IF(AND(BL203&gt;=0.72,BM203&lt;0.48),"High",IF(AND(BL203&gt;=0.60,BM203&lt;0.58),"Medium","Low"))</f>
        <v/>
      </c>
    </row>
    <row r="204" ht="94.5" customHeight="1" s="10">
      <c r="A204" s="2" t="inlineStr">
        <is>
          <t>Q41_C</t>
        </is>
      </c>
      <c r="B204" s="2" t="n">
        <v>41</v>
      </c>
      <c r="C204" s="2" t="n">
        <v>41</v>
      </c>
      <c r="D204" s="2" t="inlineStr">
        <is>
          <t>Core</t>
        </is>
      </c>
      <c r="E204" s="2" t="n">
        <v>1.3</v>
      </c>
      <c r="F204" s="2" t="inlineStr">
        <is>
          <t>EmotionalNeeds</t>
        </is>
      </c>
      <c r="G204" s="2" t="inlineStr">
        <is>
          <t>IntimacyThreshold</t>
        </is>
      </c>
      <c r="H204" s="2" t="n"/>
      <c r="I204" s="2" t="inlineStr">
        <is>
          <t>C</t>
        </is>
      </c>
      <c r="J204" s="2" t="inlineStr">
        <is>
          <t>C</t>
        </is>
      </c>
      <c r="K204" s="2" t="inlineStr">
        <is>
          <t>People who match my energy but not my depth. It lets me stay in control.</t>
        </is>
      </c>
      <c r="L204" s="2" t="n">
        <v>5</v>
      </c>
      <c r="M204" s="2" t="n">
        <v>6</v>
      </c>
      <c r="N204" s="2" t="n">
        <v>2</v>
      </c>
      <c r="O204" s="2" t="n">
        <v>2</v>
      </c>
      <c r="P204" s="2" t="n">
        <v>0</v>
      </c>
      <c r="Q204" s="2" t="inlineStr">
        <is>
          <t>Performer</t>
        </is>
      </c>
      <c r="R204" s="2" t="n">
        <v>7</v>
      </c>
      <c r="S204" s="2" t="n"/>
      <c r="T204" s="2" t="n"/>
      <c r="U204" s="2" t="n">
        <v>0</v>
      </c>
      <c r="V204" s="2" t="inlineStr">
        <is>
          <t>masc:0.3;fem:0.5</t>
        </is>
      </c>
      <c r="W204" s="2" t="n">
        <v>0.3</v>
      </c>
      <c r="X204" s="2" t="n">
        <v>0.5</v>
      </c>
      <c r="Y204" s="2" t="inlineStr">
        <is>
          <t>COMM_Indirect</t>
        </is>
      </c>
      <c r="Z204" s="2" t="inlineStr">
        <is>
          <t>REG_Distractor</t>
        </is>
      </c>
      <c r="AA204" s="2" t="inlineStr">
        <is>
          <t>LANG_Gifts</t>
        </is>
      </c>
      <c r="AB204" s="2" t="inlineStr">
        <is>
          <t>Control_Avoidance</t>
        </is>
      </c>
      <c r="AC204" s="2" t="inlineStr">
        <is>
          <t>Control_Avoidance</t>
        </is>
      </c>
      <c r="AD204" s="2" t="n"/>
      <c r="AE204" s="2" t="n">
        <v>6</v>
      </c>
      <c r="AF204" s="2" t="inlineStr">
        <is>
          <t>surface compatibility loop</t>
        </is>
      </c>
      <c r="AG204" s="2" t="inlineStr">
        <is>
          <t>vibe manager</t>
        </is>
      </c>
      <c r="AH204" s="2" t="n">
        <v>0</v>
      </c>
      <c r="AI204" s="2" t="inlineStr">
        <is>
          <t>yes</t>
        </is>
      </c>
      <c r="AJ204" s="2" t="inlineStr">
        <is>
          <t>no</t>
        </is>
      </c>
      <c r="AK204" s="2" t="inlineStr">
        <is>
          <t>no</t>
        </is>
      </c>
      <c r="AL204" s="2" t="inlineStr">
        <is>
          <t>no</t>
        </is>
      </c>
      <c r="AM204" s="2" t="n"/>
      <c r="AN204" s="2" t="n"/>
      <c r="AO204" s="2" t="n"/>
      <c r="AP204" s="2" t="inlineStr">
        <is>
          <t>v3_2026-03-19</t>
        </is>
      </c>
      <c r="AQ204">
        <f>(L204-Schema_v5!$C2)/(Schema_v5!$C3-Schema_v5!$C2)</f>
        <v/>
      </c>
      <c r="AR204">
        <f>(M204-Schema_v5!$C4)/(Schema_v5!$C5-Schema_v5!$C4)</f>
        <v/>
      </c>
      <c r="AS204">
        <f>N204/Schema_v5!$C6</f>
        <v/>
      </c>
      <c r="AT204">
        <f>O204/Schema_v5!$C7</f>
        <v/>
      </c>
      <c r="AU204">
        <f>P204/Schema_v5!$C8</f>
        <v/>
      </c>
      <c r="AV204">
        <f>IF(Schema_v5!$C9=0,0,AH204/Schema_v5!$C9)</f>
        <v/>
      </c>
      <c r="AW204">
        <f>IF(Schema_v5!$C10=0,0,AE204/Schema_v5!$C10)</f>
        <v/>
      </c>
      <c r="AX204">
        <f>(W204-Schema_v5!$C11)/(Schema_v5!$C12-Schema_v5!$C11)</f>
        <v/>
      </c>
      <c r="AY204">
        <f>(X204-Schema_v5!$C13)/(Schema_v5!$C14-Schema_v5!$C13)</f>
        <v/>
      </c>
      <c r="AZ204">
        <f>MIN(1,MAX(0,U204/Schema_v7!$C$9))</f>
        <v/>
      </c>
      <c r="BA204">
        <f>IF(AJ204="yes",0.55,0)</f>
        <v/>
      </c>
      <c r="BB204">
        <f>IF(AI204="yes",0.10,0)</f>
        <v/>
      </c>
      <c r="BC204">
        <f>IF(Y204="COMM_Direct",0.92,IF(Y204="COMM_Emotional",0.70,IF(Y204="COMM_Logical",0.65,IF(Y204="COMM_Indirect",0.55,0.35))))</f>
        <v/>
      </c>
      <c r="BD204">
        <f>IF(Z204="REG_CoRegulator",0.92,IF(Z204="REG_SelfSoother",0.76,IF(Z204="REG_Distractor",0.48,0.35)))</f>
        <v/>
      </c>
      <c r="BE204">
        <f>IF(AA204="LANG_Time",0.76,IF(AA204="LANG_Service",0.70,IF(AA204="LANG_Words",0.72,IF(AA204="LANG_Touch",0.68,0.60))))</f>
        <v/>
      </c>
      <c r="BF204">
        <f>MAX(0,MIN(1,0.28*AS204+0.16*AT204+0.18*BC204+0.18*BD204+0.10*(1-AZ204)+0.10*(1-BA204)+BB204))</f>
        <v/>
      </c>
      <c r="BG204">
        <f>MAX(0,MIN(1,0.24*AU204+0.18*AS204+0.18*BC204+0.20*BD204+0.10*(1-AW204)+0.10*(1-BA204)))</f>
        <v/>
      </c>
      <c r="BH204">
        <f>MAX(0,MIN(1,0.28*AR204+0.18*AT204+0.16*AU204+0.18*(1-AV204)+0.10*(1-AW204)+0.10*BF204))</f>
        <v/>
      </c>
      <c r="BI204">
        <f>MAX(0,MIN(1,0.30*AV204+0.20*AZ204+0.20*AW204+0.15*(1-BH204)+0.15*(1-BO204)))</f>
        <v/>
      </c>
      <c r="BJ204">
        <f>MAX(0,1-(ABS(((( AX204+AY204)/2)-0.55)*1.6)))</f>
        <v/>
      </c>
      <c r="BK204">
        <f>MAX(0,MIN(1,0.28*AR204+0.18*AT204+0.16*BJ204+0.14*(1-AV204)+0.12*BQ204+0.12*BO204))</f>
        <v/>
      </c>
      <c r="BL204">
        <f>MAX(0,MIN(1,0.22*AQ204+0.18*AS204+0.18*BC204+0.18*BD204+0.08*BE204+0.10*BF204+0.06*BO204))</f>
        <v/>
      </c>
      <c r="BM204">
        <f>MAX(0,MIN(1,0.20*(1-AZ204)+0.16*(1-BA204)+0.14*(1-AW204)+0.14*AU204+0.18*BG204+0.10*BH204+0.08*BP204))</f>
        <v/>
      </c>
      <c r="BN204">
        <f>MAX(0,MIN(1,0.42*BJ204+0.33*BK204+0.15*AT204+0.10*BQ204))</f>
        <v/>
      </c>
      <c r="BO204">
        <f>MAX(0,MIN(1,0.30*BC204+0.24*BD204+0.18*AS204+0.14*(1-BI204)+0.14*AT204))</f>
        <v/>
      </c>
      <c r="BP204">
        <f>MAX(0,MIN(1,0.26*AS204+0.20*(1-BA204)+0.16*(1-AW204)+0.18*BG204+0.10*AU204+0.10+BB204))</f>
        <v/>
      </c>
      <c r="BQ204">
        <f>MAX(0,MIN(1,0.24*AT204+0.18*BF204+0.14*AR204+0.14*BO204+0.14*(1-AV204)+0.16*(1-AZ204)))</f>
        <v/>
      </c>
      <c r="BR204">
        <f>IF(BO204&gt;=0.80,"Open",IF(BO204&gt;=0.62,"Measured",IF(BO204&gt;=0.45,"Selective","Guarded")))</f>
        <v/>
      </c>
      <c r="BS204">
        <f>IF(Y204="COMM_Direct","Direct",IF(Y204="COMM_Emotional","Emotional",IF(Y204="COMM_Logical","Logical",IF(Y204="COMM_Indirect","Indirect","Avoidant"))))</f>
        <v/>
      </c>
      <c r="BT204">
        <f>IF(BG204&gt;=0.78,"Co-repair",IF(BG204&gt;=0.58,"Re-engage",IF(BG204&gt;=0.40,"Delay","Suppress")))</f>
        <v/>
      </c>
      <c r="BU204">
        <f>IF(BI204&gt;=0.70,"Retreat-risk",IF(BH204&lt;=0.40,"Rush-risk",IF(BH204&gt;=0.65,"Slow-build","Mixed")))</f>
        <v/>
      </c>
      <c r="BV204">
        <f>IF(BL204-BM204&gt;=0.15,"Stimulation-seeking",IF(BM204-BL204&gt;=0.15,"Calm-seeking","Mixed")))</f>
        <v/>
      </c>
      <c r="BW204">
        <f>IF(AND(BL204&gt;=0.72,BM204&lt;0.48),"High",IF(AND(BL204&gt;=0.60,BM204&lt;0.58),"Medium","Low"))</f>
        <v/>
      </c>
    </row>
    <row r="205" ht="81" customHeight="1" s="10">
      <c r="A205" s="2" t="inlineStr">
        <is>
          <t>Q41_D</t>
        </is>
      </c>
      <c r="B205" s="2" t="n">
        <v>41</v>
      </c>
      <c r="C205" s="2" t="n">
        <v>41</v>
      </c>
      <c r="D205" s="2" t="inlineStr">
        <is>
          <t>Core</t>
        </is>
      </c>
      <c r="E205" s="2" t="n">
        <v>1.3</v>
      </c>
      <c r="F205" s="2" t="inlineStr">
        <is>
          <t>EmotionalNeeds</t>
        </is>
      </c>
      <c r="G205" s="2" t="inlineStr">
        <is>
          <t>IntimacyThreshold</t>
        </is>
      </c>
      <c r="H205" s="2" t="n"/>
      <c r="I205" s="2" t="inlineStr">
        <is>
          <t>D</t>
        </is>
      </c>
      <c r="J205" s="2" t="inlineStr">
        <is>
          <t>D</t>
        </is>
      </c>
      <c r="K205" s="2" t="inlineStr">
        <is>
          <t>Intellectual equals. If they can't meet me mentally, I lose interest, fast.</t>
        </is>
      </c>
      <c r="L205" s="2" t="n">
        <v>9</v>
      </c>
      <c r="M205" s="2" t="n">
        <v>9</v>
      </c>
      <c r="N205" s="2" t="n">
        <v>10</v>
      </c>
      <c r="O205" s="2" t="n">
        <v>8</v>
      </c>
      <c r="P205" s="2" t="n">
        <v>8</v>
      </c>
      <c r="Q205" s="2" t="inlineStr">
        <is>
          <t>Analyzer</t>
        </is>
      </c>
      <c r="R205" s="2" t="n">
        <v>2</v>
      </c>
      <c r="S205" s="2" t="n"/>
      <c r="T205" s="2" t="n"/>
      <c r="U205" s="2" t="n">
        <v>0</v>
      </c>
      <c r="V205" s="2" t="inlineStr">
        <is>
          <t>masc:1.4;fem:0.1</t>
        </is>
      </c>
      <c r="W205" s="2" t="n">
        <v>1.4</v>
      </c>
      <c r="X205" s="2" t="n">
        <v>0.1</v>
      </c>
      <c r="Y205" s="2" t="inlineStr">
        <is>
          <t>COMM_Logical</t>
        </is>
      </c>
      <c r="Z205" s="2" t="inlineStr">
        <is>
          <t>REG_SelfSoother</t>
        </is>
      </c>
      <c r="AA205" s="2" t="inlineStr">
        <is>
          <t>LANG_Service</t>
        </is>
      </c>
      <c r="AB205" s="2" t="n"/>
      <c r="AC205" s="2" t="n"/>
      <c r="AD205" s="2" t="n"/>
      <c r="AE205" s="2" t="n">
        <v>0</v>
      </c>
      <c r="AF205" s="2" t="inlineStr">
        <is>
          <t>mind-first filtering</t>
        </is>
      </c>
      <c r="AG205" s="2" t="inlineStr">
        <is>
          <t>cerebral matcher</t>
        </is>
      </c>
      <c r="AH205" s="2" t="n">
        <v>0</v>
      </c>
      <c r="AI205" s="2" t="inlineStr">
        <is>
          <t>no</t>
        </is>
      </c>
      <c r="AJ205" s="2" t="inlineStr">
        <is>
          <t>no</t>
        </is>
      </c>
      <c r="AK205" s="2" t="inlineStr">
        <is>
          <t>no</t>
        </is>
      </c>
      <c r="AL205" s="2" t="inlineStr">
        <is>
          <t>no</t>
        </is>
      </c>
      <c r="AM205" s="2" t="n"/>
      <c r="AN205" s="2" t="n"/>
      <c r="AO205" s="2" t="n"/>
      <c r="AP205" s="2" t="inlineStr">
        <is>
          <t>v3_2026-03-19</t>
        </is>
      </c>
      <c r="AQ205">
        <f>(L205-Schema_v5!$C2)/(Schema_v5!$C3-Schema_v5!$C2)</f>
        <v/>
      </c>
      <c r="AR205">
        <f>(M205-Schema_v5!$C4)/(Schema_v5!$C5-Schema_v5!$C4)</f>
        <v/>
      </c>
      <c r="AS205">
        <f>N205/Schema_v5!$C6</f>
        <v/>
      </c>
      <c r="AT205">
        <f>O205/Schema_v5!$C7</f>
        <v/>
      </c>
      <c r="AU205">
        <f>P205/Schema_v5!$C8</f>
        <v/>
      </c>
      <c r="AV205">
        <f>IF(Schema_v5!$C9=0,0,AH205/Schema_v5!$C9)</f>
        <v/>
      </c>
      <c r="AW205">
        <f>IF(Schema_v5!$C10=0,0,AE205/Schema_v5!$C10)</f>
        <v/>
      </c>
      <c r="AX205">
        <f>(W205-Schema_v5!$C11)/(Schema_v5!$C12-Schema_v5!$C11)</f>
        <v/>
      </c>
      <c r="AY205">
        <f>(X205-Schema_v5!$C13)/(Schema_v5!$C14-Schema_v5!$C13)</f>
        <v/>
      </c>
      <c r="AZ205">
        <f>MIN(1,MAX(0,U205/Schema_v7!$C$9))</f>
        <v/>
      </c>
      <c r="BA205">
        <f>IF(AJ205="yes",0.55,0)</f>
        <v/>
      </c>
      <c r="BB205">
        <f>IF(AI205="yes",0.10,0)</f>
        <v/>
      </c>
      <c r="BC205">
        <f>IF(Y205="COMM_Direct",0.92,IF(Y205="COMM_Emotional",0.70,IF(Y205="COMM_Logical",0.65,IF(Y205="COMM_Indirect",0.55,0.35))))</f>
        <v/>
      </c>
      <c r="BD205">
        <f>IF(Z205="REG_CoRegulator",0.92,IF(Z205="REG_SelfSoother",0.76,IF(Z205="REG_Distractor",0.48,0.35)))</f>
        <v/>
      </c>
      <c r="BE205">
        <f>IF(AA205="LANG_Time",0.76,IF(AA205="LANG_Service",0.70,IF(AA205="LANG_Words",0.72,IF(AA205="LANG_Touch",0.68,0.60))))</f>
        <v/>
      </c>
      <c r="BF205">
        <f>MAX(0,MIN(1,0.28*AS205+0.16*AT205+0.18*BC205+0.18*BD205+0.10*(1-AZ205)+0.10*(1-BA205)+BB205))</f>
        <v/>
      </c>
      <c r="BG205">
        <f>MAX(0,MIN(1,0.24*AU205+0.18*AS205+0.18*BC205+0.20*BD205+0.10*(1-AW205)+0.10*(1-BA205)))</f>
        <v/>
      </c>
      <c r="BH205">
        <f>MAX(0,MIN(1,0.28*AR205+0.18*AT205+0.16*AU205+0.18*(1-AV205)+0.10*(1-AW205)+0.10*BF205))</f>
        <v/>
      </c>
      <c r="BI205">
        <f>MAX(0,MIN(1,0.30*AV205+0.20*AZ205+0.20*AW205+0.15*(1-BH205)+0.15*(1-BO205)))</f>
        <v/>
      </c>
      <c r="BJ205">
        <f>MAX(0,1-(ABS(((( AX205+AY205)/2)-0.55)*1.6)))</f>
        <v/>
      </c>
      <c r="BK205">
        <f>MAX(0,MIN(1,0.28*AR205+0.18*AT205+0.16*BJ205+0.14*(1-AV205)+0.12*BQ205+0.12*BO205))</f>
        <v/>
      </c>
      <c r="BL205">
        <f>MAX(0,MIN(1,0.22*AQ205+0.18*AS205+0.18*BC205+0.18*BD205+0.08*BE205+0.10*BF205+0.06*BO205))</f>
        <v/>
      </c>
      <c r="BM205">
        <f>MAX(0,MIN(1,0.20*(1-AZ205)+0.16*(1-BA205)+0.14*(1-AW205)+0.14*AU205+0.18*BG205+0.10*BH205+0.08*BP205))</f>
        <v/>
      </c>
      <c r="BN205">
        <f>MAX(0,MIN(1,0.42*BJ205+0.33*BK205+0.15*AT205+0.10*BQ205))</f>
        <v/>
      </c>
      <c r="BO205">
        <f>MAX(0,MIN(1,0.30*BC205+0.24*BD205+0.18*AS205+0.14*(1-BI205)+0.14*AT205))</f>
        <v/>
      </c>
      <c r="BP205">
        <f>MAX(0,MIN(1,0.26*AS205+0.20*(1-BA205)+0.16*(1-AW205)+0.18*BG205+0.10*AU205+0.10+BB205))</f>
        <v/>
      </c>
      <c r="BQ205">
        <f>MAX(0,MIN(1,0.24*AT205+0.18*BF205+0.14*AR205+0.14*BO205+0.14*(1-AV205)+0.16*(1-AZ205)))</f>
        <v/>
      </c>
      <c r="BR205">
        <f>IF(BO205&gt;=0.80,"Open",IF(BO205&gt;=0.62,"Measured",IF(BO205&gt;=0.45,"Selective","Guarded")))</f>
        <v/>
      </c>
      <c r="BS205">
        <f>IF(Y205="COMM_Direct","Direct",IF(Y205="COMM_Emotional","Emotional",IF(Y205="COMM_Logical","Logical",IF(Y205="COMM_Indirect","Indirect","Avoidant"))))</f>
        <v/>
      </c>
      <c r="BT205">
        <f>IF(BG205&gt;=0.78,"Co-repair",IF(BG205&gt;=0.58,"Re-engage",IF(BG205&gt;=0.40,"Delay","Suppress")))</f>
        <v/>
      </c>
      <c r="BU205">
        <f>IF(BI205&gt;=0.70,"Retreat-risk",IF(BH205&lt;=0.40,"Rush-risk",IF(BH205&gt;=0.65,"Slow-build","Mixed")))</f>
        <v/>
      </c>
      <c r="BV205">
        <f>IF(BL205-BM205&gt;=0.15,"Stimulation-seeking",IF(BM205-BL205&gt;=0.15,"Calm-seeking","Mixed")))</f>
        <v/>
      </c>
      <c r="BW205">
        <f>IF(AND(BL205&gt;=0.72,BM205&lt;0.48),"High",IF(AND(BL205&gt;=0.60,BM205&lt;0.58),"Medium","Low"))</f>
        <v/>
      </c>
    </row>
    <row r="206" ht="108" customHeight="1" s="10">
      <c r="A206" s="2" t="inlineStr">
        <is>
          <t>Q41_E</t>
        </is>
      </c>
      <c r="B206" s="2" t="n">
        <v>41</v>
      </c>
      <c r="C206" s="2" t="n">
        <v>41</v>
      </c>
      <c r="D206" s="2" t="inlineStr">
        <is>
          <t>Core</t>
        </is>
      </c>
      <c r="E206" s="2" t="n">
        <v>1.3</v>
      </c>
      <c r="F206" s="2" t="inlineStr">
        <is>
          <t>EmotionalNeeds</t>
        </is>
      </c>
      <c r="G206" s="2" t="inlineStr">
        <is>
          <t>IntimacyThreshold</t>
        </is>
      </c>
      <c r="H206" s="2" t="n"/>
      <c r="I206" s="2" t="inlineStr">
        <is>
          <t>E</t>
        </is>
      </c>
      <c r="J206" s="2" t="inlineStr">
        <is>
          <t>E</t>
        </is>
      </c>
      <c r="K206" s="2" t="inlineStr">
        <is>
          <t>Safe people I don't fully open up to. That way, if they leave, they never really had me.</t>
        </is>
      </c>
      <c r="L206" s="2" t="n">
        <v>8</v>
      </c>
      <c r="M206" s="2" t="n">
        <v>8</v>
      </c>
      <c r="N206" s="2" t="n">
        <v>4</v>
      </c>
      <c r="O206" s="2" t="n">
        <v>4</v>
      </c>
      <c r="P206" s="2" t="n">
        <v>2</v>
      </c>
      <c r="Q206" s="2" t="inlineStr">
        <is>
          <t>Icebox</t>
        </is>
      </c>
      <c r="R206" s="2" t="n">
        <v>1</v>
      </c>
      <c r="S206" s="2" t="n"/>
      <c r="T206" s="2" t="n"/>
      <c r="U206" s="2" t="n">
        <v>0</v>
      </c>
      <c r="V206" s="2" t="inlineStr">
        <is>
          <t>masc:1.8;fem:-1.6</t>
        </is>
      </c>
      <c r="W206" s="2" t="n">
        <v>1.8</v>
      </c>
      <c r="X206" s="2" t="n">
        <v>-1.6</v>
      </c>
      <c r="Y206" s="2" t="inlineStr">
        <is>
          <t>COMM_Avoidant</t>
        </is>
      </c>
      <c r="Z206" s="2" t="inlineStr">
        <is>
          <t>REG_Suppressor</t>
        </is>
      </c>
      <c r="AA206" s="2" t="inlineStr">
        <is>
          <t>LANG_Time</t>
        </is>
      </c>
      <c r="AB206" s="2" t="n"/>
      <c r="AC206" s="2" t="n"/>
      <c r="AD206" s="2" t="n"/>
      <c r="AE206" s="2" t="n">
        <v>0</v>
      </c>
      <c r="AF206" s="2" t="inlineStr">
        <is>
          <t>emotional exit strategy</t>
        </is>
      </c>
      <c r="AG206" s="2" t="inlineStr">
        <is>
          <t>risk avoider</t>
        </is>
      </c>
      <c r="AH206" s="2" t="n">
        <v>0.2</v>
      </c>
      <c r="AI206" s="2" t="inlineStr">
        <is>
          <t>no</t>
        </is>
      </c>
      <c r="AJ206" s="2" t="inlineStr">
        <is>
          <t>no</t>
        </is>
      </c>
      <c r="AK206" s="2" t="inlineStr">
        <is>
          <t>no</t>
        </is>
      </c>
      <c r="AL206" s="2" t="inlineStr">
        <is>
          <t>no</t>
        </is>
      </c>
      <c r="AM206" s="2" t="n"/>
      <c r="AN206" s="2" t="n"/>
      <c r="AO206" s="2" t="n"/>
      <c r="AP206" s="2" t="inlineStr">
        <is>
          <t>v3_2026-03-19</t>
        </is>
      </c>
      <c r="AQ206">
        <f>(L206-Schema_v5!$C2)/(Schema_v5!$C3-Schema_v5!$C2)</f>
        <v/>
      </c>
      <c r="AR206">
        <f>(M206-Schema_v5!$C4)/(Schema_v5!$C5-Schema_v5!$C4)</f>
        <v/>
      </c>
      <c r="AS206">
        <f>N206/Schema_v5!$C6</f>
        <v/>
      </c>
      <c r="AT206">
        <f>O206/Schema_v5!$C7</f>
        <v/>
      </c>
      <c r="AU206">
        <f>P206/Schema_v5!$C8</f>
        <v/>
      </c>
      <c r="AV206">
        <f>IF(Schema_v5!$C9=0,0,AH206/Schema_v5!$C9)</f>
        <v/>
      </c>
      <c r="AW206">
        <f>IF(Schema_v5!$C10=0,0,AE206/Schema_v5!$C10)</f>
        <v/>
      </c>
      <c r="AX206">
        <f>(W206-Schema_v5!$C11)/(Schema_v5!$C12-Schema_v5!$C11)</f>
        <v/>
      </c>
      <c r="AY206">
        <f>(X206-Schema_v5!$C13)/(Schema_v5!$C14-Schema_v5!$C13)</f>
        <v/>
      </c>
      <c r="AZ206">
        <f>MIN(1,MAX(0,U206/Schema_v7!$C$9))</f>
        <v/>
      </c>
      <c r="BA206">
        <f>IF(AJ206="yes",0.55,0)</f>
        <v/>
      </c>
      <c r="BB206">
        <f>IF(AI206="yes",0.10,0)</f>
        <v/>
      </c>
      <c r="BC206">
        <f>IF(Y206="COMM_Direct",0.92,IF(Y206="COMM_Emotional",0.70,IF(Y206="COMM_Logical",0.65,IF(Y206="COMM_Indirect",0.55,0.35))))</f>
        <v/>
      </c>
      <c r="BD206">
        <f>IF(Z206="REG_CoRegulator",0.92,IF(Z206="REG_SelfSoother",0.76,IF(Z206="REG_Distractor",0.48,0.35)))</f>
        <v/>
      </c>
      <c r="BE206">
        <f>IF(AA206="LANG_Time",0.76,IF(AA206="LANG_Service",0.70,IF(AA206="LANG_Words",0.72,IF(AA206="LANG_Touch",0.68,0.60))))</f>
        <v/>
      </c>
      <c r="BF206">
        <f>MAX(0,MIN(1,0.28*AS206+0.16*AT206+0.18*BC206+0.18*BD206+0.10*(1-AZ206)+0.10*(1-BA206)+BB206))</f>
        <v/>
      </c>
      <c r="BG206">
        <f>MAX(0,MIN(1,0.24*AU206+0.18*AS206+0.18*BC206+0.20*BD206+0.10*(1-AW206)+0.10*(1-BA206)))</f>
        <v/>
      </c>
      <c r="BH206">
        <f>MAX(0,MIN(1,0.28*AR206+0.18*AT206+0.16*AU206+0.18*(1-AV206)+0.10*(1-AW206)+0.10*BF206))</f>
        <v/>
      </c>
      <c r="BI206">
        <f>MAX(0,MIN(1,0.30*AV206+0.20*AZ206+0.20*AW206+0.15*(1-BH206)+0.15*(1-BO206)))</f>
        <v/>
      </c>
      <c r="BJ206">
        <f>MAX(0,1-(ABS(((( AX206+AY206)/2)-0.55)*1.6)))</f>
        <v/>
      </c>
      <c r="BK206">
        <f>MAX(0,MIN(1,0.28*AR206+0.18*AT206+0.16*BJ206+0.14*(1-AV206)+0.12*BQ206+0.12*BO206))</f>
        <v/>
      </c>
      <c r="BL206">
        <f>MAX(0,MIN(1,0.22*AQ206+0.18*AS206+0.18*BC206+0.18*BD206+0.08*BE206+0.10*BF206+0.06*BO206))</f>
        <v/>
      </c>
      <c r="BM206">
        <f>MAX(0,MIN(1,0.20*(1-AZ206)+0.16*(1-BA206)+0.14*(1-AW206)+0.14*AU206+0.18*BG206+0.10*BH206+0.08*BP206))</f>
        <v/>
      </c>
      <c r="BN206">
        <f>MAX(0,MIN(1,0.42*BJ206+0.33*BK206+0.15*AT206+0.10*BQ206))</f>
        <v/>
      </c>
      <c r="BO206">
        <f>MAX(0,MIN(1,0.30*BC206+0.24*BD206+0.18*AS206+0.14*(1-BI206)+0.14*AT206))</f>
        <v/>
      </c>
      <c r="BP206">
        <f>MAX(0,MIN(1,0.26*AS206+0.20*(1-BA206)+0.16*(1-AW206)+0.18*BG206+0.10*AU206+0.10+BB206))</f>
        <v/>
      </c>
      <c r="BQ206">
        <f>MAX(0,MIN(1,0.24*AT206+0.18*BF206+0.14*AR206+0.14*BO206+0.14*(1-AV206)+0.16*(1-AZ206)))</f>
        <v/>
      </c>
      <c r="BR206">
        <f>IF(BO206&gt;=0.80,"Open",IF(BO206&gt;=0.62,"Measured",IF(BO206&gt;=0.45,"Selective","Guarded")))</f>
        <v/>
      </c>
      <c r="BS206">
        <f>IF(Y206="COMM_Direct","Direct",IF(Y206="COMM_Emotional","Emotional",IF(Y206="COMM_Logical","Logical",IF(Y206="COMM_Indirect","Indirect","Avoidant"))))</f>
        <v/>
      </c>
      <c r="BT206">
        <f>IF(BG206&gt;=0.78,"Co-repair",IF(BG206&gt;=0.58,"Re-engage",IF(BG206&gt;=0.40,"Delay","Suppress")))</f>
        <v/>
      </c>
      <c r="BU206">
        <f>IF(BI206&gt;=0.70,"Retreat-risk",IF(BH206&lt;=0.40,"Rush-risk",IF(BH206&gt;=0.65,"Slow-build","Mixed")))</f>
        <v/>
      </c>
      <c r="BV206">
        <f>IF(BL206-BM206&gt;=0.15,"Stimulation-seeking",IF(BM206-BL206&gt;=0.15,"Calm-seeking","Mixed")))</f>
        <v/>
      </c>
      <c r="BW206">
        <f>IF(AND(BL206&gt;=0.72,BM206&lt;0.48),"High",IF(AND(BL206&gt;=0.60,BM206&lt;0.58),"Medium","Low"))</f>
        <v/>
      </c>
    </row>
    <row r="207" ht="94.5" customHeight="1" s="10">
      <c r="A207" s="2" t="inlineStr">
        <is>
          <t>Q42_A</t>
        </is>
      </c>
      <c r="B207" s="2" t="n">
        <v>42</v>
      </c>
      <c r="C207" s="2" t="n">
        <v>42</v>
      </c>
      <c r="D207" s="2" t="inlineStr">
        <is>
          <t>Core</t>
        </is>
      </c>
      <c r="E207" s="2" t="n">
        <v>1.3</v>
      </c>
      <c r="F207" s="2" t="inlineStr">
        <is>
          <t>EmotionalNeeds</t>
        </is>
      </c>
      <c r="G207" s="2" t="inlineStr">
        <is>
          <t>IntimacyThreshold</t>
        </is>
      </c>
      <c r="H207" s="2" t="inlineStr">
        <is>
          <t>What part of your personality do you secretly think makes you harder to love?</t>
        </is>
      </c>
      <c r="I207" s="2" t="inlineStr">
        <is>
          <t>A</t>
        </is>
      </c>
      <c r="J207" s="2" t="inlineStr">
        <is>
          <t>A</t>
        </is>
      </c>
      <c r="K207" s="2" t="inlineStr">
        <is>
          <t>I don't let people in all the way. Even when I care, I keep a part of me tucked away.</t>
        </is>
      </c>
      <c r="L207" s="2" t="n">
        <v>7</v>
      </c>
      <c r="M207" s="2" t="n">
        <v>8</v>
      </c>
      <c r="N207" s="2" t="n">
        <v>4</v>
      </c>
      <c r="O207" s="2" t="n">
        <v>4</v>
      </c>
      <c r="P207" s="2" t="n">
        <v>0</v>
      </c>
      <c r="Q207" s="2" t="inlineStr">
        <is>
          <t>Icebox</t>
        </is>
      </c>
      <c r="R207" s="2" t="n">
        <v>1</v>
      </c>
      <c r="S207" s="2" t="n"/>
      <c r="T207" s="2" t="n"/>
      <c r="U207" s="2" t="n">
        <v>0</v>
      </c>
      <c r="V207" s="2" t="inlineStr">
        <is>
          <t>masc:1.8;fem:-1.6</t>
        </is>
      </c>
      <c r="W207" s="2" t="n">
        <v>1.8</v>
      </c>
      <c r="X207" s="2" t="n">
        <v>-1.6</v>
      </c>
      <c r="Y207" s="2" t="inlineStr">
        <is>
          <t>COMM_Avoidant</t>
        </is>
      </c>
      <c r="Z207" s="2" t="inlineStr">
        <is>
          <t>REG_Suppressor</t>
        </is>
      </c>
      <c r="AA207" s="2" t="inlineStr">
        <is>
          <t>LANG_Time</t>
        </is>
      </c>
      <c r="AB207" s="2" t="n"/>
      <c r="AC207" s="2" t="n"/>
      <c r="AD207" s="2" t="n"/>
      <c r="AE207" s="2" t="n">
        <v>0</v>
      </c>
      <c r="AF207" s="2" t="inlineStr">
        <is>
          <t>controlled vulnerability</t>
        </is>
      </c>
      <c r="AG207" s="2" t="inlineStr">
        <is>
          <t>emotional protector</t>
        </is>
      </c>
      <c r="AH207" s="2" t="n">
        <v>0</v>
      </c>
      <c r="AI207" s="2" t="inlineStr">
        <is>
          <t>no</t>
        </is>
      </c>
      <c r="AJ207" s="2" t="inlineStr">
        <is>
          <t>no</t>
        </is>
      </c>
      <c r="AK207" s="2" t="inlineStr">
        <is>
          <t>no</t>
        </is>
      </c>
      <c r="AL207" s="2" t="inlineStr">
        <is>
          <t>no</t>
        </is>
      </c>
      <c r="AM207" s="2" t="n"/>
      <c r="AN207" s="2" t="n"/>
      <c r="AO207" s="2" t="n"/>
      <c r="AP207" s="2" t="inlineStr">
        <is>
          <t>v3_2026-03-19</t>
        </is>
      </c>
      <c r="AQ207">
        <f>(L207-Schema_v5!$C2)/(Schema_v5!$C3-Schema_v5!$C2)</f>
        <v/>
      </c>
      <c r="AR207">
        <f>(M207-Schema_v5!$C4)/(Schema_v5!$C5-Schema_v5!$C4)</f>
        <v/>
      </c>
      <c r="AS207">
        <f>N207/Schema_v5!$C6</f>
        <v/>
      </c>
      <c r="AT207">
        <f>O207/Schema_v5!$C7</f>
        <v/>
      </c>
      <c r="AU207">
        <f>P207/Schema_v5!$C8</f>
        <v/>
      </c>
      <c r="AV207">
        <f>IF(Schema_v5!$C9=0,0,AH207/Schema_v5!$C9)</f>
        <v/>
      </c>
      <c r="AW207">
        <f>IF(Schema_v5!$C10=0,0,AE207/Schema_v5!$C10)</f>
        <v/>
      </c>
      <c r="AX207">
        <f>(W207-Schema_v5!$C11)/(Schema_v5!$C12-Schema_v5!$C11)</f>
        <v/>
      </c>
      <c r="AY207">
        <f>(X207-Schema_v5!$C13)/(Schema_v5!$C14-Schema_v5!$C13)</f>
        <v/>
      </c>
      <c r="AZ207">
        <f>MIN(1,MAX(0,U207/Schema_v7!$C$9))</f>
        <v/>
      </c>
      <c r="BA207">
        <f>IF(AJ207="yes",0.55,0)</f>
        <v/>
      </c>
      <c r="BB207">
        <f>IF(AI207="yes",0.10,0)</f>
        <v/>
      </c>
      <c r="BC207">
        <f>IF(Y207="COMM_Direct",0.92,IF(Y207="COMM_Emotional",0.70,IF(Y207="COMM_Logical",0.65,IF(Y207="COMM_Indirect",0.55,0.35))))</f>
        <v/>
      </c>
      <c r="BD207">
        <f>IF(Z207="REG_CoRegulator",0.92,IF(Z207="REG_SelfSoother",0.76,IF(Z207="REG_Distractor",0.48,0.35)))</f>
        <v/>
      </c>
      <c r="BE207">
        <f>IF(AA207="LANG_Time",0.76,IF(AA207="LANG_Service",0.70,IF(AA207="LANG_Words",0.72,IF(AA207="LANG_Touch",0.68,0.60))))</f>
        <v/>
      </c>
      <c r="BF207">
        <f>MAX(0,MIN(1,0.28*AS207+0.16*AT207+0.18*BC207+0.18*BD207+0.10*(1-AZ207)+0.10*(1-BA207)+BB207))</f>
        <v/>
      </c>
      <c r="BG207">
        <f>MAX(0,MIN(1,0.24*AU207+0.18*AS207+0.18*BC207+0.20*BD207+0.10*(1-AW207)+0.10*(1-BA207)))</f>
        <v/>
      </c>
      <c r="BH207">
        <f>MAX(0,MIN(1,0.28*AR207+0.18*AT207+0.16*AU207+0.18*(1-AV207)+0.10*(1-AW207)+0.10*BF207))</f>
        <v/>
      </c>
      <c r="BI207">
        <f>MAX(0,MIN(1,0.30*AV207+0.20*AZ207+0.20*AW207+0.15*(1-BH207)+0.15*(1-BO207)))</f>
        <v/>
      </c>
      <c r="BJ207">
        <f>MAX(0,1-(ABS(((( AX207+AY207)/2)-0.55)*1.6)))</f>
        <v/>
      </c>
      <c r="BK207">
        <f>MAX(0,MIN(1,0.28*AR207+0.18*AT207+0.16*BJ207+0.14*(1-AV207)+0.12*BQ207+0.12*BO207))</f>
        <v/>
      </c>
      <c r="BL207">
        <f>MAX(0,MIN(1,0.22*AQ207+0.18*AS207+0.18*BC207+0.18*BD207+0.08*BE207+0.10*BF207+0.06*BO207))</f>
        <v/>
      </c>
      <c r="BM207">
        <f>MAX(0,MIN(1,0.20*(1-AZ207)+0.16*(1-BA207)+0.14*(1-AW207)+0.14*AU207+0.18*BG207+0.10*BH207+0.08*BP207))</f>
        <v/>
      </c>
      <c r="BN207">
        <f>MAX(0,MIN(1,0.42*BJ207+0.33*BK207+0.15*AT207+0.10*BQ207))</f>
        <v/>
      </c>
      <c r="BO207">
        <f>MAX(0,MIN(1,0.30*BC207+0.24*BD207+0.18*AS207+0.14*(1-BI207)+0.14*AT207))</f>
        <v/>
      </c>
      <c r="BP207">
        <f>MAX(0,MIN(1,0.26*AS207+0.20*(1-BA207)+0.16*(1-AW207)+0.18*BG207+0.10*AU207+0.10+BB207))</f>
        <v/>
      </c>
      <c r="BQ207">
        <f>MAX(0,MIN(1,0.24*AT207+0.18*BF207+0.14*AR207+0.14*BO207+0.14*(1-AV207)+0.16*(1-AZ207)))</f>
        <v/>
      </c>
      <c r="BR207">
        <f>IF(BO207&gt;=0.80,"Open",IF(BO207&gt;=0.62,"Measured",IF(BO207&gt;=0.45,"Selective","Guarded")))</f>
        <v/>
      </c>
      <c r="BS207">
        <f>IF(Y207="COMM_Direct","Direct",IF(Y207="COMM_Emotional","Emotional",IF(Y207="COMM_Logical","Logical",IF(Y207="COMM_Indirect","Indirect","Avoidant"))))</f>
        <v/>
      </c>
      <c r="BT207">
        <f>IF(BG207&gt;=0.78,"Co-repair",IF(BG207&gt;=0.58,"Re-engage",IF(BG207&gt;=0.40,"Delay","Suppress")))</f>
        <v/>
      </c>
      <c r="BU207">
        <f>IF(BI207&gt;=0.70,"Retreat-risk",IF(BH207&lt;=0.40,"Rush-risk",IF(BH207&gt;=0.65,"Slow-build","Mixed")))</f>
        <v/>
      </c>
      <c r="BV207">
        <f>IF(BL207-BM207&gt;=0.15,"Stimulation-seeking",IF(BM207-BL207&gt;=0.15,"Calm-seeking","Mixed")))</f>
        <v/>
      </c>
      <c r="BW207">
        <f>IF(AND(BL207&gt;=0.72,BM207&lt;0.48),"High",IF(AND(BL207&gt;=0.60,BM207&lt;0.58),"Medium","Low"))</f>
        <v/>
      </c>
    </row>
    <row r="208" ht="94.5" customHeight="1" s="10">
      <c r="A208" s="2" t="inlineStr">
        <is>
          <t>Q42_B</t>
        </is>
      </c>
      <c r="B208" s="2" t="n">
        <v>42</v>
      </c>
      <c r="C208" s="2" t="n">
        <v>42</v>
      </c>
      <c r="D208" s="2" t="inlineStr">
        <is>
          <t>Core</t>
        </is>
      </c>
      <c r="E208" s="2" t="n">
        <v>1.3</v>
      </c>
      <c r="F208" s="2" t="inlineStr">
        <is>
          <t>EmotionalNeeds</t>
        </is>
      </c>
      <c r="G208" s="2" t="inlineStr">
        <is>
          <t>IntimacyThreshold</t>
        </is>
      </c>
      <c r="H208" s="2" t="n"/>
      <c r="I208" s="2" t="inlineStr">
        <is>
          <t>B</t>
        </is>
      </c>
      <c r="J208" s="2" t="inlineStr">
        <is>
          <t>B</t>
        </is>
      </c>
      <c r="K208" s="2" t="inlineStr">
        <is>
          <t>I overthink everything. Even when things are good, my mind finds the cracks.</t>
        </is>
      </c>
      <c r="L208" s="2" t="n">
        <v>6</v>
      </c>
      <c r="M208" s="2" t="n">
        <v>7</v>
      </c>
      <c r="N208" s="2" t="n">
        <v>4</v>
      </c>
      <c r="O208" s="2" t="n">
        <v>6</v>
      </c>
      <c r="P208" s="2" t="n">
        <v>4</v>
      </c>
      <c r="Q208" s="2" t="inlineStr">
        <is>
          <t>Analyzer</t>
        </is>
      </c>
      <c r="R208" s="2" t="n">
        <v>2</v>
      </c>
      <c r="S208" s="2" t="n"/>
      <c r="T208" s="2" t="n"/>
      <c r="U208" s="2" t="n">
        <v>0</v>
      </c>
      <c r="V208" s="2" t="inlineStr">
        <is>
          <t>masc:1.4;fem:0.1</t>
        </is>
      </c>
      <c r="W208" s="2" t="n">
        <v>1.4</v>
      </c>
      <c r="X208" s="2" t="n">
        <v>0.1</v>
      </c>
      <c r="Y208" s="2" t="inlineStr">
        <is>
          <t>COMM_Logical</t>
        </is>
      </c>
      <c r="Z208" s="2" t="inlineStr">
        <is>
          <t>REG_SelfSoother</t>
        </is>
      </c>
      <c r="AA208" s="2" t="inlineStr">
        <is>
          <t>LANG_Service</t>
        </is>
      </c>
      <c r="AB208" s="2" t="inlineStr">
        <is>
          <t>Vulnerability_Loop</t>
        </is>
      </c>
      <c r="AC208" s="2" t="inlineStr">
        <is>
          <t>Vulnerability_Loop</t>
        </is>
      </c>
      <c r="AD208" s="2" t="n"/>
      <c r="AE208" s="2" t="n">
        <v>5</v>
      </c>
      <c r="AF208" s="2" t="inlineStr">
        <is>
          <t>hyper-awareness loop</t>
        </is>
      </c>
      <c r="AG208" s="2" t="inlineStr">
        <is>
          <t>doubt scanner</t>
        </is>
      </c>
      <c r="AH208" s="2" t="n">
        <v>0</v>
      </c>
      <c r="AI208" s="2" t="inlineStr">
        <is>
          <t>yes</t>
        </is>
      </c>
      <c r="AJ208" s="2" t="inlineStr">
        <is>
          <t>no</t>
        </is>
      </c>
      <c r="AK208" s="2" t="inlineStr">
        <is>
          <t>no</t>
        </is>
      </c>
      <c r="AL208" s="2" t="inlineStr">
        <is>
          <t>no</t>
        </is>
      </c>
      <c r="AM208" s="2" t="n"/>
      <c r="AN208" s="2" t="n"/>
      <c r="AO208" s="2" t="n"/>
      <c r="AP208" s="2" t="inlineStr">
        <is>
          <t>v3_2026-03-19</t>
        </is>
      </c>
      <c r="AQ208">
        <f>(L208-Schema_v5!$C2)/(Schema_v5!$C3-Schema_v5!$C2)</f>
        <v/>
      </c>
      <c r="AR208">
        <f>(M208-Schema_v5!$C4)/(Schema_v5!$C5-Schema_v5!$C4)</f>
        <v/>
      </c>
      <c r="AS208">
        <f>N208/Schema_v5!$C6</f>
        <v/>
      </c>
      <c r="AT208">
        <f>O208/Schema_v5!$C7</f>
        <v/>
      </c>
      <c r="AU208">
        <f>P208/Schema_v5!$C8</f>
        <v/>
      </c>
      <c r="AV208">
        <f>IF(Schema_v5!$C9=0,0,AH208/Schema_v5!$C9)</f>
        <v/>
      </c>
      <c r="AW208">
        <f>IF(Schema_v5!$C10=0,0,AE208/Schema_v5!$C10)</f>
        <v/>
      </c>
      <c r="AX208">
        <f>(W208-Schema_v5!$C11)/(Schema_v5!$C12-Schema_v5!$C11)</f>
        <v/>
      </c>
      <c r="AY208">
        <f>(X208-Schema_v5!$C13)/(Schema_v5!$C14-Schema_v5!$C13)</f>
        <v/>
      </c>
      <c r="AZ208">
        <f>MIN(1,MAX(0,U208/Schema_v7!$C$9))</f>
        <v/>
      </c>
      <c r="BA208">
        <f>IF(AJ208="yes",0.55,0)</f>
        <v/>
      </c>
      <c r="BB208">
        <f>IF(AI208="yes",0.10,0)</f>
        <v/>
      </c>
      <c r="BC208">
        <f>IF(Y208="COMM_Direct",0.92,IF(Y208="COMM_Emotional",0.70,IF(Y208="COMM_Logical",0.65,IF(Y208="COMM_Indirect",0.55,0.35))))</f>
        <v/>
      </c>
      <c r="BD208">
        <f>IF(Z208="REG_CoRegulator",0.92,IF(Z208="REG_SelfSoother",0.76,IF(Z208="REG_Distractor",0.48,0.35)))</f>
        <v/>
      </c>
      <c r="BE208">
        <f>IF(AA208="LANG_Time",0.76,IF(AA208="LANG_Service",0.70,IF(AA208="LANG_Words",0.72,IF(AA208="LANG_Touch",0.68,0.60))))</f>
        <v/>
      </c>
      <c r="BF208">
        <f>MAX(0,MIN(1,0.28*AS208+0.16*AT208+0.18*BC208+0.18*BD208+0.10*(1-AZ208)+0.10*(1-BA208)+BB208))</f>
        <v/>
      </c>
      <c r="BG208">
        <f>MAX(0,MIN(1,0.24*AU208+0.18*AS208+0.18*BC208+0.20*BD208+0.10*(1-AW208)+0.10*(1-BA208)))</f>
        <v/>
      </c>
      <c r="BH208">
        <f>MAX(0,MIN(1,0.28*AR208+0.18*AT208+0.16*AU208+0.18*(1-AV208)+0.10*(1-AW208)+0.10*BF208))</f>
        <v/>
      </c>
      <c r="BI208">
        <f>MAX(0,MIN(1,0.30*AV208+0.20*AZ208+0.20*AW208+0.15*(1-BH208)+0.15*(1-BO208)))</f>
        <v/>
      </c>
      <c r="BJ208">
        <f>MAX(0,1-(ABS(((( AX208+AY208)/2)-0.55)*1.6)))</f>
        <v/>
      </c>
      <c r="BK208">
        <f>MAX(0,MIN(1,0.28*AR208+0.18*AT208+0.16*BJ208+0.14*(1-AV208)+0.12*BQ208+0.12*BO208))</f>
        <v/>
      </c>
      <c r="BL208">
        <f>MAX(0,MIN(1,0.22*AQ208+0.18*AS208+0.18*BC208+0.18*BD208+0.08*BE208+0.10*BF208+0.06*BO208))</f>
        <v/>
      </c>
      <c r="BM208">
        <f>MAX(0,MIN(1,0.20*(1-AZ208)+0.16*(1-BA208)+0.14*(1-AW208)+0.14*AU208+0.18*BG208+0.10*BH208+0.08*BP208))</f>
        <v/>
      </c>
      <c r="BN208">
        <f>MAX(0,MIN(1,0.42*BJ208+0.33*BK208+0.15*AT208+0.10*BQ208))</f>
        <v/>
      </c>
      <c r="BO208">
        <f>MAX(0,MIN(1,0.30*BC208+0.24*BD208+0.18*AS208+0.14*(1-BI208)+0.14*AT208))</f>
        <v/>
      </c>
      <c r="BP208">
        <f>MAX(0,MIN(1,0.26*AS208+0.20*(1-BA208)+0.16*(1-AW208)+0.18*BG208+0.10*AU208+0.10+BB208))</f>
        <v/>
      </c>
      <c r="BQ208">
        <f>MAX(0,MIN(1,0.24*AT208+0.18*BF208+0.14*AR208+0.14*BO208+0.14*(1-AV208)+0.16*(1-AZ208)))</f>
        <v/>
      </c>
      <c r="BR208">
        <f>IF(BO208&gt;=0.80,"Open",IF(BO208&gt;=0.62,"Measured",IF(BO208&gt;=0.45,"Selective","Guarded")))</f>
        <v/>
      </c>
      <c r="BS208">
        <f>IF(Y208="COMM_Direct","Direct",IF(Y208="COMM_Emotional","Emotional",IF(Y208="COMM_Logical","Logical",IF(Y208="COMM_Indirect","Indirect","Avoidant"))))</f>
        <v/>
      </c>
      <c r="BT208">
        <f>IF(BG208&gt;=0.78,"Co-repair",IF(BG208&gt;=0.58,"Re-engage",IF(BG208&gt;=0.40,"Delay","Suppress")))</f>
        <v/>
      </c>
      <c r="BU208">
        <f>IF(BI208&gt;=0.70,"Retreat-risk",IF(BH208&lt;=0.40,"Rush-risk",IF(BH208&gt;=0.65,"Slow-build","Mixed")))</f>
        <v/>
      </c>
      <c r="BV208">
        <f>IF(BL208-BM208&gt;=0.15,"Stimulation-seeking",IF(BM208-BL208&gt;=0.15,"Calm-seeking","Mixed")))</f>
        <v/>
      </c>
      <c r="BW208">
        <f>IF(AND(BL208&gt;=0.72,BM208&lt;0.48),"High",IF(AND(BL208&gt;=0.60,BM208&lt;0.58),"Medium","Low"))</f>
        <v/>
      </c>
    </row>
    <row r="209" ht="94.5" customHeight="1" s="10">
      <c r="A209" s="2" t="inlineStr">
        <is>
          <t>Q42_C</t>
        </is>
      </c>
      <c r="B209" s="2" t="n">
        <v>42</v>
      </c>
      <c r="C209" s="2" t="n">
        <v>42</v>
      </c>
      <c r="D209" s="2" t="inlineStr">
        <is>
          <t>Core</t>
        </is>
      </c>
      <c r="E209" s="2" t="n">
        <v>1.3</v>
      </c>
      <c r="F209" s="2" t="inlineStr">
        <is>
          <t>EmotionalNeeds</t>
        </is>
      </c>
      <c r="G209" s="2" t="inlineStr">
        <is>
          <t>IntimacyThreshold</t>
        </is>
      </c>
      <c r="H209" s="2" t="n"/>
      <c r="I209" s="2" t="inlineStr">
        <is>
          <t>C</t>
        </is>
      </c>
      <c r="J209" s="2" t="inlineStr">
        <is>
          <t>C</t>
        </is>
      </c>
      <c r="K209" s="2" t="inlineStr">
        <is>
          <t>I give too much. I show up too hard, too fast, and it never feels like it's enough.</t>
        </is>
      </c>
      <c r="L209" s="2" t="n">
        <v>6</v>
      </c>
      <c r="M209" s="2" t="n">
        <v>7</v>
      </c>
      <c r="N209" s="2" t="n">
        <v>4</v>
      </c>
      <c r="O209" s="2" t="n">
        <v>6</v>
      </c>
      <c r="P209" s="2" t="n">
        <v>4</v>
      </c>
      <c r="Q209" s="2" t="inlineStr">
        <is>
          <t>Fixer</t>
        </is>
      </c>
      <c r="R209" s="2" t="n">
        <v>5</v>
      </c>
      <c r="S209" s="2" t="n"/>
      <c r="T209" s="2" t="n"/>
      <c r="U209" s="2" t="n">
        <v>0</v>
      </c>
      <c r="V209" s="2" t="inlineStr">
        <is>
          <t>masc:-0.4;fem:2.0</t>
        </is>
      </c>
      <c r="W209" s="2" t="n">
        <v>-0.4</v>
      </c>
      <c r="X209" s="2" t="n">
        <v>2</v>
      </c>
      <c r="Y209" s="2" t="inlineStr">
        <is>
          <t>COMM_Emotional</t>
        </is>
      </c>
      <c r="Z209" s="2" t="inlineStr">
        <is>
          <t>REG_CoRegulator</t>
        </is>
      </c>
      <c r="AA209" s="2" t="inlineStr">
        <is>
          <t>LANG_Service</t>
        </is>
      </c>
      <c r="AB209" s="2" t="inlineStr">
        <is>
          <t>Vulnerability_Loop</t>
        </is>
      </c>
      <c r="AC209" s="2" t="inlineStr">
        <is>
          <t>Vulnerability_Loop</t>
        </is>
      </c>
      <c r="AD209" s="2" t="n"/>
      <c r="AE209" s="2" t="n">
        <v>5</v>
      </c>
      <c r="AF209" s="2" t="inlineStr">
        <is>
          <t>emotional overexertion</t>
        </is>
      </c>
      <c r="AG209" s="2" t="inlineStr">
        <is>
          <t>approval laborer</t>
        </is>
      </c>
      <c r="AH209" s="2" t="n">
        <v>0</v>
      </c>
      <c r="AI209" s="2" t="inlineStr">
        <is>
          <t>yes</t>
        </is>
      </c>
      <c r="AJ209" s="2" t="inlineStr">
        <is>
          <t>no</t>
        </is>
      </c>
      <c r="AK209" s="2" t="inlineStr">
        <is>
          <t>no</t>
        </is>
      </c>
      <c r="AL209" s="2" t="inlineStr">
        <is>
          <t>no</t>
        </is>
      </c>
      <c r="AM209" s="2" t="n"/>
      <c r="AN209" s="2" t="n"/>
      <c r="AO209" s="2" t="n"/>
      <c r="AP209" s="2" t="inlineStr">
        <is>
          <t>v3_2026-03-19</t>
        </is>
      </c>
      <c r="AQ209">
        <f>(L209-Schema_v5!$C2)/(Schema_v5!$C3-Schema_v5!$C2)</f>
        <v/>
      </c>
      <c r="AR209">
        <f>(M209-Schema_v5!$C4)/(Schema_v5!$C5-Schema_v5!$C4)</f>
        <v/>
      </c>
      <c r="AS209">
        <f>N209/Schema_v5!$C6</f>
        <v/>
      </c>
      <c r="AT209">
        <f>O209/Schema_v5!$C7</f>
        <v/>
      </c>
      <c r="AU209">
        <f>P209/Schema_v5!$C8</f>
        <v/>
      </c>
      <c r="AV209">
        <f>IF(Schema_v5!$C9=0,0,AH209/Schema_v5!$C9)</f>
        <v/>
      </c>
      <c r="AW209">
        <f>IF(Schema_v5!$C10=0,0,AE209/Schema_v5!$C10)</f>
        <v/>
      </c>
      <c r="AX209">
        <f>(W209-Schema_v5!$C11)/(Schema_v5!$C12-Schema_v5!$C11)</f>
        <v/>
      </c>
      <c r="AY209">
        <f>(X209-Schema_v5!$C13)/(Schema_v5!$C14-Schema_v5!$C13)</f>
        <v/>
      </c>
      <c r="AZ209">
        <f>MIN(1,MAX(0,U209/Schema_v7!$C$9))</f>
        <v/>
      </c>
      <c r="BA209">
        <f>IF(AJ209="yes",0.55,0)</f>
        <v/>
      </c>
      <c r="BB209">
        <f>IF(AI209="yes",0.10,0)</f>
        <v/>
      </c>
      <c r="BC209">
        <f>IF(Y209="COMM_Direct",0.92,IF(Y209="COMM_Emotional",0.70,IF(Y209="COMM_Logical",0.65,IF(Y209="COMM_Indirect",0.55,0.35))))</f>
        <v/>
      </c>
      <c r="BD209">
        <f>IF(Z209="REG_CoRegulator",0.92,IF(Z209="REG_SelfSoother",0.76,IF(Z209="REG_Distractor",0.48,0.35)))</f>
        <v/>
      </c>
      <c r="BE209">
        <f>IF(AA209="LANG_Time",0.76,IF(AA209="LANG_Service",0.70,IF(AA209="LANG_Words",0.72,IF(AA209="LANG_Touch",0.68,0.60))))</f>
        <v/>
      </c>
      <c r="BF209">
        <f>MAX(0,MIN(1,0.28*AS209+0.16*AT209+0.18*BC209+0.18*BD209+0.10*(1-AZ209)+0.10*(1-BA209)+BB209))</f>
        <v/>
      </c>
      <c r="BG209">
        <f>MAX(0,MIN(1,0.24*AU209+0.18*AS209+0.18*BC209+0.20*BD209+0.10*(1-AW209)+0.10*(1-BA209)))</f>
        <v/>
      </c>
      <c r="BH209">
        <f>MAX(0,MIN(1,0.28*AR209+0.18*AT209+0.16*AU209+0.18*(1-AV209)+0.10*(1-AW209)+0.10*BF209))</f>
        <v/>
      </c>
      <c r="BI209">
        <f>MAX(0,MIN(1,0.30*AV209+0.20*AZ209+0.20*AW209+0.15*(1-BH209)+0.15*(1-BO209)))</f>
        <v/>
      </c>
      <c r="BJ209">
        <f>MAX(0,1-(ABS(((( AX209+AY209)/2)-0.55)*1.6)))</f>
        <v/>
      </c>
      <c r="BK209">
        <f>MAX(0,MIN(1,0.28*AR209+0.18*AT209+0.16*BJ209+0.14*(1-AV209)+0.12*BQ209+0.12*BO209))</f>
        <v/>
      </c>
      <c r="BL209">
        <f>MAX(0,MIN(1,0.22*AQ209+0.18*AS209+0.18*BC209+0.18*BD209+0.08*BE209+0.10*BF209+0.06*BO209))</f>
        <v/>
      </c>
      <c r="BM209">
        <f>MAX(0,MIN(1,0.20*(1-AZ209)+0.16*(1-BA209)+0.14*(1-AW209)+0.14*AU209+0.18*BG209+0.10*BH209+0.08*BP209))</f>
        <v/>
      </c>
      <c r="BN209">
        <f>MAX(0,MIN(1,0.42*BJ209+0.33*BK209+0.15*AT209+0.10*BQ209))</f>
        <v/>
      </c>
      <c r="BO209">
        <f>MAX(0,MIN(1,0.30*BC209+0.24*BD209+0.18*AS209+0.14*(1-BI209)+0.14*AT209))</f>
        <v/>
      </c>
      <c r="BP209">
        <f>MAX(0,MIN(1,0.26*AS209+0.20*(1-BA209)+0.16*(1-AW209)+0.18*BG209+0.10*AU209+0.10+BB209))</f>
        <v/>
      </c>
      <c r="BQ209">
        <f>MAX(0,MIN(1,0.24*AT209+0.18*BF209+0.14*AR209+0.14*BO209+0.14*(1-AV209)+0.16*(1-AZ209)))</f>
        <v/>
      </c>
      <c r="BR209">
        <f>IF(BO209&gt;=0.80,"Open",IF(BO209&gt;=0.62,"Measured",IF(BO209&gt;=0.45,"Selective","Guarded")))</f>
        <v/>
      </c>
      <c r="BS209">
        <f>IF(Y209="COMM_Direct","Direct",IF(Y209="COMM_Emotional","Emotional",IF(Y209="COMM_Logical","Logical",IF(Y209="COMM_Indirect","Indirect","Avoidant"))))</f>
        <v/>
      </c>
      <c r="BT209">
        <f>IF(BG209&gt;=0.78,"Co-repair",IF(BG209&gt;=0.58,"Re-engage",IF(BG209&gt;=0.40,"Delay","Suppress")))</f>
        <v/>
      </c>
      <c r="BU209">
        <f>IF(BI209&gt;=0.70,"Retreat-risk",IF(BH209&lt;=0.40,"Rush-risk",IF(BH209&gt;=0.65,"Slow-build","Mixed")))</f>
        <v/>
      </c>
      <c r="BV209">
        <f>IF(BL209-BM209&gt;=0.15,"Stimulation-seeking",IF(BM209-BL209&gt;=0.15,"Calm-seeking","Mixed")))</f>
        <v/>
      </c>
      <c r="BW209">
        <f>IF(AND(BL209&gt;=0.72,BM209&lt;0.48),"High",IF(AND(BL209&gt;=0.60,BM209&lt;0.58),"Medium","Low"))</f>
        <v/>
      </c>
    </row>
    <row r="210" ht="148.5" customHeight="1" s="10">
      <c r="A210" s="2" t="inlineStr">
        <is>
          <t>Q42_D</t>
        </is>
      </c>
      <c r="B210" s="2" t="n">
        <v>42</v>
      </c>
      <c r="C210" s="2" t="n">
        <v>42</v>
      </c>
      <c r="D210" s="2" t="inlineStr">
        <is>
          <t>Core</t>
        </is>
      </c>
      <c r="E210" s="2" t="n">
        <v>1.3</v>
      </c>
      <c r="F210" s="2" t="inlineStr">
        <is>
          <t>EmotionalNeeds</t>
        </is>
      </c>
      <c r="G210" s="2" t="inlineStr">
        <is>
          <t>IntimacyThreshold</t>
        </is>
      </c>
      <c r="H210" s="2" t="n"/>
      <c r="I210" s="2" t="inlineStr">
        <is>
          <t>D</t>
        </is>
      </c>
      <c r="J210" s="2" t="inlineStr">
        <is>
          <t>D</t>
        </is>
      </c>
      <c r="K210" s="2" t="inlineStr">
        <is>
          <t>I second-guess my worth constantly. I know I come off cool, but underneath, I'm never really sure why anyone stays.</t>
        </is>
      </c>
      <c r="L210" s="2" t="n">
        <v>5</v>
      </c>
      <c r="M210" s="2" t="n">
        <v>6</v>
      </c>
      <c r="N210" s="2" t="n">
        <v>2</v>
      </c>
      <c r="O210" s="2" t="n">
        <v>4</v>
      </c>
      <c r="P210" s="2" t="n">
        <v>2</v>
      </c>
      <c r="Q210" s="2" t="inlineStr">
        <is>
          <t>Phantom Seeker</t>
        </is>
      </c>
      <c r="R210" s="2" t="n">
        <v>10</v>
      </c>
      <c r="S210" s="2" t="n"/>
      <c r="T210" s="2" t="n"/>
      <c r="U210" s="2" t="n">
        <v>0</v>
      </c>
      <c r="V210" s="2" t="inlineStr">
        <is>
          <t>masc:-0.2;fem:1.5</t>
        </is>
      </c>
      <c r="W210" s="2" t="n">
        <v>-0.2</v>
      </c>
      <c r="X210" s="2" t="n">
        <v>1.5</v>
      </c>
      <c r="Y210" s="2" t="inlineStr">
        <is>
          <t>COMM_Emotional</t>
        </is>
      </c>
      <c r="Z210" s="2" t="inlineStr">
        <is>
          <t>REG_SelfSoother</t>
        </is>
      </c>
      <c r="AA210" s="2" t="inlineStr">
        <is>
          <t>LANG_Touch</t>
        </is>
      </c>
      <c r="AB210" s="2" t="inlineStr">
        <is>
          <t>Vulnerability_Loop</t>
        </is>
      </c>
      <c r="AC210" s="2" t="inlineStr">
        <is>
          <t>Vulnerability_Loop</t>
        </is>
      </c>
      <c r="AD210" s="2" t="n"/>
      <c r="AE210" s="2" t="n">
        <v>5</v>
      </c>
      <c r="AF210" s="2" t="inlineStr">
        <is>
          <t>insecure core</t>
        </is>
      </c>
      <c r="AG210" s="2" t="inlineStr">
        <is>
          <t>internal doubter</t>
        </is>
      </c>
      <c r="AH210" s="2" t="n">
        <v>0.2</v>
      </c>
      <c r="AI210" s="2" t="inlineStr">
        <is>
          <t>yes</t>
        </is>
      </c>
      <c r="AJ210" s="2" t="inlineStr">
        <is>
          <t>no</t>
        </is>
      </c>
      <c r="AK210" s="2" t="inlineStr">
        <is>
          <t>no</t>
        </is>
      </c>
      <c r="AL210" s="2" t="inlineStr">
        <is>
          <t>no</t>
        </is>
      </c>
      <c r="AM210" s="2" t="n"/>
      <c r="AN210" s="2" t="n"/>
      <c r="AO210" s="2" t="n"/>
      <c r="AP210" s="2" t="inlineStr">
        <is>
          <t>v3_2026-03-19</t>
        </is>
      </c>
      <c r="AQ210">
        <f>(L210-Schema_v5!$C2)/(Schema_v5!$C3-Schema_v5!$C2)</f>
        <v/>
      </c>
      <c r="AR210">
        <f>(M210-Schema_v5!$C4)/(Schema_v5!$C5-Schema_v5!$C4)</f>
        <v/>
      </c>
      <c r="AS210">
        <f>N210/Schema_v5!$C6</f>
        <v/>
      </c>
      <c r="AT210">
        <f>O210/Schema_v5!$C7</f>
        <v/>
      </c>
      <c r="AU210">
        <f>P210/Schema_v5!$C8</f>
        <v/>
      </c>
      <c r="AV210">
        <f>IF(Schema_v5!$C9=0,0,AH210/Schema_v5!$C9)</f>
        <v/>
      </c>
      <c r="AW210">
        <f>IF(Schema_v5!$C10=0,0,AE210/Schema_v5!$C10)</f>
        <v/>
      </c>
      <c r="AX210">
        <f>(W210-Schema_v5!$C11)/(Schema_v5!$C12-Schema_v5!$C11)</f>
        <v/>
      </c>
      <c r="AY210">
        <f>(X210-Schema_v5!$C13)/(Schema_v5!$C14-Schema_v5!$C13)</f>
        <v/>
      </c>
      <c r="AZ210">
        <f>MIN(1,MAX(0,U210/Schema_v7!$C$9))</f>
        <v/>
      </c>
      <c r="BA210">
        <f>IF(AJ210="yes",0.55,0)</f>
        <v/>
      </c>
      <c r="BB210">
        <f>IF(AI210="yes",0.10,0)</f>
        <v/>
      </c>
      <c r="BC210">
        <f>IF(Y210="COMM_Direct",0.92,IF(Y210="COMM_Emotional",0.70,IF(Y210="COMM_Logical",0.65,IF(Y210="COMM_Indirect",0.55,0.35))))</f>
        <v/>
      </c>
      <c r="BD210">
        <f>IF(Z210="REG_CoRegulator",0.92,IF(Z210="REG_SelfSoother",0.76,IF(Z210="REG_Distractor",0.48,0.35)))</f>
        <v/>
      </c>
      <c r="BE210">
        <f>IF(AA210="LANG_Time",0.76,IF(AA210="LANG_Service",0.70,IF(AA210="LANG_Words",0.72,IF(AA210="LANG_Touch",0.68,0.60))))</f>
        <v/>
      </c>
      <c r="BF210">
        <f>MAX(0,MIN(1,0.28*AS210+0.16*AT210+0.18*BC210+0.18*BD210+0.10*(1-AZ210)+0.10*(1-BA210)+BB210))</f>
        <v/>
      </c>
      <c r="BG210">
        <f>MAX(0,MIN(1,0.24*AU210+0.18*AS210+0.18*BC210+0.20*BD210+0.10*(1-AW210)+0.10*(1-BA210)))</f>
        <v/>
      </c>
      <c r="BH210">
        <f>MAX(0,MIN(1,0.28*AR210+0.18*AT210+0.16*AU210+0.18*(1-AV210)+0.10*(1-AW210)+0.10*BF210))</f>
        <v/>
      </c>
      <c r="BI210">
        <f>MAX(0,MIN(1,0.30*AV210+0.20*AZ210+0.20*AW210+0.15*(1-BH210)+0.15*(1-BO210)))</f>
        <v/>
      </c>
      <c r="BJ210">
        <f>MAX(0,1-(ABS(((( AX210+AY210)/2)-0.55)*1.6)))</f>
        <v/>
      </c>
      <c r="BK210">
        <f>MAX(0,MIN(1,0.28*AR210+0.18*AT210+0.16*BJ210+0.14*(1-AV210)+0.12*BQ210+0.12*BO210))</f>
        <v/>
      </c>
      <c r="BL210">
        <f>MAX(0,MIN(1,0.22*AQ210+0.18*AS210+0.18*BC210+0.18*BD210+0.08*BE210+0.10*BF210+0.06*BO210))</f>
        <v/>
      </c>
      <c r="BM210">
        <f>MAX(0,MIN(1,0.20*(1-AZ210)+0.16*(1-BA210)+0.14*(1-AW210)+0.14*AU210+0.18*BG210+0.10*BH210+0.08*BP210))</f>
        <v/>
      </c>
      <c r="BN210">
        <f>MAX(0,MIN(1,0.42*BJ210+0.33*BK210+0.15*AT210+0.10*BQ210))</f>
        <v/>
      </c>
      <c r="BO210">
        <f>MAX(0,MIN(1,0.30*BC210+0.24*BD210+0.18*AS210+0.14*(1-BI210)+0.14*AT210))</f>
        <v/>
      </c>
      <c r="BP210">
        <f>MAX(0,MIN(1,0.26*AS210+0.20*(1-BA210)+0.16*(1-AW210)+0.18*BG210+0.10*AU210+0.10+BB210))</f>
        <v/>
      </c>
      <c r="BQ210">
        <f>MAX(0,MIN(1,0.24*AT210+0.18*BF210+0.14*AR210+0.14*BO210+0.14*(1-AV210)+0.16*(1-AZ210)))</f>
        <v/>
      </c>
      <c r="BR210">
        <f>IF(BO210&gt;=0.80,"Open",IF(BO210&gt;=0.62,"Measured",IF(BO210&gt;=0.45,"Selective","Guarded")))</f>
        <v/>
      </c>
      <c r="BS210">
        <f>IF(Y210="COMM_Direct","Direct",IF(Y210="COMM_Emotional","Emotional",IF(Y210="COMM_Logical","Logical",IF(Y210="COMM_Indirect","Indirect","Avoidant"))))</f>
        <v/>
      </c>
      <c r="BT210">
        <f>IF(BG210&gt;=0.78,"Co-repair",IF(BG210&gt;=0.58,"Re-engage",IF(BG210&gt;=0.40,"Delay","Suppress")))</f>
        <v/>
      </c>
      <c r="BU210">
        <f>IF(BI210&gt;=0.70,"Retreat-risk",IF(BH210&lt;=0.40,"Rush-risk",IF(BH210&gt;=0.65,"Slow-build","Mixed")))</f>
        <v/>
      </c>
      <c r="BV210">
        <f>IF(BL210-BM210&gt;=0.15,"Stimulation-seeking",IF(BM210-BL210&gt;=0.15,"Calm-seeking","Mixed")))</f>
        <v/>
      </c>
      <c r="BW210">
        <f>IF(AND(BL210&gt;=0.72,BM210&lt;0.48),"High",IF(AND(BL210&gt;=0.60,BM210&lt;0.58),"Medium","Low"))</f>
        <v/>
      </c>
    </row>
    <row r="211" ht="108" customHeight="1" s="10">
      <c r="A211" s="2" t="inlineStr">
        <is>
          <t>Q42_E</t>
        </is>
      </c>
      <c r="B211" s="2" t="n">
        <v>42</v>
      </c>
      <c r="C211" s="2" t="n">
        <v>42</v>
      </c>
      <c r="D211" s="2" t="inlineStr">
        <is>
          <t>Core</t>
        </is>
      </c>
      <c r="E211" s="2" t="n">
        <v>1.3</v>
      </c>
      <c r="F211" s="2" t="inlineStr">
        <is>
          <t>EmotionalNeeds</t>
        </is>
      </c>
      <c r="G211" s="2" t="inlineStr">
        <is>
          <t>IntimacyThreshold</t>
        </is>
      </c>
      <c r="H211" s="2" t="n"/>
      <c r="I211" s="2" t="inlineStr">
        <is>
          <t>E</t>
        </is>
      </c>
      <c r="J211" s="2" t="inlineStr">
        <is>
          <t>E</t>
        </is>
      </c>
      <c r="K211" s="2" t="inlineStr">
        <is>
          <t>I perform who I think they want, until I don't even know what the real version of me looks like</t>
        </is>
      </c>
      <c r="L211" s="2" t="n">
        <v>5</v>
      </c>
      <c r="M211" s="2" t="n">
        <v>6</v>
      </c>
      <c r="N211" s="2" t="n">
        <v>2</v>
      </c>
      <c r="O211" s="2" t="n">
        <v>2</v>
      </c>
      <c r="P211" s="2" t="n">
        <v>0</v>
      </c>
      <c r="Q211" s="2" t="inlineStr">
        <is>
          <t>Performer</t>
        </is>
      </c>
      <c r="R211" s="2" t="n">
        <v>7</v>
      </c>
      <c r="S211" s="2" t="n"/>
      <c r="T211" s="2" t="n"/>
      <c r="U211" s="2" t="n">
        <v>0</v>
      </c>
      <c r="V211" s="2" t="inlineStr">
        <is>
          <t>masc:0.3;fem:0.5</t>
        </is>
      </c>
      <c r="W211" s="2" t="n">
        <v>0.3</v>
      </c>
      <c r="X211" s="2" t="n">
        <v>0.5</v>
      </c>
      <c r="Y211" s="2" t="inlineStr">
        <is>
          <t>COMM_Indirect</t>
        </is>
      </c>
      <c r="Z211" s="2" t="inlineStr">
        <is>
          <t>REG_Distractor</t>
        </is>
      </c>
      <c r="AA211" s="2" t="inlineStr">
        <is>
          <t>LANG_Gifts</t>
        </is>
      </c>
      <c r="AB211" s="2" t="inlineStr">
        <is>
          <t>Vulnerability_Loop</t>
        </is>
      </c>
      <c r="AC211" s="2" t="inlineStr">
        <is>
          <t>Vulnerability_Loop</t>
        </is>
      </c>
      <c r="AD211" s="2" t="n"/>
      <c r="AE211" s="2" t="n">
        <v>5</v>
      </c>
      <c r="AF211" s="2" t="inlineStr">
        <is>
          <t>identity mirror complex</t>
        </is>
      </c>
      <c r="AG211" s="2" t="inlineStr">
        <is>
          <t>emotional mimic</t>
        </is>
      </c>
      <c r="AH211" s="2" t="n">
        <v>0</v>
      </c>
      <c r="AI211" s="2" t="inlineStr">
        <is>
          <t>yes</t>
        </is>
      </c>
      <c r="AJ211" s="2" t="inlineStr">
        <is>
          <t>no</t>
        </is>
      </c>
      <c r="AK211" s="2" t="inlineStr">
        <is>
          <t>no</t>
        </is>
      </c>
      <c r="AL211" s="2" t="inlineStr">
        <is>
          <t>no</t>
        </is>
      </c>
      <c r="AM211" s="2" t="n"/>
      <c r="AN211" s="2" t="n"/>
      <c r="AO211" s="2" t="n"/>
      <c r="AP211" s="2" t="inlineStr">
        <is>
          <t>v3_2026-03-19</t>
        </is>
      </c>
      <c r="AQ211">
        <f>(L211-Schema_v5!$C2)/(Schema_v5!$C3-Schema_v5!$C2)</f>
        <v/>
      </c>
      <c r="AR211">
        <f>(M211-Schema_v5!$C4)/(Schema_v5!$C5-Schema_v5!$C4)</f>
        <v/>
      </c>
      <c r="AS211">
        <f>N211/Schema_v5!$C6</f>
        <v/>
      </c>
      <c r="AT211">
        <f>O211/Schema_v5!$C7</f>
        <v/>
      </c>
      <c r="AU211">
        <f>P211/Schema_v5!$C8</f>
        <v/>
      </c>
      <c r="AV211">
        <f>IF(Schema_v5!$C9=0,0,AH211/Schema_v5!$C9)</f>
        <v/>
      </c>
      <c r="AW211">
        <f>IF(Schema_v5!$C10=0,0,AE211/Schema_v5!$C10)</f>
        <v/>
      </c>
      <c r="AX211">
        <f>(W211-Schema_v5!$C11)/(Schema_v5!$C12-Schema_v5!$C11)</f>
        <v/>
      </c>
      <c r="AY211">
        <f>(X211-Schema_v5!$C13)/(Schema_v5!$C14-Schema_v5!$C13)</f>
        <v/>
      </c>
      <c r="AZ211">
        <f>MIN(1,MAX(0,U211/Schema_v7!$C$9))</f>
        <v/>
      </c>
      <c r="BA211">
        <f>IF(AJ211="yes",0.55,0)</f>
        <v/>
      </c>
      <c r="BB211">
        <f>IF(AI211="yes",0.10,0)</f>
        <v/>
      </c>
      <c r="BC211">
        <f>IF(Y211="COMM_Direct",0.92,IF(Y211="COMM_Emotional",0.70,IF(Y211="COMM_Logical",0.65,IF(Y211="COMM_Indirect",0.55,0.35))))</f>
        <v/>
      </c>
      <c r="BD211">
        <f>IF(Z211="REG_CoRegulator",0.92,IF(Z211="REG_SelfSoother",0.76,IF(Z211="REG_Distractor",0.48,0.35)))</f>
        <v/>
      </c>
      <c r="BE211">
        <f>IF(AA211="LANG_Time",0.76,IF(AA211="LANG_Service",0.70,IF(AA211="LANG_Words",0.72,IF(AA211="LANG_Touch",0.68,0.60))))</f>
        <v/>
      </c>
      <c r="BF211">
        <f>MAX(0,MIN(1,0.28*AS211+0.16*AT211+0.18*BC211+0.18*BD211+0.10*(1-AZ211)+0.10*(1-BA211)+BB211))</f>
        <v/>
      </c>
      <c r="BG211">
        <f>MAX(0,MIN(1,0.24*AU211+0.18*AS211+0.18*BC211+0.20*BD211+0.10*(1-AW211)+0.10*(1-BA211)))</f>
        <v/>
      </c>
      <c r="BH211">
        <f>MAX(0,MIN(1,0.28*AR211+0.18*AT211+0.16*AU211+0.18*(1-AV211)+0.10*(1-AW211)+0.10*BF211))</f>
        <v/>
      </c>
      <c r="BI211">
        <f>MAX(0,MIN(1,0.30*AV211+0.20*AZ211+0.20*AW211+0.15*(1-BH211)+0.15*(1-BO211)))</f>
        <v/>
      </c>
      <c r="BJ211">
        <f>MAX(0,1-(ABS(((( AX211+AY211)/2)-0.55)*1.6)))</f>
        <v/>
      </c>
      <c r="BK211">
        <f>MAX(0,MIN(1,0.28*AR211+0.18*AT211+0.16*BJ211+0.14*(1-AV211)+0.12*BQ211+0.12*BO211))</f>
        <v/>
      </c>
      <c r="BL211">
        <f>MAX(0,MIN(1,0.22*AQ211+0.18*AS211+0.18*BC211+0.18*BD211+0.08*BE211+0.10*BF211+0.06*BO211))</f>
        <v/>
      </c>
      <c r="BM211">
        <f>MAX(0,MIN(1,0.20*(1-AZ211)+0.16*(1-BA211)+0.14*(1-AW211)+0.14*AU211+0.18*BG211+0.10*BH211+0.08*BP211))</f>
        <v/>
      </c>
      <c r="BN211">
        <f>MAX(0,MIN(1,0.42*BJ211+0.33*BK211+0.15*AT211+0.10*BQ211))</f>
        <v/>
      </c>
      <c r="BO211">
        <f>MAX(0,MIN(1,0.30*BC211+0.24*BD211+0.18*AS211+0.14*(1-BI211)+0.14*AT211))</f>
        <v/>
      </c>
      <c r="BP211">
        <f>MAX(0,MIN(1,0.26*AS211+0.20*(1-BA211)+0.16*(1-AW211)+0.18*BG211+0.10*AU211+0.10+BB211))</f>
        <v/>
      </c>
      <c r="BQ211">
        <f>MAX(0,MIN(1,0.24*AT211+0.18*BF211+0.14*AR211+0.14*BO211+0.14*(1-AV211)+0.16*(1-AZ211)))</f>
        <v/>
      </c>
      <c r="BR211">
        <f>IF(BO211&gt;=0.80,"Open",IF(BO211&gt;=0.62,"Measured",IF(BO211&gt;=0.45,"Selective","Guarded")))</f>
        <v/>
      </c>
      <c r="BS211">
        <f>IF(Y211="COMM_Direct","Direct",IF(Y211="COMM_Emotional","Emotional",IF(Y211="COMM_Logical","Logical",IF(Y211="COMM_Indirect","Indirect","Avoidant"))))</f>
        <v/>
      </c>
      <c r="BT211">
        <f>IF(BG211&gt;=0.78,"Co-repair",IF(BG211&gt;=0.58,"Re-engage",IF(BG211&gt;=0.40,"Delay","Suppress")))</f>
        <v/>
      </c>
      <c r="BU211">
        <f>IF(BI211&gt;=0.70,"Retreat-risk",IF(BH211&lt;=0.40,"Rush-risk",IF(BH211&gt;=0.65,"Slow-build","Mixed")))</f>
        <v/>
      </c>
      <c r="BV211">
        <f>IF(BL211-BM211&gt;=0.15,"Stimulation-seeking",IF(BM211-BL211&gt;=0.15,"Calm-seeking","Mixed")))</f>
        <v/>
      </c>
      <c r="BW211">
        <f>IF(AND(BL211&gt;=0.72,BM211&lt;0.48),"High",IF(AND(BL211&gt;=0.60,BM211&lt;0.58),"Medium","Low"))</f>
        <v/>
      </c>
    </row>
    <row r="212" ht="108" customHeight="1" s="10">
      <c r="A212" s="2" t="inlineStr">
        <is>
          <t>Q43_A</t>
        </is>
      </c>
      <c r="B212" s="2" t="n">
        <v>43</v>
      </c>
      <c r="C212" s="2" t="n">
        <v>43</v>
      </c>
      <c r="D212" s="2" t="inlineStr">
        <is>
          <t>Core</t>
        </is>
      </c>
      <c r="E212" s="2" t="n">
        <v>1.3</v>
      </c>
      <c r="F212" s="2" t="inlineStr">
        <is>
          <t>EmotionalNeeds</t>
        </is>
      </c>
      <c r="G212" s="2" t="inlineStr">
        <is>
          <t>IntimacyThreshold</t>
        </is>
      </c>
      <c r="H212" s="2" t="inlineStr">
        <is>
          <t>When things are actually going well with someone... what's the quiet fear you don't usually admit?</t>
        </is>
      </c>
      <c r="I212" s="2" t="inlineStr">
        <is>
          <t>A</t>
        </is>
      </c>
      <c r="J212" s="2" t="inlineStr">
        <is>
          <t>A</t>
        </is>
      </c>
      <c r="K212" s="2" t="inlineStr">
        <is>
          <t>They'll lose interest once they see the parts I keep hidden.</t>
        </is>
      </c>
      <c r="L212" s="2" t="n">
        <v>6</v>
      </c>
      <c r="M212" s="2" t="n">
        <v>7</v>
      </c>
      <c r="N212" s="2" t="n">
        <v>4</v>
      </c>
      <c r="O212" s="2" t="n">
        <v>4</v>
      </c>
      <c r="P212" s="2" t="n">
        <v>2</v>
      </c>
      <c r="Q212" s="2" t="inlineStr">
        <is>
          <t>Performer</t>
        </is>
      </c>
      <c r="R212" s="2" t="n">
        <v>7</v>
      </c>
      <c r="S212" s="2" t="n"/>
      <c r="T212" s="2" t="n"/>
      <c r="U212" s="2" t="n">
        <v>0</v>
      </c>
      <c r="V212" s="2" t="inlineStr">
        <is>
          <t>masc:0.3;fem:0.5</t>
        </is>
      </c>
      <c r="W212" s="2" t="n">
        <v>0.3</v>
      </c>
      <c r="X212" s="2" t="n">
        <v>0.5</v>
      </c>
      <c r="Y212" s="2" t="inlineStr">
        <is>
          <t>COMM_Indirect</t>
        </is>
      </c>
      <c r="Z212" s="2" t="inlineStr">
        <is>
          <t>REG_Distractor</t>
        </is>
      </c>
      <c r="AA212" s="2" t="inlineStr">
        <is>
          <t>LANG_Gifts</t>
        </is>
      </c>
      <c r="AB212" s="2" t="inlineStr">
        <is>
          <t>Vulnerability_Loop</t>
        </is>
      </c>
      <c r="AC212" s="2" t="inlineStr">
        <is>
          <t>Vulnerability_Loop</t>
        </is>
      </c>
      <c r="AD212" s="2" t="n"/>
      <c r="AE212" s="2" t="n">
        <v>5</v>
      </c>
      <c r="AF212" s="2" t="inlineStr">
        <is>
          <t>impostor connection fear</t>
        </is>
      </c>
      <c r="AG212" s="2" t="inlineStr">
        <is>
          <t>self-concealer</t>
        </is>
      </c>
      <c r="AH212" s="2" t="n">
        <v>0</v>
      </c>
      <c r="AI212" s="2" t="inlineStr">
        <is>
          <t>yes</t>
        </is>
      </c>
      <c r="AJ212" s="2" t="inlineStr">
        <is>
          <t>no</t>
        </is>
      </c>
      <c r="AK212" s="2" t="inlineStr">
        <is>
          <t>no</t>
        </is>
      </c>
      <c r="AL212" s="2" t="inlineStr">
        <is>
          <t>no</t>
        </is>
      </c>
      <c r="AM212" s="2" t="n"/>
      <c r="AN212" s="2" t="n"/>
      <c r="AO212" s="2" t="n"/>
      <c r="AP212" s="2" t="inlineStr">
        <is>
          <t>v3_2026-03-19</t>
        </is>
      </c>
      <c r="AQ212">
        <f>(L212-Schema_v5!$C2)/(Schema_v5!$C3-Schema_v5!$C2)</f>
        <v/>
      </c>
      <c r="AR212">
        <f>(M212-Schema_v5!$C4)/(Schema_v5!$C5-Schema_v5!$C4)</f>
        <v/>
      </c>
      <c r="AS212">
        <f>N212/Schema_v5!$C6</f>
        <v/>
      </c>
      <c r="AT212">
        <f>O212/Schema_v5!$C7</f>
        <v/>
      </c>
      <c r="AU212">
        <f>P212/Schema_v5!$C8</f>
        <v/>
      </c>
      <c r="AV212">
        <f>IF(Schema_v5!$C9=0,0,AH212/Schema_v5!$C9)</f>
        <v/>
      </c>
      <c r="AW212">
        <f>IF(Schema_v5!$C10=0,0,AE212/Schema_v5!$C10)</f>
        <v/>
      </c>
      <c r="AX212">
        <f>(W212-Schema_v5!$C11)/(Schema_v5!$C12-Schema_v5!$C11)</f>
        <v/>
      </c>
      <c r="AY212">
        <f>(X212-Schema_v5!$C13)/(Schema_v5!$C14-Schema_v5!$C13)</f>
        <v/>
      </c>
      <c r="AZ212">
        <f>MIN(1,MAX(0,U212/Schema_v7!$C$9))</f>
        <v/>
      </c>
      <c r="BA212">
        <f>IF(AJ212="yes",0.55,0)</f>
        <v/>
      </c>
      <c r="BB212">
        <f>IF(AI212="yes",0.10,0)</f>
        <v/>
      </c>
      <c r="BC212">
        <f>IF(Y212="COMM_Direct",0.92,IF(Y212="COMM_Emotional",0.70,IF(Y212="COMM_Logical",0.65,IF(Y212="COMM_Indirect",0.55,0.35))))</f>
        <v/>
      </c>
      <c r="BD212">
        <f>IF(Z212="REG_CoRegulator",0.92,IF(Z212="REG_SelfSoother",0.76,IF(Z212="REG_Distractor",0.48,0.35)))</f>
        <v/>
      </c>
      <c r="BE212">
        <f>IF(AA212="LANG_Time",0.76,IF(AA212="LANG_Service",0.70,IF(AA212="LANG_Words",0.72,IF(AA212="LANG_Touch",0.68,0.60))))</f>
        <v/>
      </c>
      <c r="BF212">
        <f>MAX(0,MIN(1,0.28*AS212+0.16*AT212+0.18*BC212+0.18*BD212+0.10*(1-AZ212)+0.10*(1-BA212)+BB212))</f>
        <v/>
      </c>
      <c r="BG212">
        <f>MAX(0,MIN(1,0.24*AU212+0.18*AS212+0.18*BC212+0.20*BD212+0.10*(1-AW212)+0.10*(1-BA212)))</f>
        <v/>
      </c>
      <c r="BH212">
        <f>MAX(0,MIN(1,0.28*AR212+0.18*AT212+0.16*AU212+0.18*(1-AV212)+0.10*(1-AW212)+0.10*BF212))</f>
        <v/>
      </c>
      <c r="BI212">
        <f>MAX(0,MIN(1,0.30*AV212+0.20*AZ212+0.20*AW212+0.15*(1-BH212)+0.15*(1-BO212)))</f>
        <v/>
      </c>
      <c r="BJ212">
        <f>MAX(0,1-(ABS(((( AX212+AY212)/2)-0.55)*1.6)))</f>
        <v/>
      </c>
      <c r="BK212">
        <f>MAX(0,MIN(1,0.28*AR212+0.18*AT212+0.16*BJ212+0.14*(1-AV212)+0.12*BQ212+0.12*BO212))</f>
        <v/>
      </c>
      <c r="BL212">
        <f>MAX(0,MIN(1,0.22*AQ212+0.18*AS212+0.18*BC212+0.18*BD212+0.08*BE212+0.10*BF212+0.06*BO212))</f>
        <v/>
      </c>
      <c r="BM212">
        <f>MAX(0,MIN(1,0.20*(1-AZ212)+0.16*(1-BA212)+0.14*(1-AW212)+0.14*AU212+0.18*BG212+0.10*BH212+0.08*BP212))</f>
        <v/>
      </c>
      <c r="BN212">
        <f>MAX(0,MIN(1,0.42*BJ212+0.33*BK212+0.15*AT212+0.10*BQ212))</f>
        <v/>
      </c>
      <c r="BO212">
        <f>MAX(0,MIN(1,0.30*BC212+0.24*BD212+0.18*AS212+0.14*(1-BI212)+0.14*AT212))</f>
        <v/>
      </c>
      <c r="BP212">
        <f>MAX(0,MIN(1,0.26*AS212+0.20*(1-BA212)+0.16*(1-AW212)+0.18*BG212+0.10*AU212+0.10+BB212))</f>
        <v/>
      </c>
      <c r="BQ212">
        <f>MAX(0,MIN(1,0.24*AT212+0.18*BF212+0.14*AR212+0.14*BO212+0.14*(1-AV212)+0.16*(1-AZ212)))</f>
        <v/>
      </c>
      <c r="BR212">
        <f>IF(BO212&gt;=0.80,"Open",IF(BO212&gt;=0.62,"Measured",IF(BO212&gt;=0.45,"Selective","Guarded")))</f>
        <v/>
      </c>
      <c r="BS212">
        <f>IF(Y212="COMM_Direct","Direct",IF(Y212="COMM_Emotional","Emotional",IF(Y212="COMM_Logical","Logical",IF(Y212="COMM_Indirect","Indirect","Avoidant"))))</f>
        <v/>
      </c>
      <c r="BT212">
        <f>IF(BG212&gt;=0.78,"Co-repair",IF(BG212&gt;=0.58,"Re-engage",IF(BG212&gt;=0.40,"Delay","Suppress")))</f>
        <v/>
      </c>
      <c r="BU212">
        <f>IF(BI212&gt;=0.70,"Retreat-risk",IF(BH212&lt;=0.40,"Rush-risk",IF(BH212&gt;=0.65,"Slow-build","Mixed")))</f>
        <v/>
      </c>
      <c r="BV212">
        <f>IF(BL212-BM212&gt;=0.15,"Stimulation-seeking",IF(BM212-BL212&gt;=0.15,"Calm-seeking","Mixed")))</f>
        <v/>
      </c>
      <c r="BW212">
        <f>IF(AND(BL212&gt;=0.72,BM212&lt;0.48),"High",IF(AND(BL212&gt;=0.60,BM212&lt;0.58),"Medium","Low"))</f>
        <v/>
      </c>
    </row>
    <row r="213" ht="68.25" customHeight="1" s="10">
      <c r="A213" s="2" t="inlineStr">
        <is>
          <t>Q43_B</t>
        </is>
      </c>
      <c r="B213" s="2" t="n">
        <v>43</v>
      </c>
      <c r="C213" s="2" t="n">
        <v>43</v>
      </c>
      <c r="D213" s="2" t="inlineStr">
        <is>
          <t>Core</t>
        </is>
      </c>
      <c r="E213" s="2" t="n">
        <v>1.3</v>
      </c>
      <c r="F213" s="2" t="inlineStr">
        <is>
          <t>EmotionalNeeds</t>
        </is>
      </c>
      <c r="G213" s="2" t="inlineStr">
        <is>
          <t>IntimacyThreshold</t>
        </is>
      </c>
      <c r="H213" s="2" t="n"/>
      <c r="I213" s="2" t="inlineStr">
        <is>
          <t>B</t>
        </is>
      </c>
      <c r="J213" s="2" t="inlineStr">
        <is>
          <t>B</t>
        </is>
      </c>
      <c r="K213" s="2" t="inlineStr">
        <is>
          <t>I'll mess it up by needing too much or being too sensitive.</t>
        </is>
      </c>
      <c r="L213" s="2" t="n">
        <v>5</v>
      </c>
      <c r="M213" s="2" t="n">
        <v>6</v>
      </c>
      <c r="N213" s="2" t="n">
        <v>2</v>
      </c>
      <c r="O213" s="2" t="n">
        <v>2</v>
      </c>
      <c r="P213" s="2" t="n">
        <v>2</v>
      </c>
      <c r="Q213" s="2" t="inlineStr">
        <is>
          <t>Phantom Seeker</t>
        </is>
      </c>
      <c r="R213" s="2" t="n">
        <v>10</v>
      </c>
      <c r="S213" s="2" t="n"/>
      <c r="T213" s="2" t="n"/>
      <c r="U213" s="2" t="n">
        <v>0</v>
      </c>
      <c r="V213" s="2" t="inlineStr">
        <is>
          <t>masc:-0.2;fem:1.5</t>
        </is>
      </c>
      <c r="W213" s="2" t="n">
        <v>-0.2</v>
      </c>
      <c r="X213" s="2" t="n">
        <v>1.5</v>
      </c>
      <c r="Y213" s="2" t="inlineStr">
        <is>
          <t>COMM_Emotional</t>
        </is>
      </c>
      <c r="Z213" s="2" t="inlineStr">
        <is>
          <t>REG_SelfSoother</t>
        </is>
      </c>
      <c r="AA213" s="2" t="inlineStr">
        <is>
          <t>LANG_Touch</t>
        </is>
      </c>
      <c r="AB213" s="2" t="inlineStr">
        <is>
          <t>Vulnerability_Loop</t>
        </is>
      </c>
      <c r="AC213" s="2" t="inlineStr">
        <is>
          <t>Vulnerability_Loop</t>
        </is>
      </c>
      <c r="AD213" s="2" t="n"/>
      <c r="AE213" s="2" t="n">
        <v>5</v>
      </c>
      <c r="AF213" s="2" t="inlineStr">
        <is>
          <t>shame-based worth doubt</t>
        </is>
      </c>
      <c r="AG213" s="2" t="inlineStr">
        <is>
          <t>emotional risk avoider</t>
        </is>
      </c>
      <c r="AH213" s="2" t="n">
        <v>0.6</v>
      </c>
      <c r="AI213" s="2" t="inlineStr">
        <is>
          <t>yes</t>
        </is>
      </c>
      <c r="AJ213" s="2" t="inlineStr">
        <is>
          <t>no</t>
        </is>
      </c>
      <c r="AK213" s="2" t="inlineStr">
        <is>
          <t>no</t>
        </is>
      </c>
      <c r="AL213" s="2" t="inlineStr">
        <is>
          <t>no</t>
        </is>
      </c>
      <c r="AM213" s="2" t="n"/>
      <c r="AN213" s="2" t="n"/>
      <c r="AO213" s="2" t="n"/>
      <c r="AP213" s="2" t="inlineStr">
        <is>
          <t>v3_2026-03-19</t>
        </is>
      </c>
      <c r="AQ213">
        <f>(L213-Schema_v5!$C2)/(Schema_v5!$C3-Schema_v5!$C2)</f>
        <v/>
      </c>
      <c r="AR213">
        <f>(M213-Schema_v5!$C4)/(Schema_v5!$C5-Schema_v5!$C4)</f>
        <v/>
      </c>
      <c r="AS213">
        <f>N213/Schema_v5!$C6</f>
        <v/>
      </c>
      <c r="AT213">
        <f>O213/Schema_v5!$C7</f>
        <v/>
      </c>
      <c r="AU213">
        <f>P213/Schema_v5!$C8</f>
        <v/>
      </c>
      <c r="AV213">
        <f>IF(Schema_v5!$C9=0,0,AH213/Schema_v5!$C9)</f>
        <v/>
      </c>
      <c r="AW213">
        <f>IF(Schema_v5!$C10=0,0,AE213/Schema_v5!$C10)</f>
        <v/>
      </c>
      <c r="AX213">
        <f>(W213-Schema_v5!$C11)/(Schema_v5!$C12-Schema_v5!$C11)</f>
        <v/>
      </c>
      <c r="AY213">
        <f>(X213-Schema_v5!$C13)/(Schema_v5!$C14-Schema_v5!$C13)</f>
        <v/>
      </c>
      <c r="AZ213">
        <f>MIN(1,MAX(0,U213/Schema_v7!$C$9))</f>
        <v/>
      </c>
      <c r="BA213">
        <f>IF(AJ213="yes",0.55,0)</f>
        <v/>
      </c>
      <c r="BB213">
        <f>IF(AI213="yes",0.10,0)</f>
        <v/>
      </c>
      <c r="BC213">
        <f>IF(Y213="COMM_Direct",0.92,IF(Y213="COMM_Emotional",0.70,IF(Y213="COMM_Logical",0.65,IF(Y213="COMM_Indirect",0.55,0.35))))</f>
        <v/>
      </c>
      <c r="BD213">
        <f>IF(Z213="REG_CoRegulator",0.92,IF(Z213="REG_SelfSoother",0.76,IF(Z213="REG_Distractor",0.48,0.35)))</f>
        <v/>
      </c>
      <c r="BE213">
        <f>IF(AA213="LANG_Time",0.76,IF(AA213="LANG_Service",0.70,IF(AA213="LANG_Words",0.72,IF(AA213="LANG_Touch",0.68,0.60))))</f>
        <v/>
      </c>
      <c r="BF213">
        <f>MAX(0,MIN(1,0.28*AS213+0.16*AT213+0.18*BC213+0.18*BD213+0.10*(1-AZ213)+0.10*(1-BA213)+BB213))</f>
        <v/>
      </c>
      <c r="BG213">
        <f>MAX(0,MIN(1,0.24*AU213+0.18*AS213+0.18*BC213+0.20*BD213+0.10*(1-AW213)+0.10*(1-BA213)))</f>
        <v/>
      </c>
      <c r="BH213">
        <f>MAX(0,MIN(1,0.28*AR213+0.18*AT213+0.16*AU213+0.18*(1-AV213)+0.10*(1-AW213)+0.10*BF213))</f>
        <v/>
      </c>
      <c r="BI213">
        <f>MAX(0,MIN(1,0.30*AV213+0.20*AZ213+0.20*AW213+0.15*(1-BH213)+0.15*(1-BO213)))</f>
        <v/>
      </c>
      <c r="BJ213">
        <f>MAX(0,1-(ABS(((( AX213+AY213)/2)-0.55)*1.6)))</f>
        <v/>
      </c>
      <c r="BK213">
        <f>MAX(0,MIN(1,0.28*AR213+0.18*AT213+0.16*BJ213+0.14*(1-AV213)+0.12*BQ213+0.12*BO213))</f>
        <v/>
      </c>
      <c r="BL213">
        <f>MAX(0,MIN(1,0.22*AQ213+0.18*AS213+0.18*BC213+0.18*BD213+0.08*BE213+0.10*BF213+0.06*BO213))</f>
        <v/>
      </c>
      <c r="BM213">
        <f>MAX(0,MIN(1,0.20*(1-AZ213)+0.16*(1-BA213)+0.14*(1-AW213)+0.14*AU213+0.18*BG213+0.10*BH213+0.08*BP213))</f>
        <v/>
      </c>
      <c r="BN213">
        <f>MAX(0,MIN(1,0.42*BJ213+0.33*BK213+0.15*AT213+0.10*BQ213))</f>
        <v/>
      </c>
      <c r="BO213">
        <f>MAX(0,MIN(1,0.30*BC213+0.24*BD213+0.18*AS213+0.14*(1-BI213)+0.14*AT213))</f>
        <v/>
      </c>
      <c r="BP213">
        <f>MAX(0,MIN(1,0.26*AS213+0.20*(1-BA213)+0.16*(1-AW213)+0.18*BG213+0.10*AU213+0.10+BB213))</f>
        <v/>
      </c>
      <c r="BQ213">
        <f>MAX(0,MIN(1,0.24*AT213+0.18*BF213+0.14*AR213+0.14*BO213+0.14*(1-AV213)+0.16*(1-AZ213)))</f>
        <v/>
      </c>
      <c r="BR213">
        <f>IF(BO213&gt;=0.80,"Open",IF(BO213&gt;=0.62,"Measured",IF(BO213&gt;=0.45,"Selective","Guarded")))</f>
        <v/>
      </c>
      <c r="BS213">
        <f>IF(Y213="COMM_Direct","Direct",IF(Y213="COMM_Emotional","Emotional",IF(Y213="COMM_Logical","Logical",IF(Y213="COMM_Indirect","Indirect","Avoidant"))))</f>
        <v/>
      </c>
      <c r="BT213">
        <f>IF(BG213&gt;=0.78,"Co-repair",IF(BG213&gt;=0.58,"Re-engage",IF(BG213&gt;=0.40,"Delay","Suppress")))</f>
        <v/>
      </c>
      <c r="BU213">
        <f>IF(BI213&gt;=0.70,"Retreat-risk",IF(BH213&lt;=0.40,"Rush-risk",IF(BH213&gt;=0.65,"Slow-build","Mixed")))</f>
        <v/>
      </c>
      <c r="BV213">
        <f>IF(BL213-BM213&gt;=0.15,"Stimulation-seeking",IF(BM213-BL213&gt;=0.15,"Calm-seeking","Mixed")))</f>
        <v/>
      </c>
      <c r="BW213">
        <f>IF(AND(BL213&gt;=0.72,BM213&lt;0.48),"High",IF(AND(BL213&gt;=0.60,BM213&lt;0.58),"Medium","Low"))</f>
        <v/>
      </c>
    </row>
    <row r="214" ht="81" customHeight="1" s="10">
      <c r="A214" s="2" t="inlineStr">
        <is>
          <t>Q43_C</t>
        </is>
      </c>
      <c r="B214" s="2" t="n">
        <v>43</v>
      </c>
      <c r="C214" s="2" t="n">
        <v>43</v>
      </c>
      <c r="D214" s="2" t="inlineStr">
        <is>
          <t>Core</t>
        </is>
      </c>
      <c r="E214" s="2" t="n">
        <v>1.3</v>
      </c>
      <c r="F214" s="2" t="inlineStr">
        <is>
          <t>EmotionalNeeds</t>
        </is>
      </c>
      <c r="G214" s="2" t="inlineStr">
        <is>
          <t>IntimacyThreshold</t>
        </is>
      </c>
      <c r="H214" s="2" t="n"/>
      <c r="I214" s="2" t="inlineStr">
        <is>
          <t>C</t>
        </is>
      </c>
      <c r="J214" s="2" t="inlineStr">
        <is>
          <t>C</t>
        </is>
      </c>
      <c r="K214" s="2" t="inlineStr">
        <is>
          <t>They'll depend on me too much, and I'll feel trapped again.</t>
        </is>
      </c>
      <c r="L214" s="2" t="n">
        <v>6</v>
      </c>
      <c r="M214" s="2" t="n">
        <v>7</v>
      </c>
      <c r="N214" s="2" t="n">
        <v>2</v>
      </c>
      <c r="O214" s="2" t="n">
        <v>2</v>
      </c>
      <c r="P214" s="2" t="n">
        <v>0</v>
      </c>
      <c r="Q214" s="2" t="inlineStr">
        <is>
          <t>Icebox</t>
        </is>
      </c>
      <c r="R214" s="2" t="n">
        <v>1</v>
      </c>
      <c r="S214" s="2" t="n"/>
      <c r="T214" s="2" t="n"/>
      <c r="U214" s="2" t="n">
        <v>0</v>
      </c>
      <c r="V214" s="2" t="inlineStr">
        <is>
          <t>masc:1.8;fem:-1.6</t>
        </is>
      </c>
      <c r="W214" s="2" t="n">
        <v>1.8</v>
      </c>
      <c r="X214" s="2" t="n">
        <v>-1.6</v>
      </c>
      <c r="Y214" s="2" t="inlineStr">
        <is>
          <t>COMM_Avoidant</t>
        </is>
      </c>
      <c r="Z214" s="2" t="inlineStr">
        <is>
          <t>REG_Suppressor</t>
        </is>
      </c>
      <c r="AA214" s="2" t="inlineStr">
        <is>
          <t>LANG_Time</t>
        </is>
      </c>
      <c r="AB214" s="2" t="inlineStr">
        <is>
          <t>Vulnerability_Loop</t>
        </is>
      </c>
      <c r="AC214" s="2" t="inlineStr">
        <is>
          <t>Vulnerability_Loop</t>
        </is>
      </c>
      <c r="AD214" s="2" t="n"/>
      <c r="AE214" s="2" t="n">
        <v>5</v>
      </c>
      <c r="AF214" s="2" t="inlineStr">
        <is>
          <t>fear of emotional containment</t>
        </is>
      </c>
      <c r="AG214" s="2" t="inlineStr">
        <is>
          <t>closeness resistor</t>
        </is>
      </c>
      <c r="AH214" s="2" t="n">
        <v>0</v>
      </c>
      <c r="AI214" s="2" t="inlineStr">
        <is>
          <t>yes</t>
        </is>
      </c>
      <c r="AJ214" s="2" t="inlineStr">
        <is>
          <t>no</t>
        </is>
      </c>
      <c r="AK214" s="2" t="inlineStr">
        <is>
          <t>no</t>
        </is>
      </c>
      <c r="AL214" s="2" t="inlineStr">
        <is>
          <t>no</t>
        </is>
      </c>
      <c r="AM214" s="2" t="n"/>
      <c r="AN214" s="2" t="n"/>
      <c r="AO214" s="2" t="n"/>
      <c r="AP214" s="2" t="inlineStr">
        <is>
          <t>v3_2026-03-19</t>
        </is>
      </c>
      <c r="AQ214">
        <f>(L214-Schema_v5!$C2)/(Schema_v5!$C3-Schema_v5!$C2)</f>
        <v/>
      </c>
      <c r="AR214">
        <f>(M214-Schema_v5!$C4)/(Schema_v5!$C5-Schema_v5!$C4)</f>
        <v/>
      </c>
      <c r="AS214">
        <f>N214/Schema_v5!$C6</f>
        <v/>
      </c>
      <c r="AT214">
        <f>O214/Schema_v5!$C7</f>
        <v/>
      </c>
      <c r="AU214">
        <f>P214/Schema_v5!$C8</f>
        <v/>
      </c>
      <c r="AV214">
        <f>IF(Schema_v5!$C9=0,0,AH214/Schema_v5!$C9)</f>
        <v/>
      </c>
      <c r="AW214">
        <f>IF(Schema_v5!$C10=0,0,AE214/Schema_v5!$C10)</f>
        <v/>
      </c>
      <c r="AX214">
        <f>(W214-Schema_v5!$C11)/(Schema_v5!$C12-Schema_v5!$C11)</f>
        <v/>
      </c>
      <c r="AY214">
        <f>(X214-Schema_v5!$C13)/(Schema_v5!$C14-Schema_v5!$C13)</f>
        <v/>
      </c>
      <c r="AZ214">
        <f>MIN(1,MAX(0,U214/Schema_v7!$C$9))</f>
        <v/>
      </c>
      <c r="BA214">
        <f>IF(AJ214="yes",0.55,0)</f>
        <v/>
      </c>
      <c r="BB214">
        <f>IF(AI214="yes",0.10,0)</f>
        <v/>
      </c>
      <c r="BC214">
        <f>IF(Y214="COMM_Direct",0.92,IF(Y214="COMM_Emotional",0.70,IF(Y214="COMM_Logical",0.65,IF(Y214="COMM_Indirect",0.55,0.35))))</f>
        <v/>
      </c>
      <c r="BD214">
        <f>IF(Z214="REG_CoRegulator",0.92,IF(Z214="REG_SelfSoother",0.76,IF(Z214="REG_Distractor",0.48,0.35)))</f>
        <v/>
      </c>
      <c r="BE214">
        <f>IF(AA214="LANG_Time",0.76,IF(AA214="LANG_Service",0.70,IF(AA214="LANG_Words",0.72,IF(AA214="LANG_Touch",0.68,0.60))))</f>
        <v/>
      </c>
      <c r="BF214">
        <f>MAX(0,MIN(1,0.28*AS214+0.16*AT214+0.18*BC214+0.18*BD214+0.10*(1-AZ214)+0.10*(1-BA214)+BB214))</f>
        <v/>
      </c>
      <c r="BG214">
        <f>MAX(0,MIN(1,0.24*AU214+0.18*AS214+0.18*BC214+0.20*BD214+0.10*(1-AW214)+0.10*(1-BA214)))</f>
        <v/>
      </c>
      <c r="BH214">
        <f>MAX(0,MIN(1,0.28*AR214+0.18*AT214+0.16*AU214+0.18*(1-AV214)+0.10*(1-AW214)+0.10*BF214))</f>
        <v/>
      </c>
      <c r="BI214">
        <f>MAX(0,MIN(1,0.30*AV214+0.20*AZ214+0.20*AW214+0.15*(1-BH214)+0.15*(1-BO214)))</f>
        <v/>
      </c>
      <c r="BJ214">
        <f>MAX(0,1-(ABS(((( AX214+AY214)/2)-0.55)*1.6)))</f>
        <v/>
      </c>
      <c r="BK214">
        <f>MAX(0,MIN(1,0.28*AR214+0.18*AT214+0.16*BJ214+0.14*(1-AV214)+0.12*BQ214+0.12*BO214))</f>
        <v/>
      </c>
      <c r="BL214">
        <f>MAX(0,MIN(1,0.22*AQ214+0.18*AS214+0.18*BC214+0.18*BD214+0.08*BE214+0.10*BF214+0.06*BO214))</f>
        <v/>
      </c>
      <c r="BM214">
        <f>MAX(0,MIN(1,0.20*(1-AZ214)+0.16*(1-BA214)+0.14*(1-AW214)+0.14*AU214+0.18*BG214+0.10*BH214+0.08*BP214))</f>
        <v/>
      </c>
      <c r="BN214">
        <f>MAX(0,MIN(1,0.42*BJ214+0.33*BK214+0.15*AT214+0.10*BQ214))</f>
        <v/>
      </c>
      <c r="BO214">
        <f>MAX(0,MIN(1,0.30*BC214+0.24*BD214+0.18*AS214+0.14*(1-BI214)+0.14*AT214))</f>
        <v/>
      </c>
      <c r="BP214">
        <f>MAX(0,MIN(1,0.26*AS214+0.20*(1-BA214)+0.16*(1-AW214)+0.18*BG214+0.10*AU214+0.10+BB214))</f>
        <v/>
      </c>
      <c r="BQ214">
        <f>MAX(0,MIN(1,0.24*AT214+0.18*BF214+0.14*AR214+0.14*BO214+0.14*(1-AV214)+0.16*(1-AZ214)))</f>
        <v/>
      </c>
      <c r="BR214">
        <f>IF(BO214&gt;=0.80,"Open",IF(BO214&gt;=0.62,"Measured",IF(BO214&gt;=0.45,"Selective","Guarded")))</f>
        <v/>
      </c>
      <c r="BS214">
        <f>IF(Y214="COMM_Direct","Direct",IF(Y214="COMM_Emotional","Emotional",IF(Y214="COMM_Logical","Logical",IF(Y214="COMM_Indirect","Indirect","Avoidant"))))</f>
        <v/>
      </c>
      <c r="BT214">
        <f>IF(BG214&gt;=0.78,"Co-repair",IF(BG214&gt;=0.58,"Re-engage",IF(BG214&gt;=0.40,"Delay","Suppress")))</f>
        <v/>
      </c>
      <c r="BU214">
        <f>IF(BI214&gt;=0.70,"Retreat-risk",IF(BH214&lt;=0.40,"Rush-risk",IF(BH214&gt;=0.65,"Slow-build","Mixed")))</f>
        <v/>
      </c>
      <c r="BV214">
        <f>IF(BL214-BM214&gt;=0.15,"Stimulation-seeking",IF(BM214-BL214&gt;=0.15,"Calm-seeking","Mixed")))</f>
        <v/>
      </c>
      <c r="BW214">
        <f>IF(AND(BL214&gt;=0.72,BM214&lt;0.48),"High",IF(AND(BL214&gt;=0.60,BM214&lt;0.58),"Medium","Low"))</f>
        <v/>
      </c>
    </row>
    <row r="215" ht="108" customHeight="1" s="10">
      <c r="A215" s="2" t="inlineStr">
        <is>
          <t>Q43_D</t>
        </is>
      </c>
      <c r="B215" s="2" t="n">
        <v>43</v>
      </c>
      <c r="C215" s="2" t="n">
        <v>43</v>
      </c>
      <c r="D215" s="2" t="inlineStr">
        <is>
          <t>Core</t>
        </is>
      </c>
      <c r="E215" s="2" t="n">
        <v>1.3</v>
      </c>
      <c r="F215" s="2" t="inlineStr">
        <is>
          <t>EmotionalNeeds</t>
        </is>
      </c>
      <c r="G215" s="2" t="inlineStr">
        <is>
          <t>IntimacyThreshold</t>
        </is>
      </c>
      <c r="H215" s="2" t="n"/>
      <c r="I215" s="2" t="inlineStr">
        <is>
          <t>D</t>
        </is>
      </c>
      <c r="J215" s="2" t="inlineStr">
        <is>
          <t>D</t>
        </is>
      </c>
      <c r="K215" s="2" t="inlineStr">
        <is>
          <t>It's not real. I assume it'll shift once they get comfortable. I just don't trust the early glow.</t>
        </is>
      </c>
      <c r="L215" s="2" t="n">
        <v>8</v>
      </c>
      <c r="M215" s="2" t="n">
        <v>9</v>
      </c>
      <c r="N215" s="2" t="n">
        <v>8</v>
      </c>
      <c r="O215" s="2" t="n">
        <v>8</v>
      </c>
      <c r="P215" s="2" t="n">
        <v>8</v>
      </c>
      <c r="Q215" s="2" t="inlineStr">
        <is>
          <t>Analyzer</t>
        </is>
      </c>
      <c r="R215" s="2" t="n">
        <v>2</v>
      </c>
      <c r="S215" s="2" t="n"/>
      <c r="T215" s="2" t="n"/>
      <c r="U215" s="2" t="n">
        <v>0</v>
      </c>
      <c r="V215" s="2" t="inlineStr">
        <is>
          <t>masc:1.4;fem:0.1</t>
        </is>
      </c>
      <c r="W215" s="2" t="n">
        <v>1.4</v>
      </c>
      <c r="X215" s="2" t="n">
        <v>0.1</v>
      </c>
      <c r="Y215" s="2" t="inlineStr">
        <is>
          <t>COMM_Logical</t>
        </is>
      </c>
      <c r="Z215" s="2" t="inlineStr">
        <is>
          <t>REG_SelfSoother</t>
        </is>
      </c>
      <c r="AA215" s="2" t="inlineStr">
        <is>
          <t>LANG_Service</t>
        </is>
      </c>
      <c r="AB215" s="2" t="n"/>
      <c r="AC215" s="2" t="n"/>
      <c r="AD215" s="2" t="n"/>
      <c r="AE215" s="2" t="n">
        <v>0</v>
      </c>
      <c r="AF215" s="2" t="inlineStr">
        <is>
          <t>anticipated disappointment</t>
        </is>
      </c>
      <c r="AG215" s="2" t="inlineStr">
        <is>
          <t>skepticism filter</t>
        </is>
      </c>
      <c r="AH215" s="2" t="n">
        <v>0</v>
      </c>
      <c r="AI215" s="2" t="inlineStr">
        <is>
          <t>no</t>
        </is>
      </c>
      <c r="AJ215" s="2" t="inlineStr">
        <is>
          <t>no</t>
        </is>
      </c>
      <c r="AK215" s="2" t="inlineStr">
        <is>
          <t>no</t>
        </is>
      </c>
      <c r="AL215" s="2" t="inlineStr">
        <is>
          <t>no</t>
        </is>
      </c>
      <c r="AM215" s="2" t="n"/>
      <c r="AN215" s="2" t="n"/>
      <c r="AO215" s="2" t="n"/>
      <c r="AP215" s="2" t="inlineStr">
        <is>
          <t>v3_2026-03-19</t>
        </is>
      </c>
      <c r="AQ215">
        <f>(L215-Schema_v5!$C2)/(Schema_v5!$C3-Schema_v5!$C2)</f>
        <v/>
      </c>
      <c r="AR215">
        <f>(M215-Schema_v5!$C4)/(Schema_v5!$C5-Schema_v5!$C4)</f>
        <v/>
      </c>
      <c r="AS215">
        <f>N215/Schema_v5!$C6</f>
        <v/>
      </c>
      <c r="AT215">
        <f>O215/Schema_v5!$C7</f>
        <v/>
      </c>
      <c r="AU215">
        <f>P215/Schema_v5!$C8</f>
        <v/>
      </c>
      <c r="AV215">
        <f>IF(Schema_v5!$C9=0,0,AH215/Schema_v5!$C9)</f>
        <v/>
      </c>
      <c r="AW215">
        <f>IF(Schema_v5!$C10=0,0,AE215/Schema_v5!$C10)</f>
        <v/>
      </c>
      <c r="AX215">
        <f>(W215-Schema_v5!$C11)/(Schema_v5!$C12-Schema_v5!$C11)</f>
        <v/>
      </c>
      <c r="AY215">
        <f>(X215-Schema_v5!$C13)/(Schema_v5!$C14-Schema_v5!$C13)</f>
        <v/>
      </c>
      <c r="AZ215">
        <f>MIN(1,MAX(0,U215/Schema_v7!$C$9))</f>
        <v/>
      </c>
      <c r="BA215">
        <f>IF(AJ215="yes",0.55,0)</f>
        <v/>
      </c>
      <c r="BB215">
        <f>IF(AI215="yes",0.10,0)</f>
        <v/>
      </c>
      <c r="BC215">
        <f>IF(Y215="COMM_Direct",0.92,IF(Y215="COMM_Emotional",0.70,IF(Y215="COMM_Logical",0.65,IF(Y215="COMM_Indirect",0.55,0.35))))</f>
        <v/>
      </c>
      <c r="BD215">
        <f>IF(Z215="REG_CoRegulator",0.92,IF(Z215="REG_SelfSoother",0.76,IF(Z215="REG_Distractor",0.48,0.35)))</f>
        <v/>
      </c>
      <c r="BE215">
        <f>IF(AA215="LANG_Time",0.76,IF(AA215="LANG_Service",0.70,IF(AA215="LANG_Words",0.72,IF(AA215="LANG_Touch",0.68,0.60))))</f>
        <v/>
      </c>
      <c r="BF215">
        <f>MAX(0,MIN(1,0.28*AS215+0.16*AT215+0.18*BC215+0.18*BD215+0.10*(1-AZ215)+0.10*(1-BA215)+BB215))</f>
        <v/>
      </c>
      <c r="BG215">
        <f>MAX(0,MIN(1,0.24*AU215+0.18*AS215+0.18*BC215+0.20*BD215+0.10*(1-AW215)+0.10*(1-BA215)))</f>
        <v/>
      </c>
      <c r="BH215">
        <f>MAX(0,MIN(1,0.28*AR215+0.18*AT215+0.16*AU215+0.18*(1-AV215)+0.10*(1-AW215)+0.10*BF215))</f>
        <v/>
      </c>
      <c r="BI215">
        <f>MAX(0,MIN(1,0.30*AV215+0.20*AZ215+0.20*AW215+0.15*(1-BH215)+0.15*(1-BO215)))</f>
        <v/>
      </c>
      <c r="BJ215">
        <f>MAX(0,1-(ABS(((( AX215+AY215)/2)-0.55)*1.6)))</f>
        <v/>
      </c>
      <c r="BK215">
        <f>MAX(0,MIN(1,0.28*AR215+0.18*AT215+0.16*BJ215+0.14*(1-AV215)+0.12*BQ215+0.12*BO215))</f>
        <v/>
      </c>
      <c r="BL215">
        <f>MAX(0,MIN(1,0.22*AQ215+0.18*AS215+0.18*BC215+0.18*BD215+0.08*BE215+0.10*BF215+0.06*BO215))</f>
        <v/>
      </c>
      <c r="BM215">
        <f>MAX(0,MIN(1,0.20*(1-AZ215)+0.16*(1-BA215)+0.14*(1-AW215)+0.14*AU215+0.18*BG215+0.10*BH215+0.08*BP215))</f>
        <v/>
      </c>
      <c r="BN215">
        <f>MAX(0,MIN(1,0.42*BJ215+0.33*BK215+0.15*AT215+0.10*BQ215))</f>
        <v/>
      </c>
      <c r="BO215">
        <f>MAX(0,MIN(1,0.30*BC215+0.24*BD215+0.18*AS215+0.14*(1-BI215)+0.14*AT215))</f>
        <v/>
      </c>
      <c r="BP215">
        <f>MAX(0,MIN(1,0.26*AS215+0.20*(1-BA215)+0.16*(1-AW215)+0.18*BG215+0.10*AU215+0.10+BB215))</f>
        <v/>
      </c>
      <c r="BQ215">
        <f>MAX(0,MIN(1,0.24*AT215+0.18*BF215+0.14*AR215+0.14*BO215+0.14*(1-AV215)+0.16*(1-AZ215)))</f>
        <v/>
      </c>
      <c r="BR215">
        <f>IF(BO215&gt;=0.80,"Open",IF(BO215&gt;=0.62,"Measured",IF(BO215&gt;=0.45,"Selective","Guarded")))</f>
        <v/>
      </c>
      <c r="BS215">
        <f>IF(Y215="COMM_Direct","Direct",IF(Y215="COMM_Emotional","Emotional",IF(Y215="COMM_Logical","Logical",IF(Y215="COMM_Indirect","Indirect","Avoidant"))))</f>
        <v/>
      </c>
      <c r="BT215">
        <f>IF(BG215&gt;=0.78,"Co-repair",IF(BG215&gt;=0.58,"Re-engage",IF(BG215&gt;=0.40,"Delay","Suppress")))</f>
        <v/>
      </c>
      <c r="BU215">
        <f>IF(BI215&gt;=0.70,"Retreat-risk",IF(BH215&lt;=0.40,"Rush-risk",IF(BH215&gt;=0.65,"Slow-build","Mixed")))</f>
        <v/>
      </c>
      <c r="BV215">
        <f>IF(BL215-BM215&gt;=0.15,"Stimulation-seeking",IF(BM215-BL215&gt;=0.15,"Calm-seeking","Mixed")))</f>
        <v/>
      </c>
      <c r="BW215">
        <f>IF(AND(BL215&gt;=0.72,BM215&lt;0.48),"High",IF(AND(BL215&gt;=0.60,BM215&lt;0.58),"Medium","Low"))</f>
        <v/>
      </c>
    </row>
    <row r="216" ht="121.5" customHeight="1" s="10">
      <c r="A216" s="2" t="inlineStr">
        <is>
          <t>Q43_E</t>
        </is>
      </c>
      <c r="B216" s="2" t="n">
        <v>43</v>
      </c>
      <c r="C216" s="2" t="n">
        <v>43</v>
      </c>
      <c r="D216" s="2" t="inlineStr">
        <is>
          <t>Core</t>
        </is>
      </c>
      <c r="E216" s="2" t="n">
        <v>1.3</v>
      </c>
      <c r="F216" s="2" t="inlineStr">
        <is>
          <t>EmotionalNeeds</t>
        </is>
      </c>
      <c r="G216" s="2" t="inlineStr">
        <is>
          <t>IntimacyThreshold</t>
        </is>
      </c>
      <c r="H216" s="2" t="n"/>
      <c r="I216" s="2" t="inlineStr">
        <is>
          <t>E</t>
        </is>
      </c>
      <c r="J216" s="2" t="inlineStr">
        <is>
          <t>E</t>
        </is>
      </c>
      <c r="K216" s="2" t="inlineStr">
        <is>
          <t>They'll ask me to slow down, and I won't know how. I fall hard and then wonder why they didn't catch me.</t>
        </is>
      </c>
      <c r="L216" s="2" t="n">
        <v>7</v>
      </c>
      <c r="M216" s="2" t="n">
        <v>8</v>
      </c>
      <c r="N216" s="2" t="n">
        <v>6</v>
      </c>
      <c r="O216" s="2" t="n">
        <v>8</v>
      </c>
      <c r="P216" s="2" t="n">
        <v>6</v>
      </c>
      <c r="Q216" s="2" t="inlineStr">
        <is>
          <t>Fixer</t>
        </is>
      </c>
      <c r="R216" s="2" t="n">
        <v>5</v>
      </c>
      <c r="S216" s="2" t="n"/>
      <c r="T216" s="2" t="n"/>
      <c r="U216" s="2" t="n">
        <v>0</v>
      </c>
      <c r="V216" s="2" t="inlineStr">
        <is>
          <t>masc:-0.4;fem:2.0</t>
        </is>
      </c>
      <c r="W216" s="2" t="n">
        <v>-0.4</v>
      </c>
      <c r="X216" s="2" t="n">
        <v>2</v>
      </c>
      <c r="Y216" s="2" t="inlineStr">
        <is>
          <t>COMM_Emotional</t>
        </is>
      </c>
      <c r="Z216" s="2" t="inlineStr">
        <is>
          <t>REG_CoRegulator</t>
        </is>
      </c>
      <c r="AA216" s="2" t="inlineStr">
        <is>
          <t>LANG_Service</t>
        </is>
      </c>
      <c r="AB216" s="2" t="n"/>
      <c r="AC216" s="2" t="n"/>
      <c r="AD216" s="2" t="n"/>
      <c r="AE216" s="2" t="n">
        <v>0</v>
      </c>
      <c r="AF216" s="2" t="inlineStr">
        <is>
          <t>speed of love fear</t>
        </is>
      </c>
      <c r="AG216" s="2" t="inlineStr">
        <is>
          <t>fast feeler</t>
        </is>
      </c>
      <c r="AH216" s="2" t="n">
        <v>0</v>
      </c>
      <c r="AI216" s="2" t="inlineStr">
        <is>
          <t>no</t>
        </is>
      </c>
      <c r="AJ216" s="2" t="inlineStr">
        <is>
          <t>no</t>
        </is>
      </c>
      <c r="AK216" s="2" t="inlineStr">
        <is>
          <t>no</t>
        </is>
      </c>
      <c r="AL216" s="2" t="inlineStr">
        <is>
          <t>no</t>
        </is>
      </c>
      <c r="AM216" s="2" t="n"/>
      <c r="AN216" s="2" t="n"/>
      <c r="AO216" s="2" t="n"/>
      <c r="AP216" s="2" t="inlineStr">
        <is>
          <t>v3_2026-03-19</t>
        </is>
      </c>
      <c r="AQ216">
        <f>(L216-Schema_v5!$C2)/(Schema_v5!$C3-Schema_v5!$C2)</f>
        <v/>
      </c>
      <c r="AR216">
        <f>(M216-Schema_v5!$C4)/(Schema_v5!$C5-Schema_v5!$C4)</f>
        <v/>
      </c>
      <c r="AS216">
        <f>N216/Schema_v5!$C6</f>
        <v/>
      </c>
      <c r="AT216">
        <f>O216/Schema_v5!$C7</f>
        <v/>
      </c>
      <c r="AU216">
        <f>P216/Schema_v5!$C8</f>
        <v/>
      </c>
      <c r="AV216">
        <f>IF(Schema_v5!$C9=0,0,AH216/Schema_v5!$C9)</f>
        <v/>
      </c>
      <c r="AW216">
        <f>IF(Schema_v5!$C10=0,0,AE216/Schema_v5!$C10)</f>
        <v/>
      </c>
      <c r="AX216">
        <f>(W216-Schema_v5!$C11)/(Schema_v5!$C12-Schema_v5!$C11)</f>
        <v/>
      </c>
      <c r="AY216">
        <f>(X216-Schema_v5!$C13)/(Schema_v5!$C14-Schema_v5!$C13)</f>
        <v/>
      </c>
      <c r="AZ216">
        <f>MIN(1,MAX(0,U216/Schema_v7!$C$9))</f>
        <v/>
      </c>
      <c r="BA216">
        <f>IF(AJ216="yes",0.55,0)</f>
        <v/>
      </c>
      <c r="BB216">
        <f>IF(AI216="yes",0.10,0)</f>
        <v/>
      </c>
      <c r="BC216">
        <f>IF(Y216="COMM_Direct",0.92,IF(Y216="COMM_Emotional",0.70,IF(Y216="COMM_Logical",0.65,IF(Y216="COMM_Indirect",0.55,0.35))))</f>
        <v/>
      </c>
      <c r="BD216">
        <f>IF(Z216="REG_CoRegulator",0.92,IF(Z216="REG_SelfSoother",0.76,IF(Z216="REG_Distractor",0.48,0.35)))</f>
        <v/>
      </c>
      <c r="BE216">
        <f>IF(AA216="LANG_Time",0.76,IF(AA216="LANG_Service",0.70,IF(AA216="LANG_Words",0.72,IF(AA216="LANG_Touch",0.68,0.60))))</f>
        <v/>
      </c>
      <c r="BF216">
        <f>MAX(0,MIN(1,0.28*AS216+0.16*AT216+0.18*BC216+0.18*BD216+0.10*(1-AZ216)+0.10*(1-BA216)+BB216))</f>
        <v/>
      </c>
      <c r="BG216">
        <f>MAX(0,MIN(1,0.24*AU216+0.18*AS216+0.18*BC216+0.20*BD216+0.10*(1-AW216)+0.10*(1-BA216)))</f>
        <v/>
      </c>
      <c r="BH216">
        <f>MAX(0,MIN(1,0.28*AR216+0.18*AT216+0.16*AU216+0.18*(1-AV216)+0.10*(1-AW216)+0.10*BF216))</f>
        <v/>
      </c>
      <c r="BI216">
        <f>MAX(0,MIN(1,0.30*AV216+0.20*AZ216+0.20*AW216+0.15*(1-BH216)+0.15*(1-BO216)))</f>
        <v/>
      </c>
      <c r="BJ216">
        <f>MAX(0,1-(ABS(((( AX216+AY216)/2)-0.55)*1.6)))</f>
        <v/>
      </c>
      <c r="BK216">
        <f>MAX(0,MIN(1,0.28*AR216+0.18*AT216+0.16*BJ216+0.14*(1-AV216)+0.12*BQ216+0.12*BO216))</f>
        <v/>
      </c>
      <c r="BL216">
        <f>MAX(0,MIN(1,0.22*AQ216+0.18*AS216+0.18*BC216+0.18*BD216+0.08*BE216+0.10*BF216+0.06*BO216))</f>
        <v/>
      </c>
      <c r="BM216">
        <f>MAX(0,MIN(1,0.20*(1-AZ216)+0.16*(1-BA216)+0.14*(1-AW216)+0.14*AU216+0.18*BG216+0.10*BH216+0.08*BP216))</f>
        <v/>
      </c>
      <c r="BN216">
        <f>MAX(0,MIN(1,0.42*BJ216+0.33*BK216+0.15*AT216+0.10*BQ216))</f>
        <v/>
      </c>
      <c r="BO216">
        <f>MAX(0,MIN(1,0.30*BC216+0.24*BD216+0.18*AS216+0.14*(1-BI216)+0.14*AT216))</f>
        <v/>
      </c>
      <c r="BP216">
        <f>MAX(0,MIN(1,0.26*AS216+0.20*(1-BA216)+0.16*(1-AW216)+0.18*BG216+0.10*AU216+0.10+BB216))</f>
        <v/>
      </c>
      <c r="BQ216">
        <f>MAX(0,MIN(1,0.24*AT216+0.18*BF216+0.14*AR216+0.14*BO216+0.14*(1-AV216)+0.16*(1-AZ216)))</f>
        <v/>
      </c>
      <c r="BR216">
        <f>IF(BO216&gt;=0.80,"Open",IF(BO216&gt;=0.62,"Measured",IF(BO216&gt;=0.45,"Selective","Guarded")))</f>
        <v/>
      </c>
      <c r="BS216">
        <f>IF(Y216="COMM_Direct","Direct",IF(Y216="COMM_Emotional","Emotional",IF(Y216="COMM_Logical","Logical",IF(Y216="COMM_Indirect","Indirect","Avoidant"))))</f>
        <v/>
      </c>
      <c r="BT216">
        <f>IF(BG216&gt;=0.78,"Co-repair",IF(BG216&gt;=0.58,"Re-engage",IF(BG216&gt;=0.40,"Delay","Suppress")))</f>
        <v/>
      </c>
      <c r="BU216">
        <f>IF(BI216&gt;=0.70,"Retreat-risk",IF(BH216&lt;=0.40,"Rush-risk",IF(BH216&gt;=0.65,"Slow-build","Mixed")))</f>
        <v/>
      </c>
      <c r="BV216">
        <f>IF(BL216-BM216&gt;=0.15,"Stimulation-seeking",IF(BM216-BL216&gt;=0.15,"Calm-seeking","Mixed")))</f>
        <v/>
      </c>
      <c r="BW216">
        <f>IF(AND(BL216&gt;=0.72,BM216&lt;0.48),"High",IF(AND(BL216&gt;=0.60,BM216&lt;0.58),"Medium","Low"))</f>
        <v/>
      </c>
    </row>
    <row r="217" ht="135" customHeight="1" s="10">
      <c r="A217" s="2" t="inlineStr">
        <is>
          <t>Q44_A</t>
        </is>
      </c>
      <c r="B217" s="2" t="n">
        <v>44</v>
      </c>
      <c r="C217" s="2" t="n">
        <v>44</v>
      </c>
      <c r="D217" s="2" t="inlineStr">
        <is>
          <t>Core</t>
        </is>
      </c>
      <c r="E217" s="2" t="n">
        <v>1.3</v>
      </c>
      <c r="F217" s="2" t="inlineStr">
        <is>
          <t>EmotionalNeeds</t>
        </is>
      </c>
      <c r="G217" s="2" t="inlineStr">
        <is>
          <t>IntimacyThreshold</t>
        </is>
      </c>
      <c r="H217" s="2" t="inlineStr">
        <is>
          <t>You care about someone. You're hurt by something they did. You could say something... but what usually stops you?</t>
        </is>
      </c>
      <c r="I217" s="2" t="inlineStr">
        <is>
          <t>A</t>
        </is>
      </c>
      <c r="J217" s="2" t="inlineStr">
        <is>
          <t>A</t>
        </is>
      </c>
      <c r="K217" s="2" t="inlineStr">
        <is>
          <t>I don't want to seem dramatic. I've learned silence protects me better than honesty does.</t>
        </is>
      </c>
      <c r="L217" s="2" t="n">
        <v>6</v>
      </c>
      <c r="M217" s="2" t="n">
        <v>7</v>
      </c>
      <c r="N217" s="2" t="n">
        <v>2</v>
      </c>
      <c r="O217" s="2" t="n">
        <v>2</v>
      </c>
      <c r="P217" s="2" t="n">
        <v>0</v>
      </c>
      <c r="Q217" s="2" t="inlineStr">
        <is>
          <t>Icebox</t>
        </is>
      </c>
      <c r="R217" s="2" t="n">
        <v>1</v>
      </c>
      <c r="S217" s="2" t="n"/>
      <c r="T217" s="2" t="n"/>
      <c r="U217" s="2" t="n">
        <v>0</v>
      </c>
      <c r="V217" s="2" t="inlineStr">
        <is>
          <t>masc:1.8;fem:-1.6</t>
        </is>
      </c>
      <c r="W217" s="2" t="n">
        <v>1.8</v>
      </c>
      <c r="X217" s="2" t="n">
        <v>-1.6</v>
      </c>
      <c r="Y217" s="2" t="inlineStr">
        <is>
          <t>COMM_Avoidant</t>
        </is>
      </c>
      <c r="Z217" s="2" t="inlineStr">
        <is>
          <t>REG_Suppressor</t>
        </is>
      </c>
      <c r="AA217" s="2" t="inlineStr">
        <is>
          <t>LANG_Time</t>
        </is>
      </c>
      <c r="AB217" s="2" t="inlineStr">
        <is>
          <t>Vulnerability_Loop</t>
        </is>
      </c>
      <c r="AC217" s="2" t="inlineStr">
        <is>
          <t>Vulnerability_Loop</t>
        </is>
      </c>
      <c r="AD217" s="2" t="n"/>
      <c r="AE217" s="2" t="n">
        <v>5</v>
      </c>
      <c r="AF217" s="2" t="inlineStr">
        <is>
          <t>self-protection over expression</t>
        </is>
      </c>
      <c r="AG217" s="2" t="n"/>
      <c r="AH217" s="2" t="n">
        <v>0</v>
      </c>
      <c r="AI217" s="2" t="inlineStr">
        <is>
          <t>yes</t>
        </is>
      </c>
      <c r="AJ217" s="2" t="inlineStr">
        <is>
          <t>no</t>
        </is>
      </c>
      <c r="AK217" s="2" t="inlineStr">
        <is>
          <t>no</t>
        </is>
      </c>
      <c r="AL217" s="2" t="inlineStr">
        <is>
          <t>no</t>
        </is>
      </c>
      <c r="AM217" s="2" t="n"/>
      <c r="AN217" s="2" t="n"/>
      <c r="AO217" s="2" t="n"/>
      <c r="AP217" s="2" t="inlineStr">
        <is>
          <t>v3_2026-03-19</t>
        </is>
      </c>
      <c r="AQ217">
        <f>(L217-Schema_v5!$C2)/(Schema_v5!$C3-Schema_v5!$C2)</f>
        <v/>
      </c>
      <c r="AR217">
        <f>(M217-Schema_v5!$C4)/(Schema_v5!$C5-Schema_v5!$C4)</f>
        <v/>
      </c>
      <c r="AS217">
        <f>N217/Schema_v5!$C6</f>
        <v/>
      </c>
      <c r="AT217">
        <f>O217/Schema_v5!$C7</f>
        <v/>
      </c>
      <c r="AU217">
        <f>P217/Schema_v5!$C8</f>
        <v/>
      </c>
      <c r="AV217">
        <f>IF(Schema_v5!$C9=0,0,AH217/Schema_v5!$C9)</f>
        <v/>
      </c>
      <c r="AW217">
        <f>IF(Schema_v5!$C10=0,0,AE217/Schema_v5!$C10)</f>
        <v/>
      </c>
      <c r="AX217">
        <f>(W217-Schema_v5!$C11)/(Schema_v5!$C12-Schema_v5!$C11)</f>
        <v/>
      </c>
      <c r="AY217">
        <f>(X217-Schema_v5!$C13)/(Schema_v5!$C14-Schema_v5!$C13)</f>
        <v/>
      </c>
      <c r="AZ217">
        <f>MIN(1,MAX(0,U217/Schema_v7!$C$9))</f>
        <v/>
      </c>
      <c r="BA217">
        <f>IF(AJ217="yes",0.55,0)</f>
        <v/>
      </c>
      <c r="BB217">
        <f>IF(AI217="yes",0.10,0)</f>
        <v/>
      </c>
      <c r="BC217">
        <f>IF(Y217="COMM_Direct",0.92,IF(Y217="COMM_Emotional",0.70,IF(Y217="COMM_Logical",0.65,IF(Y217="COMM_Indirect",0.55,0.35))))</f>
        <v/>
      </c>
      <c r="BD217">
        <f>IF(Z217="REG_CoRegulator",0.92,IF(Z217="REG_SelfSoother",0.76,IF(Z217="REG_Distractor",0.48,0.35)))</f>
        <v/>
      </c>
      <c r="BE217">
        <f>IF(AA217="LANG_Time",0.76,IF(AA217="LANG_Service",0.70,IF(AA217="LANG_Words",0.72,IF(AA217="LANG_Touch",0.68,0.60))))</f>
        <v/>
      </c>
      <c r="BF217">
        <f>MAX(0,MIN(1,0.28*AS217+0.16*AT217+0.18*BC217+0.18*BD217+0.10*(1-AZ217)+0.10*(1-BA217)+BB217))</f>
        <v/>
      </c>
      <c r="BG217">
        <f>MAX(0,MIN(1,0.24*AU217+0.18*AS217+0.18*BC217+0.20*BD217+0.10*(1-AW217)+0.10*(1-BA217)))</f>
        <v/>
      </c>
      <c r="BH217">
        <f>MAX(0,MIN(1,0.28*AR217+0.18*AT217+0.16*AU217+0.18*(1-AV217)+0.10*(1-AW217)+0.10*BF217))</f>
        <v/>
      </c>
      <c r="BI217">
        <f>MAX(0,MIN(1,0.30*AV217+0.20*AZ217+0.20*AW217+0.15*(1-BH217)+0.15*(1-BO217)))</f>
        <v/>
      </c>
      <c r="BJ217">
        <f>MAX(0,1-(ABS(((( AX217+AY217)/2)-0.55)*1.6)))</f>
        <v/>
      </c>
      <c r="BK217">
        <f>MAX(0,MIN(1,0.28*AR217+0.18*AT217+0.16*BJ217+0.14*(1-AV217)+0.12*BQ217+0.12*BO217))</f>
        <v/>
      </c>
      <c r="BL217">
        <f>MAX(0,MIN(1,0.22*AQ217+0.18*AS217+0.18*BC217+0.18*BD217+0.08*BE217+0.10*BF217+0.06*BO217))</f>
        <v/>
      </c>
      <c r="BM217">
        <f>MAX(0,MIN(1,0.20*(1-AZ217)+0.16*(1-BA217)+0.14*(1-AW217)+0.14*AU217+0.18*BG217+0.10*BH217+0.08*BP217))</f>
        <v/>
      </c>
      <c r="BN217">
        <f>MAX(0,MIN(1,0.42*BJ217+0.33*BK217+0.15*AT217+0.10*BQ217))</f>
        <v/>
      </c>
      <c r="BO217">
        <f>MAX(0,MIN(1,0.30*BC217+0.24*BD217+0.18*AS217+0.14*(1-BI217)+0.14*AT217))</f>
        <v/>
      </c>
      <c r="BP217">
        <f>MAX(0,MIN(1,0.26*AS217+0.20*(1-BA217)+0.16*(1-AW217)+0.18*BG217+0.10*AU217+0.10+BB217))</f>
        <v/>
      </c>
      <c r="BQ217">
        <f>MAX(0,MIN(1,0.24*AT217+0.18*BF217+0.14*AR217+0.14*BO217+0.14*(1-AV217)+0.16*(1-AZ217)))</f>
        <v/>
      </c>
      <c r="BR217">
        <f>IF(BO217&gt;=0.80,"Open",IF(BO217&gt;=0.62,"Measured",IF(BO217&gt;=0.45,"Selective","Guarded")))</f>
        <v/>
      </c>
      <c r="BS217">
        <f>IF(Y217="COMM_Direct","Direct",IF(Y217="COMM_Emotional","Emotional",IF(Y217="COMM_Logical","Logical",IF(Y217="COMM_Indirect","Indirect","Avoidant"))))</f>
        <v/>
      </c>
      <c r="BT217">
        <f>IF(BG217&gt;=0.78,"Co-repair",IF(BG217&gt;=0.58,"Re-engage",IF(BG217&gt;=0.40,"Delay","Suppress")))</f>
        <v/>
      </c>
      <c r="BU217">
        <f>IF(BI217&gt;=0.70,"Retreat-risk",IF(BH217&lt;=0.40,"Rush-risk",IF(BH217&gt;=0.65,"Slow-build","Mixed")))</f>
        <v/>
      </c>
      <c r="BV217">
        <f>IF(BL217-BM217&gt;=0.15,"Stimulation-seeking",IF(BM217-BL217&gt;=0.15,"Calm-seeking","Mixed")))</f>
        <v/>
      </c>
      <c r="BW217">
        <f>IF(AND(BL217&gt;=0.72,BM217&lt;0.48),"High",IF(AND(BL217&gt;=0.60,BM217&lt;0.58),"Medium","Low"))</f>
        <v/>
      </c>
    </row>
    <row r="218" ht="68.25" customHeight="1" s="10">
      <c r="A218" s="2" t="inlineStr">
        <is>
          <t>Q44_B</t>
        </is>
      </c>
      <c r="B218" s="2" t="n">
        <v>44</v>
      </c>
      <c r="C218" s="2" t="n">
        <v>44</v>
      </c>
      <c r="D218" s="2" t="inlineStr">
        <is>
          <t>Core</t>
        </is>
      </c>
      <c r="E218" s="2" t="n">
        <v>1.3</v>
      </c>
      <c r="F218" s="2" t="inlineStr">
        <is>
          <t>EmotionalNeeds</t>
        </is>
      </c>
      <c r="G218" s="2" t="inlineStr">
        <is>
          <t>IntimacyThreshold</t>
        </is>
      </c>
      <c r="H218" s="2" t="n"/>
      <c r="I218" s="2" t="inlineStr">
        <is>
          <t>B</t>
        </is>
      </c>
      <c r="J218" s="2" t="inlineStr">
        <is>
          <t>B</t>
        </is>
      </c>
      <c r="K218" s="2" t="inlineStr">
        <is>
          <t>I'm scared they'll think I'm too much, or worse, they'll leave.</t>
        </is>
      </c>
      <c r="L218" s="2" t="n">
        <v>5</v>
      </c>
      <c r="M218" s="2" t="n">
        <v>6</v>
      </c>
      <c r="N218" s="2" t="n">
        <v>2</v>
      </c>
      <c r="O218" s="2" t="n">
        <v>4</v>
      </c>
      <c r="P218" s="2" t="n">
        <v>2</v>
      </c>
      <c r="Q218" s="2" t="inlineStr">
        <is>
          <t>Phantom Seeker</t>
        </is>
      </c>
      <c r="R218" s="2" t="n">
        <v>10</v>
      </c>
      <c r="S218" s="2" t="n"/>
      <c r="T218" s="2" t="n"/>
      <c r="U218" s="2" t="n">
        <v>0</v>
      </c>
      <c r="V218" s="2" t="inlineStr">
        <is>
          <t>masc:-0.2;fem:1.5</t>
        </is>
      </c>
      <c r="W218" s="2" t="n">
        <v>-0.2</v>
      </c>
      <c r="X218" s="2" t="n">
        <v>1.5</v>
      </c>
      <c r="Y218" s="2" t="inlineStr">
        <is>
          <t>COMM_Emotional</t>
        </is>
      </c>
      <c r="Z218" s="2" t="inlineStr">
        <is>
          <t>REG_SelfSoother</t>
        </is>
      </c>
      <c r="AA218" s="2" t="inlineStr">
        <is>
          <t>LANG_Touch</t>
        </is>
      </c>
      <c r="AB218" s="2" t="inlineStr">
        <is>
          <t>Vulnerability_Loop</t>
        </is>
      </c>
      <c r="AC218" s="2" t="inlineStr">
        <is>
          <t>Vulnerability_Loop</t>
        </is>
      </c>
      <c r="AD218" s="2" t="n"/>
      <c r="AE218" s="2" t="n">
        <v>5</v>
      </c>
      <c r="AF218" s="2" t="inlineStr">
        <is>
          <t>fear of abandonment</t>
        </is>
      </c>
      <c r="AG218" s="2" t="inlineStr">
        <is>
          <t>hesitant truther</t>
        </is>
      </c>
      <c r="AH218" s="2" t="n">
        <v>0</v>
      </c>
      <c r="AI218" s="2" t="inlineStr">
        <is>
          <t>yes</t>
        </is>
      </c>
      <c r="AJ218" s="2" t="inlineStr">
        <is>
          <t>no</t>
        </is>
      </c>
      <c r="AK218" s="2" t="inlineStr">
        <is>
          <t>no</t>
        </is>
      </c>
      <c r="AL218" s="2" t="inlineStr">
        <is>
          <t>no</t>
        </is>
      </c>
      <c r="AM218" s="2" t="n"/>
      <c r="AN218" s="2" t="n"/>
      <c r="AO218" s="2" t="n"/>
      <c r="AP218" s="2" t="inlineStr">
        <is>
          <t>v3_2026-03-19</t>
        </is>
      </c>
      <c r="AQ218">
        <f>(L218-Schema_v5!$C2)/(Schema_v5!$C3-Schema_v5!$C2)</f>
        <v/>
      </c>
      <c r="AR218">
        <f>(M218-Schema_v5!$C4)/(Schema_v5!$C5-Schema_v5!$C4)</f>
        <v/>
      </c>
      <c r="AS218">
        <f>N218/Schema_v5!$C6</f>
        <v/>
      </c>
      <c r="AT218">
        <f>O218/Schema_v5!$C7</f>
        <v/>
      </c>
      <c r="AU218">
        <f>P218/Schema_v5!$C8</f>
        <v/>
      </c>
      <c r="AV218">
        <f>IF(Schema_v5!$C9=0,0,AH218/Schema_v5!$C9)</f>
        <v/>
      </c>
      <c r="AW218">
        <f>IF(Schema_v5!$C10=0,0,AE218/Schema_v5!$C10)</f>
        <v/>
      </c>
      <c r="AX218">
        <f>(W218-Schema_v5!$C11)/(Schema_v5!$C12-Schema_v5!$C11)</f>
        <v/>
      </c>
      <c r="AY218">
        <f>(X218-Schema_v5!$C13)/(Schema_v5!$C14-Schema_v5!$C13)</f>
        <v/>
      </c>
      <c r="AZ218">
        <f>MIN(1,MAX(0,U218/Schema_v7!$C$9))</f>
        <v/>
      </c>
      <c r="BA218">
        <f>IF(AJ218="yes",0.55,0)</f>
        <v/>
      </c>
      <c r="BB218">
        <f>IF(AI218="yes",0.10,0)</f>
        <v/>
      </c>
      <c r="BC218">
        <f>IF(Y218="COMM_Direct",0.92,IF(Y218="COMM_Emotional",0.70,IF(Y218="COMM_Logical",0.65,IF(Y218="COMM_Indirect",0.55,0.35))))</f>
        <v/>
      </c>
      <c r="BD218">
        <f>IF(Z218="REG_CoRegulator",0.92,IF(Z218="REG_SelfSoother",0.76,IF(Z218="REG_Distractor",0.48,0.35)))</f>
        <v/>
      </c>
      <c r="BE218">
        <f>IF(AA218="LANG_Time",0.76,IF(AA218="LANG_Service",0.70,IF(AA218="LANG_Words",0.72,IF(AA218="LANG_Touch",0.68,0.60))))</f>
        <v/>
      </c>
      <c r="BF218">
        <f>MAX(0,MIN(1,0.28*AS218+0.16*AT218+0.18*BC218+0.18*BD218+0.10*(1-AZ218)+0.10*(1-BA218)+BB218))</f>
        <v/>
      </c>
      <c r="BG218">
        <f>MAX(0,MIN(1,0.24*AU218+0.18*AS218+0.18*BC218+0.20*BD218+0.10*(1-AW218)+0.10*(1-BA218)))</f>
        <v/>
      </c>
      <c r="BH218">
        <f>MAX(0,MIN(1,0.28*AR218+0.18*AT218+0.16*AU218+0.18*(1-AV218)+0.10*(1-AW218)+0.10*BF218))</f>
        <v/>
      </c>
      <c r="BI218">
        <f>MAX(0,MIN(1,0.30*AV218+0.20*AZ218+0.20*AW218+0.15*(1-BH218)+0.15*(1-BO218)))</f>
        <v/>
      </c>
      <c r="BJ218">
        <f>MAX(0,1-(ABS(((( AX218+AY218)/2)-0.55)*1.6)))</f>
        <v/>
      </c>
      <c r="BK218">
        <f>MAX(0,MIN(1,0.28*AR218+0.18*AT218+0.16*BJ218+0.14*(1-AV218)+0.12*BQ218+0.12*BO218))</f>
        <v/>
      </c>
      <c r="BL218">
        <f>MAX(0,MIN(1,0.22*AQ218+0.18*AS218+0.18*BC218+0.18*BD218+0.08*BE218+0.10*BF218+0.06*BO218))</f>
        <v/>
      </c>
      <c r="BM218">
        <f>MAX(0,MIN(1,0.20*(1-AZ218)+0.16*(1-BA218)+0.14*(1-AW218)+0.14*AU218+0.18*BG218+0.10*BH218+0.08*BP218))</f>
        <v/>
      </c>
      <c r="BN218">
        <f>MAX(0,MIN(1,0.42*BJ218+0.33*BK218+0.15*AT218+0.10*BQ218))</f>
        <v/>
      </c>
      <c r="BO218">
        <f>MAX(0,MIN(1,0.30*BC218+0.24*BD218+0.18*AS218+0.14*(1-BI218)+0.14*AT218))</f>
        <v/>
      </c>
      <c r="BP218">
        <f>MAX(0,MIN(1,0.26*AS218+0.20*(1-BA218)+0.16*(1-AW218)+0.18*BG218+0.10*AU218+0.10+BB218))</f>
        <v/>
      </c>
      <c r="BQ218">
        <f>MAX(0,MIN(1,0.24*AT218+0.18*BF218+0.14*AR218+0.14*BO218+0.14*(1-AV218)+0.16*(1-AZ218)))</f>
        <v/>
      </c>
      <c r="BR218">
        <f>IF(BO218&gt;=0.80,"Open",IF(BO218&gt;=0.62,"Measured",IF(BO218&gt;=0.45,"Selective","Guarded")))</f>
        <v/>
      </c>
      <c r="BS218">
        <f>IF(Y218="COMM_Direct","Direct",IF(Y218="COMM_Emotional","Emotional",IF(Y218="COMM_Logical","Logical",IF(Y218="COMM_Indirect","Indirect","Avoidant"))))</f>
        <v/>
      </c>
      <c r="BT218">
        <f>IF(BG218&gt;=0.78,"Co-repair",IF(BG218&gt;=0.58,"Re-engage",IF(BG218&gt;=0.40,"Delay","Suppress")))</f>
        <v/>
      </c>
      <c r="BU218">
        <f>IF(BI218&gt;=0.70,"Retreat-risk",IF(BH218&lt;=0.40,"Rush-risk",IF(BH218&gt;=0.65,"Slow-build","Mixed")))</f>
        <v/>
      </c>
      <c r="BV218">
        <f>IF(BL218-BM218&gt;=0.15,"Stimulation-seeking",IF(BM218-BL218&gt;=0.15,"Calm-seeking","Mixed")))</f>
        <v/>
      </c>
      <c r="BW218">
        <f>IF(AND(BL218&gt;=0.72,BM218&lt;0.48),"High",IF(AND(BL218&gt;=0.60,BM218&lt;0.58),"Medium","Low"))</f>
        <v/>
      </c>
    </row>
    <row r="219" ht="94.5" customHeight="1" s="10">
      <c r="A219" s="2" t="inlineStr">
        <is>
          <t>Q44_C</t>
        </is>
      </c>
      <c r="B219" s="2" t="n">
        <v>44</v>
      </c>
      <c r="C219" s="2" t="n">
        <v>44</v>
      </c>
      <c r="D219" s="2" t="inlineStr">
        <is>
          <t>Core</t>
        </is>
      </c>
      <c r="E219" s="2" t="n">
        <v>1.3</v>
      </c>
      <c r="F219" s="2" t="inlineStr">
        <is>
          <t>EmotionalNeeds</t>
        </is>
      </c>
      <c r="G219" s="2" t="inlineStr">
        <is>
          <t>IntimacyThreshold</t>
        </is>
      </c>
      <c r="H219" s="2" t="n"/>
      <c r="I219" s="2" t="inlineStr">
        <is>
          <t>C</t>
        </is>
      </c>
      <c r="J219" s="2" t="inlineStr">
        <is>
          <t>C</t>
        </is>
      </c>
      <c r="K219" s="2" t="inlineStr">
        <is>
          <t>I can't always tell if I'm overreacting or just reacting late... so I keep it in.</t>
        </is>
      </c>
      <c r="L219" s="2" t="n">
        <v>6</v>
      </c>
      <c r="M219" s="2" t="n">
        <v>7</v>
      </c>
      <c r="N219" s="2" t="n">
        <v>4</v>
      </c>
      <c r="O219" s="2" t="n">
        <v>6</v>
      </c>
      <c r="P219" s="2" t="n">
        <v>4</v>
      </c>
      <c r="Q219" s="2" t="inlineStr">
        <is>
          <t>Analyzer</t>
        </is>
      </c>
      <c r="R219" s="2" t="n">
        <v>2</v>
      </c>
      <c r="S219" s="2" t="n"/>
      <c r="T219" s="2" t="n"/>
      <c r="U219" s="2" t="n">
        <v>0</v>
      </c>
      <c r="V219" s="2" t="inlineStr">
        <is>
          <t>masc:1.4;fem:0.1</t>
        </is>
      </c>
      <c r="W219" s="2" t="n">
        <v>1.4</v>
      </c>
      <c r="X219" s="2" t="n">
        <v>0.1</v>
      </c>
      <c r="Y219" s="2" t="inlineStr">
        <is>
          <t>COMM_Logical</t>
        </is>
      </c>
      <c r="Z219" s="2" t="inlineStr">
        <is>
          <t>REG_SelfSoother</t>
        </is>
      </c>
      <c r="AA219" s="2" t="inlineStr">
        <is>
          <t>LANG_Service</t>
        </is>
      </c>
      <c r="AB219" s="2" t="inlineStr">
        <is>
          <t>Vulnerability_Loop</t>
        </is>
      </c>
      <c r="AC219" s="2" t="inlineStr">
        <is>
          <t>Vulnerability_Loop</t>
        </is>
      </c>
      <c r="AD219" s="2" t="n"/>
      <c r="AE219" s="2" t="n">
        <v>5</v>
      </c>
      <c r="AF219" s="2" t="inlineStr">
        <is>
          <t>emotional validity confusion</t>
        </is>
      </c>
      <c r="AG219" s="2" t="inlineStr">
        <is>
          <t>suppressed responder</t>
        </is>
      </c>
      <c r="AH219" s="2" t="n">
        <v>0</v>
      </c>
      <c r="AI219" s="2" t="inlineStr">
        <is>
          <t>yes</t>
        </is>
      </c>
      <c r="AJ219" s="2" t="inlineStr">
        <is>
          <t>no</t>
        </is>
      </c>
      <c r="AK219" s="2" t="inlineStr">
        <is>
          <t>no</t>
        </is>
      </c>
      <c r="AL219" s="2" t="inlineStr">
        <is>
          <t>no</t>
        </is>
      </c>
      <c r="AM219" s="2" t="n"/>
      <c r="AN219" s="2" t="n"/>
      <c r="AO219" s="2" t="n"/>
      <c r="AP219" s="2" t="inlineStr">
        <is>
          <t>v3_2026-03-19</t>
        </is>
      </c>
      <c r="AQ219">
        <f>(L219-Schema_v5!$C2)/(Schema_v5!$C3-Schema_v5!$C2)</f>
        <v/>
      </c>
      <c r="AR219">
        <f>(M219-Schema_v5!$C4)/(Schema_v5!$C5-Schema_v5!$C4)</f>
        <v/>
      </c>
      <c r="AS219">
        <f>N219/Schema_v5!$C6</f>
        <v/>
      </c>
      <c r="AT219">
        <f>O219/Schema_v5!$C7</f>
        <v/>
      </c>
      <c r="AU219">
        <f>P219/Schema_v5!$C8</f>
        <v/>
      </c>
      <c r="AV219">
        <f>IF(Schema_v5!$C9=0,0,AH219/Schema_v5!$C9)</f>
        <v/>
      </c>
      <c r="AW219">
        <f>IF(Schema_v5!$C10=0,0,AE219/Schema_v5!$C10)</f>
        <v/>
      </c>
      <c r="AX219">
        <f>(W219-Schema_v5!$C11)/(Schema_v5!$C12-Schema_v5!$C11)</f>
        <v/>
      </c>
      <c r="AY219">
        <f>(X219-Schema_v5!$C13)/(Schema_v5!$C14-Schema_v5!$C13)</f>
        <v/>
      </c>
      <c r="AZ219">
        <f>MIN(1,MAX(0,U219/Schema_v7!$C$9))</f>
        <v/>
      </c>
      <c r="BA219">
        <f>IF(AJ219="yes",0.55,0)</f>
        <v/>
      </c>
      <c r="BB219">
        <f>IF(AI219="yes",0.10,0)</f>
        <v/>
      </c>
      <c r="BC219">
        <f>IF(Y219="COMM_Direct",0.92,IF(Y219="COMM_Emotional",0.70,IF(Y219="COMM_Logical",0.65,IF(Y219="COMM_Indirect",0.55,0.35))))</f>
        <v/>
      </c>
      <c r="BD219">
        <f>IF(Z219="REG_CoRegulator",0.92,IF(Z219="REG_SelfSoother",0.76,IF(Z219="REG_Distractor",0.48,0.35)))</f>
        <v/>
      </c>
      <c r="BE219">
        <f>IF(AA219="LANG_Time",0.76,IF(AA219="LANG_Service",0.70,IF(AA219="LANG_Words",0.72,IF(AA219="LANG_Touch",0.68,0.60))))</f>
        <v/>
      </c>
      <c r="BF219">
        <f>MAX(0,MIN(1,0.28*AS219+0.16*AT219+0.18*BC219+0.18*BD219+0.10*(1-AZ219)+0.10*(1-BA219)+BB219))</f>
        <v/>
      </c>
      <c r="BG219">
        <f>MAX(0,MIN(1,0.24*AU219+0.18*AS219+0.18*BC219+0.20*BD219+0.10*(1-AW219)+0.10*(1-BA219)))</f>
        <v/>
      </c>
      <c r="BH219">
        <f>MAX(0,MIN(1,0.28*AR219+0.18*AT219+0.16*AU219+0.18*(1-AV219)+0.10*(1-AW219)+0.10*BF219))</f>
        <v/>
      </c>
      <c r="BI219">
        <f>MAX(0,MIN(1,0.30*AV219+0.20*AZ219+0.20*AW219+0.15*(1-BH219)+0.15*(1-BO219)))</f>
        <v/>
      </c>
      <c r="BJ219">
        <f>MAX(0,1-(ABS(((( AX219+AY219)/2)-0.55)*1.6)))</f>
        <v/>
      </c>
      <c r="BK219">
        <f>MAX(0,MIN(1,0.28*AR219+0.18*AT219+0.16*BJ219+0.14*(1-AV219)+0.12*BQ219+0.12*BO219))</f>
        <v/>
      </c>
      <c r="BL219">
        <f>MAX(0,MIN(1,0.22*AQ219+0.18*AS219+0.18*BC219+0.18*BD219+0.08*BE219+0.10*BF219+0.06*BO219))</f>
        <v/>
      </c>
      <c r="BM219">
        <f>MAX(0,MIN(1,0.20*(1-AZ219)+0.16*(1-BA219)+0.14*(1-AW219)+0.14*AU219+0.18*BG219+0.10*BH219+0.08*BP219))</f>
        <v/>
      </c>
      <c r="BN219">
        <f>MAX(0,MIN(1,0.42*BJ219+0.33*BK219+0.15*AT219+0.10*BQ219))</f>
        <v/>
      </c>
      <c r="BO219">
        <f>MAX(0,MIN(1,0.30*BC219+0.24*BD219+0.18*AS219+0.14*(1-BI219)+0.14*AT219))</f>
        <v/>
      </c>
      <c r="BP219">
        <f>MAX(0,MIN(1,0.26*AS219+0.20*(1-BA219)+0.16*(1-AW219)+0.18*BG219+0.10*AU219+0.10+BB219))</f>
        <v/>
      </c>
      <c r="BQ219">
        <f>MAX(0,MIN(1,0.24*AT219+0.18*BF219+0.14*AR219+0.14*BO219+0.14*(1-AV219)+0.16*(1-AZ219)))</f>
        <v/>
      </c>
      <c r="BR219">
        <f>IF(BO219&gt;=0.80,"Open",IF(BO219&gt;=0.62,"Measured",IF(BO219&gt;=0.45,"Selective","Guarded")))</f>
        <v/>
      </c>
      <c r="BS219">
        <f>IF(Y219="COMM_Direct","Direct",IF(Y219="COMM_Emotional","Emotional",IF(Y219="COMM_Logical","Logical",IF(Y219="COMM_Indirect","Indirect","Avoidant"))))</f>
        <v/>
      </c>
      <c r="BT219">
        <f>IF(BG219&gt;=0.78,"Co-repair",IF(BG219&gt;=0.58,"Re-engage",IF(BG219&gt;=0.40,"Delay","Suppress")))</f>
        <v/>
      </c>
      <c r="BU219">
        <f>IF(BI219&gt;=0.70,"Retreat-risk",IF(BH219&lt;=0.40,"Rush-risk",IF(BH219&gt;=0.65,"Slow-build","Mixed")))</f>
        <v/>
      </c>
      <c r="BV219">
        <f>IF(BL219-BM219&gt;=0.15,"Stimulation-seeking",IF(BM219-BL219&gt;=0.15,"Calm-seeking","Mixed")))</f>
        <v/>
      </c>
      <c r="BW219">
        <f>IF(AND(BL219&gt;=0.72,BM219&lt;0.48),"High",IF(AND(BL219&gt;=0.60,BM219&lt;0.58),"Medium","Low"))</f>
        <v/>
      </c>
    </row>
    <row r="220" ht="135" customHeight="1" s="10">
      <c r="A220" s="2" t="inlineStr">
        <is>
          <t>Q44_D</t>
        </is>
      </c>
      <c r="B220" s="2" t="n">
        <v>44</v>
      </c>
      <c r="C220" s="2" t="n">
        <v>44</v>
      </c>
      <c r="D220" s="2" t="inlineStr">
        <is>
          <t>Core</t>
        </is>
      </c>
      <c r="E220" s="2" t="n">
        <v>1.3</v>
      </c>
      <c r="F220" s="2" t="inlineStr">
        <is>
          <t>EmotionalNeeds</t>
        </is>
      </c>
      <c r="G220" s="2" t="inlineStr">
        <is>
          <t>IntimacyThreshold</t>
        </is>
      </c>
      <c r="H220" s="2" t="n"/>
      <c r="I220" s="2" t="inlineStr">
        <is>
          <t>D</t>
        </is>
      </c>
      <c r="J220" s="2" t="inlineStr">
        <is>
          <t>D</t>
        </is>
      </c>
      <c r="K220" s="2" t="inlineStr">
        <is>
          <t>I wait for the right moment to bring it up, but that moment never comes. So I smile through it and let it fester.</t>
        </is>
      </c>
      <c r="L220" s="2" t="n">
        <v>5</v>
      </c>
      <c r="M220" s="2" t="n">
        <v>6</v>
      </c>
      <c r="N220" s="2" t="n">
        <v>2</v>
      </c>
      <c r="O220" s="2" t="n">
        <v>2</v>
      </c>
      <c r="P220" s="2" t="n">
        <v>0</v>
      </c>
      <c r="Q220" s="2" t="inlineStr">
        <is>
          <t>Performer</t>
        </is>
      </c>
      <c r="R220" s="2" t="n">
        <v>7</v>
      </c>
      <c r="S220" s="2" t="n"/>
      <c r="T220" s="2" t="n"/>
      <c r="U220" s="2" t="n">
        <v>0</v>
      </c>
      <c r="V220" s="2" t="inlineStr">
        <is>
          <t>masc:0.3;fem:0.5</t>
        </is>
      </c>
      <c r="W220" s="2" t="n">
        <v>0.3</v>
      </c>
      <c r="X220" s="2" t="n">
        <v>0.5</v>
      </c>
      <c r="Y220" s="2" t="inlineStr">
        <is>
          <t>COMM_Indirect</t>
        </is>
      </c>
      <c r="Z220" s="2" t="inlineStr">
        <is>
          <t>REG_Distractor</t>
        </is>
      </c>
      <c r="AA220" s="2" t="inlineStr">
        <is>
          <t>LANG_Gifts</t>
        </is>
      </c>
      <c r="AB220" s="2" t="inlineStr">
        <is>
          <t>Vulnerability_Loop</t>
        </is>
      </c>
      <c r="AC220" s="2" t="inlineStr">
        <is>
          <t>Vulnerability_Loop</t>
        </is>
      </c>
      <c r="AD220" s="2" t="n"/>
      <c r="AE220" s="2" t="n">
        <v>5</v>
      </c>
      <c r="AF220" s="2" t="inlineStr">
        <is>
          <t>delayed conflict avoidance</t>
        </is>
      </c>
      <c r="AG220" s="2" t="inlineStr">
        <is>
          <t>festering avoider</t>
        </is>
      </c>
      <c r="AH220" s="2" t="n">
        <v>1.2</v>
      </c>
      <c r="AI220" s="2" t="inlineStr">
        <is>
          <t>yes</t>
        </is>
      </c>
      <c r="AJ220" s="2" t="inlineStr">
        <is>
          <t>no</t>
        </is>
      </c>
      <c r="AK220" s="2" t="inlineStr">
        <is>
          <t>no</t>
        </is>
      </c>
      <c r="AL220" s="2" t="inlineStr">
        <is>
          <t>no</t>
        </is>
      </c>
      <c r="AM220" s="2" t="n"/>
      <c r="AN220" s="2" t="n"/>
      <c r="AO220" s="2" t="n"/>
      <c r="AP220" s="2" t="inlineStr">
        <is>
          <t>v3_2026-03-19</t>
        </is>
      </c>
      <c r="AQ220">
        <f>(L220-Schema_v5!$C2)/(Schema_v5!$C3-Schema_v5!$C2)</f>
        <v/>
      </c>
      <c r="AR220">
        <f>(M220-Schema_v5!$C4)/(Schema_v5!$C5-Schema_v5!$C4)</f>
        <v/>
      </c>
      <c r="AS220">
        <f>N220/Schema_v5!$C6</f>
        <v/>
      </c>
      <c r="AT220">
        <f>O220/Schema_v5!$C7</f>
        <v/>
      </c>
      <c r="AU220">
        <f>P220/Schema_v5!$C8</f>
        <v/>
      </c>
      <c r="AV220">
        <f>IF(Schema_v5!$C9=0,0,AH220/Schema_v5!$C9)</f>
        <v/>
      </c>
      <c r="AW220">
        <f>IF(Schema_v5!$C10=0,0,AE220/Schema_v5!$C10)</f>
        <v/>
      </c>
      <c r="AX220">
        <f>(W220-Schema_v5!$C11)/(Schema_v5!$C12-Schema_v5!$C11)</f>
        <v/>
      </c>
      <c r="AY220">
        <f>(X220-Schema_v5!$C13)/(Schema_v5!$C14-Schema_v5!$C13)</f>
        <v/>
      </c>
      <c r="AZ220">
        <f>MIN(1,MAX(0,U220/Schema_v7!$C$9))</f>
        <v/>
      </c>
      <c r="BA220">
        <f>IF(AJ220="yes",0.55,0)</f>
        <v/>
      </c>
      <c r="BB220">
        <f>IF(AI220="yes",0.10,0)</f>
        <v/>
      </c>
      <c r="BC220">
        <f>IF(Y220="COMM_Direct",0.92,IF(Y220="COMM_Emotional",0.70,IF(Y220="COMM_Logical",0.65,IF(Y220="COMM_Indirect",0.55,0.35))))</f>
        <v/>
      </c>
      <c r="BD220">
        <f>IF(Z220="REG_CoRegulator",0.92,IF(Z220="REG_SelfSoother",0.76,IF(Z220="REG_Distractor",0.48,0.35)))</f>
        <v/>
      </c>
      <c r="BE220">
        <f>IF(AA220="LANG_Time",0.76,IF(AA220="LANG_Service",0.70,IF(AA220="LANG_Words",0.72,IF(AA220="LANG_Touch",0.68,0.60))))</f>
        <v/>
      </c>
      <c r="BF220">
        <f>MAX(0,MIN(1,0.28*AS220+0.16*AT220+0.18*BC220+0.18*BD220+0.10*(1-AZ220)+0.10*(1-BA220)+BB220))</f>
        <v/>
      </c>
      <c r="BG220">
        <f>MAX(0,MIN(1,0.24*AU220+0.18*AS220+0.18*BC220+0.20*BD220+0.10*(1-AW220)+0.10*(1-BA220)))</f>
        <v/>
      </c>
      <c r="BH220">
        <f>MAX(0,MIN(1,0.28*AR220+0.18*AT220+0.16*AU220+0.18*(1-AV220)+0.10*(1-AW220)+0.10*BF220))</f>
        <v/>
      </c>
      <c r="BI220">
        <f>MAX(0,MIN(1,0.30*AV220+0.20*AZ220+0.20*AW220+0.15*(1-BH220)+0.15*(1-BO220)))</f>
        <v/>
      </c>
      <c r="BJ220">
        <f>MAX(0,1-(ABS(((( AX220+AY220)/2)-0.55)*1.6)))</f>
        <v/>
      </c>
      <c r="BK220">
        <f>MAX(0,MIN(1,0.28*AR220+0.18*AT220+0.16*BJ220+0.14*(1-AV220)+0.12*BQ220+0.12*BO220))</f>
        <v/>
      </c>
      <c r="BL220">
        <f>MAX(0,MIN(1,0.22*AQ220+0.18*AS220+0.18*BC220+0.18*BD220+0.08*BE220+0.10*BF220+0.06*BO220))</f>
        <v/>
      </c>
      <c r="BM220">
        <f>MAX(0,MIN(1,0.20*(1-AZ220)+0.16*(1-BA220)+0.14*(1-AW220)+0.14*AU220+0.18*BG220+0.10*BH220+0.08*BP220))</f>
        <v/>
      </c>
      <c r="BN220">
        <f>MAX(0,MIN(1,0.42*BJ220+0.33*BK220+0.15*AT220+0.10*BQ220))</f>
        <v/>
      </c>
      <c r="BO220">
        <f>MAX(0,MIN(1,0.30*BC220+0.24*BD220+0.18*AS220+0.14*(1-BI220)+0.14*AT220))</f>
        <v/>
      </c>
      <c r="BP220">
        <f>MAX(0,MIN(1,0.26*AS220+0.20*(1-BA220)+0.16*(1-AW220)+0.18*BG220+0.10*AU220+0.10+BB220))</f>
        <v/>
      </c>
      <c r="BQ220">
        <f>MAX(0,MIN(1,0.24*AT220+0.18*BF220+0.14*AR220+0.14*BO220+0.14*(1-AV220)+0.16*(1-AZ220)))</f>
        <v/>
      </c>
      <c r="BR220">
        <f>IF(BO220&gt;=0.80,"Open",IF(BO220&gt;=0.62,"Measured",IF(BO220&gt;=0.45,"Selective","Guarded")))</f>
        <v/>
      </c>
      <c r="BS220">
        <f>IF(Y220="COMM_Direct","Direct",IF(Y220="COMM_Emotional","Emotional",IF(Y220="COMM_Logical","Logical",IF(Y220="COMM_Indirect","Indirect","Avoidant"))))</f>
        <v/>
      </c>
      <c r="BT220">
        <f>IF(BG220&gt;=0.78,"Co-repair",IF(BG220&gt;=0.58,"Re-engage",IF(BG220&gt;=0.40,"Delay","Suppress")))</f>
        <v/>
      </c>
      <c r="BU220">
        <f>IF(BI220&gt;=0.70,"Retreat-risk",IF(BH220&lt;=0.40,"Rush-risk",IF(BH220&gt;=0.65,"Slow-build","Mixed")))</f>
        <v/>
      </c>
      <c r="BV220">
        <f>IF(BL220-BM220&gt;=0.15,"Stimulation-seeking",IF(BM220-BL220&gt;=0.15,"Calm-seeking","Mixed")))</f>
        <v/>
      </c>
      <c r="BW220">
        <f>IF(AND(BL220&gt;=0.72,BM220&lt;0.48),"High",IF(AND(BL220&gt;=0.60,BM220&lt;0.58),"Medium","Low"))</f>
        <v/>
      </c>
    </row>
    <row r="221" ht="121.5" customHeight="1" s="10">
      <c r="A221" s="2" t="inlineStr">
        <is>
          <t>Q44_E</t>
        </is>
      </c>
      <c r="B221" s="2" t="n">
        <v>44</v>
      </c>
      <c r="C221" s="2" t="n">
        <v>44</v>
      </c>
      <c r="D221" s="2" t="inlineStr">
        <is>
          <t>Core</t>
        </is>
      </c>
      <c r="E221" s="2" t="n">
        <v>1.3</v>
      </c>
      <c r="F221" s="2" t="inlineStr">
        <is>
          <t>EmotionalNeeds</t>
        </is>
      </c>
      <c r="G221" s="2" t="inlineStr">
        <is>
          <t>IntimacyThreshold</t>
        </is>
      </c>
      <c r="H221" s="2" t="n"/>
      <c r="I221" s="2" t="inlineStr">
        <is>
          <t>E</t>
        </is>
      </c>
      <c r="J221" s="2" t="inlineStr">
        <is>
          <t>E</t>
        </is>
      </c>
      <c r="K221" s="2" t="inlineStr">
        <is>
          <t>I try to fix it without saying anything. If I love you, I'd rather work around the pain than risk more of it.</t>
        </is>
      </c>
      <c r="L221" s="2" t="n">
        <v>8</v>
      </c>
      <c r="M221" s="2" t="n">
        <v>9</v>
      </c>
      <c r="N221" s="2" t="n">
        <v>8</v>
      </c>
      <c r="O221" s="2" t="n">
        <v>10</v>
      </c>
      <c r="P221" s="2" t="n">
        <v>8</v>
      </c>
      <c r="Q221" s="2" t="inlineStr">
        <is>
          <t>Fixer</t>
        </is>
      </c>
      <c r="R221" s="2" t="n">
        <v>5</v>
      </c>
      <c r="S221" s="2" t="n"/>
      <c r="T221" s="2" t="n"/>
      <c r="U221" s="2" t="n">
        <v>0</v>
      </c>
      <c r="V221" s="2" t="inlineStr">
        <is>
          <t>masc:-0.4;fem:2.0</t>
        </is>
      </c>
      <c r="W221" s="2" t="n">
        <v>-0.4</v>
      </c>
      <c r="X221" s="2" t="n">
        <v>2</v>
      </c>
      <c r="Y221" s="2" t="inlineStr">
        <is>
          <t>COMM_Emotional</t>
        </is>
      </c>
      <c r="Z221" s="2" t="inlineStr">
        <is>
          <t>REG_CoRegulator</t>
        </is>
      </c>
      <c r="AA221" s="2" t="inlineStr">
        <is>
          <t>LANG_Service</t>
        </is>
      </c>
      <c r="AB221" s="2" t="n"/>
      <c r="AC221" s="2" t="n"/>
      <c r="AD221" s="2" t="n"/>
      <c r="AE221" s="2" t="n">
        <v>0</v>
      </c>
      <c r="AF221" s="2" t="inlineStr">
        <is>
          <t>love through labor mechanism</t>
        </is>
      </c>
      <c r="AG221" s="2" t="inlineStr">
        <is>
          <t>invisible repairer</t>
        </is>
      </c>
      <c r="AH221" s="2" t="n">
        <v>0</v>
      </c>
      <c r="AI221" s="2" t="inlineStr">
        <is>
          <t>no</t>
        </is>
      </c>
      <c r="AJ221" s="2" t="inlineStr">
        <is>
          <t>no</t>
        </is>
      </c>
      <c r="AK221" s="2" t="inlineStr">
        <is>
          <t>no</t>
        </is>
      </c>
      <c r="AL221" s="2" t="inlineStr">
        <is>
          <t>no</t>
        </is>
      </c>
      <c r="AM221" s="2" t="n"/>
      <c r="AN221" s="2" t="n"/>
      <c r="AO221" s="2" t="n"/>
      <c r="AP221" s="2" t="inlineStr">
        <is>
          <t>v3_2026-03-19</t>
        </is>
      </c>
      <c r="AQ221">
        <f>(L221-Schema_v5!$C2)/(Schema_v5!$C3-Schema_v5!$C2)</f>
        <v/>
      </c>
      <c r="AR221">
        <f>(M221-Schema_v5!$C4)/(Schema_v5!$C5-Schema_v5!$C4)</f>
        <v/>
      </c>
      <c r="AS221">
        <f>N221/Schema_v5!$C6</f>
        <v/>
      </c>
      <c r="AT221">
        <f>O221/Schema_v5!$C7</f>
        <v/>
      </c>
      <c r="AU221">
        <f>P221/Schema_v5!$C8</f>
        <v/>
      </c>
      <c r="AV221">
        <f>IF(Schema_v5!$C9=0,0,AH221/Schema_v5!$C9)</f>
        <v/>
      </c>
      <c r="AW221">
        <f>IF(Schema_v5!$C10=0,0,AE221/Schema_v5!$C10)</f>
        <v/>
      </c>
      <c r="AX221">
        <f>(W221-Schema_v5!$C11)/(Schema_v5!$C12-Schema_v5!$C11)</f>
        <v/>
      </c>
      <c r="AY221">
        <f>(X221-Schema_v5!$C13)/(Schema_v5!$C14-Schema_v5!$C13)</f>
        <v/>
      </c>
      <c r="AZ221">
        <f>MIN(1,MAX(0,U221/Schema_v7!$C$9))</f>
        <v/>
      </c>
      <c r="BA221">
        <f>IF(AJ221="yes",0.55,0)</f>
        <v/>
      </c>
      <c r="BB221">
        <f>IF(AI221="yes",0.10,0)</f>
        <v/>
      </c>
      <c r="BC221">
        <f>IF(Y221="COMM_Direct",0.92,IF(Y221="COMM_Emotional",0.70,IF(Y221="COMM_Logical",0.65,IF(Y221="COMM_Indirect",0.55,0.35))))</f>
        <v/>
      </c>
      <c r="BD221">
        <f>IF(Z221="REG_CoRegulator",0.92,IF(Z221="REG_SelfSoother",0.76,IF(Z221="REG_Distractor",0.48,0.35)))</f>
        <v/>
      </c>
      <c r="BE221">
        <f>IF(AA221="LANG_Time",0.76,IF(AA221="LANG_Service",0.70,IF(AA221="LANG_Words",0.72,IF(AA221="LANG_Touch",0.68,0.60))))</f>
        <v/>
      </c>
      <c r="BF221">
        <f>MAX(0,MIN(1,0.28*AS221+0.16*AT221+0.18*BC221+0.18*BD221+0.10*(1-AZ221)+0.10*(1-BA221)+BB221))</f>
        <v/>
      </c>
      <c r="BG221">
        <f>MAX(0,MIN(1,0.24*AU221+0.18*AS221+0.18*BC221+0.20*BD221+0.10*(1-AW221)+0.10*(1-BA221)))</f>
        <v/>
      </c>
      <c r="BH221">
        <f>MAX(0,MIN(1,0.28*AR221+0.18*AT221+0.16*AU221+0.18*(1-AV221)+0.10*(1-AW221)+0.10*BF221))</f>
        <v/>
      </c>
      <c r="BI221">
        <f>MAX(0,MIN(1,0.30*AV221+0.20*AZ221+0.20*AW221+0.15*(1-BH221)+0.15*(1-BO221)))</f>
        <v/>
      </c>
      <c r="BJ221">
        <f>MAX(0,1-(ABS(((( AX221+AY221)/2)-0.55)*1.6)))</f>
        <v/>
      </c>
      <c r="BK221">
        <f>MAX(0,MIN(1,0.28*AR221+0.18*AT221+0.16*BJ221+0.14*(1-AV221)+0.12*BQ221+0.12*BO221))</f>
        <v/>
      </c>
      <c r="BL221">
        <f>MAX(0,MIN(1,0.22*AQ221+0.18*AS221+0.18*BC221+0.18*BD221+0.08*BE221+0.10*BF221+0.06*BO221))</f>
        <v/>
      </c>
      <c r="BM221">
        <f>MAX(0,MIN(1,0.20*(1-AZ221)+0.16*(1-BA221)+0.14*(1-AW221)+0.14*AU221+0.18*BG221+0.10*BH221+0.08*BP221))</f>
        <v/>
      </c>
      <c r="BN221">
        <f>MAX(0,MIN(1,0.42*BJ221+0.33*BK221+0.15*AT221+0.10*BQ221))</f>
        <v/>
      </c>
      <c r="BO221">
        <f>MAX(0,MIN(1,0.30*BC221+0.24*BD221+0.18*AS221+0.14*(1-BI221)+0.14*AT221))</f>
        <v/>
      </c>
      <c r="BP221">
        <f>MAX(0,MIN(1,0.26*AS221+0.20*(1-BA221)+0.16*(1-AW221)+0.18*BG221+0.10*AU221+0.10+BB221))</f>
        <v/>
      </c>
      <c r="BQ221">
        <f>MAX(0,MIN(1,0.24*AT221+0.18*BF221+0.14*AR221+0.14*BO221+0.14*(1-AV221)+0.16*(1-AZ221)))</f>
        <v/>
      </c>
      <c r="BR221">
        <f>IF(BO221&gt;=0.80,"Open",IF(BO221&gt;=0.62,"Measured",IF(BO221&gt;=0.45,"Selective","Guarded")))</f>
        <v/>
      </c>
      <c r="BS221">
        <f>IF(Y221="COMM_Direct","Direct",IF(Y221="COMM_Emotional","Emotional",IF(Y221="COMM_Logical","Logical",IF(Y221="COMM_Indirect","Indirect","Avoidant"))))</f>
        <v/>
      </c>
      <c r="BT221">
        <f>IF(BG221&gt;=0.78,"Co-repair",IF(BG221&gt;=0.58,"Re-engage",IF(BG221&gt;=0.40,"Delay","Suppress")))</f>
        <v/>
      </c>
      <c r="BU221">
        <f>IF(BI221&gt;=0.70,"Retreat-risk",IF(BH221&lt;=0.40,"Rush-risk",IF(BH221&gt;=0.65,"Slow-build","Mixed")))</f>
        <v/>
      </c>
      <c r="BV221">
        <f>IF(BL221-BM221&gt;=0.15,"Stimulation-seeking",IF(BM221-BL221&gt;=0.15,"Calm-seeking","Mixed")))</f>
        <v/>
      </c>
      <c r="BW221">
        <f>IF(AND(BL221&gt;=0.72,BM221&lt;0.48),"High",IF(AND(BL221&gt;=0.60,BM221&lt;0.58),"Medium","Low"))</f>
        <v/>
      </c>
    </row>
    <row r="222" ht="121.5" customHeight="1" s="10">
      <c r="A222" s="2" t="inlineStr">
        <is>
          <t>Q45_A</t>
        </is>
      </c>
      <c r="B222" s="2" t="n">
        <v>45</v>
      </c>
      <c r="C222" s="2" t="n">
        <v>45</v>
      </c>
      <c r="D222" s="2" t="inlineStr">
        <is>
          <t>Core</t>
        </is>
      </c>
      <c r="E222" s="2" t="n">
        <v>1.35</v>
      </c>
      <c r="F222" s="2" t="inlineStr">
        <is>
          <t>EmotionalNeeds</t>
        </is>
      </c>
      <c r="G222" s="2" t="inlineStr">
        <is>
          <t>IntimacyThreshold</t>
        </is>
      </c>
      <c r="H222" s="2" t="inlineStr">
        <is>
          <t>The vibe is off. You're quieter. Distant. But you haven't said anything yet. What would actually make you feel safe again?</t>
        </is>
      </c>
      <c r="I222" s="2" t="inlineStr">
        <is>
          <t>A</t>
        </is>
      </c>
      <c r="J222" s="2" t="inlineStr">
        <is>
          <t>A</t>
        </is>
      </c>
      <c r="K222" s="2" t="inlineStr">
        <is>
          <t>If they noticed without me having to say anything , just read me and pulled me back in.</t>
        </is>
      </c>
      <c r="L222" s="2" t="n">
        <v>5</v>
      </c>
      <c r="M222" s="2" t="n">
        <v>6</v>
      </c>
      <c r="N222" s="2" t="n">
        <v>2</v>
      </c>
      <c r="O222" s="2" t="n">
        <v>2</v>
      </c>
      <c r="P222" s="2" t="n">
        <v>2</v>
      </c>
      <c r="Q222" s="2" t="inlineStr">
        <is>
          <t>Phantom Seeker</t>
        </is>
      </c>
      <c r="R222" s="2" t="n">
        <v>10</v>
      </c>
      <c r="S222" s="2" t="n"/>
      <c r="T222" s="2" t="n"/>
      <c r="U222" s="2" t="n">
        <v>0</v>
      </c>
      <c r="V222" s="2" t="inlineStr">
        <is>
          <t>masc:-0.2;fem:1.5</t>
        </is>
      </c>
      <c r="W222" s="2" t="n">
        <v>-0.2</v>
      </c>
      <c r="X222" s="2" t="n">
        <v>1.5</v>
      </c>
      <c r="Y222" s="2" t="inlineStr">
        <is>
          <t>COMM_Emotional</t>
        </is>
      </c>
      <c r="Z222" s="2" t="inlineStr">
        <is>
          <t>REG_SelfSoother</t>
        </is>
      </c>
      <c r="AA222" s="2" t="inlineStr">
        <is>
          <t>LANG_Touch</t>
        </is>
      </c>
      <c r="AB222" s="2" t="inlineStr">
        <is>
          <t>Vulnerability_Loop</t>
        </is>
      </c>
      <c r="AC222" s="2" t="inlineStr">
        <is>
          <t>Vulnerability_Loop</t>
        </is>
      </c>
      <c r="AD222" s="2" t="n"/>
      <c r="AE222" s="2" t="n">
        <v>5</v>
      </c>
      <c r="AF222" s="2" t="inlineStr">
        <is>
          <t>unspoken rescue desire</t>
        </is>
      </c>
      <c r="AG222" s="2" t="inlineStr">
        <is>
          <t>silent hope holder</t>
        </is>
      </c>
      <c r="AH222" s="2" t="n">
        <v>0.6</v>
      </c>
      <c r="AI222" s="2" t="inlineStr">
        <is>
          <t>yes</t>
        </is>
      </c>
      <c r="AJ222" s="2" t="inlineStr">
        <is>
          <t>no</t>
        </is>
      </c>
      <c r="AK222" s="2" t="inlineStr">
        <is>
          <t>no</t>
        </is>
      </c>
      <c r="AL222" s="2" t="inlineStr">
        <is>
          <t>no</t>
        </is>
      </c>
      <c r="AM222" s="2" t="n"/>
      <c r="AN222" s="2" t="n"/>
      <c r="AO222" s="2" t="n"/>
      <c r="AP222" s="2" t="inlineStr">
        <is>
          <t>v3_2026-03-19</t>
        </is>
      </c>
      <c r="AQ222">
        <f>(L222-Schema_v5!$C2)/(Schema_v5!$C3-Schema_v5!$C2)</f>
        <v/>
      </c>
      <c r="AR222">
        <f>(M222-Schema_v5!$C4)/(Schema_v5!$C5-Schema_v5!$C4)</f>
        <v/>
      </c>
      <c r="AS222">
        <f>N222/Schema_v5!$C6</f>
        <v/>
      </c>
      <c r="AT222">
        <f>O222/Schema_v5!$C7</f>
        <v/>
      </c>
      <c r="AU222">
        <f>P222/Schema_v5!$C8</f>
        <v/>
      </c>
      <c r="AV222">
        <f>IF(Schema_v5!$C9=0,0,AH222/Schema_v5!$C9)</f>
        <v/>
      </c>
      <c r="AW222">
        <f>IF(Schema_v5!$C10=0,0,AE222/Schema_v5!$C10)</f>
        <v/>
      </c>
      <c r="AX222">
        <f>(W222-Schema_v5!$C11)/(Schema_v5!$C12-Schema_v5!$C11)</f>
        <v/>
      </c>
      <c r="AY222">
        <f>(X222-Schema_v5!$C13)/(Schema_v5!$C14-Schema_v5!$C13)</f>
        <v/>
      </c>
      <c r="AZ222">
        <f>MIN(1,MAX(0,U222/Schema_v7!$C$9))</f>
        <v/>
      </c>
      <c r="BA222">
        <f>IF(AJ222="yes",0.55,0)</f>
        <v/>
      </c>
      <c r="BB222">
        <f>IF(AI222="yes",0.10,0)</f>
        <v/>
      </c>
      <c r="BC222">
        <f>IF(Y222="COMM_Direct",0.92,IF(Y222="COMM_Emotional",0.70,IF(Y222="COMM_Logical",0.65,IF(Y222="COMM_Indirect",0.55,0.35))))</f>
        <v/>
      </c>
      <c r="BD222">
        <f>IF(Z222="REG_CoRegulator",0.92,IF(Z222="REG_SelfSoother",0.76,IF(Z222="REG_Distractor",0.48,0.35)))</f>
        <v/>
      </c>
      <c r="BE222">
        <f>IF(AA222="LANG_Time",0.76,IF(AA222="LANG_Service",0.70,IF(AA222="LANG_Words",0.72,IF(AA222="LANG_Touch",0.68,0.60))))</f>
        <v/>
      </c>
      <c r="BF222">
        <f>MAX(0,MIN(1,0.28*AS222+0.16*AT222+0.18*BC222+0.18*BD222+0.10*(1-AZ222)+0.10*(1-BA222)+BB222))</f>
        <v/>
      </c>
      <c r="BG222">
        <f>MAX(0,MIN(1,0.24*AU222+0.18*AS222+0.18*BC222+0.20*BD222+0.10*(1-AW222)+0.10*(1-BA222)))</f>
        <v/>
      </c>
      <c r="BH222">
        <f>MAX(0,MIN(1,0.28*AR222+0.18*AT222+0.16*AU222+0.18*(1-AV222)+0.10*(1-AW222)+0.10*BF222))</f>
        <v/>
      </c>
      <c r="BI222">
        <f>MAX(0,MIN(1,0.30*AV222+0.20*AZ222+0.20*AW222+0.15*(1-BH222)+0.15*(1-BO222)))</f>
        <v/>
      </c>
      <c r="BJ222">
        <f>MAX(0,1-(ABS(((( AX222+AY222)/2)-0.55)*1.6)))</f>
        <v/>
      </c>
      <c r="BK222">
        <f>MAX(0,MIN(1,0.28*AR222+0.18*AT222+0.16*BJ222+0.14*(1-AV222)+0.12*BQ222+0.12*BO222))</f>
        <v/>
      </c>
      <c r="BL222">
        <f>MAX(0,MIN(1,0.22*AQ222+0.18*AS222+0.18*BC222+0.18*BD222+0.08*BE222+0.10*BF222+0.06*BO222))</f>
        <v/>
      </c>
      <c r="BM222">
        <f>MAX(0,MIN(1,0.20*(1-AZ222)+0.16*(1-BA222)+0.14*(1-AW222)+0.14*AU222+0.18*BG222+0.10*BH222+0.08*BP222))</f>
        <v/>
      </c>
      <c r="BN222">
        <f>MAX(0,MIN(1,0.42*BJ222+0.33*BK222+0.15*AT222+0.10*BQ222))</f>
        <v/>
      </c>
      <c r="BO222">
        <f>MAX(0,MIN(1,0.30*BC222+0.24*BD222+0.18*AS222+0.14*(1-BI222)+0.14*AT222))</f>
        <v/>
      </c>
      <c r="BP222">
        <f>MAX(0,MIN(1,0.26*AS222+0.20*(1-BA222)+0.16*(1-AW222)+0.18*BG222+0.10*AU222+0.10+BB222))</f>
        <v/>
      </c>
      <c r="BQ222">
        <f>MAX(0,MIN(1,0.24*AT222+0.18*BF222+0.14*AR222+0.14*BO222+0.14*(1-AV222)+0.16*(1-AZ222)))</f>
        <v/>
      </c>
      <c r="BR222">
        <f>IF(BO222&gt;=0.80,"Open",IF(BO222&gt;=0.62,"Measured",IF(BO222&gt;=0.45,"Selective","Guarded")))</f>
        <v/>
      </c>
      <c r="BS222">
        <f>IF(Y222="COMM_Direct","Direct",IF(Y222="COMM_Emotional","Emotional",IF(Y222="COMM_Logical","Logical",IF(Y222="COMM_Indirect","Indirect","Avoidant"))))</f>
        <v/>
      </c>
      <c r="BT222">
        <f>IF(BG222&gt;=0.78,"Co-repair",IF(BG222&gt;=0.58,"Re-engage",IF(BG222&gt;=0.40,"Delay","Suppress")))</f>
        <v/>
      </c>
      <c r="BU222">
        <f>IF(BI222&gt;=0.70,"Retreat-risk",IF(BH222&lt;=0.40,"Rush-risk",IF(BH222&gt;=0.65,"Slow-build","Mixed")))</f>
        <v/>
      </c>
      <c r="BV222">
        <f>IF(BL222-BM222&gt;=0.15,"Stimulation-seeking",IF(BM222-BL222&gt;=0.15,"Calm-seeking","Mixed")))</f>
        <v/>
      </c>
      <c r="BW222">
        <f>IF(AND(BL222&gt;=0.72,BM222&lt;0.48),"High",IF(AND(BL222&gt;=0.60,BM222&lt;0.58),"Medium","Low"))</f>
        <v/>
      </c>
    </row>
    <row r="223" ht="108" customHeight="1" s="10">
      <c r="A223" s="2" t="inlineStr">
        <is>
          <t>Q45_B</t>
        </is>
      </c>
      <c r="B223" s="2" t="n">
        <v>45</v>
      </c>
      <c r="C223" s="2" t="n">
        <v>45</v>
      </c>
      <c r="D223" s="2" t="inlineStr">
        <is>
          <t>Core</t>
        </is>
      </c>
      <c r="E223" s="2" t="n">
        <v>1.35</v>
      </c>
      <c r="F223" s="2" t="inlineStr">
        <is>
          <t>EmotionalNeeds</t>
        </is>
      </c>
      <c r="G223" s="2" t="inlineStr">
        <is>
          <t>IntimacyThreshold</t>
        </is>
      </c>
      <c r="H223" s="2" t="n"/>
      <c r="I223" s="2" t="inlineStr">
        <is>
          <t>B</t>
        </is>
      </c>
      <c r="J223" s="2" t="inlineStr">
        <is>
          <t>B</t>
        </is>
      </c>
      <c r="K223" s="2" t="inlineStr">
        <is>
          <t>If they gave me space without making me feel guilty , just stayed steady in the background.</t>
        </is>
      </c>
      <c r="L223" s="2" t="n">
        <v>8</v>
      </c>
      <c r="M223" s="2" t="n">
        <v>9</v>
      </c>
      <c r="N223" s="2" t="n">
        <v>4</v>
      </c>
      <c r="O223" s="2" t="n">
        <v>6</v>
      </c>
      <c r="P223" s="2" t="n">
        <v>2</v>
      </c>
      <c r="Q223" s="2" t="inlineStr">
        <is>
          <t>Icebox</t>
        </is>
      </c>
      <c r="R223" s="2" t="n">
        <v>1</v>
      </c>
      <c r="S223" s="2" t="n"/>
      <c r="T223" s="2" t="n"/>
      <c r="U223" s="2" t="n">
        <v>0</v>
      </c>
      <c r="V223" s="2" t="inlineStr">
        <is>
          <t>masc:1.8;fem:-1.6</t>
        </is>
      </c>
      <c r="W223" s="2" t="n">
        <v>1.8</v>
      </c>
      <c r="X223" s="2" t="n">
        <v>-1.6</v>
      </c>
      <c r="Y223" s="2" t="inlineStr">
        <is>
          <t>COMM_Avoidant</t>
        </is>
      </c>
      <c r="Z223" s="2" t="inlineStr">
        <is>
          <t>REG_Suppressor</t>
        </is>
      </c>
      <c r="AA223" s="2" t="inlineStr">
        <is>
          <t>LANG_Time</t>
        </is>
      </c>
      <c r="AB223" s="2" t="n"/>
      <c r="AC223" s="2" t="n"/>
      <c r="AD223" s="2" t="n"/>
      <c r="AE223" s="2" t="n">
        <v>0</v>
      </c>
      <c r="AF223" s="2" t="inlineStr">
        <is>
          <t>stability without intrusion</t>
        </is>
      </c>
      <c r="AG223" s="2" t="inlineStr">
        <is>
          <t>distance-aware supporter</t>
        </is>
      </c>
      <c r="AH223" s="2" t="n">
        <v>0.6</v>
      </c>
      <c r="AI223" s="2" t="inlineStr">
        <is>
          <t>no</t>
        </is>
      </c>
      <c r="AJ223" s="2" t="inlineStr">
        <is>
          <t>no</t>
        </is>
      </c>
      <c r="AK223" s="2" t="inlineStr">
        <is>
          <t>no</t>
        </is>
      </c>
      <c r="AL223" s="2" t="inlineStr">
        <is>
          <t>no</t>
        </is>
      </c>
      <c r="AM223" s="2" t="n"/>
      <c r="AN223" s="2" t="n"/>
      <c r="AO223" s="2" t="n"/>
      <c r="AP223" s="2" t="inlineStr">
        <is>
          <t>v3_2026-03-19</t>
        </is>
      </c>
      <c r="AQ223">
        <f>(L223-Schema_v5!$C2)/(Schema_v5!$C3-Schema_v5!$C2)</f>
        <v/>
      </c>
      <c r="AR223">
        <f>(M223-Schema_v5!$C4)/(Schema_v5!$C5-Schema_v5!$C4)</f>
        <v/>
      </c>
      <c r="AS223">
        <f>N223/Schema_v5!$C6</f>
        <v/>
      </c>
      <c r="AT223">
        <f>O223/Schema_v5!$C7</f>
        <v/>
      </c>
      <c r="AU223">
        <f>P223/Schema_v5!$C8</f>
        <v/>
      </c>
      <c r="AV223">
        <f>IF(Schema_v5!$C9=0,0,AH223/Schema_v5!$C9)</f>
        <v/>
      </c>
      <c r="AW223">
        <f>IF(Schema_v5!$C10=0,0,AE223/Schema_v5!$C10)</f>
        <v/>
      </c>
      <c r="AX223">
        <f>(W223-Schema_v5!$C11)/(Schema_v5!$C12-Schema_v5!$C11)</f>
        <v/>
      </c>
      <c r="AY223">
        <f>(X223-Schema_v5!$C13)/(Schema_v5!$C14-Schema_v5!$C13)</f>
        <v/>
      </c>
      <c r="AZ223">
        <f>MIN(1,MAX(0,U223/Schema_v7!$C$9))</f>
        <v/>
      </c>
      <c r="BA223">
        <f>IF(AJ223="yes",0.55,0)</f>
        <v/>
      </c>
      <c r="BB223">
        <f>IF(AI223="yes",0.10,0)</f>
        <v/>
      </c>
      <c r="BC223">
        <f>IF(Y223="COMM_Direct",0.92,IF(Y223="COMM_Emotional",0.70,IF(Y223="COMM_Logical",0.65,IF(Y223="COMM_Indirect",0.55,0.35))))</f>
        <v/>
      </c>
      <c r="BD223">
        <f>IF(Z223="REG_CoRegulator",0.92,IF(Z223="REG_SelfSoother",0.76,IF(Z223="REG_Distractor",0.48,0.35)))</f>
        <v/>
      </c>
      <c r="BE223">
        <f>IF(AA223="LANG_Time",0.76,IF(AA223="LANG_Service",0.70,IF(AA223="LANG_Words",0.72,IF(AA223="LANG_Touch",0.68,0.60))))</f>
        <v/>
      </c>
      <c r="BF223">
        <f>MAX(0,MIN(1,0.28*AS223+0.16*AT223+0.18*BC223+0.18*BD223+0.10*(1-AZ223)+0.10*(1-BA223)+BB223))</f>
        <v/>
      </c>
      <c r="BG223">
        <f>MAX(0,MIN(1,0.24*AU223+0.18*AS223+0.18*BC223+0.20*BD223+0.10*(1-AW223)+0.10*(1-BA223)))</f>
        <v/>
      </c>
      <c r="BH223">
        <f>MAX(0,MIN(1,0.28*AR223+0.18*AT223+0.16*AU223+0.18*(1-AV223)+0.10*(1-AW223)+0.10*BF223))</f>
        <v/>
      </c>
      <c r="BI223">
        <f>MAX(0,MIN(1,0.30*AV223+0.20*AZ223+0.20*AW223+0.15*(1-BH223)+0.15*(1-BO223)))</f>
        <v/>
      </c>
      <c r="BJ223">
        <f>MAX(0,1-(ABS(((( AX223+AY223)/2)-0.55)*1.6)))</f>
        <v/>
      </c>
      <c r="BK223">
        <f>MAX(0,MIN(1,0.28*AR223+0.18*AT223+0.16*BJ223+0.14*(1-AV223)+0.12*BQ223+0.12*BO223))</f>
        <v/>
      </c>
      <c r="BL223">
        <f>MAX(0,MIN(1,0.22*AQ223+0.18*AS223+0.18*BC223+0.18*BD223+0.08*BE223+0.10*BF223+0.06*BO223))</f>
        <v/>
      </c>
      <c r="BM223">
        <f>MAX(0,MIN(1,0.20*(1-AZ223)+0.16*(1-BA223)+0.14*(1-AW223)+0.14*AU223+0.18*BG223+0.10*BH223+0.08*BP223))</f>
        <v/>
      </c>
      <c r="BN223">
        <f>MAX(0,MIN(1,0.42*BJ223+0.33*BK223+0.15*AT223+0.10*BQ223))</f>
        <v/>
      </c>
      <c r="BO223">
        <f>MAX(0,MIN(1,0.30*BC223+0.24*BD223+0.18*AS223+0.14*(1-BI223)+0.14*AT223))</f>
        <v/>
      </c>
      <c r="BP223">
        <f>MAX(0,MIN(1,0.26*AS223+0.20*(1-BA223)+0.16*(1-AW223)+0.18*BG223+0.10*AU223+0.10+BB223))</f>
        <v/>
      </c>
      <c r="BQ223">
        <f>MAX(0,MIN(1,0.24*AT223+0.18*BF223+0.14*AR223+0.14*BO223+0.14*(1-AV223)+0.16*(1-AZ223)))</f>
        <v/>
      </c>
      <c r="BR223">
        <f>IF(BO223&gt;=0.80,"Open",IF(BO223&gt;=0.62,"Measured",IF(BO223&gt;=0.45,"Selective","Guarded")))</f>
        <v/>
      </c>
      <c r="BS223">
        <f>IF(Y223="COMM_Direct","Direct",IF(Y223="COMM_Emotional","Emotional",IF(Y223="COMM_Logical","Logical",IF(Y223="COMM_Indirect","Indirect","Avoidant"))))</f>
        <v/>
      </c>
      <c r="BT223">
        <f>IF(BG223&gt;=0.78,"Co-repair",IF(BG223&gt;=0.58,"Re-engage",IF(BG223&gt;=0.40,"Delay","Suppress")))</f>
        <v/>
      </c>
      <c r="BU223">
        <f>IF(BI223&gt;=0.70,"Retreat-risk",IF(BH223&lt;=0.40,"Rush-risk",IF(BH223&gt;=0.65,"Slow-build","Mixed")))</f>
        <v/>
      </c>
      <c r="BV223">
        <f>IF(BL223-BM223&gt;=0.15,"Stimulation-seeking",IF(BM223-BL223&gt;=0.15,"Calm-seeking","Mixed")))</f>
        <v/>
      </c>
      <c r="BW223">
        <f>IF(AND(BL223&gt;=0.72,BM223&lt;0.48),"High",IF(AND(BL223&gt;=0.60,BM223&lt;0.58),"Medium","Low"))</f>
        <v/>
      </c>
    </row>
    <row r="224" ht="108" customHeight="1" s="10">
      <c r="A224" s="2" t="inlineStr">
        <is>
          <t>Q45_C</t>
        </is>
      </c>
      <c r="B224" s="2" t="n">
        <v>45</v>
      </c>
      <c r="C224" s="2" t="n">
        <v>45</v>
      </c>
      <c r="D224" s="2" t="inlineStr">
        <is>
          <t>Core</t>
        </is>
      </c>
      <c r="E224" s="2" t="n">
        <v>1.35</v>
      </c>
      <c r="F224" s="2" t="inlineStr">
        <is>
          <t>EmotionalNeeds</t>
        </is>
      </c>
      <c r="G224" s="2" t="inlineStr">
        <is>
          <t>IntimacyThreshold</t>
        </is>
      </c>
      <c r="H224" s="2" t="n"/>
      <c r="I224" s="2" t="inlineStr">
        <is>
          <t>C</t>
        </is>
      </c>
      <c r="J224" s="2" t="inlineStr">
        <is>
          <t>C</t>
        </is>
      </c>
      <c r="K224" s="2" t="inlineStr">
        <is>
          <t>If they directly asked, "You good?" but gently , just enough to open the door.</t>
        </is>
      </c>
      <c r="L224" s="2" t="n">
        <v>9</v>
      </c>
      <c r="M224" s="2" t="n">
        <v>9</v>
      </c>
      <c r="N224" s="2" t="n">
        <v>10</v>
      </c>
      <c r="O224" s="2" t="n">
        <v>8</v>
      </c>
      <c r="P224" s="2" t="n">
        <v>8</v>
      </c>
      <c r="Q224" s="2" t="inlineStr">
        <is>
          <t>Analyzer</t>
        </is>
      </c>
      <c r="R224" s="2" t="n">
        <v>2</v>
      </c>
      <c r="S224" s="2" t="n"/>
      <c r="T224" s="2" t="n"/>
      <c r="U224" s="2" t="n">
        <v>0</v>
      </c>
      <c r="V224" s="2" t="inlineStr">
        <is>
          <t>masc:1.4;fem:0.1</t>
        </is>
      </c>
      <c r="W224" s="2" t="n">
        <v>1.4</v>
      </c>
      <c r="X224" s="2" t="n">
        <v>0.1</v>
      </c>
      <c r="Y224" s="2" t="inlineStr">
        <is>
          <t>COMM_Logical</t>
        </is>
      </c>
      <c r="Z224" s="2" t="inlineStr">
        <is>
          <t>REG_SelfSoother</t>
        </is>
      </c>
      <c r="AA224" s="2" t="inlineStr">
        <is>
          <t>LANG_Service</t>
        </is>
      </c>
      <c r="AB224" s="2" t="n"/>
      <c r="AC224" s="2" t="n"/>
      <c r="AD224" s="2" t="n"/>
      <c r="AE224" s="2" t="n">
        <v>0</v>
      </c>
      <c r="AF224" s="2" t="inlineStr">
        <is>
          <t>soft prompt, no pressure</t>
        </is>
      </c>
      <c r="AG224" s="2" t="inlineStr">
        <is>
          <t>curious empath</t>
        </is>
      </c>
      <c r="AH224" s="2" t="n">
        <v>0</v>
      </c>
      <c r="AI224" s="2" t="inlineStr">
        <is>
          <t>no</t>
        </is>
      </c>
      <c r="AJ224" s="2" t="inlineStr">
        <is>
          <t>no</t>
        </is>
      </c>
      <c r="AK224" s="2" t="inlineStr">
        <is>
          <t>no</t>
        </is>
      </c>
      <c r="AL224" s="2" t="inlineStr">
        <is>
          <t>no</t>
        </is>
      </c>
      <c r="AM224" s="2" t="n"/>
      <c r="AN224" s="2" t="n"/>
      <c r="AO224" s="2" t="n"/>
      <c r="AP224" s="2" t="inlineStr">
        <is>
          <t>v3_2026-03-19</t>
        </is>
      </c>
      <c r="AQ224">
        <f>(L224-Schema_v5!$C2)/(Schema_v5!$C3-Schema_v5!$C2)</f>
        <v/>
      </c>
      <c r="AR224">
        <f>(M224-Schema_v5!$C4)/(Schema_v5!$C5-Schema_v5!$C4)</f>
        <v/>
      </c>
      <c r="AS224">
        <f>N224/Schema_v5!$C6</f>
        <v/>
      </c>
      <c r="AT224">
        <f>O224/Schema_v5!$C7</f>
        <v/>
      </c>
      <c r="AU224">
        <f>P224/Schema_v5!$C8</f>
        <v/>
      </c>
      <c r="AV224">
        <f>IF(Schema_v5!$C9=0,0,AH224/Schema_v5!$C9)</f>
        <v/>
      </c>
      <c r="AW224">
        <f>IF(Schema_v5!$C10=0,0,AE224/Schema_v5!$C10)</f>
        <v/>
      </c>
      <c r="AX224">
        <f>(W224-Schema_v5!$C11)/(Schema_v5!$C12-Schema_v5!$C11)</f>
        <v/>
      </c>
      <c r="AY224">
        <f>(X224-Schema_v5!$C13)/(Schema_v5!$C14-Schema_v5!$C13)</f>
        <v/>
      </c>
      <c r="AZ224">
        <f>MIN(1,MAX(0,U224/Schema_v7!$C$9))</f>
        <v/>
      </c>
      <c r="BA224">
        <f>IF(AJ224="yes",0.55,0)</f>
        <v/>
      </c>
      <c r="BB224">
        <f>IF(AI224="yes",0.10,0)</f>
        <v/>
      </c>
      <c r="BC224">
        <f>IF(Y224="COMM_Direct",0.92,IF(Y224="COMM_Emotional",0.70,IF(Y224="COMM_Logical",0.65,IF(Y224="COMM_Indirect",0.55,0.35))))</f>
        <v/>
      </c>
      <c r="BD224">
        <f>IF(Z224="REG_CoRegulator",0.92,IF(Z224="REG_SelfSoother",0.76,IF(Z224="REG_Distractor",0.48,0.35)))</f>
        <v/>
      </c>
      <c r="BE224">
        <f>IF(AA224="LANG_Time",0.76,IF(AA224="LANG_Service",0.70,IF(AA224="LANG_Words",0.72,IF(AA224="LANG_Touch",0.68,0.60))))</f>
        <v/>
      </c>
      <c r="BF224">
        <f>MAX(0,MIN(1,0.28*AS224+0.16*AT224+0.18*BC224+0.18*BD224+0.10*(1-AZ224)+0.10*(1-BA224)+BB224))</f>
        <v/>
      </c>
      <c r="BG224">
        <f>MAX(0,MIN(1,0.24*AU224+0.18*AS224+0.18*BC224+0.20*BD224+0.10*(1-AW224)+0.10*(1-BA224)))</f>
        <v/>
      </c>
      <c r="BH224">
        <f>MAX(0,MIN(1,0.28*AR224+0.18*AT224+0.16*AU224+0.18*(1-AV224)+0.10*(1-AW224)+0.10*BF224))</f>
        <v/>
      </c>
      <c r="BI224">
        <f>MAX(0,MIN(1,0.30*AV224+0.20*AZ224+0.20*AW224+0.15*(1-BH224)+0.15*(1-BO224)))</f>
        <v/>
      </c>
      <c r="BJ224">
        <f>MAX(0,1-(ABS(((( AX224+AY224)/2)-0.55)*1.6)))</f>
        <v/>
      </c>
      <c r="BK224">
        <f>MAX(0,MIN(1,0.28*AR224+0.18*AT224+0.16*BJ224+0.14*(1-AV224)+0.12*BQ224+0.12*BO224))</f>
        <v/>
      </c>
      <c r="BL224">
        <f>MAX(0,MIN(1,0.22*AQ224+0.18*AS224+0.18*BC224+0.18*BD224+0.08*BE224+0.10*BF224+0.06*BO224))</f>
        <v/>
      </c>
      <c r="BM224">
        <f>MAX(0,MIN(1,0.20*(1-AZ224)+0.16*(1-BA224)+0.14*(1-AW224)+0.14*AU224+0.18*BG224+0.10*BH224+0.08*BP224))</f>
        <v/>
      </c>
      <c r="BN224">
        <f>MAX(0,MIN(1,0.42*BJ224+0.33*BK224+0.15*AT224+0.10*BQ224))</f>
        <v/>
      </c>
      <c r="BO224">
        <f>MAX(0,MIN(1,0.30*BC224+0.24*BD224+0.18*AS224+0.14*(1-BI224)+0.14*AT224))</f>
        <v/>
      </c>
      <c r="BP224">
        <f>MAX(0,MIN(1,0.26*AS224+0.20*(1-BA224)+0.16*(1-AW224)+0.18*BG224+0.10*AU224+0.10+BB224))</f>
        <v/>
      </c>
      <c r="BQ224">
        <f>MAX(0,MIN(1,0.24*AT224+0.18*BF224+0.14*AR224+0.14*BO224+0.14*(1-AV224)+0.16*(1-AZ224)))</f>
        <v/>
      </c>
      <c r="BR224">
        <f>IF(BO224&gt;=0.80,"Open",IF(BO224&gt;=0.62,"Measured",IF(BO224&gt;=0.45,"Selective","Guarded")))</f>
        <v/>
      </c>
      <c r="BS224">
        <f>IF(Y224="COMM_Direct","Direct",IF(Y224="COMM_Emotional","Emotional",IF(Y224="COMM_Logical","Logical",IF(Y224="COMM_Indirect","Indirect","Avoidant"))))</f>
        <v/>
      </c>
      <c r="BT224">
        <f>IF(BG224&gt;=0.78,"Co-repair",IF(BG224&gt;=0.58,"Re-engage",IF(BG224&gt;=0.40,"Delay","Suppress")))</f>
        <v/>
      </c>
      <c r="BU224">
        <f>IF(BI224&gt;=0.70,"Retreat-risk",IF(BH224&lt;=0.40,"Rush-risk",IF(BH224&gt;=0.65,"Slow-build","Mixed")))</f>
        <v/>
      </c>
      <c r="BV224">
        <f>IF(BL224-BM224&gt;=0.15,"Stimulation-seeking",IF(BM224-BL224&gt;=0.15,"Calm-seeking","Mixed")))</f>
        <v/>
      </c>
      <c r="BW224">
        <f>IF(AND(BL224&gt;=0.72,BM224&lt;0.48),"High",IF(AND(BL224&gt;=0.60,BM224&lt;0.58),"Medium","Low"))</f>
        <v/>
      </c>
    </row>
    <row r="225" ht="108" customHeight="1" s="10">
      <c r="A225" s="2" t="inlineStr">
        <is>
          <t>Q45_D</t>
        </is>
      </c>
      <c r="B225" s="2" t="n">
        <v>45</v>
      </c>
      <c r="C225" s="2" t="n">
        <v>45</v>
      </c>
      <c r="D225" s="2" t="inlineStr">
        <is>
          <t>Core</t>
        </is>
      </c>
      <c r="E225" s="2" t="n">
        <v>1.35</v>
      </c>
      <c r="F225" s="2" t="inlineStr">
        <is>
          <t>EmotionalNeeds</t>
        </is>
      </c>
      <c r="G225" s="2" t="inlineStr">
        <is>
          <t>IntimacyThreshold</t>
        </is>
      </c>
      <c r="H225" s="2" t="n"/>
      <c r="I225" s="2" t="inlineStr">
        <is>
          <t>D</t>
        </is>
      </c>
      <c r="J225" s="2" t="inlineStr">
        <is>
          <t>D</t>
        </is>
      </c>
      <c r="K225" s="2" t="inlineStr">
        <is>
          <t>If they reminded me what we are , through words, effort, or energy. Something consistent.</t>
        </is>
      </c>
      <c r="L225" s="2" t="n">
        <v>9</v>
      </c>
      <c r="M225" s="2" t="n">
        <v>9</v>
      </c>
      <c r="N225" s="2" t="n">
        <v>10</v>
      </c>
      <c r="O225" s="2" t="n">
        <v>10</v>
      </c>
      <c r="P225" s="2" t="n">
        <v>10</v>
      </c>
      <c r="Q225" s="2" t="inlineStr">
        <is>
          <t>Fixer</t>
        </is>
      </c>
      <c r="R225" s="2" t="n">
        <v>5</v>
      </c>
      <c r="S225" s="2" t="n"/>
      <c r="T225" s="2" t="n"/>
      <c r="U225" s="2" t="n">
        <v>0</v>
      </c>
      <c r="V225" s="2" t="inlineStr">
        <is>
          <t>masc:-0.4;fem:2.0</t>
        </is>
      </c>
      <c r="W225" s="2" t="n">
        <v>-0.4</v>
      </c>
      <c r="X225" s="2" t="n">
        <v>2</v>
      </c>
      <c r="Y225" s="2" t="inlineStr">
        <is>
          <t>COMM_Emotional</t>
        </is>
      </c>
      <c r="Z225" s="2" t="inlineStr">
        <is>
          <t>REG_CoRegulator</t>
        </is>
      </c>
      <c r="AA225" s="2" t="inlineStr">
        <is>
          <t>LANG_Service</t>
        </is>
      </c>
      <c r="AB225" s="2" t="n"/>
      <c r="AC225" s="2" t="n"/>
      <c r="AD225" s="2" t="n"/>
      <c r="AE225" s="2" t="n">
        <v>0</v>
      </c>
      <c r="AF225" s="2" t="inlineStr">
        <is>
          <t>reassurance via reinforcement</t>
        </is>
      </c>
      <c r="AG225" s="2" t="inlineStr">
        <is>
          <t>consistent affirmer</t>
        </is>
      </c>
      <c r="AH225" s="2" t="n">
        <v>0</v>
      </c>
      <c r="AI225" s="2" t="inlineStr">
        <is>
          <t>no</t>
        </is>
      </c>
      <c r="AJ225" s="2" t="inlineStr">
        <is>
          <t>no</t>
        </is>
      </c>
      <c r="AK225" s="2" t="inlineStr">
        <is>
          <t>no</t>
        </is>
      </c>
      <c r="AL225" s="2" t="inlineStr">
        <is>
          <t>no</t>
        </is>
      </c>
      <c r="AM225" s="2" t="n"/>
      <c r="AN225" s="2" t="n"/>
      <c r="AO225" s="2" t="n"/>
      <c r="AP225" s="2" t="inlineStr">
        <is>
          <t>v3_2026-03-19</t>
        </is>
      </c>
      <c r="AQ225">
        <f>(L225-Schema_v5!$C2)/(Schema_v5!$C3-Schema_v5!$C2)</f>
        <v/>
      </c>
      <c r="AR225">
        <f>(M225-Schema_v5!$C4)/(Schema_v5!$C5-Schema_v5!$C4)</f>
        <v/>
      </c>
      <c r="AS225">
        <f>N225/Schema_v5!$C6</f>
        <v/>
      </c>
      <c r="AT225">
        <f>O225/Schema_v5!$C7</f>
        <v/>
      </c>
      <c r="AU225">
        <f>P225/Schema_v5!$C8</f>
        <v/>
      </c>
      <c r="AV225">
        <f>IF(Schema_v5!$C9=0,0,AH225/Schema_v5!$C9)</f>
        <v/>
      </c>
      <c r="AW225">
        <f>IF(Schema_v5!$C10=0,0,AE225/Schema_v5!$C10)</f>
        <v/>
      </c>
      <c r="AX225">
        <f>(W225-Schema_v5!$C11)/(Schema_v5!$C12-Schema_v5!$C11)</f>
        <v/>
      </c>
      <c r="AY225">
        <f>(X225-Schema_v5!$C13)/(Schema_v5!$C14-Schema_v5!$C13)</f>
        <v/>
      </c>
      <c r="AZ225">
        <f>MIN(1,MAX(0,U225/Schema_v7!$C$9))</f>
        <v/>
      </c>
      <c r="BA225">
        <f>IF(AJ225="yes",0.55,0)</f>
        <v/>
      </c>
      <c r="BB225">
        <f>IF(AI225="yes",0.10,0)</f>
        <v/>
      </c>
      <c r="BC225">
        <f>IF(Y225="COMM_Direct",0.92,IF(Y225="COMM_Emotional",0.70,IF(Y225="COMM_Logical",0.65,IF(Y225="COMM_Indirect",0.55,0.35))))</f>
        <v/>
      </c>
      <c r="BD225">
        <f>IF(Z225="REG_CoRegulator",0.92,IF(Z225="REG_SelfSoother",0.76,IF(Z225="REG_Distractor",0.48,0.35)))</f>
        <v/>
      </c>
      <c r="BE225">
        <f>IF(AA225="LANG_Time",0.76,IF(AA225="LANG_Service",0.70,IF(AA225="LANG_Words",0.72,IF(AA225="LANG_Touch",0.68,0.60))))</f>
        <v/>
      </c>
      <c r="BF225">
        <f>MAX(0,MIN(1,0.28*AS225+0.16*AT225+0.18*BC225+0.18*BD225+0.10*(1-AZ225)+0.10*(1-BA225)+BB225))</f>
        <v/>
      </c>
      <c r="BG225">
        <f>MAX(0,MIN(1,0.24*AU225+0.18*AS225+0.18*BC225+0.20*BD225+0.10*(1-AW225)+0.10*(1-BA225)))</f>
        <v/>
      </c>
      <c r="BH225">
        <f>MAX(0,MIN(1,0.28*AR225+0.18*AT225+0.16*AU225+0.18*(1-AV225)+0.10*(1-AW225)+0.10*BF225))</f>
        <v/>
      </c>
      <c r="BI225">
        <f>MAX(0,MIN(1,0.30*AV225+0.20*AZ225+0.20*AW225+0.15*(1-BH225)+0.15*(1-BO225)))</f>
        <v/>
      </c>
      <c r="BJ225">
        <f>MAX(0,1-(ABS(((( AX225+AY225)/2)-0.55)*1.6)))</f>
        <v/>
      </c>
      <c r="BK225">
        <f>MAX(0,MIN(1,0.28*AR225+0.18*AT225+0.16*BJ225+0.14*(1-AV225)+0.12*BQ225+0.12*BO225))</f>
        <v/>
      </c>
      <c r="BL225">
        <f>MAX(0,MIN(1,0.22*AQ225+0.18*AS225+0.18*BC225+0.18*BD225+0.08*BE225+0.10*BF225+0.06*BO225))</f>
        <v/>
      </c>
      <c r="BM225">
        <f>MAX(0,MIN(1,0.20*(1-AZ225)+0.16*(1-BA225)+0.14*(1-AW225)+0.14*AU225+0.18*BG225+0.10*BH225+0.08*BP225))</f>
        <v/>
      </c>
      <c r="BN225">
        <f>MAX(0,MIN(1,0.42*BJ225+0.33*BK225+0.15*AT225+0.10*BQ225))</f>
        <v/>
      </c>
      <c r="BO225">
        <f>MAX(0,MIN(1,0.30*BC225+0.24*BD225+0.18*AS225+0.14*(1-BI225)+0.14*AT225))</f>
        <v/>
      </c>
      <c r="BP225">
        <f>MAX(0,MIN(1,0.26*AS225+0.20*(1-BA225)+0.16*(1-AW225)+0.18*BG225+0.10*AU225+0.10+BB225))</f>
        <v/>
      </c>
      <c r="BQ225">
        <f>MAX(0,MIN(1,0.24*AT225+0.18*BF225+0.14*AR225+0.14*BO225+0.14*(1-AV225)+0.16*(1-AZ225)))</f>
        <v/>
      </c>
      <c r="BR225">
        <f>IF(BO225&gt;=0.80,"Open",IF(BO225&gt;=0.62,"Measured",IF(BO225&gt;=0.45,"Selective","Guarded")))</f>
        <v/>
      </c>
      <c r="BS225">
        <f>IF(Y225="COMM_Direct","Direct",IF(Y225="COMM_Emotional","Emotional",IF(Y225="COMM_Logical","Logical",IF(Y225="COMM_Indirect","Indirect","Avoidant"))))</f>
        <v/>
      </c>
      <c r="BT225">
        <f>IF(BG225&gt;=0.78,"Co-repair",IF(BG225&gt;=0.58,"Re-engage",IF(BG225&gt;=0.40,"Delay","Suppress")))</f>
        <v/>
      </c>
      <c r="BU225">
        <f>IF(BI225&gt;=0.70,"Retreat-risk",IF(BH225&lt;=0.40,"Rush-risk",IF(BH225&gt;=0.65,"Slow-build","Mixed")))</f>
        <v/>
      </c>
      <c r="BV225">
        <f>IF(BL225-BM225&gt;=0.15,"Stimulation-seeking",IF(BM225-BL225&gt;=0.15,"Calm-seeking","Mixed")))</f>
        <v/>
      </c>
      <c r="BW225">
        <f>IF(AND(BL225&gt;=0.72,BM225&lt;0.48),"High",IF(AND(BL225&gt;=0.60,BM225&lt;0.58),"Medium","Low"))</f>
        <v/>
      </c>
    </row>
    <row r="226" ht="121.5" customHeight="1" s="10">
      <c r="A226" s="2" t="inlineStr">
        <is>
          <t>Q45_E</t>
        </is>
      </c>
      <c r="B226" s="2" t="n">
        <v>45</v>
      </c>
      <c r="C226" s="2" t="n">
        <v>45</v>
      </c>
      <c r="D226" s="2" t="inlineStr">
        <is>
          <t>Core</t>
        </is>
      </c>
      <c r="E226" s="2" t="n">
        <v>1.35</v>
      </c>
      <c r="F226" s="2" t="inlineStr">
        <is>
          <t>EmotionalNeeds</t>
        </is>
      </c>
      <c r="G226" s="2" t="inlineStr">
        <is>
          <t>IntimacyThreshold</t>
        </is>
      </c>
      <c r="H226" s="2" t="n"/>
      <c r="I226" s="2" t="inlineStr">
        <is>
          <t>E</t>
        </is>
      </c>
      <c r="J226" s="2" t="inlineStr">
        <is>
          <t>E</t>
        </is>
      </c>
      <c r="K226" s="2" t="inlineStr">
        <is>
          <t>If they didn't try to solve it , just sat with me in it. Showed me they don't need me to be okay to stay.</t>
        </is>
      </c>
      <c r="L226" s="2" t="n">
        <v>10</v>
      </c>
      <c r="M226" s="2" t="n">
        <v>10</v>
      </c>
      <c r="N226" s="2" t="n">
        <v>10</v>
      </c>
      <c r="O226" s="2" t="n">
        <v>10</v>
      </c>
      <c r="P226" s="2" t="n">
        <v>10</v>
      </c>
      <c r="Q226" s="2" t="inlineStr">
        <is>
          <t>Regulated Grown-Up</t>
        </is>
      </c>
      <c r="R226" s="2" t="n">
        <v>9</v>
      </c>
      <c r="S226" s="2" t="n"/>
      <c r="T226" s="2" t="n"/>
      <c r="U226" s="2" t="n">
        <v>0</v>
      </c>
      <c r="V226" s="2" t="inlineStr">
        <is>
          <t>masc:1.1;fem:0.9</t>
        </is>
      </c>
      <c r="W226" s="2" t="n">
        <v>1.1</v>
      </c>
      <c r="X226" s="2" t="n">
        <v>0.9</v>
      </c>
      <c r="Y226" s="2" t="inlineStr">
        <is>
          <t>COMM_Direct</t>
        </is>
      </c>
      <c r="Z226" s="2" t="inlineStr">
        <is>
          <t>REG_CoRegulator</t>
        </is>
      </c>
      <c r="AA226" s="2" t="inlineStr">
        <is>
          <t>LANG_Words</t>
        </is>
      </c>
      <c r="AB226" s="2" t="n"/>
      <c r="AC226" s="2" t="n"/>
      <c r="AD226" s="2" t="n"/>
      <c r="AE226" s="2" t="n">
        <v>0</v>
      </c>
      <c r="AF226" s="2" t="inlineStr">
        <is>
          <t>emotional co-anchor</t>
        </is>
      </c>
      <c r="AG226" s="2" t="inlineStr">
        <is>
          <t>steady attuner</t>
        </is>
      </c>
      <c r="AH226" s="2" t="n">
        <v>0</v>
      </c>
      <c r="AI226" s="2" t="inlineStr">
        <is>
          <t>no</t>
        </is>
      </c>
      <c r="AJ226" s="2" t="inlineStr">
        <is>
          <t>no</t>
        </is>
      </c>
      <c r="AK226" s="2" t="inlineStr">
        <is>
          <t>no</t>
        </is>
      </c>
      <c r="AL226" s="2" t="inlineStr">
        <is>
          <t>no</t>
        </is>
      </c>
      <c r="AM226" s="2" t="n"/>
      <c r="AN226" s="2" t="n"/>
      <c r="AO226" s="2" t="n"/>
      <c r="AP226" s="2" t="inlineStr">
        <is>
          <t>v3_2026-03-19</t>
        </is>
      </c>
      <c r="AQ226">
        <f>(L226-Schema_v5!$C2)/(Schema_v5!$C3-Schema_v5!$C2)</f>
        <v/>
      </c>
      <c r="AR226">
        <f>(M226-Schema_v5!$C4)/(Schema_v5!$C5-Schema_v5!$C4)</f>
        <v/>
      </c>
      <c r="AS226">
        <f>N226/Schema_v5!$C6</f>
        <v/>
      </c>
      <c r="AT226">
        <f>O226/Schema_v5!$C7</f>
        <v/>
      </c>
      <c r="AU226">
        <f>P226/Schema_v5!$C8</f>
        <v/>
      </c>
      <c r="AV226">
        <f>IF(Schema_v5!$C9=0,0,AH226/Schema_v5!$C9)</f>
        <v/>
      </c>
      <c r="AW226">
        <f>IF(Schema_v5!$C10=0,0,AE226/Schema_v5!$C10)</f>
        <v/>
      </c>
      <c r="AX226">
        <f>(W226-Schema_v5!$C11)/(Schema_v5!$C12-Schema_v5!$C11)</f>
        <v/>
      </c>
      <c r="AY226">
        <f>(X226-Schema_v5!$C13)/(Schema_v5!$C14-Schema_v5!$C13)</f>
        <v/>
      </c>
      <c r="AZ226">
        <f>MIN(1,MAX(0,U226/Schema_v7!$C$9))</f>
        <v/>
      </c>
      <c r="BA226">
        <f>IF(AJ226="yes",0.55,0)</f>
        <v/>
      </c>
      <c r="BB226">
        <f>IF(AI226="yes",0.10,0)</f>
        <v/>
      </c>
      <c r="BC226">
        <f>IF(Y226="COMM_Direct",0.92,IF(Y226="COMM_Emotional",0.70,IF(Y226="COMM_Logical",0.65,IF(Y226="COMM_Indirect",0.55,0.35))))</f>
        <v/>
      </c>
      <c r="BD226">
        <f>IF(Z226="REG_CoRegulator",0.92,IF(Z226="REG_SelfSoother",0.76,IF(Z226="REG_Distractor",0.48,0.35)))</f>
        <v/>
      </c>
      <c r="BE226">
        <f>IF(AA226="LANG_Time",0.76,IF(AA226="LANG_Service",0.70,IF(AA226="LANG_Words",0.72,IF(AA226="LANG_Touch",0.68,0.60))))</f>
        <v/>
      </c>
      <c r="BF226">
        <f>MAX(0,MIN(1,0.28*AS226+0.16*AT226+0.18*BC226+0.18*BD226+0.10*(1-AZ226)+0.10*(1-BA226)+BB226))</f>
        <v/>
      </c>
      <c r="BG226">
        <f>MAX(0,MIN(1,0.24*AU226+0.18*AS226+0.18*BC226+0.20*BD226+0.10*(1-AW226)+0.10*(1-BA226)))</f>
        <v/>
      </c>
      <c r="BH226">
        <f>MAX(0,MIN(1,0.28*AR226+0.18*AT226+0.16*AU226+0.18*(1-AV226)+0.10*(1-AW226)+0.10*BF226))</f>
        <v/>
      </c>
      <c r="BI226">
        <f>MAX(0,MIN(1,0.30*AV226+0.20*AZ226+0.20*AW226+0.15*(1-BH226)+0.15*(1-BO226)))</f>
        <v/>
      </c>
      <c r="BJ226">
        <f>MAX(0,1-(ABS(((( AX226+AY226)/2)-0.55)*1.6)))</f>
        <v/>
      </c>
      <c r="BK226">
        <f>MAX(0,MIN(1,0.28*AR226+0.18*AT226+0.16*BJ226+0.14*(1-AV226)+0.12*BQ226+0.12*BO226))</f>
        <v/>
      </c>
      <c r="BL226">
        <f>MAX(0,MIN(1,0.22*AQ226+0.18*AS226+0.18*BC226+0.18*BD226+0.08*BE226+0.10*BF226+0.06*BO226))</f>
        <v/>
      </c>
      <c r="BM226">
        <f>MAX(0,MIN(1,0.20*(1-AZ226)+0.16*(1-BA226)+0.14*(1-AW226)+0.14*AU226+0.18*BG226+0.10*BH226+0.08*BP226))</f>
        <v/>
      </c>
      <c r="BN226">
        <f>MAX(0,MIN(1,0.42*BJ226+0.33*BK226+0.15*AT226+0.10*BQ226))</f>
        <v/>
      </c>
      <c r="BO226">
        <f>MAX(0,MIN(1,0.30*BC226+0.24*BD226+0.18*AS226+0.14*(1-BI226)+0.14*AT226))</f>
        <v/>
      </c>
      <c r="BP226">
        <f>MAX(0,MIN(1,0.26*AS226+0.20*(1-BA226)+0.16*(1-AW226)+0.18*BG226+0.10*AU226+0.10+BB226))</f>
        <v/>
      </c>
      <c r="BQ226">
        <f>MAX(0,MIN(1,0.24*AT226+0.18*BF226+0.14*AR226+0.14*BO226+0.14*(1-AV226)+0.16*(1-AZ226)))</f>
        <v/>
      </c>
      <c r="BR226">
        <f>IF(BO226&gt;=0.80,"Open",IF(BO226&gt;=0.62,"Measured",IF(BO226&gt;=0.45,"Selective","Guarded")))</f>
        <v/>
      </c>
      <c r="BS226">
        <f>IF(Y226="COMM_Direct","Direct",IF(Y226="COMM_Emotional","Emotional",IF(Y226="COMM_Logical","Logical",IF(Y226="COMM_Indirect","Indirect","Avoidant"))))</f>
        <v/>
      </c>
      <c r="BT226">
        <f>IF(BG226&gt;=0.78,"Co-repair",IF(BG226&gt;=0.58,"Re-engage",IF(BG226&gt;=0.40,"Delay","Suppress")))</f>
        <v/>
      </c>
      <c r="BU226">
        <f>IF(BI226&gt;=0.70,"Retreat-risk",IF(BH226&lt;=0.40,"Rush-risk",IF(BH226&gt;=0.65,"Slow-build","Mixed")))</f>
        <v/>
      </c>
      <c r="BV226">
        <f>IF(BL226-BM226&gt;=0.15,"Stimulation-seeking",IF(BM226-BL226&gt;=0.15,"Calm-seeking","Mixed")))</f>
        <v/>
      </c>
      <c r="BW226">
        <f>IF(AND(BL226&gt;=0.72,BM226&lt;0.48),"High",IF(AND(BL226&gt;=0.60,BM226&lt;0.58),"Medium","Low"))</f>
        <v/>
      </c>
    </row>
    <row r="227" ht="135" customHeight="1" s="10">
      <c r="A227" s="2" t="inlineStr">
        <is>
          <t>Q46_A</t>
        </is>
      </c>
      <c r="B227" s="2" t="n">
        <v>46</v>
      </c>
      <c r="C227" s="2" t="n">
        <v>46</v>
      </c>
      <c r="D227" s="2" t="inlineStr">
        <is>
          <t>Core</t>
        </is>
      </c>
      <c r="E227" s="2" t="n">
        <v>1.35</v>
      </c>
      <c r="F227" s="2" t="inlineStr">
        <is>
          <t>EmotionalNeeds</t>
        </is>
      </c>
      <c r="G227" s="2" t="inlineStr">
        <is>
          <t>IntimacyThreshold</t>
        </is>
      </c>
      <c r="H227" s="2" t="inlineStr">
        <is>
          <t>You've just ended something heavy , a breakup, a fallout, a disappointment. What's your first move to reset?</t>
        </is>
      </c>
      <c r="I227" s="2" t="inlineStr">
        <is>
          <t>A</t>
        </is>
      </c>
      <c r="J227" s="2" t="inlineStr">
        <is>
          <t>A</t>
        </is>
      </c>
      <c r="K227" s="2" t="inlineStr">
        <is>
          <t>I isolate. Silence helps me sort what's mine vs. what was theirs.</t>
        </is>
      </c>
      <c r="L227" s="2" t="n">
        <v>8</v>
      </c>
      <c r="M227" s="2" t="n">
        <v>8</v>
      </c>
      <c r="N227" s="2" t="n">
        <v>4</v>
      </c>
      <c r="O227" s="2" t="n">
        <v>4</v>
      </c>
      <c r="P227" s="2" t="n">
        <v>2</v>
      </c>
      <c r="Q227" s="2" t="inlineStr">
        <is>
          <t>Icebox</t>
        </is>
      </c>
      <c r="R227" s="2" t="n">
        <v>1</v>
      </c>
      <c r="S227" s="2" t="n"/>
      <c r="T227" s="2" t="n"/>
      <c r="U227" s="2" t="n">
        <v>0</v>
      </c>
      <c r="V227" s="2" t="inlineStr">
        <is>
          <t>masc:1.8;fem:-1.6</t>
        </is>
      </c>
      <c r="W227" s="2" t="n">
        <v>1.8</v>
      </c>
      <c r="X227" s="2" t="n">
        <v>-1.6</v>
      </c>
      <c r="Y227" s="2" t="inlineStr">
        <is>
          <t>COMM_Avoidant</t>
        </is>
      </c>
      <c r="Z227" s="2" t="inlineStr">
        <is>
          <t>REG_Suppressor</t>
        </is>
      </c>
      <c r="AA227" s="2" t="inlineStr">
        <is>
          <t>LANG_Time</t>
        </is>
      </c>
      <c r="AB227" s="2" t="n"/>
      <c r="AC227" s="2" t="n"/>
      <c r="AD227" s="2" t="n"/>
      <c r="AE227" s="2" t="n">
        <v>0</v>
      </c>
      <c r="AF227" s="2" t="inlineStr">
        <is>
          <t>solitary cleanse</t>
        </is>
      </c>
      <c r="AG227" s="2" t="inlineStr">
        <is>
          <t>self-resetter</t>
        </is>
      </c>
      <c r="AH227" s="2" t="n">
        <v>0</v>
      </c>
      <c r="AI227" s="2" t="inlineStr">
        <is>
          <t>no</t>
        </is>
      </c>
      <c r="AJ227" s="2" t="inlineStr">
        <is>
          <t>no</t>
        </is>
      </c>
      <c r="AK227" s="2" t="inlineStr">
        <is>
          <t>no</t>
        </is>
      </c>
      <c r="AL227" s="2" t="inlineStr">
        <is>
          <t>no</t>
        </is>
      </c>
      <c r="AM227" s="2" t="n"/>
      <c r="AN227" s="2" t="n"/>
      <c r="AO227" s="2" t="n"/>
      <c r="AP227" s="2" t="inlineStr">
        <is>
          <t>v3_2026-03-19</t>
        </is>
      </c>
      <c r="AQ227">
        <f>(L227-Schema_v5!$C2)/(Schema_v5!$C3-Schema_v5!$C2)</f>
        <v/>
      </c>
      <c r="AR227">
        <f>(M227-Schema_v5!$C4)/(Schema_v5!$C5-Schema_v5!$C4)</f>
        <v/>
      </c>
      <c r="AS227">
        <f>N227/Schema_v5!$C6</f>
        <v/>
      </c>
      <c r="AT227">
        <f>O227/Schema_v5!$C7</f>
        <v/>
      </c>
      <c r="AU227">
        <f>P227/Schema_v5!$C8</f>
        <v/>
      </c>
      <c r="AV227">
        <f>IF(Schema_v5!$C9=0,0,AH227/Schema_v5!$C9)</f>
        <v/>
      </c>
      <c r="AW227">
        <f>IF(Schema_v5!$C10=0,0,AE227/Schema_v5!$C10)</f>
        <v/>
      </c>
      <c r="AX227">
        <f>(W227-Schema_v5!$C11)/(Schema_v5!$C12-Schema_v5!$C11)</f>
        <v/>
      </c>
      <c r="AY227">
        <f>(X227-Schema_v5!$C13)/(Schema_v5!$C14-Schema_v5!$C13)</f>
        <v/>
      </c>
      <c r="AZ227">
        <f>MIN(1,MAX(0,U227/Schema_v7!$C$9))</f>
        <v/>
      </c>
      <c r="BA227">
        <f>IF(AJ227="yes",0.55,0)</f>
        <v/>
      </c>
      <c r="BB227">
        <f>IF(AI227="yes",0.10,0)</f>
        <v/>
      </c>
      <c r="BC227">
        <f>IF(Y227="COMM_Direct",0.92,IF(Y227="COMM_Emotional",0.70,IF(Y227="COMM_Logical",0.65,IF(Y227="COMM_Indirect",0.55,0.35))))</f>
        <v/>
      </c>
      <c r="BD227">
        <f>IF(Z227="REG_CoRegulator",0.92,IF(Z227="REG_SelfSoother",0.76,IF(Z227="REG_Distractor",0.48,0.35)))</f>
        <v/>
      </c>
      <c r="BE227">
        <f>IF(AA227="LANG_Time",0.76,IF(AA227="LANG_Service",0.70,IF(AA227="LANG_Words",0.72,IF(AA227="LANG_Touch",0.68,0.60))))</f>
        <v/>
      </c>
      <c r="BF227">
        <f>MAX(0,MIN(1,0.28*AS227+0.16*AT227+0.18*BC227+0.18*BD227+0.10*(1-AZ227)+0.10*(1-BA227)+BB227))</f>
        <v/>
      </c>
      <c r="BG227">
        <f>MAX(0,MIN(1,0.24*AU227+0.18*AS227+0.18*BC227+0.20*BD227+0.10*(1-AW227)+0.10*(1-BA227)))</f>
        <v/>
      </c>
      <c r="BH227">
        <f>MAX(0,MIN(1,0.28*AR227+0.18*AT227+0.16*AU227+0.18*(1-AV227)+0.10*(1-AW227)+0.10*BF227))</f>
        <v/>
      </c>
      <c r="BI227">
        <f>MAX(0,MIN(1,0.30*AV227+0.20*AZ227+0.20*AW227+0.15*(1-BH227)+0.15*(1-BO227)))</f>
        <v/>
      </c>
      <c r="BJ227">
        <f>MAX(0,1-(ABS(((( AX227+AY227)/2)-0.55)*1.6)))</f>
        <v/>
      </c>
      <c r="BK227">
        <f>MAX(0,MIN(1,0.28*AR227+0.18*AT227+0.16*BJ227+0.14*(1-AV227)+0.12*BQ227+0.12*BO227))</f>
        <v/>
      </c>
      <c r="BL227">
        <f>MAX(0,MIN(1,0.22*AQ227+0.18*AS227+0.18*BC227+0.18*BD227+0.08*BE227+0.10*BF227+0.06*BO227))</f>
        <v/>
      </c>
      <c r="BM227">
        <f>MAX(0,MIN(1,0.20*(1-AZ227)+0.16*(1-BA227)+0.14*(1-AW227)+0.14*AU227+0.18*BG227+0.10*BH227+0.08*BP227))</f>
        <v/>
      </c>
      <c r="BN227">
        <f>MAX(0,MIN(1,0.42*BJ227+0.33*BK227+0.15*AT227+0.10*BQ227))</f>
        <v/>
      </c>
      <c r="BO227">
        <f>MAX(0,MIN(1,0.30*BC227+0.24*BD227+0.18*AS227+0.14*(1-BI227)+0.14*AT227))</f>
        <v/>
      </c>
      <c r="BP227">
        <f>MAX(0,MIN(1,0.26*AS227+0.20*(1-BA227)+0.16*(1-AW227)+0.18*BG227+0.10*AU227+0.10+BB227))</f>
        <v/>
      </c>
      <c r="BQ227">
        <f>MAX(0,MIN(1,0.24*AT227+0.18*BF227+0.14*AR227+0.14*BO227+0.14*(1-AV227)+0.16*(1-AZ227)))</f>
        <v/>
      </c>
      <c r="BR227">
        <f>IF(BO227&gt;=0.80,"Open",IF(BO227&gt;=0.62,"Measured",IF(BO227&gt;=0.45,"Selective","Guarded")))</f>
        <v/>
      </c>
      <c r="BS227">
        <f>IF(Y227="COMM_Direct","Direct",IF(Y227="COMM_Emotional","Emotional",IF(Y227="COMM_Logical","Logical",IF(Y227="COMM_Indirect","Indirect","Avoidant"))))</f>
        <v/>
      </c>
      <c r="BT227">
        <f>IF(BG227&gt;=0.78,"Co-repair",IF(BG227&gt;=0.58,"Re-engage",IF(BG227&gt;=0.40,"Delay","Suppress")))</f>
        <v/>
      </c>
      <c r="BU227">
        <f>IF(BI227&gt;=0.70,"Retreat-risk",IF(BH227&lt;=0.40,"Rush-risk",IF(BH227&gt;=0.65,"Slow-build","Mixed")))</f>
        <v/>
      </c>
      <c r="BV227">
        <f>IF(BL227-BM227&gt;=0.15,"Stimulation-seeking",IF(BM227-BL227&gt;=0.15,"Calm-seeking","Mixed")))</f>
        <v/>
      </c>
      <c r="BW227">
        <f>IF(AND(BL227&gt;=0.72,BM227&lt;0.48),"High",IF(AND(BL227&gt;=0.60,BM227&lt;0.58),"Medium","Low"))</f>
        <v/>
      </c>
    </row>
    <row r="228" ht="94.5" customHeight="1" s="10">
      <c r="A228" s="2" t="inlineStr">
        <is>
          <t>Q46_B</t>
        </is>
      </c>
      <c r="B228" s="2" t="n">
        <v>46</v>
      </c>
      <c r="C228" s="2" t="n">
        <v>46</v>
      </c>
      <c r="D228" s="2" t="inlineStr">
        <is>
          <t>Core</t>
        </is>
      </c>
      <c r="E228" s="2" t="n">
        <v>1.35</v>
      </c>
      <c r="F228" s="2" t="inlineStr">
        <is>
          <t>EmotionalNeeds</t>
        </is>
      </c>
      <c r="G228" s="2" t="inlineStr">
        <is>
          <t>IntimacyThreshold</t>
        </is>
      </c>
      <c r="H228" s="2" t="n"/>
      <c r="I228" s="2" t="inlineStr">
        <is>
          <t>B</t>
        </is>
      </c>
      <c r="J228" s="2" t="inlineStr">
        <is>
          <t>B</t>
        </is>
      </c>
      <c r="K228" s="2" t="inlineStr">
        <is>
          <t>I spiral a bit, replaying everything, wondering what I could've done differently.</t>
        </is>
      </c>
      <c r="L228" s="2" t="n">
        <v>4</v>
      </c>
      <c r="M228" s="2" t="n">
        <v>5</v>
      </c>
      <c r="N228" s="2" t="n">
        <v>2</v>
      </c>
      <c r="O228" s="2" t="n">
        <v>2</v>
      </c>
      <c r="P228" s="2" t="n">
        <v>0</v>
      </c>
      <c r="Q228" s="2" t="inlineStr">
        <is>
          <t>Phantom Seeker</t>
        </is>
      </c>
      <c r="R228" s="2" t="n">
        <v>10</v>
      </c>
      <c r="S228" s="2" t="n"/>
      <c r="T228" s="2" t="n"/>
      <c r="U228" s="2" t="n">
        <v>0</v>
      </c>
      <c r="V228" s="2" t="inlineStr">
        <is>
          <t>masc:-0.2;fem:1.5</t>
        </is>
      </c>
      <c r="W228" s="2" t="n">
        <v>-0.2</v>
      </c>
      <c r="X228" s="2" t="n">
        <v>1.5</v>
      </c>
      <c r="Y228" s="2" t="inlineStr">
        <is>
          <t>COMM_Emotional</t>
        </is>
      </c>
      <c r="Z228" s="2" t="inlineStr">
        <is>
          <t>REG_SelfSoother</t>
        </is>
      </c>
      <c r="AA228" s="2" t="inlineStr">
        <is>
          <t>LANG_Touch</t>
        </is>
      </c>
      <c r="AB228" s="2" t="inlineStr">
        <is>
          <t>Vulnerability_Loop</t>
        </is>
      </c>
      <c r="AC228" s="2" t="inlineStr">
        <is>
          <t>Vulnerability_Loop</t>
        </is>
      </c>
      <c r="AD228" s="2" t="n"/>
      <c r="AE228" s="2" t="n">
        <v>5</v>
      </c>
      <c r="AF228" s="2" t="inlineStr">
        <is>
          <t>regret loop recovery</t>
        </is>
      </c>
      <c r="AG228" s="2" t="inlineStr">
        <is>
          <t>self-blamer</t>
        </is>
      </c>
      <c r="AH228" s="2" t="n">
        <v>0</v>
      </c>
      <c r="AI228" s="2" t="inlineStr">
        <is>
          <t>yes</t>
        </is>
      </c>
      <c r="AJ228" s="2" t="inlineStr">
        <is>
          <t>no</t>
        </is>
      </c>
      <c r="AK228" s="2" t="inlineStr">
        <is>
          <t>no</t>
        </is>
      </c>
      <c r="AL228" s="2" t="inlineStr">
        <is>
          <t>no</t>
        </is>
      </c>
      <c r="AM228" s="2" t="n"/>
      <c r="AN228" s="2" t="n"/>
      <c r="AO228" s="2" t="n"/>
      <c r="AP228" s="2" t="inlineStr">
        <is>
          <t>v3_2026-03-19</t>
        </is>
      </c>
      <c r="AQ228">
        <f>(L228-Schema_v5!$C2)/(Schema_v5!$C3-Schema_v5!$C2)</f>
        <v/>
      </c>
      <c r="AR228">
        <f>(M228-Schema_v5!$C4)/(Schema_v5!$C5-Schema_v5!$C4)</f>
        <v/>
      </c>
      <c r="AS228">
        <f>N228/Schema_v5!$C6</f>
        <v/>
      </c>
      <c r="AT228">
        <f>O228/Schema_v5!$C7</f>
        <v/>
      </c>
      <c r="AU228">
        <f>P228/Schema_v5!$C8</f>
        <v/>
      </c>
      <c r="AV228">
        <f>IF(Schema_v5!$C9=0,0,AH228/Schema_v5!$C9)</f>
        <v/>
      </c>
      <c r="AW228">
        <f>IF(Schema_v5!$C10=0,0,AE228/Schema_v5!$C10)</f>
        <v/>
      </c>
      <c r="AX228">
        <f>(W228-Schema_v5!$C11)/(Schema_v5!$C12-Schema_v5!$C11)</f>
        <v/>
      </c>
      <c r="AY228">
        <f>(X228-Schema_v5!$C13)/(Schema_v5!$C14-Schema_v5!$C13)</f>
        <v/>
      </c>
      <c r="AZ228">
        <f>MIN(1,MAX(0,U228/Schema_v7!$C$9))</f>
        <v/>
      </c>
      <c r="BA228">
        <f>IF(AJ228="yes",0.55,0)</f>
        <v/>
      </c>
      <c r="BB228">
        <f>IF(AI228="yes",0.10,0)</f>
        <v/>
      </c>
      <c r="BC228">
        <f>IF(Y228="COMM_Direct",0.92,IF(Y228="COMM_Emotional",0.70,IF(Y228="COMM_Logical",0.65,IF(Y228="COMM_Indirect",0.55,0.35))))</f>
        <v/>
      </c>
      <c r="BD228">
        <f>IF(Z228="REG_CoRegulator",0.92,IF(Z228="REG_SelfSoother",0.76,IF(Z228="REG_Distractor",0.48,0.35)))</f>
        <v/>
      </c>
      <c r="BE228">
        <f>IF(AA228="LANG_Time",0.76,IF(AA228="LANG_Service",0.70,IF(AA228="LANG_Words",0.72,IF(AA228="LANG_Touch",0.68,0.60))))</f>
        <v/>
      </c>
      <c r="BF228">
        <f>MAX(0,MIN(1,0.28*AS228+0.16*AT228+0.18*BC228+0.18*BD228+0.10*(1-AZ228)+0.10*(1-BA228)+BB228))</f>
        <v/>
      </c>
      <c r="BG228">
        <f>MAX(0,MIN(1,0.24*AU228+0.18*AS228+0.18*BC228+0.20*BD228+0.10*(1-AW228)+0.10*(1-BA228)))</f>
        <v/>
      </c>
      <c r="BH228">
        <f>MAX(0,MIN(1,0.28*AR228+0.18*AT228+0.16*AU228+0.18*(1-AV228)+0.10*(1-AW228)+0.10*BF228))</f>
        <v/>
      </c>
      <c r="BI228">
        <f>MAX(0,MIN(1,0.30*AV228+0.20*AZ228+0.20*AW228+0.15*(1-BH228)+0.15*(1-BO228)))</f>
        <v/>
      </c>
      <c r="BJ228">
        <f>MAX(0,1-(ABS(((( AX228+AY228)/2)-0.55)*1.6)))</f>
        <v/>
      </c>
      <c r="BK228">
        <f>MAX(0,MIN(1,0.28*AR228+0.18*AT228+0.16*BJ228+0.14*(1-AV228)+0.12*BQ228+0.12*BO228))</f>
        <v/>
      </c>
      <c r="BL228">
        <f>MAX(0,MIN(1,0.22*AQ228+0.18*AS228+0.18*BC228+0.18*BD228+0.08*BE228+0.10*BF228+0.06*BO228))</f>
        <v/>
      </c>
      <c r="BM228">
        <f>MAX(0,MIN(1,0.20*(1-AZ228)+0.16*(1-BA228)+0.14*(1-AW228)+0.14*AU228+0.18*BG228+0.10*BH228+0.08*BP228))</f>
        <v/>
      </c>
      <c r="BN228">
        <f>MAX(0,MIN(1,0.42*BJ228+0.33*BK228+0.15*AT228+0.10*BQ228))</f>
        <v/>
      </c>
      <c r="BO228">
        <f>MAX(0,MIN(1,0.30*BC228+0.24*BD228+0.18*AS228+0.14*(1-BI228)+0.14*AT228))</f>
        <v/>
      </c>
      <c r="BP228">
        <f>MAX(0,MIN(1,0.26*AS228+0.20*(1-BA228)+0.16*(1-AW228)+0.18*BG228+0.10*AU228+0.10+BB228))</f>
        <v/>
      </c>
      <c r="BQ228">
        <f>MAX(0,MIN(1,0.24*AT228+0.18*BF228+0.14*AR228+0.14*BO228+0.14*(1-AV228)+0.16*(1-AZ228)))</f>
        <v/>
      </c>
      <c r="BR228">
        <f>IF(BO228&gt;=0.80,"Open",IF(BO228&gt;=0.62,"Measured",IF(BO228&gt;=0.45,"Selective","Guarded")))</f>
        <v/>
      </c>
      <c r="BS228">
        <f>IF(Y228="COMM_Direct","Direct",IF(Y228="COMM_Emotional","Emotional",IF(Y228="COMM_Logical","Logical",IF(Y228="COMM_Indirect","Indirect","Avoidant"))))</f>
        <v/>
      </c>
      <c r="BT228">
        <f>IF(BG228&gt;=0.78,"Co-repair",IF(BG228&gt;=0.58,"Re-engage",IF(BG228&gt;=0.40,"Delay","Suppress")))</f>
        <v/>
      </c>
      <c r="BU228">
        <f>IF(BI228&gt;=0.70,"Retreat-risk",IF(BH228&lt;=0.40,"Rush-risk",IF(BH228&gt;=0.65,"Slow-build","Mixed")))</f>
        <v/>
      </c>
      <c r="BV228">
        <f>IF(BL228-BM228&gt;=0.15,"Stimulation-seeking",IF(BM228-BL228&gt;=0.15,"Calm-seeking","Mixed")))</f>
        <v/>
      </c>
      <c r="BW228">
        <f>IF(AND(BL228&gt;=0.72,BM228&lt;0.48),"High",IF(AND(BL228&gt;=0.60,BM228&lt;0.58),"Medium","Low"))</f>
        <v/>
      </c>
    </row>
    <row r="229" ht="94.5" customHeight="1" s="10">
      <c r="A229" s="2" t="inlineStr">
        <is>
          <t>Q46_C</t>
        </is>
      </c>
      <c r="B229" s="2" t="n">
        <v>46</v>
      </c>
      <c r="C229" s="2" t="n">
        <v>46</v>
      </c>
      <c r="D229" s="2" t="inlineStr">
        <is>
          <t>Core</t>
        </is>
      </c>
      <c r="E229" s="2" t="n">
        <v>1.35</v>
      </c>
      <c r="F229" s="2" t="inlineStr">
        <is>
          <t>EmotionalNeeds</t>
        </is>
      </c>
      <c r="G229" s="2" t="inlineStr">
        <is>
          <t>IntimacyThreshold</t>
        </is>
      </c>
      <c r="H229" s="2" t="n"/>
      <c r="I229" s="2" t="inlineStr">
        <is>
          <t>C</t>
        </is>
      </c>
      <c r="J229" s="2" t="inlineStr">
        <is>
          <t>C</t>
        </is>
      </c>
      <c r="K229" s="2" t="inlineStr">
        <is>
          <t>I try to understand the pattern. If I can decode it, maybe I won't repeat it.</t>
        </is>
      </c>
      <c r="L229" s="2" t="n">
        <v>9</v>
      </c>
      <c r="M229" s="2" t="n">
        <v>9</v>
      </c>
      <c r="N229" s="2" t="n">
        <v>10</v>
      </c>
      <c r="O229" s="2" t="n">
        <v>8</v>
      </c>
      <c r="P229" s="2" t="n">
        <v>8</v>
      </c>
      <c r="Q229" s="2" t="inlineStr">
        <is>
          <t>Analyzer</t>
        </is>
      </c>
      <c r="R229" s="2" t="n">
        <v>2</v>
      </c>
      <c r="S229" s="2" t="n"/>
      <c r="T229" s="2" t="n"/>
      <c r="U229" s="2" t="n">
        <v>0</v>
      </c>
      <c r="V229" s="2" t="inlineStr">
        <is>
          <t>masc:1.4;fem:0.1</t>
        </is>
      </c>
      <c r="W229" s="2" t="n">
        <v>1.4</v>
      </c>
      <c r="X229" s="2" t="n">
        <v>0.1</v>
      </c>
      <c r="Y229" s="2" t="inlineStr">
        <is>
          <t>COMM_Logical</t>
        </is>
      </c>
      <c r="Z229" s="2" t="inlineStr">
        <is>
          <t>REG_SelfSoother</t>
        </is>
      </c>
      <c r="AA229" s="2" t="inlineStr">
        <is>
          <t>LANG_Service</t>
        </is>
      </c>
      <c r="AB229" s="2" t="n"/>
      <c r="AC229" s="2" t="n"/>
      <c r="AD229" s="2" t="n"/>
      <c r="AE229" s="2" t="n">
        <v>0</v>
      </c>
      <c r="AF229" s="2" t="inlineStr">
        <is>
          <t>postmortem patterning</t>
        </is>
      </c>
      <c r="AG229" s="2" t="inlineStr">
        <is>
          <t>clarity seeker</t>
        </is>
      </c>
      <c r="AH229" s="2" t="n">
        <v>0</v>
      </c>
      <c r="AI229" s="2" t="inlineStr">
        <is>
          <t>no</t>
        </is>
      </c>
      <c r="AJ229" s="2" t="inlineStr">
        <is>
          <t>no</t>
        </is>
      </c>
      <c r="AK229" s="2" t="inlineStr">
        <is>
          <t>no</t>
        </is>
      </c>
      <c r="AL229" s="2" t="inlineStr">
        <is>
          <t>no</t>
        </is>
      </c>
      <c r="AM229" s="2" t="n"/>
      <c r="AN229" s="2" t="n"/>
      <c r="AO229" s="2" t="n"/>
      <c r="AP229" s="2" t="inlineStr">
        <is>
          <t>v3_2026-03-19</t>
        </is>
      </c>
      <c r="AQ229">
        <f>(L229-Schema_v5!$C2)/(Schema_v5!$C3-Schema_v5!$C2)</f>
        <v/>
      </c>
      <c r="AR229">
        <f>(M229-Schema_v5!$C4)/(Schema_v5!$C5-Schema_v5!$C4)</f>
        <v/>
      </c>
      <c r="AS229">
        <f>N229/Schema_v5!$C6</f>
        <v/>
      </c>
      <c r="AT229">
        <f>O229/Schema_v5!$C7</f>
        <v/>
      </c>
      <c r="AU229">
        <f>P229/Schema_v5!$C8</f>
        <v/>
      </c>
      <c r="AV229">
        <f>IF(Schema_v5!$C9=0,0,AH229/Schema_v5!$C9)</f>
        <v/>
      </c>
      <c r="AW229">
        <f>IF(Schema_v5!$C10=0,0,AE229/Schema_v5!$C10)</f>
        <v/>
      </c>
      <c r="AX229">
        <f>(W229-Schema_v5!$C11)/(Schema_v5!$C12-Schema_v5!$C11)</f>
        <v/>
      </c>
      <c r="AY229">
        <f>(X229-Schema_v5!$C13)/(Schema_v5!$C14-Schema_v5!$C13)</f>
        <v/>
      </c>
      <c r="AZ229">
        <f>MIN(1,MAX(0,U229/Schema_v7!$C$9))</f>
        <v/>
      </c>
      <c r="BA229">
        <f>IF(AJ229="yes",0.55,0)</f>
        <v/>
      </c>
      <c r="BB229">
        <f>IF(AI229="yes",0.10,0)</f>
        <v/>
      </c>
      <c r="BC229">
        <f>IF(Y229="COMM_Direct",0.92,IF(Y229="COMM_Emotional",0.70,IF(Y229="COMM_Logical",0.65,IF(Y229="COMM_Indirect",0.55,0.35))))</f>
        <v/>
      </c>
      <c r="BD229">
        <f>IF(Z229="REG_CoRegulator",0.92,IF(Z229="REG_SelfSoother",0.76,IF(Z229="REG_Distractor",0.48,0.35)))</f>
        <v/>
      </c>
      <c r="BE229">
        <f>IF(AA229="LANG_Time",0.76,IF(AA229="LANG_Service",0.70,IF(AA229="LANG_Words",0.72,IF(AA229="LANG_Touch",0.68,0.60))))</f>
        <v/>
      </c>
      <c r="BF229">
        <f>MAX(0,MIN(1,0.28*AS229+0.16*AT229+0.18*BC229+0.18*BD229+0.10*(1-AZ229)+0.10*(1-BA229)+BB229))</f>
        <v/>
      </c>
      <c r="BG229">
        <f>MAX(0,MIN(1,0.24*AU229+0.18*AS229+0.18*BC229+0.20*BD229+0.10*(1-AW229)+0.10*(1-BA229)))</f>
        <v/>
      </c>
      <c r="BH229">
        <f>MAX(0,MIN(1,0.28*AR229+0.18*AT229+0.16*AU229+0.18*(1-AV229)+0.10*(1-AW229)+0.10*BF229))</f>
        <v/>
      </c>
      <c r="BI229">
        <f>MAX(0,MIN(1,0.30*AV229+0.20*AZ229+0.20*AW229+0.15*(1-BH229)+0.15*(1-BO229)))</f>
        <v/>
      </c>
      <c r="BJ229">
        <f>MAX(0,1-(ABS(((( AX229+AY229)/2)-0.55)*1.6)))</f>
        <v/>
      </c>
      <c r="BK229">
        <f>MAX(0,MIN(1,0.28*AR229+0.18*AT229+0.16*BJ229+0.14*(1-AV229)+0.12*BQ229+0.12*BO229))</f>
        <v/>
      </c>
      <c r="BL229">
        <f>MAX(0,MIN(1,0.22*AQ229+0.18*AS229+0.18*BC229+0.18*BD229+0.08*BE229+0.10*BF229+0.06*BO229))</f>
        <v/>
      </c>
      <c r="BM229">
        <f>MAX(0,MIN(1,0.20*(1-AZ229)+0.16*(1-BA229)+0.14*(1-AW229)+0.14*AU229+0.18*BG229+0.10*BH229+0.08*BP229))</f>
        <v/>
      </c>
      <c r="BN229">
        <f>MAX(0,MIN(1,0.42*BJ229+0.33*BK229+0.15*AT229+0.10*BQ229))</f>
        <v/>
      </c>
      <c r="BO229">
        <f>MAX(0,MIN(1,0.30*BC229+0.24*BD229+0.18*AS229+0.14*(1-BI229)+0.14*AT229))</f>
        <v/>
      </c>
      <c r="BP229">
        <f>MAX(0,MIN(1,0.26*AS229+0.20*(1-BA229)+0.16*(1-AW229)+0.18*BG229+0.10*AU229+0.10+BB229))</f>
        <v/>
      </c>
      <c r="BQ229">
        <f>MAX(0,MIN(1,0.24*AT229+0.18*BF229+0.14*AR229+0.14*BO229+0.14*(1-AV229)+0.16*(1-AZ229)))</f>
        <v/>
      </c>
      <c r="BR229">
        <f>IF(BO229&gt;=0.80,"Open",IF(BO229&gt;=0.62,"Measured",IF(BO229&gt;=0.45,"Selective","Guarded")))</f>
        <v/>
      </c>
      <c r="BS229">
        <f>IF(Y229="COMM_Direct","Direct",IF(Y229="COMM_Emotional","Emotional",IF(Y229="COMM_Logical","Logical",IF(Y229="COMM_Indirect","Indirect","Avoidant"))))</f>
        <v/>
      </c>
      <c r="BT229">
        <f>IF(BG229&gt;=0.78,"Co-repair",IF(BG229&gt;=0.58,"Re-engage",IF(BG229&gt;=0.40,"Delay","Suppress")))</f>
        <v/>
      </c>
      <c r="BU229">
        <f>IF(BI229&gt;=0.70,"Retreat-risk",IF(BH229&lt;=0.40,"Rush-risk",IF(BH229&gt;=0.65,"Slow-build","Mixed")))</f>
        <v/>
      </c>
      <c r="BV229">
        <f>IF(BL229-BM229&gt;=0.15,"Stimulation-seeking",IF(BM229-BL229&gt;=0.15,"Calm-seeking","Mixed")))</f>
        <v/>
      </c>
      <c r="BW229">
        <f>IF(AND(BL229&gt;=0.72,BM229&lt;0.48),"High",IF(AND(BL229&gt;=0.60,BM229&lt;0.58),"Medium","Low"))</f>
        <v/>
      </c>
    </row>
    <row r="230" ht="81" customHeight="1" s="10">
      <c r="A230" s="2" t="inlineStr">
        <is>
          <t>Q46_D</t>
        </is>
      </c>
      <c r="B230" s="2" t="n">
        <v>46</v>
      </c>
      <c r="C230" s="2" t="n">
        <v>46</v>
      </c>
      <c r="D230" s="2" t="inlineStr">
        <is>
          <t>Core</t>
        </is>
      </c>
      <c r="E230" s="2" t="n">
        <v>1.35</v>
      </c>
      <c r="F230" s="2" t="inlineStr">
        <is>
          <t>EmotionalNeeds</t>
        </is>
      </c>
      <c r="G230" s="2" t="inlineStr">
        <is>
          <t>IntimacyThreshold</t>
        </is>
      </c>
      <c r="H230" s="2" t="n"/>
      <c r="I230" s="2" t="inlineStr">
        <is>
          <t>D</t>
        </is>
      </c>
      <c r="J230" s="2" t="inlineStr">
        <is>
          <t>D</t>
        </is>
      </c>
      <c r="K230" s="2" t="inlineStr">
        <is>
          <t>I stay in motion. Work, plans, people. Anything but stillness.</t>
        </is>
      </c>
      <c r="L230" s="2" t="n">
        <v>5</v>
      </c>
      <c r="M230" s="2" t="n">
        <v>6</v>
      </c>
      <c r="N230" s="2" t="n">
        <v>2</v>
      </c>
      <c r="O230" s="2" t="n">
        <v>2</v>
      </c>
      <c r="P230" s="2" t="n">
        <v>0</v>
      </c>
      <c r="Q230" s="2" t="inlineStr">
        <is>
          <t>Performer</t>
        </is>
      </c>
      <c r="R230" s="2" t="n">
        <v>7</v>
      </c>
      <c r="S230" s="2" t="n"/>
      <c r="T230" s="2" t="n"/>
      <c r="U230" s="2" t="n">
        <v>0</v>
      </c>
      <c r="V230" s="2" t="inlineStr">
        <is>
          <t>masc:0.3;fem:0.5</t>
        </is>
      </c>
      <c r="W230" s="2" t="n">
        <v>0.3</v>
      </c>
      <c r="X230" s="2" t="n">
        <v>0.5</v>
      </c>
      <c r="Y230" s="2" t="inlineStr">
        <is>
          <t>COMM_Indirect</t>
        </is>
      </c>
      <c r="Z230" s="2" t="inlineStr">
        <is>
          <t>REG_Distractor</t>
        </is>
      </c>
      <c r="AA230" s="2" t="inlineStr">
        <is>
          <t>LANG_Gifts</t>
        </is>
      </c>
      <c r="AB230" s="2" t="inlineStr">
        <is>
          <t>Vulnerability_Loop</t>
        </is>
      </c>
      <c r="AC230" s="2" t="inlineStr">
        <is>
          <t>Vulnerability_Loop</t>
        </is>
      </c>
      <c r="AD230" s="2" t="n"/>
      <c r="AE230" s="2" t="n">
        <v>5</v>
      </c>
      <c r="AF230" s="2" t="inlineStr">
        <is>
          <t>distraction sprint</t>
        </is>
      </c>
      <c r="AG230" s="2" t="inlineStr">
        <is>
          <t>motion masker</t>
        </is>
      </c>
      <c r="AH230" s="2" t="n">
        <v>0.6</v>
      </c>
      <c r="AI230" s="2" t="inlineStr">
        <is>
          <t>yes</t>
        </is>
      </c>
      <c r="AJ230" s="2" t="inlineStr">
        <is>
          <t>no</t>
        </is>
      </c>
      <c r="AK230" s="2" t="inlineStr">
        <is>
          <t>no</t>
        </is>
      </c>
      <c r="AL230" s="2" t="inlineStr">
        <is>
          <t>no</t>
        </is>
      </c>
      <c r="AM230" s="2" t="n"/>
      <c r="AN230" s="2" t="n"/>
      <c r="AO230" s="2" t="n"/>
      <c r="AP230" s="2" t="inlineStr">
        <is>
          <t>v3_2026-03-19</t>
        </is>
      </c>
      <c r="AQ230">
        <f>(L230-Schema_v5!$C2)/(Schema_v5!$C3-Schema_v5!$C2)</f>
        <v/>
      </c>
      <c r="AR230">
        <f>(M230-Schema_v5!$C4)/(Schema_v5!$C5-Schema_v5!$C4)</f>
        <v/>
      </c>
      <c r="AS230">
        <f>N230/Schema_v5!$C6</f>
        <v/>
      </c>
      <c r="AT230">
        <f>O230/Schema_v5!$C7</f>
        <v/>
      </c>
      <c r="AU230">
        <f>P230/Schema_v5!$C8</f>
        <v/>
      </c>
      <c r="AV230">
        <f>IF(Schema_v5!$C9=0,0,AH230/Schema_v5!$C9)</f>
        <v/>
      </c>
      <c r="AW230">
        <f>IF(Schema_v5!$C10=0,0,AE230/Schema_v5!$C10)</f>
        <v/>
      </c>
      <c r="AX230">
        <f>(W230-Schema_v5!$C11)/(Schema_v5!$C12-Schema_v5!$C11)</f>
        <v/>
      </c>
      <c r="AY230">
        <f>(X230-Schema_v5!$C13)/(Schema_v5!$C14-Schema_v5!$C13)</f>
        <v/>
      </c>
      <c r="AZ230">
        <f>MIN(1,MAX(0,U230/Schema_v7!$C$9))</f>
        <v/>
      </c>
      <c r="BA230">
        <f>IF(AJ230="yes",0.55,0)</f>
        <v/>
      </c>
      <c r="BB230">
        <f>IF(AI230="yes",0.10,0)</f>
        <v/>
      </c>
      <c r="BC230">
        <f>IF(Y230="COMM_Direct",0.92,IF(Y230="COMM_Emotional",0.70,IF(Y230="COMM_Logical",0.65,IF(Y230="COMM_Indirect",0.55,0.35))))</f>
        <v/>
      </c>
      <c r="BD230">
        <f>IF(Z230="REG_CoRegulator",0.92,IF(Z230="REG_SelfSoother",0.76,IF(Z230="REG_Distractor",0.48,0.35)))</f>
        <v/>
      </c>
      <c r="BE230">
        <f>IF(AA230="LANG_Time",0.76,IF(AA230="LANG_Service",0.70,IF(AA230="LANG_Words",0.72,IF(AA230="LANG_Touch",0.68,0.60))))</f>
        <v/>
      </c>
      <c r="BF230">
        <f>MAX(0,MIN(1,0.28*AS230+0.16*AT230+0.18*BC230+0.18*BD230+0.10*(1-AZ230)+0.10*(1-BA230)+BB230))</f>
        <v/>
      </c>
      <c r="BG230">
        <f>MAX(0,MIN(1,0.24*AU230+0.18*AS230+0.18*BC230+0.20*BD230+0.10*(1-AW230)+0.10*(1-BA230)))</f>
        <v/>
      </c>
      <c r="BH230">
        <f>MAX(0,MIN(1,0.28*AR230+0.18*AT230+0.16*AU230+0.18*(1-AV230)+0.10*(1-AW230)+0.10*BF230))</f>
        <v/>
      </c>
      <c r="BI230">
        <f>MAX(0,MIN(1,0.30*AV230+0.20*AZ230+0.20*AW230+0.15*(1-BH230)+0.15*(1-BO230)))</f>
        <v/>
      </c>
      <c r="BJ230">
        <f>MAX(0,1-(ABS(((( AX230+AY230)/2)-0.55)*1.6)))</f>
        <v/>
      </c>
      <c r="BK230">
        <f>MAX(0,MIN(1,0.28*AR230+0.18*AT230+0.16*BJ230+0.14*(1-AV230)+0.12*BQ230+0.12*BO230))</f>
        <v/>
      </c>
      <c r="BL230">
        <f>MAX(0,MIN(1,0.22*AQ230+0.18*AS230+0.18*BC230+0.18*BD230+0.08*BE230+0.10*BF230+0.06*BO230))</f>
        <v/>
      </c>
      <c r="BM230">
        <f>MAX(0,MIN(1,0.20*(1-AZ230)+0.16*(1-BA230)+0.14*(1-AW230)+0.14*AU230+0.18*BG230+0.10*BH230+0.08*BP230))</f>
        <v/>
      </c>
      <c r="BN230">
        <f>MAX(0,MIN(1,0.42*BJ230+0.33*BK230+0.15*AT230+0.10*BQ230))</f>
        <v/>
      </c>
      <c r="BO230">
        <f>MAX(0,MIN(1,0.30*BC230+0.24*BD230+0.18*AS230+0.14*(1-BI230)+0.14*AT230))</f>
        <v/>
      </c>
      <c r="BP230">
        <f>MAX(0,MIN(1,0.26*AS230+0.20*(1-BA230)+0.16*(1-AW230)+0.18*BG230+0.10*AU230+0.10+BB230))</f>
        <v/>
      </c>
      <c r="BQ230">
        <f>MAX(0,MIN(1,0.24*AT230+0.18*BF230+0.14*AR230+0.14*BO230+0.14*(1-AV230)+0.16*(1-AZ230)))</f>
        <v/>
      </c>
      <c r="BR230">
        <f>IF(BO230&gt;=0.80,"Open",IF(BO230&gt;=0.62,"Measured",IF(BO230&gt;=0.45,"Selective","Guarded")))</f>
        <v/>
      </c>
      <c r="BS230">
        <f>IF(Y230="COMM_Direct","Direct",IF(Y230="COMM_Emotional","Emotional",IF(Y230="COMM_Logical","Logical",IF(Y230="COMM_Indirect","Indirect","Avoidant"))))</f>
        <v/>
      </c>
      <c r="BT230">
        <f>IF(BG230&gt;=0.78,"Co-repair",IF(BG230&gt;=0.58,"Re-engage",IF(BG230&gt;=0.40,"Delay","Suppress")))</f>
        <v/>
      </c>
      <c r="BU230">
        <f>IF(BI230&gt;=0.70,"Retreat-risk",IF(BH230&lt;=0.40,"Rush-risk",IF(BH230&gt;=0.65,"Slow-build","Mixed")))</f>
        <v/>
      </c>
      <c r="BV230">
        <f>IF(BL230-BM230&gt;=0.15,"Stimulation-seeking",IF(BM230-BL230&gt;=0.15,"Calm-seeking","Mixed")))</f>
        <v/>
      </c>
      <c r="BW230">
        <f>IF(AND(BL230&gt;=0.72,BM230&lt;0.48),"High",IF(AND(BL230&gt;=0.60,BM230&lt;0.58),"Medium","Low"))</f>
        <v/>
      </c>
    </row>
    <row r="231" ht="68.25" customHeight="1" s="10">
      <c r="A231" s="2" t="inlineStr">
        <is>
          <t>Q46_E</t>
        </is>
      </c>
      <c r="B231" s="2" t="n">
        <v>46</v>
      </c>
      <c r="C231" s="2" t="n">
        <v>46</v>
      </c>
      <c r="D231" s="2" t="inlineStr">
        <is>
          <t>Core</t>
        </is>
      </c>
      <c r="E231" s="2" t="n">
        <v>1.35</v>
      </c>
      <c r="F231" s="2" t="inlineStr">
        <is>
          <t>EmotionalNeeds</t>
        </is>
      </c>
      <c r="G231" s="2" t="inlineStr">
        <is>
          <t>IntimacyThreshold</t>
        </is>
      </c>
      <c r="H231" s="2" t="n"/>
      <c r="I231" s="2" t="inlineStr">
        <is>
          <t>E</t>
        </is>
      </c>
      <c r="J231" s="2" t="inlineStr">
        <is>
          <t>E</t>
        </is>
      </c>
      <c r="K231" s="2" t="inlineStr">
        <is>
          <t>I sit with it. Write, reflect, pray. I don't rush the grief, I honor it.</t>
        </is>
      </c>
      <c r="L231" s="2" t="n">
        <v>10</v>
      </c>
      <c r="M231" s="2" t="n">
        <v>10</v>
      </c>
      <c r="N231" s="2" t="n">
        <v>10</v>
      </c>
      <c r="O231" s="2" t="n">
        <v>10</v>
      </c>
      <c r="P231" s="2" t="n">
        <v>10</v>
      </c>
      <c r="Q231" s="2" t="inlineStr">
        <is>
          <t>Regulated Grown-Up</t>
        </is>
      </c>
      <c r="R231" s="2" t="n">
        <v>9</v>
      </c>
      <c r="S231" s="2" t="n"/>
      <c r="T231" s="2" t="n"/>
      <c r="U231" s="2" t="n">
        <v>0</v>
      </c>
      <c r="V231" s="2" t="inlineStr">
        <is>
          <t>masc:1.1;fem:0.9</t>
        </is>
      </c>
      <c r="W231" s="2" t="n">
        <v>1.1</v>
      </c>
      <c r="X231" s="2" t="n">
        <v>0.9</v>
      </c>
      <c r="Y231" s="2" t="inlineStr">
        <is>
          <t>COMM_Direct</t>
        </is>
      </c>
      <c r="Z231" s="2" t="inlineStr">
        <is>
          <t>REG_CoRegulator</t>
        </is>
      </c>
      <c r="AA231" s="2" t="inlineStr">
        <is>
          <t>LANG_Words</t>
        </is>
      </c>
      <c r="AB231" s="2" t="n"/>
      <c r="AC231" s="2" t="n"/>
      <c r="AD231" s="2" t="n"/>
      <c r="AE231" s="2" t="n">
        <v>0</v>
      </c>
      <c r="AF231" s="2" t="inlineStr">
        <is>
          <t>intentional processing</t>
        </is>
      </c>
      <c r="AG231" s="2" t="inlineStr">
        <is>
          <t>mindful processor</t>
        </is>
      </c>
      <c r="AH231" s="2" t="n">
        <v>0</v>
      </c>
      <c r="AI231" s="2" t="inlineStr">
        <is>
          <t>no</t>
        </is>
      </c>
      <c r="AJ231" s="2" t="inlineStr">
        <is>
          <t>no</t>
        </is>
      </c>
      <c r="AK231" s="2" t="inlineStr">
        <is>
          <t>no</t>
        </is>
      </c>
      <c r="AL231" s="2" t="inlineStr">
        <is>
          <t>no</t>
        </is>
      </c>
      <c r="AM231" s="2" t="n"/>
      <c r="AN231" s="2" t="n"/>
      <c r="AO231" s="2" t="n"/>
      <c r="AP231" s="2" t="inlineStr">
        <is>
          <t>v3_2026-03-19</t>
        </is>
      </c>
      <c r="AQ231">
        <f>(L231-Schema_v5!$C2)/(Schema_v5!$C3-Schema_v5!$C2)</f>
        <v/>
      </c>
      <c r="AR231">
        <f>(M231-Schema_v5!$C4)/(Schema_v5!$C5-Schema_v5!$C4)</f>
        <v/>
      </c>
      <c r="AS231">
        <f>N231/Schema_v5!$C6</f>
        <v/>
      </c>
      <c r="AT231">
        <f>O231/Schema_v5!$C7</f>
        <v/>
      </c>
      <c r="AU231">
        <f>P231/Schema_v5!$C8</f>
        <v/>
      </c>
      <c r="AV231">
        <f>IF(Schema_v5!$C9=0,0,AH231/Schema_v5!$C9)</f>
        <v/>
      </c>
      <c r="AW231">
        <f>IF(Schema_v5!$C10=0,0,AE231/Schema_v5!$C10)</f>
        <v/>
      </c>
      <c r="AX231">
        <f>(W231-Schema_v5!$C11)/(Schema_v5!$C12-Schema_v5!$C11)</f>
        <v/>
      </c>
      <c r="AY231">
        <f>(X231-Schema_v5!$C13)/(Schema_v5!$C14-Schema_v5!$C13)</f>
        <v/>
      </c>
      <c r="AZ231">
        <f>MIN(1,MAX(0,U231/Schema_v7!$C$9))</f>
        <v/>
      </c>
      <c r="BA231">
        <f>IF(AJ231="yes",0.55,0)</f>
        <v/>
      </c>
      <c r="BB231">
        <f>IF(AI231="yes",0.10,0)</f>
        <v/>
      </c>
      <c r="BC231">
        <f>IF(Y231="COMM_Direct",0.92,IF(Y231="COMM_Emotional",0.70,IF(Y231="COMM_Logical",0.65,IF(Y231="COMM_Indirect",0.55,0.35))))</f>
        <v/>
      </c>
      <c r="BD231">
        <f>IF(Z231="REG_CoRegulator",0.92,IF(Z231="REG_SelfSoother",0.76,IF(Z231="REG_Distractor",0.48,0.35)))</f>
        <v/>
      </c>
      <c r="BE231">
        <f>IF(AA231="LANG_Time",0.76,IF(AA231="LANG_Service",0.70,IF(AA231="LANG_Words",0.72,IF(AA231="LANG_Touch",0.68,0.60))))</f>
        <v/>
      </c>
      <c r="BF231">
        <f>MAX(0,MIN(1,0.28*AS231+0.16*AT231+0.18*BC231+0.18*BD231+0.10*(1-AZ231)+0.10*(1-BA231)+BB231))</f>
        <v/>
      </c>
      <c r="BG231">
        <f>MAX(0,MIN(1,0.24*AU231+0.18*AS231+0.18*BC231+0.20*BD231+0.10*(1-AW231)+0.10*(1-BA231)))</f>
        <v/>
      </c>
      <c r="BH231">
        <f>MAX(0,MIN(1,0.28*AR231+0.18*AT231+0.16*AU231+0.18*(1-AV231)+0.10*(1-AW231)+0.10*BF231))</f>
        <v/>
      </c>
      <c r="BI231">
        <f>MAX(0,MIN(1,0.30*AV231+0.20*AZ231+0.20*AW231+0.15*(1-BH231)+0.15*(1-BO231)))</f>
        <v/>
      </c>
      <c r="BJ231">
        <f>MAX(0,1-(ABS(((( AX231+AY231)/2)-0.55)*1.6)))</f>
        <v/>
      </c>
      <c r="BK231">
        <f>MAX(0,MIN(1,0.28*AR231+0.18*AT231+0.16*BJ231+0.14*(1-AV231)+0.12*BQ231+0.12*BO231))</f>
        <v/>
      </c>
      <c r="BL231">
        <f>MAX(0,MIN(1,0.22*AQ231+0.18*AS231+0.18*BC231+0.18*BD231+0.08*BE231+0.10*BF231+0.06*BO231))</f>
        <v/>
      </c>
      <c r="BM231">
        <f>MAX(0,MIN(1,0.20*(1-AZ231)+0.16*(1-BA231)+0.14*(1-AW231)+0.14*AU231+0.18*BG231+0.10*BH231+0.08*BP231))</f>
        <v/>
      </c>
      <c r="BN231">
        <f>MAX(0,MIN(1,0.42*BJ231+0.33*BK231+0.15*AT231+0.10*BQ231))</f>
        <v/>
      </c>
      <c r="BO231">
        <f>MAX(0,MIN(1,0.30*BC231+0.24*BD231+0.18*AS231+0.14*(1-BI231)+0.14*AT231))</f>
        <v/>
      </c>
      <c r="BP231">
        <f>MAX(0,MIN(1,0.26*AS231+0.20*(1-BA231)+0.16*(1-AW231)+0.18*BG231+0.10*AU231+0.10+BB231))</f>
        <v/>
      </c>
      <c r="BQ231">
        <f>MAX(0,MIN(1,0.24*AT231+0.18*BF231+0.14*AR231+0.14*BO231+0.14*(1-AV231)+0.16*(1-AZ231)))</f>
        <v/>
      </c>
      <c r="BR231">
        <f>IF(BO231&gt;=0.80,"Open",IF(BO231&gt;=0.62,"Measured",IF(BO231&gt;=0.45,"Selective","Guarded")))</f>
        <v/>
      </c>
      <c r="BS231">
        <f>IF(Y231="COMM_Direct","Direct",IF(Y231="COMM_Emotional","Emotional",IF(Y231="COMM_Logical","Logical",IF(Y231="COMM_Indirect","Indirect","Avoidant"))))</f>
        <v/>
      </c>
      <c r="BT231">
        <f>IF(BG231&gt;=0.78,"Co-repair",IF(BG231&gt;=0.58,"Re-engage",IF(BG231&gt;=0.40,"Delay","Suppress")))</f>
        <v/>
      </c>
      <c r="BU231">
        <f>IF(BI231&gt;=0.70,"Retreat-risk",IF(BH231&lt;=0.40,"Rush-risk",IF(BH231&gt;=0.65,"Slow-build","Mixed")))</f>
        <v/>
      </c>
      <c r="BV231">
        <f>IF(BL231-BM231&gt;=0.15,"Stimulation-seeking",IF(BM231-BL231&gt;=0.15,"Calm-seeking","Mixed")))</f>
        <v/>
      </c>
      <c r="BW231">
        <f>IF(AND(BL231&gt;=0.72,BM231&lt;0.48),"High",IF(AND(BL231&gt;=0.60,BM231&lt;0.58),"Medium","Low"))</f>
        <v/>
      </c>
    </row>
    <row r="232" ht="121.5" customHeight="1" s="10">
      <c r="A232" s="2" t="inlineStr">
        <is>
          <t>Q47_A</t>
        </is>
      </c>
      <c r="B232" s="2" t="n">
        <v>47</v>
      </c>
      <c r="C232" s="2" t="n">
        <v>47</v>
      </c>
      <c r="D232" s="2" t="inlineStr">
        <is>
          <t>Core</t>
        </is>
      </c>
      <c r="E232" s="2" t="n">
        <v>1.35</v>
      </c>
      <c r="F232" s="2" t="inlineStr">
        <is>
          <t>EmotionalNeeds</t>
        </is>
      </c>
      <c r="G232" s="2" t="inlineStr">
        <is>
          <t>IntimacyThreshold</t>
        </is>
      </c>
      <c r="H232" s="2" t="inlineStr">
        <is>
          <t>When someone shows up for you without you asking, emotionally, practically, consistently, how do you usually feel?</t>
        </is>
      </c>
      <c r="I232" s="2" t="inlineStr">
        <is>
          <t>A</t>
        </is>
      </c>
      <c r="J232" s="2" t="inlineStr">
        <is>
          <t>A</t>
        </is>
      </c>
      <c r="K232" s="2" t="inlineStr">
        <is>
          <t>Guilty. I'm not used to people giving without a reason.</t>
        </is>
      </c>
      <c r="L232" s="2" t="n">
        <v>5</v>
      </c>
      <c r="M232" s="2" t="n">
        <v>6</v>
      </c>
      <c r="N232" s="2" t="n">
        <v>4</v>
      </c>
      <c r="O232" s="2" t="n">
        <v>4</v>
      </c>
      <c r="P232" s="2" t="n">
        <v>4</v>
      </c>
      <c r="Q232" s="2" t="inlineStr">
        <is>
          <t>Fixer</t>
        </is>
      </c>
      <c r="R232" s="2" t="n">
        <v>5</v>
      </c>
      <c r="S232" s="2" t="n"/>
      <c r="T232" s="2" t="n"/>
      <c r="U232" s="2" t="n">
        <v>0</v>
      </c>
      <c r="V232" s="2" t="inlineStr">
        <is>
          <t>masc:-0.4;fem:2.0</t>
        </is>
      </c>
      <c r="W232" s="2" t="n">
        <v>-0.4</v>
      </c>
      <c r="X232" s="2" t="n">
        <v>2</v>
      </c>
      <c r="Y232" s="2" t="inlineStr">
        <is>
          <t>COMM_Emotional</t>
        </is>
      </c>
      <c r="Z232" s="2" t="inlineStr">
        <is>
          <t>REG_CoRegulator</t>
        </is>
      </c>
      <c r="AA232" s="2" t="inlineStr">
        <is>
          <t>LANG_Service</t>
        </is>
      </c>
      <c r="AB232" s="2" t="inlineStr">
        <is>
          <t>Vulnerability_Loop</t>
        </is>
      </c>
      <c r="AC232" s="2" t="inlineStr">
        <is>
          <t>Vulnerability_Loop</t>
        </is>
      </c>
      <c r="AD232" s="2" t="n"/>
      <c r="AE232" s="2" t="n">
        <v>5</v>
      </c>
      <c r="AF232" s="2" t="inlineStr">
        <is>
          <t>reciprocity anxiety</t>
        </is>
      </c>
      <c r="AG232" s="2" t="inlineStr">
        <is>
          <t>uneasy receiver</t>
        </is>
      </c>
      <c r="AH232" s="2" t="n">
        <v>0.6</v>
      </c>
      <c r="AI232" s="2" t="inlineStr">
        <is>
          <t>yes</t>
        </is>
      </c>
      <c r="AJ232" s="2" t="inlineStr">
        <is>
          <t>no</t>
        </is>
      </c>
      <c r="AK232" s="2" t="inlineStr">
        <is>
          <t>no</t>
        </is>
      </c>
      <c r="AL232" s="2" t="inlineStr">
        <is>
          <t>no</t>
        </is>
      </c>
      <c r="AM232" s="2" t="n"/>
      <c r="AN232" s="2" t="n"/>
      <c r="AO232" s="2" t="n"/>
      <c r="AP232" s="2" t="inlineStr">
        <is>
          <t>v3_2026-03-19</t>
        </is>
      </c>
      <c r="AQ232">
        <f>(L232-Schema_v5!$C2)/(Schema_v5!$C3-Schema_v5!$C2)</f>
        <v/>
      </c>
      <c r="AR232">
        <f>(M232-Schema_v5!$C4)/(Schema_v5!$C5-Schema_v5!$C4)</f>
        <v/>
      </c>
      <c r="AS232">
        <f>N232/Schema_v5!$C6</f>
        <v/>
      </c>
      <c r="AT232">
        <f>O232/Schema_v5!$C7</f>
        <v/>
      </c>
      <c r="AU232">
        <f>P232/Schema_v5!$C8</f>
        <v/>
      </c>
      <c r="AV232">
        <f>IF(Schema_v5!$C9=0,0,AH232/Schema_v5!$C9)</f>
        <v/>
      </c>
      <c r="AW232">
        <f>IF(Schema_v5!$C10=0,0,AE232/Schema_v5!$C10)</f>
        <v/>
      </c>
      <c r="AX232">
        <f>(W232-Schema_v5!$C11)/(Schema_v5!$C12-Schema_v5!$C11)</f>
        <v/>
      </c>
      <c r="AY232">
        <f>(X232-Schema_v5!$C13)/(Schema_v5!$C14-Schema_v5!$C13)</f>
        <v/>
      </c>
      <c r="AZ232">
        <f>MIN(1,MAX(0,U232/Schema_v7!$C$9))</f>
        <v/>
      </c>
      <c r="BA232">
        <f>IF(AJ232="yes",0.55,0)</f>
        <v/>
      </c>
      <c r="BB232">
        <f>IF(AI232="yes",0.10,0)</f>
        <v/>
      </c>
      <c r="BC232">
        <f>IF(Y232="COMM_Direct",0.92,IF(Y232="COMM_Emotional",0.70,IF(Y232="COMM_Logical",0.65,IF(Y232="COMM_Indirect",0.55,0.35))))</f>
        <v/>
      </c>
      <c r="BD232">
        <f>IF(Z232="REG_CoRegulator",0.92,IF(Z232="REG_SelfSoother",0.76,IF(Z232="REG_Distractor",0.48,0.35)))</f>
        <v/>
      </c>
      <c r="BE232">
        <f>IF(AA232="LANG_Time",0.76,IF(AA232="LANG_Service",0.70,IF(AA232="LANG_Words",0.72,IF(AA232="LANG_Touch",0.68,0.60))))</f>
        <v/>
      </c>
      <c r="BF232">
        <f>MAX(0,MIN(1,0.28*AS232+0.16*AT232+0.18*BC232+0.18*BD232+0.10*(1-AZ232)+0.10*(1-BA232)+BB232))</f>
        <v/>
      </c>
      <c r="BG232">
        <f>MAX(0,MIN(1,0.24*AU232+0.18*AS232+0.18*BC232+0.20*BD232+0.10*(1-AW232)+0.10*(1-BA232)))</f>
        <v/>
      </c>
      <c r="BH232">
        <f>MAX(0,MIN(1,0.28*AR232+0.18*AT232+0.16*AU232+0.18*(1-AV232)+0.10*(1-AW232)+0.10*BF232))</f>
        <v/>
      </c>
      <c r="BI232">
        <f>MAX(0,MIN(1,0.30*AV232+0.20*AZ232+0.20*AW232+0.15*(1-BH232)+0.15*(1-BO232)))</f>
        <v/>
      </c>
      <c r="BJ232">
        <f>MAX(0,1-(ABS(((( AX232+AY232)/2)-0.55)*1.6)))</f>
        <v/>
      </c>
      <c r="BK232">
        <f>MAX(0,MIN(1,0.28*AR232+0.18*AT232+0.16*BJ232+0.14*(1-AV232)+0.12*BQ232+0.12*BO232))</f>
        <v/>
      </c>
      <c r="BL232">
        <f>MAX(0,MIN(1,0.22*AQ232+0.18*AS232+0.18*BC232+0.18*BD232+0.08*BE232+0.10*BF232+0.06*BO232))</f>
        <v/>
      </c>
      <c r="BM232">
        <f>MAX(0,MIN(1,0.20*(1-AZ232)+0.16*(1-BA232)+0.14*(1-AW232)+0.14*AU232+0.18*BG232+0.10*BH232+0.08*BP232))</f>
        <v/>
      </c>
      <c r="BN232">
        <f>MAX(0,MIN(1,0.42*BJ232+0.33*BK232+0.15*AT232+0.10*BQ232))</f>
        <v/>
      </c>
      <c r="BO232">
        <f>MAX(0,MIN(1,0.30*BC232+0.24*BD232+0.18*AS232+0.14*(1-BI232)+0.14*AT232))</f>
        <v/>
      </c>
      <c r="BP232">
        <f>MAX(0,MIN(1,0.26*AS232+0.20*(1-BA232)+0.16*(1-AW232)+0.18*BG232+0.10*AU232+0.10+BB232))</f>
        <v/>
      </c>
      <c r="BQ232">
        <f>MAX(0,MIN(1,0.24*AT232+0.18*BF232+0.14*AR232+0.14*BO232+0.14*(1-AV232)+0.16*(1-AZ232)))</f>
        <v/>
      </c>
      <c r="BR232">
        <f>IF(BO232&gt;=0.80,"Open",IF(BO232&gt;=0.62,"Measured",IF(BO232&gt;=0.45,"Selective","Guarded")))</f>
        <v/>
      </c>
      <c r="BS232">
        <f>IF(Y232="COMM_Direct","Direct",IF(Y232="COMM_Emotional","Emotional",IF(Y232="COMM_Logical","Logical",IF(Y232="COMM_Indirect","Indirect","Avoidant"))))</f>
        <v/>
      </c>
      <c r="BT232">
        <f>IF(BG232&gt;=0.78,"Co-repair",IF(BG232&gt;=0.58,"Re-engage",IF(BG232&gt;=0.40,"Delay","Suppress")))</f>
        <v/>
      </c>
      <c r="BU232">
        <f>IF(BI232&gt;=0.70,"Retreat-risk",IF(BH232&lt;=0.40,"Rush-risk",IF(BH232&gt;=0.65,"Slow-build","Mixed")))</f>
        <v/>
      </c>
      <c r="BV232">
        <f>IF(BL232-BM232&gt;=0.15,"Stimulation-seeking",IF(BM232-BL232&gt;=0.15,"Calm-seeking","Mixed")))</f>
        <v/>
      </c>
      <c r="BW232">
        <f>IF(AND(BL232&gt;=0.72,BM232&lt;0.48),"High",IF(AND(BL232&gt;=0.60,BM232&lt;0.58),"Medium","Low"))</f>
        <v/>
      </c>
    </row>
    <row r="233" ht="54.75" customHeight="1" s="10">
      <c r="A233" s="2" t="inlineStr">
        <is>
          <t>Q47_B</t>
        </is>
      </c>
      <c r="B233" s="2" t="n">
        <v>47</v>
      </c>
      <c r="C233" s="2" t="n">
        <v>47</v>
      </c>
      <c r="D233" s="2" t="inlineStr">
        <is>
          <t>Core</t>
        </is>
      </c>
      <c r="E233" s="2" t="n">
        <v>1.35</v>
      </c>
      <c r="F233" s="2" t="inlineStr">
        <is>
          <t>EmotionalNeeds</t>
        </is>
      </c>
      <c r="G233" s="2" t="inlineStr">
        <is>
          <t>IntimacyThreshold</t>
        </is>
      </c>
      <c r="H233" s="2" t="n"/>
      <c r="I233" s="2" t="inlineStr">
        <is>
          <t>B</t>
        </is>
      </c>
      <c r="J233" s="2" t="inlineStr">
        <is>
          <t>B</t>
        </is>
      </c>
      <c r="K233" s="2" t="inlineStr">
        <is>
          <t>Exposed. I wonder what they'll expect in return.</t>
        </is>
      </c>
      <c r="L233" s="2" t="n">
        <v>6</v>
      </c>
      <c r="M233" s="2" t="n">
        <v>7</v>
      </c>
      <c r="N233" s="2" t="n">
        <v>2</v>
      </c>
      <c r="O233" s="2" t="n">
        <v>2</v>
      </c>
      <c r="P233" s="2" t="n">
        <v>0</v>
      </c>
      <c r="Q233" s="2" t="inlineStr">
        <is>
          <t>Icebox</t>
        </is>
      </c>
      <c r="R233" s="2" t="n">
        <v>1</v>
      </c>
      <c r="S233" s="2" t="n"/>
      <c r="T233" s="2" t="n"/>
      <c r="U233" s="2" t="n">
        <v>0</v>
      </c>
      <c r="V233" s="2" t="inlineStr">
        <is>
          <t>masc:1.8;fem:-1.6</t>
        </is>
      </c>
      <c r="W233" s="2" t="n">
        <v>1.8</v>
      </c>
      <c r="X233" s="2" t="n">
        <v>-1.6</v>
      </c>
      <c r="Y233" s="2" t="inlineStr">
        <is>
          <t>COMM_Avoidant</t>
        </is>
      </c>
      <c r="Z233" s="2" t="inlineStr">
        <is>
          <t>REG_Suppressor</t>
        </is>
      </c>
      <c r="AA233" s="2" t="inlineStr">
        <is>
          <t>LANG_Time</t>
        </is>
      </c>
      <c r="AB233" s="2" t="inlineStr">
        <is>
          <t>Vulnerability_Loop</t>
        </is>
      </c>
      <c r="AC233" s="2" t="inlineStr">
        <is>
          <t>Vulnerability_Loop</t>
        </is>
      </c>
      <c r="AD233" s="2" t="n"/>
      <c r="AE233" s="2" t="n">
        <v>5</v>
      </c>
      <c r="AF233" s="2" t="inlineStr">
        <is>
          <t>transaction suspicion</t>
        </is>
      </c>
      <c r="AG233" s="2" t="inlineStr">
        <is>
          <t>guarded accepter</t>
        </is>
      </c>
      <c r="AH233" s="2" t="n">
        <v>0</v>
      </c>
      <c r="AI233" s="2" t="inlineStr">
        <is>
          <t>yes</t>
        </is>
      </c>
      <c r="AJ233" s="2" t="inlineStr">
        <is>
          <t>no</t>
        </is>
      </c>
      <c r="AK233" s="2" t="inlineStr">
        <is>
          <t>no</t>
        </is>
      </c>
      <c r="AL233" s="2" t="inlineStr">
        <is>
          <t>no</t>
        </is>
      </c>
      <c r="AM233" s="2" t="n"/>
      <c r="AN233" s="2" t="n"/>
      <c r="AO233" s="2" t="n"/>
      <c r="AP233" s="2" t="inlineStr">
        <is>
          <t>v3_2026-03-19</t>
        </is>
      </c>
      <c r="AQ233">
        <f>(L233-Schema_v5!$C2)/(Schema_v5!$C3-Schema_v5!$C2)</f>
        <v/>
      </c>
      <c r="AR233">
        <f>(M233-Schema_v5!$C4)/(Schema_v5!$C5-Schema_v5!$C4)</f>
        <v/>
      </c>
      <c r="AS233">
        <f>N233/Schema_v5!$C6</f>
        <v/>
      </c>
      <c r="AT233">
        <f>O233/Schema_v5!$C7</f>
        <v/>
      </c>
      <c r="AU233">
        <f>P233/Schema_v5!$C8</f>
        <v/>
      </c>
      <c r="AV233">
        <f>IF(Schema_v5!$C9=0,0,AH233/Schema_v5!$C9)</f>
        <v/>
      </c>
      <c r="AW233">
        <f>IF(Schema_v5!$C10=0,0,AE233/Schema_v5!$C10)</f>
        <v/>
      </c>
      <c r="AX233">
        <f>(W233-Schema_v5!$C11)/(Schema_v5!$C12-Schema_v5!$C11)</f>
        <v/>
      </c>
      <c r="AY233">
        <f>(X233-Schema_v5!$C13)/(Schema_v5!$C14-Schema_v5!$C13)</f>
        <v/>
      </c>
      <c r="AZ233">
        <f>MIN(1,MAX(0,U233/Schema_v7!$C$9))</f>
        <v/>
      </c>
      <c r="BA233">
        <f>IF(AJ233="yes",0.55,0)</f>
        <v/>
      </c>
      <c r="BB233">
        <f>IF(AI233="yes",0.10,0)</f>
        <v/>
      </c>
      <c r="BC233">
        <f>IF(Y233="COMM_Direct",0.92,IF(Y233="COMM_Emotional",0.70,IF(Y233="COMM_Logical",0.65,IF(Y233="COMM_Indirect",0.55,0.35))))</f>
        <v/>
      </c>
      <c r="BD233">
        <f>IF(Z233="REG_CoRegulator",0.92,IF(Z233="REG_SelfSoother",0.76,IF(Z233="REG_Distractor",0.48,0.35)))</f>
        <v/>
      </c>
      <c r="BE233">
        <f>IF(AA233="LANG_Time",0.76,IF(AA233="LANG_Service",0.70,IF(AA233="LANG_Words",0.72,IF(AA233="LANG_Touch",0.68,0.60))))</f>
        <v/>
      </c>
      <c r="BF233">
        <f>MAX(0,MIN(1,0.28*AS233+0.16*AT233+0.18*BC233+0.18*BD233+0.10*(1-AZ233)+0.10*(1-BA233)+BB233))</f>
        <v/>
      </c>
      <c r="BG233">
        <f>MAX(0,MIN(1,0.24*AU233+0.18*AS233+0.18*BC233+0.20*BD233+0.10*(1-AW233)+0.10*(1-BA233)))</f>
        <v/>
      </c>
      <c r="BH233">
        <f>MAX(0,MIN(1,0.28*AR233+0.18*AT233+0.16*AU233+0.18*(1-AV233)+0.10*(1-AW233)+0.10*BF233))</f>
        <v/>
      </c>
      <c r="BI233">
        <f>MAX(0,MIN(1,0.30*AV233+0.20*AZ233+0.20*AW233+0.15*(1-BH233)+0.15*(1-BO233)))</f>
        <v/>
      </c>
      <c r="BJ233">
        <f>MAX(0,1-(ABS(((( AX233+AY233)/2)-0.55)*1.6)))</f>
        <v/>
      </c>
      <c r="BK233">
        <f>MAX(0,MIN(1,0.28*AR233+0.18*AT233+0.16*BJ233+0.14*(1-AV233)+0.12*BQ233+0.12*BO233))</f>
        <v/>
      </c>
      <c r="BL233">
        <f>MAX(0,MIN(1,0.22*AQ233+0.18*AS233+0.18*BC233+0.18*BD233+0.08*BE233+0.10*BF233+0.06*BO233))</f>
        <v/>
      </c>
      <c r="BM233">
        <f>MAX(0,MIN(1,0.20*(1-AZ233)+0.16*(1-BA233)+0.14*(1-AW233)+0.14*AU233+0.18*BG233+0.10*BH233+0.08*BP233))</f>
        <v/>
      </c>
      <c r="BN233">
        <f>MAX(0,MIN(1,0.42*BJ233+0.33*BK233+0.15*AT233+0.10*BQ233))</f>
        <v/>
      </c>
      <c r="BO233">
        <f>MAX(0,MIN(1,0.30*BC233+0.24*BD233+0.18*AS233+0.14*(1-BI233)+0.14*AT233))</f>
        <v/>
      </c>
      <c r="BP233">
        <f>MAX(0,MIN(1,0.26*AS233+0.20*(1-BA233)+0.16*(1-AW233)+0.18*BG233+0.10*AU233+0.10+BB233))</f>
        <v/>
      </c>
      <c r="BQ233">
        <f>MAX(0,MIN(1,0.24*AT233+0.18*BF233+0.14*AR233+0.14*BO233+0.14*(1-AV233)+0.16*(1-AZ233)))</f>
        <v/>
      </c>
      <c r="BR233">
        <f>IF(BO233&gt;=0.80,"Open",IF(BO233&gt;=0.62,"Measured",IF(BO233&gt;=0.45,"Selective","Guarded")))</f>
        <v/>
      </c>
      <c r="BS233">
        <f>IF(Y233="COMM_Direct","Direct",IF(Y233="COMM_Emotional","Emotional",IF(Y233="COMM_Logical","Logical",IF(Y233="COMM_Indirect","Indirect","Avoidant"))))</f>
        <v/>
      </c>
      <c r="BT233">
        <f>IF(BG233&gt;=0.78,"Co-repair",IF(BG233&gt;=0.58,"Re-engage",IF(BG233&gt;=0.40,"Delay","Suppress")))</f>
        <v/>
      </c>
      <c r="BU233">
        <f>IF(BI233&gt;=0.70,"Retreat-risk",IF(BH233&lt;=0.40,"Rush-risk",IF(BH233&gt;=0.65,"Slow-build","Mixed")))</f>
        <v/>
      </c>
      <c r="BV233">
        <f>IF(BL233-BM233&gt;=0.15,"Stimulation-seeking",IF(BM233-BL233&gt;=0.15,"Calm-seeking","Mixed")))</f>
        <v/>
      </c>
      <c r="BW233">
        <f>IF(AND(BL233&gt;=0.72,BM233&lt;0.48),"High",IF(AND(BL233&gt;=0.60,BM233&lt;0.58),"Medium","Low"))</f>
        <v/>
      </c>
    </row>
    <row r="234" ht="54.75" customHeight="1" s="10">
      <c r="A234" s="2" t="inlineStr">
        <is>
          <t>Q47_C</t>
        </is>
      </c>
      <c r="B234" s="2" t="n">
        <v>47</v>
      </c>
      <c r="C234" s="2" t="n">
        <v>47</v>
      </c>
      <c r="D234" s="2" t="inlineStr">
        <is>
          <t>Core</t>
        </is>
      </c>
      <c r="E234" s="2" t="n">
        <v>1.35</v>
      </c>
      <c r="F234" s="2" t="inlineStr">
        <is>
          <t>EmotionalNeeds</t>
        </is>
      </c>
      <c r="G234" s="2" t="inlineStr">
        <is>
          <t>IntimacyThreshold</t>
        </is>
      </c>
      <c r="H234" s="2" t="n"/>
      <c r="I234" s="2" t="inlineStr">
        <is>
          <t>C</t>
        </is>
      </c>
      <c r="J234" s="2" t="inlineStr">
        <is>
          <t>C</t>
        </is>
      </c>
      <c r="K234" s="2" t="inlineStr">
        <is>
          <t>Relieved. It's rare. I try not to get too used to it.</t>
        </is>
      </c>
      <c r="L234" s="2" t="n">
        <v>7</v>
      </c>
      <c r="M234" s="2" t="n">
        <v>8</v>
      </c>
      <c r="N234" s="2" t="n">
        <v>6</v>
      </c>
      <c r="O234" s="2" t="n">
        <v>8</v>
      </c>
      <c r="P234" s="2" t="n">
        <v>6</v>
      </c>
      <c r="Q234" s="2" t="inlineStr">
        <is>
          <t>Survivor</t>
        </is>
      </c>
      <c r="R234" s="2" t="n">
        <v>8</v>
      </c>
      <c r="S234" s="2" t="n"/>
      <c r="T234" s="2" t="n"/>
      <c r="U234" s="2" t="n">
        <v>0</v>
      </c>
      <c r="V234" s="2" t="inlineStr">
        <is>
          <t>masc:0.3;fem:1.3</t>
        </is>
      </c>
      <c r="W234" s="2" t="n">
        <v>0.3</v>
      </c>
      <c r="X234" s="2" t="n">
        <v>1.3</v>
      </c>
      <c r="Y234" s="2" t="inlineStr">
        <is>
          <t>COMM_Emotional</t>
        </is>
      </c>
      <c r="Z234" s="2" t="inlineStr">
        <is>
          <t>REG_SelfSoother</t>
        </is>
      </c>
      <c r="AA234" s="2" t="inlineStr">
        <is>
          <t>LANG_Service</t>
        </is>
      </c>
      <c r="AB234" s="2" t="n"/>
      <c r="AC234" s="2" t="n"/>
      <c r="AD234" s="2" t="n"/>
      <c r="AE234" s="2" t="n">
        <v>0</v>
      </c>
      <c r="AF234" s="2" t="inlineStr">
        <is>
          <t>conditional ease</t>
        </is>
      </c>
      <c r="AG234" s="2" t="inlineStr">
        <is>
          <t>cautious truster</t>
        </is>
      </c>
      <c r="AH234" s="2" t="n">
        <v>0</v>
      </c>
      <c r="AI234" s="2" t="inlineStr">
        <is>
          <t>no</t>
        </is>
      </c>
      <c r="AJ234" s="2" t="inlineStr">
        <is>
          <t>no</t>
        </is>
      </c>
      <c r="AK234" s="2" t="inlineStr">
        <is>
          <t>no</t>
        </is>
      </c>
      <c r="AL234" s="2" t="inlineStr">
        <is>
          <t>no</t>
        </is>
      </c>
      <c r="AM234" s="2" t="n"/>
      <c r="AN234" s="2" t="n"/>
      <c r="AO234" s="2" t="n"/>
      <c r="AP234" s="2" t="inlineStr">
        <is>
          <t>v3_2026-03-19</t>
        </is>
      </c>
      <c r="AQ234">
        <f>(L234-Schema_v5!$C2)/(Schema_v5!$C3-Schema_v5!$C2)</f>
        <v/>
      </c>
      <c r="AR234">
        <f>(M234-Schema_v5!$C4)/(Schema_v5!$C5-Schema_v5!$C4)</f>
        <v/>
      </c>
      <c r="AS234">
        <f>N234/Schema_v5!$C6</f>
        <v/>
      </c>
      <c r="AT234">
        <f>O234/Schema_v5!$C7</f>
        <v/>
      </c>
      <c r="AU234">
        <f>P234/Schema_v5!$C8</f>
        <v/>
      </c>
      <c r="AV234">
        <f>IF(Schema_v5!$C9=0,0,AH234/Schema_v5!$C9)</f>
        <v/>
      </c>
      <c r="AW234">
        <f>IF(Schema_v5!$C10=0,0,AE234/Schema_v5!$C10)</f>
        <v/>
      </c>
      <c r="AX234">
        <f>(W234-Schema_v5!$C11)/(Schema_v5!$C12-Schema_v5!$C11)</f>
        <v/>
      </c>
      <c r="AY234">
        <f>(X234-Schema_v5!$C13)/(Schema_v5!$C14-Schema_v5!$C13)</f>
        <v/>
      </c>
      <c r="AZ234">
        <f>MIN(1,MAX(0,U234/Schema_v7!$C$9))</f>
        <v/>
      </c>
      <c r="BA234">
        <f>IF(AJ234="yes",0.55,0)</f>
        <v/>
      </c>
      <c r="BB234">
        <f>IF(AI234="yes",0.10,0)</f>
        <v/>
      </c>
      <c r="BC234">
        <f>IF(Y234="COMM_Direct",0.92,IF(Y234="COMM_Emotional",0.70,IF(Y234="COMM_Logical",0.65,IF(Y234="COMM_Indirect",0.55,0.35))))</f>
        <v/>
      </c>
      <c r="BD234">
        <f>IF(Z234="REG_CoRegulator",0.92,IF(Z234="REG_SelfSoother",0.76,IF(Z234="REG_Distractor",0.48,0.35)))</f>
        <v/>
      </c>
      <c r="BE234">
        <f>IF(AA234="LANG_Time",0.76,IF(AA234="LANG_Service",0.70,IF(AA234="LANG_Words",0.72,IF(AA234="LANG_Touch",0.68,0.60))))</f>
        <v/>
      </c>
      <c r="BF234">
        <f>MAX(0,MIN(1,0.28*AS234+0.16*AT234+0.18*BC234+0.18*BD234+0.10*(1-AZ234)+0.10*(1-BA234)+BB234))</f>
        <v/>
      </c>
      <c r="BG234">
        <f>MAX(0,MIN(1,0.24*AU234+0.18*AS234+0.18*BC234+0.20*BD234+0.10*(1-AW234)+0.10*(1-BA234)))</f>
        <v/>
      </c>
      <c r="BH234">
        <f>MAX(0,MIN(1,0.28*AR234+0.18*AT234+0.16*AU234+0.18*(1-AV234)+0.10*(1-AW234)+0.10*BF234))</f>
        <v/>
      </c>
      <c r="BI234">
        <f>MAX(0,MIN(1,0.30*AV234+0.20*AZ234+0.20*AW234+0.15*(1-BH234)+0.15*(1-BO234)))</f>
        <v/>
      </c>
      <c r="BJ234">
        <f>MAX(0,1-(ABS(((( AX234+AY234)/2)-0.55)*1.6)))</f>
        <v/>
      </c>
      <c r="BK234">
        <f>MAX(0,MIN(1,0.28*AR234+0.18*AT234+0.16*BJ234+0.14*(1-AV234)+0.12*BQ234+0.12*BO234))</f>
        <v/>
      </c>
      <c r="BL234">
        <f>MAX(0,MIN(1,0.22*AQ234+0.18*AS234+0.18*BC234+0.18*BD234+0.08*BE234+0.10*BF234+0.06*BO234))</f>
        <v/>
      </c>
      <c r="BM234">
        <f>MAX(0,MIN(1,0.20*(1-AZ234)+0.16*(1-BA234)+0.14*(1-AW234)+0.14*AU234+0.18*BG234+0.10*BH234+0.08*BP234))</f>
        <v/>
      </c>
      <c r="BN234">
        <f>MAX(0,MIN(1,0.42*BJ234+0.33*BK234+0.15*AT234+0.10*BQ234))</f>
        <v/>
      </c>
      <c r="BO234">
        <f>MAX(0,MIN(1,0.30*BC234+0.24*BD234+0.18*AS234+0.14*(1-BI234)+0.14*AT234))</f>
        <v/>
      </c>
      <c r="BP234">
        <f>MAX(0,MIN(1,0.26*AS234+0.20*(1-BA234)+0.16*(1-AW234)+0.18*BG234+0.10*AU234+0.10+BB234))</f>
        <v/>
      </c>
      <c r="BQ234">
        <f>MAX(0,MIN(1,0.24*AT234+0.18*BF234+0.14*AR234+0.14*BO234+0.14*(1-AV234)+0.16*(1-AZ234)))</f>
        <v/>
      </c>
      <c r="BR234">
        <f>IF(BO234&gt;=0.80,"Open",IF(BO234&gt;=0.62,"Measured",IF(BO234&gt;=0.45,"Selective","Guarded")))</f>
        <v/>
      </c>
      <c r="BS234">
        <f>IF(Y234="COMM_Direct","Direct",IF(Y234="COMM_Emotional","Emotional",IF(Y234="COMM_Logical","Logical",IF(Y234="COMM_Indirect","Indirect","Avoidant"))))</f>
        <v/>
      </c>
      <c r="BT234">
        <f>IF(BG234&gt;=0.78,"Co-repair",IF(BG234&gt;=0.58,"Re-engage",IF(BG234&gt;=0.40,"Delay","Suppress")))</f>
        <v/>
      </c>
      <c r="BU234">
        <f>IF(BI234&gt;=0.70,"Retreat-risk",IF(BH234&lt;=0.40,"Rush-risk",IF(BH234&gt;=0.65,"Slow-build","Mixed")))</f>
        <v/>
      </c>
      <c r="BV234">
        <f>IF(BL234-BM234&gt;=0.15,"Stimulation-seeking",IF(BM234-BL234&gt;=0.15,"Calm-seeking","Mixed")))</f>
        <v/>
      </c>
      <c r="BW234">
        <f>IF(AND(BL234&gt;=0.72,BM234&lt;0.48),"High",IF(AND(BL234&gt;=0.60,BM234&lt;0.58),"Medium","Low"))</f>
        <v/>
      </c>
    </row>
    <row r="235" ht="81" customHeight="1" s="10">
      <c r="A235" s="2" t="inlineStr">
        <is>
          <t>Q47_D</t>
        </is>
      </c>
      <c r="B235" s="2" t="n">
        <v>47</v>
      </c>
      <c r="C235" s="2" t="n">
        <v>47</v>
      </c>
      <c r="D235" s="2" t="inlineStr">
        <is>
          <t>Core</t>
        </is>
      </c>
      <c r="E235" s="2" t="n">
        <v>1.35</v>
      </c>
      <c r="F235" s="2" t="inlineStr">
        <is>
          <t>EmotionalNeeds</t>
        </is>
      </c>
      <c r="G235" s="2" t="inlineStr">
        <is>
          <t>IntimacyThreshold</t>
        </is>
      </c>
      <c r="H235" s="2" t="n"/>
      <c r="I235" s="2" t="inlineStr">
        <is>
          <t>D</t>
        </is>
      </c>
      <c r="J235" s="2" t="inlineStr">
        <is>
          <t>D</t>
        </is>
      </c>
      <c r="K235" s="2" t="inlineStr">
        <is>
          <t>Skeptical. I question whether it's genuine or just temporary.</t>
        </is>
      </c>
      <c r="L235" s="2" t="n">
        <v>6</v>
      </c>
      <c r="M235" s="2" t="n">
        <v>7</v>
      </c>
      <c r="N235" s="2" t="n">
        <v>4</v>
      </c>
      <c r="O235" s="2" t="n">
        <v>6</v>
      </c>
      <c r="P235" s="2" t="n">
        <v>4</v>
      </c>
      <c r="Q235" s="2" t="inlineStr">
        <is>
          <t>Analyzer</t>
        </is>
      </c>
      <c r="R235" s="2" t="n">
        <v>2</v>
      </c>
      <c r="S235" s="2" t="n"/>
      <c r="T235" s="2" t="n"/>
      <c r="U235" s="2" t="n">
        <v>0</v>
      </c>
      <c r="V235" s="2" t="inlineStr">
        <is>
          <t>masc:1.4;fem:0.1</t>
        </is>
      </c>
      <c r="W235" s="2" t="n">
        <v>1.4</v>
      </c>
      <c r="X235" s="2" t="n">
        <v>0.1</v>
      </c>
      <c r="Y235" s="2" t="inlineStr">
        <is>
          <t>COMM_Logical</t>
        </is>
      </c>
      <c r="Z235" s="2" t="inlineStr">
        <is>
          <t>REG_SelfSoother</t>
        </is>
      </c>
      <c r="AA235" s="2" t="inlineStr">
        <is>
          <t>LANG_Service</t>
        </is>
      </c>
      <c r="AB235" s="2" t="inlineStr">
        <is>
          <t>Vulnerability_Loop</t>
        </is>
      </c>
      <c r="AC235" s="2" t="inlineStr">
        <is>
          <t>Vulnerability_Loop</t>
        </is>
      </c>
      <c r="AD235" s="2" t="n"/>
      <c r="AE235" s="2" t="n">
        <v>5</v>
      </c>
      <c r="AF235" s="2" t="inlineStr">
        <is>
          <t>authenticity test mode</t>
        </is>
      </c>
      <c r="AG235" s="2" t="inlineStr">
        <is>
          <t>motive checker</t>
        </is>
      </c>
      <c r="AH235" s="2" t="n">
        <v>0.6</v>
      </c>
      <c r="AI235" s="2" t="inlineStr">
        <is>
          <t>yes</t>
        </is>
      </c>
      <c r="AJ235" s="2" t="inlineStr">
        <is>
          <t>no</t>
        </is>
      </c>
      <c r="AK235" s="2" t="inlineStr">
        <is>
          <t>no</t>
        </is>
      </c>
      <c r="AL235" s="2" t="inlineStr">
        <is>
          <t>no</t>
        </is>
      </c>
      <c r="AM235" s="2" t="n"/>
      <c r="AN235" s="2" t="n"/>
      <c r="AO235" s="2" t="n"/>
      <c r="AP235" s="2" t="inlineStr">
        <is>
          <t>v3_2026-03-19</t>
        </is>
      </c>
      <c r="AQ235">
        <f>(L235-Schema_v5!$C2)/(Schema_v5!$C3-Schema_v5!$C2)</f>
        <v/>
      </c>
      <c r="AR235">
        <f>(M235-Schema_v5!$C4)/(Schema_v5!$C5-Schema_v5!$C4)</f>
        <v/>
      </c>
      <c r="AS235">
        <f>N235/Schema_v5!$C6</f>
        <v/>
      </c>
      <c r="AT235">
        <f>O235/Schema_v5!$C7</f>
        <v/>
      </c>
      <c r="AU235">
        <f>P235/Schema_v5!$C8</f>
        <v/>
      </c>
      <c r="AV235">
        <f>IF(Schema_v5!$C9=0,0,AH235/Schema_v5!$C9)</f>
        <v/>
      </c>
      <c r="AW235">
        <f>IF(Schema_v5!$C10=0,0,AE235/Schema_v5!$C10)</f>
        <v/>
      </c>
      <c r="AX235">
        <f>(W235-Schema_v5!$C11)/(Schema_v5!$C12-Schema_v5!$C11)</f>
        <v/>
      </c>
      <c r="AY235">
        <f>(X235-Schema_v5!$C13)/(Schema_v5!$C14-Schema_v5!$C13)</f>
        <v/>
      </c>
      <c r="AZ235">
        <f>MIN(1,MAX(0,U235/Schema_v7!$C$9))</f>
        <v/>
      </c>
      <c r="BA235">
        <f>IF(AJ235="yes",0.55,0)</f>
        <v/>
      </c>
      <c r="BB235">
        <f>IF(AI235="yes",0.10,0)</f>
        <v/>
      </c>
      <c r="BC235">
        <f>IF(Y235="COMM_Direct",0.92,IF(Y235="COMM_Emotional",0.70,IF(Y235="COMM_Logical",0.65,IF(Y235="COMM_Indirect",0.55,0.35))))</f>
        <v/>
      </c>
      <c r="BD235">
        <f>IF(Z235="REG_CoRegulator",0.92,IF(Z235="REG_SelfSoother",0.76,IF(Z235="REG_Distractor",0.48,0.35)))</f>
        <v/>
      </c>
      <c r="BE235">
        <f>IF(AA235="LANG_Time",0.76,IF(AA235="LANG_Service",0.70,IF(AA235="LANG_Words",0.72,IF(AA235="LANG_Touch",0.68,0.60))))</f>
        <v/>
      </c>
      <c r="BF235">
        <f>MAX(0,MIN(1,0.28*AS235+0.16*AT235+0.18*BC235+0.18*BD235+0.10*(1-AZ235)+0.10*(1-BA235)+BB235))</f>
        <v/>
      </c>
      <c r="BG235">
        <f>MAX(0,MIN(1,0.24*AU235+0.18*AS235+0.18*BC235+0.20*BD235+0.10*(1-AW235)+0.10*(1-BA235)))</f>
        <v/>
      </c>
      <c r="BH235">
        <f>MAX(0,MIN(1,0.28*AR235+0.18*AT235+0.16*AU235+0.18*(1-AV235)+0.10*(1-AW235)+0.10*BF235))</f>
        <v/>
      </c>
      <c r="BI235">
        <f>MAX(0,MIN(1,0.30*AV235+0.20*AZ235+0.20*AW235+0.15*(1-BH235)+0.15*(1-BO235)))</f>
        <v/>
      </c>
      <c r="BJ235">
        <f>MAX(0,1-(ABS(((( AX235+AY235)/2)-0.55)*1.6)))</f>
        <v/>
      </c>
      <c r="BK235">
        <f>MAX(0,MIN(1,0.28*AR235+0.18*AT235+0.16*BJ235+0.14*(1-AV235)+0.12*BQ235+0.12*BO235))</f>
        <v/>
      </c>
      <c r="BL235">
        <f>MAX(0,MIN(1,0.22*AQ235+0.18*AS235+0.18*BC235+0.18*BD235+0.08*BE235+0.10*BF235+0.06*BO235))</f>
        <v/>
      </c>
      <c r="BM235">
        <f>MAX(0,MIN(1,0.20*(1-AZ235)+0.16*(1-BA235)+0.14*(1-AW235)+0.14*AU235+0.18*BG235+0.10*BH235+0.08*BP235))</f>
        <v/>
      </c>
      <c r="BN235">
        <f>MAX(0,MIN(1,0.42*BJ235+0.33*BK235+0.15*AT235+0.10*BQ235))</f>
        <v/>
      </c>
      <c r="BO235">
        <f>MAX(0,MIN(1,0.30*BC235+0.24*BD235+0.18*AS235+0.14*(1-BI235)+0.14*AT235))</f>
        <v/>
      </c>
      <c r="BP235">
        <f>MAX(0,MIN(1,0.26*AS235+0.20*(1-BA235)+0.16*(1-AW235)+0.18*BG235+0.10*AU235+0.10+BB235))</f>
        <v/>
      </c>
      <c r="BQ235">
        <f>MAX(0,MIN(1,0.24*AT235+0.18*BF235+0.14*AR235+0.14*BO235+0.14*(1-AV235)+0.16*(1-AZ235)))</f>
        <v/>
      </c>
      <c r="BR235">
        <f>IF(BO235&gt;=0.80,"Open",IF(BO235&gt;=0.62,"Measured",IF(BO235&gt;=0.45,"Selective","Guarded")))</f>
        <v/>
      </c>
      <c r="BS235">
        <f>IF(Y235="COMM_Direct","Direct",IF(Y235="COMM_Emotional","Emotional",IF(Y235="COMM_Logical","Logical",IF(Y235="COMM_Indirect","Indirect","Avoidant"))))</f>
        <v/>
      </c>
      <c r="BT235">
        <f>IF(BG235&gt;=0.78,"Co-repair",IF(BG235&gt;=0.58,"Re-engage",IF(BG235&gt;=0.40,"Delay","Suppress")))</f>
        <v/>
      </c>
      <c r="BU235">
        <f>IF(BI235&gt;=0.70,"Retreat-risk",IF(BH235&lt;=0.40,"Rush-risk",IF(BH235&gt;=0.65,"Slow-build","Mixed")))</f>
        <v/>
      </c>
      <c r="BV235">
        <f>IF(BL235-BM235&gt;=0.15,"Stimulation-seeking",IF(BM235-BL235&gt;=0.15,"Calm-seeking","Mixed")))</f>
        <v/>
      </c>
      <c r="BW235">
        <f>IF(AND(BL235&gt;=0.72,BM235&lt;0.48),"High",IF(AND(BL235&gt;=0.60,BM235&lt;0.58),"Medium","Low"))</f>
        <v/>
      </c>
    </row>
    <row r="236" ht="108" customHeight="1" s="10">
      <c r="A236" s="2" t="inlineStr">
        <is>
          <t>Q47_E</t>
        </is>
      </c>
      <c r="B236" s="2" t="n">
        <v>47</v>
      </c>
      <c r="C236" s="2" t="n">
        <v>47</v>
      </c>
      <c r="D236" s="2" t="inlineStr">
        <is>
          <t>Core</t>
        </is>
      </c>
      <c r="E236" s="2" t="n">
        <v>1.35</v>
      </c>
      <c r="F236" s="2" t="inlineStr">
        <is>
          <t>EmotionalNeeds</t>
        </is>
      </c>
      <c r="G236" s="2" t="inlineStr">
        <is>
          <t>IntimacyThreshold</t>
        </is>
      </c>
      <c r="H236" s="2" t="n"/>
      <c r="I236" s="2" t="inlineStr">
        <is>
          <t>E</t>
        </is>
      </c>
      <c r="J236" s="2" t="inlineStr">
        <is>
          <t>E</t>
        </is>
      </c>
      <c r="K236" s="2" t="inlineStr">
        <is>
          <t>Grateful. It feels earned somehow, like the healing version of what I always needed.</t>
        </is>
      </c>
      <c r="L236" s="2" t="n">
        <v>9</v>
      </c>
      <c r="M236" s="2" t="n">
        <v>9</v>
      </c>
      <c r="N236" s="2" t="n">
        <v>8</v>
      </c>
      <c r="O236" s="2" t="n">
        <v>8</v>
      </c>
      <c r="P236" s="2" t="n">
        <v>6</v>
      </c>
      <c r="Q236" s="2" t="inlineStr">
        <is>
          <t>Romantic Idealist</t>
        </is>
      </c>
      <c r="R236" s="2" t="n">
        <v>6</v>
      </c>
      <c r="S236" s="2" t="n"/>
      <c r="T236" s="2" t="n"/>
      <c r="U236" s="2" t="n">
        <v>0</v>
      </c>
      <c r="V236" s="2" t="inlineStr">
        <is>
          <t>masc:-0.4;fem:1.5</t>
        </is>
      </c>
      <c r="W236" s="2" t="n">
        <v>-0.4</v>
      </c>
      <c r="X236" s="2" t="n">
        <v>1.5</v>
      </c>
      <c r="Y236" s="2" t="inlineStr">
        <is>
          <t>COMM_Emotional</t>
        </is>
      </c>
      <c r="Z236" s="2" t="inlineStr">
        <is>
          <t>REG_Distractor</t>
        </is>
      </c>
      <c r="AA236" s="2" t="inlineStr">
        <is>
          <t>LANG_Gifts</t>
        </is>
      </c>
      <c r="AB236" s="2" t="n"/>
      <c r="AC236" s="2" t="n"/>
      <c r="AD236" s="2" t="n"/>
      <c r="AE236" s="2" t="n">
        <v>0</v>
      </c>
      <c r="AF236" s="2" t="inlineStr">
        <is>
          <t>fulfilled longing</t>
        </is>
      </c>
      <c r="AG236" s="2" t="inlineStr">
        <is>
          <t>open-hearted receiver</t>
        </is>
      </c>
      <c r="AH236" s="2" t="n">
        <v>0</v>
      </c>
      <c r="AI236" s="2" t="inlineStr">
        <is>
          <t>no</t>
        </is>
      </c>
      <c r="AJ236" s="2" t="inlineStr">
        <is>
          <t>no</t>
        </is>
      </c>
      <c r="AK236" s="2" t="inlineStr">
        <is>
          <t>no</t>
        </is>
      </c>
      <c r="AL236" s="2" t="inlineStr">
        <is>
          <t>no</t>
        </is>
      </c>
      <c r="AM236" s="2" t="n"/>
      <c r="AN236" s="2" t="n"/>
      <c r="AO236" s="2" t="n"/>
      <c r="AP236" s="2" t="inlineStr">
        <is>
          <t>v3_2026-03-19</t>
        </is>
      </c>
      <c r="AQ236">
        <f>(L236-Schema_v5!$C2)/(Schema_v5!$C3-Schema_v5!$C2)</f>
        <v/>
      </c>
      <c r="AR236">
        <f>(M236-Schema_v5!$C4)/(Schema_v5!$C5-Schema_v5!$C4)</f>
        <v/>
      </c>
      <c r="AS236">
        <f>N236/Schema_v5!$C6</f>
        <v/>
      </c>
      <c r="AT236">
        <f>O236/Schema_v5!$C7</f>
        <v/>
      </c>
      <c r="AU236">
        <f>P236/Schema_v5!$C8</f>
        <v/>
      </c>
      <c r="AV236">
        <f>IF(Schema_v5!$C9=0,0,AH236/Schema_v5!$C9)</f>
        <v/>
      </c>
      <c r="AW236">
        <f>IF(Schema_v5!$C10=0,0,AE236/Schema_v5!$C10)</f>
        <v/>
      </c>
      <c r="AX236">
        <f>(W236-Schema_v5!$C11)/(Schema_v5!$C12-Schema_v5!$C11)</f>
        <v/>
      </c>
      <c r="AY236">
        <f>(X236-Schema_v5!$C13)/(Schema_v5!$C14-Schema_v5!$C13)</f>
        <v/>
      </c>
      <c r="AZ236">
        <f>MIN(1,MAX(0,U236/Schema_v7!$C$9))</f>
        <v/>
      </c>
      <c r="BA236">
        <f>IF(AJ236="yes",0.55,0)</f>
        <v/>
      </c>
      <c r="BB236">
        <f>IF(AI236="yes",0.10,0)</f>
        <v/>
      </c>
      <c r="BC236">
        <f>IF(Y236="COMM_Direct",0.92,IF(Y236="COMM_Emotional",0.70,IF(Y236="COMM_Logical",0.65,IF(Y236="COMM_Indirect",0.55,0.35))))</f>
        <v/>
      </c>
      <c r="BD236">
        <f>IF(Z236="REG_CoRegulator",0.92,IF(Z236="REG_SelfSoother",0.76,IF(Z236="REG_Distractor",0.48,0.35)))</f>
        <v/>
      </c>
      <c r="BE236">
        <f>IF(AA236="LANG_Time",0.76,IF(AA236="LANG_Service",0.70,IF(AA236="LANG_Words",0.72,IF(AA236="LANG_Touch",0.68,0.60))))</f>
        <v/>
      </c>
      <c r="BF236">
        <f>MAX(0,MIN(1,0.28*AS236+0.16*AT236+0.18*BC236+0.18*BD236+0.10*(1-AZ236)+0.10*(1-BA236)+BB236))</f>
        <v/>
      </c>
      <c r="BG236">
        <f>MAX(0,MIN(1,0.24*AU236+0.18*AS236+0.18*BC236+0.20*BD236+0.10*(1-AW236)+0.10*(1-BA236)))</f>
        <v/>
      </c>
      <c r="BH236">
        <f>MAX(0,MIN(1,0.28*AR236+0.18*AT236+0.16*AU236+0.18*(1-AV236)+0.10*(1-AW236)+0.10*BF236))</f>
        <v/>
      </c>
      <c r="BI236">
        <f>MAX(0,MIN(1,0.30*AV236+0.20*AZ236+0.20*AW236+0.15*(1-BH236)+0.15*(1-BO236)))</f>
        <v/>
      </c>
      <c r="BJ236">
        <f>MAX(0,1-(ABS(((( AX236+AY236)/2)-0.55)*1.6)))</f>
        <v/>
      </c>
      <c r="BK236">
        <f>MAX(0,MIN(1,0.28*AR236+0.18*AT236+0.16*BJ236+0.14*(1-AV236)+0.12*BQ236+0.12*BO236))</f>
        <v/>
      </c>
      <c r="BL236">
        <f>MAX(0,MIN(1,0.22*AQ236+0.18*AS236+0.18*BC236+0.18*BD236+0.08*BE236+0.10*BF236+0.06*BO236))</f>
        <v/>
      </c>
      <c r="BM236">
        <f>MAX(0,MIN(1,0.20*(1-AZ236)+0.16*(1-BA236)+0.14*(1-AW236)+0.14*AU236+0.18*BG236+0.10*BH236+0.08*BP236))</f>
        <v/>
      </c>
      <c r="BN236">
        <f>MAX(0,MIN(1,0.42*BJ236+0.33*BK236+0.15*AT236+0.10*BQ236))</f>
        <v/>
      </c>
      <c r="BO236">
        <f>MAX(0,MIN(1,0.30*BC236+0.24*BD236+0.18*AS236+0.14*(1-BI236)+0.14*AT236))</f>
        <v/>
      </c>
      <c r="BP236">
        <f>MAX(0,MIN(1,0.26*AS236+0.20*(1-BA236)+0.16*(1-AW236)+0.18*BG236+0.10*AU236+0.10+BB236))</f>
        <v/>
      </c>
      <c r="BQ236">
        <f>MAX(0,MIN(1,0.24*AT236+0.18*BF236+0.14*AR236+0.14*BO236+0.14*(1-AV236)+0.16*(1-AZ236)))</f>
        <v/>
      </c>
      <c r="BR236">
        <f>IF(BO236&gt;=0.80,"Open",IF(BO236&gt;=0.62,"Measured",IF(BO236&gt;=0.45,"Selective","Guarded")))</f>
        <v/>
      </c>
      <c r="BS236">
        <f>IF(Y236="COMM_Direct","Direct",IF(Y236="COMM_Emotional","Emotional",IF(Y236="COMM_Logical","Logical",IF(Y236="COMM_Indirect","Indirect","Avoidant"))))</f>
        <v/>
      </c>
      <c r="BT236">
        <f>IF(BG236&gt;=0.78,"Co-repair",IF(BG236&gt;=0.58,"Re-engage",IF(BG236&gt;=0.40,"Delay","Suppress")))</f>
        <v/>
      </c>
      <c r="BU236">
        <f>IF(BI236&gt;=0.70,"Retreat-risk",IF(BH236&lt;=0.40,"Rush-risk",IF(BH236&gt;=0.65,"Slow-build","Mixed")))</f>
        <v/>
      </c>
      <c r="BV236">
        <f>IF(BL236-BM236&gt;=0.15,"Stimulation-seeking",IF(BM236-BL236&gt;=0.15,"Calm-seeking","Mixed")))</f>
        <v/>
      </c>
      <c r="BW236">
        <f>IF(AND(BL236&gt;=0.72,BM236&lt;0.48),"High",IF(AND(BL236&gt;=0.60,BM236&lt;0.58),"Medium","Low"))</f>
        <v/>
      </c>
    </row>
    <row r="237" ht="121.5" customHeight="1" s="10">
      <c r="A237" s="2" t="inlineStr">
        <is>
          <t>Q48_A</t>
        </is>
      </c>
      <c r="B237" s="2" t="n">
        <v>48</v>
      </c>
      <c r="C237" s="2" t="n">
        <v>48</v>
      </c>
      <c r="D237" s="2" t="inlineStr">
        <is>
          <t>Core</t>
        </is>
      </c>
      <c r="E237" s="2" t="n">
        <v>1.35</v>
      </c>
      <c r="F237" s="2" t="inlineStr">
        <is>
          <t>EmotionalNeeds</t>
        </is>
      </c>
      <c r="G237" s="2" t="inlineStr">
        <is>
          <t>IntimacyThreshold</t>
        </is>
      </c>
      <c r="H237" s="2" t="inlineStr">
        <is>
          <t>Things are going well. Emotionally steady, mutual effort, real connection. What's the moment you usually flinch?</t>
        </is>
      </c>
      <c r="I237" s="2" t="inlineStr">
        <is>
          <t>A</t>
        </is>
      </c>
      <c r="J237" s="2" t="inlineStr">
        <is>
          <t>A</t>
        </is>
      </c>
      <c r="K237" s="2" t="inlineStr">
        <is>
          <t>When they start asking deeper questions. I don't like being studied.</t>
        </is>
      </c>
      <c r="L237" s="2" t="n">
        <v>6</v>
      </c>
      <c r="M237" s="2" t="n">
        <v>7</v>
      </c>
      <c r="N237" s="2" t="n">
        <v>2</v>
      </c>
      <c r="O237" s="2" t="n">
        <v>2</v>
      </c>
      <c r="P237" s="2" t="n">
        <v>0</v>
      </c>
      <c r="Q237" s="2" t="inlineStr">
        <is>
          <t>Icebox</t>
        </is>
      </c>
      <c r="R237" s="2" t="n">
        <v>1</v>
      </c>
      <c r="S237" s="2" t="n"/>
      <c r="T237" s="2" t="n"/>
      <c r="U237" s="2" t="n">
        <v>0</v>
      </c>
      <c r="V237" s="2" t="inlineStr">
        <is>
          <t>masc:1.8;fem:-1.6</t>
        </is>
      </c>
      <c r="W237" s="2" t="n">
        <v>1.8</v>
      </c>
      <c r="X237" s="2" t="n">
        <v>-1.6</v>
      </c>
      <c r="Y237" s="2" t="inlineStr">
        <is>
          <t>COMM_Avoidant</t>
        </is>
      </c>
      <c r="Z237" s="2" t="inlineStr">
        <is>
          <t>REG_Suppressor</t>
        </is>
      </c>
      <c r="AA237" s="2" t="inlineStr">
        <is>
          <t>LANG_Time</t>
        </is>
      </c>
      <c r="AB237" s="2" t="inlineStr">
        <is>
          <t>Vulnerability_Loop</t>
        </is>
      </c>
      <c r="AC237" s="2" t="inlineStr">
        <is>
          <t>Vulnerability_Loop</t>
        </is>
      </c>
      <c r="AD237" s="2" t="n"/>
      <c r="AE237" s="2" t="n">
        <v>5</v>
      </c>
      <c r="AF237" s="2" t="inlineStr">
        <is>
          <t>intimacy evasion reflex</t>
        </is>
      </c>
      <c r="AG237" s="2" t="inlineStr">
        <is>
          <t>guarded sharer</t>
        </is>
      </c>
      <c r="AH237" s="2" t="n">
        <v>0</v>
      </c>
      <c r="AI237" s="2" t="inlineStr">
        <is>
          <t>yes</t>
        </is>
      </c>
      <c r="AJ237" s="2" t="inlineStr">
        <is>
          <t>no</t>
        </is>
      </c>
      <c r="AK237" s="2" t="inlineStr">
        <is>
          <t>no</t>
        </is>
      </c>
      <c r="AL237" s="2" t="inlineStr">
        <is>
          <t>no</t>
        </is>
      </c>
      <c r="AM237" s="2" t="n"/>
      <c r="AN237" s="2" t="n"/>
      <c r="AO237" s="2" t="n"/>
      <c r="AP237" s="2" t="inlineStr">
        <is>
          <t>v3_2026-03-19</t>
        </is>
      </c>
      <c r="AQ237">
        <f>(L237-Schema_v5!$C2)/(Schema_v5!$C3-Schema_v5!$C2)</f>
        <v/>
      </c>
      <c r="AR237">
        <f>(M237-Schema_v5!$C4)/(Schema_v5!$C5-Schema_v5!$C4)</f>
        <v/>
      </c>
      <c r="AS237">
        <f>N237/Schema_v5!$C6</f>
        <v/>
      </c>
      <c r="AT237">
        <f>O237/Schema_v5!$C7</f>
        <v/>
      </c>
      <c r="AU237">
        <f>P237/Schema_v5!$C8</f>
        <v/>
      </c>
      <c r="AV237">
        <f>IF(Schema_v5!$C9=0,0,AH237/Schema_v5!$C9)</f>
        <v/>
      </c>
      <c r="AW237">
        <f>IF(Schema_v5!$C10=0,0,AE237/Schema_v5!$C10)</f>
        <v/>
      </c>
      <c r="AX237">
        <f>(W237-Schema_v5!$C11)/(Schema_v5!$C12-Schema_v5!$C11)</f>
        <v/>
      </c>
      <c r="AY237">
        <f>(X237-Schema_v5!$C13)/(Schema_v5!$C14-Schema_v5!$C13)</f>
        <v/>
      </c>
      <c r="AZ237">
        <f>MIN(1,MAX(0,U237/Schema_v7!$C$9))</f>
        <v/>
      </c>
      <c r="BA237">
        <f>IF(AJ237="yes",0.55,0)</f>
        <v/>
      </c>
      <c r="BB237">
        <f>IF(AI237="yes",0.10,0)</f>
        <v/>
      </c>
      <c r="BC237">
        <f>IF(Y237="COMM_Direct",0.92,IF(Y237="COMM_Emotional",0.70,IF(Y237="COMM_Logical",0.65,IF(Y237="COMM_Indirect",0.55,0.35))))</f>
        <v/>
      </c>
      <c r="BD237">
        <f>IF(Z237="REG_CoRegulator",0.92,IF(Z237="REG_SelfSoother",0.76,IF(Z237="REG_Distractor",0.48,0.35)))</f>
        <v/>
      </c>
      <c r="BE237">
        <f>IF(AA237="LANG_Time",0.76,IF(AA237="LANG_Service",0.70,IF(AA237="LANG_Words",0.72,IF(AA237="LANG_Touch",0.68,0.60))))</f>
        <v/>
      </c>
      <c r="BF237">
        <f>MAX(0,MIN(1,0.28*AS237+0.16*AT237+0.18*BC237+0.18*BD237+0.10*(1-AZ237)+0.10*(1-BA237)+BB237))</f>
        <v/>
      </c>
      <c r="BG237">
        <f>MAX(0,MIN(1,0.24*AU237+0.18*AS237+0.18*BC237+0.20*BD237+0.10*(1-AW237)+0.10*(1-BA237)))</f>
        <v/>
      </c>
      <c r="BH237">
        <f>MAX(0,MIN(1,0.28*AR237+0.18*AT237+0.16*AU237+0.18*(1-AV237)+0.10*(1-AW237)+0.10*BF237))</f>
        <v/>
      </c>
      <c r="BI237">
        <f>MAX(0,MIN(1,0.30*AV237+0.20*AZ237+0.20*AW237+0.15*(1-BH237)+0.15*(1-BO237)))</f>
        <v/>
      </c>
      <c r="BJ237">
        <f>MAX(0,1-(ABS(((( AX237+AY237)/2)-0.55)*1.6)))</f>
        <v/>
      </c>
      <c r="BK237">
        <f>MAX(0,MIN(1,0.28*AR237+0.18*AT237+0.16*BJ237+0.14*(1-AV237)+0.12*BQ237+0.12*BO237))</f>
        <v/>
      </c>
      <c r="BL237">
        <f>MAX(0,MIN(1,0.22*AQ237+0.18*AS237+0.18*BC237+0.18*BD237+0.08*BE237+0.10*BF237+0.06*BO237))</f>
        <v/>
      </c>
      <c r="BM237">
        <f>MAX(0,MIN(1,0.20*(1-AZ237)+0.16*(1-BA237)+0.14*(1-AW237)+0.14*AU237+0.18*BG237+0.10*BH237+0.08*BP237))</f>
        <v/>
      </c>
      <c r="BN237">
        <f>MAX(0,MIN(1,0.42*BJ237+0.33*BK237+0.15*AT237+0.10*BQ237))</f>
        <v/>
      </c>
      <c r="BO237">
        <f>MAX(0,MIN(1,0.30*BC237+0.24*BD237+0.18*AS237+0.14*(1-BI237)+0.14*AT237))</f>
        <v/>
      </c>
      <c r="BP237">
        <f>MAX(0,MIN(1,0.26*AS237+0.20*(1-BA237)+0.16*(1-AW237)+0.18*BG237+0.10*AU237+0.10+BB237))</f>
        <v/>
      </c>
      <c r="BQ237">
        <f>MAX(0,MIN(1,0.24*AT237+0.18*BF237+0.14*AR237+0.14*BO237+0.14*(1-AV237)+0.16*(1-AZ237)))</f>
        <v/>
      </c>
      <c r="BR237">
        <f>IF(BO237&gt;=0.80,"Open",IF(BO237&gt;=0.62,"Measured",IF(BO237&gt;=0.45,"Selective","Guarded")))</f>
        <v/>
      </c>
      <c r="BS237">
        <f>IF(Y237="COMM_Direct","Direct",IF(Y237="COMM_Emotional","Emotional",IF(Y237="COMM_Logical","Logical",IF(Y237="COMM_Indirect","Indirect","Avoidant"))))</f>
        <v/>
      </c>
      <c r="BT237">
        <f>IF(BG237&gt;=0.78,"Co-repair",IF(BG237&gt;=0.58,"Re-engage",IF(BG237&gt;=0.40,"Delay","Suppress")))</f>
        <v/>
      </c>
      <c r="BU237">
        <f>IF(BI237&gt;=0.70,"Retreat-risk",IF(BH237&lt;=0.40,"Rush-risk",IF(BH237&gt;=0.65,"Slow-build","Mixed")))</f>
        <v/>
      </c>
      <c r="BV237">
        <f>IF(BL237-BM237&gt;=0.15,"Stimulation-seeking",IF(BM237-BL237&gt;=0.15,"Calm-seeking","Mixed")))</f>
        <v/>
      </c>
      <c r="BW237">
        <f>IF(AND(BL237&gt;=0.72,BM237&lt;0.48),"High",IF(AND(BL237&gt;=0.60,BM237&lt;0.58),"Medium","Low"))</f>
        <v/>
      </c>
    </row>
    <row r="238" ht="68.25" customHeight="1" s="10">
      <c r="A238" s="2" t="inlineStr">
        <is>
          <t>Q48_B</t>
        </is>
      </c>
      <c r="B238" s="2" t="n">
        <v>48</v>
      </c>
      <c r="C238" s="2" t="n">
        <v>48</v>
      </c>
      <c r="D238" s="2" t="inlineStr">
        <is>
          <t>Core</t>
        </is>
      </c>
      <c r="E238" s="2" t="n">
        <v>1.35</v>
      </c>
      <c r="F238" s="2" t="inlineStr">
        <is>
          <t>EmotionalNeeds</t>
        </is>
      </c>
      <c r="G238" s="2" t="inlineStr">
        <is>
          <t>IntimacyThreshold</t>
        </is>
      </c>
      <c r="H238" s="2" t="n"/>
      <c r="I238" s="2" t="inlineStr">
        <is>
          <t>B</t>
        </is>
      </c>
      <c r="J238" s="2" t="inlineStr">
        <is>
          <t>B</t>
        </is>
      </c>
      <c r="K238" s="2" t="inlineStr">
        <is>
          <t>When I can't tell how they're really feeling. I hate guessing.</t>
        </is>
      </c>
      <c r="L238" s="2" t="n">
        <v>5</v>
      </c>
      <c r="M238" s="2" t="n">
        <v>6</v>
      </c>
      <c r="N238" s="2" t="n">
        <v>2</v>
      </c>
      <c r="O238" s="2" t="n">
        <v>4</v>
      </c>
      <c r="P238" s="2" t="n">
        <v>2</v>
      </c>
      <c r="Q238" s="2" t="inlineStr">
        <is>
          <t>Phantom Seeker</t>
        </is>
      </c>
      <c r="R238" s="2" t="n">
        <v>10</v>
      </c>
      <c r="S238" s="2" t="n"/>
      <c r="T238" s="2" t="n"/>
      <c r="U238" s="2" t="n">
        <v>0</v>
      </c>
      <c r="V238" s="2" t="inlineStr">
        <is>
          <t>masc:-0.2;fem:1.5</t>
        </is>
      </c>
      <c r="W238" s="2" t="n">
        <v>-0.2</v>
      </c>
      <c r="X238" s="2" t="n">
        <v>1.5</v>
      </c>
      <c r="Y238" s="2" t="inlineStr">
        <is>
          <t>COMM_Emotional</t>
        </is>
      </c>
      <c r="Z238" s="2" t="inlineStr">
        <is>
          <t>REG_SelfSoother</t>
        </is>
      </c>
      <c r="AA238" s="2" t="inlineStr">
        <is>
          <t>LANG_Touch</t>
        </is>
      </c>
      <c r="AB238" s="2" t="inlineStr">
        <is>
          <t>Vulnerability_Loop</t>
        </is>
      </c>
      <c r="AC238" s="2" t="inlineStr">
        <is>
          <t>Vulnerability_Loop</t>
        </is>
      </c>
      <c r="AD238" s="2" t="n"/>
      <c r="AE238" s="2" t="n">
        <v>5</v>
      </c>
      <c r="AF238" s="2" t="inlineStr">
        <is>
          <t>emotional uncertainty freeze</t>
        </is>
      </c>
      <c r="AG238" s="2" t="inlineStr">
        <is>
          <t>clarity craver</t>
        </is>
      </c>
      <c r="AH238" s="2" t="n">
        <v>0.2</v>
      </c>
      <c r="AI238" s="2" t="inlineStr">
        <is>
          <t>yes</t>
        </is>
      </c>
      <c r="AJ238" s="2" t="inlineStr">
        <is>
          <t>no</t>
        </is>
      </c>
      <c r="AK238" s="2" t="inlineStr">
        <is>
          <t>no</t>
        </is>
      </c>
      <c r="AL238" s="2" t="inlineStr">
        <is>
          <t>no</t>
        </is>
      </c>
      <c r="AM238" s="2" t="n"/>
      <c r="AN238" s="2" t="n"/>
      <c r="AO238" s="2" t="n"/>
      <c r="AP238" s="2" t="inlineStr">
        <is>
          <t>v3_2026-03-19</t>
        </is>
      </c>
      <c r="AQ238">
        <f>(L238-Schema_v5!$C2)/(Schema_v5!$C3-Schema_v5!$C2)</f>
        <v/>
      </c>
      <c r="AR238">
        <f>(M238-Schema_v5!$C4)/(Schema_v5!$C5-Schema_v5!$C4)</f>
        <v/>
      </c>
      <c r="AS238">
        <f>N238/Schema_v5!$C6</f>
        <v/>
      </c>
      <c r="AT238">
        <f>O238/Schema_v5!$C7</f>
        <v/>
      </c>
      <c r="AU238">
        <f>P238/Schema_v5!$C8</f>
        <v/>
      </c>
      <c r="AV238">
        <f>IF(Schema_v5!$C9=0,0,AH238/Schema_v5!$C9)</f>
        <v/>
      </c>
      <c r="AW238">
        <f>IF(Schema_v5!$C10=0,0,AE238/Schema_v5!$C10)</f>
        <v/>
      </c>
      <c r="AX238">
        <f>(W238-Schema_v5!$C11)/(Schema_v5!$C12-Schema_v5!$C11)</f>
        <v/>
      </c>
      <c r="AY238">
        <f>(X238-Schema_v5!$C13)/(Schema_v5!$C14-Schema_v5!$C13)</f>
        <v/>
      </c>
      <c r="AZ238">
        <f>MIN(1,MAX(0,U238/Schema_v7!$C$9))</f>
        <v/>
      </c>
      <c r="BA238">
        <f>IF(AJ238="yes",0.55,0)</f>
        <v/>
      </c>
      <c r="BB238">
        <f>IF(AI238="yes",0.10,0)</f>
        <v/>
      </c>
      <c r="BC238">
        <f>IF(Y238="COMM_Direct",0.92,IF(Y238="COMM_Emotional",0.70,IF(Y238="COMM_Logical",0.65,IF(Y238="COMM_Indirect",0.55,0.35))))</f>
        <v/>
      </c>
      <c r="BD238">
        <f>IF(Z238="REG_CoRegulator",0.92,IF(Z238="REG_SelfSoother",0.76,IF(Z238="REG_Distractor",0.48,0.35)))</f>
        <v/>
      </c>
      <c r="BE238">
        <f>IF(AA238="LANG_Time",0.76,IF(AA238="LANG_Service",0.70,IF(AA238="LANG_Words",0.72,IF(AA238="LANG_Touch",0.68,0.60))))</f>
        <v/>
      </c>
      <c r="BF238">
        <f>MAX(0,MIN(1,0.28*AS238+0.16*AT238+0.18*BC238+0.18*BD238+0.10*(1-AZ238)+0.10*(1-BA238)+BB238))</f>
        <v/>
      </c>
      <c r="BG238">
        <f>MAX(0,MIN(1,0.24*AU238+0.18*AS238+0.18*BC238+0.20*BD238+0.10*(1-AW238)+0.10*(1-BA238)))</f>
        <v/>
      </c>
      <c r="BH238">
        <f>MAX(0,MIN(1,0.28*AR238+0.18*AT238+0.16*AU238+0.18*(1-AV238)+0.10*(1-AW238)+0.10*BF238))</f>
        <v/>
      </c>
      <c r="BI238">
        <f>MAX(0,MIN(1,0.30*AV238+0.20*AZ238+0.20*AW238+0.15*(1-BH238)+0.15*(1-BO238)))</f>
        <v/>
      </c>
      <c r="BJ238">
        <f>MAX(0,1-(ABS(((( AX238+AY238)/2)-0.55)*1.6)))</f>
        <v/>
      </c>
      <c r="BK238">
        <f>MAX(0,MIN(1,0.28*AR238+0.18*AT238+0.16*BJ238+0.14*(1-AV238)+0.12*BQ238+0.12*BO238))</f>
        <v/>
      </c>
      <c r="BL238">
        <f>MAX(0,MIN(1,0.22*AQ238+0.18*AS238+0.18*BC238+0.18*BD238+0.08*BE238+0.10*BF238+0.06*BO238))</f>
        <v/>
      </c>
      <c r="BM238">
        <f>MAX(0,MIN(1,0.20*(1-AZ238)+0.16*(1-BA238)+0.14*(1-AW238)+0.14*AU238+0.18*BG238+0.10*BH238+0.08*BP238))</f>
        <v/>
      </c>
      <c r="BN238">
        <f>MAX(0,MIN(1,0.42*BJ238+0.33*BK238+0.15*AT238+0.10*BQ238))</f>
        <v/>
      </c>
      <c r="BO238">
        <f>MAX(0,MIN(1,0.30*BC238+0.24*BD238+0.18*AS238+0.14*(1-BI238)+0.14*AT238))</f>
        <v/>
      </c>
      <c r="BP238">
        <f>MAX(0,MIN(1,0.26*AS238+0.20*(1-BA238)+0.16*(1-AW238)+0.18*BG238+0.10*AU238+0.10+BB238))</f>
        <v/>
      </c>
      <c r="BQ238">
        <f>MAX(0,MIN(1,0.24*AT238+0.18*BF238+0.14*AR238+0.14*BO238+0.14*(1-AV238)+0.16*(1-AZ238)))</f>
        <v/>
      </c>
      <c r="BR238">
        <f>IF(BO238&gt;=0.80,"Open",IF(BO238&gt;=0.62,"Measured",IF(BO238&gt;=0.45,"Selective","Guarded")))</f>
        <v/>
      </c>
      <c r="BS238">
        <f>IF(Y238="COMM_Direct","Direct",IF(Y238="COMM_Emotional","Emotional",IF(Y238="COMM_Logical","Logical",IF(Y238="COMM_Indirect","Indirect","Avoidant"))))</f>
        <v/>
      </c>
      <c r="BT238">
        <f>IF(BG238&gt;=0.78,"Co-repair",IF(BG238&gt;=0.58,"Re-engage",IF(BG238&gt;=0.40,"Delay","Suppress")))</f>
        <v/>
      </c>
      <c r="BU238">
        <f>IF(BI238&gt;=0.70,"Retreat-risk",IF(BH238&lt;=0.40,"Rush-risk",IF(BH238&gt;=0.65,"Slow-build","Mixed")))</f>
        <v/>
      </c>
      <c r="BV238">
        <f>IF(BL238-BM238&gt;=0.15,"Stimulation-seeking",IF(BM238-BL238&gt;=0.15,"Calm-seeking","Mixed")))</f>
        <v/>
      </c>
      <c r="BW238">
        <f>IF(AND(BL238&gt;=0.72,BM238&lt;0.48),"High",IF(AND(BL238&gt;=0.60,BM238&lt;0.58),"Medium","Low"))</f>
        <v/>
      </c>
    </row>
    <row r="239" ht="81" customHeight="1" s="10">
      <c r="A239" s="2" t="inlineStr">
        <is>
          <t>Q48_C</t>
        </is>
      </c>
      <c r="B239" s="2" t="n">
        <v>48</v>
      </c>
      <c r="C239" s="2" t="n">
        <v>48</v>
      </c>
      <c r="D239" s="2" t="inlineStr">
        <is>
          <t>Core</t>
        </is>
      </c>
      <c r="E239" s="2" t="n">
        <v>1.35</v>
      </c>
      <c r="F239" s="2" t="inlineStr">
        <is>
          <t>EmotionalNeeds</t>
        </is>
      </c>
      <c r="G239" s="2" t="inlineStr">
        <is>
          <t>IntimacyThreshold</t>
        </is>
      </c>
      <c r="H239" s="2" t="n"/>
      <c r="I239" s="2" t="inlineStr">
        <is>
          <t>C</t>
        </is>
      </c>
      <c r="J239" s="2" t="inlineStr">
        <is>
          <t>C</t>
        </is>
      </c>
      <c r="K239" s="2" t="inlineStr">
        <is>
          <t>When they stop doing the little things-I start wondering if I misread it all.</t>
        </is>
      </c>
      <c r="L239" s="2" t="n">
        <v>7</v>
      </c>
      <c r="M239" s="2" t="n">
        <v>8</v>
      </c>
      <c r="N239" s="2" t="n">
        <v>6</v>
      </c>
      <c r="O239" s="2" t="n">
        <v>8</v>
      </c>
      <c r="P239" s="2" t="n">
        <v>6</v>
      </c>
      <c r="Q239" s="2" t="inlineStr">
        <is>
          <t>Analyzer</t>
        </is>
      </c>
      <c r="R239" s="2" t="n">
        <v>2</v>
      </c>
      <c r="S239" s="2" t="n"/>
      <c r="T239" s="2" t="n"/>
      <c r="U239" s="2" t="n">
        <v>0</v>
      </c>
      <c r="V239" s="2" t="inlineStr">
        <is>
          <t>masc:1.4;fem:0.1</t>
        </is>
      </c>
      <c r="W239" s="2" t="n">
        <v>1.4</v>
      </c>
      <c r="X239" s="2" t="n">
        <v>0.1</v>
      </c>
      <c r="Y239" s="2" t="inlineStr">
        <is>
          <t>COMM_Logical</t>
        </is>
      </c>
      <c r="Z239" s="2" t="inlineStr">
        <is>
          <t>REG_SelfSoother</t>
        </is>
      </c>
      <c r="AA239" s="2" t="inlineStr">
        <is>
          <t>LANG_Service</t>
        </is>
      </c>
      <c r="AB239" s="2" t="n"/>
      <c r="AC239" s="2" t="n"/>
      <c r="AD239" s="2" t="n"/>
      <c r="AE239" s="2" t="n">
        <v>0</v>
      </c>
      <c r="AF239" s="2" t="inlineStr">
        <is>
          <t>micro-shift alarm system</t>
        </is>
      </c>
      <c r="AG239" s="2" t="inlineStr">
        <is>
          <t>detail watcher</t>
        </is>
      </c>
      <c r="AH239" s="2" t="n">
        <v>0</v>
      </c>
      <c r="AI239" s="2" t="inlineStr">
        <is>
          <t>no</t>
        </is>
      </c>
      <c r="AJ239" s="2" t="inlineStr">
        <is>
          <t>no</t>
        </is>
      </c>
      <c r="AK239" s="2" t="inlineStr">
        <is>
          <t>no</t>
        </is>
      </c>
      <c r="AL239" s="2" t="inlineStr">
        <is>
          <t>no</t>
        </is>
      </c>
      <c r="AM239" s="2" t="n"/>
      <c r="AN239" s="2" t="n"/>
      <c r="AO239" s="2" t="n"/>
      <c r="AP239" s="2" t="inlineStr">
        <is>
          <t>v3_2026-03-19</t>
        </is>
      </c>
      <c r="AQ239">
        <f>(L239-Schema_v5!$C2)/(Schema_v5!$C3-Schema_v5!$C2)</f>
        <v/>
      </c>
      <c r="AR239">
        <f>(M239-Schema_v5!$C4)/(Schema_v5!$C5-Schema_v5!$C4)</f>
        <v/>
      </c>
      <c r="AS239">
        <f>N239/Schema_v5!$C6</f>
        <v/>
      </c>
      <c r="AT239">
        <f>O239/Schema_v5!$C7</f>
        <v/>
      </c>
      <c r="AU239">
        <f>P239/Schema_v5!$C8</f>
        <v/>
      </c>
      <c r="AV239">
        <f>IF(Schema_v5!$C9=0,0,AH239/Schema_v5!$C9)</f>
        <v/>
      </c>
      <c r="AW239">
        <f>IF(Schema_v5!$C10=0,0,AE239/Schema_v5!$C10)</f>
        <v/>
      </c>
      <c r="AX239">
        <f>(W239-Schema_v5!$C11)/(Schema_v5!$C12-Schema_v5!$C11)</f>
        <v/>
      </c>
      <c r="AY239">
        <f>(X239-Schema_v5!$C13)/(Schema_v5!$C14-Schema_v5!$C13)</f>
        <v/>
      </c>
      <c r="AZ239">
        <f>MIN(1,MAX(0,U239/Schema_v7!$C$9))</f>
        <v/>
      </c>
      <c r="BA239">
        <f>IF(AJ239="yes",0.55,0)</f>
        <v/>
      </c>
      <c r="BB239">
        <f>IF(AI239="yes",0.10,0)</f>
        <v/>
      </c>
      <c r="BC239">
        <f>IF(Y239="COMM_Direct",0.92,IF(Y239="COMM_Emotional",0.70,IF(Y239="COMM_Logical",0.65,IF(Y239="COMM_Indirect",0.55,0.35))))</f>
        <v/>
      </c>
      <c r="BD239">
        <f>IF(Z239="REG_CoRegulator",0.92,IF(Z239="REG_SelfSoother",0.76,IF(Z239="REG_Distractor",0.48,0.35)))</f>
        <v/>
      </c>
      <c r="BE239">
        <f>IF(AA239="LANG_Time",0.76,IF(AA239="LANG_Service",0.70,IF(AA239="LANG_Words",0.72,IF(AA239="LANG_Touch",0.68,0.60))))</f>
        <v/>
      </c>
      <c r="BF239">
        <f>MAX(0,MIN(1,0.28*AS239+0.16*AT239+0.18*BC239+0.18*BD239+0.10*(1-AZ239)+0.10*(1-BA239)+BB239))</f>
        <v/>
      </c>
      <c r="BG239">
        <f>MAX(0,MIN(1,0.24*AU239+0.18*AS239+0.18*BC239+0.20*BD239+0.10*(1-AW239)+0.10*(1-BA239)))</f>
        <v/>
      </c>
      <c r="BH239">
        <f>MAX(0,MIN(1,0.28*AR239+0.18*AT239+0.16*AU239+0.18*(1-AV239)+0.10*(1-AW239)+0.10*BF239))</f>
        <v/>
      </c>
      <c r="BI239">
        <f>MAX(0,MIN(1,0.30*AV239+0.20*AZ239+0.20*AW239+0.15*(1-BH239)+0.15*(1-BO239)))</f>
        <v/>
      </c>
      <c r="BJ239">
        <f>MAX(0,1-(ABS(((( AX239+AY239)/2)-0.55)*1.6)))</f>
        <v/>
      </c>
      <c r="BK239">
        <f>MAX(0,MIN(1,0.28*AR239+0.18*AT239+0.16*BJ239+0.14*(1-AV239)+0.12*BQ239+0.12*BO239))</f>
        <v/>
      </c>
      <c r="BL239">
        <f>MAX(0,MIN(1,0.22*AQ239+0.18*AS239+0.18*BC239+0.18*BD239+0.08*BE239+0.10*BF239+0.06*BO239))</f>
        <v/>
      </c>
      <c r="BM239">
        <f>MAX(0,MIN(1,0.20*(1-AZ239)+0.16*(1-BA239)+0.14*(1-AW239)+0.14*AU239+0.18*BG239+0.10*BH239+0.08*BP239))</f>
        <v/>
      </c>
      <c r="BN239">
        <f>MAX(0,MIN(1,0.42*BJ239+0.33*BK239+0.15*AT239+0.10*BQ239))</f>
        <v/>
      </c>
      <c r="BO239">
        <f>MAX(0,MIN(1,0.30*BC239+0.24*BD239+0.18*AS239+0.14*(1-BI239)+0.14*AT239))</f>
        <v/>
      </c>
      <c r="BP239">
        <f>MAX(0,MIN(1,0.26*AS239+0.20*(1-BA239)+0.16*(1-AW239)+0.18*BG239+0.10*AU239+0.10+BB239))</f>
        <v/>
      </c>
      <c r="BQ239">
        <f>MAX(0,MIN(1,0.24*AT239+0.18*BF239+0.14*AR239+0.14*BO239+0.14*(1-AV239)+0.16*(1-AZ239)))</f>
        <v/>
      </c>
      <c r="BR239">
        <f>IF(BO239&gt;=0.80,"Open",IF(BO239&gt;=0.62,"Measured",IF(BO239&gt;=0.45,"Selective","Guarded")))</f>
        <v/>
      </c>
      <c r="BS239">
        <f>IF(Y239="COMM_Direct","Direct",IF(Y239="COMM_Emotional","Emotional",IF(Y239="COMM_Logical","Logical",IF(Y239="COMM_Indirect","Indirect","Avoidant"))))</f>
        <v/>
      </c>
      <c r="BT239">
        <f>IF(BG239&gt;=0.78,"Co-repair",IF(BG239&gt;=0.58,"Re-engage",IF(BG239&gt;=0.40,"Delay","Suppress")))</f>
        <v/>
      </c>
      <c r="BU239">
        <f>IF(BI239&gt;=0.70,"Retreat-risk",IF(BH239&lt;=0.40,"Rush-risk",IF(BH239&gt;=0.65,"Slow-build","Mixed")))</f>
        <v/>
      </c>
      <c r="BV239">
        <f>IF(BL239-BM239&gt;=0.15,"Stimulation-seeking",IF(BM239-BL239&gt;=0.15,"Calm-seeking","Mixed")))</f>
        <v/>
      </c>
      <c r="BW239">
        <f>IF(AND(BL239&gt;=0.72,BM239&lt;0.48),"High",IF(AND(BL239&gt;=0.60,BM239&lt;0.58),"Medium","Low"))</f>
        <v/>
      </c>
    </row>
    <row r="240" ht="81" customHeight="1" s="10">
      <c r="A240" s="2" t="inlineStr">
        <is>
          <t>Q48_D</t>
        </is>
      </c>
      <c r="B240" s="2" t="n">
        <v>48</v>
      </c>
      <c r="C240" s="2" t="n">
        <v>48</v>
      </c>
      <c r="D240" s="2" t="inlineStr">
        <is>
          <t>Core</t>
        </is>
      </c>
      <c r="E240" s="2" t="n">
        <v>1.35</v>
      </c>
      <c r="F240" s="2" t="inlineStr">
        <is>
          <t>EmotionalNeeds</t>
        </is>
      </c>
      <c r="G240" s="2" t="inlineStr">
        <is>
          <t>IntimacyThreshold</t>
        </is>
      </c>
      <c r="H240" s="2" t="n"/>
      <c r="I240" s="2" t="inlineStr">
        <is>
          <t>D</t>
        </is>
      </c>
      <c r="J240" s="2" t="inlineStr">
        <is>
          <t>D</t>
        </is>
      </c>
      <c r="K240" s="2" t="inlineStr">
        <is>
          <t>When they show up too much. I get overwhelmed and start backing up.</t>
        </is>
      </c>
      <c r="L240" s="2" t="n">
        <v>5</v>
      </c>
      <c r="M240" s="2" t="n">
        <v>6</v>
      </c>
      <c r="N240" s="2" t="n">
        <v>4</v>
      </c>
      <c r="O240" s="2" t="n">
        <v>4</v>
      </c>
      <c r="P240" s="2" t="n">
        <v>4</v>
      </c>
      <c r="Q240" s="2" t="inlineStr">
        <is>
          <t>Survivor</t>
        </is>
      </c>
      <c r="R240" s="2" t="n">
        <v>8</v>
      </c>
      <c r="S240" s="2" t="n"/>
      <c r="T240" s="2" t="n"/>
      <c r="U240" s="2" t="n">
        <v>0</v>
      </c>
      <c r="V240" s="2" t="inlineStr">
        <is>
          <t>masc:0.3;fem:1.3</t>
        </is>
      </c>
      <c r="W240" s="2" t="n">
        <v>0.3</v>
      </c>
      <c r="X240" s="2" t="n">
        <v>1.3</v>
      </c>
      <c r="Y240" s="2" t="inlineStr">
        <is>
          <t>COMM_Emotional</t>
        </is>
      </c>
      <c r="Z240" s="2" t="inlineStr">
        <is>
          <t>REG_SelfSoother</t>
        </is>
      </c>
      <c r="AA240" s="2" t="inlineStr">
        <is>
          <t>LANG_Service</t>
        </is>
      </c>
      <c r="AB240" s="2" t="inlineStr">
        <is>
          <t>Vulnerability_Loop</t>
        </is>
      </c>
      <c r="AC240" s="2" t="inlineStr">
        <is>
          <t>Vulnerability_Loop</t>
        </is>
      </c>
      <c r="AD240" s="2" t="n"/>
      <c r="AE240" s="2" t="n">
        <v>5</v>
      </c>
      <c r="AF240" s="2" t="inlineStr">
        <is>
          <t>safety overload reflex</t>
        </is>
      </c>
      <c r="AG240" s="2" t="inlineStr">
        <is>
          <t>slow stepper</t>
        </is>
      </c>
      <c r="AH240" s="2" t="n">
        <v>0</v>
      </c>
      <c r="AI240" s="2" t="inlineStr">
        <is>
          <t>yes</t>
        </is>
      </c>
      <c r="AJ240" s="2" t="inlineStr">
        <is>
          <t>no</t>
        </is>
      </c>
      <c r="AK240" s="2" t="inlineStr">
        <is>
          <t>no</t>
        </is>
      </c>
      <c r="AL240" s="2" t="inlineStr">
        <is>
          <t>no</t>
        </is>
      </c>
      <c r="AM240" s="2" t="n"/>
      <c r="AN240" s="2" t="n"/>
      <c r="AO240" s="2" t="n"/>
      <c r="AP240" s="2" t="inlineStr">
        <is>
          <t>v3_2026-03-19</t>
        </is>
      </c>
      <c r="AQ240">
        <f>(L240-Schema_v5!$C2)/(Schema_v5!$C3-Schema_v5!$C2)</f>
        <v/>
      </c>
      <c r="AR240">
        <f>(M240-Schema_v5!$C4)/(Schema_v5!$C5-Schema_v5!$C4)</f>
        <v/>
      </c>
      <c r="AS240">
        <f>N240/Schema_v5!$C6</f>
        <v/>
      </c>
      <c r="AT240">
        <f>O240/Schema_v5!$C7</f>
        <v/>
      </c>
      <c r="AU240">
        <f>P240/Schema_v5!$C8</f>
        <v/>
      </c>
      <c r="AV240">
        <f>IF(Schema_v5!$C9=0,0,AH240/Schema_v5!$C9)</f>
        <v/>
      </c>
      <c r="AW240">
        <f>IF(Schema_v5!$C10=0,0,AE240/Schema_v5!$C10)</f>
        <v/>
      </c>
      <c r="AX240">
        <f>(W240-Schema_v5!$C11)/(Schema_v5!$C12-Schema_v5!$C11)</f>
        <v/>
      </c>
      <c r="AY240">
        <f>(X240-Schema_v5!$C13)/(Schema_v5!$C14-Schema_v5!$C13)</f>
        <v/>
      </c>
      <c r="AZ240">
        <f>MIN(1,MAX(0,U240/Schema_v7!$C$9))</f>
        <v/>
      </c>
      <c r="BA240">
        <f>IF(AJ240="yes",0.55,0)</f>
        <v/>
      </c>
      <c r="BB240">
        <f>IF(AI240="yes",0.10,0)</f>
        <v/>
      </c>
      <c r="BC240">
        <f>IF(Y240="COMM_Direct",0.92,IF(Y240="COMM_Emotional",0.70,IF(Y240="COMM_Logical",0.65,IF(Y240="COMM_Indirect",0.55,0.35))))</f>
        <v/>
      </c>
      <c r="BD240">
        <f>IF(Z240="REG_CoRegulator",0.92,IF(Z240="REG_SelfSoother",0.76,IF(Z240="REG_Distractor",0.48,0.35)))</f>
        <v/>
      </c>
      <c r="BE240">
        <f>IF(AA240="LANG_Time",0.76,IF(AA240="LANG_Service",0.70,IF(AA240="LANG_Words",0.72,IF(AA240="LANG_Touch",0.68,0.60))))</f>
        <v/>
      </c>
      <c r="BF240">
        <f>MAX(0,MIN(1,0.28*AS240+0.16*AT240+0.18*BC240+0.18*BD240+0.10*(1-AZ240)+0.10*(1-BA240)+BB240))</f>
        <v/>
      </c>
      <c r="BG240">
        <f>MAX(0,MIN(1,0.24*AU240+0.18*AS240+0.18*BC240+0.20*BD240+0.10*(1-AW240)+0.10*(1-BA240)))</f>
        <v/>
      </c>
      <c r="BH240">
        <f>MAX(0,MIN(1,0.28*AR240+0.18*AT240+0.16*AU240+0.18*(1-AV240)+0.10*(1-AW240)+0.10*BF240))</f>
        <v/>
      </c>
      <c r="BI240">
        <f>MAX(0,MIN(1,0.30*AV240+0.20*AZ240+0.20*AW240+0.15*(1-BH240)+0.15*(1-BO240)))</f>
        <v/>
      </c>
      <c r="BJ240">
        <f>MAX(0,1-(ABS(((( AX240+AY240)/2)-0.55)*1.6)))</f>
        <v/>
      </c>
      <c r="BK240">
        <f>MAX(0,MIN(1,0.28*AR240+0.18*AT240+0.16*BJ240+0.14*(1-AV240)+0.12*BQ240+0.12*BO240))</f>
        <v/>
      </c>
      <c r="BL240">
        <f>MAX(0,MIN(1,0.22*AQ240+0.18*AS240+0.18*BC240+0.18*BD240+0.08*BE240+0.10*BF240+0.06*BO240))</f>
        <v/>
      </c>
      <c r="BM240">
        <f>MAX(0,MIN(1,0.20*(1-AZ240)+0.16*(1-BA240)+0.14*(1-AW240)+0.14*AU240+0.18*BG240+0.10*BH240+0.08*BP240))</f>
        <v/>
      </c>
      <c r="BN240">
        <f>MAX(0,MIN(1,0.42*BJ240+0.33*BK240+0.15*AT240+0.10*BQ240))</f>
        <v/>
      </c>
      <c r="BO240">
        <f>MAX(0,MIN(1,0.30*BC240+0.24*BD240+0.18*AS240+0.14*(1-BI240)+0.14*AT240))</f>
        <v/>
      </c>
      <c r="BP240">
        <f>MAX(0,MIN(1,0.26*AS240+0.20*(1-BA240)+0.16*(1-AW240)+0.18*BG240+0.10*AU240+0.10+BB240))</f>
        <v/>
      </c>
      <c r="BQ240">
        <f>MAX(0,MIN(1,0.24*AT240+0.18*BF240+0.14*AR240+0.14*BO240+0.14*(1-AV240)+0.16*(1-AZ240)))</f>
        <v/>
      </c>
      <c r="BR240">
        <f>IF(BO240&gt;=0.80,"Open",IF(BO240&gt;=0.62,"Measured",IF(BO240&gt;=0.45,"Selective","Guarded")))</f>
        <v/>
      </c>
      <c r="BS240">
        <f>IF(Y240="COMM_Direct","Direct",IF(Y240="COMM_Emotional","Emotional",IF(Y240="COMM_Logical","Logical",IF(Y240="COMM_Indirect","Indirect","Avoidant"))))</f>
        <v/>
      </c>
      <c r="BT240">
        <f>IF(BG240&gt;=0.78,"Co-repair",IF(BG240&gt;=0.58,"Re-engage",IF(BG240&gt;=0.40,"Delay","Suppress")))</f>
        <v/>
      </c>
      <c r="BU240">
        <f>IF(BI240&gt;=0.70,"Retreat-risk",IF(BH240&lt;=0.40,"Rush-risk",IF(BH240&gt;=0.65,"Slow-build","Mixed")))</f>
        <v/>
      </c>
      <c r="BV240">
        <f>IF(BL240-BM240&gt;=0.15,"Stimulation-seeking",IF(BM240-BL240&gt;=0.15,"Calm-seeking","Mixed")))</f>
        <v/>
      </c>
      <c r="BW240">
        <f>IF(AND(BL240&gt;=0.72,BM240&lt;0.48),"High",IF(AND(BL240&gt;=0.60,BM240&lt;0.58),"Medium","Low"))</f>
        <v/>
      </c>
    </row>
    <row r="241" ht="81" customHeight="1" s="10">
      <c r="A241" s="2" t="inlineStr">
        <is>
          <t>Q48_E</t>
        </is>
      </c>
      <c r="B241" s="2" t="n">
        <v>48</v>
      </c>
      <c r="C241" s="2" t="n">
        <v>48</v>
      </c>
      <c r="D241" s="2" t="inlineStr">
        <is>
          <t>Core</t>
        </is>
      </c>
      <c r="E241" s="2" t="n">
        <v>1.35</v>
      </c>
      <c r="F241" s="2" t="inlineStr">
        <is>
          <t>EmotionalNeeds</t>
        </is>
      </c>
      <c r="G241" s="2" t="inlineStr">
        <is>
          <t>IntimacyThreshold</t>
        </is>
      </c>
      <c r="H241" s="2" t="n"/>
      <c r="I241" s="2" t="inlineStr">
        <is>
          <t>E</t>
        </is>
      </c>
      <c r="J241" s="2" t="inlineStr">
        <is>
          <t>E</t>
        </is>
      </c>
      <c r="K241" s="2" t="inlineStr">
        <is>
          <t>When I finally exhale-and realize I don't fully trust that peace yet.</t>
        </is>
      </c>
      <c r="L241" s="2" t="n">
        <v>8</v>
      </c>
      <c r="M241" s="2" t="n">
        <v>9</v>
      </c>
      <c r="N241" s="2" t="n">
        <v>6</v>
      </c>
      <c r="O241" s="2" t="n">
        <v>8</v>
      </c>
      <c r="P241" s="2" t="n">
        <v>6</v>
      </c>
      <c r="Q241" s="2" t="inlineStr">
        <is>
          <t>Romantic Idealist</t>
        </is>
      </c>
      <c r="R241" s="2" t="n">
        <v>6</v>
      </c>
      <c r="S241" s="2" t="n"/>
      <c r="T241" s="2" t="n"/>
      <c r="U241" s="2" t="n">
        <v>0</v>
      </c>
      <c r="V241" s="2" t="inlineStr">
        <is>
          <t>masc:-0.4;fem:1.5</t>
        </is>
      </c>
      <c r="W241" s="2" t="n">
        <v>-0.4</v>
      </c>
      <c r="X241" s="2" t="n">
        <v>1.5</v>
      </c>
      <c r="Y241" s="2" t="inlineStr">
        <is>
          <t>COMM_Emotional</t>
        </is>
      </c>
      <c r="Z241" s="2" t="inlineStr">
        <is>
          <t>REG_Distractor</t>
        </is>
      </c>
      <c r="AA241" s="2" t="inlineStr">
        <is>
          <t>LANG_Gifts</t>
        </is>
      </c>
      <c r="AB241" s="2" t="n"/>
      <c r="AC241" s="2" t="n"/>
      <c r="AD241" s="2" t="n"/>
      <c r="AE241" s="2" t="n">
        <v>0</v>
      </c>
      <c r="AF241" s="2" t="inlineStr">
        <is>
          <t>joy with a flinch</t>
        </is>
      </c>
      <c r="AG241" s="2" t="inlineStr">
        <is>
          <t>wary dreamer</t>
        </is>
      </c>
      <c r="AH241" s="2" t="n">
        <v>0</v>
      </c>
      <c r="AI241" s="2" t="inlineStr">
        <is>
          <t>no</t>
        </is>
      </c>
      <c r="AJ241" s="2" t="inlineStr">
        <is>
          <t>no</t>
        </is>
      </c>
      <c r="AK241" s="2" t="inlineStr">
        <is>
          <t>no</t>
        </is>
      </c>
      <c r="AL241" s="2" t="inlineStr">
        <is>
          <t>no</t>
        </is>
      </c>
      <c r="AM241" s="2" t="n"/>
      <c r="AN241" s="2" t="n"/>
      <c r="AO241" s="2" t="n"/>
      <c r="AP241" s="2" t="inlineStr">
        <is>
          <t>v3_2026-03-19</t>
        </is>
      </c>
      <c r="AQ241">
        <f>(L241-Schema_v5!$C2)/(Schema_v5!$C3-Schema_v5!$C2)</f>
        <v/>
      </c>
      <c r="AR241">
        <f>(M241-Schema_v5!$C4)/(Schema_v5!$C5-Schema_v5!$C4)</f>
        <v/>
      </c>
      <c r="AS241">
        <f>N241/Schema_v5!$C6</f>
        <v/>
      </c>
      <c r="AT241">
        <f>O241/Schema_v5!$C7</f>
        <v/>
      </c>
      <c r="AU241">
        <f>P241/Schema_v5!$C8</f>
        <v/>
      </c>
      <c r="AV241">
        <f>IF(Schema_v5!$C9=0,0,AH241/Schema_v5!$C9)</f>
        <v/>
      </c>
      <c r="AW241">
        <f>IF(Schema_v5!$C10=0,0,AE241/Schema_v5!$C10)</f>
        <v/>
      </c>
      <c r="AX241">
        <f>(W241-Schema_v5!$C11)/(Schema_v5!$C12-Schema_v5!$C11)</f>
        <v/>
      </c>
      <c r="AY241">
        <f>(X241-Schema_v5!$C13)/(Schema_v5!$C14-Schema_v5!$C13)</f>
        <v/>
      </c>
      <c r="AZ241">
        <f>MIN(1,MAX(0,U241/Schema_v7!$C$9))</f>
        <v/>
      </c>
      <c r="BA241">
        <f>IF(AJ241="yes",0.55,0)</f>
        <v/>
      </c>
      <c r="BB241">
        <f>IF(AI241="yes",0.10,0)</f>
        <v/>
      </c>
      <c r="BC241">
        <f>IF(Y241="COMM_Direct",0.92,IF(Y241="COMM_Emotional",0.70,IF(Y241="COMM_Logical",0.65,IF(Y241="COMM_Indirect",0.55,0.35))))</f>
        <v/>
      </c>
      <c r="BD241">
        <f>IF(Z241="REG_CoRegulator",0.92,IF(Z241="REG_SelfSoother",0.76,IF(Z241="REG_Distractor",0.48,0.35)))</f>
        <v/>
      </c>
      <c r="BE241">
        <f>IF(AA241="LANG_Time",0.76,IF(AA241="LANG_Service",0.70,IF(AA241="LANG_Words",0.72,IF(AA241="LANG_Touch",0.68,0.60))))</f>
        <v/>
      </c>
      <c r="BF241">
        <f>MAX(0,MIN(1,0.28*AS241+0.16*AT241+0.18*BC241+0.18*BD241+0.10*(1-AZ241)+0.10*(1-BA241)+BB241))</f>
        <v/>
      </c>
      <c r="BG241">
        <f>MAX(0,MIN(1,0.24*AU241+0.18*AS241+0.18*BC241+0.20*BD241+0.10*(1-AW241)+0.10*(1-BA241)))</f>
        <v/>
      </c>
      <c r="BH241">
        <f>MAX(0,MIN(1,0.28*AR241+0.18*AT241+0.16*AU241+0.18*(1-AV241)+0.10*(1-AW241)+0.10*BF241))</f>
        <v/>
      </c>
      <c r="BI241">
        <f>MAX(0,MIN(1,0.30*AV241+0.20*AZ241+0.20*AW241+0.15*(1-BH241)+0.15*(1-BO241)))</f>
        <v/>
      </c>
      <c r="BJ241">
        <f>MAX(0,1-(ABS(((( AX241+AY241)/2)-0.55)*1.6)))</f>
        <v/>
      </c>
      <c r="BK241">
        <f>MAX(0,MIN(1,0.28*AR241+0.18*AT241+0.16*BJ241+0.14*(1-AV241)+0.12*BQ241+0.12*BO241))</f>
        <v/>
      </c>
      <c r="BL241">
        <f>MAX(0,MIN(1,0.22*AQ241+0.18*AS241+0.18*BC241+0.18*BD241+0.08*BE241+0.10*BF241+0.06*BO241))</f>
        <v/>
      </c>
      <c r="BM241">
        <f>MAX(0,MIN(1,0.20*(1-AZ241)+0.16*(1-BA241)+0.14*(1-AW241)+0.14*AU241+0.18*BG241+0.10*BH241+0.08*BP241))</f>
        <v/>
      </c>
      <c r="BN241">
        <f>MAX(0,MIN(1,0.42*BJ241+0.33*BK241+0.15*AT241+0.10*BQ241))</f>
        <v/>
      </c>
      <c r="BO241">
        <f>MAX(0,MIN(1,0.30*BC241+0.24*BD241+0.18*AS241+0.14*(1-BI241)+0.14*AT241))</f>
        <v/>
      </c>
      <c r="BP241">
        <f>MAX(0,MIN(1,0.26*AS241+0.20*(1-BA241)+0.16*(1-AW241)+0.18*BG241+0.10*AU241+0.10+BB241))</f>
        <v/>
      </c>
      <c r="BQ241">
        <f>MAX(0,MIN(1,0.24*AT241+0.18*BF241+0.14*AR241+0.14*BO241+0.14*(1-AV241)+0.16*(1-AZ241)))</f>
        <v/>
      </c>
      <c r="BR241">
        <f>IF(BO241&gt;=0.80,"Open",IF(BO241&gt;=0.62,"Measured",IF(BO241&gt;=0.45,"Selective","Guarded")))</f>
        <v/>
      </c>
      <c r="BS241">
        <f>IF(Y241="COMM_Direct","Direct",IF(Y241="COMM_Emotional","Emotional",IF(Y241="COMM_Logical","Logical",IF(Y241="COMM_Indirect","Indirect","Avoidant"))))</f>
        <v/>
      </c>
      <c r="BT241">
        <f>IF(BG241&gt;=0.78,"Co-repair",IF(BG241&gt;=0.58,"Re-engage",IF(BG241&gt;=0.40,"Delay","Suppress")))</f>
        <v/>
      </c>
      <c r="BU241">
        <f>IF(BI241&gt;=0.70,"Retreat-risk",IF(BH241&lt;=0.40,"Rush-risk",IF(BH241&gt;=0.65,"Slow-build","Mixed")))</f>
        <v/>
      </c>
      <c r="BV241">
        <f>IF(BL241-BM241&gt;=0.15,"Stimulation-seeking",IF(BM241-BL241&gt;=0.15,"Calm-seeking","Mixed")))</f>
        <v/>
      </c>
      <c r="BW241">
        <f>IF(AND(BL241&gt;=0.72,BM241&lt;0.48),"High",IF(AND(BL241&gt;=0.60,BM241&lt;0.58),"Medium","Low"))</f>
        <v/>
      </c>
    </row>
    <row r="242" ht="94.5" customHeight="1" s="10">
      <c r="A242" s="2" t="inlineStr">
        <is>
          <t>Q49_A</t>
        </is>
      </c>
      <c r="B242" s="2" t="n">
        <v>49</v>
      </c>
      <c r="C242" s="2" t="n">
        <v>49</v>
      </c>
      <c r="D242" s="2" t="inlineStr">
        <is>
          <t>Core</t>
        </is>
      </c>
      <c r="E242" s="2" t="n">
        <v>1.4</v>
      </c>
      <c r="F242" s="2" t="inlineStr">
        <is>
          <t>EmotionalNeeds</t>
        </is>
      </c>
      <c r="G242" s="2" t="inlineStr">
        <is>
          <t>IntimacyThreshold</t>
        </is>
      </c>
      <c r="H242" s="2" t="inlineStr">
        <is>
          <t>When love starts to feel familiar... what part of your past does it usually remind you of?</t>
        </is>
      </c>
      <c r="I242" s="2" t="inlineStr">
        <is>
          <t>A</t>
        </is>
      </c>
      <c r="J242" s="2" t="inlineStr">
        <is>
          <t>A</t>
        </is>
      </c>
      <c r="K242" s="2" t="inlineStr">
        <is>
          <t>That feeling of being needed for what I could give, not for who I was.</t>
        </is>
      </c>
      <c r="L242" s="2" t="n">
        <v>5</v>
      </c>
      <c r="M242" s="2" t="n">
        <v>6</v>
      </c>
      <c r="N242" s="2" t="n">
        <v>4</v>
      </c>
      <c r="O242" s="2" t="n">
        <v>4</v>
      </c>
      <c r="P242" s="2" t="n">
        <v>4</v>
      </c>
      <c r="Q242" s="2" t="inlineStr">
        <is>
          <t>Fixer</t>
        </is>
      </c>
      <c r="R242" s="2" t="n">
        <v>5</v>
      </c>
      <c r="S242" s="2" t="n"/>
      <c r="T242" s="2" t="n"/>
      <c r="U242" s="2" t="n">
        <v>0</v>
      </c>
      <c r="V242" s="2" t="inlineStr">
        <is>
          <t>masc:-0.4;fem:2.0</t>
        </is>
      </c>
      <c r="W242" s="2" t="n">
        <v>-0.4</v>
      </c>
      <c r="X242" s="2" t="n">
        <v>2</v>
      </c>
      <c r="Y242" s="2" t="inlineStr">
        <is>
          <t>COMM_Emotional</t>
        </is>
      </c>
      <c r="Z242" s="2" t="inlineStr">
        <is>
          <t>REG_CoRegulator</t>
        </is>
      </c>
      <c r="AA242" s="2" t="inlineStr">
        <is>
          <t>LANG_Service</t>
        </is>
      </c>
      <c r="AB242" s="2" t="inlineStr">
        <is>
          <t>Vulnerability_Loop</t>
        </is>
      </c>
      <c r="AC242" s="2" t="inlineStr">
        <is>
          <t>Vulnerability_Loop</t>
        </is>
      </c>
      <c r="AD242" s="2" t="n"/>
      <c r="AE242" s="2" t="n">
        <v>5</v>
      </c>
      <c r="AF242" s="2" t="inlineStr">
        <is>
          <t>transactional love imprint</t>
        </is>
      </c>
      <c r="AG242" s="2" t="inlineStr">
        <is>
          <t>role-based connector</t>
        </is>
      </c>
      <c r="AH242" s="2" t="n">
        <v>0</v>
      </c>
      <c r="AI242" s="2" t="inlineStr">
        <is>
          <t>yes</t>
        </is>
      </c>
      <c r="AJ242" s="2" t="inlineStr">
        <is>
          <t>no</t>
        </is>
      </c>
      <c r="AK242" s="2" t="inlineStr">
        <is>
          <t>no</t>
        </is>
      </c>
      <c r="AL242" s="2" t="inlineStr">
        <is>
          <t>no</t>
        </is>
      </c>
      <c r="AM242" s="2" t="n"/>
      <c r="AN242" s="2" t="n"/>
      <c r="AO242" s="2" t="n"/>
      <c r="AP242" s="2" t="inlineStr">
        <is>
          <t>v3_2026-03-19</t>
        </is>
      </c>
      <c r="AQ242">
        <f>(L242-Schema_v5!$C2)/(Schema_v5!$C3-Schema_v5!$C2)</f>
        <v/>
      </c>
      <c r="AR242">
        <f>(M242-Schema_v5!$C4)/(Schema_v5!$C5-Schema_v5!$C4)</f>
        <v/>
      </c>
      <c r="AS242">
        <f>N242/Schema_v5!$C6</f>
        <v/>
      </c>
      <c r="AT242">
        <f>O242/Schema_v5!$C7</f>
        <v/>
      </c>
      <c r="AU242">
        <f>P242/Schema_v5!$C8</f>
        <v/>
      </c>
      <c r="AV242">
        <f>IF(Schema_v5!$C9=0,0,AH242/Schema_v5!$C9)</f>
        <v/>
      </c>
      <c r="AW242">
        <f>IF(Schema_v5!$C10=0,0,AE242/Schema_v5!$C10)</f>
        <v/>
      </c>
      <c r="AX242">
        <f>(W242-Schema_v5!$C11)/(Schema_v5!$C12-Schema_v5!$C11)</f>
        <v/>
      </c>
      <c r="AY242">
        <f>(X242-Schema_v5!$C13)/(Schema_v5!$C14-Schema_v5!$C13)</f>
        <v/>
      </c>
      <c r="AZ242">
        <f>MIN(1,MAX(0,U242/Schema_v7!$C$9))</f>
        <v/>
      </c>
      <c r="BA242">
        <f>IF(AJ242="yes",0.55,0)</f>
        <v/>
      </c>
      <c r="BB242">
        <f>IF(AI242="yes",0.10,0)</f>
        <v/>
      </c>
      <c r="BC242">
        <f>IF(Y242="COMM_Direct",0.92,IF(Y242="COMM_Emotional",0.70,IF(Y242="COMM_Logical",0.65,IF(Y242="COMM_Indirect",0.55,0.35))))</f>
        <v/>
      </c>
      <c r="BD242">
        <f>IF(Z242="REG_CoRegulator",0.92,IF(Z242="REG_SelfSoother",0.76,IF(Z242="REG_Distractor",0.48,0.35)))</f>
        <v/>
      </c>
      <c r="BE242">
        <f>IF(AA242="LANG_Time",0.76,IF(AA242="LANG_Service",0.70,IF(AA242="LANG_Words",0.72,IF(AA242="LANG_Touch",0.68,0.60))))</f>
        <v/>
      </c>
      <c r="BF242">
        <f>MAX(0,MIN(1,0.28*AS242+0.16*AT242+0.18*BC242+0.18*BD242+0.10*(1-AZ242)+0.10*(1-BA242)+BB242))</f>
        <v/>
      </c>
      <c r="BG242">
        <f>MAX(0,MIN(1,0.24*AU242+0.18*AS242+0.18*BC242+0.20*BD242+0.10*(1-AW242)+0.10*(1-BA242)))</f>
        <v/>
      </c>
      <c r="BH242">
        <f>MAX(0,MIN(1,0.28*AR242+0.18*AT242+0.16*AU242+0.18*(1-AV242)+0.10*(1-AW242)+0.10*BF242))</f>
        <v/>
      </c>
      <c r="BI242">
        <f>MAX(0,MIN(1,0.30*AV242+0.20*AZ242+0.20*AW242+0.15*(1-BH242)+0.15*(1-BO242)))</f>
        <v/>
      </c>
      <c r="BJ242">
        <f>MAX(0,1-(ABS(((( AX242+AY242)/2)-0.55)*1.6)))</f>
        <v/>
      </c>
      <c r="BK242">
        <f>MAX(0,MIN(1,0.28*AR242+0.18*AT242+0.16*BJ242+0.14*(1-AV242)+0.12*BQ242+0.12*BO242))</f>
        <v/>
      </c>
      <c r="BL242">
        <f>MAX(0,MIN(1,0.22*AQ242+0.18*AS242+0.18*BC242+0.18*BD242+0.08*BE242+0.10*BF242+0.06*BO242))</f>
        <v/>
      </c>
      <c r="BM242">
        <f>MAX(0,MIN(1,0.20*(1-AZ242)+0.16*(1-BA242)+0.14*(1-AW242)+0.14*AU242+0.18*BG242+0.10*BH242+0.08*BP242))</f>
        <v/>
      </c>
      <c r="BN242">
        <f>MAX(0,MIN(1,0.42*BJ242+0.33*BK242+0.15*AT242+0.10*BQ242))</f>
        <v/>
      </c>
      <c r="BO242">
        <f>MAX(0,MIN(1,0.30*BC242+0.24*BD242+0.18*AS242+0.14*(1-BI242)+0.14*AT242))</f>
        <v/>
      </c>
      <c r="BP242">
        <f>MAX(0,MIN(1,0.26*AS242+0.20*(1-BA242)+0.16*(1-AW242)+0.18*BG242+0.10*AU242+0.10+BB242))</f>
        <v/>
      </c>
      <c r="BQ242">
        <f>MAX(0,MIN(1,0.24*AT242+0.18*BF242+0.14*AR242+0.14*BO242+0.14*(1-AV242)+0.16*(1-AZ242)))</f>
        <v/>
      </c>
      <c r="BR242">
        <f>IF(BO242&gt;=0.80,"Open",IF(BO242&gt;=0.62,"Measured",IF(BO242&gt;=0.45,"Selective","Guarded")))</f>
        <v/>
      </c>
      <c r="BS242">
        <f>IF(Y242="COMM_Direct","Direct",IF(Y242="COMM_Emotional","Emotional",IF(Y242="COMM_Logical","Logical",IF(Y242="COMM_Indirect","Indirect","Avoidant"))))</f>
        <v/>
      </c>
      <c r="BT242">
        <f>IF(BG242&gt;=0.78,"Co-repair",IF(BG242&gt;=0.58,"Re-engage",IF(BG242&gt;=0.40,"Delay","Suppress")))</f>
        <v/>
      </c>
      <c r="BU242">
        <f>IF(BI242&gt;=0.70,"Retreat-risk",IF(BH242&lt;=0.40,"Rush-risk",IF(BH242&gt;=0.65,"Slow-build","Mixed")))</f>
        <v/>
      </c>
      <c r="BV242">
        <f>IF(BL242-BM242&gt;=0.15,"Stimulation-seeking",IF(BM242-BL242&gt;=0.15,"Calm-seeking","Mixed")))</f>
        <v/>
      </c>
      <c r="BW242">
        <f>IF(AND(BL242&gt;=0.72,BM242&lt;0.48),"High",IF(AND(BL242&gt;=0.60,BM242&lt;0.58),"Medium","Low"))</f>
        <v/>
      </c>
    </row>
    <row r="243" ht="81" customHeight="1" s="10">
      <c r="A243" s="2" t="inlineStr">
        <is>
          <t>Q49_B</t>
        </is>
      </c>
      <c r="B243" s="2" t="n">
        <v>49</v>
      </c>
      <c r="C243" s="2" t="n">
        <v>49</v>
      </c>
      <c r="D243" s="2" t="inlineStr">
        <is>
          <t>Core</t>
        </is>
      </c>
      <c r="E243" s="2" t="n">
        <v>1.4</v>
      </c>
      <c r="F243" s="2" t="inlineStr">
        <is>
          <t>EmotionalNeeds</t>
        </is>
      </c>
      <c r="G243" s="2" t="inlineStr">
        <is>
          <t>IntimacyThreshold</t>
        </is>
      </c>
      <c r="H243" s="2" t="n"/>
      <c r="I243" s="2" t="inlineStr">
        <is>
          <t>B</t>
        </is>
      </c>
      <c r="J243" s="2" t="inlineStr">
        <is>
          <t>B</t>
        </is>
      </c>
      <c r="K243" s="2" t="inlineStr">
        <is>
          <t>The fear that if I say how I really feel, they'll leave-or worse, stay but pull away.</t>
        </is>
      </c>
      <c r="L243" s="2" t="n">
        <v>4</v>
      </c>
      <c r="M243" s="2" t="n">
        <v>5</v>
      </c>
      <c r="N243" s="2" t="n">
        <v>2</v>
      </c>
      <c r="O243" s="2" t="n">
        <v>2</v>
      </c>
      <c r="P243" s="2" t="n">
        <v>0</v>
      </c>
      <c r="Q243" s="2" t="inlineStr">
        <is>
          <t>Phantom Seeker</t>
        </is>
      </c>
      <c r="R243" s="2" t="n">
        <v>10</v>
      </c>
      <c r="S243" s="2" t="n"/>
      <c r="T243" s="2" t="n"/>
      <c r="U243" s="2" t="n">
        <v>0</v>
      </c>
      <c r="V243" s="2" t="inlineStr">
        <is>
          <t>masc:-0.2;fem:1.5</t>
        </is>
      </c>
      <c r="W243" s="2" t="n">
        <v>-0.2</v>
      </c>
      <c r="X243" s="2" t="n">
        <v>1.5</v>
      </c>
      <c r="Y243" s="2" t="inlineStr">
        <is>
          <t>COMM_Emotional</t>
        </is>
      </c>
      <c r="Z243" s="2" t="inlineStr">
        <is>
          <t>REG_SelfSoother</t>
        </is>
      </c>
      <c r="AA243" s="2" t="inlineStr">
        <is>
          <t>LANG_Touch</t>
        </is>
      </c>
      <c r="AB243" s="2" t="inlineStr">
        <is>
          <t>Vulnerability_Loop</t>
        </is>
      </c>
      <c r="AC243" s="2" t="inlineStr">
        <is>
          <t>Vulnerability_Loop</t>
        </is>
      </c>
      <c r="AD243" s="2" t="n"/>
      <c r="AE243" s="2" t="n">
        <v>5</v>
      </c>
      <c r="AF243" s="2" t="inlineStr">
        <is>
          <t>emotional abandonment echo</t>
        </is>
      </c>
      <c r="AG243" s="2" t="inlineStr">
        <is>
          <t>closeness doubter</t>
        </is>
      </c>
      <c r="AH243" s="2" t="n">
        <v>0</v>
      </c>
      <c r="AI243" s="2" t="inlineStr">
        <is>
          <t>yes</t>
        </is>
      </c>
      <c r="AJ243" s="2" t="inlineStr">
        <is>
          <t>no</t>
        </is>
      </c>
      <c r="AK243" s="2" t="inlineStr">
        <is>
          <t>no</t>
        </is>
      </c>
      <c r="AL243" s="2" t="inlineStr">
        <is>
          <t>no</t>
        </is>
      </c>
      <c r="AM243" s="2" t="n"/>
      <c r="AN243" s="2" t="n"/>
      <c r="AO243" s="2" t="n"/>
      <c r="AP243" s="2" t="inlineStr">
        <is>
          <t>v3_2026-03-19</t>
        </is>
      </c>
      <c r="AQ243">
        <f>(L243-Schema_v5!$C2)/(Schema_v5!$C3-Schema_v5!$C2)</f>
        <v/>
      </c>
      <c r="AR243">
        <f>(M243-Schema_v5!$C4)/(Schema_v5!$C5-Schema_v5!$C4)</f>
        <v/>
      </c>
      <c r="AS243">
        <f>N243/Schema_v5!$C6</f>
        <v/>
      </c>
      <c r="AT243">
        <f>O243/Schema_v5!$C7</f>
        <v/>
      </c>
      <c r="AU243">
        <f>P243/Schema_v5!$C8</f>
        <v/>
      </c>
      <c r="AV243">
        <f>IF(Schema_v5!$C9=0,0,AH243/Schema_v5!$C9)</f>
        <v/>
      </c>
      <c r="AW243">
        <f>IF(Schema_v5!$C10=0,0,AE243/Schema_v5!$C10)</f>
        <v/>
      </c>
      <c r="AX243">
        <f>(W243-Schema_v5!$C11)/(Schema_v5!$C12-Schema_v5!$C11)</f>
        <v/>
      </c>
      <c r="AY243">
        <f>(X243-Schema_v5!$C13)/(Schema_v5!$C14-Schema_v5!$C13)</f>
        <v/>
      </c>
      <c r="AZ243">
        <f>MIN(1,MAX(0,U243/Schema_v7!$C$9))</f>
        <v/>
      </c>
      <c r="BA243">
        <f>IF(AJ243="yes",0.55,0)</f>
        <v/>
      </c>
      <c r="BB243">
        <f>IF(AI243="yes",0.10,0)</f>
        <v/>
      </c>
      <c r="BC243">
        <f>IF(Y243="COMM_Direct",0.92,IF(Y243="COMM_Emotional",0.70,IF(Y243="COMM_Logical",0.65,IF(Y243="COMM_Indirect",0.55,0.35))))</f>
        <v/>
      </c>
      <c r="BD243">
        <f>IF(Z243="REG_CoRegulator",0.92,IF(Z243="REG_SelfSoother",0.76,IF(Z243="REG_Distractor",0.48,0.35)))</f>
        <v/>
      </c>
      <c r="BE243">
        <f>IF(AA243="LANG_Time",0.76,IF(AA243="LANG_Service",0.70,IF(AA243="LANG_Words",0.72,IF(AA243="LANG_Touch",0.68,0.60))))</f>
        <v/>
      </c>
      <c r="BF243">
        <f>MAX(0,MIN(1,0.28*AS243+0.16*AT243+0.18*BC243+0.18*BD243+0.10*(1-AZ243)+0.10*(1-BA243)+BB243))</f>
        <v/>
      </c>
      <c r="BG243">
        <f>MAX(0,MIN(1,0.24*AU243+0.18*AS243+0.18*BC243+0.20*BD243+0.10*(1-AW243)+0.10*(1-BA243)))</f>
        <v/>
      </c>
      <c r="BH243">
        <f>MAX(0,MIN(1,0.28*AR243+0.18*AT243+0.16*AU243+0.18*(1-AV243)+0.10*(1-AW243)+0.10*BF243))</f>
        <v/>
      </c>
      <c r="BI243">
        <f>MAX(0,MIN(1,0.30*AV243+0.20*AZ243+0.20*AW243+0.15*(1-BH243)+0.15*(1-BO243)))</f>
        <v/>
      </c>
      <c r="BJ243">
        <f>MAX(0,1-(ABS(((( AX243+AY243)/2)-0.55)*1.6)))</f>
        <v/>
      </c>
      <c r="BK243">
        <f>MAX(0,MIN(1,0.28*AR243+0.18*AT243+0.16*BJ243+0.14*(1-AV243)+0.12*BQ243+0.12*BO243))</f>
        <v/>
      </c>
      <c r="BL243">
        <f>MAX(0,MIN(1,0.22*AQ243+0.18*AS243+0.18*BC243+0.18*BD243+0.08*BE243+0.10*BF243+0.06*BO243))</f>
        <v/>
      </c>
      <c r="BM243">
        <f>MAX(0,MIN(1,0.20*(1-AZ243)+0.16*(1-BA243)+0.14*(1-AW243)+0.14*AU243+0.18*BG243+0.10*BH243+0.08*BP243))</f>
        <v/>
      </c>
      <c r="BN243">
        <f>MAX(0,MIN(1,0.42*BJ243+0.33*BK243+0.15*AT243+0.10*BQ243))</f>
        <v/>
      </c>
      <c r="BO243">
        <f>MAX(0,MIN(1,0.30*BC243+0.24*BD243+0.18*AS243+0.14*(1-BI243)+0.14*AT243))</f>
        <v/>
      </c>
      <c r="BP243">
        <f>MAX(0,MIN(1,0.26*AS243+0.20*(1-BA243)+0.16*(1-AW243)+0.18*BG243+0.10*AU243+0.10+BB243))</f>
        <v/>
      </c>
      <c r="BQ243">
        <f>MAX(0,MIN(1,0.24*AT243+0.18*BF243+0.14*AR243+0.14*BO243+0.14*(1-AV243)+0.16*(1-AZ243)))</f>
        <v/>
      </c>
      <c r="BR243">
        <f>IF(BO243&gt;=0.80,"Open",IF(BO243&gt;=0.62,"Measured",IF(BO243&gt;=0.45,"Selective","Guarded")))</f>
        <v/>
      </c>
      <c r="BS243">
        <f>IF(Y243="COMM_Direct","Direct",IF(Y243="COMM_Emotional","Emotional",IF(Y243="COMM_Logical","Logical",IF(Y243="COMM_Indirect","Indirect","Avoidant"))))</f>
        <v/>
      </c>
      <c r="BT243">
        <f>IF(BG243&gt;=0.78,"Co-repair",IF(BG243&gt;=0.58,"Re-engage",IF(BG243&gt;=0.40,"Delay","Suppress")))</f>
        <v/>
      </c>
      <c r="BU243">
        <f>IF(BI243&gt;=0.70,"Retreat-risk",IF(BH243&lt;=0.40,"Rush-risk",IF(BH243&gt;=0.65,"Slow-build","Mixed")))</f>
        <v/>
      </c>
      <c r="BV243">
        <f>IF(BL243-BM243&gt;=0.15,"Stimulation-seeking",IF(BM243-BL243&gt;=0.15,"Calm-seeking","Mixed")))</f>
        <v/>
      </c>
      <c r="BW243">
        <f>IF(AND(BL243&gt;=0.72,BM243&lt;0.48),"High",IF(AND(BL243&gt;=0.60,BM243&lt;0.58),"Medium","Low"))</f>
        <v/>
      </c>
    </row>
    <row r="244" ht="81" customHeight="1" s="10">
      <c r="A244" s="2" t="inlineStr">
        <is>
          <t>Q49_C</t>
        </is>
      </c>
      <c r="B244" s="2" t="n">
        <v>49</v>
      </c>
      <c r="C244" s="2" t="n">
        <v>49</v>
      </c>
      <c r="D244" s="2" t="inlineStr">
        <is>
          <t>Core</t>
        </is>
      </c>
      <c r="E244" s="2" t="n">
        <v>1.4</v>
      </c>
      <c r="F244" s="2" t="inlineStr">
        <is>
          <t>EmotionalNeeds</t>
        </is>
      </c>
      <c r="G244" s="2" t="inlineStr">
        <is>
          <t>IntimacyThreshold</t>
        </is>
      </c>
      <c r="H244" s="2" t="n"/>
      <c r="I244" s="2" t="inlineStr">
        <is>
          <t>C</t>
        </is>
      </c>
      <c r="J244" s="2" t="inlineStr">
        <is>
          <t>C</t>
        </is>
      </c>
      <c r="K244" s="2" t="inlineStr">
        <is>
          <t>Those moments where I felt like the adult in the room, even as a kid.</t>
        </is>
      </c>
      <c r="L244" s="2" t="n">
        <v>7</v>
      </c>
      <c r="M244" s="2" t="n">
        <v>8</v>
      </c>
      <c r="N244" s="2" t="n">
        <v>6</v>
      </c>
      <c r="O244" s="2" t="n">
        <v>8</v>
      </c>
      <c r="P244" s="2" t="n">
        <v>6</v>
      </c>
      <c r="Q244" s="2" t="inlineStr">
        <is>
          <t>Analyzer</t>
        </is>
      </c>
      <c r="R244" s="2" t="n">
        <v>2</v>
      </c>
      <c r="S244" s="2" t="n"/>
      <c r="T244" s="2" t="n"/>
      <c r="U244" s="2" t="n">
        <v>0</v>
      </c>
      <c r="V244" s="2" t="inlineStr">
        <is>
          <t>masc:1.4;fem:0.1</t>
        </is>
      </c>
      <c r="W244" s="2" t="n">
        <v>1.4</v>
      </c>
      <c r="X244" s="2" t="n">
        <v>0.1</v>
      </c>
      <c r="Y244" s="2" t="inlineStr">
        <is>
          <t>COMM_Logical</t>
        </is>
      </c>
      <c r="Z244" s="2" t="inlineStr">
        <is>
          <t>REG_SelfSoother</t>
        </is>
      </c>
      <c r="AA244" s="2" t="inlineStr">
        <is>
          <t>LANG_Service</t>
        </is>
      </c>
      <c r="AB244" s="2" t="n"/>
      <c r="AC244" s="2" t="n"/>
      <c r="AD244" s="2" t="n"/>
      <c r="AE244" s="2" t="n">
        <v>0</v>
      </c>
      <c r="AF244" s="2" t="inlineStr">
        <is>
          <t>early emotional burden</t>
        </is>
      </c>
      <c r="AG244" s="2" t="inlineStr">
        <is>
          <t>responsibility carrier</t>
        </is>
      </c>
      <c r="AH244" s="2" t="n">
        <v>0</v>
      </c>
      <c r="AI244" s="2" t="inlineStr">
        <is>
          <t>no</t>
        </is>
      </c>
      <c r="AJ244" s="2" t="inlineStr">
        <is>
          <t>no</t>
        </is>
      </c>
      <c r="AK244" s="2" t="inlineStr">
        <is>
          <t>no</t>
        </is>
      </c>
      <c r="AL244" s="2" t="inlineStr">
        <is>
          <t>no</t>
        </is>
      </c>
      <c r="AM244" s="2" t="n"/>
      <c r="AN244" s="2" t="n"/>
      <c r="AO244" s="2" t="n"/>
      <c r="AP244" s="2" t="inlineStr">
        <is>
          <t>v3_2026-03-19</t>
        </is>
      </c>
      <c r="AQ244">
        <f>(L244-Schema_v5!$C2)/(Schema_v5!$C3-Schema_v5!$C2)</f>
        <v/>
      </c>
      <c r="AR244">
        <f>(M244-Schema_v5!$C4)/(Schema_v5!$C5-Schema_v5!$C4)</f>
        <v/>
      </c>
      <c r="AS244">
        <f>N244/Schema_v5!$C6</f>
        <v/>
      </c>
      <c r="AT244">
        <f>O244/Schema_v5!$C7</f>
        <v/>
      </c>
      <c r="AU244">
        <f>P244/Schema_v5!$C8</f>
        <v/>
      </c>
      <c r="AV244">
        <f>IF(Schema_v5!$C9=0,0,AH244/Schema_v5!$C9)</f>
        <v/>
      </c>
      <c r="AW244">
        <f>IF(Schema_v5!$C10=0,0,AE244/Schema_v5!$C10)</f>
        <v/>
      </c>
      <c r="AX244">
        <f>(W244-Schema_v5!$C11)/(Schema_v5!$C12-Schema_v5!$C11)</f>
        <v/>
      </c>
      <c r="AY244">
        <f>(X244-Schema_v5!$C13)/(Schema_v5!$C14-Schema_v5!$C13)</f>
        <v/>
      </c>
      <c r="AZ244">
        <f>MIN(1,MAX(0,U244/Schema_v7!$C$9))</f>
        <v/>
      </c>
      <c r="BA244">
        <f>IF(AJ244="yes",0.55,0)</f>
        <v/>
      </c>
      <c r="BB244">
        <f>IF(AI244="yes",0.10,0)</f>
        <v/>
      </c>
      <c r="BC244">
        <f>IF(Y244="COMM_Direct",0.92,IF(Y244="COMM_Emotional",0.70,IF(Y244="COMM_Logical",0.65,IF(Y244="COMM_Indirect",0.55,0.35))))</f>
        <v/>
      </c>
      <c r="BD244">
        <f>IF(Z244="REG_CoRegulator",0.92,IF(Z244="REG_SelfSoother",0.76,IF(Z244="REG_Distractor",0.48,0.35)))</f>
        <v/>
      </c>
      <c r="BE244">
        <f>IF(AA244="LANG_Time",0.76,IF(AA244="LANG_Service",0.70,IF(AA244="LANG_Words",0.72,IF(AA244="LANG_Touch",0.68,0.60))))</f>
        <v/>
      </c>
      <c r="BF244">
        <f>MAX(0,MIN(1,0.28*AS244+0.16*AT244+0.18*BC244+0.18*BD244+0.10*(1-AZ244)+0.10*(1-BA244)+BB244))</f>
        <v/>
      </c>
      <c r="BG244">
        <f>MAX(0,MIN(1,0.24*AU244+0.18*AS244+0.18*BC244+0.20*BD244+0.10*(1-AW244)+0.10*(1-BA244)))</f>
        <v/>
      </c>
      <c r="BH244">
        <f>MAX(0,MIN(1,0.28*AR244+0.18*AT244+0.16*AU244+0.18*(1-AV244)+0.10*(1-AW244)+0.10*BF244))</f>
        <v/>
      </c>
      <c r="BI244">
        <f>MAX(0,MIN(1,0.30*AV244+0.20*AZ244+0.20*AW244+0.15*(1-BH244)+0.15*(1-BO244)))</f>
        <v/>
      </c>
      <c r="BJ244">
        <f>MAX(0,1-(ABS(((( AX244+AY244)/2)-0.55)*1.6)))</f>
        <v/>
      </c>
      <c r="BK244">
        <f>MAX(0,MIN(1,0.28*AR244+0.18*AT244+0.16*BJ244+0.14*(1-AV244)+0.12*BQ244+0.12*BO244))</f>
        <v/>
      </c>
      <c r="BL244">
        <f>MAX(0,MIN(1,0.22*AQ244+0.18*AS244+0.18*BC244+0.18*BD244+0.08*BE244+0.10*BF244+0.06*BO244))</f>
        <v/>
      </c>
      <c r="BM244">
        <f>MAX(0,MIN(1,0.20*(1-AZ244)+0.16*(1-BA244)+0.14*(1-AW244)+0.14*AU244+0.18*BG244+0.10*BH244+0.08*BP244))</f>
        <v/>
      </c>
      <c r="BN244">
        <f>MAX(0,MIN(1,0.42*BJ244+0.33*BK244+0.15*AT244+0.10*BQ244))</f>
        <v/>
      </c>
      <c r="BO244">
        <f>MAX(0,MIN(1,0.30*BC244+0.24*BD244+0.18*AS244+0.14*(1-BI244)+0.14*AT244))</f>
        <v/>
      </c>
      <c r="BP244">
        <f>MAX(0,MIN(1,0.26*AS244+0.20*(1-BA244)+0.16*(1-AW244)+0.18*BG244+0.10*AU244+0.10+BB244))</f>
        <v/>
      </c>
      <c r="BQ244">
        <f>MAX(0,MIN(1,0.24*AT244+0.18*BF244+0.14*AR244+0.14*BO244+0.14*(1-AV244)+0.16*(1-AZ244)))</f>
        <v/>
      </c>
      <c r="BR244">
        <f>IF(BO244&gt;=0.80,"Open",IF(BO244&gt;=0.62,"Measured",IF(BO244&gt;=0.45,"Selective","Guarded")))</f>
        <v/>
      </c>
      <c r="BS244">
        <f>IF(Y244="COMM_Direct","Direct",IF(Y244="COMM_Emotional","Emotional",IF(Y244="COMM_Logical","Logical",IF(Y244="COMM_Indirect","Indirect","Avoidant"))))</f>
        <v/>
      </c>
      <c r="BT244">
        <f>IF(BG244&gt;=0.78,"Co-repair",IF(BG244&gt;=0.58,"Re-engage",IF(BG244&gt;=0.40,"Delay","Suppress")))</f>
        <v/>
      </c>
      <c r="BU244">
        <f>IF(BI244&gt;=0.70,"Retreat-risk",IF(BH244&lt;=0.40,"Rush-risk",IF(BH244&gt;=0.65,"Slow-build","Mixed")))</f>
        <v/>
      </c>
      <c r="BV244">
        <f>IF(BL244-BM244&gt;=0.15,"Stimulation-seeking",IF(BM244-BL244&gt;=0.15,"Calm-seeking","Mixed")))</f>
        <v/>
      </c>
      <c r="BW244">
        <f>IF(AND(BL244&gt;=0.72,BM244&lt;0.48),"High",IF(AND(BL244&gt;=0.60,BM244&lt;0.58),"Medium","Low"))</f>
        <v/>
      </c>
    </row>
    <row r="245" ht="81" customHeight="1" s="10">
      <c r="A245" s="2" t="inlineStr">
        <is>
          <t>Q49_D</t>
        </is>
      </c>
      <c r="B245" s="2" t="n">
        <v>49</v>
      </c>
      <c r="C245" s="2" t="n">
        <v>49</v>
      </c>
      <c r="D245" s="2" t="inlineStr">
        <is>
          <t>Core</t>
        </is>
      </c>
      <c r="E245" s="2" t="n">
        <v>1.4</v>
      </c>
      <c r="F245" s="2" t="inlineStr">
        <is>
          <t>EmotionalNeeds</t>
        </is>
      </c>
      <c r="G245" s="2" t="inlineStr">
        <is>
          <t>IntimacyThreshold</t>
        </is>
      </c>
      <c r="H245" s="2" t="n"/>
      <c r="I245" s="2" t="inlineStr">
        <is>
          <t>D</t>
        </is>
      </c>
      <c r="J245" s="2" t="inlineStr">
        <is>
          <t>D</t>
        </is>
      </c>
      <c r="K245" s="2" t="inlineStr">
        <is>
          <t>The peace of being invisible. No demands, no chaos, just quiet.</t>
        </is>
      </c>
      <c r="L245" s="2" t="n">
        <v>8</v>
      </c>
      <c r="M245" s="2" t="n">
        <v>9</v>
      </c>
      <c r="N245" s="2" t="n">
        <v>4</v>
      </c>
      <c r="O245" s="2" t="n">
        <v>6</v>
      </c>
      <c r="P245" s="2" t="n">
        <v>2</v>
      </c>
      <c r="Q245" s="2" t="inlineStr">
        <is>
          <t>Icebox</t>
        </is>
      </c>
      <c r="R245" s="2" t="n">
        <v>1</v>
      </c>
      <c r="S245" s="2" t="n"/>
      <c r="T245" s="2" t="n"/>
      <c r="U245" s="2" t="n">
        <v>0</v>
      </c>
      <c r="V245" s="2" t="inlineStr">
        <is>
          <t>masc:1.8;fem:-1.6</t>
        </is>
      </c>
      <c r="W245" s="2" t="n">
        <v>1.8</v>
      </c>
      <c r="X245" s="2" t="n">
        <v>-1.6</v>
      </c>
      <c r="Y245" s="2" t="inlineStr">
        <is>
          <t>COMM_Avoidant</t>
        </is>
      </c>
      <c r="Z245" s="2" t="inlineStr">
        <is>
          <t>REG_Suppressor</t>
        </is>
      </c>
      <c r="AA245" s="2" t="inlineStr">
        <is>
          <t>LANG_Time</t>
        </is>
      </c>
      <c r="AB245" s="2" t="n"/>
      <c r="AC245" s="2" t="n"/>
      <c r="AD245" s="2" t="n"/>
      <c r="AE245" s="2" t="n">
        <v>0</v>
      </c>
      <c r="AF245" s="2" t="inlineStr">
        <is>
          <t>safety through distance</t>
        </is>
      </c>
      <c r="AG245" s="2" t="inlineStr">
        <is>
          <t>presence minimizer</t>
        </is>
      </c>
      <c r="AH245" s="2" t="n">
        <v>0</v>
      </c>
      <c r="AI245" s="2" t="inlineStr">
        <is>
          <t>no</t>
        </is>
      </c>
      <c r="AJ245" s="2" t="inlineStr">
        <is>
          <t>no</t>
        </is>
      </c>
      <c r="AK245" s="2" t="inlineStr">
        <is>
          <t>no</t>
        </is>
      </c>
      <c r="AL245" s="2" t="inlineStr">
        <is>
          <t>no</t>
        </is>
      </c>
      <c r="AM245" s="2" t="n"/>
      <c r="AN245" s="2" t="n"/>
      <c r="AO245" s="2" t="n"/>
      <c r="AP245" s="2" t="inlineStr">
        <is>
          <t>v3_2026-03-19</t>
        </is>
      </c>
      <c r="AQ245">
        <f>(L245-Schema_v5!$C2)/(Schema_v5!$C3-Schema_v5!$C2)</f>
        <v/>
      </c>
      <c r="AR245">
        <f>(M245-Schema_v5!$C4)/(Schema_v5!$C5-Schema_v5!$C4)</f>
        <v/>
      </c>
      <c r="AS245">
        <f>N245/Schema_v5!$C6</f>
        <v/>
      </c>
      <c r="AT245">
        <f>O245/Schema_v5!$C7</f>
        <v/>
      </c>
      <c r="AU245">
        <f>P245/Schema_v5!$C8</f>
        <v/>
      </c>
      <c r="AV245">
        <f>IF(Schema_v5!$C9=0,0,AH245/Schema_v5!$C9)</f>
        <v/>
      </c>
      <c r="AW245">
        <f>IF(Schema_v5!$C10=0,0,AE245/Schema_v5!$C10)</f>
        <v/>
      </c>
      <c r="AX245">
        <f>(W245-Schema_v5!$C11)/(Schema_v5!$C12-Schema_v5!$C11)</f>
        <v/>
      </c>
      <c r="AY245">
        <f>(X245-Schema_v5!$C13)/(Schema_v5!$C14-Schema_v5!$C13)</f>
        <v/>
      </c>
      <c r="AZ245">
        <f>MIN(1,MAX(0,U245/Schema_v7!$C$9))</f>
        <v/>
      </c>
      <c r="BA245">
        <f>IF(AJ245="yes",0.55,0)</f>
        <v/>
      </c>
      <c r="BB245">
        <f>IF(AI245="yes",0.10,0)</f>
        <v/>
      </c>
      <c r="BC245">
        <f>IF(Y245="COMM_Direct",0.92,IF(Y245="COMM_Emotional",0.70,IF(Y245="COMM_Logical",0.65,IF(Y245="COMM_Indirect",0.55,0.35))))</f>
        <v/>
      </c>
      <c r="BD245">
        <f>IF(Z245="REG_CoRegulator",0.92,IF(Z245="REG_SelfSoother",0.76,IF(Z245="REG_Distractor",0.48,0.35)))</f>
        <v/>
      </c>
      <c r="BE245">
        <f>IF(AA245="LANG_Time",0.76,IF(AA245="LANG_Service",0.70,IF(AA245="LANG_Words",0.72,IF(AA245="LANG_Touch",0.68,0.60))))</f>
        <v/>
      </c>
      <c r="BF245">
        <f>MAX(0,MIN(1,0.28*AS245+0.16*AT245+0.18*BC245+0.18*BD245+0.10*(1-AZ245)+0.10*(1-BA245)+BB245))</f>
        <v/>
      </c>
      <c r="BG245">
        <f>MAX(0,MIN(1,0.24*AU245+0.18*AS245+0.18*BC245+0.20*BD245+0.10*(1-AW245)+0.10*(1-BA245)))</f>
        <v/>
      </c>
      <c r="BH245">
        <f>MAX(0,MIN(1,0.28*AR245+0.18*AT245+0.16*AU245+0.18*(1-AV245)+0.10*(1-AW245)+0.10*BF245))</f>
        <v/>
      </c>
      <c r="BI245">
        <f>MAX(0,MIN(1,0.30*AV245+0.20*AZ245+0.20*AW245+0.15*(1-BH245)+0.15*(1-BO245)))</f>
        <v/>
      </c>
      <c r="BJ245">
        <f>MAX(0,1-(ABS(((( AX245+AY245)/2)-0.55)*1.6)))</f>
        <v/>
      </c>
      <c r="BK245">
        <f>MAX(0,MIN(1,0.28*AR245+0.18*AT245+0.16*BJ245+0.14*(1-AV245)+0.12*BQ245+0.12*BO245))</f>
        <v/>
      </c>
      <c r="BL245">
        <f>MAX(0,MIN(1,0.22*AQ245+0.18*AS245+0.18*BC245+0.18*BD245+0.08*BE245+0.10*BF245+0.06*BO245))</f>
        <v/>
      </c>
      <c r="BM245">
        <f>MAX(0,MIN(1,0.20*(1-AZ245)+0.16*(1-BA245)+0.14*(1-AW245)+0.14*AU245+0.18*BG245+0.10*BH245+0.08*BP245))</f>
        <v/>
      </c>
      <c r="BN245">
        <f>MAX(0,MIN(1,0.42*BJ245+0.33*BK245+0.15*AT245+0.10*BQ245))</f>
        <v/>
      </c>
      <c r="BO245">
        <f>MAX(0,MIN(1,0.30*BC245+0.24*BD245+0.18*AS245+0.14*(1-BI245)+0.14*AT245))</f>
        <v/>
      </c>
      <c r="BP245">
        <f>MAX(0,MIN(1,0.26*AS245+0.20*(1-BA245)+0.16*(1-AW245)+0.18*BG245+0.10*AU245+0.10+BB245))</f>
        <v/>
      </c>
      <c r="BQ245">
        <f>MAX(0,MIN(1,0.24*AT245+0.18*BF245+0.14*AR245+0.14*BO245+0.14*(1-AV245)+0.16*(1-AZ245)))</f>
        <v/>
      </c>
      <c r="BR245">
        <f>IF(BO245&gt;=0.80,"Open",IF(BO245&gt;=0.62,"Measured",IF(BO245&gt;=0.45,"Selective","Guarded")))</f>
        <v/>
      </c>
      <c r="BS245">
        <f>IF(Y245="COMM_Direct","Direct",IF(Y245="COMM_Emotional","Emotional",IF(Y245="COMM_Logical","Logical",IF(Y245="COMM_Indirect","Indirect","Avoidant"))))</f>
        <v/>
      </c>
      <c r="BT245">
        <f>IF(BG245&gt;=0.78,"Co-repair",IF(BG245&gt;=0.58,"Re-engage",IF(BG245&gt;=0.40,"Delay","Suppress")))</f>
        <v/>
      </c>
      <c r="BU245">
        <f>IF(BI245&gt;=0.70,"Retreat-risk",IF(BH245&lt;=0.40,"Rush-risk",IF(BH245&gt;=0.65,"Slow-build","Mixed")))</f>
        <v/>
      </c>
      <c r="BV245">
        <f>IF(BL245-BM245&gt;=0.15,"Stimulation-seeking",IF(BM245-BL245&gt;=0.15,"Calm-seeking","Mixed")))</f>
        <v/>
      </c>
      <c r="BW245">
        <f>IF(AND(BL245&gt;=0.72,BM245&lt;0.48),"High",IF(AND(BL245&gt;=0.60,BM245&lt;0.58),"Medium","Low"))</f>
        <v/>
      </c>
    </row>
    <row r="246" ht="108" customHeight="1" s="10">
      <c r="A246" s="2" t="inlineStr">
        <is>
          <t>Q49_E</t>
        </is>
      </c>
      <c r="B246" s="2" t="n">
        <v>49</v>
      </c>
      <c r="C246" s="2" t="n">
        <v>49</v>
      </c>
      <c r="D246" s="2" t="inlineStr">
        <is>
          <t>Core</t>
        </is>
      </c>
      <c r="E246" s="2" t="n">
        <v>1.4</v>
      </c>
      <c r="F246" s="2" t="inlineStr">
        <is>
          <t>EmotionalNeeds</t>
        </is>
      </c>
      <c r="G246" s="2" t="inlineStr">
        <is>
          <t>IntimacyThreshold</t>
        </is>
      </c>
      <c r="H246" s="2" t="n"/>
      <c r="I246" s="2" t="inlineStr">
        <is>
          <t>E</t>
        </is>
      </c>
      <c r="J246" s="2" t="inlineStr">
        <is>
          <t>E</t>
        </is>
      </c>
      <c r="K246" s="2" t="inlineStr">
        <is>
          <t>The hope that this time, someone might actually stay long enough to prove me wrong.</t>
        </is>
      </c>
      <c r="L246" s="2" t="n">
        <v>9</v>
      </c>
      <c r="M246" s="2" t="n">
        <v>9</v>
      </c>
      <c r="N246" s="2" t="n">
        <v>8</v>
      </c>
      <c r="O246" s="2" t="n">
        <v>8</v>
      </c>
      <c r="P246" s="2" t="n">
        <v>6</v>
      </c>
      <c r="Q246" s="2" t="inlineStr">
        <is>
          <t>Romantic Idealist</t>
        </is>
      </c>
      <c r="R246" s="2" t="n">
        <v>6</v>
      </c>
      <c r="S246" s="2" t="n"/>
      <c r="T246" s="2" t="n"/>
      <c r="U246" s="2" t="n">
        <v>0</v>
      </c>
      <c r="V246" s="2" t="inlineStr">
        <is>
          <t>masc:-0.4;fem:1.5</t>
        </is>
      </c>
      <c r="W246" s="2" t="n">
        <v>-0.4</v>
      </c>
      <c r="X246" s="2" t="n">
        <v>1.5</v>
      </c>
      <c r="Y246" s="2" t="inlineStr">
        <is>
          <t>COMM_Emotional</t>
        </is>
      </c>
      <c r="Z246" s="2" t="inlineStr">
        <is>
          <t>REG_Distractor</t>
        </is>
      </c>
      <c r="AA246" s="2" t="inlineStr">
        <is>
          <t>LANG_Gifts</t>
        </is>
      </c>
      <c r="AB246" s="2" t="n"/>
      <c r="AC246" s="2" t="n"/>
      <c r="AD246" s="2" t="n"/>
      <c r="AE246" s="2" t="n">
        <v>0</v>
      </c>
      <c r="AF246" s="2" t="inlineStr">
        <is>
          <t>redemption fantasy loop</t>
        </is>
      </c>
      <c r="AG246" s="2" t="inlineStr">
        <is>
          <t>hopeful believer</t>
        </is>
      </c>
      <c r="AH246" s="2" t="n">
        <v>0</v>
      </c>
      <c r="AI246" s="2" t="inlineStr">
        <is>
          <t>no</t>
        </is>
      </c>
      <c r="AJ246" s="2" t="inlineStr">
        <is>
          <t>no</t>
        </is>
      </c>
      <c r="AK246" s="2" t="inlineStr">
        <is>
          <t>no</t>
        </is>
      </c>
      <c r="AL246" s="2" t="inlineStr">
        <is>
          <t>no</t>
        </is>
      </c>
      <c r="AM246" s="2" t="n"/>
      <c r="AN246" s="2" t="n"/>
      <c r="AO246" s="2" t="n"/>
      <c r="AP246" s="2" t="inlineStr">
        <is>
          <t>v3_2026-03-19</t>
        </is>
      </c>
      <c r="AQ246">
        <f>(L246-Schema_v5!$C2)/(Schema_v5!$C3-Schema_v5!$C2)</f>
        <v/>
      </c>
      <c r="AR246">
        <f>(M246-Schema_v5!$C4)/(Schema_v5!$C5-Schema_v5!$C4)</f>
        <v/>
      </c>
      <c r="AS246">
        <f>N246/Schema_v5!$C6</f>
        <v/>
      </c>
      <c r="AT246">
        <f>O246/Schema_v5!$C7</f>
        <v/>
      </c>
      <c r="AU246">
        <f>P246/Schema_v5!$C8</f>
        <v/>
      </c>
      <c r="AV246">
        <f>IF(Schema_v5!$C9=0,0,AH246/Schema_v5!$C9)</f>
        <v/>
      </c>
      <c r="AW246">
        <f>IF(Schema_v5!$C10=0,0,AE246/Schema_v5!$C10)</f>
        <v/>
      </c>
      <c r="AX246">
        <f>(W246-Schema_v5!$C11)/(Schema_v5!$C12-Schema_v5!$C11)</f>
        <v/>
      </c>
      <c r="AY246">
        <f>(X246-Schema_v5!$C13)/(Schema_v5!$C14-Schema_v5!$C13)</f>
        <v/>
      </c>
      <c r="AZ246">
        <f>MIN(1,MAX(0,U246/Schema_v7!$C$9))</f>
        <v/>
      </c>
      <c r="BA246">
        <f>IF(AJ246="yes",0.55,0)</f>
        <v/>
      </c>
      <c r="BB246">
        <f>IF(AI246="yes",0.10,0)</f>
        <v/>
      </c>
      <c r="BC246">
        <f>IF(Y246="COMM_Direct",0.92,IF(Y246="COMM_Emotional",0.70,IF(Y246="COMM_Logical",0.65,IF(Y246="COMM_Indirect",0.55,0.35))))</f>
        <v/>
      </c>
      <c r="BD246">
        <f>IF(Z246="REG_CoRegulator",0.92,IF(Z246="REG_SelfSoother",0.76,IF(Z246="REG_Distractor",0.48,0.35)))</f>
        <v/>
      </c>
      <c r="BE246">
        <f>IF(AA246="LANG_Time",0.76,IF(AA246="LANG_Service",0.70,IF(AA246="LANG_Words",0.72,IF(AA246="LANG_Touch",0.68,0.60))))</f>
        <v/>
      </c>
      <c r="BF246">
        <f>MAX(0,MIN(1,0.28*AS246+0.16*AT246+0.18*BC246+0.18*BD246+0.10*(1-AZ246)+0.10*(1-BA246)+BB246))</f>
        <v/>
      </c>
      <c r="BG246">
        <f>MAX(0,MIN(1,0.24*AU246+0.18*AS246+0.18*BC246+0.20*BD246+0.10*(1-AW246)+0.10*(1-BA246)))</f>
        <v/>
      </c>
      <c r="BH246">
        <f>MAX(0,MIN(1,0.28*AR246+0.18*AT246+0.16*AU246+0.18*(1-AV246)+0.10*(1-AW246)+0.10*BF246))</f>
        <v/>
      </c>
      <c r="BI246">
        <f>MAX(0,MIN(1,0.30*AV246+0.20*AZ246+0.20*AW246+0.15*(1-BH246)+0.15*(1-BO246)))</f>
        <v/>
      </c>
      <c r="BJ246">
        <f>MAX(0,1-(ABS(((( AX246+AY246)/2)-0.55)*1.6)))</f>
        <v/>
      </c>
      <c r="BK246">
        <f>MAX(0,MIN(1,0.28*AR246+0.18*AT246+0.16*BJ246+0.14*(1-AV246)+0.12*BQ246+0.12*BO246))</f>
        <v/>
      </c>
      <c r="BL246">
        <f>MAX(0,MIN(1,0.22*AQ246+0.18*AS246+0.18*BC246+0.18*BD246+0.08*BE246+0.10*BF246+0.06*BO246))</f>
        <v/>
      </c>
      <c r="BM246">
        <f>MAX(0,MIN(1,0.20*(1-AZ246)+0.16*(1-BA246)+0.14*(1-AW246)+0.14*AU246+0.18*BG246+0.10*BH246+0.08*BP246))</f>
        <v/>
      </c>
      <c r="BN246">
        <f>MAX(0,MIN(1,0.42*BJ246+0.33*BK246+0.15*AT246+0.10*BQ246))</f>
        <v/>
      </c>
      <c r="BO246">
        <f>MAX(0,MIN(1,0.30*BC246+0.24*BD246+0.18*AS246+0.14*(1-BI246)+0.14*AT246))</f>
        <v/>
      </c>
      <c r="BP246">
        <f>MAX(0,MIN(1,0.26*AS246+0.20*(1-BA246)+0.16*(1-AW246)+0.18*BG246+0.10*AU246+0.10+BB246))</f>
        <v/>
      </c>
      <c r="BQ246">
        <f>MAX(0,MIN(1,0.24*AT246+0.18*BF246+0.14*AR246+0.14*BO246+0.14*(1-AV246)+0.16*(1-AZ246)))</f>
        <v/>
      </c>
      <c r="BR246">
        <f>IF(BO246&gt;=0.80,"Open",IF(BO246&gt;=0.62,"Measured",IF(BO246&gt;=0.45,"Selective","Guarded")))</f>
        <v/>
      </c>
      <c r="BS246">
        <f>IF(Y246="COMM_Direct","Direct",IF(Y246="COMM_Emotional","Emotional",IF(Y246="COMM_Logical","Logical",IF(Y246="COMM_Indirect","Indirect","Avoidant"))))</f>
        <v/>
      </c>
      <c r="BT246">
        <f>IF(BG246&gt;=0.78,"Co-repair",IF(BG246&gt;=0.58,"Re-engage",IF(BG246&gt;=0.40,"Delay","Suppress")))</f>
        <v/>
      </c>
      <c r="BU246">
        <f>IF(BI246&gt;=0.70,"Retreat-risk",IF(BH246&lt;=0.40,"Rush-risk",IF(BH246&gt;=0.65,"Slow-build","Mixed")))</f>
        <v/>
      </c>
      <c r="BV246">
        <f>IF(BL246-BM246&gt;=0.15,"Stimulation-seeking",IF(BM246-BL246&gt;=0.15,"Calm-seeking","Mixed")))</f>
        <v/>
      </c>
      <c r="BW246">
        <f>IF(AND(BL246&gt;=0.72,BM246&lt;0.48),"High",IF(AND(BL246&gt;=0.60,BM246&lt;0.58),"Medium","Low"))</f>
        <v/>
      </c>
    </row>
    <row r="247" ht="108" customHeight="1" s="10">
      <c r="A247" s="2" t="inlineStr">
        <is>
          <t>Q50_A</t>
        </is>
      </c>
      <c r="B247" s="2" t="n">
        <v>50</v>
      </c>
      <c r="C247" s="2" t="n">
        <v>50</v>
      </c>
      <c r="D247" s="2" t="inlineStr">
        <is>
          <t>Core</t>
        </is>
      </c>
      <c r="E247" s="2" t="n">
        <v>1.4</v>
      </c>
      <c r="F247" s="2" t="inlineStr">
        <is>
          <t>EmotionalNeeds</t>
        </is>
      </c>
      <c r="G247" s="2" t="inlineStr">
        <is>
          <t>IntimacyThreshold</t>
        </is>
      </c>
      <c r="H247" s="2" t="inlineStr">
        <is>
          <t>Someone loves you deeply. Sees your flaws. Stays anyway. What scares you most about letting that kind of love in?</t>
        </is>
      </c>
      <c r="I247" s="2" t="inlineStr">
        <is>
          <t>A</t>
        </is>
      </c>
      <c r="J247" s="2" t="inlineStr">
        <is>
          <t>A</t>
        </is>
      </c>
      <c r="K247" s="2" t="inlineStr">
        <is>
          <t>That I'll get used to it... and then lose it. I don't survive things twice.</t>
        </is>
      </c>
      <c r="L247" s="2" t="n">
        <v>6</v>
      </c>
      <c r="M247" s="2" t="n">
        <v>7</v>
      </c>
      <c r="N247" s="2" t="n">
        <v>4</v>
      </c>
      <c r="O247" s="2" t="n">
        <v>6</v>
      </c>
      <c r="P247" s="2" t="n">
        <v>4</v>
      </c>
      <c r="Q247" s="2" t="inlineStr">
        <is>
          <t>Survivor</t>
        </is>
      </c>
      <c r="R247" s="2" t="n">
        <v>1</v>
      </c>
      <c r="S247" s="2" t="n"/>
      <c r="T247" s="2" t="n"/>
      <c r="U247" s="2" t="n">
        <v>0</v>
      </c>
      <c r="V247" s="2" t="inlineStr">
        <is>
          <t>masc:0.3;fem:1.3</t>
        </is>
      </c>
      <c r="W247" s="2" t="n">
        <v>0.3</v>
      </c>
      <c r="X247" s="2" t="n">
        <v>1.3</v>
      </c>
      <c r="Y247" s="2" t="inlineStr">
        <is>
          <t>COMM_Emotional</t>
        </is>
      </c>
      <c r="Z247" s="2" t="inlineStr">
        <is>
          <t>REG_SelfSoother</t>
        </is>
      </c>
      <c r="AA247" s="2" t="inlineStr">
        <is>
          <t>LANG_Service</t>
        </is>
      </c>
      <c r="AB247" s="2" t="inlineStr">
        <is>
          <t>Vulnerability_Loop</t>
        </is>
      </c>
      <c r="AC247" s="2" t="inlineStr">
        <is>
          <t>Vulnerability_Loop</t>
        </is>
      </c>
      <c r="AD247" s="2" t="n"/>
      <c r="AE247" s="2" t="n">
        <v>5</v>
      </c>
      <c r="AF247" s="2" t="inlineStr">
        <is>
          <t>abandonment after safety</t>
        </is>
      </c>
      <c r="AG247" s="2" t="inlineStr">
        <is>
          <t>loss avoider</t>
        </is>
      </c>
      <c r="AH247" s="2" t="n">
        <v>0.2</v>
      </c>
      <c r="AI247" s="2" t="inlineStr">
        <is>
          <t>yes</t>
        </is>
      </c>
      <c r="AJ247" s="2" t="inlineStr">
        <is>
          <t>no</t>
        </is>
      </c>
      <c r="AK247" s="2" t="inlineStr">
        <is>
          <t>no</t>
        </is>
      </c>
      <c r="AL247" s="2" t="inlineStr">
        <is>
          <t>no</t>
        </is>
      </c>
      <c r="AM247" s="2" t="n"/>
      <c r="AN247" s="2" t="n"/>
      <c r="AO247" s="2" t="n"/>
      <c r="AP247" s="2" t="inlineStr">
        <is>
          <t>v3_2026-03-19</t>
        </is>
      </c>
      <c r="AQ247">
        <f>(L247-Schema_v5!$C2)/(Schema_v5!$C3-Schema_v5!$C2)</f>
        <v/>
      </c>
      <c r="AR247">
        <f>(M247-Schema_v5!$C4)/(Schema_v5!$C5-Schema_v5!$C4)</f>
        <v/>
      </c>
      <c r="AS247">
        <f>N247/Schema_v5!$C6</f>
        <v/>
      </c>
      <c r="AT247">
        <f>O247/Schema_v5!$C7</f>
        <v/>
      </c>
      <c r="AU247">
        <f>P247/Schema_v5!$C8</f>
        <v/>
      </c>
      <c r="AV247">
        <f>IF(Schema_v5!$C9=0,0,AH247/Schema_v5!$C9)</f>
        <v/>
      </c>
      <c r="AW247">
        <f>IF(Schema_v5!$C10=0,0,AE247/Schema_v5!$C10)</f>
        <v/>
      </c>
      <c r="AX247">
        <f>(W247-Schema_v5!$C11)/(Schema_v5!$C12-Schema_v5!$C11)</f>
        <v/>
      </c>
      <c r="AY247">
        <f>(X247-Schema_v5!$C13)/(Schema_v5!$C14-Schema_v5!$C13)</f>
        <v/>
      </c>
      <c r="AZ247">
        <f>MIN(1,MAX(0,U247/Schema_v7!$C$9))</f>
        <v/>
      </c>
      <c r="BA247">
        <f>IF(AJ247="yes",0.55,0)</f>
        <v/>
      </c>
      <c r="BB247">
        <f>IF(AI247="yes",0.10,0)</f>
        <v/>
      </c>
      <c r="BC247">
        <f>IF(Y247="COMM_Direct",0.92,IF(Y247="COMM_Emotional",0.70,IF(Y247="COMM_Logical",0.65,IF(Y247="COMM_Indirect",0.55,0.35))))</f>
        <v/>
      </c>
      <c r="BD247">
        <f>IF(Z247="REG_CoRegulator",0.92,IF(Z247="REG_SelfSoother",0.76,IF(Z247="REG_Distractor",0.48,0.35)))</f>
        <v/>
      </c>
      <c r="BE247">
        <f>IF(AA247="LANG_Time",0.76,IF(AA247="LANG_Service",0.70,IF(AA247="LANG_Words",0.72,IF(AA247="LANG_Touch",0.68,0.60))))</f>
        <v/>
      </c>
      <c r="BF247">
        <f>MAX(0,MIN(1,0.28*AS247+0.16*AT247+0.18*BC247+0.18*BD247+0.10*(1-AZ247)+0.10*(1-BA247)+BB247))</f>
        <v/>
      </c>
      <c r="BG247">
        <f>MAX(0,MIN(1,0.24*AU247+0.18*AS247+0.18*BC247+0.20*BD247+0.10*(1-AW247)+0.10*(1-BA247)))</f>
        <v/>
      </c>
      <c r="BH247">
        <f>MAX(0,MIN(1,0.28*AR247+0.18*AT247+0.16*AU247+0.18*(1-AV247)+0.10*(1-AW247)+0.10*BF247))</f>
        <v/>
      </c>
      <c r="BI247">
        <f>MAX(0,MIN(1,0.30*AV247+0.20*AZ247+0.20*AW247+0.15*(1-BH247)+0.15*(1-BO247)))</f>
        <v/>
      </c>
      <c r="BJ247">
        <f>MAX(0,1-(ABS(((( AX247+AY247)/2)-0.55)*1.6)))</f>
        <v/>
      </c>
      <c r="BK247">
        <f>MAX(0,MIN(1,0.28*AR247+0.18*AT247+0.16*BJ247+0.14*(1-AV247)+0.12*BQ247+0.12*BO247))</f>
        <v/>
      </c>
      <c r="BL247">
        <f>MAX(0,MIN(1,0.22*AQ247+0.18*AS247+0.18*BC247+0.18*BD247+0.08*BE247+0.10*BF247+0.06*BO247))</f>
        <v/>
      </c>
      <c r="BM247">
        <f>MAX(0,MIN(1,0.20*(1-AZ247)+0.16*(1-BA247)+0.14*(1-AW247)+0.14*AU247+0.18*BG247+0.10*BH247+0.08*BP247))</f>
        <v/>
      </c>
      <c r="BN247">
        <f>MAX(0,MIN(1,0.42*BJ247+0.33*BK247+0.15*AT247+0.10*BQ247))</f>
        <v/>
      </c>
      <c r="BO247">
        <f>MAX(0,MIN(1,0.30*BC247+0.24*BD247+0.18*AS247+0.14*(1-BI247)+0.14*AT247))</f>
        <v/>
      </c>
      <c r="BP247">
        <f>MAX(0,MIN(1,0.26*AS247+0.20*(1-BA247)+0.16*(1-AW247)+0.18*BG247+0.10*AU247+0.10+BB247))</f>
        <v/>
      </c>
      <c r="BQ247">
        <f>MAX(0,MIN(1,0.24*AT247+0.18*BF247+0.14*AR247+0.14*BO247+0.14*(1-AV247)+0.16*(1-AZ247)))</f>
        <v/>
      </c>
      <c r="BR247">
        <f>IF(BO247&gt;=0.80,"Open",IF(BO247&gt;=0.62,"Measured",IF(BO247&gt;=0.45,"Selective","Guarded")))</f>
        <v/>
      </c>
      <c r="BS247">
        <f>IF(Y247="COMM_Direct","Direct",IF(Y247="COMM_Emotional","Emotional",IF(Y247="COMM_Logical","Logical",IF(Y247="COMM_Indirect","Indirect","Avoidant"))))</f>
        <v/>
      </c>
      <c r="BT247">
        <f>IF(BG247&gt;=0.78,"Co-repair",IF(BG247&gt;=0.58,"Re-engage",IF(BG247&gt;=0.40,"Delay","Suppress")))</f>
        <v/>
      </c>
      <c r="BU247">
        <f>IF(BI247&gt;=0.70,"Retreat-risk",IF(BH247&lt;=0.40,"Rush-risk",IF(BH247&gt;=0.65,"Slow-build","Mixed")))</f>
        <v/>
      </c>
      <c r="BV247">
        <f>IF(BL247-BM247&gt;=0.15,"Stimulation-seeking",IF(BM247-BL247&gt;=0.15,"Calm-seeking","Mixed")))</f>
        <v/>
      </c>
      <c r="BW247">
        <f>IF(AND(BL247&gt;=0.72,BM247&lt;0.48),"High",IF(AND(BL247&gt;=0.60,BM247&lt;0.58),"Medium","Low"))</f>
        <v/>
      </c>
    </row>
    <row r="248" ht="121.5" customHeight="1" s="10">
      <c r="A248" s="2" t="inlineStr">
        <is>
          <t>Q50_B</t>
        </is>
      </c>
      <c r="B248" s="2" t="n">
        <v>50</v>
      </c>
      <c r="C248" s="2" t="n">
        <v>50</v>
      </c>
      <c r="D248" s="2" t="inlineStr">
        <is>
          <t>Core</t>
        </is>
      </c>
      <c r="E248" s="2" t="n">
        <v>1.4</v>
      </c>
      <c r="F248" s="2" t="inlineStr">
        <is>
          <t>EmotionalNeeds</t>
        </is>
      </c>
      <c r="G248" s="2" t="inlineStr">
        <is>
          <t>IntimacyThreshold</t>
        </is>
      </c>
      <c r="H248" s="2" t="n"/>
      <c r="I248" s="2" t="inlineStr">
        <is>
          <t>B</t>
        </is>
      </c>
      <c r="J248" s="2" t="inlineStr">
        <is>
          <t>B</t>
        </is>
      </c>
      <c r="K248" s="2" t="inlineStr">
        <is>
          <t>That they'll see the real me and change their mind. I always feel like I'm on borrowed time.</t>
        </is>
      </c>
      <c r="L248" s="2" t="n">
        <v>4</v>
      </c>
      <c r="M248" s="2" t="n">
        <v>5</v>
      </c>
      <c r="N248" s="2" t="n">
        <v>2</v>
      </c>
      <c r="O248" s="2" t="n">
        <v>2</v>
      </c>
      <c r="P248" s="2" t="n">
        <v>0</v>
      </c>
      <c r="Q248" s="2" t="inlineStr">
        <is>
          <t>Phantom Seeker</t>
        </is>
      </c>
      <c r="R248" s="2" t="n">
        <v>10</v>
      </c>
      <c r="S248" s="2" t="n"/>
      <c r="T248" s="2" t="n"/>
      <c r="U248" s="2" t="n">
        <v>0</v>
      </c>
      <c r="V248" s="2" t="inlineStr">
        <is>
          <t>masc:-0.2;fem:1.5</t>
        </is>
      </c>
      <c r="W248" s="2" t="n">
        <v>-0.2</v>
      </c>
      <c r="X248" s="2" t="n">
        <v>1.5</v>
      </c>
      <c r="Y248" s="2" t="inlineStr">
        <is>
          <t>COMM_Emotional</t>
        </is>
      </c>
      <c r="Z248" s="2" t="inlineStr">
        <is>
          <t>REG_SelfSoother</t>
        </is>
      </c>
      <c r="AA248" s="2" t="inlineStr">
        <is>
          <t>LANG_Touch</t>
        </is>
      </c>
      <c r="AB248" s="2" t="inlineStr">
        <is>
          <t>Vulnerability_Loop</t>
        </is>
      </c>
      <c r="AC248" s="2" t="inlineStr">
        <is>
          <t>Vulnerability_Loop</t>
        </is>
      </c>
      <c r="AD248" s="2" t="n"/>
      <c r="AE248" s="2" t="n">
        <v>5</v>
      </c>
      <c r="AF248" s="2" t="inlineStr">
        <is>
          <t>imposter in intimacy</t>
        </is>
      </c>
      <c r="AG248" s="2" t="inlineStr">
        <is>
          <t>worth doubter</t>
        </is>
      </c>
      <c r="AH248" s="2" t="n">
        <v>0</v>
      </c>
      <c r="AI248" s="2" t="inlineStr">
        <is>
          <t>yes</t>
        </is>
      </c>
      <c r="AJ248" s="2" t="inlineStr">
        <is>
          <t>no</t>
        </is>
      </c>
      <c r="AK248" s="2" t="inlineStr">
        <is>
          <t>no</t>
        </is>
      </c>
      <c r="AL248" s="2" t="inlineStr">
        <is>
          <t>no</t>
        </is>
      </c>
      <c r="AM248" s="2" t="n"/>
      <c r="AN248" s="2" t="n"/>
      <c r="AO248" s="2" t="n"/>
      <c r="AP248" s="2" t="inlineStr">
        <is>
          <t>v3_2026-03-19</t>
        </is>
      </c>
      <c r="AQ248">
        <f>(L248-Schema_v5!$C2)/(Schema_v5!$C3-Schema_v5!$C2)</f>
        <v/>
      </c>
      <c r="AR248">
        <f>(M248-Schema_v5!$C4)/(Schema_v5!$C5-Schema_v5!$C4)</f>
        <v/>
      </c>
      <c r="AS248">
        <f>N248/Schema_v5!$C6</f>
        <v/>
      </c>
      <c r="AT248">
        <f>O248/Schema_v5!$C7</f>
        <v/>
      </c>
      <c r="AU248">
        <f>P248/Schema_v5!$C8</f>
        <v/>
      </c>
      <c r="AV248">
        <f>IF(Schema_v5!$C9=0,0,AH248/Schema_v5!$C9)</f>
        <v/>
      </c>
      <c r="AW248">
        <f>IF(Schema_v5!$C10=0,0,AE248/Schema_v5!$C10)</f>
        <v/>
      </c>
      <c r="AX248">
        <f>(W248-Schema_v5!$C11)/(Schema_v5!$C12-Schema_v5!$C11)</f>
        <v/>
      </c>
      <c r="AY248">
        <f>(X248-Schema_v5!$C13)/(Schema_v5!$C14-Schema_v5!$C13)</f>
        <v/>
      </c>
      <c r="AZ248">
        <f>MIN(1,MAX(0,U248/Schema_v7!$C$9))</f>
        <v/>
      </c>
      <c r="BA248">
        <f>IF(AJ248="yes",0.55,0)</f>
        <v/>
      </c>
      <c r="BB248">
        <f>IF(AI248="yes",0.10,0)</f>
        <v/>
      </c>
      <c r="BC248">
        <f>IF(Y248="COMM_Direct",0.92,IF(Y248="COMM_Emotional",0.70,IF(Y248="COMM_Logical",0.65,IF(Y248="COMM_Indirect",0.55,0.35))))</f>
        <v/>
      </c>
      <c r="BD248">
        <f>IF(Z248="REG_CoRegulator",0.92,IF(Z248="REG_SelfSoother",0.76,IF(Z248="REG_Distractor",0.48,0.35)))</f>
        <v/>
      </c>
      <c r="BE248">
        <f>IF(AA248="LANG_Time",0.76,IF(AA248="LANG_Service",0.70,IF(AA248="LANG_Words",0.72,IF(AA248="LANG_Touch",0.68,0.60))))</f>
        <v/>
      </c>
      <c r="BF248">
        <f>MAX(0,MIN(1,0.28*AS248+0.16*AT248+0.18*BC248+0.18*BD248+0.10*(1-AZ248)+0.10*(1-BA248)+BB248))</f>
        <v/>
      </c>
      <c r="BG248">
        <f>MAX(0,MIN(1,0.24*AU248+0.18*AS248+0.18*BC248+0.20*BD248+0.10*(1-AW248)+0.10*(1-BA248)))</f>
        <v/>
      </c>
      <c r="BH248">
        <f>MAX(0,MIN(1,0.28*AR248+0.18*AT248+0.16*AU248+0.18*(1-AV248)+0.10*(1-AW248)+0.10*BF248))</f>
        <v/>
      </c>
      <c r="BI248">
        <f>MAX(0,MIN(1,0.30*AV248+0.20*AZ248+0.20*AW248+0.15*(1-BH248)+0.15*(1-BO248)))</f>
        <v/>
      </c>
      <c r="BJ248">
        <f>MAX(0,1-(ABS(((( AX248+AY248)/2)-0.55)*1.6)))</f>
        <v/>
      </c>
      <c r="BK248">
        <f>MAX(0,MIN(1,0.28*AR248+0.18*AT248+0.16*BJ248+0.14*(1-AV248)+0.12*BQ248+0.12*BO248))</f>
        <v/>
      </c>
      <c r="BL248">
        <f>MAX(0,MIN(1,0.22*AQ248+0.18*AS248+0.18*BC248+0.18*BD248+0.08*BE248+0.10*BF248+0.06*BO248))</f>
        <v/>
      </c>
      <c r="BM248">
        <f>MAX(0,MIN(1,0.20*(1-AZ248)+0.16*(1-BA248)+0.14*(1-AW248)+0.14*AU248+0.18*BG248+0.10*BH248+0.08*BP248))</f>
        <v/>
      </c>
      <c r="BN248">
        <f>MAX(0,MIN(1,0.42*BJ248+0.33*BK248+0.15*AT248+0.10*BQ248))</f>
        <v/>
      </c>
      <c r="BO248">
        <f>MAX(0,MIN(1,0.30*BC248+0.24*BD248+0.18*AS248+0.14*(1-BI248)+0.14*AT248))</f>
        <v/>
      </c>
      <c r="BP248">
        <f>MAX(0,MIN(1,0.26*AS248+0.20*(1-BA248)+0.16*(1-AW248)+0.18*BG248+0.10*AU248+0.10+BB248))</f>
        <v/>
      </c>
      <c r="BQ248">
        <f>MAX(0,MIN(1,0.24*AT248+0.18*BF248+0.14*AR248+0.14*BO248+0.14*(1-AV248)+0.16*(1-AZ248)))</f>
        <v/>
      </c>
      <c r="BR248">
        <f>IF(BO248&gt;=0.80,"Open",IF(BO248&gt;=0.62,"Measured",IF(BO248&gt;=0.45,"Selective","Guarded")))</f>
        <v/>
      </c>
      <c r="BS248">
        <f>IF(Y248="COMM_Direct","Direct",IF(Y248="COMM_Emotional","Emotional",IF(Y248="COMM_Logical","Logical",IF(Y248="COMM_Indirect","Indirect","Avoidant"))))</f>
        <v/>
      </c>
      <c r="BT248">
        <f>IF(BG248&gt;=0.78,"Co-repair",IF(BG248&gt;=0.58,"Re-engage",IF(BG248&gt;=0.40,"Delay","Suppress")))</f>
        <v/>
      </c>
      <c r="BU248">
        <f>IF(BI248&gt;=0.70,"Retreat-risk",IF(BH248&lt;=0.40,"Rush-risk",IF(BH248&gt;=0.65,"Slow-build","Mixed")))</f>
        <v/>
      </c>
      <c r="BV248">
        <f>IF(BL248-BM248&gt;=0.15,"Stimulation-seeking",IF(BM248-BL248&gt;=0.15,"Calm-seeking","Mixed")))</f>
        <v/>
      </c>
      <c r="BW248">
        <f>IF(AND(BL248&gt;=0.72,BM248&lt;0.48),"High",IF(AND(BL248&gt;=0.60,BM248&lt;0.58),"Medium","Low"))</f>
        <v/>
      </c>
    </row>
    <row r="249" ht="121.5" customHeight="1" s="10">
      <c r="A249" s="2" t="inlineStr">
        <is>
          <t>Q50_C</t>
        </is>
      </c>
      <c r="B249" s="2" t="n">
        <v>50</v>
      </c>
      <c r="C249" s="2" t="n">
        <v>50</v>
      </c>
      <c r="D249" s="2" t="inlineStr">
        <is>
          <t>Core</t>
        </is>
      </c>
      <c r="E249" s="2" t="n">
        <v>1.4</v>
      </c>
      <c r="F249" s="2" t="inlineStr">
        <is>
          <t>EmotionalNeeds</t>
        </is>
      </c>
      <c r="G249" s="2" t="inlineStr">
        <is>
          <t>IntimacyThreshold</t>
        </is>
      </c>
      <c r="H249" s="2" t="n"/>
      <c r="I249" s="2" t="inlineStr">
        <is>
          <t>C</t>
        </is>
      </c>
      <c r="J249" s="2" t="inlineStr">
        <is>
          <t>C</t>
        </is>
      </c>
      <c r="K249" s="2" t="inlineStr">
        <is>
          <t>That I'll owe them softness forever. I don't know how to stay open without feeling exposed.</t>
        </is>
      </c>
      <c r="L249" s="2" t="n">
        <v>7</v>
      </c>
      <c r="M249" s="2" t="n">
        <v>8</v>
      </c>
      <c r="N249" s="2" t="n">
        <v>4</v>
      </c>
      <c r="O249" s="2" t="n">
        <v>4</v>
      </c>
      <c r="P249" s="2" t="n">
        <v>0</v>
      </c>
      <c r="Q249" s="2" t="inlineStr">
        <is>
          <t>Icebox</t>
        </is>
      </c>
      <c r="R249" s="2" t="n">
        <v>1</v>
      </c>
      <c r="S249" s="2" t="n"/>
      <c r="T249" s="2" t="n"/>
      <c r="U249" s="2" t="n">
        <v>0</v>
      </c>
      <c r="V249" s="2" t="inlineStr">
        <is>
          <t>masc:1.8;fem:-1.6</t>
        </is>
      </c>
      <c r="W249" s="2" t="n">
        <v>1.8</v>
      </c>
      <c r="X249" s="2" t="n">
        <v>-1.6</v>
      </c>
      <c r="Y249" s="2" t="inlineStr">
        <is>
          <t>COMM_Avoidant</t>
        </is>
      </c>
      <c r="Z249" s="2" t="inlineStr">
        <is>
          <t>REG_Suppressor</t>
        </is>
      </c>
      <c r="AA249" s="2" t="inlineStr">
        <is>
          <t>LANG_Time</t>
        </is>
      </c>
      <c r="AB249" s="2" t="n"/>
      <c r="AC249" s="2" t="n"/>
      <c r="AD249" s="2" t="n"/>
      <c r="AE249" s="2" t="n">
        <v>0</v>
      </c>
      <c r="AF249" s="2" t="inlineStr">
        <is>
          <t>vulnerability debt</t>
        </is>
      </c>
      <c r="AG249" s="2" t="inlineStr">
        <is>
          <t>emotional limiter</t>
        </is>
      </c>
      <c r="AH249" s="2" t="n">
        <v>0</v>
      </c>
      <c r="AI249" s="2" t="inlineStr">
        <is>
          <t>no</t>
        </is>
      </c>
      <c r="AJ249" s="2" t="inlineStr">
        <is>
          <t>no</t>
        </is>
      </c>
      <c r="AK249" s="2" t="inlineStr">
        <is>
          <t>no</t>
        </is>
      </c>
      <c r="AL249" s="2" t="inlineStr">
        <is>
          <t>no</t>
        </is>
      </c>
      <c r="AM249" s="2" t="n"/>
      <c r="AN249" s="2" t="n"/>
      <c r="AO249" s="2" t="n"/>
      <c r="AP249" s="2" t="inlineStr">
        <is>
          <t>v3_2026-03-19</t>
        </is>
      </c>
      <c r="AQ249">
        <f>(L249-Schema_v5!$C2)/(Schema_v5!$C3-Schema_v5!$C2)</f>
        <v/>
      </c>
      <c r="AR249">
        <f>(M249-Schema_v5!$C4)/(Schema_v5!$C5-Schema_v5!$C4)</f>
        <v/>
      </c>
      <c r="AS249">
        <f>N249/Schema_v5!$C6</f>
        <v/>
      </c>
      <c r="AT249">
        <f>O249/Schema_v5!$C7</f>
        <v/>
      </c>
      <c r="AU249">
        <f>P249/Schema_v5!$C8</f>
        <v/>
      </c>
      <c r="AV249">
        <f>IF(Schema_v5!$C9=0,0,AH249/Schema_v5!$C9)</f>
        <v/>
      </c>
      <c r="AW249">
        <f>IF(Schema_v5!$C10=0,0,AE249/Schema_v5!$C10)</f>
        <v/>
      </c>
      <c r="AX249">
        <f>(W249-Schema_v5!$C11)/(Schema_v5!$C12-Schema_v5!$C11)</f>
        <v/>
      </c>
      <c r="AY249">
        <f>(X249-Schema_v5!$C13)/(Schema_v5!$C14-Schema_v5!$C13)</f>
        <v/>
      </c>
      <c r="AZ249">
        <f>MIN(1,MAX(0,U249/Schema_v7!$C$9))</f>
        <v/>
      </c>
      <c r="BA249">
        <f>IF(AJ249="yes",0.55,0)</f>
        <v/>
      </c>
      <c r="BB249">
        <f>IF(AI249="yes",0.10,0)</f>
        <v/>
      </c>
      <c r="BC249">
        <f>IF(Y249="COMM_Direct",0.92,IF(Y249="COMM_Emotional",0.70,IF(Y249="COMM_Logical",0.65,IF(Y249="COMM_Indirect",0.55,0.35))))</f>
        <v/>
      </c>
      <c r="BD249">
        <f>IF(Z249="REG_CoRegulator",0.92,IF(Z249="REG_SelfSoother",0.76,IF(Z249="REG_Distractor",0.48,0.35)))</f>
        <v/>
      </c>
      <c r="BE249">
        <f>IF(AA249="LANG_Time",0.76,IF(AA249="LANG_Service",0.70,IF(AA249="LANG_Words",0.72,IF(AA249="LANG_Touch",0.68,0.60))))</f>
        <v/>
      </c>
      <c r="BF249">
        <f>MAX(0,MIN(1,0.28*AS249+0.16*AT249+0.18*BC249+0.18*BD249+0.10*(1-AZ249)+0.10*(1-BA249)+BB249))</f>
        <v/>
      </c>
      <c r="BG249">
        <f>MAX(0,MIN(1,0.24*AU249+0.18*AS249+0.18*BC249+0.20*BD249+0.10*(1-AW249)+0.10*(1-BA249)))</f>
        <v/>
      </c>
      <c r="BH249">
        <f>MAX(0,MIN(1,0.28*AR249+0.18*AT249+0.16*AU249+0.18*(1-AV249)+0.10*(1-AW249)+0.10*BF249))</f>
        <v/>
      </c>
      <c r="BI249">
        <f>MAX(0,MIN(1,0.30*AV249+0.20*AZ249+0.20*AW249+0.15*(1-BH249)+0.15*(1-BO249)))</f>
        <v/>
      </c>
      <c r="BJ249">
        <f>MAX(0,1-(ABS(((( AX249+AY249)/2)-0.55)*1.6)))</f>
        <v/>
      </c>
      <c r="BK249">
        <f>MAX(0,MIN(1,0.28*AR249+0.18*AT249+0.16*BJ249+0.14*(1-AV249)+0.12*BQ249+0.12*BO249))</f>
        <v/>
      </c>
      <c r="BL249">
        <f>MAX(0,MIN(1,0.22*AQ249+0.18*AS249+0.18*BC249+0.18*BD249+0.08*BE249+0.10*BF249+0.06*BO249))</f>
        <v/>
      </c>
      <c r="BM249">
        <f>MAX(0,MIN(1,0.20*(1-AZ249)+0.16*(1-BA249)+0.14*(1-AW249)+0.14*AU249+0.18*BG249+0.10*BH249+0.08*BP249))</f>
        <v/>
      </c>
      <c r="BN249">
        <f>MAX(0,MIN(1,0.42*BJ249+0.33*BK249+0.15*AT249+0.10*BQ249))</f>
        <v/>
      </c>
      <c r="BO249">
        <f>MAX(0,MIN(1,0.30*BC249+0.24*BD249+0.18*AS249+0.14*(1-BI249)+0.14*AT249))</f>
        <v/>
      </c>
      <c r="BP249">
        <f>MAX(0,MIN(1,0.26*AS249+0.20*(1-BA249)+0.16*(1-AW249)+0.18*BG249+0.10*AU249+0.10+BB249))</f>
        <v/>
      </c>
      <c r="BQ249">
        <f>MAX(0,MIN(1,0.24*AT249+0.18*BF249+0.14*AR249+0.14*BO249+0.14*(1-AV249)+0.16*(1-AZ249)))</f>
        <v/>
      </c>
      <c r="BR249">
        <f>IF(BO249&gt;=0.80,"Open",IF(BO249&gt;=0.62,"Measured",IF(BO249&gt;=0.45,"Selective","Guarded")))</f>
        <v/>
      </c>
      <c r="BS249">
        <f>IF(Y249="COMM_Direct","Direct",IF(Y249="COMM_Emotional","Emotional",IF(Y249="COMM_Logical","Logical",IF(Y249="COMM_Indirect","Indirect","Avoidant"))))</f>
        <v/>
      </c>
      <c r="BT249">
        <f>IF(BG249&gt;=0.78,"Co-repair",IF(BG249&gt;=0.58,"Re-engage",IF(BG249&gt;=0.40,"Delay","Suppress")))</f>
        <v/>
      </c>
      <c r="BU249">
        <f>IF(BI249&gt;=0.70,"Retreat-risk",IF(BH249&lt;=0.40,"Rush-risk",IF(BH249&gt;=0.65,"Slow-build","Mixed")))</f>
        <v/>
      </c>
      <c r="BV249">
        <f>IF(BL249-BM249&gt;=0.15,"Stimulation-seeking",IF(BM249-BL249&gt;=0.15,"Calm-seeking","Mixed")))</f>
        <v/>
      </c>
      <c r="BW249">
        <f>IF(AND(BL249&gt;=0.72,BM249&lt;0.48),"High",IF(AND(BL249&gt;=0.60,BM249&lt;0.58),"Medium","Low"))</f>
        <v/>
      </c>
    </row>
    <row r="250" ht="94.5" customHeight="1" s="10">
      <c r="A250" s="2" t="inlineStr">
        <is>
          <t>Q50_D</t>
        </is>
      </c>
      <c r="B250" s="2" t="n">
        <v>50</v>
      </c>
      <c r="C250" s="2" t="n">
        <v>50</v>
      </c>
      <c r="D250" s="2" t="inlineStr">
        <is>
          <t>Core</t>
        </is>
      </c>
      <c r="E250" s="2" t="n">
        <v>1.4</v>
      </c>
      <c r="F250" s="2" t="inlineStr">
        <is>
          <t>EmotionalNeeds</t>
        </is>
      </c>
      <c r="G250" s="2" t="inlineStr">
        <is>
          <t>IntimacyThreshold</t>
        </is>
      </c>
      <c r="H250" s="2" t="n"/>
      <c r="I250" s="2" t="inlineStr">
        <is>
          <t>D</t>
        </is>
      </c>
      <c r="J250" s="2" t="inlineStr">
        <is>
          <t>D</t>
        </is>
      </c>
      <c r="K250" s="2" t="inlineStr">
        <is>
          <t>That I'll mess it up. I take on so much, but I don't always know how to receive.</t>
        </is>
      </c>
      <c r="L250" s="2" t="n">
        <v>8</v>
      </c>
      <c r="M250" s="2" t="n">
        <v>9</v>
      </c>
      <c r="N250" s="2" t="n">
        <v>8</v>
      </c>
      <c r="O250" s="2" t="n">
        <v>10</v>
      </c>
      <c r="P250" s="2" t="n">
        <v>8</v>
      </c>
      <c r="Q250" s="2" t="inlineStr">
        <is>
          <t>Fixer</t>
        </is>
      </c>
      <c r="R250" s="2" t="n">
        <v>5</v>
      </c>
      <c r="S250" s="2" t="n"/>
      <c r="T250" s="2" t="n"/>
      <c r="U250" s="2" t="n">
        <v>0</v>
      </c>
      <c r="V250" s="2" t="inlineStr">
        <is>
          <t>masc:-0.4;fem:2.0</t>
        </is>
      </c>
      <c r="W250" s="2" t="n">
        <v>-0.4</v>
      </c>
      <c r="X250" s="2" t="n">
        <v>2</v>
      </c>
      <c r="Y250" s="2" t="inlineStr">
        <is>
          <t>COMM_Emotional</t>
        </is>
      </c>
      <c r="Z250" s="2" t="inlineStr">
        <is>
          <t>REG_CoRegulator</t>
        </is>
      </c>
      <c r="AA250" s="2" t="inlineStr">
        <is>
          <t>LANG_Service</t>
        </is>
      </c>
      <c r="AB250" s="2" t="n"/>
      <c r="AC250" s="2" t="n"/>
      <c r="AD250" s="2" t="n"/>
      <c r="AE250" s="2" t="n">
        <v>0</v>
      </c>
      <c r="AF250" s="2" t="inlineStr">
        <is>
          <t>love with no exit plan</t>
        </is>
      </c>
      <c r="AG250" s="2" t="inlineStr">
        <is>
          <t>overfunctioning partner</t>
        </is>
      </c>
      <c r="AH250" s="2" t="n">
        <v>0</v>
      </c>
      <c r="AI250" s="2" t="inlineStr">
        <is>
          <t>no</t>
        </is>
      </c>
      <c r="AJ250" s="2" t="inlineStr">
        <is>
          <t>no</t>
        </is>
      </c>
      <c r="AK250" s="2" t="inlineStr">
        <is>
          <t>no</t>
        </is>
      </c>
      <c r="AL250" s="2" t="inlineStr">
        <is>
          <t>no</t>
        </is>
      </c>
      <c r="AM250" s="2" t="n"/>
      <c r="AN250" s="2" t="n"/>
      <c r="AO250" s="2" t="n"/>
      <c r="AP250" s="2" t="inlineStr">
        <is>
          <t>v3_2026-03-19</t>
        </is>
      </c>
      <c r="AQ250">
        <f>(L250-Schema_v5!$C2)/(Schema_v5!$C3-Schema_v5!$C2)</f>
        <v/>
      </c>
      <c r="AR250">
        <f>(M250-Schema_v5!$C4)/(Schema_v5!$C5-Schema_v5!$C4)</f>
        <v/>
      </c>
      <c r="AS250">
        <f>N250/Schema_v5!$C6</f>
        <v/>
      </c>
      <c r="AT250">
        <f>O250/Schema_v5!$C7</f>
        <v/>
      </c>
      <c r="AU250">
        <f>P250/Schema_v5!$C8</f>
        <v/>
      </c>
      <c r="AV250">
        <f>IF(Schema_v5!$C9=0,0,AH250/Schema_v5!$C9)</f>
        <v/>
      </c>
      <c r="AW250">
        <f>IF(Schema_v5!$C10=0,0,AE250/Schema_v5!$C10)</f>
        <v/>
      </c>
      <c r="AX250">
        <f>(W250-Schema_v5!$C11)/(Schema_v5!$C12-Schema_v5!$C11)</f>
        <v/>
      </c>
      <c r="AY250">
        <f>(X250-Schema_v5!$C13)/(Schema_v5!$C14-Schema_v5!$C13)</f>
        <v/>
      </c>
      <c r="AZ250">
        <f>MIN(1,MAX(0,U250/Schema_v7!$C$9))</f>
        <v/>
      </c>
      <c r="BA250">
        <f>IF(AJ250="yes",0.55,0)</f>
        <v/>
      </c>
      <c r="BB250">
        <f>IF(AI250="yes",0.10,0)</f>
        <v/>
      </c>
      <c r="BC250">
        <f>IF(Y250="COMM_Direct",0.92,IF(Y250="COMM_Emotional",0.70,IF(Y250="COMM_Logical",0.65,IF(Y250="COMM_Indirect",0.55,0.35))))</f>
        <v/>
      </c>
      <c r="BD250">
        <f>IF(Z250="REG_CoRegulator",0.92,IF(Z250="REG_SelfSoother",0.76,IF(Z250="REG_Distractor",0.48,0.35)))</f>
        <v/>
      </c>
      <c r="BE250">
        <f>IF(AA250="LANG_Time",0.76,IF(AA250="LANG_Service",0.70,IF(AA250="LANG_Words",0.72,IF(AA250="LANG_Touch",0.68,0.60))))</f>
        <v/>
      </c>
      <c r="BF250">
        <f>MAX(0,MIN(1,0.28*AS250+0.16*AT250+0.18*BC250+0.18*BD250+0.10*(1-AZ250)+0.10*(1-BA250)+BB250))</f>
        <v/>
      </c>
      <c r="BG250">
        <f>MAX(0,MIN(1,0.24*AU250+0.18*AS250+0.18*BC250+0.20*BD250+0.10*(1-AW250)+0.10*(1-BA250)))</f>
        <v/>
      </c>
      <c r="BH250">
        <f>MAX(0,MIN(1,0.28*AR250+0.18*AT250+0.16*AU250+0.18*(1-AV250)+0.10*(1-AW250)+0.10*BF250))</f>
        <v/>
      </c>
      <c r="BI250">
        <f>MAX(0,MIN(1,0.30*AV250+0.20*AZ250+0.20*AW250+0.15*(1-BH250)+0.15*(1-BO250)))</f>
        <v/>
      </c>
      <c r="BJ250">
        <f>MAX(0,1-(ABS(((( AX250+AY250)/2)-0.55)*1.6)))</f>
        <v/>
      </c>
      <c r="BK250">
        <f>MAX(0,MIN(1,0.28*AR250+0.18*AT250+0.16*BJ250+0.14*(1-AV250)+0.12*BQ250+0.12*BO250))</f>
        <v/>
      </c>
      <c r="BL250">
        <f>MAX(0,MIN(1,0.22*AQ250+0.18*AS250+0.18*BC250+0.18*BD250+0.08*BE250+0.10*BF250+0.06*BO250))</f>
        <v/>
      </c>
      <c r="BM250">
        <f>MAX(0,MIN(1,0.20*(1-AZ250)+0.16*(1-BA250)+0.14*(1-AW250)+0.14*AU250+0.18*BG250+0.10*BH250+0.08*BP250))</f>
        <v/>
      </c>
      <c r="BN250">
        <f>MAX(0,MIN(1,0.42*BJ250+0.33*BK250+0.15*AT250+0.10*BQ250))</f>
        <v/>
      </c>
      <c r="BO250">
        <f>MAX(0,MIN(1,0.30*BC250+0.24*BD250+0.18*AS250+0.14*(1-BI250)+0.14*AT250))</f>
        <v/>
      </c>
      <c r="BP250">
        <f>MAX(0,MIN(1,0.26*AS250+0.20*(1-BA250)+0.16*(1-AW250)+0.18*BG250+0.10*AU250+0.10+BB250))</f>
        <v/>
      </c>
      <c r="BQ250">
        <f>MAX(0,MIN(1,0.24*AT250+0.18*BF250+0.14*AR250+0.14*BO250+0.14*(1-AV250)+0.16*(1-AZ250)))</f>
        <v/>
      </c>
      <c r="BR250">
        <f>IF(BO250&gt;=0.80,"Open",IF(BO250&gt;=0.62,"Measured",IF(BO250&gt;=0.45,"Selective","Guarded")))</f>
        <v/>
      </c>
      <c r="BS250">
        <f>IF(Y250="COMM_Direct","Direct",IF(Y250="COMM_Emotional","Emotional",IF(Y250="COMM_Logical","Logical",IF(Y250="COMM_Indirect","Indirect","Avoidant"))))</f>
        <v/>
      </c>
      <c r="BT250">
        <f>IF(BG250&gt;=0.78,"Co-repair",IF(BG250&gt;=0.58,"Re-engage",IF(BG250&gt;=0.40,"Delay","Suppress")))</f>
        <v/>
      </c>
      <c r="BU250">
        <f>IF(BI250&gt;=0.70,"Retreat-risk",IF(BH250&lt;=0.40,"Rush-risk",IF(BH250&gt;=0.65,"Slow-build","Mixed")))</f>
        <v/>
      </c>
      <c r="BV250">
        <f>IF(BL250-BM250&gt;=0.15,"Stimulation-seeking",IF(BM250-BL250&gt;=0.15,"Calm-seeking","Mixed")))</f>
        <v/>
      </c>
      <c r="BW250">
        <f>IF(AND(BL250&gt;=0.72,BM250&lt;0.48),"High",IF(AND(BL250&gt;=0.60,BM250&lt;0.58),"Medium","Low"))</f>
        <v/>
      </c>
    </row>
    <row r="251" ht="68.25" customHeight="1" s="10">
      <c r="A251" s="2" t="inlineStr">
        <is>
          <t>Q50_E</t>
        </is>
      </c>
      <c r="B251" s="2" t="n">
        <v>50</v>
      </c>
      <c r="C251" s="2" t="n">
        <v>50</v>
      </c>
      <c r="D251" s="2" t="inlineStr">
        <is>
          <t>Core</t>
        </is>
      </c>
      <c r="E251" s="2" t="n">
        <v>1.4</v>
      </c>
      <c r="F251" s="2" t="inlineStr">
        <is>
          <t>EmotionalNeeds</t>
        </is>
      </c>
      <c r="G251" s="2" t="inlineStr">
        <is>
          <t>IntimacyThreshold</t>
        </is>
      </c>
      <c r="H251" s="2" t="n"/>
      <c r="I251" s="2" t="inlineStr">
        <is>
          <t>E</t>
        </is>
      </c>
      <c r="J251" s="2" t="inlineStr">
        <is>
          <t>E</t>
        </is>
      </c>
      <c r="K251" s="2" t="inlineStr">
        <is>
          <t>That it won't last. Even good things leave. Even love like that.</t>
        </is>
      </c>
      <c r="L251" s="2" t="n">
        <v>9</v>
      </c>
      <c r="M251" s="2" t="n">
        <v>9</v>
      </c>
      <c r="N251" s="2" t="n">
        <v>8</v>
      </c>
      <c r="O251" s="2" t="n">
        <v>8</v>
      </c>
      <c r="P251" s="2" t="n">
        <v>6</v>
      </c>
      <c r="Q251" s="2" t="inlineStr">
        <is>
          <t>Romantic Idealist</t>
        </is>
      </c>
      <c r="R251" s="2" t="n">
        <v>6</v>
      </c>
      <c r="S251" s="2" t="n"/>
      <c r="T251" s="2" t="n"/>
      <c r="U251" s="2" t="n">
        <v>0</v>
      </c>
      <c r="V251" s="2" t="inlineStr">
        <is>
          <t>masc:-0.4;fem:1.5</t>
        </is>
      </c>
      <c r="W251" s="2" t="n">
        <v>-0.4</v>
      </c>
      <c r="X251" s="2" t="n">
        <v>1.5</v>
      </c>
      <c r="Y251" s="2" t="inlineStr">
        <is>
          <t>COMM_Emotional</t>
        </is>
      </c>
      <c r="Z251" s="2" t="inlineStr">
        <is>
          <t>REG_Distractor</t>
        </is>
      </c>
      <c r="AA251" s="2" t="inlineStr">
        <is>
          <t>LANG_Gifts</t>
        </is>
      </c>
      <c r="AB251" s="2" t="n"/>
      <c r="AC251" s="2" t="n"/>
      <c r="AD251" s="2" t="n"/>
      <c r="AE251" s="2" t="n">
        <v>0</v>
      </c>
      <c r="AF251" s="2" t="inlineStr">
        <is>
          <t>hope tainted by history</t>
        </is>
      </c>
      <c r="AG251" s="2" t="inlineStr">
        <is>
          <t>cautious romantic</t>
        </is>
      </c>
      <c r="AH251" s="2" t="n">
        <v>0</v>
      </c>
      <c r="AI251" s="2" t="inlineStr">
        <is>
          <t>no</t>
        </is>
      </c>
      <c r="AJ251" s="2" t="inlineStr">
        <is>
          <t>no</t>
        </is>
      </c>
      <c r="AK251" s="2" t="inlineStr">
        <is>
          <t>no</t>
        </is>
      </c>
      <c r="AL251" s="2" t="inlineStr">
        <is>
          <t>no</t>
        </is>
      </c>
      <c r="AM251" s="2" t="n"/>
      <c r="AN251" s="2" t="n"/>
      <c r="AO251" s="2" t="n"/>
      <c r="AP251" s="2" t="inlineStr">
        <is>
          <t>v3_2026-03-19</t>
        </is>
      </c>
      <c r="AQ251">
        <f>(L251-Schema_v5!$C2)/(Schema_v5!$C3-Schema_v5!$C2)</f>
        <v/>
      </c>
      <c r="AR251">
        <f>(M251-Schema_v5!$C4)/(Schema_v5!$C5-Schema_v5!$C4)</f>
        <v/>
      </c>
      <c r="AS251">
        <f>N251/Schema_v5!$C6</f>
        <v/>
      </c>
      <c r="AT251">
        <f>O251/Schema_v5!$C7</f>
        <v/>
      </c>
      <c r="AU251">
        <f>P251/Schema_v5!$C8</f>
        <v/>
      </c>
      <c r="AV251">
        <f>IF(Schema_v5!$C9=0,0,AH251/Schema_v5!$C9)</f>
        <v/>
      </c>
      <c r="AW251">
        <f>IF(Schema_v5!$C10=0,0,AE251/Schema_v5!$C10)</f>
        <v/>
      </c>
      <c r="AX251">
        <f>(W251-Schema_v5!$C11)/(Schema_v5!$C12-Schema_v5!$C11)</f>
        <v/>
      </c>
      <c r="AY251">
        <f>(X251-Schema_v5!$C13)/(Schema_v5!$C14-Schema_v5!$C13)</f>
        <v/>
      </c>
      <c r="AZ251">
        <f>MIN(1,MAX(0,U251/Schema_v7!$C$9))</f>
        <v/>
      </c>
      <c r="BA251">
        <f>IF(AJ251="yes",0.55,0)</f>
        <v/>
      </c>
      <c r="BB251">
        <f>IF(AI251="yes",0.10,0)</f>
        <v/>
      </c>
      <c r="BC251">
        <f>IF(Y251="COMM_Direct",0.92,IF(Y251="COMM_Emotional",0.70,IF(Y251="COMM_Logical",0.65,IF(Y251="COMM_Indirect",0.55,0.35))))</f>
        <v/>
      </c>
      <c r="BD251">
        <f>IF(Z251="REG_CoRegulator",0.92,IF(Z251="REG_SelfSoother",0.76,IF(Z251="REG_Distractor",0.48,0.35)))</f>
        <v/>
      </c>
      <c r="BE251">
        <f>IF(AA251="LANG_Time",0.76,IF(AA251="LANG_Service",0.70,IF(AA251="LANG_Words",0.72,IF(AA251="LANG_Touch",0.68,0.60))))</f>
        <v/>
      </c>
      <c r="BF251">
        <f>MAX(0,MIN(1,0.28*AS251+0.16*AT251+0.18*BC251+0.18*BD251+0.10*(1-AZ251)+0.10*(1-BA251)+BB251))</f>
        <v/>
      </c>
      <c r="BG251">
        <f>MAX(0,MIN(1,0.24*AU251+0.18*AS251+0.18*BC251+0.20*BD251+0.10*(1-AW251)+0.10*(1-BA251)))</f>
        <v/>
      </c>
      <c r="BH251">
        <f>MAX(0,MIN(1,0.28*AR251+0.18*AT251+0.16*AU251+0.18*(1-AV251)+0.10*(1-AW251)+0.10*BF251))</f>
        <v/>
      </c>
      <c r="BI251">
        <f>MAX(0,MIN(1,0.30*AV251+0.20*AZ251+0.20*AW251+0.15*(1-BH251)+0.15*(1-BO251)))</f>
        <v/>
      </c>
      <c r="BJ251">
        <f>MAX(0,1-(ABS(((( AX251+AY251)/2)-0.55)*1.6)))</f>
        <v/>
      </c>
      <c r="BK251">
        <f>MAX(0,MIN(1,0.28*AR251+0.18*AT251+0.16*BJ251+0.14*(1-AV251)+0.12*BQ251+0.12*BO251))</f>
        <v/>
      </c>
      <c r="BL251">
        <f>MAX(0,MIN(1,0.22*AQ251+0.18*AS251+0.18*BC251+0.18*BD251+0.08*BE251+0.10*BF251+0.06*BO251))</f>
        <v/>
      </c>
      <c r="BM251">
        <f>MAX(0,MIN(1,0.20*(1-AZ251)+0.16*(1-BA251)+0.14*(1-AW251)+0.14*AU251+0.18*BG251+0.10*BH251+0.08*BP251))</f>
        <v/>
      </c>
      <c r="BN251">
        <f>MAX(0,MIN(1,0.42*BJ251+0.33*BK251+0.15*AT251+0.10*BQ251))</f>
        <v/>
      </c>
      <c r="BO251">
        <f>MAX(0,MIN(1,0.30*BC251+0.24*BD251+0.18*AS251+0.14*(1-BI251)+0.14*AT251))</f>
        <v/>
      </c>
      <c r="BP251">
        <f>MAX(0,MIN(1,0.26*AS251+0.20*(1-BA251)+0.16*(1-AW251)+0.18*BG251+0.10*AU251+0.10+BB251))</f>
        <v/>
      </c>
      <c r="BQ251">
        <f>MAX(0,MIN(1,0.24*AT251+0.18*BF251+0.14*AR251+0.14*BO251+0.14*(1-AV251)+0.16*(1-AZ251)))</f>
        <v/>
      </c>
      <c r="BR251">
        <f>IF(BO251&gt;=0.80,"Open",IF(BO251&gt;=0.62,"Measured",IF(BO251&gt;=0.45,"Selective","Guarded")))</f>
        <v/>
      </c>
      <c r="BS251">
        <f>IF(Y251="COMM_Direct","Direct",IF(Y251="COMM_Emotional","Emotional",IF(Y251="COMM_Logical","Logical",IF(Y251="COMM_Indirect","Indirect","Avoidant"))))</f>
        <v/>
      </c>
      <c r="BT251">
        <f>IF(BG251&gt;=0.78,"Co-repair",IF(BG251&gt;=0.58,"Re-engage",IF(BG251&gt;=0.40,"Delay","Suppress")))</f>
        <v/>
      </c>
      <c r="BU251">
        <f>IF(BI251&gt;=0.70,"Retreat-risk",IF(BH251&lt;=0.40,"Rush-risk",IF(BH251&gt;=0.65,"Slow-build","Mixed")))</f>
        <v/>
      </c>
      <c r="BV251">
        <f>IF(BL251-BM251&gt;=0.15,"Stimulation-seeking",IF(BM251-BL251&gt;=0.15,"Calm-seeking","Mixed")))</f>
        <v/>
      </c>
      <c r="BW251">
        <f>IF(AND(BL251&gt;=0.72,BM251&lt;0.48),"High",IF(AND(BL251&gt;=0.60,BM251&lt;0.58),"Medium","Low"))</f>
        <v/>
      </c>
    </row>
    <row r="252" ht="68.25" customHeight="1" s="10">
      <c r="A252" s="2" t="inlineStr">
        <is>
          <t>Q51_A</t>
        </is>
      </c>
      <c r="B252" s="2" t="n">
        <v>51</v>
      </c>
      <c r="C252" s="2" t="n">
        <v>100</v>
      </c>
      <c r="D252" s="2" t="inlineStr">
        <is>
          <t>Shadow</t>
        </is>
      </c>
      <c r="E252" s="2" t="n">
        <v>1.3</v>
      </c>
      <c r="F252" s="2" t="inlineStr">
        <is>
          <t>ShadowPattern</t>
        </is>
      </c>
      <c r="G252" s="2" t="inlineStr">
        <is>
          <t>IntegrityRisk</t>
        </is>
      </c>
      <c r="H252" s="2" t="inlineStr">
        <is>
          <t>You realize they like you more than you like them. What do you do?</t>
        </is>
      </c>
      <c r="I252" s="2" t="inlineStr">
        <is>
          <t>A</t>
        </is>
      </c>
      <c r="J252" s="2" t="inlineStr">
        <is>
          <t>A</t>
        </is>
      </c>
      <c r="K252" s="2" t="inlineStr">
        <is>
          <t>I turn it into a game-see how far they'll go.</t>
        </is>
      </c>
      <c r="L252" s="2" t="n">
        <v>4</v>
      </c>
      <c r="M252" s="2" t="n"/>
      <c r="N252" s="2" t="n">
        <v>4</v>
      </c>
      <c r="O252" s="2" t="n">
        <v>4</v>
      </c>
      <c r="P252" s="2" t="n">
        <v>4</v>
      </c>
      <c r="Q252" s="2" t="n"/>
      <c r="R252" s="2" t="n"/>
      <c r="S252" s="2" t="inlineStr">
        <is>
          <t>Manipulator</t>
        </is>
      </c>
      <c r="T252" s="2" t="n">
        <v>1</v>
      </c>
      <c r="U252" s="2" t="n">
        <v>6</v>
      </c>
      <c r="V252" s="2" t="inlineStr">
        <is>
          <t>masc:0.0;fem:0.0</t>
        </is>
      </c>
      <c r="W252" s="2" t="n">
        <v>0</v>
      </c>
      <c r="X252" s="2" t="n">
        <v>0</v>
      </c>
      <c r="Y252" s="2" t="n"/>
      <c r="Z252" s="2" t="n"/>
      <c r="AA252" s="2" t="n"/>
      <c r="AB252" s="2" t="n"/>
      <c r="AC252" s="2" t="n"/>
      <c r="AD252" s="2" t="n"/>
      <c r="AE252" s="2" t="n">
        <v>0</v>
      </c>
      <c r="AF252" s="2" t="n"/>
      <c r="AG252" s="2" t="n"/>
      <c r="AH252" s="2" t="n">
        <v>0.6</v>
      </c>
      <c r="AI252" s="2" t="inlineStr">
        <is>
          <t>no</t>
        </is>
      </c>
      <c r="AJ252" s="2" t="inlineStr">
        <is>
          <t>yes</t>
        </is>
      </c>
      <c r="AK252" s="2" t="inlineStr">
        <is>
          <t>no</t>
        </is>
      </c>
      <c r="AL252" s="2" t="inlineStr">
        <is>
          <t>no</t>
        </is>
      </c>
      <c r="AM252" s="2" t="n"/>
      <c r="AN252" s="2" t="n"/>
      <c r="AO252" s="2" t="n"/>
      <c r="AP252" s="2" t="inlineStr">
        <is>
          <t>v3_2026-03-19</t>
        </is>
      </c>
      <c r="AQ252">
        <f>(L252-Schema_v5!$C2)/(Schema_v5!$C3-Schema_v5!$C2)</f>
        <v/>
      </c>
      <c r="AR252">
        <f>(M252-Schema_v5!$C4)/(Schema_v5!$C5-Schema_v5!$C4)</f>
        <v/>
      </c>
      <c r="AS252">
        <f>N252/Schema_v5!$C6</f>
        <v/>
      </c>
      <c r="AT252">
        <f>O252/Schema_v5!$C7</f>
        <v/>
      </c>
      <c r="AU252">
        <f>P252/Schema_v5!$C8</f>
        <v/>
      </c>
      <c r="AV252">
        <f>IF(Schema_v5!$C9=0,0,AH252/Schema_v5!$C9)</f>
        <v/>
      </c>
      <c r="AW252">
        <f>IF(Schema_v5!$C10=0,0,AE252/Schema_v5!$C10)</f>
        <v/>
      </c>
      <c r="AX252">
        <f>(W252-Schema_v5!$C11)/(Schema_v5!$C12-Schema_v5!$C11)</f>
        <v/>
      </c>
      <c r="AY252">
        <f>(X252-Schema_v5!$C13)/(Schema_v5!$C14-Schema_v5!$C13)</f>
        <v/>
      </c>
      <c r="AZ252">
        <f>MIN(1,MAX(0,U252/Schema_v7!$C$9))</f>
        <v/>
      </c>
      <c r="BA252">
        <f>IF(AJ252="yes",0.55,0)</f>
        <v/>
      </c>
      <c r="BB252">
        <f>IF(AI252="yes",0.10,0)</f>
        <v/>
      </c>
      <c r="BC252">
        <f>IF(Y252="COMM_Direct",0.92,IF(Y252="COMM_Emotional",0.70,IF(Y252="COMM_Logical",0.65,IF(Y252="COMM_Indirect",0.55,0.35))))</f>
        <v/>
      </c>
      <c r="BD252">
        <f>IF(Z252="REG_CoRegulator",0.92,IF(Z252="REG_SelfSoother",0.76,IF(Z252="REG_Distractor",0.48,0.35)))</f>
        <v/>
      </c>
      <c r="BE252">
        <f>IF(AA252="LANG_Time",0.76,IF(AA252="LANG_Service",0.70,IF(AA252="LANG_Words",0.72,IF(AA252="LANG_Touch",0.68,0.60))))</f>
        <v/>
      </c>
      <c r="BF252">
        <f>MAX(0,MIN(1,0.28*AS252+0.16*AT252+0.18*BC252+0.18*BD252+0.10*(1-AZ252)+0.10*(1-BA252)+BB252))</f>
        <v/>
      </c>
      <c r="BG252">
        <f>MAX(0,MIN(1,0.24*AU252+0.18*AS252+0.18*BC252+0.20*BD252+0.10*(1-AW252)+0.10*(1-BA252)))</f>
        <v/>
      </c>
      <c r="BH252">
        <f>MAX(0,MIN(1,0.28*AR252+0.18*AT252+0.16*AU252+0.18*(1-AV252)+0.10*(1-AW252)+0.10*BF252))</f>
        <v/>
      </c>
      <c r="BI252">
        <f>MAX(0,MIN(1,0.30*AV252+0.20*AZ252+0.20*AW252+0.15*(1-BH252)+0.15*(1-BO252)))</f>
        <v/>
      </c>
      <c r="BJ252">
        <f>MAX(0,1-(ABS(((( AX252+AY252)/2)-0.55)*1.6)))</f>
        <v/>
      </c>
      <c r="BK252">
        <f>MAX(0,MIN(1,0.28*AR252+0.18*AT252+0.16*BJ252+0.14*(1-AV252)+0.12*BQ252+0.12*BO252))</f>
        <v/>
      </c>
      <c r="BL252">
        <f>MAX(0,MIN(1,0.22*AQ252+0.18*AS252+0.18*BC252+0.18*BD252+0.08*BE252+0.10*BF252+0.06*BO252))</f>
        <v/>
      </c>
      <c r="BM252">
        <f>MAX(0,MIN(1,0.20*(1-AZ252)+0.16*(1-BA252)+0.14*(1-AW252)+0.14*AU252+0.18*BG252+0.10*BH252+0.08*BP252))</f>
        <v/>
      </c>
      <c r="BN252">
        <f>MAX(0,MIN(1,0.42*BJ252+0.33*BK252+0.15*AT252+0.10*BQ252))</f>
        <v/>
      </c>
      <c r="BO252">
        <f>MAX(0,MIN(1,0.30*BC252+0.24*BD252+0.18*AS252+0.14*(1-BI252)+0.14*AT252))</f>
        <v/>
      </c>
      <c r="BP252">
        <f>MAX(0,MIN(1,0.26*AS252+0.20*(1-BA252)+0.16*(1-AW252)+0.18*BG252+0.10*AU252+0.10+BB252))</f>
        <v/>
      </c>
      <c r="BQ252">
        <f>MAX(0,MIN(1,0.24*AT252+0.18*BF252+0.14*AR252+0.14*BO252+0.14*(1-AV252)+0.16*(1-AZ252)))</f>
        <v/>
      </c>
      <c r="BR252">
        <f>IF(BO252&gt;=0.80,"Open",IF(BO252&gt;=0.62,"Measured",IF(BO252&gt;=0.45,"Selective","Guarded")))</f>
        <v/>
      </c>
      <c r="BS252">
        <f>IF(Y252="COMM_Direct","Direct",IF(Y252="COMM_Emotional","Emotional",IF(Y252="COMM_Logical","Logical",IF(Y252="COMM_Indirect","Indirect","Avoidant"))))</f>
        <v/>
      </c>
      <c r="BT252">
        <f>IF(BG252&gt;=0.78,"Co-repair",IF(BG252&gt;=0.58,"Re-engage",IF(BG252&gt;=0.40,"Delay","Suppress")))</f>
        <v/>
      </c>
      <c r="BU252">
        <f>IF(BI252&gt;=0.70,"Retreat-risk",IF(BH252&lt;=0.40,"Rush-risk",IF(BH252&gt;=0.65,"Slow-build","Mixed")))</f>
        <v/>
      </c>
      <c r="BV252">
        <f>IF(BL252-BM252&gt;=0.15,"Stimulation-seeking",IF(BM252-BL252&gt;=0.15,"Calm-seeking","Mixed")))</f>
        <v/>
      </c>
      <c r="BW252">
        <f>IF(AND(BL252&gt;=0.72,BM252&lt;0.48),"High",IF(AND(BL252&gt;=0.60,BM252&lt;0.58),"Medium","Low"))</f>
        <v/>
      </c>
    </row>
    <row r="253" ht="54.75" customHeight="1" s="10">
      <c r="A253" s="2" t="inlineStr">
        <is>
          <t>Q51_B</t>
        </is>
      </c>
      <c r="B253" s="2" t="n">
        <v>51</v>
      </c>
      <c r="C253" s="2" t="n">
        <v>100</v>
      </c>
      <c r="D253" s="2" t="inlineStr">
        <is>
          <t>Shadow</t>
        </is>
      </c>
      <c r="E253" s="2" t="n">
        <v>1.3</v>
      </c>
      <c r="F253" s="2" t="inlineStr">
        <is>
          <t>ShadowPattern</t>
        </is>
      </c>
      <c r="G253" s="2" t="inlineStr">
        <is>
          <t>IntegrityRisk</t>
        </is>
      </c>
      <c r="H253" s="2" t="n"/>
      <c r="I253" s="2" t="inlineStr">
        <is>
          <t>B</t>
        </is>
      </c>
      <c r="J253" s="2" t="inlineStr">
        <is>
          <t>B</t>
        </is>
      </c>
      <c r="K253" s="2" t="inlineStr">
        <is>
          <t>I get colder. They'll back off eventually.</t>
        </is>
      </c>
      <c r="L253" s="2" t="n">
        <v>3</v>
      </c>
      <c r="M253" s="2" t="n"/>
      <c r="N253" s="2" t="n">
        <v>6</v>
      </c>
      <c r="O253" s="2" t="n">
        <v>6</v>
      </c>
      <c r="P253" s="2" t="n">
        <v>6</v>
      </c>
      <c r="Q253" s="2" t="n"/>
      <c r="R253" s="2" t="n"/>
      <c r="S253" s="2" t="inlineStr">
        <is>
          <t>Stonewaller</t>
        </is>
      </c>
      <c r="T253" s="2" t="n">
        <v>2</v>
      </c>
      <c r="U253" s="2" t="n">
        <v>4</v>
      </c>
      <c r="V253" s="2" t="inlineStr">
        <is>
          <t>masc:0.0;fem:0.0</t>
        </is>
      </c>
      <c r="W253" s="2" t="n">
        <v>0</v>
      </c>
      <c r="X253" s="2" t="n">
        <v>0</v>
      </c>
      <c r="Y253" s="2" t="n"/>
      <c r="Z253" s="2" t="n"/>
      <c r="AA253" s="2" t="n"/>
      <c r="AB253" s="2" t="n"/>
      <c r="AC253" s="2" t="n"/>
      <c r="AD253" s="2" t="n"/>
      <c r="AE253" s="2" t="n">
        <v>0</v>
      </c>
      <c r="AF253" s="2" t="n"/>
      <c r="AG253" s="2" t="n"/>
      <c r="AH253" s="2" t="n">
        <v>1.2</v>
      </c>
      <c r="AI253" s="2" t="inlineStr">
        <is>
          <t>no</t>
        </is>
      </c>
      <c r="AJ253" s="2" t="inlineStr">
        <is>
          <t>yes</t>
        </is>
      </c>
      <c r="AK253" s="2" t="inlineStr">
        <is>
          <t>no</t>
        </is>
      </c>
      <c r="AL253" s="2" t="inlineStr">
        <is>
          <t>no</t>
        </is>
      </c>
      <c r="AM253" s="2" t="n"/>
      <c r="AN253" s="2" t="n"/>
      <c r="AO253" s="2" t="n"/>
      <c r="AP253" s="2" t="inlineStr">
        <is>
          <t>v3_2026-03-19</t>
        </is>
      </c>
      <c r="AQ253">
        <f>(L253-Schema_v5!$C2)/(Schema_v5!$C3-Schema_v5!$C2)</f>
        <v/>
      </c>
      <c r="AR253">
        <f>(M253-Schema_v5!$C4)/(Schema_v5!$C5-Schema_v5!$C4)</f>
        <v/>
      </c>
      <c r="AS253">
        <f>N253/Schema_v5!$C6</f>
        <v/>
      </c>
      <c r="AT253">
        <f>O253/Schema_v5!$C7</f>
        <v/>
      </c>
      <c r="AU253">
        <f>P253/Schema_v5!$C8</f>
        <v/>
      </c>
      <c r="AV253">
        <f>IF(Schema_v5!$C9=0,0,AH253/Schema_v5!$C9)</f>
        <v/>
      </c>
      <c r="AW253">
        <f>IF(Schema_v5!$C10=0,0,AE253/Schema_v5!$C10)</f>
        <v/>
      </c>
      <c r="AX253">
        <f>(W253-Schema_v5!$C11)/(Schema_v5!$C12-Schema_v5!$C11)</f>
        <v/>
      </c>
      <c r="AY253">
        <f>(X253-Schema_v5!$C13)/(Schema_v5!$C14-Schema_v5!$C13)</f>
        <v/>
      </c>
      <c r="AZ253">
        <f>MIN(1,MAX(0,U253/Schema_v7!$C$9))</f>
        <v/>
      </c>
      <c r="BA253">
        <f>IF(AJ253="yes",0.55,0)</f>
        <v/>
      </c>
      <c r="BB253">
        <f>IF(AI253="yes",0.10,0)</f>
        <v/>
      </c>
      <c r="BC253">
        <f>IF(Y253="COMM_Direct",0.92,IF(Y253="COMM_Emotional",0.70,IF(Y253="COMM_Logical",0.65,IF(Y253="COMM_Indirect",0.55,0.35))))</f>
        <v/>
      </c>
      <c r="BD253">
        <f>IF(Z253="REG_CoRegulator",0.92,IF(Z253="REG_SelfSoother",0.76,IF(Z253="REG_Distractor",0.48,0.35)))</f>
        <v/>
      </c>
      <c r="BE253">
        <f>IF(AA253="LANG_Time",0.76,IF(AA253="LANG_Service",0.70,IF(AA253="LANG_Words",0.72,IF(AA253="LANG_Touch",0.68,0.60))))</f>
        <v/>
      </c>
      <c r="BF253">
        <f>MAX(0,MIN(1,0.28*AS253+0.16*AT253+0.18*BC253+0.18*BD253+0.10*(1-AZ253)+0.10*(1-BA253)+BB253))</f>
        <v/>
      </c>
      <c r="BG253">
        <f>MAX(0,MIN(1,0.24*AU253+0.18*AS253+0.18*BC253+0.20*BD253+0.10*(1-AW253)+0.10*(1-BA253)))</f>
        <v/>
      </c>
      <c r="BH253">
        <f>MAX(0,MIN(1,0.28*AR253+0.18*AT253+0.16*AU253+0.18*(1-AV253)+0.10*(1-AW253)+0.10*BF253))</f>
        <v/>
      </c>
      <c r="BI253">
        <f>MAX(0,MIN(1,0.30*AV253+0.20*AZ253+0.20*AW253+0.15*(1-BH253)+0.15*(1-BO253)))</f>
        <v/>
      </c>
      <c r="BJ253">
        <f>MAX(0,1-(ABS(((( AX253+AY253)/2)-0.55)*1.6)))</f>
        <v/>
      </c>
      <c r="BK253">
        <f>MAX(0,MIN(1,0.28*AR253+0.18*AT253+0.16*BJ253+0.14*(1-AV253)+0.12*BQ253+0.12*BO253))</f>
        <v/>
      </c>
      <c r="BL253">
        <f>MAX(0,MIN(1,0.22*AQ253+0.18*AS253+0.18*BC253+0.18*BD253+0.08*BE253+0.10*BF253+0.06*BO253))</f>
        <v/>
      </c>
      <c r="BM253">
        <f>MAX(0,MIN(1,0.20*(1-AZ253)+0.16*(1-BA253)+0.14*(1-AW253)+0.14*AU253+0.18*BG253+0.10*BH253+0.08*BP253))</f>
        <v/>
      </c>
      <c r="BN253">
        <f>MAX(0,MIN(1,0.42*BJ253+0.33*BK253+0.15*AT253+0.10*BQ253))</f>
        <v/>
      </c>
      <c r="BO253">
        <f>MAX(0,MIN(1,0.30*BC253+0.24*BD253+0.18*AS253+0.14*(1-BI253)+0.14*AT253))</f>
        <v/>
      </c>
      <c r="BP253">
        <f>MAX(0,MIN(1,0.26*AS253+0.20*(1-BA253)+0.16*(1-AW253)+0.18*BG253+0.10*AU253+0.10+BB253))</f>
        <v/>
      </c>
      <c r="BQ253">
        <f>MAX(0,MIN(1,0.24*AT253+0.18*BF253+0.14*AR253+0.14*BO253+0.14*(1-AV253)+0.16*(1-AZ253)))</f>
        <v/>
      </c>
      <c r="BR253">
        <f>IF(BO253&gt;=0.80,"Open",IF(BO253&gt;=0.62,"Measured",IF(BO253&gt;=0.45,"Selective","Guarded")))</f>
        <v/>
      </c>
      <c r="BS253">
        <f>IF(Y253="COMM_Direct","Direct",IF(Y253="COMM_Emotional","Emotional",IF(Y253="COMM_Logical","Logical",IF(Y253="COMM_Indirect","Indirect","Avoidant"))))</f>
        <v/>
      </c>
      <c r="BT253">
        <f>IF(BG253&gt;=0.78,"Co-repair",IF(BG253&gt;=0.58,"Re-engage",IF(BG253&gt;=0.40,"Delay","Suppress")))</f>
        <v/>
      </c>
      <c r="BU253">
        <f>IF(BI253&gt;=0.70,"Retreat-risk",IF(BH253&lt;=0.40,"Rush-risk",IF(BH253&gt;=0.65,"Slow-build","Mixed")))</f>
        <v/>
      </c>
      <c r="BV253">
        <f>IF(BL253-BM253&gt;=0.15,"Stimulation-seeking",IF(BM253-BL253&gt;=0.15,"Calm-seeking","Mixed")))</f>
        <v/>
      </c>
      <c r="BW253">
        <f>IF(AND(BL253&gt;=0.72,BM253&lt;0.48),"High",IF(AND(BL253&gt;=0.60,BM253&lt;0.58),"Medium","Low"))</f>
        <v/>
      </c>
    </row>
    <row r="254" ht="54.75" customHeight="1" s="10">
      <c r="A254" s="2" t="inlineStr">
        <is>
          <t>Q51_C</t>
        </is>
      </c>
      <c r="B254" s="2" t="n">
        <v>51</v>
      </c>
      <c r="C254" s="2" t="n">
        <v>100</v>
      </c>
      <c r="D254" s="2" t="inlineStr">
        <is>
          <t>Shadow</t>
        </is>
      </c>
      <c r="E254" s="2" t="n">
        <v>1.3</v>
      </c>
      <c r="F254" s="2" t="inlineStr">
        <is>
          <t>ShadowPattern</t>
        </is>
      </c>
      <c r="G254" s="2" t="inlineStr">
        <is>
          <t>IntegrityRisk</t>
        </is>
      </c>
      <c r="H254" s="2" t="n"/>
      <c r="I254" s="2" t="inlineStr">
        <is>
          <t>C</t>
        </is>
      </c>
      <c r="J254" s="2" t="inlineStr">
        <is>
          <t>C</t>
        </is>
      </c>
      <c r="K254" s="2" t="inlineStr">
        <is>
          <t>I say the right things... even if I don't mean them.</t>
        </is>
      </c>
      <c r="L254" s="2" t="n">
        <v>5</v>
      </c>
      <c r="M254" s="2" t="n"/>
      <c r="N254" s="2" t="n">
        <v>4</v>
      </c>
      <c r="O254" s="2" t="n">
        <v>4</v>
      </c>
      <c r="P254" s="2" t="n">
        <v>4</v>
      </c>
      <c r="Q254" s="2" t="n"/>
      <c r="R254" s="2" t="n"/>
      <c r="S254" s="2" t="inlineStr">
        <is>
          <t>Love Bomber</t>
        </is>
      </c>
      <c r="T254" s="2" t="n">
        <v>3</v>
      </c>
      <c r="U254" s="2" t="n">
        <v>6</v>
      </c>
      <c r="V254" s="2" t="inlineStr">
        <is>
          <t>masc:0.0;fem:0.0</t>
        </is>
      </c>
      <c r="W254" s="2" t="n">
        <v>0</v>
      </c>
      <c r="X254" s="2" t="n">
        <v>0</v>
      </c>
      <c r="Y254" s="2" t="n"/>
      <c r="Z254" s="2" t="n"/>
      <c r="AA254" s="2" t="n"/>
      <c r="AB254" s="2" t="n"/>
      <c r="AC254" s="2" t="n"/>
      <c r="AD254" s="2" t="n"/>
      <c r="AE254" s="2" t="n">
        <v>0</v>
      </c>
      <c r="AF254" s="2" t="n"/>
      <c r="AG254" s="2" t="n"/>
      <c r="AH254" s="2" t="n">
        <v>0</v>
      </c>
      <c r="AI254" s="2" t="inlineStr">
        <is>
          <t>no</t>
        </is>
      </c>
      <c r="AJ254" s="2" t="inlineStr">
        <is>
          <t>no</t>
        </is>
      </c>
      <c r="AK254" s="2" t="inlineStr">
        <is>
          <t>no</t>
        </is>
      </c>
      <c r="AL254" s="2" t="inlineStr">
        <is>
          <t>no</t>
        </is>
      </c>
      <c r="AM254" s="2" t="n"/>
      <c r="AN254" s="2" t="n"/>
      <c r="AO254" s="2" t="n"/>
      <c r="AP254" s="2" t="inlineStr">
        <is>
          <t>v3_2026-03-19</t>
        </is>
      </c>
      <c r="AQ254">
        <f>(L254-Schema_v5!$C2)/(Schema_v5!$C3-Schema_v5!$C2)</f>
        <v/>
      </c>
      <c r="AR254">
        <f>(M254-Schema_v5!$C4)/(Schema_v5!$C5-Schema_v5!$C4)</f>
        <v/>
      </c>
      <c r="AS254">
        <f>N254/Schema_v5!$C6</f>
        <v/>
      </c>
      <c r="AT254">
        <f>O254/Schema_v5!$C7</f>
        <v/>
      </c>
      <c r="AU254">
        <f>P254/Schema_v5!$C8</f>
        <v/>
      </c>
      <c r="AV254">
        <f>IF(Schema_v5!$C9=0,0,AH254/Schema_v5!$C9)</f>
        <v/>
      </c>
      <c r="AW254">
        <f>IF(Schema_v5!$C10=0,0,AE254/Schema_v5!$C10)</f>
        <v/>
      </c>
      <c r="AX254">
        <f>(W254-Schema_v5!$C11)/(Schema_v5!$C12-Schema_v5!$C11)</f>
        <v/>
      </c>
      <c r="AY254">
        <f>(X254-Schema_v5!$C13)/(Schema_v5!$C14-Schema_v5!$C13)</f>
        <v/>
      </c>
      <c r="AZ254">
        <f>MIN(1,MAX(0,U254/Schema_v7!$C$9))</f>
        <v/>
      </c>
      <c r="BA254">
        <f>IF(AJ254="yes",0.55,0)</f>
        <v/>
      </c>
      <c r="BB254">
        <f>IF(AI254="yes",0.10,0)</f>
        <v/>
      </c>
      <c r="BC254">
        <f>IF(Y254="COMM_Direct",0.92,IF(Y254="COMM_Emotional",0.70,IF(Y254="COMM_Logical",0.65,IF(Y254="COMM_Indirect",0.55,0.35))))</f>
        <v/>
      </c>
      <c r="BD254">
        <f>IF(Z254="REG_CoRegulator",0.92,IF(Z254="REG_SelfSoother",0.76,IF(Z254="REG_Distractor",0.48,0.35)))</f>
        <v/>
      </c>
      <c r="BE254">
        <f>IF(AA254="LANG_Time",0.76,IF(AA254="LANG_Service",0.70,IF(AA254="LANG_Words",0.72,IF(AA254="LANG_Touch",0.68,0.60))))</f>
        <v/>
      </c>
      <c r="BF254">
        <f>MAX(0,MIN(1,0.28*AS254+0.16*AT254+0.18*BC254+0.18*BD254+0.10*(1-AZ254)+0.10*(1-BA254)+BB254))</f>
        <v/>
      </c>
      <c r="BG254">
        <f>MAX(0,MIN(1,0.24*AU254+0.18*AS254+0.18*BC254+0.20*BD254+0.10*(1-AW254)+0.10*(1-BA254)))</f>
        <v/>
      </c>
      <c r="BH254">
        <f>MAX(0,MIN(1,0.28*AR254+0.18*AT254+0.16*AU254+0.18*(1-AV254)+0.10*(1-AW254)+0.10*BF254))</f>
        <v/>
      </c>
      <c r="BI254">
        <f>MAX(0,MIN(1,0.30*AV254+0.20*AZ254+0.20*AW254+0.15*(1-BH254)+0.15*(1-BO254)))</f>
        <v/>
      </c>
      <c r="BJ254">
        <f>MAX(0,1-(ABS(((( AX254+AY254)/2)-0.55)*1.6)))</f>
        <v/>
      </c>
      <c r="BK254">
        <f>MAX(0,MIN(1,0.28*AR254+0.18*AT254+0.16*BJ254+0.14*(1-AV254)+0.12*BQ254+0.12*BO254))</f>
        <v/>
      </c>
      <c r="BL254">
        <f>MAX(0,MIN(1,0.22*AQ254+0.18*AS254+0.18*BC254+0.18*BD254+0.08*BE254+0.10*BF254+0.06*BO254))</f>
        <v/>
      </c>
      <c r="BM254">
        <f>MAX(0,MIN(1,0.20*(1-AZ254)+0.16*(1-BA254)+0.14*(1-AW254)+0.14*AU254+0.18*BG254+0.10*BH254+0.08*BP254))</f>
        <v/>
      </c>
      <c r="BN254">
        <f>MAX(0,MIN(1,0.42*BJ254+0.33*BK254+0.15*AT254+0.10*BQ254))</f>
        <v/>
      </c>
      <c r="BO254">
        <f>MAX(0,MIN(1,0.30*BC254+0.24*BD254+0.18*AS254+0.14*(1-BI254)+0.14*AT254))</f>
        <v/>
      </c>
      <c r="BP254">
        <f>MAX(0,MIN(1,0.26*AS254+0.20*(1-BA254)+0.16*(1-AW254)+0.18*BG254+0.10*AU254+0.10+BB254))</f>
        <v/>
      </c>
      <c r="BQ254">
        <f>MAX(0,MIN(1,0.24*AT254+0.18*BF254+0.14*AR254+0.14*BO254+0.14*(1-AV254)+0.16*(1-AZ254)))</f>
        <v/>
      </c>
      <c r="BR254">
        <f>IF(BO254&gt;=0.80,"Open",IF(BO254&gt;=0.62,"Measured",IF(BO254&gt;=0.45,"Selective","Guarded")))</f>
        <v/>
      </c>
      <c r="BS254">
        <f>IF(Y254="COMM_Direct","Direct",IF(Y254="COMM_Emotional","Emotional",IF(Y254="COMM_Logical","Logical",IF(Y254="COMM_Indirect","Indirect","Avoidant"))))</f>
        <v/>
      </c>
      <c r="BT254">
        <f>IF(BG254&gt;=0.78,"Co-repair",IF(BG254&gt;=0.58,"Re-engage",IF(BG254&gt;=0.40,"Delay","Suppress")))</f>
        <v/>
      </c>
      <c r="BU254">
        <f>IF(BI254&gt;=0.70,"Retreat-risk",IF(BH254&lt;=0.40,"Rush-risk",IF(BH254&gt;=0.65,"Slow-build","Mixed")))</f>
        <v/>
      </c>
      <c r="BV254">
        <f>IF(BL254-BM254&gt;=0.15,"Stimulation-seeking",IF(BM254-BL254&gt;=0.15,"Calm-seeking","Mixed")))</f>
        <v/>
      </c>
      <c r="BW254">
        <f>IF(AND(BL254&gt;=0.72,BM254&lt;0.48),"High",IF(AND(BL254&gt;=0.60,BM254&lt;0.58),"Medium","Low"))</f>
        <v/>
      </c>
    </row>
    <row r="255" ht="54.75" customHeight="1" s="10">
      <c r="A255" s="2" t="inlineStr">
        <is>
          <t>Q51_D</t>
        </is>
      </c>
      <c r="B255" s="2" t="n">
        <v>51</v>
      </c>
      <c r="C255" s="2" t="n">
        <v>100</v>
      </c>
      <c r="D255" s="2" t="inlineStr">
        <is>
          <t>Shadow</t>
        </is>
      </c>
      <c r="E255" s="2" t="n">
        <v>1.3</v>
      </c>
      <c r="F255" s="2" t="inlineStr">
        <is>
          <t>ShadowPattern</t>
        </is>
      </c>
      <c r="G255" s="2" t="inlineStr">
        <is>
          <t>IntegrityRisk</t>
        </is>
      </c>
      <c r="H255" s="2" t="n"/>
      <c r="I255" s="2" t="inlineStr">
        <is>
          <t>D</t>
        </is>
      </c>
      <c r="J255" s="2" t="inlineStr">
        <is>
          <t>D</t>
        </is>
      </c>
      <c r="K255" s="2" t="inlineStr">
        <is>
          <t>I shape-shift a little to match their energy.</t>
        </is>
      </c>
      <c r="L255" s="2" t="n">
        <v>6</v>
      </c>
      <c r="M255" s="2" t="n"/>
      <c r="N255" s="2" t="n">
        <v>4</v>
      </c>
      <c r="O255" s="2" t="n">
        <v>4</v>
      </c>
      <c r="P255" s="2" t="n">
        <v>4</v>
      </c>
      <c r="Q255" s="2" t="n"/>
      <c r="R255" s="2" t="n"/>
      <c r="S255" s="2" t="inlineStr">
        <is>
          <t>Chameleon</t>
        </is>
      </c>
      <c r="T255" s="2" t="n">
        <v>4</v>
      </c>
      <c r="U255" s="2" t="n">
        <v>6</v>
      </c>
      <c r="V255" s="2" t="inlineStr">
        <is>
          <t>masc:0.0;fem:0.0</t>
        </is>
      </c>
      <c r="W255" s="2" t="n">
        <v>0</v>
      </c>
      <c r="X255" s="2" t="n">
        <v>0</v>
      </c>
      <c r="Y255" s="2" t="n"/>
      <c r="Z255" s="2" t="n"/>
      <c r="AA255" s="2" t="n"/>
      <c r="AB255" s="2" t="n"/>
      <c r="AC255" s="2" t="n"/>
      <c r="AD255" s="2" t="n"/>
      <c r="AE255" s="2" t="n">
        <v>0</v>
      </c>
      <c r="AF255" s="2" t="n"/>
      <c r="AG255" s="2" t="n"/>
      <c r="AH255" s="2" t="n">
        <v>0.6</v>
      </c>
      <c r="AI255" s="2" t="n"/>
      <c r="AJ255" s="2" t="inlineStr">
        <is>
          <t>no</t>
        </is>
      </c>
      <c r="AK255" s="2" t="inlineStr">
        <is>
          <t>no</t>
        </is>
      </c>
      <c r="AL255" s="2" t="inlineStr">
        <is>
          <t>no</t>
        </is>
      </c>
      <c r="AM255" s="2" t="n"/>
      <c r="AN255" s="2" t="n"/>
      <c r="AO255" s="2" t="n"/>
      <c r="AP255" s="2" t="inlineStr">
        <is>
          <t>v3_2026-03-19</t>
        </is>
      </c>
      <c r="AQ255">
        <f>(L255-Schema_v5!$C2)/(Schema_v5!$C3-Schema_v5!$C2)</f>
        <v/>
      </c>
      <c r="AR255">
        <f>(M255-Schema_v5!$C4)/(Schema_v5!$C5-Schema_v5!$C4)</f>
        <v/>
      </c>
      <c r="AS255">
        <f>N255/Schema_v5!$C6</f>
        <v/>
      </c>
      <c r="AT255">
        <f>O255/Schema_v5!$C7</f>
        <v/>
      </c>
      <c r="AU255">
        <f>P255/Schema_v5!$C8</f>
        <v/>
      </c>
      <c r="AV255">
        <f>IF(Schema_v5!$C9=0,0,AH255/Schema_v5!$C9)</f>
        <v/>
      </c>
      <c r="AW255">
        <f>IF(Schema_v5!$C10=0,0,AE255/Schema_v5!$C10)</f>
        <v/>
      </c>
      <c r="AX255">
        <f>(W255-Schema_v5!$C11)/(Schema_v5!$C12-Schema_v5!$C11)</f>
        <v/>
      </c>
      <c r="AY255">
        <f>(X255-Schema_v5!$C13)/(Schema_v5!$C14-Schema_v5!$C13)</f>
        <v/>
      </c>
      <c r="AZ255">
        <f>MIN(1,MAX(0,U255/Schema_v7!$C$9))</f>
        <v/>
      </c>
      <c r="BA255">
        <f>IF(AJ255="yes",0.55,0)</f>
        <v/>
      </c>
      <c r="BB255">
        <f>IF(AI255="yes",0.10,0)</f>
        <v/>
      </c>
      <c r="BC255">
        <f>IF(Y255="COMM_Direct",0.92,IF(Y255="COMM_Emotional",0.70,IF(Y255="COMM_Logical",0.65,IF(Y255="COMM_Indirect",0.55,0.35))))</f>
        <v/>
      </c>
      <c r="BD255">
        <f>IF(Z255="REG_CoRegulator",0.92,IF(Z255="REG_SelfSoother",0.76,IF(Z255="REG_Distractor",0.48,0.35)))</f>
        <v/>
      </c>
      <c r="BE255">
        <f>IF(AA255="LANG_Time",0.76,IF(AA255="LANG_Service",0.70,IF(AA255="LANG_Words",0.72,IF(AA255="LANG_Touch",0.68,0.60))))</f>
        <v/>
      </c>
      <c r="BF255">
        <f>MAX(0,MIN(1,0.28*AS255+0.16*AT255+0.18*BC255+0.18*BD255+0.10*(1-AZ255)+0.10*(1-BA255)+BB255))</f>
        <v/>
      </c>
      <c r="BG255">
        <f>MAX(0,MIN(1,0.24*AU255+0.18*AS255+0.18*BC255+0.20*BD255+0.10*(1-AW255)+0.10*(1-BA255)))</f>
        <v/>
      </c>
      <c r="BH255">
        <f>MAX(0,MIN(1,0.28*AR255+0.18*AT255+0.16*AU255+0.18*(1-AV255)+0.10*(1-AW255)+0.10*BF255))</f>
        <v/>
      </c>
      <c r="BI255">
        <f>MAX(0,MIN(1,0.30*AV255+0.20*AZ255+0.20*AW255+0.15*(1-BH255)+0.15*(1-BO255)))</f>
        <v/>
      </c>
      <c r="BJ255">
        <f>MAX(0,1-(ABS(((( AX255+AY255)/2)-0.55)*1.6)))</f>
        <v/>
      </c>
      <c r="BK255">
        <f>MAX(0,MIN(1,0.28*AR255+0.18*AT255+0.16*BJ255+0.14*(1-AV255)+0.12*BQ255+0.12*BO255))</f>
        <v/>
      </c>
      <c r="BL255">
        <f>MAX(0,MIN(1,0.22*AQ255+0.18*AS255+0.18*BC255+0.18*BD255+0.08*BE255+0.10*BF255+0.06*BO255))</f>
        <v/>
      </c>
      <c r="BM255">
        <f>MAX(0,MIN(1,0.20*(1-AZ255)+0.16*(1-BA255)+0.14*(1-AW255)+0.14*AU255+0.18*BG255+0.10*BH255+0.08*BP255))</f>
        <v/>
      </c>
      <c r="BN255">
        <f>MAX(0,MIN(1,0.42*BJ255+0.33*BK255+0.15*AT255+0.10*BQ255))</f>
        <v/>
      </c>
      <c r="BO255">
        <f>MAX(0,MIN(1,0.30*BC255+0.24*BD255+0.18*AS255+0.14*(1-BI255)+0.14*AT255))</f>
        <v/>
      </c>
      <c r="BP255">
        <f>MAX(0,MIN(1,0.26*AS255+0.20*(1-BA255)+0.16*(1-AW255)+0.18*BG255+0.10*AU255+0.10+BB255))</f>
        <v/>
      </c>
      <c r="BQ255">
        <f>MAX(0,MIN(1,0.24*AT255+0.18*BF255+0.14*AR255+0.14*BO255+0.14*(1-AV255)+0.16*(1-AZ255)))</f>
        <v/>
      </c>
      <c r="BR255">
        <f>IF(BO255&gt;=0.80,"Open",IF(BO255&gt;=0.62,"Measured",IF(BO255&gt;=0.45,"Selective","Guarded")))</f>
        <v/>
      </c>
      <c r="BS255">
        <f>IF(Y255="COMM_Direct","Direct",IF(Y255="COMM_Emotional","Emotional",IF(Y255="COMM_Logical","Logical",IF(Y255="COMM_Indirect","Indirect","Avoidant"))))</f>
        <v/>
      </c>
      <c r="BT255">
        <f>IF(BG255&gt;=0.78,"Co-repair",IF(BG255&gt;=0.58,"Re-engage",IF(BG255&gt;=0.40,"Delay","Suppress")))</f>
        <v/>
      </c>
      <c r="BU255">
        <f>IF(BI255&gt;=0.70,"Retreat-risk",IF(BH255&lt;=0.40,"Rush-risk",IF(BH255&gt;=0.65,"Slow-build","Mixed")))</f>
        <v/>
      </c>
      <c r="BV255">
        <f>IF(BL255-BM255&gt;=0.15,"Stimulation-seeking",IF(BM255-BL255&gt;=0.15,"Calm-seeking","Mixed")))</f>
        <v/>
      </c>
      <c r="BW255">
        <f>IF(AND(BL255&gt;=0.72,BM255&lt;0.48),"High",IF(AND(BL255&gt;=0.60,BM255&lt;0.58),"Medium","Low"))</f>
        <v/>
      </c>
    </row>
    <row r="256" ht="68.25" customHeight="1" s="10">
      <c r="A256" s="2" t="inlineStr">
        <is>
          <t>Q51_E</t>
        </is>
      </c>
      <c r="B256" s="2" t="n">
        <v>51</v>
      </c>
      <c r="C256" s="2" t="n">
        <v>100</v>
      </c>
      <c r="D256" s="2" t="inlineStr">
        <is>
          <t>Shadow</t>
        </is>
      </c>
      <c r="E256" s="2" t="n">
        <v>1.3</v>
      </c>
      <c r="F256" s="2" t="inlineStr">
        <is>
          <t>ShadowPattern</t>
        </is>
      </c>
      <c r="G256" s="2" t="inlineStr">
        <is>
          <t>IntegrityRisk</t>
        </is>
      </c>
      <c r="H256" s="2" t="n"/>
      <c r="I256" s="2" t="inlineStr">
        <is>
          <t>E</t>
        </is>
      </c>
      <c r="J256" s="2" t="inlineStr">
        <is>
          <t>E</t>
        </is>
      </c>
      <c r="K256" s="2" t="inlineStr">
        <is>
          <t>I start pulling back affection to make it feel "fair."</t>
        </is>
      </c>
      <c r="L256" s="2" t="n">
        <v>7</v>
      </c>
      <c r="M256" s="2" t="n"/>
      <c r="N256" s="2" t="n">
        <v>2</v>
      </c>
      <c r="O256" s="2" t="n">
        <v>2</v>
      </c>
      <c r="P256" s="2" t="n">
        <v>2</v>
      </c>
      <c r="Q256" s="2" t="n"/>
      <c r="R256" s="2" t="n"/>
      <c r="S256" s="2" t="inlineStr">
        <is>
          <t>Scorekeeper</t>
        </is>
      </c>
      <c r="T256" s="2" t="n">
        <v>5</v>
      </c>
      <c r="U256" s="2" t="n">
        <v>8</v>
      </c>
      <c r="V256" s="2" t="inlineStr">
        <is>
          <t>masc:0.0;fem:0.0</t>
        </is>
      </c>
      <c r="W256" s="2" t="n">
        <v>0</v>
      </c>
      <c r="X256" s="2" t="n">
        <v>0</v>
      </c>
      <c r="Y256" s="2" t="n"/>
      <c r="Z256" s="2" t="n"/>
      <c r="AA256" s="2" t="n"/>
      <c r="AB256" s="2" t="n"/>
      <c r="AC256" s="2" t="n"/>
      <c r="AD256" s="2" t="n"/>
      <c r="AE256" s="2" t="n">
        <v>0</v>
      </c>
      <c r="AF256" s="2" t="n"/>
      <c r="AG256" s="2" t="n"/>
      <c r="AH256" s="2" t="n">
        <v>0</v>
      </c>
      <c r="AI256" s="2" t="n"/>
      <c r="AJ256" s="2" t="inlineStr">
        <is>
          <t>no</t>
        </is>
      </c>
      <c r="AK256" s="2" t="inlineStr">
        <is>
          <t>no</t>
        </is>
      </c>
      <c r="AL256" s="2" t="inlineStr">
        <is>
          <t>no</t>
        </is>
      </c>
      <c r="AM256" s="2" t="n"/>
      <c r="AN256" s="2" t="n"/>
      <c r="AO256" s="2" t="n"/>
      <c r="AP256" s="2" t="inlineStr">
        <is>
          <t>v3_2026-03-19</t>
        </is>
      </c>
      <c r="AQ256">
        <f>(L256-Schema_v5!$C2)/(Schema_v5!$C3-Schema_v5!$C2)</f>
        <v/>
      </c>
      <c r="AR256">
        <f>(M256-Schema_v5!$C4)/(Schema_v5!$C5-Schema_v5!$C4)</f>
        <v/>
      </c>
      <c r="AS256">
        <f>N256/Schema_v5!$C6</f>
        <v/>
      </c>
      <c r="AT256">
        <f>O256/Schema_v5!$C7</f>
        <v/>
      </c>
      <c r="AU256">
        <f>P256/Schema_v5!$C8</f>
        <v/>
      </c>
      <c r="AV256">
        <f>IF(Schema_v5!$C9=0,0,AH256/Schema_v5!$C9)</f>
        <v/>
      </c>
      <c r="AW256">
        <f>IF(Schema_v5!$C10=0,0,AE256/Schema_v5!$C10)</f>
        <v/>
      </c>
      <c r="AX256">
        <f>(W256-Schema_v5!$C11)/(Schema_v5!$C12-Schema_v5!$C11)</f>
        <v/>
      </c>
      <c r="AY256">
        <f>(X256-Schema_v5!$C13)/(Schema_v5!$C14-Schema_v5!$C13)</f>
        <v/>
      </c>
      <c r="AZ256">
        <f>MIN(1,MAX(0,U256/Schema_v7!$C$9))</f>
        <v/>
      </c>
      <c r="BA256">
        <f>IF(AJ256="yes",0.55,0)</f>
        <v/>
      </c>
      <c r="BB256">
        <f>IF(AI256="yes",0.10,0)</f>
        <v/>
      </c>
      <c r="BC256">
        <f>IF(Y256="COMM_Direct",0.92,IF(Y256="COMM_Emotional",0.70,IF(Y256="COMM_Logical",0.65,IF(Y256="COMM_Indirect",0.55,0.35))))</f>
        <v/>
      </c>
      <c r="BD256">
        <f>IF(Z256="REG_CoRegulator",0.92,IF(Z256="REG_SelfSoother",0.76,IF(Z256="REG_Distractor",0.48,0.35)))</f>
        <v/>
      </c>
      <c r="BE256">
        <f>IF(AA256="LANG_Time",0.76,IF(AA256="LANG_Service",0.70,IF(AA256="LANG_Words",0.72,IF(AA256="LANG_Touch",0.68,0.60))))</f>
        <v/>
      </c>
      <c r="BF256">
        <f>MAX(0,MIN(1,0.28*AS256+0.16*AT256+0.18*BC256+0.18*BD256+0.10*(1-AZ256)+0.10*(1-BA256)+BB256))</f>
        <v/>
      </c>
      <c r="BG256">
        <f>MAX(0,MIN(1,0.24*AU256+0.18*AS256+0.18*BC256+0.20*BD256+0.10*(1-AW256)+0.10*(1-BA256)))</f>
        <v/>
      </c>
      <c r="BH256">
        <f>MAX(0,MIN(1,0.28*AR256+0.18*AT256+0.16*AU256+0.18*(1-AV256)+0.10*(1-AW256)+0.10*BF256))</f>
        <v/>
      </c>
      <c r="BI256">
        <f>MAX(0,MIN(1,0.30*AV256+0.20*AZ256+0.20*AW256+0.15*(1-BH256)+0.15*(1-BO256)))</f>
        <v/>
      </c>
      <c r="BJ256">
        <f>MAX(0,1-(ABS(((( AX256+AY256)/2)-0.55)*1.6)))</f>
        <v/>
      </c>
      <c r="BK256">
        <f>MAX(0,MIN(1,0.28*AR256+0.18*AT256+0.16*BJ256+0.14*(1-AV256)+0.12*BQ256+0.12*BO256))</f>
        <v/>
      </c>
      <c r="BL256">
        <f>MAX(0,MIN(1,0.22*AQ256+0.18*AS256+0.18*BC256+0.18*BD256+0.08*BE256+0.10*BF256+0.06*BO256))</f>
        <v/>
      </c>
      <c r="BM256">
        <f>MAX(0,MIN(1,0.20*(1-AZ256)+0.16*(1-BA256)+0.14*(1-AW256)+0.14*AU256+0.18*BG256+0.10*BH256+0.08*BP256))</f>
        <v/>
      </c>
      <c r="BN256">
        <f>MAX(0,MIN(1,0.42*BJ256+0.33*BK256+0.15*AT256+0.10*BQ256))</f>
        <v/>
      </c>
      <c r="BO256">
        <f>MAX(0,MIN(1,0.30*BC256+0.24*BD256+0.18*AS256+0.14*(1-BI256)+0.14*AT256))</f>
        <v/>
      </c>
      <c r="BP256">
        <f>MAX(0,MIN(1,0.26*AS256+0.20*(1-BA256)+0.16*(1-AW256)+0.18*BG256+0.10*AU256+0.10+BB256))</f>
        <v/>
      </c>
      <c r="BQ256">
        <f>MAX(0,MIN(1,0.24*AT256+0.18*BF256+0.14*AR256+0.14*BO256+0.14*(1-AV256)+0.16*(1-AZ256)))</f>
        <v/>
      </c>
      <c r="BR256">
        <f>IF(BO256&gt;=0.80,"Open",IF(BO256&gt;=0.62,"Measured",IF(BO256&gt;=0.45,"Selective","Guarded")))</f>
        <v/>
      </c>
      <c r="BS256">
        <f>IF(Y256="COMM_Direct","Direct",IF(Y256="COMM_Emotional","Emotional",IF(Y256="COMM_Logical","Logical",IF(Y256="COMM_Indirect","Indirect","Avoidant"))))</f>
        <v/>
      </c>
      <c r="BT256">
        <f>IF(BG256&gt;=0.78,"Co-repair",IF(BG256&gt;=0.58,"Re-engage",IF(BG256&gt;=0.40,"Delay","Suppress")))</f>
        <v/>
      </c>
      <c r="BU256">
        <f>IF(BI256&gt;=0.70,"Retreat-risk",IF(BH256&lt;=0.40,"Rush-risk",IF(BH256&gt;=0.65,"Slow-build","Mixed")))</f>
        <v/>
      </c>
      <c r="BV256">
        <f>IF(BL256-BM256&gt;=0.15,"Stimulation-seeking",IF(BM256-BL256&gt;=0.15,"Calm-seeking","Mixed")))</f>
        <v/>
      </c>
      <c r="BW256">
        <f>IF(AND(BL256&gt;=0.72,BM256&lt;0.48),"High",IF(AND(BL256&gt;=0.60,BM256&lt;0.58),"Medium","Low"))</f>
        <v/>
      </c>
    </row>
    <row r="257" ht="54.75" customHeight="1" s="10">
      <c r="A257" s="2" t="inlineStr">
        <is>
          <t>Q51_F</t>
        </is>
      </c>
      <c r="B257" s="2" t="n">
        <v>51</v>
      </c>
      <c r="C257" s="2" t="n">
        <v>100</v>
      </c>
      <c r="D257" s="2" t="inlineStr">
        <is>
          <t>Shadow</t>
        </is>
      </c>
      <c r="E257" s="2" t="n">
        <v>1.3</v>
      </c>
      <c r="F257" s="2" t="inlineStr">
        <is>
          <t>ShadowPattern</t>
        </is>
      </c>
      <c r="G257" s="2" t="inlineStr">
        <is>
          <t>IntegrityRisk</t>
        </is>
      </c>
      <c r="H257" s="2" t="n"/>
      <c r="I257" s="2" t="inlineStr">
        <is>
          <t>F</t>
        </is>
      </c>
      <c r="J257" s="2" t="inlineStr">
        <is>
          <t>F</t>
        </is>
      </c>
      <c r="K257" s="2" t="inlineStr">
        <is>
          <t>I blame myself for not liking them more</t>
        </is>
      </c>
      <c r="L257" s="2" t="n">
        <v>8</v>
      </c>
      <c r="M257" s="2" t="n"/>
      <c r="N257" s="2" t="n">
        <v>2</v>
      </c>
      <c r="O257" s="2" t="n">
        <v>2</v>
      </c>
      <c r="P257" s="2" t="n">
        <v>2</v>
      </c>
      <c r="Q257" s="2" t="n"/>
      <c r="R257" s="2" t="n"/>
      <c r="S257" s="2" t="inlineStr">
        <is>
          <t>Self-Saboteur</t>
        </is>
      </c>
      <c r="T257" s="2" t="n">
        <v>6</v>
      </c>
      <c r="U257" s="2" t="n">
        <v>8</v>
      </c>
      <c r="V257" s="2" t="inlineStr">
        <is>
          <t>masc:0.0;fem:0.0</t>
        </is>
      </c>
      <c r="W257" s="2" t="n">
        <v>0</v>
      </c>
      <c r="X257" s="2" t="n">
        <v>0</v>
      </c>
      <c r="Y257" s="2" t="n"/>
      <c r="Z257" s="2" t="n"/>
      <c r="AA257" s="2" t="n"/>
      <c r="AB257" s="2" t="n"/>
      <c r="AC257" s="2" t="n"/>
      <c r="AD257" s="2" t="n"/>
      <c r="AE257" s="2" t="n">
        <v>0</v>
      </c>
      <c r="AF257" s="2" t="n"/>
      <c r="AG257" s="2" t="n"/>
      <c r="AH257" s="2" t="n">
        <v>0.6</v>
      </c>
      <c r="AI257" s="2" t="n"/>
      <c r="AJ257" s="2" t="inlineStr">
        <is>
          <t>no</t>
        </is>
      </c>
      <c r="AK257" s="2" t="inlineStr">
        <is>
          <t>no</t>
        </is>
      </c>
      <c r="AL257" s="2" t="inlineStr">
        <is>
          <t>no</t>
        </is>
      </c>
      <c r="AM257" s="2" t="n"/>
      <c r="AN257" s="2" t="n"/>
      <c r="AO257" s="2" t="n"/>
      <c r="AP257" s="2" t="inlineStr">
        <is>
          <t>v3_2026-03-19</t>
        </is>
      </c>
      <c r="AQ257">
        <f>(L257-Schema_v5!$C2)/(Schema_v5!$C3-Schema_v5!$C2)</f>
        <v/>
      </c>
      <c r="AR257">
        <f>(M257-Schema_v5!$C4)/(Schema_v5!$C5-Schema_v5!$C4)</f>
        <v/>
      </c>
      <c r="AS257">
        <f>N257/Schema_v5!$C6</f>
        <v/>
      </c>
      <c r="AT257">
        <f>O257/Schema_v5!$C7</f>
        <v/>
      </c>
      <c r="AU257">
        <f>P257/Schema_v5!$C8</f>
        <v/>
      </c>
      <c r="AV257">
        <f>IF(Schema_v5!$C9=0,0,AH257/Schema_v5!$C9)</f>
        <v/>
      </c>
      <c r="AW257">
        <f>IF(Schema_v5!$C10=0,0,AE257/Schema_v5!$C10)</f>
        <v/>
      </c>
      <c r="AX257">
        <f>(W257-Schema_v5!$C11)/(Schema_v5!$C12-Schema_v5!$C11)</f>
        <v/>
      </c>
      <c r="AY257">
        <f>(X257-Schema_v5!$C13)/(Schema_v5!$C14-Schema_v5!$C13)</f>
        <v/>
      </c>
      <c r="AZ257">
        <f>MIN(1,MAX(0,U257/Schema_v7!$C$9))</f>
        <v/>
      </c>
      <c r="BA257">
        <f>IF(AJ257="yes",0.55,0)</f>
        <v/>
      </c>
      <c r="BB257">
        <f>IF(AI257="yes",0.10,0)</f>
        <v/>
      </c>
      <c r="BC257">
        <f>IF(Y257="COMM_Direct",0.92,IF(Y257="COMM_Emotional",0.70,IF(Y257="COMM_Logical",0.65,IF(Y257="COMM_Indirect",0.55,0.35))))</f>
        <v/>
      </c>
      <c r="BD257">
        <f>IF(Z257="REG_CoRegulator",0.92,IF(Z257="REG_SelfSoother",0.76,IF(Z257="REG_Distractor",0.48,0.35)))</f>
        <v/>
      </c>
      <c r="BE257">
        <f>IF(AA257="LANG_Time",0.76,IF(AA257="LANG_Service",0.70,IF(AA257="LANG_Words",0.72,IF(AA257="LANG_Touch",0.68,0.60))))</f>
        <v/>
      </c>
      <c r="BF257">
        <f>MAX(0,MIN(1,0.28*AS257+0.16*AT257+0.18*BC257+0.18*BD257+0.10*(1-AZ257)+0.10*(1-BA257)+BB257))</f>
        <v/>
      </c>
      <c r="BG257">
        <f>MAX(0,MIN(1,0.24*AU257+0.18*AS257+0.18*BC257+0.20*BD257+0.10*(1-AW257)+0.10*(1-BA257)))</f>
        <v/>
      </c>
      <c r="BH257">
        <f>MAX(0,MIN(1,0.28*AR257+0.18*AT257+0.16*AU257+0.18*(1-AV257)+0.10*(1-AW257)+0.10*BF257))</f>
        <v/>
      </c>
      <c r="BI257">
        <f>MAX(0,MIN(1,0.30*AV257+0.20*AZ257+0.20*AW257+0.15*(1-BH257)+0.15*(1-BO257)))</f>
        <v/>
      </c>
      <c r="BJ257">
        <f>MAX(0,1-(ABS(((( AX257+AY257)/2)-0.55)*1.6)))</f>
        <v/>
      </c>
      <c r="BK257">
        <f>MAX(0,MIN(1,0.28*AR257+0.18*AT257+0.16*BJ257+0.14*(1-AV257)+0.12*BQ257+0.12*BO257))</f>
        <v/>
      </c>
      <c r="BL257">
        <f>MAX(0,MIN(1,0.22*AQ257+0.18*AS257+0.18*BC257+0.18*BD257+0.08*BE257+0.10*BF257+0.06*BO257))</f>
        <v/>
      </c>
      <c r="BM257">
        <f>MAX(0,MIN(1,0.20*(1-AZ257)+0.16*(1-BA257)+0.14*(1-AW257)+0.14*AU257+0.18*BG257+0.10*BH257+0.08*BP257))</f>
        <v/>
      </c>
      <c r="BN257">
        <f>MAX(0,MIN(1,0.42*BJ257+0.33*BK257+0.15*AT257+0.10*BQ257))</f>
        <v/>
      </c>
      <c r="BO257">
        <f>MAX(0,MIN(1,0.30*BC257+0.24*BD257+0.18*AS257+0.14*(1-BI257)+0.14*AT257))</f>
        <v/>
      </c>
      <c r="BP257">
        <f>MAX(0,MIN(1,0.26*AS257+0.20*(1-BA257)+0.16*(1-AW257)+0.18*BG257+0.10*AU257+0.10+BB257))</f>
        <v/>
      </c>
      <c r="BQ257">
        <f>MAX(0,MIN(1,0.24*AT257+0.18*BF257+0.14*AR257+0.14*BO257+0.14*(1-AV257)+0.16*(1-AZ257)))</f>
        <v/>
      </c>
      <c r="BR257">
        <f>IF(BO257&gt;=0.80,"Open",IF(BO257&gt;=0.62,"Measured",IF(BO257&gt;=0.45,"Selective","Guarded")))</f>
        <v/>
      </c>
      <c r="BS257">
        <f>IF(Y257="COMM_Direct","Direct",IF(Y257="COMM_Emotional","Emotional",IF(Y257="COMM_Logical","Logical",IF(Y257="COMM_Indirect","Indirect","Avoidant"))))</f>
        <v/>
      </c>
      <c r="BT257">
        <f>IF(BG257&gt;=0.78,"Co-repair",IF(BG257&gt;=0.58,"Re-engage",IF(BG257&gt;=0.40,"Delay","Suppress")))</f>
        <v/>
      </c>
      <c r="BU257">
        <f>IF(BI257&gt;=0.70,"Retreat-risk",IF(BH257&lt;=0.40,"Rush-risk",IF(BH257&gt;=0.65,"Slow-build","Mixed")))</f>
        <v/>
      </c>
      <c r="BV257">
        <f>IF(BL257-BM257&gt;=0.15,"Stimulation-seeking",IF(BM257-BL257&gt;=0.15,"Calm-seeking","Mixed")))</f>
        <v/>
      </c>
      <c r="BW257">
        <f>IF(AND(BL257&gt;=0.72,BM257&lt;0.48),"High",IF(AND(BL257&gt;=0.60,BM257&lt;0.58),"Medium","Low"))</f>
        <v/>
      </c>
    </row>
    <row r="258" ht="68.25" customHeight="1" s="10">
      <c r="A258" s="2" t="inlineStr">
        <is>
          <t>Q52_A</t>
        </is>
      </c>
      <c r="B258" s="2" t="n">
        <v>52</v>
      </c>
      <c r="C258" s="2" t="n">
        <v>101</v>
      </c>
      <c r="D258" s="2" t="inlineStr">
        <is>
          <t>Shadow</t>
        </is>
      </c>
      <c r="E258" s="2" t="n">
        <v>1.3</v>
      </c>
      <c r="F258" s="2" t="inlineStr">
        <is>
          <t>ShadowPattern</t>
        </is>
      </c>
      <c r="G258" s="2" t="inlineStr">
        <is>
          <t>IntegrityRisk</t>
        </is>
      </c>
      <c r="H258" s="2" t="inlineStr">
        <is>
          <t>You get caught in a lie, but only a small one. What's your instinct?</t>
        </is>
      </c>
      <c r="I258" s="2" t="inlineStr">
        <is>
          <t>A</t>
        </is>
      </c>
      <c r="J258" s="2" t="inlineStr">
        <is>
          <t>A</t>
        </is>
      </c>
      <c r="K258" s="2" t="inlineStr">
        <is>
          <t>I flip it on them: Why were they snooping anyway?</t>
        </is>
      </c>
      <c r="L258" s="2" t="n">
        <v>4</v>
      </c>
      <c r="M258" s="2" t="n"/>
      <c r="N258" s="2" t="n">
        <v>4</v>
      </c>
      <c r="O258" s="2" t="n">
        <v>4</v>
      </c>
      <c r="P258" s="2" t="n">
        <v>4</v>
      </c>
      <c r="Q258" s="2" t="n"/>
      <c r="R258" s="2" t="n"/>
      <c r="S258" s="2" t="inlineStr">
        <is>
          <t>Manipulator</t>
        </is>
      </c>
      <c r="T258" s="2" t="n">
        <v>1</v>
      </c>
      <c r="U258" s="2" t="n">
        <v>6</v>
      </c>
      <c r="V258" s="2" t="inlineStr">
        <is>
          <t>masc:0.0;fem:0.0</t>
        </is>
      </c>
      <c r="W258" s="2" t="n">
        <v>0</v>
      </c>
      <c r="X258" s="2" t="n">
        <v>0</v>
      </c>
      <c r="Y258" s="2" t="n"/>
      <c r="Z258" s="2" t="n"/>
      <c r="AA258" s="2" t="n"/>
      <c r="AB258" s="2" t="n"/>
      <c r="AC258" s="2" t="n"/>
      <c r="AD258" s="2" t="n"/>
      <c r="AE258" s="2" t="n">
        <v>0</v>
      </c>
      <c r="AF258" s="2" t="n"/>
      <c r="AG258" s="2" t="n"/>
      <c r="AH258" s="2" t="n">
        <v>0</v>
      </c>
      <c r="AI258" s="2" t="n"/>
      <c r="AJ258" s="2" t="inlineStr">
        <is>
          <t>yes</t>
        </is>
      </c>
      <c r="AK258" s="2" t="inlineStr">
        <is>
          <t>no</t>
        </is>
      </c>
      <c r="AL258" s="2" t="inlineStr">
        <is>
          <t>no</t>
        </is>
      </c>
      <c r="AM258" s="2" t="n"/>
      <c r="AN258" s="2" t="n"/>
      <c r="AO258" s="2" t="n"/>
      <c r="AP258" s="2" t="inlineStr">
        <is>
          <t>v3_2026-03-19</t>
        </is>
      </c>
      <c r="AQ258">
        <f>(L258-Schema_v5!$C2)/(Schema_v5!$C3-Schema_v5!$C2)</f>
        <v/>
      </c>
      <c r="AR258">
        <f>(M258-Schema_v5!$C4)/(Schema_v5!$C5-Schema_v5!$C4)</f>
        <v/>
      </c>
      <c r="AS258">
        <f>N258/Schema_v5!$C6</f>
        <v/>
      </c>
      <c r="AT258">
        <f>O258/Schema_v5!$C7</f>
        <v/>
      </c>
      <c r="AU258">
        <f>P258/Schema_v5!$C8</f>
        <v/>
      </c>
      <c r="AV258">
        <f>IF(Schema_v5!$C9=0,0,AH258/Schema_v5!$C9)</f>
        <v/>
      </c>
      <c r="AW258">
        <f>IF(Schema_v5!$C10=0,0,AE258/Schema_v5!$C10)</f>
        <v/>
      </c>
      <c r="AX258">
        <f>(W258-Schema_v5!$C11)/(Schema_v5!$C12-Schema_v5!$C11)</f>
        <v/>
      </c>
      <c r="AY258">
        <f>(X258-Schema_v5!$C13)/(Schema_v5!$C14-Schema_v5!$C13)</f>
        <v/>
      </c>
      <c r="AZ258">
        <f>MIN(1,MAX(0,U258/Schema_v7!$C$9))</f>
        <v/>
      </c>
      <c r="BA258">
        <f>IF(AJ258="yes",0.55,0)</f>
        <v/>
      </c>
      <c r="BB258">
        <f>IF(AI258="yes",0.10,0)</f>
        <v/>
      </c>
      <c r="BC258">
        <f>IF(Y258="COMM_Direct",0.92,IF(Y258="COMM_Emotional",0.70,IF(Y258="COMM_Logical",0.65,IF(Y258="COMM_Indirect",0.55,0.35))))</f>
        <v/>
      </c>
      <c r="BD258">
        <f>IF(Z258="REG_CoRegulator",0.92,IF(Z258="REG_SelfSoother",0.76,IF(Z258="REG_Distractor",0.48,0.35)))</f>
        <v/>
      </c>
      <c r="BE258">
        <f>IF(AA258="LANG_Time",0.76,IF(AA258="LANG_Service",0.70,IF(AA258="LANG_Words",0.72,IF(AA258="LANG_Touch",0.68,0.60))))</f>
        <v/>
      </c>
      <c r="BF258">
        <f>MAX(0,MIN(1,0.28*AS258+0.16*AT258+0.18*BC258+0.18*BD258+0.10*(1-AZ258)+0.10*(1-BA258)+BB258))</f>
        <v/>
      </c>
      <c r="BG258">
        <f>MAX(0,MIN(1,0.24*AU258+0.18*AS258+0.18*BC258+0.20*BD258+0.10*(1-AW258)+0.10*(1-BA258)))</f>
        <v/>
      </c>
      <c r="BH258">
        <f>MAX(0,MIN(1,0.28*AR258+0.18*AT258+0.16*AU258+0.18*(1-AV258)+0.10*(1-AW258)+0.10*BF258))</f>
        <v/>
      </c>
      <c r="BI258">
        <f>MAX(0,MIN(1,0.30*AV258+0.20*AZ258+0.20*AW258+0.15*(1-BH258)+0.15*(1-BO258)))</f>
        <v/>
      </c>
      <c r="BJ258">
        <f>MAX(0,1-(ABS(((( AX258+AY258)/2)-0.55)*1.6)))</f>
        <v/>
      </c>
      <c r="BK258">
        <f>MAX(0,MIN(1,0.28*AR258+0.18*AT258+0.16*BJ258+0.14*(1-AV258)+0.12*BQ258+0.12*BO258))</f>
        <v/>
      </c>
      <c r="BL258">
        <f>MAX(0,MIN(1,0.22*AQ258+0.18*AS258+0.18*BC258+0.18*BD258+0.08*BE258+0.10*BF258+0.06*BO258))</f>
        <v/>
      </c>
      <c r="BM258">
        <f>MAX(0,MIN(1,0.20*(1-AZ258)+0.16*(1-BA258)+0.14*(1-AW258)+0.14*AU258+0.18*BG258+0.10*BH258+0.08*BP258))</f>
        <v/>
      </c>
      <c r="BN258">
        <f>MAX(0,MIN(1,0.42*BJ258+0.33*BK258+0.15*AT258+0.10*BQ258))</f>
        <v/>
      </c>
      <c r="BO258">
        <f>MAX(0,MIN(1,0.30*BC258+0.24*BD258+0.18*AS258+0.14*(1-BI258)+0.14*AT258))</f>
        <v/>
      </c>
      <c r="BP258">
        <f>MAX(0,MIN(1,0.26*AS258+0.20*(1-BA258)+0.16*(1-AW258)+0.18*BG258+0.10*AU258+0.10+BB258))</f>
        <v/>
      </c>
      <c r="BQ258">
        <f>MAX(0,MIN(1,0.24*AT258+0.18*BF258+0.14*AR258+0.14*BO258+0.14*(1-AV258)+0.16*(1-AZ258)))</f>
        <v/>
      </c>
      <c r="BR258">
        <f>IF(BO258&gt;=0.80,"Open",IF(BO258&gt;=0.62,"Measured",IF(BO258&gt;=0.45,"Selective","Guarded")))</f>
        <v/>
      </c>
      <c r="BS258">
        <f>IF(Y258="COMM_Direct","Direct",IF(Y258="COMM_Emotional","Emotional",IF(Y258="COMM_Logical","Logical",IF(Y258="COMM_Indirect","Indirect","Avoidant"))))</f>
        <v/>
      </c>
      <c r="BT258">
        <f>IF(BG258&gt;=0.78,"Co-repair",IF(BG258&gt;=0.58,"Re-engage",IF(BG258&gt;=0.40,"Delay","Suppress")))</f>
        <v/>
      </c>
      <c r="BU258">
        <f>IF(BI258&gt;=0.70,"Retreat-risk",IF(BH258&lt;=0.40,"Rush-risk",IF(BH258&gt;=0.65,"Slow-build","Mixed")))</f>
        <v/>
      </c>
      <c r="BV258">
        <f>IF(BL258-BM258&gt;=0.15,"Stimulation-seeking",IF(BM258-BL258&gt;=0.15,"Calm-seeking","Mixed")))</f>
        <v/>
      </c>
      <c r="BW258">
        <f>IF(AND(BL258&gt;=0.72,BM258&lt;0.48),"High",IF(AND(BL258&gt;=0.60,BM258&lt;0.58),"Medium","Low"))</f>
        <v/>
      </c>
    </row>
    <row r="259" ht="41.25" customHeight="1" s="10">
      <c r="A259" s="2" t="inlineStr">
        <is>
          <t>Q52_B</t>
        </is>
      </c>
      <c r="B259" s="2" t="n">
        <v>52</v>
      </c>
      <c r="C259" s="2" t="n">
        <v>101</v>
      </c>
      <c r="D259" s="2" t="inlineStr">
        <is>
          <t>Shadow</t>
        </is>
      </c>
      <c r="E259" s="2" t="n">
        <v>1.3</v>
      </c>
      <c r="F259" s="2" t="inlineStr">
        <is>
          <t>ShadowPattern</t>
        </is>
      </c>
      <c r="G259" s="2" t="inlineStr">
        <is>
          <t>IntegrityRisk</t>
        </is>
      </c>
      <c r="H259" s="2" t="n"/>
      <c r="I259" s="2" t="inlineStr">
        <is>
          <t>B</t>
        </is>
      </c>
      <c r="J259" s="2" t="inlineStr">
        <is>
          <t>B</t>
        </is>
      </c>
      <c r="K259" s="2" t="inlineStr">
        <is>
          <t>I freeze and change the subject.</t>
        </is>
      </c>
      <c r="L259" s="2" t="n">
        <v>3</v>
      </c>
      <c r="M259" s="2" t="n"/>
      <c r="N259" s="2" t="n">
        <v>6</v>
      </c>
      <c r="O259" s="2" t="n">
        <v>6</v>
      </c>
      <c r="P259" s="2" t="n">
        <v>6</v>
      </c>
      <c r="Q259" s="2" t="n"/>
      <c r="R259" s="2" t="n"/>
      <c r="S259" s="2" t="inlineStr">
        <is>
          <t>Stonewaller</t>
        </is>
      </c>
      <c r="T259" s="2" t="n">
        <v>2</v>
      </c>
      <c r="U259" s="2" t="n">
        <v>4</v>
      </c>
      <c r="V259" s="2" t="inlineStr">
        <is>
          <t>masc:0.0;fem:0.0</t>
        </is>
      </c>
      <c r="W259" s="2" t="n">
        <v>0</v>
      </c>
      <c r="X259" s="2" t="n">
        <v>0</v>
      </c>
      <c r="Y259" s="2" t="n"/>
      <c r="Z259" s="2" t="n"/>
      <c r="AA259" s="2" t="n"/>
      <c r="AB259" s="2" t="n"/>
      <c r="AC259" s="2" t="n"/>
      <c r="AD259" s="2" t="n"/>
      <c r="AE259" s="2" t="n">
        <v>0</v>
      </c>
      <c r="AF259" s="2" t="n"/>
      <c r="AG259" s="2" t="n"/>
      <c r="AH259" s="2" t="n">
        <v>0</v>
      </c>
      <c r="AI259" s="2" t="n"/>
      <c r="AJ259" s="2" t="inlineStr">
        <is>
          <t>yes</t>
        </is>
      </c>
      <c r="AK259" s="2" t="inlineStr">
        <is>
          <t>no</t>
        </is>
      </c>
      <c r="AL259" s="2" t="inlineStr">
        <is>
          <t>no</t>
        </is>
      </c>
      <c r="AM259" s="2" t="n"/>
      <c r="AN259" s="2" t="n"/>
      <c r="AO259" s="2" t="n"/>
      <c r="AP259" s="2" t="inlineStr">
        <is>
          <t>v3_2026-03-19</t>
        </is>
      </c>
      <c r="AQ259">
        <f>(L259-Schema_v5!$C2)/(Schema_v5!$C3-Schema_v5!$C2)</f>
        <v/>
      </c>
      <c r="AR259">
        <f>(M259-Schema_v5!$C4)/(Schema_v5!$C5-Schema_v5!$C4)</f>
        <v/>
      </c>
      <c r="AS259">
        <f>N259/Schema_v5!$C6</f>
        <v/>
      </c>
      <c r="AT259">
        <f>O259/Schema_v5!$C7</f>
        <v/>
      </c>
      <c r="AU259">
        <f>P259/Schema_v5!$C8</f>
        <v/>
      </c>
      <c r="AV259">
        <f>IF(Schema_v5!$C9=0,0,AH259/Schema_v5!$C9)</f>
        <v/>
      </c>
      <c r="AW259">
        <f>IF(Schema_v5!$C10=0,0,AE259/Schema_v5!$C10)</f>
        <v/>
      </c>
      <c r="AX259">
        <f>(W259-Schema_v5!$C11)/(Schema_v5!$C12-Schema_v5!$C11)</f>
        <v/>
      </c>
      <c r="AY259">
        <f>(X259-Schema_v5!$C13)/(Schema_v5!$C14-Schema_v5!$C13)</f>
        <v/>
      </c>
      <c r="AZ259">
        <f>MIN(1,MAX(0,U259/Schema_v7!$C$9))</f>
        <v/>
      </c>
      <c r="BA259">
        <f>IF(AJ259="yes",0.55,0)</f>
        <v/>
      </c>
      <c r="BB259">
        <f>IF(AI259="yes",0.10,0)</f>
        <v/>
      </c>
      <c r="BC259">
        <f>IF(Y259="COMM_Direct",0.92,IF(Y259="COMM_Emotional",0.70,IF(Y259="COMM_Logical",0.65,IF(Y259="COMM_Indirect",0.55,0.35))))</f>
        <v/>
      </c>
      <c r="BD259">
        <f>IF(Z259="REG_CoRegulator",0.92,IF(Z259="REG_SelfSoother",0.76,IF(Z259="REG_Distractor",0.48,0.35)))</f>
        <v/>
      </c>
      <c r="BE259">
        <f>IF(AA259="LANG_Time",0.76,IF(AA259="LANG_Service",0.70,IF(AA259="LANG_Words",0.72,IF(AA259="LANG_Touch",0.68,0.60))))</f>
        <v/>
      </c>
      <c r="BF259">
        <f>MAX(0,MIN(1,0.28*AS259+0.16*AT259+0.18*BC259+0.18*BD259+0.10*(1-AZ259)+0.10*(1-BA259)+BB259))</f>
        <v/>
      </c>
      <c r="BG259">
        <f>MAX(0,MIN(1,0.24*AU259+0.18*AS259+0.18*BC259+0.20*BD259+0.10*(1-AW259)+0.10*(1-BA259)))</f>
        <v/>
      </c>
      <c r="BH259">
        <f>MAX(0,MIN(1,0.28*AR259+0.18*AT259+0.16*AU259+0.18*(1-AV259)+0.10*(1-AW259)+0.10*BF259))</f>
        <v/>
      </c>
      <c r="BI259">
        <f>MAX(0,MIN(1,0.30*AV259+0.20*AZ259+0.20*AW259+0.15*(1-BH259)+0.15*(1-BO259)))</f>
        <v/>
      </c>
      <c r="BJ259">
        <f>MAX(0,1-(ABS(((( AX259+AY259)/2)-0.55)*1.6)))</f>
        <v/>
      </c>
      <c r="BK259">
        <f>MAX(0,MIN(1,0.28*AR259+0.18*AT259+0.16*BJ259+0.14*(1-AV259)+0.12*BQ259+0.12*BO259))</f>
        <v/>
      </c>
      <c r="BL259">
        <f>MAX(0,MIN(1,0.22*AQ259+0.18*AS259+0.18*BC259+0.18*BD259+0.08*BE259+0.10*BF259+0.06*BO259))</f>
        <v/>
      </c>
      <c r="BM259">
        <f>MAX(0,MIN(1,0.20*(1-AZ259)+0.16*(1-BA259)+0.14*(1-AW259)+0.14*AU259+0.18*BG259+0.10*BH259+0.08*BP259))</f>
        <v/>
      </c>
      <c r="BN259">
        <f>MAX(0,MIN(1,0.42*BJ259+0.33*BK259+0.15*AT259+0.10*BQ259))</f>
        <v/>
      </c>
      <c r="BO259">
        <f>MAX(0,MIN(1,0.30*BC259+0.24*BD259+0.18*AS259+0.14*(1-BI259)+0.14*AT259))</f>
        <v/>
      </c>
      <c r="BP259">
        <f>MAX(0,MIN(1,0.26*AS259+0.20*(1-BA259)+0.16*(1-AW259)+0.18*BG259+0.10*AU259+0.10+BB259))</f>
        <v/>
      </c>
      <c r="BQ259">
        <f>MAX(0,MIN(1,0.24*AT259+0.18*BF259+0.14*AR259+0.14*BO259+0.14*(1-AV259)+0.16*(1-AZ259)))</f>
        <v/>
      </c>
      <c r="BR259">
        <f>IF(BO259&gt;=0.80,"Open",IF(BO259&gt;=0.62,"Measured",IF(BO259&gt;=0.45,"Selective","Guarded")))</f>
        <v/>
      </c>
      <c r="BS259">
        <f>IF(Y259="COMM_Direct","Direct",IF(Y259="COMM_Emotional","Emotional",IF(Y259="COMM_Logical","Logical",IF(Y259="COMM_Indirect","Indirect","Avoidant"))))</f>
        <v/>
      </c>
      <c r="BT259">
        <f>IF(BG259&gt;=0.78,"Co-repair",IF(BG259&gt;=0.58,"Re-engage",IF(BG259&gt;=0.40,"Delay","Suppress")))</f>
        <v/>
      </c>
      <c r="BU259">
        <f>IF(BI259&gt;=0.70,"Retreat-risk",IF(BH259&lt;=0.40,"Rush-risk",IF(BH259&gt;=0.65,"Slow-build","Mixed")))</f>
        <v/>
      </c>
      <c r="BV259">
        <f>IF(BL259-BM259&gt;=0.15,"Stimulation-seeking",IF(BM259-BL259&gt;=0.15,"Calm-seeking","Mixed")))</f>
        <v/>
      </c>
      <c r="BW259">
        <f>IF(AND(BL259&gt;=0.72,BM259&lt;0.48),"High",IF(AND(BL259&gt;=0.60,BM259&lt;0.58),"Medium","Low"))</f>
        <v/>
      </c>
    </row>
    <row r="260" ht="54.75" customHeight="1" s="10">
      <c r="A260" s="2" t="inlineStr">
        <is>
          <t>Q52_C</t>
        </is>
      </c>
      <c r="B260" s="2" t="n">
        <v>52</v>
      </c>
      <c r="C260" s="2" t="n">
        <v>101</v>
      </c>
      <c r="D260" s="2" t="inlineStr">
        <is>
          <t>Shadow</t>
        </is>
      </c>
      <c r="E260" s="2" t="n">
        <v>1.3</v>
      </c>
      <c r="F260" s="2" t="inlineStr">
        <is>
          <t>ShadowPattern</t>
        </is>
      </c>
      <c r="G260" s="2" t="inlineStr">
        <is>
          <t>IntegrityRisk</t>
        </is>
      </c>
      <c r="H260" s="2" t="n"/>
      <c r="I260" s="2" t="inlineStr">
        <is>
          <t>C</t>
        </is>
      </c>
      <c r="J260" s="2" t="inlineStr">
        <is>
          <t>C</t>
        </is>
      </c>
      <c r="K260" s="2" t="inlineStr">
        <is>
          <t>I charm my way out of it. It's no big deal.</t>
        </is>
      </c>
      <c r="L260" s="2" t="n">
        <v>5</v>
      </c>
      <c r="M260" s="2" t="n"/>
      <c r="N260" s="2" t="n">
        <v>4</v>
      </c>
      <c r="O260" s="2" t="n">
        <v>4</v>
      </c>
      <c r="P260" s="2" t="n">
        <v>4</v>
      </c>
      <c r="Q260" s="2" t="n"/>
      <c r="R260" s="2" t="n"/>
      <c r="S260" s="2" t="inlineStr">
        <is>
          <t>Love Bomber</t>
        </is>
      </c>
      <c r="T260" s="2" t="n">
        <v>3</v>
      </c>
      <c r="U260" s="2" t="n">
        <v>6</v>
      </c>
      <c r="V260" s="2" t="inlineStr">
        <is>
          <t>masc:0.0;fem:0.0</t>
        </is>
      </c>
      <c r="W260" s="2" t="n">
        <v>0</v>
      </c>
      <c r="X260" s="2" t="n">
        <v>0</v>
      </c>
      <c r="Y260" s="2" t="n"/>
      <c r="Z260" s="2" t="n"/>
      <c r="AA260" s="2" t="n"/>
      <c r="AB260" s="2" t="n"/>
      <c r="AC260" s="2" t="n"/>
      <c r="AD260" s="2" t="n"/>
      <c r="AE260" s="2" t="n">
        <v>0</v>
      </c>
      <c r="AF260" s="2" t="n"/>
      <c r="AG260" s="2" t="n"/>
      <c r="AH260" s="2" t="n">
        <v>0.6</v>
      </c>
      <c r="AI260" s="2" t="n"/>
      <c r="AJ260" s="2" t="inlineStr">
        <is>
          <t>no</t>
        </is>
      </c>
      <c r="AK260" s="2" t="inlineStr">
        <is>
          <t>no</t>
        </is>
      </c>
      <c r="AL260" s="2" t="inlineStr">
        <is>
          <t>no</t>
        </is>
      </c>
      <c r="AM260" s="2" t="n"/>
      <c r="AN260" s="2" t="n"/>
      <c r="AO260" s="2" t="n"/>
      <c r="AP260" s="2" t="inlineStr">
        <is>
          <t>v3_2026-03-19</t>
        </is>
      </c>
      <c r="AQ260">
        <f>(L260-Schema_v5!$C2)/(Schema_v5!$C3-Schema_v5!$C2)</f>
        <v/>
      </c>
      <c r="AR260">
        <f>(M260-Schema_v5!$C4)/(Schema_v5!$C5-Schema_v5!$C4)</f>
        <v/>
      </c>
      <c r="AS260">
        <f>N260/Schema_v5!$C6</f>
        <v/>
      </c>
      <c r="AT260">
        <f>O260/Schema_v5!$C7</f>
        <v/>
      </c>
      <c r="AU260">
        <f>P260/Schema_v5!$C8</f>
        <v/>
      </c>
      <c r="AV260">
        <f>IF(Schema_v5!$C9=0,0,AH260/Schema_v5!$C9)</f>
        <v/>
      </c>
      <c r="AW260">
        <f>IF(Schema_v5!$C10=0,0,AE260/Schema_v5!$C10)</f>
        <v/>
      </c>
      <c r="AX260">
        <f>(W260-Schema_v5!$C11)/(Schema_v5!$C12-Schema_v5!$C11)</f>
        <v/>
      </c>
      <c r="AY260">
        <f>(X260-Schema_v5!$C13)/(Schema_v5!$C14-Schema_v5!$C13)</f>
        <v/>
      </c>
      <c r="AZ260">
        <f>MIN(1,MAX(0,U260/Schema_v7!$C$9))</f>
        <v/>
      </c>
      <c r="BA260">
        <f>IF(AJ260="yes",0.55,0)</f>
        <v/>
      </c>
      <c r="BB260">
        <f>IF(AI260="yes",0.10,0)</f>
        <v/>
      </c>
      <c r="BC260">
        <f>IF(Y260="COMM_Direct",0.92,IF(Y260="COMM_Emotional",0.70,IF(Y260="COMM_Logical",0.65,IF(Y260="COMM_Indirect",0.55,0.35))))</f>
        <v/>
      </c>
      <c r="BD260">
        <f>IF(Z260="REG_CoRegulator",0.92,IF(Z260="REG_SelfSoother",0.76,IF(Z260="REG_Distractor",0.48,0.35)))</f>
        <v/>
      </c>
      <c r="BE260">
        <f>IF(AA260="LANG_Time",0.76,IF(AA260="LANG_Service",0.70,IF(AA260="LANG_Words",0.72,IF(AA260="LANG_Touch",0.68,0.60))))</f>
        <v/>
      </c>
      <c r="BF260">
        <f>MAX(0,MIN(1,0.28*AS260+0.16*AT260+0.18*BC260+0.18*BD260+0.10*(1-AZ260)+0.10*(1-BA260)+BB260))</f>
        <v/>
      </c>
      <c r="BG260">
        <f>MAX(0,MIN(1,0.24*AU260+0.18*AS260+0.18*BC260+0.20*BD260+0.10*(1-AW260)+0.10*(1-BA260)))</f>
        <v/>
      </c>
      <c r="BH260">
        <f>MAX(0,MIN(1,0.28*AR260+0.18*AT260+0.16*AU260+0.18*(1-AV260)+0.10*(1-AW260)+0.10*BF260))</f>
        <v/>
      </c>
      <c r="BI260">
        <f>MAX(0,MIN(1,0.30*AV260+0.20*AZ260+0.20*AW260+0.15*(1-BH260)+0.15*(1-BO260)))</f>
        <v/>
      </c>
      <c r="BJ260">
        <f>MAX(0,1-(ABS(((( AX260+AY260)/2)-0.55)*1.6)))</f>
        <v/>
      </c>
      <c r="BK260">
        <f>MAX(0,MIN(1,0.28*AR260+0.18*AT260+0.16*BJ260+0.14*(1-AV260)+0.12*BQ260+0.12*BO260))</f>
        <v/>
      </c>
      <c r="BL260">
        <f>MAX(0,MIN(1,0.22*AQ260+0.18*AS260+0.18*BC260+0.18*BD260+0.08*BE260+0.10*BF260+0.06*BO260))</f>
        <v/>
      </c>
      <c r="BM260">
        <f>MAX(0,MIN(1,0.20*(1-AZ260)+0.16*(1-BA260)+0.14*(1-AW260)+0.14*AU260+0.18*BG260+0.10*BH260+0.08*BP260))</f>
        <v/>
      </c>
      <c r="BN260">
        <f>MAX(0,MIN(1,0.42*BJ260+0.33*BK260+0.15*AT260+0.10*BQ260))</f>
        <v/>
      </c>
      <c r="BO260">
        <f>MAX(0,MIN(1,0.30*BC260+0.24*BD260+0.18*AS260+0.14*(1-BI260)+0.14*AT260))</f>
        <v/>
      </c>
      <c r="BP260">
        <f>MAX(0,MIN(1,0.26*AS260+0.20*(1-BA260)+0.16*(1-AW260)+0.18*BG260+0.10*AU260+0.10+BB260))</f>
        <v/>
      </c>
      <c r="BQ260">
        <f>MAX(0,MIN(1,0.24*AT260+0.18*BF260+0.14*AR260+0.14*BO260+0.14*(1-AV260)+0.16*(1-AZ260)))</f>
        <v/>
      </c>
      <c r="BR260">
        <f>IF(BO260&gt;=0.80,"Open",IF(BO260&gt;=0.62,"Measured",IF(BO260&gt;=0.45,"Selective","Guarded")))</f>
        <v/>
      </c>
      <c r="BS260">
        <f>IF(Y260="COMM_Direct","Direct",IF(Y260="COMM_Emotional","Emotional",IF(Y260="COMM_Logical","Logical",IF(Y260="COMM_Indirect","Indirect","Avoidant"))))</f>
        <v/>
      </c>
      <c r="BT260">
        <f>IF(BG260&gt;=0.78,"Co-repair",IF(BG260&gt;=0.58,"Re-engage",IF(BG260&gt;=0.40,"Delay","Suppress")))</f>
        <v/>
      </c>
      <c r="BU260">
        <f>IF(BI260&gt;=0.70,"Retreat-risk",IF(BH260&lt;=0.40,"Rush-risk",IF(BH260&gt;=0.65,"Slow-build","Mixed")))</f>
        <v/>
      </c>
      <c r="BV260">
        <f>IF(BL260-BM260&gt;=0.15,"Stimulation-seeking",IF(BM260-BL260&gt;=0.15,"Calm-seeking","Mixed")))</f>
        <v/>
      </c>
      <c r="BW260">
        <f>IF(AND(BL260&gt;=0.72,BM260&lt;0.48),"High",IF(AND(BL260&gt;=0.60,BM260&lt;0.58),"Medium","Low"))</f>
        <v/>
      </c>
    </row>
    <row r="261" ht="68.25" customHeight="1" s="10">
      <c r="A261" s="2" t="inlineStr">
        <is>
          <t>Q52_D</t>
        </is>
      </c>
      <c r="B261" s="2" t="n">
        <v>52</v>
      </c>
      <c r="C261" s="2" t="n">
        <v>101</v>
      </c>
      <c r="D261" s="2" t="inlineStr">
        <is>
          <t>Shadow</t>
        </is>
      </c>
      <c r="E261" s="2" t="n">
        <v>1.3</v>
      </c>
      <c r="F261" s="2" t="inlineStr">
        <is>
          <t>ShadowPattern</t>
        </is>
      </c>
      <c r="G261" s="2" t="inlineStr">
        <is>
          <t>IntegrityRisk</t>
        </is>
      </c>
      <c r="H261" s="2" t="n"/>
      <c r="I261" s="2" t="inlineStr">
        <is>
          <t>D</t>
        </is>
      </c>
      <c r="J261" s="2" t="inlineStr">
        <is>
          <t>D</t>
        </is>
      </c>
      <c r="K261" s="2" t="inlineStr">
        <is>
          <t>I act like I forgot. I'm not even sure which version I told.</t>
        </is>
      </c>
      <c r="L261" s="2" t="n">
        <v>6</v>
      </c>
      <c r="M261" s="2" t="n"/>
      <c r="N261" s="2" t="n">
        <v>4</v>
      </c>
      <c r="O261" s="2" t="n">
        <v>4</v>
      </c>
      <c r="P261" s="2" t="n">
        <v>4</v>
      </c>
      <c r="Q261" s="2" t="n"/>
      <c r="R261" s="2" t="n"/>
      <c r="S261" s="2" t="inlineStr">
        <is>
          <t>Chameleon</t>
        </is>
      </c>
      <c r="T261" s="2" t="n">
        <v>4</v>
      </c>
      <c r="U261" s="2" t="n">
        <v>6</v>
      </c>
      <c r="V261" s="2" t="inlineStr">
        <is>
          <t>masc:0.0;fem:0.0</t>
        </is>
      </c>
      <c r="W261" s="2" t="n">
        <v>0</v>
      </c>
      <c r="X261" s="2" t="n">
        <v>0</v>
      </c>
      <c r="Y261" s="2" t="n"/>
      <c r="Z261" s="2" t="n"/>
      <c r="AA261" s="2" t="n"/>
      <c r="AB261" s="2" t="n"/>
      <c r="AC261" s="2" t="n"/>
      <c r="AD261" s="2" t="n"/>
      <c r="AE261" s="2" t="n">
        <v>0</v>
      </c>
      <c r="AF261" s="2" t="n"/>
      <c r="AG261" s="2" t="n"/>
      <c r="AH261" s="2" t="n">
        <v>0</v>
      </c>
      <c r="AI261" s="2" t="n"/>
      <c r="AJ261" s="2" t="inlineStr">
        <is>
          <t>no</t>
        </is>
      </c>
      <c r="AK261" s="2" t="inlineStr">
        <is>
          <t>no</t>
        </is>
      </c>
      <c r="AL261" s="2" t="inlineStr">
        <is>
          <t>no</t>
        </is>
      </c>
      <c r="AM261" s="2" t="n"/>
      <c r="AN261" s="2" t="n"/>
      <c r="AO261" s="2" t="n"/>
      <c r="AP261" s="2" t="inlineStr">
        <is>
          <t>v3_2026-03-19</t>
        </is>
      </c>
      <c r="AQ261">
        <f>(L261-Schema_v5!$C2)/(Schema_v5!$C3-Schema_v5!$C2)</f>
        <v/>
      </c>
      <c r="AR261">
        <f>(M261-Schema_v5!$C4)/(Schema_v5!$C5-Schema_v5!$C4)</f>
        <v/>
      </c>
      <c r="AS261">
        <f>N261/Schema_v5!$C6</f>
        <v/>
      </c>
      <c r="AT261">
        <f>O261/Schema_v5!$C7</f>
        <v/>
      </c>
      <c r="AU261">
        <f>P261/Schema_v5!$C8</f>
        <v/>
      </c>
      <c r="AV261">
        <f>IF(Schema_v5!$C9=0,0,AH261/Schema_v5!$C9)</f>
        <v/>
      </c>
      <c r="AW261">
        <f>IF(Schema_v5!$C10=0,0,AE261/Schema_v5!$C10)</f>
        <v/>
      </c>
      <c r="AX261">
        <f>(W261-Schema_v5!$C11)/(Schema_v5!$C12-Schema_v5!$C11)</f>
        <v/>
      </c>
      <c r="AY261">
        <f>(X261-Schema_v5!$C13)/(Schema_v5!$C14-Schema_v5!$C13)</f>
        <v/>
      </c>
      <c r="AZ261">
        <f>MIN(1,MAX(0,U261/Schema_v7!$C$9))</f>
        <v/>
      </c>
      <c r="BA261">
        <f>IF(AJ261="yes",0.55,0)</f>
        <v/>
      </c>
      <c r="BB261">
        <f>IF(AI261="yes",0.10,0)</f>
        <v/>
      </c>
      <c r="BC261">
        <f>IF(Y261="COMM_Direct",0.92,IF(Y261="COMM_Emotional",0.70,IF(Y261="COMM_Logical",0.65,IF(Y261="COMM_Indirect",0.55,0.35))))</f>
        <v/>
      </c>
      <c r="BD261">
        <f>IF(Z261="REG_CoRegulator",0.92,IF(Z261="REG_SelfSoother",0.76,IF(Z261="REG_Distractor",0.48,0.35)))</f>
        <v/>
      </c>
      <c r="BE261">
        <f>IF(AA261="LANG_Time",0.76,IF(AA261="LANG_Service",0.70,IF(AA261="LANG_Words",0.72,IF(AA261="LANG_Touch",0.68,0.60))))</f>
        <v/>
      </c>
      <c r="BF261">
        <f>MAX(0,MIN(1,0.28*AS261+0.16*AT261+0.18*BC261+0.18*BD261+0.10*(1-AZ261)+0.10*(1-BA261)+BB261))</f>
        <v/>
      </c>
      <c r="BG261">
        <f>MAX(0,MIN(1,0.24*AU261+0.18*AS261+0.18*BC261+0.20*BD261+0.10*(1-AW261)+0.10*(1-BA261)))</f>
        <v/>
      </c>
      <c r="BH261">
        <f>MAX(0,MIN(1,0.28*AR261+0.18*AT261+0.16*AU261+0.18*(1-AV261)+0.10*(1-AW261)+0.10*BF261))</f>
        <v/>
      </c>
      <c r="BI261">
        <f>MAX(0,MIN(1,0.30*AV261+0.20*AZ261+0.20*AW261+0.15*(1-BH261)+0.15*(1-BO261)))</f>
        <v/>
      </c>
      <c r="BJ261">
        <f>MAX(0,1-(ABS(((( AX261+AY261)/2)-0.55)*1.6)))</f>
        <v/>
      </c>
      <c r="BK261">
        <f>MAX(0,MIN(1,0.28*AR261+0.18*AT261+0.16*BJ261+0.14*(1-AV261)+0.12*BQ261+0.12*BO261))</f>
        <v/>
      </c>
      <c r="BL261">
        <f>MAX(0,MIN(1,0.22*AQ261+0.18*AS261+0.18*BC261+0.18*BD261+0.08*BE261+0.10*BF261+0.06*BO261))</f>
        <v/>
      </c>
      <c r="BM261">
        <f>MAX(0,MIN(1,0.20*(1-AZ261)+0.16*(1-BA261)+0.14*(1-AW261)+0.14*AU261+0.18*BG261+0.10*BH261+0.08*BP261))</f>
        <v/>
      </c>
      <c r="BN261">
        <f>MAX(0,MIN(1,0.42*BJ261+0.33*BK261+0.15*AT261+0.10*BQ261))</f>
        <v/>
      </c>
      <c r="BO261">
        <f>MAX(0,MIN(1,0.30*BC261+0.24*BD261+0.18*AS261+0.14*(1-BI261)+0.14*AT261))</f>
        <v/>
      </c>
      <c r="BP261">
        <f>MAX(0,MIN(1,0.26*AS261+0.20*(1-BA261)+0.16*(1-AW261)+0.18*BG261+0.10*AU261+0.10+BB261))</f>
        <v/>
      </c>
      <c r="BQ261">
        <f>MAX(0,MIN(1,0.24*AT261+0.18*BF261+0.14*AR261+0.14*BO261+0.14*(1-AV261)+0.16*(1-AZ261)))</f>
        <v/>
      </c>
      <c r="BR261">
        <f>IF(BO261&gt;=0.80,"Open",IF(BO261&gt;=0.62,"Measured",IF(BO261&gt;=0.45,"Selective","Guarded")))</f>
        <v/>
      </c>
      <c r="BS261">
        <f>IF(Y261="COMM_Direct","Direct",IF(Y261="COMM_Emotional","Emotional",IF(Y261="COMM_Logical","Logical",IF(Y261="COMM_Indirect","Indirect","Avoidant"))))</f>
        <v/>
      </c>
      <c r="BT261">
        <f>IF(BG261&gt;=0.78,"Co-repair",IF(BG261&gt;=0.58,"Re-engage",IF(BG261&gt;=0.40,"Delay","Suppress")))</f>
        <v/>
      </c>
      <c r="BU261">
        <f>IF(BI261&gt;=0.70,"Retreat-risk",IF(BH261&lt;=0.40,"Rush-risk",IF(BH261&gt;=0.65,"Slow-build","Mixed")))</f>
        <v/>
      </c>
      <c r="BV261">
        <f>IF(BL261-BM261&gt;=0.15,"Stimulation-seeking",IF(BM261-BL261&gt;=0.15,"Calm-seeking","Mixed")))</f>
        <v/>
      </c>
      <c r="BW261">
        <f>IF(AND(BL261&gt;=0.72,BM261&lt;0.48),"High",IF(AND(BL261&gt;=0.60,BM261&lt;0.58),"Medium","Low"))</f>
        <v/>
      </c>
    </row>
    <row r="262" ht="68.25" customHeight="1" s="10">
      <c r="A262" s="2" t="inlineStr">
        <is>
          <t>Q52_E</t>
        </is>
      </c>
      <c r="B262" s="2" t="n">
        <v>52</v>
      </c>
      <c r="C262" s="2" t="n">
        <v>101</v>
      </c>
      <c r="D262" s="2" t="inlineStr">
        <is>
          <t>Shadow</t>
        </is>
      </c>
      <c r="E262" s="2" t="n">
        <v>1.3</v>
      </c>
      <c r="F262" s="2" t="inlineStr">
        <is>
          <t>ShadowPattern</t>
        </is>
      </c>
      <c r="G262" s="2" t="inlineStr">
        <is>
          <t>IntegrityRisk</t>
        </is>
      </c>
      <c r="H262" s="2" t="n"/>
      <c r="I262" s="2" t="inlineStr">
        <is>
          <t>E</t>
        </is>
      </c>
      <c r="J262" s="2" t="inlineStr">
        <is>
          <t>E</t>
        </is>
      </c>
      <c r="K262" s="2" t="inlineStr">
        <is>
          <t>I downplay it and bring up something they did wrong.</t>
        </is>
      </c>
      <c r="L262" s="2" t="n">
        <v>7</v>
      </c>
      <c r="M262" s="2" t="n"/>
      <c r="N262" s="2" t="n">
        <v>2</v>
      </c>
      <c r="O262" s="2" t="n">
        <v>2</v>
      </c>
      <c r="P262" s="2" t="n">
        <v>2</v>
      </c>
      <c r="Q262" s="2" t="n"/>
      <c r="R262" s="2" t="n"/>
      <c r="S262" s="2" t="inlineStr">
        <is>
          <t>Scorekeeper</t>
        </is>
      </c>
      <c r="T262" s="2" t="n">
        <v>5</v>
      </c>
      <c r="U262" s="2" t="n">
        <v>8</v>
      </c>
      <c r="V262" s="2" t="inlineStr">
        <is>
          <t>masc:0.0;fem:0.0</t>
        </is>
      </c>
      <c r="W262" s="2" t="n">
        <v>0</v>
      </c>
      <c r="X262" s="2" t="n">
        <v>0</v>
      </c>
      <c r="Y262" s="2" t="n"/>
      <c r="Z262" s="2" t="n"/>
      <c r="AA262" s="2" t="n"/>
      <c r="AB262" s="2" t="n"/>
      <c r="AC262" s="2" t="n"/>
      <c r="AD262" s="2" t="n"/>
      <c r="AE262" s="2" t="n">
        <v>0</v>
      </c>
      <c r="AF262" s="2" t="n"/>
      <c r="AG262" s="2" t="n"/>
      <c r="AH262" s="2" t="n">
        <v>0</v>
      </c>
      <c r="AI262" s="2" t="n"/>
      <c r="AJ262" s="2" t="inlineStr">
        <is>
          <t>no</t>
        </is>
      </c>
      <c r="AK262" s="2" t="inlineStr">
        <is>
          <t>no</t>
        </is>
      </c>
      <c r="AL262" s="2" t="inlineStr">
        <is>
          <t>no</t>
        </is>
      </c>
      <c r="AM262" s="2" t="n"/>
      <c r="AN262" s="2" t="n"/>
      <c r="AO262" s="2" t="n"/>
      <c r="AP262" s="2" t="inlineStr">
        <is>
          <t>v3_2026-03-19</t>
        </is>
      </c>
      <c r="AQ262">
        <f>(L262-Schema_v5!$C2)/(Schema_v5!$C3-Schema_v5!$C2)</f>
        <v/>
      </c>
      <c r="AR262">
        <f>(M262-Schema_v5!$C4)/(Schema_v5!$C5-Schema_v5!$C4)</f>
        <v/>
      </c>
      <c r="AS262">
        <f>N262/Schema_v5!$C6</f>
        <v/>
      </c>
      <c r="AT262">
        <f>O262/Schema_v5!$C7</f>
        <v/>
      </c>
      <c r="AU262">
        <f>P262/Schema_v5!$C8</f>
        <v/>
      </c>
      <c r="AV262">
        <f>IF(Schema_v5!$C9=0,0,AH262/Schema_v5!$C9)</f>
        <v/>
      </c>
      <c r="AW262">
        <f>IF(Schema_v5!$C10=0,0,AE262/Schema_v5!$C10)</f>
        <v/>
      </c>
      <c r="AX262">
        <f>(W262-Schema_v5!$C11)/(Schema_v5!$C12-Schema_v5!$C11)</f>
        <v/>
      </c>
      <c r="AY262">
        <f>(X262-Schema_v5!$C13)/(Schema_v5!$C14-Schema_v5!$C13)</f>
        <v/>
      </c>
      <c r="AZ262">
        <f>MIN(1,MAX(0,U262/Schema_v7!$C$9))</f>
        <v/>
      </c>
      <c r="BA262">
        <f>IF(AJ262="yes",0.55,0)</f>
        <v/>
      </c>
      <c r="BB262">
        <f>IF(AI262="yes",0.10,0)</f>
        <v/>
      </c>
      <c r="BC262">
        <f>IF(Y262="COMM_Direct",0.92,IF(Y262="COMM_Emotional",0.70,IF(Y262="COMM_Logical",0.65,IF(Y262="COMM_Indirect",0.55,0.35))))</f>
        <v/>
      </c>
      <c r="BD262">
        <f>IF(Z262="REG_CoRegulator",0.92,IF(Z262="REG_SelfSoother",0.76,IF(Z262="REG_Distractor",0.48,0.35)))</f>
        <v/>
      </c>
      <c r="BE262">
        <f>IF(AA262="LANG_Time",0.76,IF(AA262="LANG_Service",0.70,IF(AA262="LANG_Words",0.72,IF(AA262="LANG_Touch",0.68,0.60))))</f>
        <v/>
      </c>
      <c r="BF262">
        <f>MAX(0,MIN(1,0.28*AS262+0.16*AT262+0.18*BC262+0.18*BD262+0.10*(1-AZ262)+0.10*(1-BA262)+BB262))</f>
        <v/>
      </c>
      <c r="BG262">
        <f>MAX(0,MIN(1,0.24*AU262+0.18*AS262+0.18*BC262+0.20*BD262+0.10*(1-AW262)+0.10*(1-BA262)))</f>
        <v/>
      </c>
      <c r="BH262">
        <f>MAX(0,MIN(1,0.28*AR262+0.18*AT262+0.16*AU262+0.18*(1-AV262)+0.10*(1-AW262)+0.10*BF262))</f>
        <v/>
      </c>
      <c r="BI262">
        <f>MAX(0,MIN(1,0.30*AV262+0.20*AZ262+0.20*AW262+0.15*(1-BH262)+0.15*(1-BO262)))</f>
        <v/>
      </c>
      <c r="BJ262">
        <f>MAX(0,1-(ABS(((( AX262+AY262)/2)-0.55)*1.6)))</f>
        <v/>
      </c>
      <c r="BK262">
        <f>MAX(0,MIN(1,0.28*AR262+0.18*AT262+0.16*BJ262+0.14*(1-AV262)+0.12*BQ262+0.12*BO262))</f>
        <v/>
      </c>
      <c r="BL262">
        <f>MAX(0,MIN(1,0.22*AQ262+0.18*AS262+0.18*BC262+0.18*BD262+0.08*BE262+0.10*BF262+0.06*BO262))</f>
        <v/>
      </c>
      <c r="BM262">
        <f>MAX(0,MIN(1,0.20*(1-AZ262)+0.16*(1-BA262)+0.14*(1-AW262)+0.14*AU262+0.18*BG262+0.10*BH262+0.08*BP262))</f>
        <v/>
      </c>
      <c r="BN262">
        <f>MAX(0,MIN(1,0.42*BJ262+0.33*BK262+0.15*AT262+0.10*BQ262))</f>
        <v/>
      </c>
      <c r="BO262">
        <f>MAX(0,MIN(1,0.30*BC262+0.24*BD262+0.18*AS262+0.14*(1-BI262)+0.14*AT262))</f>
        <v/>
      </c>
      <c r="BP262">
        <f>MAX(0,MIN(1,0.26*AS262+0.20*(1-BA262)+0.16*(1-AW262)+0.18*BG262+0.10*AU262+0.10+BB262))</f>
        <v/>
      </c>
      <c r="BQ262">
        <f>MAX(0,MIN(1,0.24*AT262+0.18*BF262+0.14*AR262+0.14*BO262+0.14*(1-AV262)+0.16*(1-AZ262)))</f>
        <v/>
      </c>
      <c r="BR262">
        <f>IF(BO262&gt;=0.80,"Open",IF(BO262&gt;=0.62,"Measured",IF(BO262&gt;=0.45,"Selective","Guarded")))</f>
        <v/>
      </c>
      <c r="BS262">
        <f>IF(Y262="COMM_Direct","Direct",IF(Y262="COMM_Emotional","Emotional",IF(Y262="COMM_Logical","Logical",IF(Y262="COMM_Indirect","Indirect","Avoidant"))))</f>
        <v/>
      </c>
      <c r="BT262">
        <f>IF(BG262&gt;=0.78,"Co-repair",IF(BG262&gt;=0.58,"Re-engage",IF(BG262&gt;=0.40,"Delay","Suppress")))</f>
        <v/>
      </c>
      <c r="BU262">
        <f>IF(BI262&gt;=0.70,"Retreat-risk",IF(BH262&lt;=0.40,"Rush-risk",IF(BH262&gt;=0.65,"Slow-build","Mixed")))</f>
        <v/>
      </c>
      <c r="BV262">
        <f>IF(BL262-BM262&gt;=0.15,"Stimulation-seeking",IF(BM262-BL262&gt;=0.15,"Calm-seeking","Mixed")))</f>
        <v/>
      </c>
      <c r="BW262">
        <f>IF(AND(BL262&gt;=0.72,BM262&lt;0.48),"High",IF(AND(BL262&gt;=0.60,BM262&lt;0.58),"Medium","Low"))</f>
        <v/>
      </c>
    </row>
    <row r="263" ht="41.25" customHeight="1" s="10">
      <c r="A263" s="2" t="inlineStr">
        <is>
          <t>Q52_F</t>
        </is>
      </c>
      <c r="B263" s="2" t="n">
        <v>52</v>
      </c>
      <c r="C263" s="2" t="n">
        <v>101</v>
      </c>
      <c r="D263" s="2" t="inlineStr">
        <is>
          <t>Shadow</t>
        </is>
      </c>
      <c r="E263" s="2" t="n">
        <v>1.3</v>
      </c>
      <c r="F263" s="2" t="inlineStr">
        <is>
          <t>ShadowPattern</t>
        </is>
      </c>
      <c r="G263" s="2" t="inlineStr">
        <is>
          <t>IntegrityRisk</t>
        </is>
      </c>
      <c r="H263" s="2" t="n"/>
      <c r="I263" s="2" t="inlineStr">
        <is>
          <t>F</t>
        </is>
      </c>
      <c r="J263" s="2" t="inlineStr">
        <is>
          <t>F</t>
        </is>
      </c>
      <c r="K263" s="2" t="inlineStr">
        <is>
          <t>I admit it and punish myself later.</t>
        </is>
      </c>
      <c r="L263" s="2" t="n">
        <v>8</v>
      </c>
      <c r="M263" s="2" t="n"/>
      <c r="N263" s="2" t="n">
        <v>2</v>
      </c>
      <c r="O263" s="2" t="n">
        <v>2</v>
      </c>
      <c r="P263" s="2" t="n">
        <v>2</v>
      </c>
      <c r="Q263" s="2" t="n"/>
      <c r="R263" s="2" t="n"/>
      <c r="S263" s="2" t="inlineStr">
        <is>
          <t>Self-Saboteur</t>
        </is>
      </c>
      <c r="T263" s="2" t="n">
        <v>6</v>
      </c>
      <c r="U263" s="2" t="n">
        <v>8</v>
      </c>
      <c r="V263" s="2" t="inlineStr">
        <is>
          <t>masc:0.0;fem:0.0</t>
        </is>
      </c>
      <c r="W263" s="2" t="n">
        <v>0</v>
      </c>
      <c r="X263" s="2" t="n">
        <v>0</v>
      </c>
      <c r="Y263" s="2" t="n"/>
      <c r="Z263" s="2" t="n"/>
      <c r="AA263" s="2" t="n"/>
      <c r="AB263" s="2" t="n"/>
      <c r="AC263" s="2" t="n"/>
      <c r="AD263" s="2" t="n"/>
      <c r="AE263" s="2" t="n">
        <v>0</v>
      </c>
      <c r="AF263" s="2" t="n"/>
      <c r="AG263" s="2" t="n"/>
      <c r="AH263" s="2" t="n">
        <v>0.6</v>
      </c>
      <c r="AI263" s="2" t="n"/>
      <c r="AJ263" s="2" t="inlineStr">
        <is>
          <t>no</t>
        </is>
      </c>
      <c r="AK263" s="2" t="inlineStr">
        <is>
          <t>no</t>
        </is>
      </c>
      <c r="AL263" s="2" t="inlineStr">
        <is>
          <t>no</t>
        </is>
      </c>
      <c r="AM263" s="2" t="n"/>
      <c r="AN263" s="2" t="n"/>
      <c r="AO263" s="2" t="n"/>
      <c r="AP263" s="2" t="inlineStr">
        <is>
          <t>v3_2026-03-19</t>
        </is>
      </c>
      <c r="AQ263">
        <f>(L263-Schema_v5!$C2)/(Schema_v5!$C3-Schema_v5!$C2)</f>
        <v/>
      </c>
      <c r="AR263">
        <f>(M263-Schema_v5!$C4)/(Schema_v5!$C5-Schema_v5!$C4)</f>
        <v/>
      </c>
      <c r="AS263">
        <f>N263/Schema_v5!$C6</f>
        <v/>
      </c>
      <c r="AT263">
        <f>O263/Schema_v5!$C7</f>
        <v/>
      </c>
      <c r="AU263">
        <f>P263/Schema_v5!$C8</f>
        <v/>
      </c>
      <c r="AV263">
        <f>IF(Schema_v5!$C9=0,0,AH263/Schema_v5!$C9)</f>
        <v/>
      </c>
      <c r="AW263">
        <f>IF(Schema_v5!$C10=0,0,AE263/Schema_v5!$C10)</f>
        <v/>
      </c>
      <c r="AX263">
        <f>(W263-Schema_v5!$C11)/(Schema_v5!$C12-Schema_v5!$C11)</f>
        <v/>
      </c>
      <c r="AY263">
        <f>(X263-Schema_v5!$C13)/(Schema_v5!$C14-Schema_v5!$C13)</f>
        <v/>
      </c>
      <c r="AZ263">
        <f>MIN(1,MAX(0,U263/Schema_v7!$C$9))</f>
        <v/>
      </c>
      <c r="BA263">
        <f>IF(AJ263="yes",0.55,0)</f>
        <v/>
      </c>
      <c r="BB263">
        <f>IF(AI263="yes",0.10,0)</f>
        <v/>
      </c>
      <c r="BC263">
        <f>IF(Y263="COMM_Direct",0.92,IF(Y263="COMM_Emotional",0.70,IF(Y263="COMM_Logical",0.65,IF(Y263="COMM_Indirect",0.55,0.35))))</f>
        <v/>
      </c>
      <c r="BD263">
        <f>IF(Z263="REG_CoRegulator",0.92,IF(Z263="REG_SelfSoother",0.76,IF(Z263="REG_Distractor",0.48,0.35)))</f>
        <v/>
      </c>
      <c r="BE263">
        <f>IF(AA263="LANG_Time",0.76,IF(AA263="LANG_Service",0.70,IF(AA263="LANG_Words",0.72,IF(AA263="LANG_Touch",0.68,0.60))))</f>
        <v/>
      </c>
      <c r="BF263">
        <f>MAX(0,MIN(1,0.28*AS263+0.16*AT263+0.18*BC263+0.18*BD263+0.10*(1-AZ263)+0.10*(1-BA263)+BB263))</f>
        <v/>
      </c>
      <c r="BG263">
        <f>MAX(0,MIN(1,0.24*AU263+0.18*AS263+0.18*BC263+0.20*BD263+0.10*(1-AW263)+0.10*(1-BA263)))</f>
        <v/>
      </c>
      <c r="BH263">
        <f>MAX(0,MIN(1,0.28*AR263+0.18*AT263+0.16*AU263+0.18*(1-AV263)+0.10*(1-AW263)+0.10*BF263))</f>
        <v/>
      </c>
      <c r="BI263">
        <f>MAX(0,MIN(1,0.30*AV263+0.20*AZ263+0.20*AW263+0.15*(1-BH263)+0.15*(1-BO263)))</f>
        <v/>
      </c>
      <c r="BJ263">
        <f>MAX(0,1-(ABS(((( AX263+AY263)/2)-0.55)*1.6)))</f>
        <v/>
      </c>
      <c r="BK263">
        <f>MAX(0,MIN(1,0.28*AR263+0.18*AT263+0.16*BJ263+0.14*(1-AV263)+0.12*BQ263+0.12*BO263))</f>
        <v/>
      </c>
      <c r="BL263">
        <f>MAX(0,MIN(1,0.22*AQ263+0.18*AS263+0.18*BC263+0.18*BD263+0.08*BE263+0.10*BF263+0.06*BO263))</f>
        <v/>
      </c>
      <c r="BM263">
        <f>MAX(0,MIN(1,0.20*(1-AZ263)+0.16*(1-BA263)+0.14*(1-AW263)+0.14*AU263+0.18*BG263+0.10*BH263+0.08*BP263))</f>
        <v/>
      </c>
      <c r="BN263">
        <f>MAX(0,MIN(1,0.42*BJ263+0.33*BK263+0.15*AT263+0.10*BQ263))</f>
        <v/>
      </c>
      <c r="BO263">
        <f>MAX(0,MIN(1,0.30*BC263+0.24*BD263+0.18*AS263+0.14*(1-BI263)+0.14*AT263))</f>
        <v/>
      </c>
      <c r="BP263">
        <f>MAX(0,MIN(1,0.26*AS263+0.20*(1-BA263)+0.16*(1-AW263)+0.18*BG263+0.10*AU263+0.10+BB263))</f>
        <v/>
      </c>
      <c r="BQ263">
        <f>MAX(0,MIN(1,0.24*AT263+0.18*BF263+0.14*AR263+0.14*BO263+0.14*(1-AV263)+0.16*(1-AZ263)))</f>
        <v/>
      </c>
      <c r="BR263">
        <f>IF(BO263&gt;=0.80,"Open",IF(BO263&gt;=0.62,"Measured",IF(BO263&gt;=0.45,"Selective","Guarded")))</f>
        <v/>
      </c>
      <c r="BS263">
        <f>IF(Y263="COMM_Direct","Direct",IF(Y263="COMM_Emotional","Emotional",IF(Y263="COMM_Logical","Logical",IF(Y263="COMM_Indirect","Indirect","Avoidant"))))</f>
        <v/>
      </c>
      <c r="BT263">
        <f>IF(BG263&gt;=0.78,"Co-repair",IF(BG263&gt;=0.58,"Re-engage",IF(BG263&gt;=0.40,"Delay","Suppress")))</f>
        <v/>
      </c>
      <c r="BU263">
        <f>IF(BI263&gt;=0.70,"Retreat-risk",IF(BH263&lt;=0.40,"Rush-risk",IF(BH263&gt;=0.65,"Slow-build","Mixed")))</f>
        <v/>
      </c>
      <c r="BV263">
        <f>IF(BL263-BM263&gt;=0.15,"Stimulation-seeking",IF(BM263-BL263&gt;=0.15,"Calm-seeking","Mixed")))</f>
        <v/>
      </c>
      <c r="BW263">
        <f>IF(AND(BL263&gt;=0.72,BM263&lt;0.48),"High",IF(AND(BL263&gt;=0.60,BM263&lt;0.58),"Medium","Low"))</f>
        <v/>
      </c>
    </row>
    <row r="264" ht="94.5" customHeight="1" s="10">
      <c r="A264" s="2" t="inlineStr">
        <is>
          <t>Q53_A</t>
        </is>
      </c>
      <c r="B264" s="2" t="n">
        <v>53</v>
      </c>
      <c r="C264" s="2" t="n">
        <v>102</v>
      </c>
      <c r="D264" s="2" t="inlineStr">
        <is>
          <t>Shadow</t>
        </is>
      </c>
      <c r="E264" s="2" t="n">
        <v>1.3</v>
      </c>
      <c r="F264" s="2" t="inlineStr">
        <is>
          <t>ShadowPattern</t>
        </is>
      </c>
      <c r="G264" s="2" t="inlineStr">
        <is>
          <t>IntegrityRisk</t>
        </is>
      </c>
      <c r="H264" s="2" t="inlineStr">
        <is>
          <t>They disappoint you emotionally. No apology, no awareness. What happens next?</t>
        </is>
      </c>
      <c r="I264" s="2" t="inlineStr">
        <is>
          <t>A</t>
        </is>
      </c>
      <c r="J264" s="2" t="inlineStr">
        <is>
          <t>A</t>
        </is>
      </c>
      <c r="K264" s="2" t="inlineStr">
        <is>
          <t>I bring it up in a way that makes them feel guilty.</t>
        </is>
      </c>
      <c r="L264" s="2" t="n">
        <v>4</v>
      </c>
      <c r="M264" s="2" t="n"/>
      <c r="N264" s="2" t="n">
        <v>4</v>
      </c>
      <c r="O264" s="2" t="n">
        <v>4</v>
      </c>
      <c r="P264" s="2" t="n">
        <v>4</v>
      </c>
      <c r="Q264" s="2" t="n"/>
      <c r="R264" s="2" t="n"/>
      <c r="S264" s="2" t="inlineStr">
        <is>
          <t>Manipulator</t>
        </is>
      </c>
      <c r="T264" s="2" t="n">
        <v>1</v>
      </c>
      <c r="U264" s="2" t="n">
        <v>6</v>
      </c>
      <c r="V264" s="2" t="inlineStr">
        <is>
          <t>masc:0.0;fem:0.0</t>
        </is>
      </c>
      <c r="W264" s="2" t="n">
        <v>0</v>
      </c>
      <c r="X264" s="2" t="n">
        <v>0</v>
      </c>
      <c r="Y264" s="2" t="n"/>
      <c r="Z264" s="2" t="n"/>
      <c r="AA264" s="2" t="n"/>
      <c r="AB264" s="2" t="n"/>
      <c r="AC264" s="2" t="n"/>
      <c r="AD264" s="2" t="n"/>
      <c r="AE264" s="2" t="n">
        <v>0</v>
      </c>
      <c r="AF264" s="2" t="n"/>
      <c r="AG264" s="2" t="n"/>
      <c r="AH264" s="2" t="n">
        <v>0.6</v>
      </c>
      <c r="AI264" s="2" t="n"/>
      <c r="AJ264" s="2" t="inlineStr">
        <is>
          <t>yes</t>
        </is>
      </c>
      <c r="AK264" s="2" t="inlineStr">
        <is>
          <t>no</t>
        </is>
      </c>
      <c r="AL264" s="2" t="inlineStr">
        <is>
          <t>no</t>
        </is>
      </c>
      <c r="AM264" s="2" t="n"/>
      <c r="AN264" s="2" t="n"/>
      <c r="AO264" s="2" t="n"/>
      <c r="AP264" s="2" t="inlineStr">
        <is>
          <t>v3_2026-03-19</t>
        </is>
      </c>
      <c r="AQ264">
        <f>(L264-Schema_v5!$C2)/(Schema_v5!$C3-Schema_v5!$C2)</f>
        <v/>
      </c>
      <c r="AR264">
        <f>(M264-Schema_v5!$C4)/(Schema_v5!$C5-Schema_v5!$C4)</f>
        <v/>
      </c>
      <c r="AS264">
        <f>N264/Schema_v5!$C6</f>
        <v/>
      </c>
      <c r="AT264">
        <f>O264/Schema_v5!$C7</f>
        <v/>
      </c>
      <c r="AU264">
        <f>P264/Schema_v5!$C8</f>
        <v/>
      </c>
      <c r="AV264">
        <f>IF(Schema_v5!$C9=0,0,AH264/Schema_v5!$C9)</f>
        <v/>
      </c>
      <c r="AW264">
        <f>IF(Schema_v5!$C10=0,0,AE264/Schema_v5!$C10)</f>
        <v/>
      </c>
      <c r="AX264">
        <f>(W264-Schema_v5!$C11)/(Schema_v5!$C12-Schema_v5!$C11)</f>
        <v/>
      </c>
      <c r="AY264">
        <f>(X264-Schema_v5!$C13)/(Schema_v5!$C14-Schema_v5!$C13)</f>
        <v/>
      </c>
      <c r="AZ264">
        <f>MIN(1,MAX(0,U264/Schema_v7!$C$9))</f>
        <v/>
      </c>
      <c r="BA264">
        <f>IF(AJ264="yes",0.55,0)</f>
        <v/>
      </c>
      <c r="BB264">
        <f>IF(AI264="yes",0.10,0)</f>
        <v/>
      </c>
      <c r="BC264">
        <f>IF(Y264="COMM_Direct",0.92,IF(Y264="COMM_Emotional",0.70,IF(Y264="COMM_Logical",0.65,IF(Y264="COMM_Indirect",0.55,0.35))))</f>
        <v/>
      </c>
      <c r="BD264">
        <f>IF(Z264="REG_CoRegulator",0.92,IF(Z264="REG_SelfSoother",0.76,IF(Z264="REG_Distractor",0.48,0.35)))</f>
        <v/>
      </c>
      <c r="BE264">
        <f>IF(AA264="LANG_Time",0.76,IF(AA264="LANG_Service",0.70,IF(AA264="LANG_Words",0.72,IF(AA264="LANG_Touch",0.68,0.60))))</f>
        <v/>
      </c>
      <c r="BF264">
        <f>MAX(0,MIN(1,0.28*AS264+0.16*AT264+0.18*BC264+0.18*BD264+0.10*(1-AZ264)+0.10*(1-BA264)+BB264))</f>
        <v/>
      </c>
      <c r="BG264">
        <f>MAX(0,MIN(1,0.24*AU264+0.18*AS264+0.18*BC264+0.20*BD264+0.10*(1-AW264)+0.10*(1-BA264)))</f>
        <v/>
      </c>
      <c r="BH264">
        <f>MAX(0,MIN(1,0.28*AR264+0.18*AT264+0.16*AU264+0.18*(1-AV264)+0.10*(1-AW264)+0.10*BF264))</f>
        <v/>
      </c>
      <c r="BI264">
        <f>MAX(0,MIN(1,0.30*AV264+0.20*AZ264+0.20*AW264+0.15*(1-BH264)+0.15*(1-BO264)))</f>
        <v/>
      </c>
      <c r="BJ264">
        <f>MAX(0,1-(ABS(((( AX264+AY264)/2)-0.55)*1.6)))</f>
        <v/>
      </c>
      <c r="BK264">
        <f>MAX(0,MIN(1,0.28*AR264+0.18*AT264+0.16*BJ264+0.14*(1-AV264)+0.12*BQ264+0.12*BO264))</f>
        <v/>
      </c>
      <c r="BL264">
        <f>MAX(0,MIN(1,0.22*AQ264+0.18*AS264+0.18*BC264+0.18*BD264+0.08*BE264+0.10*BF264+0.06*BO264))</f>
        <v/>
      </c>
      <c r="BM264">
        <f>MAX(0,MIN(1,0.20*(1-AZ264)+0.16*(1-BA264)+0.14*(1-AW264)+0.14*AU264+0.18*BG264+0.10*BH264+0.08*BP264))</f>
        <v/>
      </c>
      <c r="BN264">
        <f>MAX(0,MIN(1,0.42*BJ264+0.33*BK264+0.15*AT264+0.10*BQ264))</f>
        <v/>
      </c>
      <c r="BO264">
        <f>MAX(0,MIN(1,0.30*BC264+0.24*BD264+0.18*AS264+0.14*(1-BI264)+0.14*AT264))</f>
        <v/>
      </c>
      <c r="BP264">
        <f>MAX(0,MIN(1,0.26*AS264+0.20*(1-BA264)+0.16*(1-AW264)+0.18*BG264+0.10*AU264+0.10+BB264))</f>
        <v/>
      </c>
      <c r="BQ264">
        <f>MAX(0,MIN(1,0.24*AT264+0.18*BF264+0.14*AR264+0.14*BO264+0.14*(1-AV264)+0.16*(1-AZ264)))</f>
        <v/>
      </c>
      <c r="BR264">
        <f>IF(BO264&gt;=0.80,"Open",IF(BO264&gt;=0.62,"Measured",IF(BO264&gt;=0.45,"Selective","Guarded")))</f>
        <v/>
      </c>
      <c r="BS264">
        <f>IF(Y264="COMM_Direct","Direct",IF(Y264="COMM_Emotional","Emotional",IF(Y264="COMM_Logical","Logical",IF(Y264="COMM_Indirect","Indirect","Avoidant"))))</f>
        <v/>
      </c>
      <c r="BT264">
        <f>IF(BG264&gt;=0.78,"Co-repair",IF(BG264&gt;=0.58,"Re-engage",IF(BG264&gt;=0.40,"Delay","Suppress")))</f>
        <v/>
      </c>
      <c r="BU264">
        <f>IF(BI264&gt;=0.70,"Retreat-risk",IF(BH264&lt;=0.40,"Rush-risk",IF(BH264&gt;=0.65,"Slow-build","Mixed")))</f>
        <v/>
      </c>
      <c r="BV264">
        <f>IF(BL264-BM264&gt;=0.15,"Stimulation-seeking",IF(BM264-BL264&gt;=0.15,"Calm-seeking","Mixed")))</f>
        <v/>
      </c>
      <c r="BW264">
        <f>IF(AND(BL264&gt;=0.72,BM264&lt;0.48),"High",IF(AND(BL264&gt;=0.60,BM264&lt;0.58),"Medium","Low"))</f>
        <v/>
      </c>
    </row>
    <row r="265" ht="68.25" customHeight="1" s="10">
      <c r="A265" s="2" t="inlineStr">
        <is>
          <t>Q53_B</t>
        </is>
      </c>
      <c r="B265" s="2" t="n">
        <v>53</v>
      </c>
      <c r="C265" s="2" t="n">
        <v>102</v>
      </c>
      <c r="D265" s="2" t="inlineStr">
        <is>
          <t>Shadow</t>
        </is>
      </c>
      <c r="E265" s="2" t="n">
        <v>1.3</v>
      </c>
      <c r="F265" s="2" t="inlineStr">
        <is>
          <t>ShadowPattern</t>
        </is>
      </c>
      <c r="G265" s="2" t="inlineStr">
        <is>
          <t>IntegrityRisk</t>
        </is>
      </c>
      <c r="H265" s="2" t="n"/>
      <c r="I265" s="2" t="inlineStr">
        <is>
          <t>B</t>
        </is>
      </c>
      <c r="J265" s="2" t="inlineStr">
        <is>
          <t>B</t>
        </is>
      </c>
      <c r="K265" s="2" t="inlineStr">
        <is>
          <t>I go distant and make them guess what's wrong.</t>
        </is>
      </c>
      <c r="L265" s="2" t="n">
        <v>3</v>
      </c>
      <c r="M265" s="2" t="n"/>
      <c r="N265" s="2" t="n">
        <v>6</v>
      </c>
      <c r="O265" s="2" t="n">
        <v>6</v>
      </c>
      <c r="P265" s="2" t="n">
        <v>6</v>
      </c>
      <c r="Q265" s="2" t="n"/>
      <c r="R265" s="2" t="n"/>
      <c r="S265" s="2" t="inlineStr">
        <is>
          <t>Stonewaller</t>
        </is>
      </c>
      <c r="T265" s="2" t="n">
        <v>2</v>
      </c>
      <c r="U265" s="2" t="n">
        <v>4</v>
      </c>
      <c r="V265" s="2" t="inlineStr">
        <is>
          <t>masc:0.0;fem:0.0</t>
        </is>
      </c>
      <c r="W265" s="2" t="n">
        <v>0</v>
      </c>
      <c r="X265" s="2" t="n">
        <v>0</v>
      </c>
      <c r="Y265" s="2" t="n"/>
      <c r="Z265" s="2" t="n"/>
      <c r="AA265" s="2" t="n"/>
      <c r="AB265" s="2" t="n"/>
      <c r="AC265" s="2" t="n"/>
      <c r="AD265" s="2" t="n"/>
      <c r="AE265" s="2" t="n">
        <v>0</v>
      </c>
      <c r="AF265" s="2" t="n"/>
      <c r="AG265" s="2" t="n"/>
      <c r="AH265" s="2" t="n">
        <v>0.6</v>
      </c>
      <c r="AI265" s="2" t="n"/>
      <c r="AJ265" s="2" t="inlineStr">
        <is>
          <t>yes</t>
        </is>
      </c>
      <c r="AK265" s="2" t="inlineStr">
        <is>
          <t>no</t>
        </is>
      </c>
      <c r="AL265" s="2" t="inlineStr">
        <is>
          <t>no</t>
        </is>
      </c>
      <c r="AM265" s="2" t="n"/>
      <c r="AN265" s="2" t="n"/>
      <c r="AO265" s="2" t="n"/>
      <c r="AP265" s="2" t="inlineStr">
        <is>
          <t>v3_2026-03-19</t>
        </is>
      </c>
      <c r="AQ265">
        <f>(L265-Schema_v5!$C2)/(Schema_v5!$C3-Schema_v5!$C2)</f>
        <v/>
      </c>
      <c r="AR265">
        <f>(M265-Schema_v5!$C4)/(Schema_v5!$C5-Schema_v5!$C4)</f>
        <v/>
      </c>
      <c r="AS265">
        <f>N265/Schema_v5!$C6</f>
        <v/>
      </c>
      <c r="AT265">
        <f>O265/Schema_v5!$C7</f>
        <v/>
      </c>
      <c r="AU265">
        <f>P265/Schema_v5!$C8</f>
        <v/>
      </c>
      <c r="AV265">
        <f>IF(Schema_v5!$C9=0,0,AH265/Schema_v5!$C9)</f>
        <v/>
      </c>
      <c r="AW265">
        <f>IF(Schema_v5!$C10=0,0,AE265/Schema_v5!$C10)</f>
        <v/>
      </c>
      <c r="AX265">
        <f>(W265-Schema_v5!$C11)/(Schema_v5!$C12-Schema_v5!$C11)</f>
        <v/>
      </c>
      <c r="AY265">
        <f>(X265-Schema_v5!$C13)/(Schema_v5!$C14-Schema_v5!$C13)</f>
        <v/>
      </c>
      <c r="AZ265">
        <f>MIN(1,MAX(0,U265/Schema_v7!$C$9))</f>
        <v/>
      </c>
      <c r="BA265">
        <f>IF(AJ265="yes",0.55,0)</f>
        <v/>
      </c>
      <c r="BB265">
        <f>IF(AI265="yes",0.10,0)</f>
        <v/>
      </c>
      <c r="BC265">
        <f>IF(Y265="COMM_Direct",0.92,IF(Y265="COMM_Emotional",0.70,IF(Y265="COMM_Logical",0.65,IF(Y265="COMM_Indirect",0.55,0.35))))</f>
        <v/>
      </c>
      <c r="BD265">
        <f>IF(Z265="REG_CoRegulator",0.92,IF(Z265="REG_SelfSoother",0.76,IF(Z265="REG_Distractor",0.48,0.35)))</f>
        <v/>
      </c>
      <c r="BE265">
        <f>IF(AA265="LANG_Time",0.76,IF(AA265="LANG_Service",0.70,IF(AA265="LANG_Words",0.72,IF(AA265="LANG_Touch",0.68,0.60))))</f>
        <v/>
      </c>
      <c r="BF265">
        <f>MAX(0,MIN(1,0.28*AS265+0.16*AT265+0.18*BC265+0.18*BD265+0.10*(1-AZ265)+0.10*(1-BA265)+BB265))</f>
        <v/>
      </c>
      <c r="BG265">
        <f>MAX(0,MIN(1,0.24*AU265+0.18*AS265+0.18*BC265+0.20*BD265+0.10*(1-AW265)+0.10*(1-BA265)))</f>
        <v/>
      </c>
      <c r="BH265">
        <f>MAX(0,MIN(1,0.28*AR265+0.18*AT265+0.16*AU265+0.18*(1-AV265)+0.10*(1-AW265)+0.10*BF265))</f>
        <v/>
      </c>
      <c r="BI265">
        <f>MAX(0,MIN(1,0.30*AV265+0.20*AZ265+0.20*AW265+0.15*(1-BH265)+0.15*(1-BO265)))</f>
        <v/>
      </c>
      <c r="BJ265">
        <f>MAX(0,1-(ABS(((( AX265+AY265)/2)-0.55)*1.6)))</f>
        <v/>
      </c>
      <c r="BK265">
        <f>MAX(0,MIN(1,0.28*AR265+0.18*AT265+0.16*BJ265+0.14*(1-AV265)+0.12*BQ265+0.12*BO265))</f>
        <v/>
      </c>
      <c r="BL265">
        <f>MAX(0,MIN(1,0.22*AQ265+0.18*AS265+0.18*BC265+0.18*BD265+0.08*BE265+0.10*BF265+0.06*BO265))</f>
        <v/>
      </c>
      <c r="BM265">
        <f>MAX(0,MIN(1,0.20*(1-AZ265)+0.16*(1-BA265)+0.14*(1-AW265)+0.14*AU265+0.18*BG265+0.10*BH265+0.08*BP265))</f>
        <v/>
      </c>
      <c r="BN265">
        <f>MAX(0,MIN(1,0.42*BJ265+0.33*BK265+0.15*AT265+0.10*BQ265))</f>
        <v/>
      </c>
      <c r="BO265">
        <f>MAX(0,MIN(1,0.30*BC265+0.24*BD265+0.18*AS265+0.14*(1-BI265)+0.14*AT265))</f>
        <v/>
      </c>
      <c r="BP265">
        <f>MAX(0,MIN(1,0.26*AS265+0.20*(1-BA265)+0.16*(1-AW265)+0.18*BG265+0.10*AU265+0.10+BB265))</f>
        <v/>
      </c>
      <c r="BQ265">
        <f>MAX(0,MIN(1,0.24*AT265+0.18*BF265+0.14*AR265+0.14*BO265+0.14*(1-AV265)+0.16*(1-AZ265)))</f>
        <v/>
      </c>
      <c r="BR265">
        <f>IF(BO265&gt;=0.80,"Open",IF(BO265&gt;=0.62,"Measured",IF(BO265&gt;=0.45,"Selective","Guarded")))</f>
        <v/>
      </c>
      <c r="BS265">
        <f>IF(Y265="COMM_Direct","Direct",IF(Y265="COMM_Emotional","Emotional",IF(Y265="COMM_Logical","Logical",IF(Y265="COMM_Indirect","Indirect","Avoidant"))))</f>
        <v/>
      </c>
      <c r="BT265">
        <f>IF(BG265&gt;=0.78,"Co-repair",IF(BG265&gt;=0.58,"Re-engage",IF(BG265&gt;=0.40,"Delay","Suppress")))</f>
        <v/>
      </c>
      <c r="BU265">
        <f>IF(BI265&gt;=0.70,"Retreat-risk",IF(BH265&lt;=0.40,"Rush-risk",IF(BH265&gt;=0.65,"Slow-build","Mixed")))</f>
        <v/>
      </c>
      <c r="BV265">
        <f>IF(BL265-BM265&gt;=0.15,"Stimulation-seeking",IF(BM265-BL265&gt;=0.15,"Calm-seeking","Mixed")))</f>
        <v/>
      </c>
      <c r="BW265">
        <f>IF(AND(BL265&gt;=0.72,BM265&lt;0.48),"High",IF(AND(BL265&gt;=0.60,BM265&lt;0.58),"Medium","Low"))</f>
        <v/>
      </c>
    </row>
    <row r="266" ht="68.25" customHeight="1" s="10">
      <c r="A266" s="2" t="inlineStr">
        <is>
          <t>Q53_C</t>
        </is>
      </c>
      <c r="B266" s="2" t="n">
        <v>53</v>
      </c>
      <c r="C266" s="2" t="n">
        <v>102</v>
      </c>
      <c r="D266" s="2" t="inlineStr">
        <is>
          <t>Shadow</t>
        </is>
      </c>
      <c r="E266" s="2" t="n">
        <v>1.3</v>
      </c>
      <c r="F266" s="2" t="inlineStr">
        <is>
          <t>ShadowPattern</t>
        </is>
      </c>
      <c r="G266" s="2" t="inlineStr">
        <is>
          <t>IntegrityRisk</t>
        </is>
      </c>
      <c r="H266" s="2" t="n"/>
      <c r="I266" s="2" t="inlineStr">
        <is>
          <t>C</t>
        </is>
      </c>
      <c r="J266" s="2" t="inlineStr">
        <is>
          <t>C</t>
        </is>
      </c>
      <c r="K266" s="2" t="inlineStr">
        <is>
          <t>I act like I'm over it, but hold it as ammo for later</t>
        </is>
      </c>
      <c r="L266" s="2" t="n">
        <v>5</v>
      </c>
      <c r="M266" s="2" t="n"/>
      <c r="N266" s="2" t="n">
        <v>4</v>
      </c>
      <c r="O266" s="2" t="n">
        <v>4</v>
      </c>
      <c r="P266" s="2" t="n">
        <v>4</v>
      </c>
      <c r="Q266" s="2" t="n"/>
      <c r="R266" s="2" t="n"/>
      <c r="S266" s="2" t="inlineStr">
        <is>
          <t>Love Bomber</t>
        </is>
      </c>
      <c r="T266" s="2" t="n">
        <v>3</v>
      </c>
      <c r="U266" s="2" t="n">
        <v>6</v>
      </c>
      <c r="V266" s="2" t="inlineStr">
        <is>
          <t>masc:0.0;fem:0.0</t>
        </is>
      </c>
      <c r="W266" s="2" t="n">
        <v>0</v>
      </c>
      <c r="X266" s="2" t="n">
        <v>0</v>
      </c>
      <c r="Y266" s="2" t="n"/>
      <c r="Z266" s="2" t="n"/>
      <c r="AA266" s="2" t="n"/>
      <c r="AB266" s="2" t="n"/>
      <c r="AC266" s="2" t="n"/>
      <c r="AD266" s="2" t="n"/>
      <c r="AE266" s="2" t="n">
        <v>0</v>
      </c>
      <c r="AF266" s="2" t="n"/>
      <c r="AG266" s="2" t="n"/>
      <c r="AH266" s="2" t="n">
        <v>0.6</v>
      </c>
      <c r="AI266" s="2" t="n"/>
      <c r="AJ266" s="2" t="inlineStr">
        <is>
          <t>no</t>
        </is>
      </c>
      <c r="AK266" s="2" t="inlineStr">
        <is>
          <t>no</t>
        </is>
      </c>
      <c r="AL266" s="2" t="inlineStr">
        <is>
          <t>no</t>
        </is>
      </c>
      <c r="AM266" s="2" t="n"/>
      <c r="AN266" s="2" t="n"/>
      <c r="AO266" s="2" t="n"/>
      <c r="AP266" s="2" t="inlineStr">
        <is>
          <t>v3_2026-03-19</t>
        </is>
      </c>
      <c r="AQ266">
        <f>(L266-Schema_v5!$C2)/(Schema_v5!$C3-Schema_v5!$C2)</f>
        <v/>
      </c>
      <c r="AR266">
        <f>(M266-Schema_v5!$C4)/(Schema_v5!$C5-Schema_v5!$C4)</f>
        <v/>
      </c>
      <c r="AS266">
        <f>N266/Schema_v5!$C6</f>
        <v/>
      </c>
      <c r="AT266">
        <f>O266/Schema_v5!$C7</f>
        <v/>
      </c>
      <c r="AU266">
        <f>P266/Schema_v5!$C8</f>
        <v/>
      </c>
      <c r="AV266">
        <f>IF(Schema_v5!$C9=0,0,AH266/Schema_v5!$C9)</f>
        <v/>
      </c>
      <c r="AW266">
        <f>IF(Schema_v5!$C10=0,0,AE266/Schema_v5!$C10)</f>
        <v/>
      </c>
      <c r="AX266">
        <f>(W266-Schema_v5!$C11)/(Schema_v5!$C12-Schema_v5!$C11)</f>
        <v/>
      </c>
      <c r="AY266">
        <f>(X266-Schema_v5!$C13)/(Schema_v5!$C14-Schema_v5!$C13)</f>
        <v/>
      </c>
      <c r="AZ266">
        <f>MIN(1,MAX(0,U266/Schema_v7!$C$9))</f>
        <v/>
      </c>
      <c r="BA266">
        <f>IF(AJ266="yes",0.55,0)</f>
        <v/>
      </c>
      <c r="BB266">
        <f>IF(AI266="yes",0.10,0)</f>
        <v/>
      </c>
      <c r="BC266">
        <f>IF(Y266="COMM_Direct",0.92,IF(Y266="COMM_Emotional",0.70,IF(Y266="COMM_Logical",0.65,IF(Y266="COMM_Indirect",0.55,0.35))))</f>
        <v/>
      </c>
      <c r="BD266">
        <f>IF(Z266="REG_CoRegulator",0.92,IF(Z266="REG_SelfSoother",0.76,IF(Z266="REG_Distractor",0.48,0.35)))</f>
        <v/>
      </c>
      <c r="BE266">
        <f>IF(AA266="LANG_Time",0.76,IF(AA266="LANG_Service",0.70,IF(AA266="LANG_Words",0.72,IF(AA266="LANG_Touch",0.68,0.60))))</f>
        <v/>
      </c>
      <c r="BF266">
        <f>MAX(0,MIN(1,0.28*AS266+0.16*AT266+0.18*BC266+0.18*BD266+0.10*(1-AZ266)+0.10*(1-BA266)+BB266))</f>
        <v/>
      </c>
      <c r="BG266">
        <f>MAX(0,MIN(1,0.24*AU266+0.18*AS266+0.18*BC266+0.20*BD266+0.10*(1-AW266)+0.10*(1-BA266)))</f>
        <v/>
      </c>
      <c r="BH266">
        <f>MAX(0,MIN(1,0.28*AR266+0.18*AT266+0.16*AU266+0.18*(1-AV266)+0.10*(1-AW266)+0.10*BF266))</f>
        <v/>
      </c>
      <c r="BI266">
        <f>MAX(0,MIN(1,0.30*AV266+0.20*AZ266+0.20*AW266+0.15*(1-BH266)+0.15*(1-BO266)))</f>
        <v/>
      </c>
      <c r="BJ266">
        <f>MAX(0,1-(ABS(((( AX266+AY266)/2)-0.55)*1.6)))</f>
        <v/>
      </c>
      <c r="BK266">
        <f>MAX(0,MIN(1,0.28*AR266+0.18*AT266+0.16*BJ266+0.14*(1-AV266)+0.12*BQ266+0.12*BO266))</f>
        <v/>
      </c>
      <c r="BL266">
        <f>MAX(0,MIN(1,0.22*AQ266+0.18*AS266+0.18*BC266+0.18*BD266+0.08*BE266+0.10*BF266+0.06*BO266))</f>
        <v/>
      </c>
      <c r="BM266">
        <f>MAX(0,MIN(1,0.20*(1-AZ266)+0.16*(1-BA266)+0.14*(1-AW266)+0.14*AU266+0.18*BG266+0.10*BH266+0.08*BP266))</f>
        <v/>
      </c>
      <c r="BN266">
        <f>MAX(0,MIN(1,0.42*BJ266+0.33*BK266+0.15*AT266+0.10*BQ266))</f>
        <v/>
      </c>
      <c r="BO266">
        <f>MAX(0,MIN(1,0.30*BC266+0.24*BD266+0.18*AS266+0.14*(1-BI266)+0.14*AT266))</f>
        <v/>
      </c>
      <c r="BP266">
        <f>MAX(0,MIN(1,0.26*AS266+0.20*(1-BA266)+0.16*(1-AW266)+0.18*BG266+0.10*AU266+0.10+BB266))</f>
        <v/>
      </c>
      <c r="BQ266">
        <f>MAX(0,MIN(1,0.24*AT266+0.18*BF266+0.14*AR266+0.14*BO266+0.14*(1-AV266)+0.16*(1-AZ266)))</f>
        <v/>
      </c>
      <c r="BR266">
        <f>IF(BO266&gt;=0.80,"Open",IF(BO266&gt;=0.62,"Measured",IF(BO266&gt;=0.45,"Selective","Guarded")))</f>
        <v/>
      </c>
      <c r="BS266">
        <f>IF(Y266="COMM_Direct","Direct",IF(Y266="COMM_Emotional","Emotional",IF(Y266="COMM_Logical","Logical",IF(Y266="COMM_Indirect","Indirect","Avoidant"))))</f>
        <v/>
      </c>
      <c r="BT266">
        <f>IF(BG266&gt;=0.78,"Co-repair",IF(BG266&gt;=0.58,"Re-engage",IF(BG266&gt;=0.40,"Delay","Suppress")))</f>
        <v/>
      </c>
      <c r="BU266">
        <f>IF(BI266&gt;=0.70,"Retreat-risk",IF(BH266&lt;=0.40,"Rush-risk",IF(BH266&gt;=0.65,"Slow-build","Mixed")))</f>
        <v/>
      </c>
      <c r="BV266">
        <f>IF(BL266-BM266&gt;=0.15,"Stimulation-seeking",IF(BM266-BL266&gt;=0.15,"Calm-seeking","Mixed")))</f>
        <v/>
      </c>
      <c r="BW266">
        <f>IF(AND(BL266&gt;=0.72,BM266&lt;0.48),"High",IF(AND(BL266&gt;=0.60,BM266&lt;0.58),"Medium","Low"))</f>
        <v/>
      </c>
    </row>
    <row r="267" ht="68.25" customHeight="1" s="10">
      <c r="A267" s="2" t="inlineStr">
        <is>
          <t>Q53_D</t>
        </is>
      </c>
      <c r="B267" s="2" t="n">
        <v>53</v>
      </c>
      <c r="C267" s="2" t="n">
        <v>102</v>
      </c>
      <c r="D267" s="2" t="inlineStr">
        <is>
          <t>Shadow</t>
        </is>
      </c>
      <c r="E267" s="2" t="n">
        <v>1.3</v>
      </c>
      <c r="F267" s="2" t="inlineStr">
        <is>
          <t>ShadowPattern</t>
        </is>
      </c>
      <c r="G267" s="2" t="inlineStr">
        <is>
          <t>IntegrityRisk</t>
        </is>
      </c>
      <c r="H267" s="2" t="n"/>
      <c r="I267" s="2" t="inlineStr">
        <is>
          <t>D</t>
        </is>
      </c>
      <c r="J267" s="2" t="inlineStr">
        <is>
          <t>D</t>
        </is>
      </c>
      <c r="K267" s="2" t="inlineStr">
        <is>
          <t>I mirror whatever version of me they liked last time.</t>
        </is>
      </c>
      <c r="L267" s="2" t="n">
        <v>6</v>
      </c>
      <c r="M267" s="2" t="n"/>
      <c r="N267" s="2" t="n">
        <v>4</v>
      </c>
      <c r="O267" s="2" t="n">
        <v>4</v>
      </c>
      <c r="P267" s="2" t="n">
        <v>4</v>
      </c>
      <c r="Q267" s="2" t="n"/>
      <c r="R267" s="2" t="n"/>
      <c r="S267" s="2" t="inlineStr">
        <is>
          <t>Chameleon</t>
        </is>
      </c>
      <c r="T267" s="2" t="n">
        <v>4</v>
      </c>
      <c r="U267" s="2" t="n">
        <v>6</v>
      </c>
      <c r="V267" s="2" t="inlineStr">
        <is>
          <t>masc:0.0;fem:0.0</t>
        </is>
      </c>
      <c r="W267" s="2" t="n">
        <v>0</v>
      </c>
      <c r="X267" s="2" t="n">
        <v>0</v>
      </c>
      <c r="Y267" s="2" t="n"/>
      <c r="Z267" s="2" t="n"/>
      <c r="AA267" s="2" t="n"/>
      <c r="AB267" s="2" t="n"/>
      <c r="AC267" s="2" t="n"/>
      <c r="AD267" s="2" t="n"/>
      <c r="AE267" s="2" t="n">
        <v>0</v>
      </c>
      <c r="AF267" s="2" t="n"/>
      <c r="AG267" s="2" t="n"/>
      <c r="AH267" s="2" t="n">
        <v>0</v>
      </c>
      <c r="AI267" s="2" t="n"/>
      <c r="AJ267" s="2" t="inlineStr">
        <is>
          <t>no</t>
        </is>
      </c>
      <c r="AK267" s="2" t="inlineStr">
        <is>
          <t>no</t>
        </is>
      </c>
      <c r="AL267" s="2" t="inlineStr">
        <is>
          <t>no</t>
        </is>
      </c>
      <c r="AM267" s="2" t="n"/>
      <c r="AN267" s="2" t="n"/>
      <c r="AO267" s="2" t="n"/>
      <c r="AP267" s="2" t="inlineStr">
        <is>
          <t>v3_2026-03-19</t>
        </is>
      </c>
      <c r="AQ267">
        <f>(L267-Schema_v5!$C2)/(Schema_v5!$C3-Schema_v5!$C2)</f>
        <v/>
      </c>
      <c r="AR267">
        <f>(M267-Schema_v5!$C4)/(Schema_v5!$C5-Schema_v5!$C4)</f>
        <v/>
      </c>
      <c r="AS267">
        <f>N267/Schema_v5!$C6</f>
        <v/>
      </c>
      <c r="AT267">
        <f>O267/Schema_v5!$C7</f>
        <v/>
      </c>
      <c r="AU267">
        <f>P267/Schema_v5!$C8</f>
        <v/>
      </c>
      <c r="AV267">
        <f>IF(Schema_v5!$C9=0,0,AH267/Schema_v5!$C9)</f>
        <v/>
      </c>
      <c r="AW267">
        <f>IF(Schema_v5!$C10=0,0,AE267/Schema_v5!$C10)</f>
        <v/>
      </c>
      <c r="AX267">
        <f>(W267-Schema_v5!$C11)/(Schema_v5!$C12-Schema_v5!$C11)</f>
        <v/>
      </c>
      <c r="AY267">
        <f>(X267-Schema_v5!$C13)/(Schema_v5!$C14-Schema_v5!$C13)</f>
        <v/>
      </c>
      <c r="AZ267">
        <f>MIN(1,MAX(0,U267/Schema_v7!$C$9))</f>
        <v/>
      </c>
      <c r="BA267">
        <f>IF(AJ267="yes",0.55,0)</f>
        <v/>
      </c>
      <c r="BB267">
        <f>IF(AI267="yes",0.10,0)</f>
        <v/>
      </c>
      <c r="BC267">
        <f>IF(Y267="COMM_Direct",0.92,IF(Y267="COMM_Emotional",0.70,IF(Y267="COMM_Logical",0.65,IF(Y267="COMM_Indirect",0.55,0.35))))</f>
        <v/>
      </c>
      <c r="BD267">
        <f>IF(Z267="REG_CoRegulator",0.92,IF(Z267="REG_SelfSoother",0.76,IF(Z267="REG_Distractor",0.48,0.35)))</f>
        <v/>
      </c>
      <c r="BE267">
        <f>IF(AA267="LANG_Time",0.76,IF(AA267="LANG_Service",0.70,IF(AA267="LANG_Words",0.72,IF(AA267="LANG_Touch",0.68,0.60))))</f>
        <v/>
      </c>
      <c r="BF267">
        <f>MAX(0,MIN(1,0.28*AS267+0.16*AT267+0.18*BC267+0.18*BD267+0.10*(1-AZ267)+0.10*(1-BA267)+BB267))</f>
        <v/>
      </c>
      <c r="BG267">
        <f>MAX(0,MIN(1,0.24*AU267+0.18*AS267+0.18*BC267+0.20*BD267+0.10*(1-AW267)+0.10*(1-BA267)))</f>
        <v/>
      </c>
      <c r="BH267">
        <f>MAX(0,MIN(1,0.28*AR267+0.18*AT267+0.16*AU267+0.18*(1-AV267)+0.10*(1-AW267)+0.10*BF267))</f>
        <v/>
      </c>
      <c r="BI267">
        <f>MAX(0,MIN(1,0.30*AV267+0.20*AZ267+0.20*AW267+0.15*(1-BH267)+0.15*(1-BO267)))</f>
        <v/>
      </c>
      <c r="BJ267">
        <f>MAX(0,1-(ABS(((( AX267+AY267)/2)-0.55)*1.6)))</f>
        <v/>
      </c>
      <c r="BK267">
        <f>MAX(0,MIN(1,0.28*AR267+0.18*AT267+0.16*BJ267+0.14*(1-AV267)+0.12*BQ267+0.12*BO267))</f>
        <v/>
      </c>
      <c r="BL267">
        <f>MAX(0,MIN(1,0.22*AQ267+0.18*AS267+0.18*BC267+0.18*BD267+0.08*BE267+0.10*BF267+0.06*BO267))</f>
        <v/>
      </c>
      <c r="BM267">
        <f>MAX(0,MIN(1,0.20*(1-AZ267)+0.16*(1-BA267)+0.14*(1-AW267)+0.14*AU267+0.18*BG267+0.10*BH267+0.08*BP267))</f>
        <v/>
      </c>
      <c r="BN267">
        <f>MAX(0,MIN(1,0.42*BJ267+0.33*BK267+0.15*AT267+0.10*BQ267))</f>
        <v/>
      </c>
      <c r="BO267">
        <f>MAX(0,MIN(1,0.30*BC267+0.24*BD267+0.18*AS267+0.14*(1-BI267)+0.14*AT267))</f>
        <v/>
      </c>
      <c r="BP267">
        <f>MAX(0,MIN(1,0.26*AS267+0.20*(1-BA267)+0.16*(1-AW267)+0.18*BG267+0.10*AU267+0.10+BB267))</f>
        <v/>
      </c>
      <c r="BQ267">
        <f>MAX(0,MIN(1,0.24*AT267+0.18*BF267+0.14*AR267+0.14*BO267+0.14*(1-AV267)+0.16*(1-AZ267)))</f>
        <v/>
      </c>
      <c r="BR267">
        <f>IF(BO267&gt;=0.80,"Open",IF(BO267&gt;=0.62,"Measured",IF(BO267&gt;=0.45,"Selective","Guarded")))</f>
        <v/>
      </c>
      <c r="BS267">
        <f>IF(Y267="COMM_Direct","Direct",IF(Y267="COMM_Emotional","Emotional",IF(Y267="COMM_Logical","Logical",IF(Y267="COMM_Indirect","Indirect","Avoidant"))))</f>
        <v/>
      </c>
      <c r="BT267">
        <f>IF(BG267&gt;=0.78,"Co-repair",IF(BG267&gt;=0.58,"Re-engage",IF(BG267&gt;=0.40,"Delay","Suppress")))</f>
        <v/>
      </c>
      <c r="BU267">
        <f>IF(BI267&gt;=0.70,"Retreat-risk",IF(BH267&lt;=0.40,"Rush-risk",IF(BH267&gt;=0.65,"Slow-build","Mixed")))</f>
        <v/>
      </c>
      <c r="BV267">
        <f>IF(BL267-BM267&gt;=0.15,"Stimulation-seeking",IF(BM267-BL267&gt;=0.15,"Calm-seeking","Mixed")))</f>
        <v/>
      </c>
      <c r="BW267">
        <f>IF(AND(BL267&gt;=0.72,BM267&lt;0.48),"High",IF(AND(BL267&gt;=0.60,BM267&lt;0.58),"Medium","Low"))</f>
        <v/>
      </c>
    </row>
    <row r="268" ht="81" customHeight="1" s="10">
      <c r="A268" s="2" t="inlineStr">
        <is>
          <t>Q53_E</t>
        </is>
      </c>
      <c r="B268" s="2" t="n">
        <v>53</v>
      </c>
      <c r="C268" s="2" t="n">
        <v>102</v>
      </c>
      <c r="D268" s="2" t="inlineStr">
        <is>
          <t>Shadow</t>
        </is>
      </c>
      <c r="E268" s="2" t="n">
        <v>1.3</v>
      </c>
      <c r="F268" s="2" t="inlineStr">
        <is>
          <t>ShadowPattern</t>
        </is>
      </c>
      <c r="G268" s="2" t="inlineStr">
        <is>
          <t>IntegrityRisk</t>
        </is>
      </c>
      <c r="H268" s="2" t="n"/>
      <c r="I268" s="2" t="inlineStr">
        <is>
          <t>E</t>
        </is>
      </c>
      <c r="J268" s="2" t="inlineStr">
        <is>
          <t>E</t>
        </is>
      </c>
      <c r="K268" s="2" t="inlineStr">
        <is>
          <t>I start tracking every moment they come up short.</t>
        </is>
      </c>
      <c r="L268" s="2" t="n">
        <v>7</v>
      </c>
      <c r="M268" s="2" t="n"/>
      <c r="N268" s="2" t="n">
        <v>2</v>
      </c>
      <c r="O268" s="2" t="n">
        <v>2</v>
      </c>
      <c r="P268" s="2" t="n">
        <v>2</v>
      </c>
      <c r="Q268" s="2" t="n"/>
      <c r="R268" s="2" t="n"/>
      <c r="S268" s="2" t="inlineStr">
        <is>
          <t>Scorekeeper</t>
        </is>
      </c>
      <c r="T268" s="2" t="n">
        <v>5</v>
      </c>
      <c r="U268" s="2" t="n">
        <v>8</v>
      </c>
      <c r="V268" s="2" t="inlineStr">
        <is>
          <t>masc:0.0;fem:0.0</t>
        </is>
      </c>
      <c r="W268" s="2" t="n">
        <v>0</v>
      </c>
      <c r="X268" s="2" t="n">
        <v>0</v>
      </c>
      <c r="Y268" s="2" t="n"/>
      <c r="Z268" s="2" t="n"/>
      <c r="AA268" s="2" t="n"/>
      <c r="AB268" s="2" t="n"/>
      <c r="AC268" s="2" t="n"/>
      <c r="AD268" s="2" t="n"/>
      <c r="AE268" s="2" t="n">
        <v>0</v>
      </c>
      <c r="AF268" s="2" t="n"/>
      <c r="AG268" s="2" t="n"/>
      <c r="AH268" s="2" t="n">
        <v>0</v>
      </c>
      <c r="AI268" s="2" t="n"/>
      <c r="AJ268" s="2" t="inlineStr">
        <is>
          <t>no</t>
        </is>
      </c>
      <c r="AK268" s="2" t="inlineStr">
        <is>
          <t>no</t>
        </is>
      </c>
      <c r="AL268" s="2" t="inlineStr">
        <is>
          <t>no</t>
        </is>
      </c>
      <c r="AM268" s="2" t="n"/>
      <c r="AN268" s="2" t="n"/>
      <c r="AO268" s="2" t="n"/>
      <c r="AP268" s="2" t="inlineStr">
        <is>
          <t>v3_2026-03-19</t>
        </is>
      </c>
      <c r="AQ268">
        <f>(L268-Schema_v5!$C2)/(Schema_v5!$C3-Schema_v5!$C2)</f>
        <v/>
      </c>
      <c r="AR268">
        <f>(M268-Schema_v5!$C4)/(Schema_v5!$C5-Schema_v5!$C4)</f>
        <v/>
      </c>
      <c r="AS268">
        <f>N268/Schema_v5!$C6</f>
        <v/>
      </c>
      <c r="AT268">
        <f>O268/Schema_v5!$C7</f>
        <v/>
      </c>
      <c r="AU268">
        <f>P268/Schema_v5!$C8</f>
        <v/>
      </c>
      <c r="AV268">
        <f>IF(Schema_v5!$C9=0,0,AH268/Schema_v5!$C9)</f>
        <v/>
      </c>
      <c r="AW268">
        <f>IF(Schema_v5!$C10=0,0,AE268/Schema_v5!$C10)</f>
        <v/>
      </c>
      <c r="AX268">
        <f>(W268-Schema_v5!$C11)/(Schema_v5!$C12-Schema_v5!$C11)</f>
        <v/>
      </c>
      <c r="AY268">
        <f>(X268-Schema_v5!$C13)/(Schema_v5!$C14-Schema_v5!$C13)</f>
        <v/>
      </c>
      <c r="AZ268">
        <f>MIN(1,MAX(0,U268/Schema_v7!$C$9))</f>
        <v/>
      </c>
      <c r="BA268">
        <f>IF(AJ268="yes",0.55,0)</f>
        <v/>
      </c>
      <c r="BB268">
        <f>IF(AI268="yes",0.10,0)</f>
        <v/>
      </c>
      <c r="BC268">
        <f>IF(Y268="COMM_Direct",0.92,IF(Y268="COMM_Emotional",0.70,IF(Y268="COMM_Logical",0.65,IF(Y268="COMM_Indirect",0.55,0.35))))</f>
        <v/>
      </c>
      <c r="BD268">
        <f>IF(Z268="REG_CoRegulator",0.92,IF(Z268="REG_SelfSoother",0.76,IF(Z268="REG_Distractor",0.48,0.35)))</f>
        <v/>
      </c>
      <c r="BE268">
        <f>IF(AA268="LANG_Time",0.76,IF(AA268="LANG_Service",0.70,IF(AA268="LANG_Words",0.72,IF(AA268="LANG_Touch",0.68,0.60))))</f>
        <v/>
      </c>
      <c r="BF268">
        <f>MAX(0,MIN(1,0.28*AS268+0.16*AT268+0.18*BC268+0.18*BD268+0.10*(1-AZ268)+0.10*(1-BA268)+BB268))</f>
        <v/>
      </c>
      <c r="BG268">
        <f>MAX(0,MIN(1,0.24*AU268+0.18*AS268+0.18*BC268+0.20*BD268+0.10*(1-AW268)+0.10*(1-BA268)))</f>
        <v/>
      </c>
      <c r="BH268">
        <f>MAX(0,MIN(1,0.28*AR268+0.18*AT268+0.16*AU268+0.18*(1-AV268)+0.10*(1-AW268)+0.10*BF268))</f>
        <v/>
      </c>
      <c r="BI268">
        <f>MAX(0,MIN(1,0.30*AV268+0.20*AZ268+0.20*AW268+0.15*(1-BH268)+0.15*(1-BO268)))</f>
        <v/>
      </c>
      <c r="BJ268">
        <f>MAX(0,1-(ABS(((( AX268+AY268)/2)-0.55)*1.6)))</f>
        <v/>
      </c>
      <c r="BK268">
        <f>MAX(0,MIN(1,0.28*AR268+0.18*AT268+0.16*BJ268+0.14*(1-AV268)+0.12*BQ268+0.12*BO268))</f>
        <v/>
      </c>
      <c r="BL268">
        <f>MAX(0,MIN(1,0.22*AQ268+0.18*AS268+0.18*BC268+0.18*BD268+0.08*BE268+0.10*BF268+0.06*BO268))</f>
        <v/>
      </c>
      <c r="BM268">
        <f>MAX(0,MIN(1,0.20*(1-AZ268)+0.16*(1-BA268)+0.14*(1-AW268)+0.14*AU268+0.18*BG268+0.10*BH268+0.08*BP268))</f>
        <v/>
      </c>
      <c r="BN268">
        <f>MAX(0,MIN(1,0.42*BJ268+0.33*BK268+0.15*AT268+0.10*BQ268))</f>
        <v/>
      </c>
      <c r="BO268">
        <f>MAX(0,MIN(1,0.30*BC268+0.24*BD268+0.18*AS268+0.14*(1-BI268)+0.14*AT268))</f>
        <v/>
      </c>
      <c r="BP268">
        <f>MAX(0,MIN(1,0.26*AS268+0.20*(1-BA268)+0.16*(1-AW268)+0.18*BG268+0.10*AU268+0.10+BB268))</f>
        <v/>
      </c>
      <c r="BQ268">
        <f>MAX(0,MIN(1,0.24*AT268+0.18*BF268+0.14*AR268+0.14*BO268+0.14*(1-AV268)+0.16*(1-AZ268)))</f>
        <v/>
      </c>
      <c r="BR268">
        <f>IF(BO268&gt;=0.80,"Open",IF(BO268&gt;=0.62,"Measured",IF(BO268&gt;=0.45,"Selective","Guarded")))</f>
        <v/>
      </c>
      <c r="BS268">
        <f>IF(Y268="COMM_Direct","Direct",IF(Y268="COMM_Emotional","Emotional",IF(Y268="COMM_Logical","Logical",IF(Y268="COMM_Indirect","Indirect","Avoidant"))))</f>
        <v/>
      </c>
      <c r="BT268">
        <f>IF(BG268&gt;=0.78,"Co-repair",IF(BG268&gt;=0.58,"Re-engage",IF(BG268&gt;=0.40,"Delay","Suppress")))</f>
        <v/>
      </c>
      <c r="BU268">
        <f>IF(BI268&gt;=0.70,"Retreat-risk",IF(BH268&lt;=0.40,"Rush-risk",IF(BH268&gt;=0.65,"Slow-build","Mixed")))</f>
        <v/>
      </c>
      <c r="BV268">
        <f>IF(BL268-BM268&gt;=0.15,"Stimulation-seeking",IF(BM268-BL268&gt;=0.15,"Calm-seeking","Mixed")))</f>
        <v/>
      </c>
      <c r="BW268">
        <f>IF(AND(BL268&gt;=0.72,BM268&lt;0.48),"High",IF(AND(BL268&gt;=0.60,BM268&lt;0.58),"Medium","Low"))</f>
        <v/>
      </c>
    </row>
    <row r="269" ht="81" customHeight="1" s="10">
      <c r="A269" s="2" t="inlineStr">
        <is>
          <t>Q53_F</t>
        </is>
      </c>
      <c r="B269" s="2" t="n">
        <v>53</v>
      </c>
      <c r="C269" s="2" t="n">
        <v>102</v>
      </c>
      <c r="D269" s="2" t="inlineStr">
        <is>
          <t>Shadow</t>
        </is>
      </c>
      <c r="E269" s="2" t="n">
        <v>1.3</v>
      </c>
      <c r="F269" s="2" t="inlineStr">
        <is>
          <t>ShadowPattern</t>
        </is>
      </c>
      <c r="G269" s="2" t="inlineStr">
        <is>
          <t>IntegrityRisk</t>
        </is>
      </c>
      <c r="H269" s="2" t="n"/>
      <c r="I269" s="2" t="inlineStr">
        <is>
          <t>F</t>
        </is>
      </c>
      <c r="J269" s="2" t="inlineStr">
        <is>
          <t>F</t>
        </is>
      </c>
      <c r="K269" s="2" t="inlineStr">
        <is>
          <t>I decide it's probably my fault and try harder to earn their care.</t>
        </is>
      </c>
      <c r="L269" s="2" t="n">
        <v>8</v>
      </c>
      <c r="M269" s="2" t="n"/>
      <c r="N269" s="2" t="n">
        <v>2</v>
      </c>
      <c r="O269" s="2" t="n">
        <v>2</v>
      </c>
      <c r="P269" s="2" t="n">
        <v>2</v>
      </c>
      <c r="Q269" s="2" t="n"/>
      <c r="R269" s="2" t="n"/>
      <c r="S269" s="2" t="inlineStr">
        <is>
          <t>Self-Saboteur</t>
        </is>
      </c>
      <c r="T269" s="2" t="n">
        <v>6</v>
      </c>
      <c r="U269" s="2" t="n">
        <v>8</v>
      </c>
      <c r="V269" s="2" t="inlineStr">
        <is>
          <t>masc:0.0;fem:0.0</t>
        </is>
      </c>
      <c r="W269" s="2" t="n">
        <v>0</v>
      </c>
      <c r="X269" s="2" t="n">
        <v>0</v>
      </c>
      <c r="Y269" s="2" t="n"/>
      <c r="Z269" s="2" t="n"/>
      <c r="AA269" s="2" t="n"/>
      <c r="AB269" s="2" t="n"/>
      <c r="AC269" s="2" t="n"/>
      <c r="AD269" s="2" t="n"/>
      <c r="AE269" s="2" t="n">
        <v>0</v>
      </c>
      <c r="AF269" s="2" t="n"/>
      <c r="AG269" s="2" t="n"/>
      <c r="AH269" s="2" t="n">
        <v>0</v>
      </c>
      <c r="AI269" s="2" t="n"/>
      <c r="AJ269" s="2" t="inlineStr">
        <is>
          <t>no</t>
        </is>
      </c>
      <c r="AK269" s="2" t="inlineStr">
        <is>
          <t>no</t>
        </is>
      </c>
      <c r="AL269" s="2" t="inlineStr">
        <is>
          <t>no</t>
        </is>
      </c>
      <c r="AM269" s="2" t="n"/>
      <c r="AN269" s="2" t="n"/>
      <c r="AO269" s="2" t="n"/>
      <c r="AP269" s="2" t="inlineStr">
        <is>
          <t>v3_2026-03-19</t>
        </is>
      </c>
      <c r="AQ269">
        <f>(L269-Schema_v5!$C2)/(Schema_v5!$C3-Schema_v5!$C2)</f>
        <v/>
      </c>
      <c r="AR269">
        <f>(M269-Schema_v5!$C4)/(Schema_v5!$C5-Schema_v5!$C4)</f>
        <v/>
      </c>
      <c r="AS269">
        <f>N269/Schema_v5!$C6</f>
        <v/>
      </c>
      <c r="AT269">
        <f>O269/Schema_v5!$C7</f>
        <v/>
      </c>
      <c r="AU269">
        <f>P269/Schema_v5!$C8</f>
        <v/>
      </c>
      <c r="AV269">
        <f>IF(Schema_v5!$C9=0,0,AH269/Schema_v5!$C9)</f>
        <v/>
      </c>
      <c r="AW269">
        <f>IF(Schema_v5!$C10=0,0,AE269/Schema_v5!$C10)</f>
        <v/>
      </c>
      <c r="AX269">
        <f>(W269-Schema_v5!$C11)/(Schema_v5!$C12-Schema_v5!$C11)</f>
        <v/>
      </c>
      <c r="AY269">
        <f>(X269-Schema_v5!$C13)/(Schema_v5!$C14-Schema_v5!$C13)</f>
        <v/>
      </c>
      <c r="AZ269">
        <f>MIN(1,MAX(0,U269/Schema_v7!$C$9))</f>
        <v/>
      </c>
      <c r="BA269">
        <f>IF(AJ269="yes",0.55,0)</f>
        <v/>
      </c>
      <c r="BB269">
        <f>IF(AI269="yes",0.10,0)</f>
        <v/>
      </c>
      <c r="BC269">
        <f>IF(Y269="COMM_Direct",0.92,IF(Y269="COMM_Emotional",0.70,IF(Y269="COMM_Logical",0.65,IF(Y269="COMM_Indirect",0.55,0.35))))</f>
        <v/>
      </c>
      <c r="BD269">
        <f>IF(Z269="REG_CoRegulator",0.92,IF(Z269="REG_SelfSoother",0.76,IF(Z269="REG_Distractor",0.48,0.35)))</f>
        <v/>
      </c>
      <c r="BE269">
        <f>IF(AA269="LANG_Time",0.76,IF(AA269="LANG_Service",0.70,IF(AA269="LANG_Words",0.72,IF(AA269="LANG_Touch",0.68,0.60))))</f>
        <v/>
      </c>
      <c r="BF269">
        <f>MAX(0,MIN(1,0.28*AS269+0.16*AT269+0.18*BC269+0.18*BD269+0.10*(1-AZ269)+0.10*(1-BA269)+BB269))</f>
        <v/>
      </c>
      <c r="BG269">
        <f>MAX(0,MIN(1,0.24*AU269+0.18*AS269+0.18*BC269+0.20*BD269+0.10*(1-AW269)+0.10*(1-BA269)))</f>
        <v/>
      </c>
      <c r="BH269">
        <f>MAX(0,MIN(1,0.28*AR269+0.18*AT269+0.16*AU269+0.18*(1-AV269)+0.10*(1-AW269)+0.10*BF269))</f>
        <v/>
      </c>
      <c r="BI269">
        <f>MAX(0,MIN(1,0.30*AV269+0.20*AZ269+0.20*AW269+0.15*(1-BH269)+0.15*(1-BO269)))</f>
        <v/>
      </c>
      <c r="BJ269">
        <f>MAX(0,1-(ABS(((( AX269+AY269)/2)-0.55)*1.6)))</f>
        <v/>
      </c>
      <c r="BK269">
        <f>MAX(0,MIN(1,0.28*AR269+0.18*AT269+0.16*BJ269+0.14*(1-AV269)+0.12*BQ269+0.12*BO269))</f>
        <v/>
      </c>
      <c r="BL269">
        <f>MAX(0,MIN(1,0.22*AQ269+0.18*AS269+0.18*BC269+0.18*BD269+0.08*BE269+0.10*BF269+0.06*BO269))</f>
        <v/>
      </c>
      <c r="BM269">
        <f>MAX(0,MIN(1,0.20*(1-AZ269)+0.16*(1-BA269)+0.14*(1-AW269)+0.14*AU269+0.18*BG269+0.10*BH269+0.08*BP269))</f>
        <v/>
      </c>
      <c r="BN269">
        <f>MAX(0,MIN(1,0.42*BJ269+0.33*BK269+0.15*AT269+0.10*BQ269))</f>
        <v/>
      </c>
      <c r="BO269">
        <f>MAX(0,MIN(1,0.30*BC269+0.24*BD269+0.18*AS269+0.14*(1-BI269)+0.14*AT269))</f>
        <v/>
      </c>
      <c r="BP269">
        <f>MAX(0,MIN(1,0.26*AS269+0.20*(1-BA269)+0.16*(1-AW269)+0.18*BG269+0.10*AU269+0.10+BB269))</f>
        <v/>
      </c>
      <c r="BQ269">
        <f>MAX(0,MIN(1,0.24*AT269+0.18*BF269+0.14*AR269+0.14*BO269+0.14*(1-AV269)+0.16*(1-AZ269)))</f>
        <v/>
      </c>
      <c r="BR269">
        <f>IF(BO269&gt;=0.80,"Open",IF(BO269&gt;=0.62,"Measured",IF(BO269&gt;=0.45,"Selective","Guarded")))</f>
        <v/>
      </c>
      <c r="BS269">
        <f>IF(Y269="COMM_Direct","Direct",IF(Y269="COMM_Emotional","Emotional",IF(Y269="COMM_Logical","Logical",IF(Y269="COMM_Indirect","Indirect","Avoidant"))))</f>
        <v/>
      </c>
      <c r="BT269">
        <f>IF(BG269&gt;=0.78,"Co-repair",IF(BG269&gt;=0.58,"Re-engage",IF(BG269&gt;=0.40,"Delay","Suppress")))</f>
        <v/>
      </c>
      <c r="BU269">
        <f>IF(BI269&gt;=0.70,"Retreat-risk",IF(BH269&lt;=0.40,"Rush-risk",IF(BH269&gt;=0.65,"Slow-build","Mixed")))</f>
        <v/>
      </c>
      <c r="BV269">
        <f>IF(BL269-BM269&gt;=0.15,"Stimulation-seeking",IF(BM269-BL269&gt;=0.15,"Calm-seeking","Mixed")))</f>
        <v/>
      </c>
      <c r="BW269">
        <f>IF(AND(BL269&gt;=0.72,BM269&lt;0.48),"High",IF(AND(BL269&gt;=0.60,BM269&lt;0.58),"Medium","Low"))</f>
        <v/>
      </c>
    </row>
    <row r="270" ht="54.75" customHeight="1" s="10">
      <c r="A270" s="2" t="inlineStr">
        <is>
          <t>Q54_A</t>
        </is>
      </c>
      <c r="B270" s="2" t="n">
        <v>54</v>
      </c>
      <c r="C270" s="2" t="n">
        <v>103</v>
      </c>
      <c r="D270" s="2" t="inlineStr">
        <is>
          <t>Shadow</t>
        </is>
      </c>
      <c r="E270" s="2" t="n">
        <v>1.3</v>
      </c>
      <c r="F270" s="2" t="inlineStr">
        <is>
          <t>ShadowPattern</t>
        </is>
      </c>
      <c r="G270" s="2" t="inlineStr">
        <is>
          <t>IntegrityRisk</t>
        </is>
      </c>
      <c r="H270" s="2" t="inlineStr">
        <is>
          <t>They suddenly need space. How do you respond?</t>
        </is>
      </c>
      <c r="I270" s="2" t="inlineStr">
        <is>
          <t>A</t>
        </is>
      </c>
      <c r="J270" s="2" t="inlineStr">
        <is>
          <t>A</t>
        </is>
      </c>
      <c r="K270" s="2" t="inlineStr">
        <is>
          <t>I fake my own distance so they feel what I felt.</t>
        </is>
      </c>
      <c r="L270" s="2" t="n">
        <v>4</v>
      </c>
      <c r="M270" s="2" t="n"/>
      <c r="N270" s="2" t="n">
        <v>4</v>
      </c>
      <c r="O270" s="2" t="n">
        <v>4</v>
      </c>
      <c r="P270" s="2" t="n">
        <v>4</v>
      </c>
      <c r="Q270" s="2" t="n"/>
      <c r="R270" s="2" t="n"/>
      <c r="S270" s="2" t="inlineStr">
        <is>
          <t>Manipulator</t>
        </is>
      </c>
      <c r="T270" s="2" t="n">
        <v>1</v>
      </c>
      <c r="U270" s="2" t="n">
        <v>6</v>
      </c>
      <c r="V270" s="2" t="inlineStr">
        <is>
          <t>masc:0.0;fem:0.0</t>
        </is>
      </c>
      <c r="W270" s="2" t="n">
        <v>0</v>
      </c>
      <c r="X270" s="2" t="n">
        <v>0</v>
      </c>
      <c r="Y270" s="2" t="n"/>
      <c r="Z270" s="2" t="n"/>
      <c r="AA270" s="2" t="n"/>
      <c r="AB270" s="2" t="n"/>
      <c r="AC270" s="2" t="n"/>
      <c r="AD270" s="2" t="n"/>
      <c r="AE270" s="2" t="n">
        <v>0</v>
      </c>
      <c r="AF270" s="2" t="n"/>
      <c r="AG270" s="2" t="n"/>
      <c r="AH270" s="2" t="n">
        <v>0</v>
      </c>
      <c r="AI270" s="2" t="n"/>
      <c r="AJ270" s="2" t="inlineStr">
        <is>
          <t>yes</t>
        </is>
      </c>
      <c r="AK270" s="2" t="inlineStr">
        <is>
          <t>no</t>
        </is>
      </c>
      <c r="AL270" s="2" t="inlineStr">
        <is>
          <t>no</t>
        </is>
      </c>
      <c r="AM270" s="2" t="n"/>
      <c r="AN270" s="2" t="n"/>
      <c r="AO270" s="2" t="n"/>
      <c r="AP270" s="2" t="inlineStr">
        <is>
          <t>v3_2026-03-19</t>
        </is>
      </c>
      <c r="AQ270">
        <f>(L270-Schema_v5!$C2)/(Schema_v5!$C3-Schema_v5!$C2)</f>
        <v/>
      </c>
      <c r="AR270">
        <f>(M270-Schema_v5!$C4)/(Schema_v5!$C5-Schema_v5!$C4)</f>
        <v/>
      </c>
      <c r="AS270">
        <f>N270/Schema_v5!$C6</f>
        <v/>
      </c>
      <c r="AT270">
        <f>O270/Schema_v5!$C7</f>
        <v/>
      </c>
      <c r="AU270">
        <f>P270/Schema_v5!$C8</f>
        <v/>
      </c>
      <c r="AV270">
        <f>IF(Schema_v5!$C9=0,0,AH270/Schema_v5!$C9)</f>
        <v/>
      </c>
      <c r="AW270">
        <f>IF(Schema_v5!$C10=0,0,AE270/Schema_v5!$C10)</f>
        <v/>
      </c>
      <c r="AX270">
        <f>(W270-Schema_v5!$C11)/(Schema_v5!$C12-Schema_v5!$C11)</f>
        <v/>
      </c>
      <c r="AY270">
        <f>(X270-Schema_v5!$C13)/(Schema_v5!$C14-Schema_v5!$C13)</f>
        <v/>
      </c>
      <c r="AZ270">
        <f>MIN(1,MAX(0,U270/Schema_v7!$C$9))</f>
        <v/>
      </c>
      <c r="BA270">
        <f>IF(AJ270="yes",0.55,0)</f>
        <v/>
      </c>
      <c r="BB270">
        <f>IF(AI270="yes",0.10,0)</f>
        <v/>
      </c>
      <c r="BC270">
        <f>IF(Y270="COMM_Direct",0.92,IF(Y270="COMM_Emotional",0.70,IF(Y270="COMM_Logical",0.65,IF(Y270="COMM_Indirect",0.55,0.35))))</f>
        <v/>
      </c>
      <c r="BD270">
        <f>IF(Z270="REG_CoRegulator",0.92,IF(Z270="REG_SelfSoother",0.76,IF(Z270="REG_Distractor",0.48,0.35)))</f>
        <v/>
      </c>
      <c r="BE270">
        <f>IF(AA270="LANG_Time",0.76,IF(AA270="LANG_Service",0.70,IF(AA270="LANG_Words",0.72,IF(AA270="LANG_Touch",0.68,0.60))))</f>
        <v/>
      </c>
      <c r="BF270">
        <f>MAX(0,MIN(1,0.28*AS270+0.16*AT270+0.18*BC270+0.18*BD270+0.10*(1-AZ270)+0.10*(1-BA270)+BB270))</f>
        <v/>
      </c>
      <c r="BG270">
        <f>MAX(0,MIN(1,0.24*AU270+0.18*AS270+0.18*BC270+0.20*BD270+0.10*(1-AW270)+0.10*(1-BA270)))</f>
        <v/>
      </c>
      <c r="BH270">
        <f>MAX(0,MIN(1,0.28*AR270+0.18*AT270+0.16*AU270+0.18*(1-AV270)+0.10*(1-AW270)+0.10*BF270))</f>
        <v/>
      </c>
      <c r="BI270">
        <f>MAX(0,MIN(1,0.30*AV270+0.20*AZ270+0.20*AW270+0.15*(1-BH270)+0.15*(1-BO270)))</f>
        <v/>
      </c>
      <c r="BJ270">
        <f>MAX(0,1-(ABS(((( AX270+AY270)/2)-0.55)*1.6)))</f>
        <v/>
      </c>
      <c r="BK270">
        <f>MAX(0,MIN(1,0.28*AR270+0.18*AT270+0.16*BJ270+0.14*(1-AV270)+0.12*BQ270+0.12*BO270))</f>
        <v/>
      </c>
      <c r="BL270">
        <f>MAX(0,MIN(1,0.22*AQ270+0.18*AS270+0.18*BC270+0.18*BD270+0.08*BE270+0.10*BF270+0.06*BO270))</f>
        <v/>
      </c>
      <c r="BM270">
        <f>MAX(0,MIN(1,0.20*(1-AZ270)+0.16*(1-BA270)+0.14*(1-AW270)+0.14*AU270+0.18*BG270+0.10*BH270+0.08*BP270))</f>
        <v/>
      </c>
      <c r="BN270">
        <f>MAX(0,MIN(1,0.42*BJ270+0.33*BK270+0.15*AT270+0.10*BQ270))</f>
        <v/>
      </c>
      <c r="BO270">
        <f>MAX(0,MIN(1,0.30*BC270+0.24*BD270+0.18*AS270+0.14*(1-BI270)+0.14*AT270))</f>
        <v/>
      </c>
      <c r="BP270">
        <f>MAX(0,MIN(1,0.26*AS270+0.20*(1-BA270)+0.16*(1-AW270)+0.18*BG270+0.10*AU270+0.10+BB270))</f>
        <v/>
      </c>
      <c r="BQ270">
        <f>MAX(0,MIN(1,0.24*AT270+0.18*BF270+0.14*AR270+0.14*BO270+0.14*(1-AV270)+0.16*(1-AZ270)))</f>
        <v/>
      </c>
      <c r="BR270">
        <f>IF(BO270&gt;=0.80,"Open",IF(BO270&gt;=0.62,"Measured",IF(BO270&gt;=0.45,"Selective","Guarded")))</f>
        <v/>
      </c>
      <c r="BS270">
        <f>IF(Y270="COMM_Direct","Direct",IF(Y270="COMM_Emotional","Emotional",IF(Y270="COMM_Logical","Logical",IF(Y270="COMM_Indirect","Indirect","Avoidant"))))</f>
        <v/>
      </c>
      <c r="BT270">
        <f>IF(BG270&gt;=0.78,"Co-repair",IF(BG270&gt;=0.58,"Re-engage",IF(BG270&gt;=0.40,"Delay","Suppress")))</f>
        <v/>
      </c>
      <c r="BU270">
        <f>IF(BI270&gt;=0.70,"Retreat-risk",IF(BH270&lt;=0.40,"Rush-risk",IF(BH270&gt;=0.65,"Slow-build","Mixed")))</f>
        <v/>
      </c>
      <c r="BV270">
        <f>IF(BL270-BM270&gt;=0.15,"Stimulation-seeking",IF(BM270-BL270&gt;=0.15,"Calm-seeking","Mixed")))</f>
        <v/>
      </c>
      <c r="BW270">
        <f>IF(AND(BL270&gt;=0.72,BM270&lt;0.48),"High",IF(AND(BL270&gt;=0.60,BM270&lt;0.58),"Medium","Low"))</f>
        <v/>
      </c>
    </row>
    <row r="271" ht="54.75" customHeight="1" s="10">
      <c r="A271" s="2" t="inlineStr">
        <is>
          <t>Q54_B</t>
        </is>
      </c>
      <c r="B271" s="2" t="n">
        <v>54</v>
      </c>
      <c r="C271" s="2" t="n">
        <v>103</v>
      </c>
      <c r="D271" s="2" t="inlineStr">
        <is>
          <t>Shadow</t>
        </is>
      </c>
      <c r="E271" s="2" t="n">
        <v>1.3</v>
      </c>
      <c r="F271" s="2" t="inlineStr">
        <is>
          <t>ShadowPattern</t>
        </is>
      </c>
      <c r="G271" s="2" t="inlineStr">
        <is>
          <t>IntegrityRisk</t>
        </is>
      </c>
      <c r="H271" s="2" t="n"/>
      <c r="I271" s="2" t="inlineStr">
        <is>
          <t>B</t>
        </is>
      </c>
      <c r="J271" s="2" t="inlineStr">
        <is>
          <t>B</t>
        </is>
      </c>
      <c r="K271" s="2" t="inlineStr">
        <is>
          <t>I just go quiet-if they want space, they got it</t>
        </is>
      </c>
      <c r="L271" s="2" t="n">
        <v>3</v>
      </c>
      <c r="M271" s="2" t="n"/>
      <c r="N271" s="2" t="n">
        <v>6</v>
      </c>
      <c r="O271" s="2" t="n">
        <v>6</v>
      </c>
      <c r="P271" s="2" t="n">
        <v>6</v>
      </c>
      <c r="Q271" s="2" t="n"/>
      <c r="R271" s="2" t="n"/>
      <c r="S271" s="2" t="inlineStr">
        <is>
          <t>Stonewaller</t>
        </is>
      </c>
      <c r="T271" s="2" t="n">
        <v>2</v>
      </c>
      <c r="U271" s="2" t="n">
        <v>4</v>
      </c>
      <c r="V271" s="2" t="inlineStr">
        <is>
          <t>masc:0.0;fem:0.0</t>
        </is>
      </c>
      <c r="W271" s="2" t="n">
        <v>0</v>
      </c>
      <c r="X271" s="2" t="n">
        <v>0</v>
      </c>
      <c r="Y271" s="2" t="n"/>
      <c r="Z271" s="2" t="n"/>
      <c r="AA271" s="2" t="n"/>
      <c r="AB271" s="2" t="n"/>
      <c r="AC271" s="2" t="n"/>
      <c r="AD271" s="2" t="n"/>
      <c r="AE271" s="2" t="n">
        <v>0</v>
      </c>
      <c r="AF271" s="2" t="n"/>
      <c r="AG271" s="2" t="n"/>
      <c r="AH271" s="2" t="n">
        <v>0</v>
      </c>
      <c r="AI271" s="2" t="n"/>
      <c r="AJ271" s="2" t="inlineStr">
        <is>
          <t>yes</t>
        </is>
      </c>
      <c r="AK271" s="2" t="inlineStr">
        <is>
          <t>no</t>
        </is>
      </c>
      <c r="AL271" s="2" t="inlineStr">
        <is>
          <t>no</t>
        </is>
      </c>
      <c r="AM271" s="2" t="n"/>
      <c r="AN271" s="2" t="n"/>
      <c r="AO271" s="2" t="n"/>
      <c r="AP271" s="2" t="inlineStr">
        <is>
          <t>v3_2026-03-19</t>
        </is>
      </c>
      <c r="AQ271">
        <f>(L271-Schema_v5!$C2)/(Schema_v5!$C3-Schema_v5!$C2)</f>
        <v/>
      </c>
      <c r="AR271">
        <f>(M271-Schema_v5!$C4)/(Schema_v5!$C5-Schema_v5!$C4)</f>
        <v/>
      </c>
      <c r="AS271">
        <f>N271/Schema_v5!$C6</f>
        <v/>
      </c>
      <c r="AT271">
        <f>O271/Schema_v5!$C7</f>
        <v/>
      </c>
      <c r="AU271">
        <f>P271/Schema_v5!$C8</f>
        <v/>
      </c>
      <c r="AV271">
        <f>IF(Schema_v5!$C9=0,0,AH271/Schema_v5!$C9)</f>
        <v/>
      </c>
      <c r="AW271">
        <f>IF(Schema_v5!$C10=0,0,AE271/Schema_v5!$C10)</f>
        <v/>
      </c>
      <c r="AX271">
        <f>(W271-Schema_v5!$C11)/(Schema_v5!$C12-Schema_v5!$C11)</f>
        <v/>
      </c>
      <c r="AY271">
        <f>(X271-Schema_v5!$C13)/(Schema_v5!$C14-Schema_v5!$C13)</f>
        <v/>
      </c>
      <c r="AZ271">
        <f>MIN(1,MAX(0,U271/Schema_v7!$C$9))</f>
        <v/>
      </c>
      <c r="BA271">
        <f>IF(AJ271="yes",0.55,0)</f>
        <v/>
      </c>
      <c r="BB271">
        <f>IF(AI271="yes",0.10,0)</f>
        <v/>
      </c>
      <c r="BC271">
        <f>IF(Y271="COMM_Direct",0.92,IF(Y271="COMM_Emotional",0.70,IF(Y271="COMM_Logical",0.65,IF(Y271="COMM_Indirect",0.55,0.35))))</f>
        <v/>
      </c>
      <c r="BD271">
        <f>IF(Z271="REG_CoRegulator",0.92,IF(Z271="REG_SelfSoother",0.76,IF(Z271="REG_Distractor",0.48,0.35)))</f>
        <v/>
      </c>
      <c r="BE271">
        <f>IF(AA271="LANG_Time",0.76,IF(AA271="LANG_Service",0.70,IF(AA271="LANG_Words",0.72,IF(AA271="LANG_Touch",0.68,0.60))))</f>
        <v/>
      </c>
      <c r="BF271">
        <f>MAX(0,MIN(1,0.28*AS271+0.16*AT271+0.18*BC271+0.18*BD271+0.10*(1-AZ271)+0.10*(1-BA271)+BB271))</f>
        <v/>
      </c>
      <c r="BG271">
        <f>MAX(0,MIN(1,0.24*AU271+0.18*AS271+0.18*BC271+0.20*BD271+0.10*(1-AW271)+0.10*(1-BA271)))</f>
        <v/>
      </c>
      <c r="BH271">
        <f>MAX(0,MIN(1,0.28*AR271+0.18*AT271+0.16*AU271+0.18*(1-AV271)+0.10*(1-AW271)+0.10*BF271))</f>
        <v/>
      </c>
      <c r="BI271">
        <f>MAX(0,MIN(1,0.30*AV271+0.20*AZ271+0.20*AW271+0.15*(1-BH271)+0.15*(1-BO271)))</f>
        <v/>
      </c>
      <c r="BJ271">
        <f>MAX(0,1-(ABS(((( AX271+AY271)/2)-0.55)*1.6)))</f>
        <v/>
      </c>
      <c r="BK271">
        <f>MAX(0,MIN(1,0.28*AR271+0.18*AT271+0.16*BJ271+0.14*(1-AV271)+0.12*BQ271+0.12*BO271))</f>
        <v/>
      </c>
      <c r="BL271">
        <f>MAX(0,MIN(1,0.22*AQ271+0.18*AS271+0.18*BC271+0.18*BD271+0.08*BE271+0.10*BF271+0.06*BO271))</f>
        <v/>
      </c>
      <c r="BM271">
        <f>MAX(0,MIN(1,0.20*(1-AZ271)+0.16*(1-BA271)+0.14*(1-AW271)+0.14*AU271+0.18*BG271+0.10*BH271+0.08*BP271))</f>
        <v/>
      </c>
      <c r="BN271">
        <f>MAX(0,MIN(1,0.42*BJ271+0.33*BK271+0.15*AT271+0.10*BQ271))</f>
        <v/>
      </c>
      <c r="BO271">
        <f>MAX(0,MIN(1,0.30*BC271+0.24*BD271+0.18*AS271+0.14*(1-BI271)+0.14*AT271))</f>
        <v/>
      </c>
      <c r="BP271">
        <f>MAX(0,MIN(1,0.26*AS271+0.20*(1-BA271)+0.16*(1-AW271)+0.18*BG271+0.10*AU271+0.10+BB271))</f>
        <v/>
      </c>
      <c r="BQ271">
        <f>MAX(0,MIN(1,0.24*AT271+0.18*BF271+0.14*AR271+0.14*BO271+0.14*(1-AV271)+0.16*(1-AZ271)))</f>
        <v/>
      </c>
      <c r="BR271">
        <f>IF(BO271&gt;=0.80,"Open",IF(BO271&gt;=0.62,"Measured",IF(BO271&gt;=0.45,"Selective","Guarded")))</f>
        <v/>
      </c>
      <c r="BS271">
        <f>IF(Y271="COMM_Direct","Direct",IF(Y271="COMM_Emotional","Emotional",IF(Y271="COMM_Logical","Logical",IF(Y271="COMM_Indirect","Indirect","Avoidant"))))</f>
        <v/>
      </c>
      <c r="BT271">
        <f>IF(BG271&gt;=0.78,"Co-repair",IF(BG271&gt;=0.58,"Re-engage",IF(BG271&gt;=0.40,"Delay","Suppress")))</f>
        <v/>
      </c>
      <c r="BU271">
        <f>IF(BI271&gt;=0.70,"Retreat-risk",IF(BH271&lt;=0.40,"Rush-risk",IF(BH271&gt;=0.65,"Slow-build","Mixed")))</f>
        <v/>
      </c>
      <c r="BV271">
        <f>IF(BL271-BM271&gt;=0.15,"Stimulation-seeking",IF(BM271-BL271&gt;=0.15,"Calm-seeking","Mixed")))</f>
        <v/>
      </c>
      <c r="BW271">
        <f>IF(AND(BL271&gt;=0.72,BM271&lt;0.48),"High",IF(AND(BL271&gt;=0.60,BM271&lt;0.58),"Medium","Low"))</f>
        <v/>
      </c>
    </row>
    <row r="272" ht="81" customHeight="1" s="10">
      <c r="A272" s="2" t="inlineStr">
        <is>
          <t>Q54_C</t>
        </is>
      </c>
      <c r="B272" s="2" t="n">
        <v>54</v>
      </c>
      <c r="C272" s="2" t="n">
        <v>103</v>
      </c>
      <c r="D272" s="2" t="inlineStr">
        <is>
          <t>Shadow</t>
        </is>
      </c>
      <c r="E272" s="2" t="n">
        <v>1.3</v>
      </c>
      <c r="F272" s="2" t="inlineStr">
        <is>
          <t>ShadowPattern</t>
        </is>
      </c>
      <c r="G272" s="2" t="inlineStr">
        <is>
          <t>IntegrityRisk</t>
        </is>
      </c>
      <c r="H272" s="2" t="n"/>
      <c r="I272" s="2" t="inlineStr">
        <is>
          <t>C</t>
        </is>
      </c>
      <c r="J272" s="2" t="inlineStr">
        <is>
          <t>C</t>
        </is>
      </c>
      <c r="K272" s="2" t="inlineStr">
        <is>
          <t>I throw out a casual "lol okay" then go post something spicy.</t>
        </is>
      </c>
      <c r="L272" s="2" t="n">
        <v>5</v>
      </c>
      <c r="M272" s="2" t="n"/>
      <c r="N272" s="2" t="n">
        <v>4</v>
      </c>
      <c r="O272" s="2" t="n">
        <v>4</v>
      </c>
      <c r="P272" s="2" t="n">
        <v>4</v>
      </c>
      <c r="Q272" s="2" t="n"/>
      <c r="R272" s="2" t="n"/>
      <c r="S272" s="2" t="inlineStr">
        <is>
          <t>Love Bomber</t>
        </is>
      </c>
      <c r="T272" s="2" t="n">
        <v>3</v>
      </c>
      <c r="U272" s="2" t="n">
        <v>6</v>
      </c>
      <c r="V272" s="2" t="inlineStr">
        <is>
          <t>masc:0.0;fem:0.0</t>
        </is>
      </c>
      <c r="W272" s="2" t="n">
        <v>0</v>
      </c>
      <c r="X272" s="2" t="n">
        <v>0</v>
      </c>
      <c r="Y272" s="2" t="n"/>
      <c r="Z272" s="2" t="n"/>
      <c r="AA272" s="2" t="n"/>
      <c r="AB272" s="2" t="n"/>
      <c r="AC272" s="2" t="n"/>
      <c r="AD272" s="2" t="n"/>
      <c r="AE272" s="2" t="n">
        <v>0</v>
      </c>
      <c r="AF272" s="2" t="n"/>
      <c r="AG272" s="2" t="n"/>
      <c r="AH272" s="2" t="n">
        <v>0</v>
      </c>
      <c r="AI272" s="2" t="n"/>
      <c r="AJ272" s="2" t="inlineStr">
        <is>
          <t>no</t>
        </is>
      </c>
      <c r="AK272" s="2" t="inlineStr">
        <is>
          <t>no</t>
        </is>
      </c>
      <c r="AL272" s="2" t="inlineStr">
        <is>
          <t>no</t>
        </is>
      </c>
      <c r="AM272" s="2" t="n"/>
      <c r="AN272" s="2" t="n"/>
      <c r="AO272" s="2" t="n"/>
      <c r="AP272" s="2" t="inlineStr">
        <is>
          <t>v3_2026-03-19</t>
        </is>
      </c>
      <c r="AQ272">
        <f>(L272-Schema_v5!$C2)/(Schema_v5!$C3-Schema_v5!$C2)</f>
        <v/>
      </c>
      <c r="AR272">
        <f>(M272-Schema_v5!$C4)/(Schema_v5!$C5-Schema_v5!$C4)</f>
        <v/>
      </c>
      <c r="AS272">
        <f>N272/Schema_v5!$C6</f>
        <v/>
      </c>
      <c r="AT272">
        <f>O272/Schema_v5!$C7</f>
        <v/>
      </c>
      <c r="AU272">
        <f>P272/Schema_v5!$C8</f>
        <v/>
      </c>
      <c r="AV272">
        <f>IF(Schema_v5!$C9=0,0,AH272/Schema_v5!$C9)</f>
        <v/>
      </c>
      <c r="AW272">
        <f>IF(Schema_v5!$C10=0,0,AE272/Schema_v5!$C10)</f>
        <v/>
      </c>
      <c r="AX272">
        <f>(W272-Schema_v5!$C11)/(Schema_v5!$C12-Schema_v5!$C11)</f>
        <v/>
      </c>
      <c r="AY272">
        <f>(X272-Schema_v5!$C13)/(Schema_v5!$C14-Schema_v5!$C13)</f>
        <v/>
      </c>
      <c r="AZ272">
        <f>MIN(1,MAX(0,U272/Schema_v7!$C$9))</f>
        <v/>
      </c>
      <c r="BA272">
        <f>IF(AJ272="yes",0.55,0)</f>
        <v/>
      </c>
      <c r="BB272">
        <f>IF(AI272="yes",0.10,0)</f>
        <v/>
      </c>
      <c r="BC272">
        <f>IF(Y272="COMM_Direct",0.92,IF(Y272="COMM_Emotional",0.70,IF(Y272="COMM_Logical",0.65,IF(Y272="COMM_Indirect",0.55,0.35))))</f>
        <v/>
      </c>
      <c r="BD272">
        <f>IF(Z272="REG_CoRegulator",0.92,IF(Z272="REG_SelfSoother",0.76,IF(Z272="REG_Distractor",0.48,0.35)))</f>
        <v/>
      </c>
      <c r="BE272">
        <f>IF(AA272="LANG_Time",0.76,IF(AA272="LANG_Service",0.70,IF(AA272="LANG_Words",0.72,IF(AA272="LANG_Touch",0.68,0.60))))</f>
        <v/>
      </c>
      <c r="BF272">
        <f>MAX(0,MIN(1,0.28*AS272+0.16*AT272+0.18*BC272+0.18*BD272+0.10*(1-AZ272)+0.10*(1-BA272)+BB272))</f>
        <v/>
      </c>
      <c r="BG272">
        <f>MAX(0,MIN(1,0.24*AU272+0.18*AS272+0.18*BC272+0.20*BD272+0.10*(1-AW272)+0.10*(1-BA272)))</f>
        <v/>
      </c>
      <c r="BH272">
        <f>MAX(0,MIN(1,0.28*AR272+0.18*AT272+0.16*AU272+0.18*(1-AV272)+0.10*(1-AW272)+0.10*BF272))</f>
        <v/>
      </c>
      <c r="BI272">
        <f>MAX(0,MIN(1,0.30*AV272+0.20*AZ272+0.20*AW272+0.15*(1-BH272)+0.15*(1-BO272)))</f>
        <v/>
      </c>
      <c r="BJ272">
        <f>MAX(0,1-(ABS(((( AX272+AY272)/2)-0.55)*1.6)))</f>
        <v/>
      </c>
      <c r="BK272">
        <f>MAX(0,MIN(1,0.28*AR272+0.18*AT272+0.16*BJ272+0.14*(1-AV272)+0.12*BQ272+0.12*BO272))</f>
        <v/>
      </c>
      <c r="BL272">
        <f>MAX(0,MIN(1,0.22*AQ272+0.18*AS272+0.18*BC272+0.18*BD272+0.08*BE272+0.10*BF272+0.06*BO272))</f>
        <v/>
      </c>
      <c r="BM272">
        <f>MAX(0,MIN(1,0.20*(1-AZ272)+0.16*(1-BA272)+0.14*(1-AW272)+0.14*AU272+0.18*BG272+0.10*BH272+0.08*BP272))</f>
        <v/>
      </c>
      <c r="BN272">
        <f>MAX(0,MIN(1,0.42*BJ272+0.33*BK272+0.15*AT272+0.10*BQ272))</f>
        <v/>
      </c>
      <c r="BO272">
        <f>MAX(0,MIN(1,0.30*BC272+0.24*BD272+0.18*AS272+0.14*(1-BI272)+0.14*AT272))</f>
        <v/>
      </c>
      <c r="BP272">
        <f>MAX(0,MIN(1,0.26*AS272+0.20*(1-BA272)+0.16*(1-AW272)+0.18*BG272+0.10*AU272+0.10+BB272))</f>
        <v/>
      </c>
      <c r="BQ272">
        <f>MAX(0,MIN(1,0.24*AT272+0.18*BF272+0.14*AR272+0.14*BO272+0.14*(1-AV272)+0.16*(1-AZ272)))</f>
        <v/>
      </c>
      <c r="BR272">
        <f>IF(BO272&gt;=0.80,"Open",IF(BO272&gt;=0.62,"Measured",IF(BO272&gt;=0.45,"Selective","Guarded")))</f>
        <v/>
      </c>
      <c r="BS272">
        <f>IF(Y272="COMM_Direct","Direct",IF(Y272="COMM_Emotional","Emotional",IF(Y272="COMM_Logical","Logical",IF(Y272="COMM_Indirect","Indirect","Avoidant"))))</f>
        <v/>
      </c>
      <c r="BT272">
        <f>IF(BG272&gt;=0.78,"Co-repair",IF(BG272&gt;=0.58,"Re-engage",IF(BG272&gt;=0.40,"Delay","Suppress")))</f>
        <v/>
      </c>
      <c r="BU272">
        <f>IF(BI272&gt;=0.70,"Retreat-risk",IF(BH272&lt;=0.40,"Rush-risk",IF(BH272&gt;=0.65,"Slow-build","Mixed")))</f>
        <v/>
      </c>
      <c r="BV272">
        <f>IF(BL272-BM272&gt;=0.15,"Stimulation-seeking",IF(BM272-BL272&gt;=0.15,"Calm-seeking","Mixed")))</f>
        <v/>
      </c>
      <c r="BW272">
        <f>IF(AND(BL272&gt;=0.72,BM272&lt;0.48),"High",IF(AND(BL272&gt;=0.60,BM272&lt;0.58),"Medium","Low"))</f>
        <v/>
      </c>
    </row>
    <row r="273" ht="81" customHeight="1" s="10">
      <c r="A273" s="2" t="inlineStr">
        <is>
          <t>Q54_D</t>
        </is>
      </c>
      <c r="B273" s="2" t="n">
        <v>54</v>
      </c>
      <c r="C273" s="2" t="n">
        <v>103</v>
      </c>
      <c r="D273" s="2" t="inlineStr">
        <is>
          <t>Shadow</t>
        </is>
      </c>
      <c r="E273" s="2" t="n">
        <v>1.3</v>
      </c>
      <c r="F273" s="2" t="inlineStr">
        <is>
          <t>ShadowPattern</t>
        </is>
      </c>
      <c r="G273" s="2" t="inlineStr">
        <is>
          <t>IntegrityRisk</t>
        </is>
      </c>
      <c r="H273" s="2" t="n"/>
      <c r="I273" s="2" t="inlineStr">
        <is>
          <t>D</t>
        </is>
      </c>
      <c r="J273" s="2" t="inlineStr">
        <is>
          <t>D</t>
        </is>
      </c>
      <c r="K273" s="2" t="inlineStr">
        <is>
          <t>I change my tone and energy to whatever feels safest now.</t>
        </is>
      </c>
      <c r="L273" s="2" t="n">
        <v>6</v>
      </c>
      <c r="M273" s="2" t="n"/>
      <c r="N273" s="2" t="n">
        <v>4</v>
      </c>
      <c r="O273" s="2" t="n">
        <v>4</v>
      </c>
      <c r="P273" s="2" t="n">
        <v>4</v>
      </c>
      <c r="Q273" s="2" t="n"/>
      <c r="R273" s="2" t="n"/>
      <c r="S273" s="2" t="inlineStr">
        <is>
          <t>Chameleon</t>
        </is>
      </c>
      <c r="T273" s="2" t="n">
        <v>4</v>
      </c>
      <c r="U273" s="2" t="n">
        <v>6</v>
      </c>
      <c r="V273" s="2" t="inlineStr">
        <is>
          <t>masc:0.0;fem:0.0</t>
        </is>
      </c>
      <c r="W273" s="2" t="n">
        <v>0</v>
      </c>
      <c r="X273" s="2" t="n">
        <v>0</v>
      </c>
      <c r="Y273" s="2" t="n"/>
      <c r="Z273" s="2" t="n"/>
      <c r="AA273" s="2" t="n"/>
      <c r="AB273" s="2" t="n"/>
      <c r="AC273" s="2" t="n"/>
      <c r="AD273" s="2" t="n"/>
      <c r="AE273" s="2" t="n">
        <v>0</v>
      </c>
      <c r="AF273" s="2" t="n"/>
      <c r="AG273" s="2" t="n"/>
      <c r="AH273" s="2" t="n">
        <v>0</v>
      </c>
      <c r="AI273" s="2" t="n"/>
      <c r="AJ273" s="2" t="inlineStr">
        <is>
          <t>no</t>
        </is>
      </c>
      <c r="AK273" s="2" t="inlineStr">
        <is>
          <t>no</t>
        </is>
      </c>
      <c r="AL273" s="2" t="inlineStr">
        <is>
          <t>no</t>
        </is>
      </c>
      <c r="AM273" s="2" t="n"/>
      <c r="AN273" s="2" t="n"/>
      <c r="AO273" s="2" t="n"/>
      <c r="AP273" s="2" t="inlineStr">
        <is>
          <t>v3_2026-03-19</t>
        </is>
      </c>
      <c r="AQ273">
        <f>(L273-Schema_v5!$C2)/(Schema_v5!$C3-Schema_v5!$C2)</f>
        <v/>
      </c>
      <c r="AR273">
        <f>(M273-Schema_v5!$C4)/(Schema_v5!$C5-Schema_v5!$C4)</f>
        <v/>
      </c>
      <c r="AS273">
        <f>N273/Schema_v5!$C6</f>
        <v/>
      </c>
      <c r="AT273">
        <f>O273/Schema_v5!$C7</f>
        <v/>
      </c>
      <c r="AU273">
        <f>P273/Schema_v5!$C8</f>
        <v/>
      </c>
      <c r="AV273">
        <f>IF(Schema_v5!$C9=0,0,AH273/Schema_v5!$C9)</f>
        <v/>
      </c>
      <c r="AW273">
        <f>IF(Schema_v5!$C10=0,0,AE273/Schema_v5!$C10)</f>
        <v/>
      </c>
      <c r="AX273">
        <f>(W273-Schema_v5!$C11)/(Schema_v5!$C12-Schema_v5!$C11)</f>
        <v/>
      </c>
      <c r="AY273">
        <f>(X273-Schema_v5!$C13)/(Schema_v5!$C14-Schema_v5!$C13)</f>
        <v/>
      </c>
      <c r="AZ273">
        <f>MIN(1,MAX(0,U273/Schema_v7!$C$9))</f>
        <v/>
      </c>
      <c r="BA273">
        <f>IF(AJ273="yes",0.55,0)</f>
        <v/>
      </c>
      <c r="BB273">
        <f>IF(AI273="yes",0.10,0)</f>
        <v/>
      </c>
      <c r="BC273">
        <f>IF(Y273="COMM_Direct",0.92,IF(Y273="COMM_Emotional",0.70,IF(Y273="COMM_Logical",0.65,IF(Y273="COMM_Indirect",0.55,0.35))))</f>
        <v/>
      </c>
      <c r="BD273">
        <f>IF(Z273="REG_CoRegulator",0.92,IF(Z273="REG_SelfSoother",0.76,IF(Z273="REG_Distractor",0.48,0.35)))</f>
        <v/>
      </c>
      <c r="BE273">
        <f>IF(AA273="LANG_Time",0.76,IF(AA273="LANG_Service",0.70,IF(AA273="LANG_Words",0.72,IF(AA273="LANG_Touch",0.68,0.60))))</f>
        <v/>
      </c>
      <c r="BF273">
        <f>MAX(0,MIN(1,0.28*AS273+0.16*AT273+0.18*BC273+0.18*BD273+0.10*(1-AZ273)+0.10*(1-BA273)+BB273))</f>
        <v/>
      </c>
      <c r="BG273">
        <f>MAX(0,MIN(1,0.24*AU273+0.18*AS273+0.18*BC273+0.20*BD273+0.10*(1-AW273)+0.10*(1-BA273)))</f>
        <v/>
      </c>
      <c r="BH273">
        <f>MAX(0,MIN(1,0.28*AR273+0.18*AT273+0.16*AU273+0.18*(1-AV273)+0.10*(1-AW273)+0.10*BF273))</f>
        <v/>
      </c>
      <c r="BI273">
        <f>MAX(0,MIN(1,0.30*AV273+0.20*AZ273+0.20*AW273+0.15*(1-BH273)+0.15*(1-BO273)))</f>
        <v/>
      </c>
      <c r="BJ273">
        <f>MAX(0,1-(ABS(((( AX273+AY273)/2)-0.55)*1.6)))</f>
        <v/>
      </c>
      <c r="BK273">
        <f>MAX(0,MIN(1,0.28*AR273+0.18*AT273+0.16*BJ273+0.14*(1-AV273)+0.12*BQ273+0.12*BO273))</f>
        <v/>
      </c>
      <c r="BL273">
        <f>MAX(0,MIN(1,0.22*AQ273+0.18*AS273+0.18*BC273+0.18*BD273+0.08*BE273+0.10*BF273+0.06*BO273))</f>
        <v/>
      </c>
      <c r="BM273">
        <f>MAX(0,MIN(1,0.20*(1-AZ273)+0.16*(1-BA273)+0.14*(1-AW273)+0.14*AU273+0.18*BG273+0.10*BH273+0.08*BP273))</f>
        <v/>
      </c>
      <c r="BN273">
        <f>MAX(0,MIN(1,0.42*BJ273+0.33*BK273+0.15*AT273+0.10*BQ273))</f>
        <v/>
      </c>
      <c r="BO273">
        <f>MAX(0,MIN(1,0.30*BC273+0.24*BD273+0.18*AS273+0.14*(1-BI273)+0.14*AT273))</f>
        <v/>
      </c>
      <c r="BP273">
        <f>MAX(0,MIN(1,0.26*AS273+0.20*(1-BA273)+0.16*(1-AW273)+0.18*BG273+0.10*AU273+0.10+BB273))</f>
        <v/>
      </c>
      <c r="BQ273">
        <f>MAX(0,MIN(1,0.24*AT273+0.18*BF273+0.14*AR273+0.14*BO273+0.14*(1-AV273)+0.16*(1-AZ273)))</f>
        <v/>
      </c>
      <c r="BR273">
        <f>IF(BO273&gt;=0.80,"Open",IF(BO273&gt;=0.62,"Measured",IF(BO273&gt;=0.45,"Selective","Guarded")))</f>
        <v/>
      </c>
      <c r="BS273">
        <f>IF(Y273="COMM_Direct","Direct",IF(Y273="COMM_Emotional","Emotional",IF(Y273="COMM_Logical","Logical",IF(Y273="COMM_Indirect","Indirect","Avoidant"))))</f>
        <v/>
      </c>
      <c r="BT273">
        <f>IF(BG273&gt;=0.78,"Co-repair",IF(BG273&gt;=0.58,"Re-engage",IF(BG273&gt;=0.40,"Delay","Suppress")))</f>
        <v/>
      </c>
      <c r="BU273">
        <f>IF(BI273&gt;=0.70,"Retreat-risk",IF(BH273&lt;=0.40,"Rush-risk",IF(BH273&gt;=0.65,"Slow-build","Mixed")))</f>
        <v/>
      </c>
      <c r="BV273">
        <f>IF(BL273-BM273&gt;=0.15,"Stimulation-seeking",IF(BM273-BL273&gt;=0.15,"Calm-seeking","Mixed")))</f>
        <v/>
      </c>
      <c r="BW273">
        <f>IF(AND(BL273&gt;=0.72,BM273&lt;0.48),"High",IF(AND(BL273&gt;=0.60,BM273&lt;0.58),"Medium","Low"))</f>
        <v/>
      </c>
    </row>
    <row r="274" ht="68.25" customHeight="1" s="10">
      <c r="A274" s="2" t="inlineStr">
        <is>
          <t>Q54_E</t>
        </is>
      </c>
      <c r="B274" s="2" t="n">
        <v>54</v>
      </c>
      <c r="C274" s="2" t="n">
        <v>103</v>
      </c>
      <c r="D274" s="2" t="inlineStr">
        <is>
          <t>Shadow</t>
        </is>
      </c>
      <c r="E274" s="2" t="n">
        <v>1.3</v>
      </c>
      <c r="F274" s="2" t="inlineStr">
        <is>
          <t>ShadowPattern</t>
        </is>
      </c>
      <c r="G274" s="2" t="inlineStr">
        <is>
          <t>IntegrityRisk</t>
        </is>
      </c>
      <c r="H274" s="2" t="n"/>
      <c r="I274" s="2" t="inlineStr">
        <is>
          <t>E</t>
        </is>
      </c>
      <c r="J274" s="2" t="inlineStr">
        <is>
          <t>E</t>
        </is>
      </c>
      <c r="K274" s="2" t="inlineStr">
        <is>
          <t>I mentally log it and wait to match the behavior later.</t>
        </is>
      </c>
      <c r="L274" s="2" t="n">
        <v>7</v>
      </c>
      <c r="M274" s="2" t="n"/>
      <c r="N274" s="2" t="n">
        <v>2</v>
      </c>
      <c r="O274" s="2" t="n">
        <v>2</v>
      </c>
      <c r="P274" s="2" t="n">
        <v>2</v>
      </c>
      <c r="Q274" s="2" t="n"/>
      <c r="R274" s="2" t="n"/>
      <c r="S274" s="2" t="inlineStr">
        <is>
          <t>Scorekeeper</t>
        </is>
      </c>
      <c r="T274" s="2" t="n">
        <v>5</v>
      </c>
      <c r="U274" s="2" t="n">
        <v>8</v>
      </c>
      <c r="V274" s="2" t="inlineStr">
        <is>
          <t>masc:0.0;fem:0.0</t>
        </is>
      </c>
      <c r="W274" s="2" t="n">
        <v>0</v>
      </c>
      <c r="X274" s="2" t="n">
        <v>0</v>
      </c>
      <c r="Y274" s="2" t="n"/>
      <c r="Z274" s="2" t="n"/>
      <c r="AA274" s="2" t="n"/>
      <c r="AB274" s="2" t="n"/>
      <c r="AC274" s="2" t="n"/>
      <c r="AD274" s="2" t="n"/>
      <c r="AE274" s="2" t="n">
        <v>0</v>
      </c>
      <c r="AF274" s="2" t="n"/>
      <c r="AG274" s="2" t="n"/>
      <c r="AH274" s="2" t="n">
        <v>0</v>
      </c>
      <c r="AI274" s="2" t="n"/>
      <c r="AJ274" s="2" t="inlineStr">
        <is>
          <t>no</t>
        </is>
      </c>
      <c r="AK274" s="2" t="inlineStr">
        <is>
          <t>no</t>
        </is>
      </c>
      <c r="AL274" s="2" t="inlineStr">
        <is>
          <t>no</t>
        </is>
      </c>
      <c r="AM274" s="2" t="n"/>
      <c r="AN274" s="2" t="n"/>
      <c r="AO274" s="2" t="n"/>
      <c r="AP274" s="2" t="inlineStr">
        <is>
          <t>v3_2026-03-19</t>
        </is>
      </c>
      <c r="AQ274">
        <f>(L274-Schema_v5!$C2)/(Schema_v5!$C3-Schema_v5!$C2)</f>
        <v/>
      </c>
      <c r="AR274">
        <f>(M274-Schema_v5!$C4)/(Schema_v5!$C5-Schema_v5!$C4)</f>
        <v/>
      </c>
      <c r="AS274">
        <f>N274/Schema_v5!$C6</f>
        <v/>
      </c>
      <c r="AT274">
        <f>O274/Schema_v5!$C7</f>
        <v/>
      </c>
      <c r="AU274">
        <f>P274/Schema_v5!$C8</f>
        <v/>
      </c>
      <c r="AV274">
        <f>IF(Schema_v5!$C9=0,0,AH274/Schema_v5!$C9)</f>
        <v/>
      </c>
      <c r="AW274">
        <f>IF(Schema_v5!$C10=0,0,AE274/Schema_v5!$C10)</f>
        <v/>
      </c>
      <c r="AX274">
        <f>(W274-Schema_v5!$C11)/(Schema_v5!$C12-Schema_v5!$C11)</f>
        <v/>
      </c>
      <c r="AY274">
        <f>(X274-Schema_v5!$C13)/(Schema_v5!$C14-Schema_v5!$C13)</f>
        <v/>
      </c>
      <c r="AZ274">
        <f>MIN(1,MAX(0,U274/Schema_v7!$C$9))</f>
        <v/>
      </c>
      <c r="BA274">
        <f>IF(AJ274="yes",0.55,0)</f>
        <v/>
      </c>
      <c r="BB274">
        <f>IF(AI274="yes",0.10,0)</f>
        <v/>
      </c>
      <c r="BC274">
        <f>IF(Y274="COMM_Direct",0.92,IF(Y274="COMM_Emotional",0.70,IF(Y274="COMM_Logical",0.65,IF(Y274="COMM_Indirect",0.55,0.35))))</f>
        <v/>
      </c>
      <c r="BD274">
        <f>IF(Z274="REG_CoRegulator",0.92,IF(Z274="REG_SelfSoother",0.76,IF(Z274="REG_Distractor",0.48,0.35)))</f>
        <v/>
      </c>
      <c r="BE274">
        <f>IF(AA274="LANG_Time",0.76,IF(AA274="LANG_Service",0.70,IF(AA274="LANG_Words",0.72,IF(AA274="LANG_Touch",0.68,0.60))))</f>
        <v/>
      </c>
      <c r="BF274">
        <f>MAX(0,MIN(1,0.28*AS274+0.16*AT274+0.18*BC274+0.18*BD274+0.10*(1-AZ274)+0.10*(1-BA274)+BB274))</f>
        <v/>
      </c>
      <c r="BG274">
        <f>MAX(0,MIN(1,0.24*AU274+0.18*AS274+0.18*BC274+0.20*BD274+0.10*(1-AW274)+0.10*(1-BA274)))</f>
        <v/>
      </c>
      <c r="BH274">
        <f>MAX(0,MIN(1,0.28*AR274+0.18*AT274+0.16*AU274+0.18*(1-AV274)+0.10*(1-AW274)+0.10*BF274))</f>
        <v/>
      </c>
      <c r="BI274">
        <f>MAX(0,MIN(1,0.30*AV274+0.20*AZ274+0.20*AW274+0.15*(1-BH274)+0.15*(1-BO274)))</f>
        <v/>
      </c>
      <c r="BJ274">
        <f>MAX(0,1-(ABS(((( AX274+AY274)/2)-0.55)*1.6)))</f>
        <v/>
      </c>
      <c r="BK274">
        <f>MAX(0,MIN(1,0.28*AR274+0.18*AT274+0.16*BJ274+0.14*(1-AV274)+0.12*BQ274+0.12*BO274))</f>
        <v/>
      </c>
      <c r="BL274">
        <f>MAX(0,MIN(1,0.22*AQ274+0.18*AS274+0.18*BC274+0.18*BD274+0.08*BE274+0.10*BF274+0.06*BO274))</f>
        <v/>
      </c>
      <c r="BM274">
        <f>MAX(0,MIN(1,0.20*(1-AZ274)+0.16*(1-BA274)+0.14*(1-AW274)+0.14*AU274+0.18*BG274+0.10*BH274+0.08*BP274))</f>
        <v/>
      </c>
      <c r="BN274">
        <f>MAX(0,MIN(1,0.42*BJ274+0.33*BK274+0.15*AT274+0.10*BQ274))</f>
        <v/>
      </c>
      <c r="BO274">
        <f>MAX(0,MIN(1,0.30*BC274+0.24*BD274+0.18*AS274+0.14*(1-BI274)+0.14*AT274))</f>
        <v/>
      </c>
      <c r="BP274">
        <f>MAX(0,MIN(1,0.26*AS274+0.20*(1-BA274)+0.16*(1-AW274)+0.18*BG274+0.10*AU274+0.10+BB274))</f>
        <v/>
      </c>
      <c r="BQ274">
        <f>MAX(0,MIN(1,0.24*AT274+0.18*BF274+0.14*AR274+0.14*BO274+0.14*(1-AV274)+0.16*(1-AZ274)))</f>
        <v/>
      </c>
      <c r="BR274">
        <f>IF(BO274&gt;=0.80,"Open",IF(BO274&gt;=0.62,"Measured",IF(BO274&gt;=0.45,"Selective","Guarded")))</f>
        <v/>
      </c>
      <c r="BS274">
        <f>IF(Y274="COMM_Direct","Direct",IF(Y274="COMM_Emotional","Emotional",IF(Y274="COMM_Logical","Logical",IF(Y274="COMM_Indirect","Indirect","Avoidant"))))</f>
        <v/>
      </c>
      <c r="BT274">
        <f>IF(BG274&gt;=0.78,"Co-repair",IF(BG274&gt;=0.58,"Re-engage",IF(BG274&gt;=0.40,"Delay","Suppress")))</f>
        <v/>
      </c>
      <c r="BU274">
        <f>IF(BI274&gt;=0.70,"Retreat-risk",IF(BH274&lt;=0.40,"Rush-risk",IF(BH274&gt;=0.65,"Slow-build","Mixed")))</f>
        <v/>
      </c>
      <c r="BV274">
        <f>IF(BL274-BM274&gt;=0.15,"Stimulation-seeking",IF(BM274-BL274&gt;=0.15,"Calm-seeking","Mixed")))</f>
        <v/>
      </c>
      <c r="BW274">
        <f>IF(AND(BL274&gt;=0.72,BM274&lt;0.48),"High",IF(AND(BL274&gt;=0.60,BM274&lt;0.58),"Medium","Low"))</f>
        <v/>
      </c>
    </row>
    <row r="275" ht="54.75" customHeight="1" s="10">
      <c r="A275" s="2" t="inlineStr">
        <is>
          <t>Q54_F</t>
        </is>
      </c>
      <c r="B275" s="2" t="n">
        <v>54</v>
      </c>
      <c r="C275" s="2" t="n">
        <v>103</v>
      </c>
      <c r="D275" s="2" t="inlineStr">
        <is>
          <t>Shadow</t>
        </is>
      </c>
      <c r="E275" s="2" t="n">
        <v>1.3</v>
      </c>
      <c r="F275" s="2" t="inlineStr">
        <is>
          <t>ShadowPattern</t>
        </is>
      </c>
      <c r="G275" s="2" t="inlineStr">
        <is>
          <t>IntegrityRisk</t>
        </is>
      </c>
      <c r="H275" s="2" t="n"/>
      <c r="I275" s="2" t="inlineStr">
        <is>
          <t>F</t>
        </is>
      </c>
      <c r="J275" s="2" t="inlineStr">
        <is>
          <t>F</t>
        </is>
      </c>
      <c r="K275" s="2" t="inlineStr">
        <is>
          <t>I panic a little and assume I pushed them away.</t>
        </is>
      </c>
      <c r="L275" s="2" t="n">
        <v>8</v>
      </c>
      <c r="M275" s="2" t="n"/>
      <c r="N275" s="2" t="n">
        <v>2</v>
      </c>
      <c r="O275" s="2" t="n">
        <v>2</v>
      </c>
      <c r="P275" s="2" t="n">
        <v>2</v>
      </c>
      <c r="Q275" s="2" t="n"/>
      <c r="R275" s="2" t="n"/>
      <c r="S275" s="2" t="inlineStr">
        <is>
          <t>Self-Saboteur</t>
        </is>
      </c>
      <c r="T275" s="2" t="n">
        <v>6</v>
      </c>
      <c r="U275" s="2" t="n">
        <v>8</v>
      </c>
      <c r="V275" s="2" t="inlineStr">
        <is>
          <t>masc:0.0;fem:0.0</t>
        </is>
      </c>
      <c r="W275" s="2" t="n">
        <v>0</v>
      </c>
      <c r="X275" s="2" t="n">
        <v>0</v>
      </c>
      <c r="Y275" s="2" t="n"/>
      <c r="Z275" s="2" t="n"/>
      <c r="AA275" s="2" t="n"/>
      <c r="AB275" s="2" t="n"/>
      <c r="AC275" s="2" t="n"/>
      <c r="AD275" s="2" t="n"/>
      <c r="AE275" s="2" t="n">
        <v>0</v>
      </c>
      <c r="AF275" s="2" t="n"/>
      <c r="AG275" s="2" t="n"/>
      <c r="AH275" s="2" t="n">
        <v>0</v>
      </c>
      <c r="AI275" s="2" t="n"/>
      <c r="AJ275" s="2" t="inlineStr">
        <is>
          <t>no</t>
        </is>
      </c>
      <c r="AK275" s="2" t="inlineStr">
        <is>
          <t>no</t>
        </is>
      </c>
      <c r="AL275" s="2" t="inlineStr">
        <is>
          <t>no</t>
        </is>
      </c>
      <c r="AM275" s="2" t="n"/>
      <c r="AN275" s="2" t="n"/>
      <c r="AO275" s="2" t="n"/>
      <c r="AP275" s="2" t="inlineStr">
        <is>
          <t>v3_2026-03-19</t>
        </is>
      </c>
      <c r="AQ275">
        <f>(L275-Schema_v5!$C2)/(Schema_v5!$C3-Schema_v5!$C2)</f>
        <v/>
      </c>
      <c r="AR275">
        <f>(M275-Schema_v5!$C4)/(Schema_v5!$C5-Schema_v5!$C4)</f>
        <v/>
      </c>
      <c r="AS275">
        <f>N275/Schema_v5!$C6</f>
        <v/>
      </c>
      <c r="AT275">
        <f>O275/Schema_v5!$C7</f>
        <v/>
      </c>
      <c r="AU275">
        <f>P275/Schema_v5!$C8</f>
        <v/>
      </c>
      <c r="AV275">
        <f>IF(Schema_v5!$C9=0,0,AH275/Schema_v5!$C9)</f>
        <v/>
      </c>
      <c r="AW275">
        <f>IF(Schema_v5!$C10=0,0,AE275/Schema_v5!$C10)</f>
        <v/>
      </c>
      <c r="AX275">
        <f>(W275-Schema_v5!$C11)/(Schema_v5!$C12-Schema_v5!$C11)</f>
        <v/>
      </c>
      <c r="AY275">
        <f>(X275-Schema_v5!$C13)/(Schema_v5!$C14-Schema_v5!$C13)</f>
        <v/>
      </c>
      <c r="AZ275">
        <f>MIN(1,MAX(0,U275/Schema_v7!$C$9))</f>
        <v/>
      </c>
      <c r="BA275">
        <f>IF(AJ275="yes",0.55,0)</f>
        <v/>
      </c>
      <c r="BB275">
        <f>IF(AI275="yes",0.10,0)</f>
        <v/>
      </c>
      <c r="BC275">
        <f>IF(Y275="COMM_Direct",0.92,IF(Y275="COMM_Emotional",0.70,IF(Y275="COMM_Logical",0.65,IF(Y275="COMM_Indirect",0.55,0.35))))</f>
        <v/>
      </c>
      <c r="BD275">
        <f>IF(Z275="REG_CoRegulator",0.92,IF(Z275="REG_SelfSoother",0.76,IF(Z275="REG_Distractor",0.48,0.35)))</f>
        <v/>
      </c>
      <c r="BE275">
        <f>IF(AA275="LANG_Time",0.76,IF(AA275="LANG_Service",0.70,IF(AA275="LANG_Words",0.72,IF(AA275="LANG_Touch",0.68,0.60))))</f>
        <v/>
      </c>
      <c r="BF275">
        <f>MAX(0,MIN(1,0.28*AS275+0.16*AT275+0.18*BC275+0.18*BD275+0.10*(1-AZ275)+0.10*(1-BA275)+BB275))</f>
        <v/>
      </c>
      <c r="BG275">
        <f>MAX(0,MIN(1,0.24*AU275+0.18*AS275+0.18*BC275+0.20*BD275+0.10*(1-AW275)+0.10*(1-BA275)))</f>
        <v/>
      </c>
      <c r="BH275">
        <f>MAX(0,MIN(1,0.28*AR275+0.18*AT275+0.16*AU275+0.18*(1-AV275)+0.10*(1-AW275)+0.10*BF275))</f>
        <v/>
      </c>
      <c r="BI275">
        <f>MAX(0,MIN(1,0.30*AV275+0.20*AZ275+0.20*AW275+0.15*(1-BH275)+0.15*(1-BO275)))</f>
        <v/>
      </c>
      <c r="BJ275">
        <f>MAX(0,1-(ABS(((( AX275+AY275)/2)-0.55)*1.6)))</f>
        <v/>
      </c>
      <c r="BK275">
        <f>MAX(0,MIN(1,0.28*AR275+0.18*AT275+0.16*BJ275+0.14*(1-AV275)+0.12*BQ275+0.12*BO275))</f>
        <v/>
      </c>
      <c r="BL275">
        <f>MAX(0,MIN(1,0.22*AQ275+0.18*AS275+0.18*BC275+0.18*BD275+0.08*BE275+0.10*BF275+0.06*BO275))</f>
        <v/>
      </c>
      <c r="BM275">
        <f>MAX(0,MIN(1,0.20*(1-AZ275)+0.16*(1-BA275)+0.14*(1-AW275)+0.14*AU275+0.18*BG275+0.10*BH275+0.08*BP275))</f>
        <v/>
      </c>
      <c r="BN275">
        <f>MAX(0,MIN(1,0.42*BJ275+0.33*BK275+0.15*AT275+0.10*BQ275))</f>
        <v/>
      </c>
      <c r="BO275">
        <f>MAX(0,MIN(1,0.30*BC275+0.24*BD275+0.18*AS275+0.14*(1-BI275)+0.14*AT275))</f>
        <v/>
      </c>
      <c r="BP275">
        <f>MAX(0,MIN(1,0.26*AS275+0.20*(1-BA275)+0.16*(1-AW275)+0.18*BG275+0.10*AU275+0.10+BB275))</f>
        <v/>
      </c>
      <c r="BQ275">
        <f>MAX(0,MIN(1,0.24*AT275+0.18*BF275+0.14*AR275+0.14*BO275+0.14*(1-AV275)+0.16*(1-AZ275)))</f>
        <v/>
      </c>
      <c r="BR275">
        <f>IF(BO275&gt;=0.80,"Open",IF(BO275&gt;=0.62,"Measured",IF(BO275&gt;=0.45,"Selective","Guarded")))</f>
        <v/>
      </c>
      <c r="BS275">
        <f>IF(Y275="COMM_Direct","Direct",IF(Y275="COMM_Emotional","Emotional",IF(Y275="COMM_Logical","Logical",IF(Y275="COMM_Indirect","Indirect","Avoidant"))))</f>
        <v/>
      </c>
      <c r="BT275">
        <f>IF(BG275&gt;=0.78,"Co-repair",IF(BG275&gt;=0.58,"Re-engage",IF(BG275&gt;=0.40,"Delay","Suppress")))</f>
        <v/>
      </c>
      <c r="BU275">
        <f>IF(BI275&gt;=0.70,"Retreat-risk",IF(BH275&lt;=0.40,"Rush-risk",IF(BH275&gt;=0.65,"Slow-build","Mixed")))</f>
        <v/>
      </c>
      <c r="BV275">
        <f>IF(BL275-BM275&gt;=0.15,"Stimulation-seeking",IF(BM275-BL275&gt;=0.15,"Calm-seeking","Mixed")))</f>
        <v/>
      </c>
      <c r="BW275">
        <f>IF(AND(BL275&gt;=0.72,BM275&lt;0.48),"High",IF(AND(BL275&gt;=0.60,BM275&lt;0.58),"Medium","Low"))</f>
        <v/>
      </c>
    </row>
    <row r="276" ht="108" customHeight="1" s="10">
      <c r="A276" s="2" t="inlineStr">
        <is>
          <t>Q55_A</t>
        </is>
      </c>
      <c r="B276" s="2" t="n">
        <v>55</v>
      </c>
      <c r="C276" s="2" t="n">
        <v>104</v>
      </c>
      <c r="D276" s="2" t="inlineStr">
        <is>
          <t>Shadow</t>
        </is>
      </c>
      <c r="E276" s="2" t="n">
        <v>1.35</v>
      </c>
      <c r="F276" s="2" t="inlineStr">
        <is>
          <t>ShadowPattern</t>
        </is>
      </c>
      <c r="G276" s="2" t="inlineStr">
        <is>
          <t>IntegrityRisk</t>
        </is>
      </c>
      <c r="H276" s="2" t="inlineStr">
        <is>
          <t>You open up about something hard, but they respond awkwardly. What's your reflex?</t>
        </is>
      </c>
      <c r="I276" s="2" t="inlineStr">
        <is>
          <t>A</t>
        </is>
      </c>
      <c r="J276" s="2" t="inlineStr">
        <is>
          <t>A</t>
        </is>
      </c>
      <c r="K276" s="2" t="inlineStr">
        <is>
          <t>I redirect with sarcasm or ask a deeper question about them.</t>
        </is>
      </c>
      <c r="L276" s="2" t="n">
        <v>4</v>
      </c>
      <c r="M276" s="2" t="n"/>
      <c r="N276" s="2" t="n">
        <v>4</v>
      </c>
      <c r="O276" s="2" t="n">
        <v>4</v>
      </c>
      <c r="P276" s="2" t="n">
        <v>4</v>
      </c>
      <c r="Q276" s="2" t="n"/>
      <c r="R276" s="2" t="n"/>
      <c r="S276" s="2" t="inlineStr">
        <is>
          <t>Manipulator</t>
        </is>
      </c>
      <c r="T276" s="2" t="n">
        <v>1</v>
      </c>
      <c r="U276" s="2" t="n">
        <v>6</v>
      </c>
      <c r="V276" s="2" t="inlineStr">
        <is>
          <t>masc:0.0;fem:0.0</t>
        </is>
      </c>
      <c r="W276" s="2" t="n">
        <v>0</v>
      </c>
      <c r="X276" s="2" t="n">
        <v>0</v>
      </c>
      <c r="Y276" s="2" t="n"/>
      <c r="Z276" s="2" t="n"/>
      <c r="AA276" s="2" t="n"/>
      <c r="AB276" s="2" t="n"/>
      <c r="AC276" s="2" t="n"/>
      <c r="AD276" s="2" t="n"/>
      <c r="AE276" s="2" t="n">
        <v>0</v>
      </c>
      <c r="AF276" s="2" t="n"/>
      <c r="AG276" s="2" t="n"/>
      <c r="AH276" s="2" t="n">
        <v>0</v>
      </c>
      <c r="AI276" s="2" t="n"/>
      <c r="AJ276" s="2" t="inlineStr">
        <is>
          <t>yes</t>
        </is>
      </c>
      <c r="AK276" s="2" t="inlineStr">
        <is>
          <t>no</t>
        </is>
      </c>
      <c r="AL276" s="2" t="inlineStr">
        <is>
          <t>no</t>
        </is>
      </c>
      <c r="AM276" s="2" t="n"/>
      <c r="AN276" s="2" t="n"/>
      <c r="AO276" s="2" t="n"/>
      <c r="AP276" s="2" t="inlineStr">
        <is>
          <t>v3_2026-03-19</t>
        </is>
      </c>
      <c r="AQ276">
        <f>(L276-Schema_v5!$C2)/(Schema_v5!$C3-Schema_v5!$C2)</f>
        <v/>
      </c>
      <c r="AR276">
        <f>(M276-Schema_v5!$C4)/(Schema_v5!$C5-Schema_v5!$C4)</f>
        <v/>
      </c>
      <c r="AS276">
        <f>N276/Schema_v5!$C6</f>
        <v/>
      </c>
      <c r="AT276">
        <f>O276/Schema_v5!$C7</f>
        <v/>
      </c>
      <c r="AU276">
        <f>P276/Schema_v5!$C8</f>
        <v/>
      </c>
      <c r="AV276">
        <f>IF(Schema_v5!$C9=0,0,AH276/Schema_v5!$C9)</f>
        <v/>
      </c>
      <c r="AW276">
        <f>IF(Schema_v5!$C10=0,0,AE276/Schema_v5!$C10)</f>
        <v/>
      </c>
      <c r="AX276">
        <f>(W276-Schema_v5!$C11)/(Schema_v5!$C12-Schema_v5!$C11)</f>
        <v/>
      </c>
      <c r="AY276">
        <f>(X276-Schema_v5!$C13)/(Schema_v5!$C14-Schema_v5!$C13)</f>
        <v/>
      </c>
      <c r="AZ276">
        <f>MIN(1,MAX(0,U276/Schema_v7!$C$9))</f>
        <v/>
      </c>
      <c r="BA276">
        <f>IF(AJ276="yes",0.55,0)</f>
        <v/>
      </c>
      <c r="BB276">
        <f>IF(AI276="yes",0.10,0)</f>
        <v/>
      </c>
      <c r="BC276">
        <f>IF(Y276="COMM_Direct",0.92,IF(Y276="COMM_Emotional",0.70,IF(Y276="COMM_Logical",0.65,IF(Y276="COMM_Indirect",0.55,0.35))))</f>
        <v/>
      </c>
      <c r="BD276">
        <f>IF(Z276="REG_CoRegulator",0.92,IF(Z276="REG_SelfSoother",0.76,IF(Z276="REG_Distractor",0.48,0.35)))</f>
        <v/>
      </c>
      <c r="BE276">
        <f>IF(AA276="LANG_Time",0.76,IF(AA276="LANG_Service",0.70,IF(AA276="LANG_Words",0.72,IF(AA276="LANG_Touch",0.68,0.60))))</f>
        <v/>
      </c>
      <c r="BF276">
        <f>MAX(0,MIN(1,0.28*AS276+0.16*AT276+0.18*BC276+0.18*BD276+0.10*(1-AZ276)+0.10*(1-BA276)+BB276))</f>
        <v/>
      </c>
      <c r="BG276">
        <f>MAX(0,MIN(1,0.24*AU276+0.18*AS276+0.18*BC276+0.20*BD276+0.10*(1-AW276)+0.10*(1-BA276)))</f>
        <v/>
      </c>
      <c r="BH276">
        <f>MAX(0,MIN(1,0.28*AR276+0.18*AT276+0.16*AU276+0.18*(1-AV276)+0.10*(1-AW276)+0.10*BF276))</f>
        <v/>
      </c>
      <c r="BI276">
        <f>MAX(0,MIN(1,0.30*AV276+0.20*AZ276+0.20*AW276+0.15*(1-BH276)+0.15*(1-BO276)))</f>
        <v/>
      </c>
      <c r="BJ276">
        <f>MAX(0,1-(ABS(((( AX276+AY276)/2)-0.55)*1.6)))</f>
        <v/>
      </c>
      <c r="BK276">
        <f>MAX(0,MIN(1,0.28*AR276+0.18*AT276+0.16*BJ276+0.14*(1-AV276)+0.12*BQ276+0.12*BO276))</f>
        <v/>
      </c>
      <c r="BL276">
        <f>MAX(0,MIN(1,0.22*AQ276+0.18*AS276+0.18*BC276+0.18*BD276+0.08*BE276+0.10*BF276+0.06*BO276))</f>
        <v/>
      </c>
      <c r="BM276">
        <f>MAX(0,MIN(1,0.20*(1-AZ276)+0.16*(1-BA276)+0.14*(1-AW276)+0.14*AU276+0.18*BG276+0.10*BH276+0.08*BP276))</f>
        <v/>
      </c>
      <c r="BN276">
        <f>MAX(0,MIN(1,0.42*BJ276+0.33*BK276+0.15*AT276+0.10*BQ276))</f>
        <v/>
      </c>
      <c r="BO276">
        <f>MAX(0,MIN(1,0.30*BC276+0.24*BD276+0.18*AS276+0.14*(1-BI276)+0.14*AT276))</f>
        <v/>
      </c>
      <c r="BP276">
        <f>MAX(0,MIN(1,0.26*AS276+0.20*(1-BA276)+0.16*(1-AW276)+0.18*BG276+0.10*AU276+0.10+BB276))</f>
        <v/>
      </c>
      <c r="BQ276">
        <f>MAX(0,MIN(1,0.24*AT276+0.18*BF276+0.14*AR276+0.14*BO276+0.14*(1-AV276)+0.16*(1-AZ276)))</f>
        <v/>
      </c>
      <c r="BR276">
        <f>IF(BO276&gt;=0.80,"Open",IF(BO276&gt;=0.62,"Measured",IF(BO276&gt;=0.45,"Selective","Guarded")))</f>
        <v/>
      </c>
      <c r="BS276">
        <f>IF(Y276="COMM_Direct","Direct",IF(Y276="COMM_Emotional","Emotional",IF(Y276="COMM_Logical","Logical",IF(Y276="COMM_Indirect","Indirect","Avoidant"))))</f>
        <v/>
      </c>
      <c r="BT276">
        <f>IF(BG276&gt;=0.78,"Co-repair",IF(BG276&gt;=0.58,"Re-engage",IF(BG276&gt;=0.40,"Delay","Suppress")))</f>
        <v/>
      </c>
      <c r="BU276">
        <f>IF(BI276&gt;=0.70,"Retreat-risk",IF(BH276&lt;=0.40,"Rush-risk",IF(BH276&gt;=0.65,"Slow-build","Mixed")))</f>
        <v/>
      </c>
      <c r="BV276">
        <f>IF(BL276-BM276&gt;=0.15,"Stimulation-seeking",IF(BM276-BL276&gt;=0.15,"Calm-seeking","Mixed")))</f>
        <v/>
      </c>
      <c r="BW276">
        <f>IF(AND(BL276&gt;=0.72,BM276&lt;0.48),"High",IF(AND(BL276&gt;=0.60,BM276&lt;0.58),"Medium","Low"))</f>
        <v/>
      </c>
    </row>
    <row r="277" ht="54.75" customHeight="1" s="10">
      <c r="A277" s="2" t="inlineStr">
        <is>
          <t>Q55_B</t>
        </is>
      </c>
      <c r="B277" s="2" t="n">
        <v>55</v>
      </c>
      <c r="C277" s="2" t="n">
        <v>104</v>
      </c>
      <c r="D277" s="2" t="inlineStr">
        <is>
          <t>Shadow</t>
        </is>
      </c>
      <c r="E277" s="2" t="n">
        <v>1.35</v>
      </c>
      <c r="F277" s="2" t="inlineStr">
        <is>
          <t>ShadowPattern</t>
        </is>
      </c>
      <c r="G277" s="2" t="inlineStr">
        <is>
          <t>IntegrityRisk</t>
        </is>
      </c>
      <c r="H277" s="2" t="n"/>
      <c r="I277" s="2" t="inlineStr">
        <is>
          <t>B</t>
        </is>
      </c>
      <c r="J277" s="2" t="inlineStr">
        <is>
          <t>B</t>
        </is>
      </c>
      <c r="K277" s="2" t="inlineStr">
        <is>
          <t>I shut down. You'll never hear that side again.</t>
        </is>
      </c>
      <c r="L277" s="2" t="n">
        <v>3</v>
      </c>
      <c r="M277" s="2" t="n"/>
      <c r="N277" s="2" t="n">
        <v>6</v>
      </c>
      <c r="O277" s="2" t="n">
        <v>6</v>
      </c>
      <c r="P277" s="2" t="n">
        <v>6</v>
      </c>
      <c r="Q277" s="2" t="n"/>
      <c r="R277" s="2" t="n"/>
      <c r="S277" s="2" t="inlineStr">
        <is>
          <t>Stonewaller</t>
        </is>
      </c>
      <c r="T277" s="2" t="n">
        <v>2</v>
      </c>
      <c r="U277" s="2" t="n">
        <v>4</v>
      </c>
      <c r="V277" s="2" t="inlineStr">
        <is>
          <t>masc:0.0;fem:0.0</t>
        </is>
      </c>
      <c r="W277" s="2" t="n">
        <v>0</v>
      </c>
      <c r="X277" s="2" t="n">
        <v>0</v>
      </c>
      <c r="Y277" s="2" t="n"/>
      <c r="Z277" s="2" t="n"/>
      <c r="AA277" s="2" t="n"/>
      <c r="AB277" s="2" t="n"/>
      <c r="AC277" s="2" t="n"/>
      <c r="AD277" s="2" t="n"/>
      <c r="AE277" s="2" t="n">
        <v>0</v>
      </c>
      <c r="AF277" s="2" t="n"/>
      <c r="AG277" s="2" t="n"/>
      <c r="AH277" s="2" t="n">
        <v>0</v>
      </c>
      <c r="AI277" s="2" t="n"/>
      <c r="AJ277" s="2" t="inlineStr">
        <is>
          <t>yes</t>
        </is>
      </c>
      <c r="AK277" s="2" t="inlineStr">
        <is>
          <t>no</t>
        </is>
      </c>
      <c r="AL277" s="2" t="inlineStr">
        <is>
          <t>no</t>
        </is>
      </c>
      <c r="AM277" s="2" t="n"/>
      <c r="AN277" s="2" t="n"/>
      <c r="AO277" s="2" t="n"/>
      <c r="AP277" s="2" t="inlineStr">
        <is>
          <t>v3_2026-03-19</t>
        </is>
      </c>
      <c r="AQ277">
        <f>(L277-Schema_v5!$C2)/(Schema_v5!$C3-Schema_v5!$C2)</f>
        <v/>
      </c>
      <c r="AR277">
        <f>(M277-Schema_v5!$C4)/(Schema_v5!$C5-Schema_v5!$C4)</f>
        <v/>
      </c>
      <c r="AS277">
        <f>N277/Schema_v5!$C6</f>
        <v/>
      </c>
      <c r="AT277">
        <f>O277/Schema_v5!$C7</f>
        <v/>
      </c>
      <c r="AU277">
        <f>P277/Schema_v5!$C8</f>
        <v/>
      </c>
      <c r="AV277">
        <f>IF(Schema_v5!$C9=0,0,AH277/Schema_v5!$C9)</f>
        <v/>
      </c>
      <c r="AW277">
        <f>IF(Schema_v5!$C10=0,0,AE277/Schema_v5!$C10)</f>
        <v/>
      </c>
      <c r="AX277">
        <f>(W277-Schema_v5!$C11)/(Schema_v5!$C12-Schema_v5!$C11)</f>
        <v/>
      </c>
      <c r="AY277">
        <f>(X277-Schema_v5!$C13)/(Schema_v5!$C14-Schema_v5!$C13)</f>
        <v/>
      </c>
      <c r="AZ277">
        <f>MIN(1,MAX(0,U277/Schema_v7!$C$9))</f>
        <v/>
      </c>
      <c r="BA277">
        <f>IF(AJ277="yes",0.55,0)</f>
        <v/>
      </c>
      <c r="BB277">
        <f>IF(AI277="yes",0.10,0)</f>
        <v/>
      </c>
      <c r="BC277">
        <f>IF(Y277="COMM_Direct",0.92,IF(Y277="COMM_Emotional",0.70,IF(Y277="COMM_Logical",0.65,IF(Y277="COMM_Indirect",0.55,0.35))))</f>
        <v/>
      </c>
      <c r="BD277">
        <f>IF(Z277="REG_CoRegulator",0.92,IF(Z277="REG_SelfSoother",0.76,IF(Z277="REG_Distractor",0.48,0.35)))</f>
        <v/>
      </c>
      <c r="BE277">
        <f>IF(AA277="LANG_Time",0.76,IF(AA277="LANG_Service",0.70,IF(AA277="LANG_Words",0.72,IF(AA277="LANG_Touch",0.68,0.60))))</f>
        <v/>
      </c>
      <c r="BF277">
        <f>MAX(0,MIN(1,0.28*AS277+0.16*AT277+0.18*BC277+0.18*BD277+0.10*(1-AZ277)+0.10*(1-BA277)+BB277))</f>
        <v/>
      </c>
      <c r="BG277">
        <f>MAX(0,MIN(1,0.24*AU277+0.18*AS277+0.18*BC277+0.20*BD277+0.10*(1-AW277)+0.10*(1-BA277)))</f>
        <v/>
      </c>
      <c r="BH277">
        <f>MAX(0,MIN(1,0.28*AR277+0.18*AT277+0.16*AU277+0.18*(1-AV277)+0.10*(1-AW277)+0.10*BF277))</f>
        <v/>
      </c>
      <c r="BI277">
        <f>MAX(0,MIN(1,0.30*AV277+0.20*AZ277+0.20*AW277+0.15*(1-BH277)+0.15*(1-BO277)))</f>
        <v/>
      </c>
      <c r="BJ277">
        <f>MAX(0,1-(ABS(((( AX277+AY277)/2)-0.55)*1.6)))</f>
        <v/>
      </c>
      <c r="BK277">
        <f>MAX(0,MIN(1,0.28*AR277+0.18*AT277+0.16*BJ277+0.14*(1-AV277)+0.12*BQ277+0.12*BO277))</f>
        <v/>
      </c>
      <c r="BL277">
        <f>MAX(0,MIN(1,0.22*AQ277+0.18*AS277+0.18*BC277+0.18*BD277+0.08*BE277+0.10*BF277+0.06*BO277))</f>
        <v/>
      </c>
      <c r="BM277">
        <f>MAX(0,MIN(1,0.20*(1-AZ277)+0.16*(1-BA277)+0.14*(1-AW277)+0.14*AU277+0.18*BG277+0.10*BH277+0.08*BP277))</f>
        <v/>
      </c>
      <c r="BN277">
        <f>MAX(0,MIN(1,0.42*BJ277+0.33*BK277+0.15*AT277+0.10*BQ277))</f>
        <v/>
      </c>
      <c r="BO277">
        <f>MAX(0,MIN(1,0.30*BC277+0.24*BD277+0.18*AS277+0.14*(1-BI277)+0.14*AT277))</f>
        <v/>
      </c>
      <c r="BP277">
        <f>MAX(0,MIN(1,0.26*AS277+0.20*(1-BA277)+0.16*(1-AW277)+0.18*BG277+0.10*AU277+0.10+BB277))</f>
        <v/>
      </c>
      <c r="BQ277">
        <f>MAX(0,MIN(1,0.24*AT277+0.18*BF277+0.14*AR277+0.14*BO277+0.14*(1-AV277)+0.16*(1-AZ277)))</f>
        <v/>
      </c>
      <c r="BR277">
        <f>IF(BO277&gt;=0.80,"Open",IF(BO277&gt;=0.62,"Measured",IF(BO277&gt;=0.45,"Selective","Guarded")))</f>
        <v/>
      </c>
      <c r="BS277">
        <f>IF(Y277="COMM_Direct","Direct",IF(Y277="COMM_Emotional","Emotional",IF(Y277="COMM_Logical","Logical",IF(Y277="COMM_Indirect","Indirect","Avoidant"))))</f>
        <v/>
      </c>
      <c r="BT277">
        <f>IF(BG277&gt;=0.78,"Co-repair",IF(BG277&gt;=0.58,"Re-engage",IF(BG277&gt;=0.40,"Delay","Suppress")))</f>
        <v/>
      </c>
      <c r="BU277">
        <f>IF(BI277&gt;=0.70,"Retreat-risk",IF(BH277&lt;=0.40,"Rush-risk",IF(BH277&gt;=0.65,"Slow-build","Mixed")))</f>
        <v/>
      </c>
      <c r="BV277">
        <f>IF(BL277-BM277&gt;=0.15,"Stimulation-seeking",IF(BM277-BL277&gt;=0.15,"Calm-seeking","Mixed")))</f>
        <v/>
      </c>
      <c r="BW277">
        <f>IF(AND(BL277&gt;=0.72,BM277&lt;0.48),"High",IF(AND(BL277&gt;=0.60,BM277&lt;0.58),"Medium","Low"))</f>
        <v/>
      </c>
    </row>
    <row r="278" ht="68.25" customHeight="1" s="10">
      <c r="A278" s="2" t="inlineStr">
        <is>
          <t>Q55_C</t>
        </is>
      </c>
      <c r="B278" s="2" t="n">
        <v>55</v>
      </c>
      <c r="C278" s="2" t="n">
        <v>104</v>
      </c>
      <c r="D278" s="2" t="inlineStr">
        <is>
          <t>Shadow</t>
        </is>
      </c>
      <c r="E278" s="2" t="n">
        <v>1.35</v>
      </c>
      <c r="F278" s="2" t="inlineStr">
        <is>
          <t>ShadowPattern</t>
        </is>
      </c>
      <c r="G278" s="2" t="inlineStr">
        <is>
          <t>IntegrityRisk</t>
        </is>
      </c>
      <c r="H278" s="2" t="n"/>
      <c r="I278" s="2" t="inlineStr">
        <is>
          <t>C</t>
        </is>
      </c>
      <c r="J278" s="2" t="inlineStr">
        <is>
          <t>C</t>
        </is>
      </c>
      <c r="K278" s="2" t="inlineStr">
        <is>
          <t>I act like I was just joking. Can't let them see too much.</t>
        </is>
      </c>
      <c r="L278" s="2" t="n">
        <v>5</v>
      </c>
      <c r="M278" s="2" t="n"/>
      <c r="N278" s="2" t="n">
        <v>4</v>
      </c>
      <c r="O278" s="2" t="n">
        <v>4</v>
      </c>
      <c r="P278" s="2" t="n">
        <v>4</v>
      </c>
      <c r="Q278" s="2" t="n"/>
      <c r="R278" s="2" t="n"/>
      <c r="S278" s="2" t="inlineStr">
        <is>
          <t>Love Bomber</t>
        </is>
      </c>
      <c r="T278" s="2" t="n">
        <v>3</v>
      </c>
      <c r="U278" s="2" t="n">
        <v>6</v>
      </c>
      <c r="V278" s="2" t="inlineStr">
        <is>
          <t>masc:0.0;fem:0.0</t>
        </is>
      </c>
      <c r="W278" s="2" t="n">
        <v>0</v>
      </c>
      <c r="X278" s="2" t="n">
        <v>0</v>
      </c>
      <c r="Y278" s="2" t="n"/>
      <c r="Z278" s="2" t="n"/>
      <c r="AA278" s="2" t="n"/>
      <c r="AB278" s="2" t="n"/>
      <c r="AC278" s="2" t="n"/>
      <c r="AD278" s="2" t="n"/>
      <c r="AE278" s="2" t="n">
        <v>0</v>
      </c>
      <c r="AF278" s="2" t="n"/>
      <c r="AG278" s="2" t="n"/>
      <c r="AH278" s="2" t="n">
        <v>0</v>
      </c>
      <c r="AI278" s="2" t="n"/>
      <c r="AJ278" s="2" t="inlineStr">
        <is>
          <t>no</t>
        </is>
      </c>
      <c r="AK278" s="2" t="inlineStr">
        <is>
          <t>no</t>
        </is>
      </c>
      <c r="AL278" s="2" t="inlineStr">
        <is>
          <t>no</t>
        </is>
      </c>
      <c r="AM278" s="2" t="n"/>
      <c r="AN278" s="2" t="n"/>
      <c r="AO278" s="2" t="n"/>
      <c r="AP278" s="2" t="inlineStr">
        <is>
          <t>v3_2026-03-19</t>
        </is>
      </c>
      <c r="AQ278">
        <f>(L278-Schema_v5!$C2)/(Schema_v5!$C3-Schema_v5!$C2)</f>
        <v/>
      </c>
      <c r="AR278">
        <f>(M278-Schema_v5!$C4)/(Schema_v5!$C5-Schema_v5!$C4)</f>
        <v/>
      </c>
      <c r="AS278">
        <f>N278/Schema_v5!$C6</f>
        <v/>
      </c>
      <c r="AT278">
        <f>O278/Schema_v5!$C7</f>
        <v/>
      </c>
      <c r="AU278">
        <f>P278/Schema_v5!$C8</f>
        <v/>
      </c>
      <c r="AV278">
        <f>IF(Schema_v5!$C9=0,0,AH278/Schema_v5!$C9)</f>
        <v/>
      </c>
      <c r="AW278">
        <f>IF(Schema_v5!$C10=0,0,AE278/Schema_v5!$C10)</f>
        <v/>
      </c>
      <c r="AX278">
        <f>(W278-Schema_v5!$C11)/(Schema_v5!$C12-Schema_v5!$C11)</f>
        <v/>
      </c>
      <c r="AY278">
        <f>(X278-Schema_v5!$C13)/(Schema_v5!$C14-Schema_v5!$C13)</f>
        <v/>
      </c>
      <c r="AZ278">
        <f>MIN(1,MAX(0,U278/Schema_v7!$C$9))</f>
        <v/>
      </c>
      <c r="BA278">
        <f>IF(AJ278="yes",0.55,0)</f>
        <v/>
      </c>
      <c r="BB278">
        <f>IF(AI278="yes",0.10,0)</f>
        <v/>
      </c>
      <c r="BC278">
        <f>IF(Y278="COMM_Direct",0.92,IF(Y278="COMM_Emotional",0.70,IF(Y278="COMM_Logical",0.65,IF(Y278="COMM_Indirect",0.55,0.35))))</f>
        <v/>
      </c>
      <c r="BD278">
        <f>IF(Z278="REG_CoRegulator",0.92,IF(Z278="REG_SelfSoother",0.76,IF(Z278="REG_Distractor",0.48,0.35)))</f>
        <v/>
      </c>
      <c r="BE278">
        <f>IF(AA278="LANG_Time",0.76,IF(AA278="LANG_Service",0.70,IF(AA278="LANG_Words",0.72,IF(AA278="LANG_Touch",0.68,0.60))))</f>
        <v/>
      </c>
      <c r="BF278">
        <f>MAX(0,MIN(1,0.28*AS278+0.16*AT278+0.18*BC278+0.18*BD278+0.10*(1-AZ278)+0.10*(1-BA278)+BB278))</f>
        <v/>
      </c>
      <c r="BG278">
        <f>MAX(0,MIN(1,0.24*AU278+0.18*AS278+0.18*BC278+0.20*BD278+0.10*(1-AW278)+0.10*(1-BA278)))</f>
        <v/>
      </c>
      <c r="BH278">
        <f>MAX(0,MIN(1,0.28*AR278+0.18*AT278+0.16*AU278+0.18*(1-AV278)+0.10*(1-AW278)+0.10*BF278))</f>
        <v/>
      </c>
      <c r="BI278">
        <f>MAX(0,MIN(1,0.30*AV278+0.20*AZ278+0.20*AW278+0.15*(1-BH278)+0.15*(1-BO278)))</f>
        <v/>
      </c>
      <c r="BJ278">
        <f>MAX(0,1-(ABS(((( AX278+AY278)/2)-0.55)*1.6)))</f>
        <v/>
      </c>
      <c r="BK278">
        <f>MAX(0,MIN(1,0.28*AR278+0.18*AT278+0.16*BJ278+0.14*(1-AV278)+0.12*BQ278+0.12*BO278))</f>
        <v/>
      </c>
      <c r="BL278">
        <f>MAX(0,MIN(1,0.22*AQ278+0.18*AS278+0.18*BC278+0.18*BD278+0.08*BE278+0.10*BF278+0.06*BO278))</f>
        <v/>
      </c>
      <c r="BM278">
        <f>MAX(0,MIN(1,0.20*(1-AZ278)+0.16*(1-BA278)+0.14*(1-AW278)+0.14*AU278+0.18*BG278+0.10*BH278+0.08*BP278))</f>
        <v/>
      </c>
      <c r="BN278">
        <f>MAX(0,MIN(1,0.42*BJ278+0.33*BK278+0.15*AT278+0.10*BQ278))</f>
        <v/>
      </c>
      <c r="BO278">
        <f>MAX(0,MIN(1,0.30*BC278+0.24*BD278+0.18*AS278+0.14*(1-BI278)+0.14*AT278))</f>
        <v/>
      </c>
      <c r="BP278">
        <f>MAX(0,MIN(1,0.26*AS278+0.20*(1-BA278)+0.16*(1-AW278)+0.18*BG278+0.10*AU278+0.10+BB278))</f>
        <v/>
      </c>
      <c r="BQ278">
        <f>MAX(0,MIN(1,0.24*AT278+0.18*BF278+0.14*AR278+0.14*BO278+0.14*(1-AV278)+0.16*(1-AZ278)))</f>
        <v/>
      </c>
      <c r="BR278">
        <f>IF(BO278&gt;=0.80,"Open",IF(BO278&gt;=0.62,"Measured",IF(BO278&gt;=0.45,"Selective","Guarded")))</f>
        <v/>
      </c>
      <c r="BS278">
        <f>IF(Y278="COMM_Direct","Direct",IF(Y278="COMM_Emotional","Emotional",IF(Y278="COMM_Logical","Logical",IF(Y278="COMM_Indirect","Indirect","Avoidant"))))</f>
        <v/>
      </c>
      <c r="BT278">
        <f>IF(BG278&gt;=0.78,"Co-repair",IF(BG278&gt;=0.58,"Re-engage",IF(BG278&gt;=0.40,"Delay","Suppress")))</f>
        <v/>
      </c>
      <c r="BU278">
        <f>IF(BI278&gt;=0.70,"Retreat-risk",IF(BH278&lt;=0.40,"Rush-risk",IF(BH278&gt;=0.65,"Slow-build","Mixed")))</f>
        <v/>
      </c>
      <c r="BV278">
        <f>IF(BL278-BM278&gt;=0.15,"Stimulation-seeking",IF(BM278-BL278&gt;=0.15,"Calm-seeking","Mixed")))</f>
        <v/>
      </c>
      <c r="BW278">
        <f>IF(AND(BL278&gt;=0.72,BM278&lt;0.48),"High",IF(AND(BL278&gt;=0.60,BM278&lt;0.58),"Medium","Low"))</f>
        <v/>
      </c>
    </row>
    <row r="279" ht="68.25" customHeight="1" s="10">
      <c r="A279" s="2" t="inlineStr">
        <is>
          <t>Q55_D</t>
        </is>
      </c>
      <c r="B279" s="2" t="n">
        <v>55</v>
      </c>
      <c r="C279" s="2" t="n">
        <v>104</v>
      </c>
      <c r="D279" s="2" t="inlineStr">
        <is>
          <t>Shadow</t>
        </is>
      </c>
      <c r="E279" s="2" t="n">
        <v>1.35</v>
      </c>
      <c r="F279" s="2" t="inlineStr">
        <is>
          <t>ShadowPattern</t>
        </is>
      </c>
      <c r="G279" s="2" t="inlineStr">
        <is>
          <t>IntegrityRisk</t>
        </is>
      </c>
      <c r="H279" s="2" t="n"/>
      <c r="I279" s="2" t="inlineStr">
        <is>
          <t>D</t>
        </is>
      </c>
      <c r="J279" s="2" t="inlineStr">
        <is>
          <t>D</t>
        </is>
      </c>
      <c r="K279" s="2" t="inlineStr">
        <is>
          <t>I nod like it didn't matter. Then replay the whole convo later.</t>
        </is>
      </c>
      <c r="L279" s="2" t="n">
        <v>6</v>
      </c>
      <c r="M279" s="2" t="n"/>
      <c r="N279" s="2" t="n">
        <v>4</v>
      </c>
      <c r="O279" s="2" t="n">
        <v>4</v>
      </c>
      <c r="P279" s="2" t="n">
        <v>4</v>
      </c>
      <c r="Q279" s="2" t="n"/>
      <c r="R279" s="2" t="n"/>
      <c r="S279" s="2" t="inlineStr">
        <is>
          <t>Chameleon</t>
        </is>
      </c>
      <c r="T279" s="2" t="n">
        <v>4</v>
      </c>
      <c r="U279" s="2" t="n">
        <v>6</v>
      </c>
      <c r="V279" s="2" t="inlineStr">
        <is>
          <t>masc:0.0;fem:0.0</t>
        </is>
      </c>
      <c r="W279" s="2" t="n">
        <v>0</v>
      </c>
      <c r="X279" s="2" t="n">
        <v>0</v>
      </c>
      <c r="Y279" s="2" t="n"/>
      <c r="Z279" s="2" t="n"/>
      <c r="AA279" s="2" t="n"/>
      <c r="AB279" s="2" t="n"/>
      <c r="AC279" s="2" t="n"/>
      <c r="AD279" s="2" t="n"/>
      <c r="AE279" s="2" t="n">
        <v>0</v>
      </c>
      <c r="AF279" s="2" t="n"/>
      <c r="AG279" s="2" t="n"/>
      <c r="AH279" s="2" t="n">
        <v>0</v>
      </c>
      <c r="AI279" s="2" t="n"/>
      <c r="AJ279" s="2" t="inlineStr">
        <is>
          <t>no</t>
        </is>
      </c>
      <c r="AK279" s="2" t="inlineStr">
        <is>
          <t>no</t>
        </is>
      </c>
      <c r="AL279" s="2" t="inlineStr">
        <is>
          <t>no</t>
        </is>
      </c>
      <c r="AM279" s="2" t="n"/>
      <c r="AN279" s="2" t="n"/>
      <c r="AO279" s="2" t="n"/>
      <c r="AP279" s="2" t="inlineStr">
        <is>
          <t>v3_2026-03-19</t>
        </is>
      </c>
      <c r="AQ279">
        <f>(L279-Schema_v5!$C2)/(Schema_v5!$C3-Schema_v5!$C2)</f>
        <v/>
      </c>
      <c r="AR279">
        <f>(M279-Schema_v5!$C4)/(Schema_v5!$C5-Schema_v5!$C4)</f>
        <v/>
      </c>
      <c r="AS279">
        <f>N279/Schema_v5!$C6</f>
        <v/>
      </c>
      <c r="AT279">
        <f>O279/Schema_v5!$C7</f>
        <v/>
      </c>
      <c r="AU279">
        <f>P279/Schema_v5!$C8</f>
        <v/>
      </c>
      <c r="AV279">
        <f>IF(Schema_v5!$C9=0,0,AH279/Schema_v5!$C9)</f>
        <v/>
      </c>
      <c r="AW279">
        <f>IF(Schema_v5!$C10=0,0,AE279/Schema_v5!$C10)</f>
        <v/>
      </c>
      <c r="AX279">
        <f>(W279-Schema_v5!$C11)/(Schema_v5!$C12-Schema_v5!$C11)</f>
        <v/>
      </c>
      <c r="AY279">
        <f>(X279-Schema_v5!$C13)/(Schema_v5!$C14-Schema_v5!$C13)</f>
        <v/>
      </c>
      <c r="AZ279">
        <f>MIN(1,MAX(0,U279/Schema_v7!$C$9))</f>
        <v/>
      </c>
      <c r="BA279">
        <f>IF(AJ279="yes",0.55,0)</f>
        <v/>
      </c>
      <c r="BB279">
        <f>IF(AI279="yes",0.10,0)</f>
        <v/>
      </c>
      <c r="BC279">
        <f>IF(Y279="COMM_Direct",0.92,IF(Y279="COMM_Emotional",0.70,IF(Y279="COMM_Logical",0.65,IF(Y279="COMM_Indirect",0.55,0.35))))</f>
        <v/>
      </c>
      <c r="BD279">
        <f>IF(Z279="REG_CoRegulator",0.92,IF(Z279="REG_SelfSoother",0.76,IF(Z279="REG_Distractor",0.48,0.35)))</f>
        <v/>
      </c>
      <c r="BE279">
        <f>IF(AA279="LANG_Time",0.76,IF(AA279="LANG_Service",0.70,IF(AA279="LANG_Words",0.72,IF(AA279="LANG_Touch",0.68,0.60))))</f>
        <v/>
      </c>
      <c r="BF279">
        <f>MAX(0,MIN(1,0.28*AS279+0.16*AT279+0.18*BC279+0.18*BD279+0.10*(1-AZ279)+0.10*(1-BA279)+BB279))</f>
        <v/>
      </c>
      <c r="BG279">
        <f>MAX(0,MIN(1,0.24*AU279+0.18*AS279+0.18*BC279+0.20*BD279+0.10*(1-AW279)+0.10*(1-BA279)))</f>
        <v/>
      </c>
      <c r="BH279">
        <f>MAX(0,MIN(1,0.28*AR279+0.18*AT279+0.16*AU279+0.18*(1-AV279)+0.10*(1-AW279)+0.10*BF279))</f>
        <v/>
      </c>
      <c r="BI279">
        <f>MAX(0,MIN(1,0.30*AV279+0.20*AZ279+0.20*AW279+0.15*(1-BH279)+0.15*(1-BO279)))</f>
        <v/>
      </c>
      <c r="BJ279">
        <f>MAX(0,1-(ABS(((( AX279+AY279)/2)-0.55)*1.6)))</f>
        <v/>
      </c>
      <c r="BK279">
        <f>MAX(0,MIN(1,0.28*AR279+0.18*AT279+0.16*BJ279+0.14*(1-AV279)+0.12*BQ279+0.12*BO279))</f>
        <v/>
      </c>
      <c r="BL279">
        <f>MAX(0,MIN(1,0.22*AQ279+0.18*AS279+0.18*BC279+0.18*BD279+0.08*BE279+0.10*BF279+0.06*BO279))</f>
        <v/>
      </c>
      <c r="BM279">
        <f>MAX(0,MIN(1,0.20*(1-AZ279)+0.16*(1-BA279)+0.14*(1-AW279)+0.14*AU279+0.18*BG279+0.10*BH279+0.08*BP279))</f>
        <v/>
      </c>
      <c r="BN279">
        <f>MAX(0,MIN(1,0.42*BJ279+0.33*BK279+0.15*AT279+0.10*BQ279))</f>
        <v/>
      </c>
      <c r="BO279">
        <f>MAX(0,MIN(1,0.30*BC279+0.24*BD279+0.18*AS279+0.14*(1-BI279)+0.14*AT279))</f>
        <v/>
      </c>
      <c r="BP279">
        <f>MAX(0,MIN(1,0.26*AS279+0.20*(1-BA279)+0.16*(1-AW279)+0.18*BG279+0.10*AU279+0.10+BB279))</f>
        <v/>
      </c>
      <c r="BQ279">
        <f>MAX(0,MIN(1,0.24*AT279+0.18*BF279+0.14*AR279+0.14*BO279+0.14*(1-AV279)+0.16*(1-AZ279)))</f>
        <v/>
      </c>
      <c r="BR279">
        <f>IF(BO279&gt;=0.80,"Open",IF(BO279&gt;=0.62,"Measured",IF(BO279&gt;=0.45,"Selective","Guarded")))</f>
        <v/>
      </c>
      <c r="BS279">
        <f>IF(Y279="COMM_Direct","Direct",IF(Y279="COMM_Emotional","Emotional",IF(Y279="COMM_Logical","Logical",IF(Y279="COMM_Indirect","Indirect","Avoidant"))))</f>
        <v/>
      </c>
      <c r="BT279">
        <f>IF(BG279&gt;=0.78,"Co-repair",IF(BG279&gt;=0.58,"Re-engage",IF(BG279&gt;=0.40,"Delay","Suppress")))</f>
        <v/>
      </c>
      <c r="BU279">
        <f>IF(BI279&gt;=0.70,"Retreat-risk",IF(BH279&lt;=0.40,"Rush-risk",IF(BH279&gt;=0.65,"Slow-build","Mixed")))</f>
        <v/>
      </c>
      <c r="BV279">
        <f>IF(BL279-BM279&gt;=0.15,"Stimulation-seeking",IF(BM279-BL279&gt;=0.15,"Calm-seeking","Mixed")))</f>
        <v/>
      </c>
      <c r="BW279">
        <f>IF(AND(BL279&gt;=0.72,BM279&lt;0.48),"High",IF(AND(BL279&gt;=0.60,BM279&lt;0.58),"Medium","Low"))</f>
        <v/>
      </c>
    </row>
    <row r="280" ht="54.75" customHeight="1" s="10">
      <c r="A280" s="2" t="inlineStr">
        <is>
          <t>Q55_E</t>
        </is>
      </c>
      <c r="B280" s="2" t="n">
        <v>55</v>
      </c>
      <c r="C280" s="2" t="n">
        <v>104</v>
      </c>
      <c r="D280" s="2" t="inlineStr">
        <is>
          <t>Shadow</t>
        </is>
      </c>
      <c r="E280" s="2" t="n">
        <v>1.35</v>
      </c>
      <c r="F280" s="2" t="inlineStr">
        <is>
          <t>ShadowPattern</t>
        </is>
      </c>
      <c r="G280" s="2" t="inlineStr">
        <is>
          <t>IntegrityRisk</t>
        </is>
      </c>
      <c r="H280" s="2" t="n"/>
      <c r="I280" s="2" t="inlineStr">
        <is>
          <t>E</t>
        </is>
      </c>
      <c r="J280" s="2" t="inlineStr">
        <is>
          <t>E</t>
        </is>
      </c>
      <c r="K280" s="2" t="inlineStr">
        <is>
          <t>I tell myself not to open up again until they earn it.</t>
        </is>
      </c>
      <c r="L280" s="2" t="n">
        <v>7</v>
      </c>
      <c r="M280" s="2" t="n"/>
      <c r="N280" s="2" t="n">
        <v>2</v>
      </c>
      <c r="O280" s="2" t="n">
        <v>2</v>
      </c>
      <c r="P280" s="2" t="n">
        <v>2</v>
      </c>
      <c r="Q280" s="2" t="n"/>
      <c r="R280" s="2" t="n"/>
      <c r="S280" s="2" t="inlineStr">
        <is>
          <t>Scorekeeper</t>
        </is>
      </c>
      <c r="T280" s="2" t="n">
        <v>5</v>
      </c>
      <c r="U280" s="2" t="n">
        <v>8</v>
      </c>
      <c r="V280" s="2" t="inlineStr">
        <is>
          <t>masc:0.0;fem:0.0</t>
        </is>
      </c>
      <c r="W280" s="2" t="n">
        <v>0</v>
      </c>
      <c r="X280" s="2" t="n">
        <v>0</v>
      </c>
      <c r="Y280" s="2" t="n"/>
      <c r="Z280" s="2" t="n"/>
      <c r="AA280" s="2" t="n"/>
      <c r="AB280" s="2" t="n"/>
      <c r="AC280" s="2" t="n"/>
      <c r="AD280" s="2" t="n"/>
      <c r="AE280" s="2" t="n">
        <v>0</v>
      </c>
      <c r="AF280" s="2" t="n"/>
      <c r="AG280" s="2" t="n"/>
      <c r="AH280" s="2" t="n">
        <v>0</v>
      </c>
      <c r="AI280" s="2" t="n"/>
      <c r="AJ280" s="2" t="inlineStr">
        <is>
          <t>no</t>
        </is>
      </c>
      <c r="AK280" s="2" t="inlineStr">
        <is>
          <t>no</t>
        </is>
      </c>
      <c r="AL280" s="2" t="inlineStr">
        <is>
          <t>no</t>
        </is>
      </c>
      <c r="AM280" s="2" t="n"/>
      <c r="AN280" s="2" t="n"/>
      <c r="AO280" s="2" t="n"/>
      <c r="AP280" s="2" t="inlineStr">
        <is>
          <t>v3_2026-03-19</t>
        </is>
      </c>
      <c r="AQ280">
        <f>(L280-Schema_v5!$C2)/(Schema_v5!$C3-Schema_v5!$C2)</f>
        <v/>
      </c>
      <c r="AR280">
        <f>(M280-Schema_v5!$C4)/(Schema_v5!$C5-Schema_v5!$C4)</f>
        <v/>
      </c>
      <c r="AS280">
        <f>N280/Schema_v5!$C6</f>
        <v/>
      </c>
      <c r="AT280">
        <f>O280/Schema_v5!$C7</f>
        <v/>
      </c>
      <c r="AU280">
        <f>P280/Schema_v5!$C8</f>
        <v/>
      </c>
      <c r="AV280">
        <f>IF(Schema_v5!$C9=0,0,AH280/Schema_v5!$C9)</f>
        <v/>
      </c>
      <c r="AW280">
        <f>IF(Schema_v5!$C10=0,0,AE280/Schema_v5!$C10)</f>
        <v/>
      </c>
      <c r="AX280">
        <f>(W280-Schema_v5!$C11)/(Schema_v5!$C12-Schema_v5!$C11)</f>
        <v/>
      </c>
      <c r="AY280">
        <f>(X280-Schema_v5!$C13)/(Schema_v5!$C14-Schema_v5!$C13)</f>
        <v/>
      </c>
      <c r="AZ280">
        <f>MIN(1,MAX(0,U280/Schema_v7!$C$9))</f>
        <v/>
      </c>
      <c r="BA280">
        <f>IF(AJ280="yes",0.55,0)</f>
        <v/>
      </c>
      <c r="BB280">
        <f>IF(AI280="yes",0.10,0)</f>
        <v/>
      </c>
      <c r="BC280">
        <f>IF(Y280="COMM_Direct",0.92,IF(Y280="COMM_Emotional",0.70,IF(Y280="COMM_Logical",0.65,IF(Y280="COMM_Indirect",0.55,0.35))))</f>
        <v/>
      </c>
      <c r="BD280">
        <f>IF(Z280="REG_CoRegulator",0.92,IF(Z280="REG_SelfSoother",0.76,IF(Z280="REG_Distractor",0.48,0.35)))</f>
        <v/>
      </c>
      <c r="BE280">
        <f>IF(AA280="LANG_Time",0.76,IF(AA280="LANG_Service",0.70,IF(AA280="LANG_Words",0.72,IF(AA280="LANG_Touch",0.68,0.60))))</f>
        <v/>
      </c>
      <c r="BF280">
        <f>MAX(0,MIN(1,0.28*AS280+0.16*AT280+0.18*BC280+0.18*BD280+0.10*(1-AZ280)+0.10*(1-BA280)+BB280))</f>
        <v/>
      </c>
      <c r="BG280">
        <f>MAX(0,MIN(1,0.24*AU280+0.18*AS280+0.18*BC280+0.20*BD280+0.10*(1-AW280)+0.10*(1-BA280)))</f>
        <v/>
      </c>
      <c r="BH280">
        <f>MAX(0,MIN(1,0.28*AR280+0.18*AT280+0.16*AU280+0.18*(1-AV280)+0.10*(1-AW280)+0.10*BF280))</f>
        <v/>
      </c>
      <c r="BI280">
        <f>MAX(0,MIN(1,0.30*AV280+0.20*AZ280+0.20*AW280+0.15*(1-BH280)+0.15*(1-BO280)))</f>
        <v/>
      </c>
      <c r="BJ280">
        <f>MAX(0,1-(ABS(((( AX280+AY280)/2)-0.55)*1.6)))</f>
        <v/>
      </c>
      <c r="BK280">
        <f>MAX(0,MIN(1,0.28*AR280+0.18*AT280+0.16*BJ280+0.14*(1-AV280)+0.12*BQ280+0.12*BO280))</f>
        <v/>
      </c>
      <c r="BL280">
        <f>MAX(0,MIN(1,0.22*AQ280+0.18*AS280+0.18*BC280+0.18*BD280+0.08*BE280+0.10*BF280+0.06*BO280))</f>
        <v/>
      </c>
      <c r="BM280">
        <f>MAX(0,MIN(1,0.20*(1-AZ280)+0.16*(1-BA280)+0.14*(1-AW280)+0.14*AU280+0.18*BG280+0.10*BH280+0.08*BP280))</f>
        <v/>
      </c>
      <c r="BN280">
        <f>MAX(0,MIN(1,0.42*BJ280+0.33*BK280+0.15*AT280+0.10*BQ280))</f>
        <v/>
      </c>
      <c r="BO280">
        <f>MAX(0,MIN(1,0.30*BC280+0.24*BD280+0.18*AS280+0.14*(1-BI280)+0.14*AT280))</f>
        <v/>
      </c>
      <c r="BP280">
        <f>MAX(0,MIN(1,0.26*AS280+0.20*(1-BA280)+0.16*(1-AW280)+0.18*BG280+0.10*AU280+0.10+BB280))</f>
        <v/>
      </c>
      <c r="BQ280">
        <f>MAX(0,MIN(1,0.24*AT280+0.18*BF280+0.14*AR280+0.14*BO280+0.14*(1-AV280)+0.16*(1-AZ280)))</f>
        <v/>
      </c>
      <c r="BR280">
        <f>IF(BO280&gt;=0.80,"Open",IF(BO280&gt;=0.62,"Measured",IF(BO280&gt;=0.45,"Selective","Guarded")))</f>
        <v/>
      </c>
      <c r="BS280">
        <f>IF(Y280="COMM_Direct","Direct",IF(Y280="COMM_Emotional","Emotional",IF(Y280="COMM_Logical","Logical",IF(Y280="COMM_Indirect","Indirect","Avoidant"))))</f>
        <v/>
      </c>
      <c r="BT280">
        <f>IF(BG280&gt;=0.78,"Co-repair",IF(BG280&gt;=0.58,"Re-engage",IF(BG280&gt;=0.40,"Delay","Suppress")))</f>
        <v/>
      </c>
      <c r="BU280">
        <f>IF(BI280&gt;=0.70,"Retreat-risk",IF(BH280&lt;=0.40,"Rush-risk",IF(BH280&gt;=0.65,"Slow-build","Mixed")))</f>
        <v/>
      </c>
      <c r="BV280">
        <f>IF(BL280-BM280&gt;=0.15,"Stimulation-seeking",IF(BM280-BL280&gt;=0.15,"Calm-seeking","Mixed")))</f>
        <v/>
      </c>
      <c r="BW280">
        <f>IF(AND(BL280&gt;=0.72,BM280&lt;0.48),"High",IF(AND(BL280&gt;=0.60,BM280&lt;0.58),"Medium","Low"))</f>
        <v/>
      </c>
    </row>
    <row r="281" ht="68.25" customHeight="1" s="10">
      <c r="A281" s="2" t="inlineStr">
        <is>
          <t>Q55_F</t>
        </is>
      </c>
      <c r="B281" s="2" t="n">
        <v>55</v>
      </c>
      <c r="C281" s="2" t="n">
        <v>104</v>
      </c>
      <c r="D281" s="2" t="inlineStr">
        <is>
          <t>Shadow</t>
        </is>
      </c>
      <c r="E281" s="2" t="n">
        <v>1.35</v>
      </c>
      <c r="F281" s="2" t="inlineStr">
        <is>
          <t>ShadowPattern</t>
        </is>
      </c>
      <c r="G281" s="2" t="inlineStr">
        <is>
          <t>IntegrityRisk</t>
        </is>
      </c>
      <c r="H281" s="2" t="n"/>
      <c r="I281" s="2" t="inlineStr">
        <is>
          <t>F</t>
        </is>
      </c>
      <c r="J281" s="2" t="inlineStr">
        <is>
          <t>F</t>
        </is>
      </c>
      <c r="K281" s="2" t="inlineStr">
        <is>
          <t>I feel embarrassed for trying and want to disappear.</t>
        </is>
      </c>
      <c r="L281" s="2" t="n">
        <v>8</v>
      </c>
      <c r="M281" s="2" t="n"/>
      <c r="N281" s="2" t="n">
        <v>2</v>
      </c>
      <c r="O281" s="2" t="n">
        <v>2</v>
      </c>
      <c r="P281" s="2" t="n">
        <v>2</v>
      </c>
      <c r="Q281" s="2" t="n"/>
      <c r="R281" s="2" t="n"/>
      <c r="S281" s="2" t="inlineStr">
        <is>
          <t>Self-Saboteur</t>
        </is>
      </c>
      <c r="T281" s="2" t="n">
        <v>6</v>
      </c>
      <c r="U281" s="2" t="n">
        <v>8</v>
      </c>
      <c r="V281" s="2" t="inlineStr">
        <is>
          <t>masc:0.0;fem:0.0</t>
        </is>
      </c>
      <c r="W281" s="2" t="n">
        <v>0</v>
      </c>
      <c r="X281" s="2" t="n">
        <v>0</v>
      </c>
      <c r="Y281" s="2" t="n"/>
      <c r="Z281" s="2" t="n"/>
      <c r="AA281" s="2" t="n"/>
      <c r="AB281" s="2" t="n"/>
      <c r="AC281" s="2" t="n"/>
      <c r="AD281" s="2" t="n"/>
      <c r="AE281" s="2" t="n">
        <v>0</v>
      </c>
      <c r="AF281" s="2" t="n"/>
      <c r="AG281" s="2" t="n"/>
      <c r="AH281" s="2" t="n">
        <v>0</v>
      </c>
      <c r="AI281" s="2" t="n"/>
      <c r="AJ281" s="2" t="inlineStr">
        <is>
          <t>no</t>
        </is>
      </c>
      <c r="AK281" s="2" t="inlineStr">
        <is>
          <t>no</t>
        </is>
      </c>
      <c r="AL281" s="2" t="inlineStr">
        <is>
          <t>no</t>
        </is>
      </c>
      <c r="AM281" s="2" t="n"/>
      <c r="AN281" s="2" t="n"/>
      <c r="AO281" s="2" t="n"/>
      <c r="AP281" s="2" t="inlineStr">
        <is>
          <t>v3_2026-03-19</t>
        </is>
      </c>
      <c r="AQ281">
        <f>(L281-Schema_v5!$C2)/(Schema_v5!$C3-Schema_v5!$C2)</f>
        <v/>
      </c>
      <c r="AR281">
        <f>(M281-Schema_v5!$C4)/(Schema_v5!$C5-Schema_v5!$C4)</f>
        <v/>
      </c>
      <c r="AS281">
        <f>N281/Schema_v5!$C6</f>
        <v/>
      </c>
      <c r="AT281">
        <f>O281/Schema_v5!$C7</f>
        <v/>
      </c>
      <c r="AU281">
        <f>P281/Schema_v5!$C8</f>
        <v/>
      </c>
      <c r="AV281">
        <f>IF(Schema_v5!$C9=0,0,AH281/Schema_v5!$C9)</f>
        <v/>
      </c>
      <c r="AW281">
        <f>IF(Schema_v5!$C10=0,0,AE281/Schema_v5!$C10)</f>
        <v/>
      </c>
      <c r="AX281">
        <f>(W281-Schema_v5!$C11)/(Schema_v5!$C12-Schema_v5!$C11)</f>
        <v/>
      </c>
      <c r="AY281">
        <f>(X281-Schema_v5!$C13)/(Schema_v5!$C14-Schema_v5!$C13)</f>
        <v/>
      </c>
      <c r="AZ281">
        <f>MIN(1,MAX(0,U281/Schema_v7!$C$9))</f>
        <v/>
      </c>
      <c r="BA281">
        <f>IF(AJ281="yes",0.55,0)</f>
        <v/>
      </c>
      <c r="BB281">
        <f>IF(AI281="yes",0.10,0)</f>
        <v/>
      </c>
      <c r="BC281">
        <f>IF(Y281="COMM_Direct",0.92,IF(Y281="COMM_Emotional",0.70,IF(Y281="COMM_Logical",0.65,IF(Y281="COMM_Indirect",0.55,0.35))))</f>
        <v/>
      </c>
      <c r="BD281">
        <f>IF(Z281="REG_CoRegulator",0.92,IF(Z281="REG_SelfSoother",0.76,IF(Z281="REG_Distractor",0.48,0.35)))</f>
        <v/>
      </c>
      <c r="BE281">
        <f>IF(AA281="LANG_Time",0.76,IF(AA281="LANG_Service",0.70,IF(AA281="LANG_Words",0.72,IF(AA281="LANG_Touch",0.68,0.60))))</f>
        <v/>
      </c>
      <c r="BF281">
        <f>MAX(0,MIN(1,0.28*AS281+0.16*AT281+0.18*BC281+0.18*BD281+0.10*(1-AZ281)+0.10*(1-BA281)+BB281))</f>
        <v/>
      </c>
      <c r="BG281">
        <f>MAX(0,MIN(1,0.24*AU281+0.18*AS281+0.18*BC281+0.20*BD281+0.10*(1-AW281)+0.10*(1-BA281)))</f>
        <v/>
      </c>
      <c r="BH281">
        <f>MAX(0,MIN(1,0.28*AR281+0.18*AT281+0.16*AU281+0.18*(1-AV281)+0.10*(1-AW281)+0.10*BF281))</f>
        <v/>
      </c>
      <c r="BI281">
        <f>MAX(0,MIN(1,0.30*AV281+0.20*AZ281+0.20*AW281+0.15*(1-BH281)+0.15*(1-BO281)))</f>
        <v/>
      </c>
      <c r="BJ281">
        <f>MAX(0,1-(ABS(((( AX281+AY281)/2)-0.55)*1.6)))</f>
        <v/>
      </c>
      <c r="BK281">
        <f>MAX(0,MIN(1,0.28*AR281+0.18*AT281+0.16*BJ281+0.14*(1-AV281)+0.12*BQ281+0.12*BO281))</f>
        <v/>
      </c>
      <c r="BL281">
        <f>MAX(0,MIN(1,0.22*AQ281+0.18*AS281+0.18*BC281+0.18*BD281+0.08*BE281+0.10*BF281+0.06*BO281))</f>
        <v/>
      </c>
      <c r="BM281">
        <f>MAX(0,MIN(1,0.20*(1-AZ281)+0.16*(1-BA281)+0.14*(1-AW281)+0.14*AU281+0.18*BG281+0.10*BH281+0.08*BP281))</f>
        <v/>
      </c>
      <c r="BN281">
        <f>MAX(0,MIN(1,0.42*BJ281+0.33*BK281+0.15*AT281+0.10*BQ281))</f>
        <v/>
      </c>
      <c r="BO281">
        <f>MAX(0,MIN(1,0.30*BC281+0.24*BD281+0.18*AS281+0.14*(1-BI281)+0.14*AT281))</f>
        <v/>
      </c>
      <c r="BP281">
        <f>MAX(0,MIN(1,0.26*AS281+0.20*(1-BA281)+0.16*(1-AW281)+0.18*BG281+0.10*AU281+0.10+BB281))</f>
        <v/>
      </c>
      <c r="BQ281">
        <f>MAX(0,MIN(1,0.24*AT281+0.18*BF281+0.14*AR281+0.14*BO281+0.14*(1-AV281)+0.16*(1-AZ281)))</f>
        <v/>
      </c>
      <c r="BR281">
        <f>IF(BO281&gt;=0.80,"Open",IF(BO281&gt;=0.62,"Measured",IF(BO281&gt;=0.45,"Selective","Guarded")))</f>
        <v/>
      </c>
      <c r="BS281">
        <f>IF(Y281="COMM_Direct","Direct",IF(Y281="COMM_Emotional","Emotional",IF(Y281="COMM_Logical","Logical",IF(Y281="COMM_Indirect","Indirect","Avoidant"))))</f>
        <v/>
      </c>
      <c r="BT281">
        <f>IF(BG281&gt;=0.78,"Co-repair",IF(BG281&gt;=0.58,"Re-engage",IF(BG281&gt;=0.40,"Delay","Suppress")))</f>
        <v/>
      </c>
      <c r="BU281">
        <f>IF(BI281&gt;=0.70,"Retreat-risk",IF(BH281&lt;=0.40,"Rush-risk",IF(BH281&gt;=0.65,"Slow-build","Mixed")))</f>
        <v/>
      </c>
      <c r="BV281">
        <f>IF(BL281-BM281&gt;=0.15,"Stimulation-seeking",IF(BM281-BL281&gt;=0.15,"Calm-seeking","Mixed")))</f>
        <v/>
      </c>
      <c r="BW281">
        <f>IF(AND(BL281&gt;=0.72,BM281&lt;0.48),"High",IF(AND(BL281&gt;=0.60,BM281&lt;0.58),"Medium","Low"))</f>
        <v/>
      </c>
    </row>
    <row r="282" ht="68.25" customHeight="1" s="10">
      <c r="A282" s="2" t="inlineStr">
        <is>
          <t>Q56_A</t>
        </is>
      </c>
      <c r="B282" s="2" t="n">
        <v>56</v>
      </c>
      <c r="C282" s="2" t="n">
        <v>105</v>
      </c>
      <c r="D282" s="2" t="inlineStr">
        <is>
          <t>Shadow</t>
        </is>
      </c>
      <c r="E282" s="2" t="n">
        <v>1.35</v>
      </c>
      <c r="F282" s="2" t="inlineStr">
        <is>
          <t>ShadowPattern</t>
        </is>
      </c>
      <c r="G282" s="2" t="inlineStr">
        <is>
          <t>IntegrityRisk</t>
        </is>
      </c>
      <c r="H282" s="2" t="inlineStr">
        <is>
          <t>They forget something important to you. What happens next?</t>
        </is>
      </c>
      <c r="I282" s="2" t="inlineStr">
        <is>
          <t>A</t>
        </is>
      </c>
      <c r="J282" s="2" t="inlineStr">
        <is>
          <t>A</t>
        </is>
      </c>
      <c r="K282" s="2" t="inlineStr">
        <is>
          <t>I bring it up in a way that sounds playful but stings a little.</t>
        </is>
      </c>
      <c r="L282" s="2" t="n">
        <v>4</v>
      </c>
      <c r="M282" s="2" t="n"/>
      <c r="N282" s="2" t="n">
        <v>4</v>
      </c>
      <c r="O282" s="2" t="n">
        <v>4</v>
      </c>
      <c r="P282" s="2" t="n">
        <v>4</v>
      </c>
      <c r="Q282" s="2" t="n"/>
      <c r="R282" s="2" t="n"/>
      <c r="S282" s="2" t="inlineStr">
        <is>
          <t>Manipulator</t>
        </is>
      </c>
      <c r="T282" s="2" t="n">
        <v>1</v>
      </c>
      <c r="U282" s="2" t="n">
        <v>6</v>
      </c>
      <c r="V282" s="2" t="inlineStr">
        <is>
          <t>masc:0.0;fem:0.0</t>
        </is>
      </c>
      <c r="W282" s="2" t="n">
        <v>0</v>
      </c>
      <c r="X282" s="2" t="n">
        <v>0</v>
      </c>
      <c r="Y282" s="2" t="n"/>
      <c r="Z282" s="2" t="n"/>
      <c r="AA282" s="2" t="n"/>
      <c r="AB282" s="2" t="n"/>
      <c r="AC282" s="2" t="n"/>
      <c r="AD282" s="2" t="n"/>
      <c r="AE282" s="2" t="n">
        <v>0</v>
      </c>
      <c r="AF282" s="2" t="n"/>
      <c r="AG282" s="2" t="n"/>
      <c r="AH282" s="2" t="n">
        <v>0</v>
      </c>
      <c r="AI282" s="2" t="n"/>
      <c r="AJ282" s="2" t="inlineStr">
        <is>
          <t>yes</t>
        </is>
      </c>
      <c r="AK282" s="2" t="inlineStr">
        <is>
          <t>no</t>
        </is>
      </c>
      <c r="AL282" s="2" t="inlineStr">
        <is>
          <t>no</t>
        </is>
      </c>
      <c r="AM282" s="2" t="n"/>
      <c r="AN282" s="2" t="n"/>
      <c r="AO282" s="2" t="n"/>
      <c r="AP282" s="2" t="inlineStr">
        <is>
          <t>v3_2026-03-19</t>
        </is>
      </c>
      <c r="AQ282">
        <f>(L282-Schema_v5!$C2)/(Schema_v5!$C3-Schema_v5!$C2)</f>
        <v/>
      </c>
      <c r="AR282">
        <f>(M282-Schema_v5!$C4)/(Schema_v5!$C5-Schema_v5!$C4)</f>
        <v/>
      </c>
      <c r="AS282">
        <f>N282/Schema_v5!$C6</f>
        <v/>
      </c>
      <c r="AT282">
        <f>O282/Schema_v5!$C7</f>
        <v/>
      </c>
      <c r="AU282">
        <f>P282/Schema_v5!$C8</f>
        <v/>
      </c>
      <c r="AV282">
        <f>IF(Schema_v5!$C9=0,0,AH282/Schema_v5!$C9)</f>
        <v/>
      </c>
      <c r="AW282">
        <f>IF(Schema_v5!$C10=0,0,AE282/Schema_v5!$C10)</f>
        <v/>
      </c>
      <c r="AX282">
        <f>(W282-Schema_v5!$C11)/(Schema_v5!$C12-Schema_v5!$C11)</f>
        <v/>
      </c>
      <c r="AY282">
        <f>(X282-Schema_v5!$C13)/(Schema_v5!$C14-Schema_v5!$C13)</f>
        <v/>
      </c>
      <c r="AZ282">
        <f>MIN(1,MAX(0,U282/Schema_v7!$C$9))</f>
        <v/>
      </c>
      <c r="BA282">
        <f>IF(AJ282="yes",0.55,0)</f>
        <v/>
      </c>
      <c r="BB282">
        <f>IF(AI282="yes",0.10,0)</f>
        <v/>
      </c>
      <c r="BC282">
        <f>IF(Y282="COMM_Direct",0.92,IF(Y282="COMM_Emotional",0.70,IF(Y282="COMM_Logical",0.65,IF(Y282="COMM_Indirect",0.55,0.35))))</f>
        <v/>
      </c>
      <c r="BD282">
        <f>IF(Z282="REG_CoRegulator",0.92,IF(Z282="REG_SelfSoother",0.76,IF(Z282="REG_Distractor",0.48,0.35)))</f>
        <v/>
      </c>
      <c r="BE282">
        <f>IF(AA282="LANG_Time",0.76,IF(AA282="LANG_Service",0.70,IF(AA282="LANG_Words",0.72,IF(AA282="LANG_Touch",0.68,0.60))))</f>
        <v/>
      </c>
      <c r="BF282">
        <f>MAX(0,MIN(1,0.28*AS282+0.16*AT282+0.18*BC282+0.18*BD282+0.10*(1-AZ282)+0.10*(1-BA282)+BB282))</f>
        <v/>
      </c>
      <c r="BG282">
        <f>MAX(0,MIN(1,0.24*AU282+0.18*AS282+0.18*BC282+0.20*BD282+0.10*(1-AW282)+0.10*(1-BA282)))</f>
        <v/>
      </c>
      <c r="BH282">
        <f>MAX(0,MIN(1,0.28*AR282+0.18*AT282+0.16*AU282+0.18*(1-AV282)+0.10*(1-AW282)+0.10*BF282))</f>
        <v/>
      </c>
      <c r="BI282">
        <f>MAX(0,MIN(1,0.30*AV282+0.20*AZ282+0.20*AW282+0.15*(1-BH282)+0.15*(1-BO282)))</f>
        <v/>
      </c>
      <c r="BJ282">
        <f>MAX(0,1-(ABS(((( AX282+AY282)/2)-0.55)*1.6)))</f>
        <v/>
      </c>
      <c r="BK282">
        <f>MAX(0,MIN(1,0.28*AR282+0.18*AT282+0.16*BJ282+0.14*(1-AV282)+0.12*BQ282+0.12*BO282))</f>
        <v/>
      </c>
      <c r="BL282">
        <f>MAX(0,MIN(1,0.22*AQ282+0.18*AS282+0.18*BC282+0.18*BD282+0.08*BE282+0.10*BF282+0.06*BO282))</f>
        <v/>
      </c>
      <c r="BM282">
        <f>MAX(0,MIN(1,0.20*(1-AZ282)+0.16*(1-BA282)+0.14*(1-AW282)+0.14*AU282+0.18*BG282+0.10*BH282+0.08*BP282))</f>
        <v/>
      </c>
      <c r="BN282">
        <f>MAX(0,MIN(1,0.42*BJ282+0.33*BK282+0.15*AT282+0.10*BQ282))</f>
        <v/>
      </c>
      <c r="BO282">
        <f>MAX(0,MIN(1,0.30*BC282+0.24*BD282+0.18*AS282+0.14*(1-BI282)+0.14*AT282))</f>
        <v/>
      </c>
      <c r="BP282">
        <f>MAX(0,MIN(1,0.26*AS282+0.20*(1-BA282)+0.16*(1-AW282)+0.18*BG282+0.10*AU282+0.10+BB282))</f>
        <v/>
      </c>
      <c r="BQ282">
        <f>MAX(0,MIN(1,0.24*AT282+0.18*BF282+0.14*AR282+0.14*BO282+0.14*(1-AV282)+0.16*(1-AZ282)))</f>
        <v/>
      </c>
      <c r="BR282">
        <f>IF(BO282&gt;=0.80,"Open",IF(BO282&gt;=0.62,"Measured",IF(BO282&gt;=0.45,"Selective","Guarded")))</f>
        <v/>
      </c>
      <c r="BS282">
        <f>IF(Y282="COMM_Direct","Direct",IF(Y282="COMM_Emotional","Emotional",IF(Y282="COMM_Logical","Logical",IF(Y282="COMM_Indirect","Indirect","Avoidant"))))</f>
        <v/>
      </c>
      <c r="BT282">
        <f>IF(BG282&gt;=0.78,"Co-repair",IF(BG282&gt;=0.58,"Re-engage",IF(BG282&gt;=0.40,"Delay","Suppress")))</f>
        <v/>
      </c>
      <c r="BU282">
        <f>IF(BI282&gt;=0.70,"Retreat-risk",IF(BH282&lt;=0.40,"Rush-risk",IF(BH282&gt;=0.65,"Slow-build","Mixed")))</f>
        <v/>
      </c>
      <c r="BV282">
        <f>IF(BL282-BM282&gt;=0.15,"Stimulation-seeking",IF(BM282-BL282&gt;=0.15,"Calm-seeking","Mixed")))</f>
        <v/>
      </c>
      <c r="BW282">
        <f>IF(AND(BL282&gt;=0.72,BM282&lt;0.48),"High",IF(AND(BL282&gt;=0.60,BM282&lt;0.58),"Medium","Low"))</f>
        <v/>
      </c>
    </row>
    <row r="283" ht="68.25" customHeight="1" s="10">
      <c r="A283" s="2" t="inlineStr">
        <is>
          <t>Q56_B</t>
        </is>
      </c>
      <c r="B283" s="2" t="n">
        <v>56</v>
      </c>
      <c r="C283" s="2" t="n">
        <v>105</v>
      </c>
      <c r="D283" s="2" t="inlineStr">
        <is>
          <t>Shadow</t>
        </is>
      </c>
      <c r="E283" s="2" t="n">
        <v>1.35</v>
      </c>
      <c r="F283" s="2" t="inlineStr">
        <is>
          <t>ShadowPattern</t>
        </is>
      </c>
      <c r="G283" s="2" t="inlineStr">
        <is>
          <t>IntegrityRisk</t>
        </is>
      </c>
      <c r="H283" s="2" t="n"/>
      <c r="I283" s="2" t="inlineStr">
        <is>
          <t>B</t>
        </is>
      </c>
      <c r="J283" s="2" t="inlineStr">
        <is>
          <t>B</t>
        </is>
      </c>
      <c r="K283" s="2" t="inlineStr">
        <is>
          <t>I say it's fine, but I withdraw hard after that.</t>
        </is>
      </c>
      <c r="L283" s="2" t="n">
        <v>3</v>
      </c>
      <c r="M283" s="2" t="n"/>
      <c r="N283" s="2" t="n">
        <v>6</v>
      </c>
      <c r="O283" s="2" t="n">
        <v>6</v>
      </c>
      <c r="P283" s="2" t="n">
        <v>6</v>
      </c>
      <c r="Q283" s="2" t="n"/>
      <c r="R283" s="2" t="n"/>
      <c r="S283" s="2" t="inlineStr">
        <is>
          <t>Stonewaller</t>
        </is>
      </c>
      <c r="T283" s="2" t="n">
        <v>2</v>
      </c>
      <c r="U283" s="2" t="n">
        <v>4</v>
      </c>
      <c r="V283" s="2" t="inlineStr">
        <is>
          <t>masc:0.0;fem:0.0</t>
        </is>
      </c>
      <c r="W283" s="2" t="n">
        <v>0</v>
      </c>
      <c r="X283" s="2" t="n">
        <v>0</v>
      </c>
      <c r="Y283" s="2" t="n"/>
      <c r="Z283" s="2" t="n"/>
      <c r="AA283" s="2" t="n"/>
      <c r="AB283" s="2" t="n"/>
      <c r="AC283" s="2" t="n"/>
      <c r="AD283" s="2" t="n"/>
      <c r="AE283" s="2" t="n">
        <v>0</v>
      </c>
      <c r="AF283" s="2" t="n"/>
      <c r="AG283" s="2" t="n"/>
      <c r="AH283" s="2" t="n">
        <v>0.6</v>
      </c>
      <c r="AI283" s="2" t="n"/>
      <c r="AJ283" s="2" t="inlineStr">
        <is>
          <t>yes</t>
        </is>
      </c>
      <c r="AK283" s="2" t="inlineStr">
        <is>
          <t>no</t>
        </is>
      </c>
      <c r="AL283" s="2" t="inlineStr">
        <is>
          <t>no</t>
        </is>
      </c>
      <c r="AM283" s="2" t="n"/>
      <c r="AN283" s="2" t="n"/>
      <c r="AO283" s="2" t="n"/>
      <c r="AP283" s="2" t="inlineStr">
        <is>
          <t>v3_2026-03-19</t>
        </is>
      </c>
      <c r="AQ283">
        <f>(L283-Schema_v5!$C2)/(Schema_v5!$C3-Schema_v5!$C2)</f>
        <v/>
      </c>
      <c r="AR283">
        <f>(M283-Schema_v5!$C4)/(Schema_v5!$C5-Schema_v5!$C4)</f>
        <v/>
      </c>
      <c r="AS283">
        <f>N283/Schema_v5!$C6</f>
        <v/>
      </c>
      <c r="AT283">
        <f>O283/Schema_v5!$C7</f>
        <v/>
      </c>
      <c r="AU283">
        <f>P283/Schema_v5!$C8</f>
        <v/>
      </c>
      <c r="AV283">
        <f>IF(Schema_v5!$C9=0,0,AH283/Schema_v5!$C9)</f>
        <v/>
      </c>
      <c r="AW283">
        <f>IF(Schema_v5!$C10=0,0,AE283/Schema_v5!$C10)</f>
        <v/>
      </c>
      <c r="AX283">
        <f>(W283-Schema_v5!$C11)/(Schema_v5!$C12-Schema_v5!$C11)</f>
        <v/>
      </c>
      <c r="AY283">
        <f>(X283-Schema_v5!$C13)/(Schema_v5!$C14-Schema_v5!$C13)</f>
        <v/>
      </c>
      <c r="AZ283">
        <f>MIN(1,MAX(0,U283/Schema_v7!$C$9))</f>
        <v/>
      </c>
      <c r="BA283">
        <f>IF(AJ283="yes",0.55,0)</f>
        <v/>
      </c>
      <c r="BB283">
        <f>IF(AI283="yes",0.10,0)</f>
        <v/>
      </c>
      <c r="BC283">
        <f>IF(Y283="COMM_Direct",0.92,IF(Y283="COMM_Emotional",0.70,IF(Y283="COMM_Logical",0.65,IF(Y283="COMM_Indirect",0.55,0.35))))</f>
        <v/>
      </c>
      <c r="BD283">
        <f>IF(Z283="REG_CoRegulator",0.92,IF(Z283="REG_SelfSoother",0.76,IF(Z283="REG_Distractor",0.48,0.35)))</f>
        <v/>
      </c>
      <c r="BE283">
        <f>IF(AA283="LANG_Time",0.76,IF(AA283="LANG_Service",0.70,IF(AA283="LANG_Words",0.72,IF(AA283="LANG_Touch",0.68,0.60))))</f>
        <v/>
      </c>
      <c r="BF283">
        <f>MAX(0,MIN(1,0.28*AS283+0.16*AT283+0.18*BC283+0.18*BD283+0.10*(1-AZ283)+0.10*(1-BA283)+BB283))</f>
        <v/>
      </c>
      <c r="BG283">
        <f>MAX(0,MIN(1,0.24*AU283+0.18*AS283+0.18*BC283+0.20*BD283+0.10*(1-AW283)+0.10*(1-BA283)))</f>
        <v/>
      </c>
      <c r="BH283">
        <f>MAX(0,MIN(1,0.28*AR283+0.18*AT283+0.16*AU283+0.18*(1-AV283)+0.10*(1-AW283)+0.10*BF283))</f>
        <v/>
      </c>
      <c r="BI283">
        <f>MAX(0,MIN(1,0.30*AV283+0.20*AZ283+0.20*AW283+0.15*(1-BH283)+0.15*(1-BO283)))</f>
        <v/>
      </c>
      <c r="BJ283">
        <f>MAX(0,1-(ABS(((( AX283+AY283)/2)-0.55)*1.6)))</f>
        <v/>
      </c>
      <c r="BK283">
        <f>MAX(0,MIN(1,0.28*AR283+0.18*AT283+0.16*BJ283+0.14*(1-AV283)+0.12*BQ283+0.12*BO283))</f>
        <v/>
      </c>
      <c r="BL283">
        <f>MAX(0,MIN(1,0.22*AQ283+0.18*AS283+0.18*BC283+0.18*BD283+0.08*BE283+0.10*BF283+0.06*BO283))</f>
        <v/>
      </c>
      <c r="BM283">
        <f>MAX(0,MIN(1,0.20*(1-AZ283)+0.16*(1-BA283)+0.14*(1-AW283)+0.14*AU283+0.18*BG283+0.10*BH283+0.08*BP283))</f>
        <v/>
      </c>
      <c r="BN283">
        <f>MAX(0,MIN(1,0.42*BJ283+0.33*BK283+0.15*AT283+0.10*BQ283))</f>
        <v/>
      </c>
      <c r="BO283">
        <f>MAX(0,MIN(1,0.30*BC283+0.24*BD283+0.18*AS283+0.14*(1-BI283)+0.14*AT283))</f>
        <v/>
      </c>
      <c r="BP283">
        <f>MAX(0,MIN(1,0.26*AS283+0.20*(1-BA283)+0.16*(1-AW283)+0.18*BG283+0.10*AU283+0.10+BB283))</f>
        <v/>
      </c>
      <c r="BQ283">
        <f>MAX(0,MIN(1,0.24*AT283+0.18*BF283+0.14*AR283+0.14*BO283+0.14*(1-AV283)+0.16*(1-AZ283)))</f>
        <v/>
      </c>
      <c r="BR283">
        <f>IF(BO283&gt;=0.80,"Open",IF(BO283&gt;=0.62,"Measured",IF(BO283&gt;=0.45,"Selective","Guarded")))</f>
        <v/>
      </c>
      <c r="BS283">
        <f>IF(Y283="COMM_Direct","Direct",IF(Y283="COMM_Emotional","Emotional",IF(Y283="COMM_Logical","Logical",IF(Y283="COMM_Indirect","Indirect","Avoidant"))))</f>
        <v/>
      </c>
      <c r="BT283">
        <f>IF(BG283&gt;=0.78,"Co-repair",IF(BG283&gt;=0.58,"Re-engage",IF(BG283&gt;=0.40,"Delay","Suppress")))</f>
        <v/>
      </c>
      <c r="BU283">
        <f>IF(BI283&gt;=0.70,"Retreat-risk",IF(BH283&lt;=0.40,"Rush-risk",IF(BH283&gt;=0.65,"Slow-build","Mixed")))</f>
        <v/>
      </c>
      <c r="BV283">
        <f>IF(BL283-BM283&gt;=0.15,"Stimulation-seeking",IF(BM283-BL283&gt;=0.15,"Calm-seeking","Mixed")))</f>
        <v/>
      </c>
      <c r="BW283">
        <f>IF(AND(BL283&gt;=0.72,BM283&lt;0.48),"High",IF(AND(BL283&gt;=0.60,BM283&lt;0.58),"Medium","Low"))</f>
        <v/>
      </c>
    </row>
    <row r="284" ht="81" customHeight="1" s="10">
      <c r="A284" s="2" t="inlineStr">
        <is>
          <t>Q56_C</t>
        </is>
      </c>
      <c r="B284" s="2" t="n">
        <v>56</v>
      </c>
      <c r="C284" s="2" t="n">
        <v>105</v>
      </c>
      <c r="D284" s="2" t="inlineStr">
        <is>
          <t>Shadow</t>
        </is>
      </c>
      <c r="E284" s="2" t="n">
        <v>1.35</v>
      </c>
      <c r="F284" s="2" t="inlineStr">
        <is>
          <t>ShadowPattern</t>
        </is>
      </c>
      <c r="G284" s="2" t="inlineStr">
        <is>
          <t>IntegrityRisk</t>
        </is>
      </c>
      <c r="H284" s="2" t="n"/>
      <c r="I284" s="2" t="inlineStr">
        <is>
          <t>C</t>
        </is>
      </c>
      <c r="J284" s="2" t="inlineStr">
        <is>
          <t>C</t>
        </is>
      </c>
      <c r="K284" s="2" t="inlineStr">
        <is>
          <t>I act like I forgot something of theirs too, balance it out.</t>
        </is>
      </c>
      <c r="L284" s="2" t="n">
        <v>5</v>
      </c>
      <c r="M284" s="2" t="n"/>
      <c r="N284" s="2" t="n">
        <v>4</v>
      </c>
      <c r="O284" s="2" t="n">
        <v>4</v>
      </c>
      <c r="P284" s="2" t="n">
        <v>4</v>
      </c>
      <c r="Q284" s="2" t="n"/>
      <c r="R284" s="2" t="n"/>
      <c r="S284" s="2" t="inlineStr">
        <is>
          <t>Love Bomber</t>
        </is>
      </c>
      <c r="T284" s="2" t="n">
        <v>3</v>
      </c>
      <c r="U284" s="2" t="n">
        <v>6</v>
      </c>
      <c r="V284" s="2" t="inlineStr">
        <is>
          <t>masc:0.0;fem:0.0</t>
        </is>
      </c>
      <c r="W284" s="2" t="n">
        <v>0</v>
      </c>
      <c r="X284" s="2" t="n">
        <v>0</v>
      </c>
      <c r="Y284" s="2" t="n"/>
      <c r="Z284" s="2" t="n"/>
      <c r="AA284" s="2" t="n"/>
      <c r="AB284" s="2" t="n"/>
      <c r="AC284" s="2" t="n"/>
      <c r="AD284" s="2" t="n"/>
      <c r="AE284" s="2" t="n">
        <v>0</v>
      </c>
      <c r="AF284" s="2" t="n"/>
      <c r="AG284" s="2" t="n"/>
      <c r="AH284" s="2" t="n">
        <v>0</v>
      </c>
      <c r="AI284" s="2" t="n"/>
      <c r="AJ284" s="2" t="inlineStr">
        <is>
          <t>no</t>
        </is>
      </c>
      <c r="AK284" s="2" t="inlineStr">
        <is>
          <t>no</t>
        </is>
      </c>
      <c r="AL284" s="2" t="inlineStr">
        <is>
          <t>no</t>
        </is>
      </c>
      <c r="AM284" s="2" t="n"/>
      <c r="AN284" s="2" t="n"/>
      <c r="AO284" s="2" t="n"/>
      <c r="AP284" s="2" t="inlineStr">
        <is>
          <t>v3_2026-03-19</t>
        </is>
      </c>
      <c r="AQ284">
        <f>(L284-Schema_v5!$C2)/(Schema_v5!$C3-Schema_v5!$C2)</f>
        <v/>
      </c>
      <c r="AR284">
        <f>(M284-Schema_v5!$C4)/(Schema_v5!$C5-Schema_v5!$C4)</f>
        <v/>
      </c>
      <c r="AS284">
        <f>N284/Schema_v5!$C6</f>
        <v/>
      </c>
      <c r="AT284">
        <f>O284/Schema_v5!$C7</f>
        <v/>
      </c>
      <c r="AU284">
        <f>P284/Schema_v5!$C8</f>
        <v/>
      </c>
      <c r="AV284">
        <f>IF(Schema_v5!$C9=0,0,AH284/Schema_v5!$C9)</f>
        <v/>
      </c>
      <c r="AW284">
        <f>IF(Schema_v5!$C10=0,0,AE284/Schema_v5!$C10)</f>
        <v/>
      </c>
      <c r="AX284">
        <f>(W284-Schema_v5!$C11)/(Schema_v5!$C12-Schema_v5!$C11)</f>
        <v/>
      </c>
      <c r="AY284">
        <f>(X284-Schema_v5!$C13)/(Schema_v5!$C14-Schema_v5!$C13)</f>
        <v/>
      </c>
      <c r="AZ284">
        <f>MIN(1,MAX(0,U284/Schema_v7!$C$9))</f>
        <v/>
      </c>
      <c r="BA284">
        <f>IF(AJ284="yes",0.55,0)</f>
        <v/>
      </c>
      <c r="BB284">
        <f>IF(AI284="yes",0.10,0)</f>
        <v/>
      </c>
      <c r="BC284">
        <f>IF(Y284="COMM_Direct",0.92,IF(Y284="COMM_Emotional",0.70,IF(Y284="COMM_Logical",0.65,IF(Y284="COMM_Indirect",0.55,0.35))))</f>
        <v/>
      </c>
      <c r="BD284">
        <f>IF(Z284="REG_CoRegulator",0.92,IF(Z284="REG_SelfSoother",0.76,IF(Z284="REG_Distractor",0.48,0.35)))</f>
        <v/>
      </c>
      <c r="BE284">
        <f>IF(AA284="LANG_Time",0.76,IF(AA284="LANG_Service",0.70,IF(AA284="LANG_Words",0.72,IF(AA284="LANG_Touch",0.68,0.60))))</f>
        <v/>
      </c>
      <c r="BF284">
        <f>MAX(0,MIN(1,0.28*AS284+0.16*AT284+0.18*BC284+0.18*BD284+0.10*(1-AZ284)+0.10*(1-BA284)+BB284))</f>
        <v/>
      </c>
      <c r="BG284">
        <f>MAX(0,MIN(1,0.24*AU284+0.18*AS284+0.18*BC284+0.20*BD284+0.10*(1-AW284)+0.10*(1-BA284)))</f>
        <v/>
      </c>
      <c r="BH284">
        <f>MAX(0,MIN(1,0.28*AR284+0.18*AT284+0.16*AU284+0.18*(1-AV284)+0.10*(1-AW284)+0.10*BF284))</f>
        <v/>
      </c>
      <c r="BI284">
        <f>MAX(0,MIN(1,0.30*AV284+0.20*AZ284+0.20*AW284+0.15*(1-BH284)+0.15*(1-BO284)))</f>
        <v/>
      </c>
      <c r="BJ284">
        <f>MAX(0,1-(ABS(((( AX284+AY284)/2)-0.55)*1.6)))</f>
        <v/>
      </c>
      <c r="BK284">
        <f>MAX(0,MIN(1,0.28*AR284+0.18*AT284+0.16*BJ284+0.14*(1-AV284)+0.12*BQ284+0.12*BO284))</f>
        <v/>
      </c>
      <c r="BL284">
        <f>MAX(0,MIN(1,0.22*AQ284+0.18*AS284+0.18*BC284+0.18*BD284+0.08*BE284+0.10*BF284+0.06*BO284))</f>
        <v/>
      </c>
      <c r="BM284">
        <f>MAX(0,MIN(1,0.20*(1-AZ284)+0.16*(1-BA284)+0.14*(1-AW284)+0.14*AU284+0.18*BG284+0.10*BH284+0.08*BP284))</f>
        <v/>
      </c>
      <c r="BN284">
        <f>MAX(0,MIN(1,0.42*BJ284+0.33*BK284+0.15*AT284+0.10*BQ284))</f>
        <v/>
      </c>
      <c r="BO284">
        <f>MAX(0,MIN(1,0.30*BC284+0.24*BD284+0.18*AS284+0.14*(1-BI284)+0.14*AT284))</f>
        <v/>
      </c>
      <c r="BP284">
        <f>MAX(0,MIN(1,0.26*AS284+0.20*(1-BA284)+0.16*(1-AW284)+0.18*BG284+0.10*AU284+0.10+BB284))</f>
        <v/>
      </c>
      <c r="BQ284">
        <f>MAX(0,MIN(1,0.24*AT284+0.18*BF284+0.14*AR284+0.14*BO284+0.14*(1-AV284)+0.16*(1-AZ284)))</f>
        <v/>
      </c>
      <c r="BR284">
        <f>IF(BO284&gt;=0.80,"Open",IF(BO284&gt;=0.62,"Measured",IF(BO284&gt;=0.45,"Selective","Guarded")))</f>
        <v/>
      </c>
      <c r="BS284">
        <f>IF(Y284="COMM_Direct","Direct",IF(Y284="COMM_Emotional","Emotional",IF(Y284="COMM_Logical","Logical",IF(Y284="COMM_Indirect","Indirect","Avoidant"))))</f>
        <v/>
      </c>
      <c r="BT284">
        <f>IF(BG284&gt;=0.78,"Co-repair",IF(BG284&gt;=0.58,"Re-engage",IF(BG284&gt;=0.40,"Delay","Suppress")))</f>
        <v/>
      </c>
      <c r="BU284">
        <f>IF(BI284&gt;=0.70,"Retreat-risk",IF(BH284&lt;=0.40,"Rush-risk",IF(BH284&gt;=0.65,"Slow-build","Mixed")))</f>
        <v/>
      </c>
      <c r="BV284">
        <f>IF(BL284-BM284&gt;=0.15,"Stimulation-seeking",IF(BM284-BL284&gt;=0.15,"Calm-seeking","Mixed")))</f>
        <v/>
      </c>
      <c r="BW284">
        <f>IF(AND(BL284&gt;=0.72,BM284&lt;0.48),"High",IF(AND(BL284&gt;=0.60,BM284&lt;0.58),"Medium","Low"))</f>
        <v/>
      </c>
    </row>
    <row r="285" ht="54.75" customHeight="1" s="10">
      <c r="A285" s="2" t="inlineStr">
        <is>
          <t>Q56_D</t>
        </is>
      </c>
      <c r="B285" s="2" t="n">
        <v>56</v>
      </c>
      <c r="C285" s="2" t="n">
        <v>105</v>
      </c>
      <c r="D285" s="2" t="inlineStr">
        <is>
          <t>Shadow</t>
        </is>
      </c>
      <c r="E285" s="2" t="n">
        <v>1.35</v>
      </c>
      <c r="F285" s="2" t="inlineStr">
        <is>
          <t>ShadowPattern</t>
        </is>
      </c>
      <c r="G285" s="2" t="inlineStr">
        <is>
          <t>IntegrityRisk</t>
        </is>
      </c>
      <c r="H285" s="2" t="n"/>
      <c r="I285" s="2" t="inlineStr">
        <is>
          <t>D</t>
        </is>
      </c>
      <c r="J285" s="2" t="inlineStr">
        <is>
          <t>D</t>
        </is>
      </c>
      <c r="K285" s="2" t="inlineStr">
        <is>
          <t>I adjust my vibe, act like it didn't matter.</t>
        </is>
      </c>
      <c r="L285" s="2" t="n">
        <v>6</v>
      </c>
      <c r="M285" s="2" t="n"/>
      <c r="N285" s="2" t="n">
        <v>4</v>
      </c>
      <c r="O285" s="2" t="n">
        <v>4</v>
      </c>
      <c r="P285" s="2" t="n">
        <v>4</v>
      </c>
      <c r="Q285" s="2" t="n"/>
      <c r="R285" s="2" t="n"/>
      <c r="S285" s="2" t="inlineStr">
        <is>
          <t>Chameleon</t>
        </is>
      </c>
      <c r="T285" s="2" t="n">
        <v>4</v>
      </c>
      <c r="U285" s="2" t="n">
        <v>6</v>
      </c>
      <c r="V285" s="2" t="inlineStr">
        <is>
          <t>masc:0.0;fem:0.0</t>
        </is>
      </c>
      <c r="W285" s="2" t="n">
        <v>0</v>
      </c>
      <c r="X285" s="2" t="n">
        <v>0</v>
      </c>
      <c r="Y285" s="2" t="n"/>
      <c r="Z285" s="2" t="n"/>
      <c r="AA285" s="2" t="n"/>
      <c r="AB285" s="2" t="n"/>
      <c r="AC285" s="2" t="n"/>
      <c r="AD285" s="2" t="n"/>
      <c r="AE285" s="2" t="n">
        <v>0</v>
      </c>
      <c r="AF285" s="2" t="n"/>
      <c r="AG285" s="2" t="n"/>
      <c r="AH285" s="2" t="n">
        <v>0</v>
      </c>
      <c r="AI285" s="2" t="n"/>
      <c r="AJ285" s="2" t="inlineStr">
        <is>
          <t>no</t>
        </is>
      </c>
      <c r="AK285" s="2" t="inlineStr">
        <is>
          <t>no</t>
        </is>
      </c>
      <c r="AL285" s="2" t="inlineStr">
        <is>
          <t>no</t>
        </is>
      </c>
      <c r="AM285" s="2" t="n"/>
      <c r="AN285" s="2" t="n"/>
      <c r="AO285" s="2" t="n"/>
      <c r="AP285" s="2" t="inlineStr">
        <is>
          <t>v3_2026-03-19</t>
        </is>
      </c>
      <c r="AQ285">
        <f>(L285-Schema_v5!$C2)/(Schema_v5!$C3-Schema_v5!$C2)</f>
        <v/>
      </c>
      <c r="AR285">
        <f>(M285-Schema_v5!$C4)/(Schema_v5!$C5-Schema_v5!$C4)</f>
        <v/>
      </c>
      <c r="AS285">
        <f>N285/Schema_v5!$C6</f>
        <v/>
      </c>
      <c r="AT285">
        <f>O285/Schema_v5!$C7</f>
        <v/>
      </c>
      <c r="AU285">
        <f>P285/Schema_v5!$C8</f>
        <v/>
      </c>
      <c r="AV285">
        <f>IF(Schema_v5!$C9=0,0,AH285/Schema_v5!$C9)</f>
        <v/>
      </c>
      <c r="AW285">
        <f>IF(Schema_v5!$C10=0,0,AE285/Schema_v5!$C10)</f>
        <v/>
      </c>
      <c r="AX285">
        <f>(W285-Schema_v5!$C11)/(Schema_v5!$C12-Schema_v5!$C11)</f>
        <v/>
      </c>
      <c r="AY285">
        <f>(X285-Schema_v5!$C13)/(Schema_v5!$C14-Schema_v5!$C13)</f>
        <v/>
      </c>
      <c r="AZ285">
        <f>MIN(1,MAX(0,U285/Schema_v7!$C$9))</f>
        <v/>
      </c>
      <c r="BA285">
        <f>IF(AJ285="yes",0.55,0)</f>
        <v/>
      </c>
      <c r="BB285">
        <f>IF(AI285="yes",0.10,0)</f>
        <v/>
      </c>
      <c r="BC285">
        <f>IF(Y285="COMM_Direct",0.92,IF(Y285="COMM_Emotional",0.70,IF(Y285="COMM_Logical",0.65,IF(Y285="COMM_Indirect",0.55,0.35))))</f>
        <v/>
      </c>
      <c r="BD285">
        <f>IF(Z285="REG_CoRegulator",0.92,IF(Z285="REG_SelfSoother",0.76,IF(Z285="REG_Distractor",0.48,0.35)))</f>
        <v/>
      </c>
      <c r="BE285">
        <f>IF(AA285="LANG_Time",0.76,IF(AA285="LANG_Service",0.70,IF(AA285="LANG_Words",0.72,IF(AA285="LANG_Touch",0.68,0.60))))</f>
        <v/>
      </c>
      <c r="BF285">
        <f>MAX(0,MIN(1,0.28*AS285+0.16*AT285+0.18*BC285+0.18*BD285+0.10*(1-AZ285)+0.10*(1-BA285)+BB285))</f>
        <v/>
      </c>
      <c r="BG285">
        <f>MAX(0,MIN(1,0.24*AU285+0.18*AS285+0.18*BC285+0.20*BD285+0.10*(1-AW285)+0.10*(1-BA285)))</f>
        <v/>
      </c>
      <c r="BH285">
        <f>MAX(0,MIN(1,0.28*AR285+0.18*AT285+0.16*AU285+0.18*(1-AV285)+0.10*(1-AW285)+0.10*BF285))</f>
        <v/>
      </c>
      <c r="BI285">
        <f>MAX(0,MIN(1,0.30*AV285+0.20*AZ285+0.20*AW285+0.15*(1-BH285)+0.15*(1-BO285)))</f>
        <v/>
      </c>
      <c r="BJ285">
        <f>MAX(0,1-(ABS(((( AX285+AY285)/2)-0.55)*1.6)))</f>
        <v/>
      </c>
      <c r="BK285">
        <f>MAX(0,MIN(1,0.28*AR285+0.18*AT285+0.16*BJ285+0.14*(1-AV285)+0.12*BQ285+0.12*BO285))</f>
        <v/>
      </c>
      <c r="BL285">
        <f>MAX(0,MIN(1,0.22*AQ285+0.18*AS285+0.18*BC285+0.18*BD285+0.08*BE285+0.10*BF285+0.06*BO285))</f>
        <v/>
      </c>
      <c r="BM285">
        <f>MAX(0,MIN(1,0.20*(1-AZ285)+0.16*(1-BA285)+0.14*(1-AW285)+0.14*AU285+0.18*BG285+0.10*BH285+0.08*BP285))</f>
        <v/>
      </c>
      <c r="BN285">
        <f>MAX(0,MIN(1,0.42*BJ285+0.33*BK285+0.15*AT285+0.10*BQ285))</f>
        <v/>
      </c>
      <c r="BO285">
        <f>MAX(0,MIN(1,0.30*BC285+0.24*BD285+0.18*AS285+0.14*(1-BI285)+0.14*AT285))</f>
        <v/>
      </c>
      <c r="BP285">
        <f>MAX(0,MIN(1,0.26*AS285+0.20*(1-BA285)+0.16*(1-AW285)+0.18*BG285+0.10*AU285+0.10+BB285))</f>
        <v/>
      </c>
      <c r="BQ285">
        <f>MAX(0,MIN(1,0.24*AT285+0.18*BF285+0.14*AR285+0.14*BO285+0.14*(1-AV285)+0.16*(1-AZ285)))</f>
        <v/>
      </c>
      <c r="BR285">
        <f>IF(BO285&gt;=0.80,"Open",IF(BO285&gt;=0.62,"Measured",IF(BO285&gt;=0.45,"Selective","Guarded")))</f>
        <v/>
      </c>
      <c r="BS285">
        <f>IF(Y285="COMM_Direct","Direct",IF(Y285="COMM_Emotional","Emotional",IF(Y285="COMM_Logical","Logical",IF(Y285="COMM_Indirect","Indirect","Avoidant"))))</f>
        <v/>
      </c>
      <c r="BT285">
        <f>IF(BG285&gt;=0.78,"Co-repair",IF(BG285&gt;=0.58,"Re-engage",IF(BG285&gt;=0.40,"Delay","Suppress")))</f>
        <v/>
      </c>
      <c r="BU285">
        <f>IF(BI285&gt;=0.70,"Retreat-risk",IF(BH285&lt;=0.40,"Rush-risk",IF(BH285&gt;=0.65,"Slow-build","Mixed")))</f>
        <v/>
      </c>
      <c r="BV285">
        <f>IF(BL285-BM285&gt;=0.15,"Stimulation-seeking",IF(BM285-BL285&gt;=0.15,"Calm-seeking","Mixed")))</f>
        <v/>
      </c>
      <c r="BW285">
        <f>IF(AND(BL285&gt;=0.72,BM285&lt;0.48),"High",IF(AND(BL285&gt;=0.60,BM285&lt;0.58),"Medium","Low"))</f>
        <v/>
      </c>
    </row>
    <row r="286" ht="68.25" customHeight="1" s="10">
      <c r="A286" s="2" t="inlineStr">
        <is>
          <t>Q56_E</t>
        </is>
      </c>
      <c r="B286" s="2" t="n">
        <v>56</v>
      </c>
      <c r="C286" s="2" t="n">
        <v>105</v>
      </c>
      <c r="D286" s="2" t="inlineStr">
        <is>
          <t>Shadow</t>
        </is>
      </c>
      <c r="E286" s="2" t="n">
        <v>1.35</v>
      </c>
      <c r="F286" s="2" t="inlineStr">
        <is>
          <t>ShadowPattern</t>
        </is>
      </c>
      <c r="G286" s="2" t="inlineStr">
        <is>
          <t>IntegrityRisk</t>
        </is>
      </c>
      <c r="H286" s="2" t="n"/>
      <c r="I286" s="2" t="inlineStr">
        <is>
          <t>E</t>
        </is>
      </c>
      <c r="J286" s="2" t="inlineStr">
        <is>
          <t>E</t>
        </is>
      </c>
      <c r="K286" s="2" t="inlineStr">
        <is>
          <t>I bring it up later when they mess up again, pattern proof.</t>
        </is>
      </c>
      <c r="L286" s="2" t="n">
        <v>7</v>
      </c>
      <c r="M286" s="2" t="n"/>
      <c r="N286" s="2" t="n">
        <v>2</v>
      </c>
      <c r="O286" s="2" t="n">
        <v>2</v>
      </c>
      <c r="P286" s="2" t="n">
        <v>2</v>
      </c>
      <c r="Q286" s="2" t="n"/>
      <c r="R286" s="2" t="n"/>
      <c r="S286" s="2" t="inlineStr">
        <is>
          <t>Scorekeeper</t>
        </is>
      </c>
      <c r="T286" s="2" t="n">
        <v>5</v>
      </c>
      <c r="U286" s="2" t="n">
        <v>8</v>
      </c>
      <c r="V286" s="2" t="inlineStr">
        <is>
          <t>masc:0.0;fem:0.0</t>
        </is>
      </c>
      <c r="W286" s="2" t="n">
        <v>0</v>
      </c>
      <c r="X286" s="2" t="n">
        <v>0</v>
      </c>
      <c r="Y286" s="2" t="n"/>
      <c r="Z286" s="2" t="n"/>
      <c r="AA286" s="2" t="n"/>
      <c r="AB286" s="2" t="n"/>
      <c r="AC286" s="2" t="n"/>
      <c r="AD286" s="2" t="n"/>
      <c r="AE286" s="2" t="n">
        <v>0</v>
      </c>
      <c r="AF286" s="2" t="n"/>
      <c r="AG286" s="2" t="n"/>
      <c r="AH286" s="2" t="n">
        <v>0</v>
      </c>
      <c r="AI286" s="2" t="n"/>
      <c r="AJ286" s="2" t="inlineStr">
        <is>
          <t>no</t>
        </is>
      </c>
      <c r="AK286" s="2" t="inlineStr">
        <is>
          <t>no</t>
        </is>
      </c>
      <c r="AL286" s="2" t="inlineStr">
        <is>
          <t>no</t>
        </is>
      </c>
      <c r="AM286" s="2" t="n"/>
      <c r="AN286" s="2" t="n"/>
      <c r="AO286" s="2" t="n"/>
      <c r="AP286" s="2" t="inlineStr">
        <is>
          <t>v3_2026-03-19</t>
        </is>
      </c>
      <c r="AQ286">
        <f>(L286-Schema_v5!$C2)/(Schema_v5!$C3-Schema_v5!$C2)</f>
        <v/>
      </c>
      <c r="AR286">
        <f>(M286-Schema_v5!$C4)/(Schema_v5!$C5-Schema_v5!$C4)</f>
        <v/>
      </c>
      <c r="AS286">
        <f>N286/Schema_v5!$C6</f>
        <v/>
      </c>
      <c r="AT286">
        <f>O286/Schema_v5!$C7</f>
        <v/>
      </c>
      <c r="AU286">
        <f>P286/Schema_v5!$C8</f>
        <v/>
      </c>
      <c r="AV286">
        <f>IF(Schema_v5!$C9=0,0,AH286/Schema_v5!$C9)</f>
        <v/>
      </c>
      <c r="AW286">
        <f>IF(Schema_v5!$C10=0,0,AE286/Schema_v5!$C10)</f>
        <v/>
      </c>
      <c r="AX286">
        <f>(W286-Schema_v5!$C11)/(Schema_v5!$C12-Schema_v5!$C11)</f>
        <v/>
      </c>
      <c r="AY286">
        <f>(X286-Schema_v5!$C13)/(Schema_v5!$C14-Schema_v5!$C13)</f>
        <v/>
      </c>
      <c r="AZ286">
        <f>MIN(1,MAX(0,U286/Schema_v7!$C$9))</f>
        <v/>
      </c>
      <c r="BA286">
        <f>IF(AJ286="yes",0.55,0)</f>
        <v/>
      </c>
      <c r="BB286">
        <f>IF(AI286="yes",0.10,0)</f>
        <v/>
      </c>
      <c r="BC286">
        <f>IF(Y286="COMM_Direct",0.92,IF(Y286="COMM_Emotional",0.70,IF(Y286="COMM_Logical",0.65,IF(Y286="COMM_Indirect",0.55,0.35))))</f>
        <v/>
      </c>
      <c r="BD286">
        <f>IF(Z286="REG_CoRegulator",0.92,IF(Z286="REG_SelfSoother",0.76,IF(Z286="REG_Distractor",0.48,0.35)))</f>
        <v/>
      </c>
      <c r="BE286">
        <f>IF(AA286="LANG_Time",0.76,IF(AA286="LANG_Service",0.70,IF(AA286="LANG_Words",0.72,IF(AA286="LANG_Touch",0.68,0.60))))</f>
        <v/>
      </c>
      <c r="BF286">
        <f>MAX(0,MIN(1,0.28*AS286+0.16*AT286+0.18*BC286+0.18*BD286+0.10*(1-AZ286)+0.10*(1-BA286)+BB286))</f>
        <v/>
      </c>
      <c r="BG286">
        <f>MAX(0,MIN(1,0.24*AU286+0.18*AS286+0.18*BC286+0.20*BD286+0.10*(1-AW286)+0.10*(1-BA286)))</f>
        <v/>
      </c>
      <c r="BH286">
        <f>MAX(0,MIN(1,0.28*AR286+0.18*AT286+0.16*AU286+0.18*(1-AV286)+0.10*(1-AW286)+0.10*BF286))</f>
        <v/>
      </c>
      <c r="BI286">
        <f>MAX(0,MIN(1,0.30*AV286+0.20*AZ286+0.20*AW286+0.15*(1-BH286)+0.15*(1-BO286)))</f>
        <v/>
      </c>
      <c r="BJ286">
        <f>MAX(0,1-(ABS(((( AX286+AY286)/2)-0.55)*1.6)))</f>
        <v/>
      </c>
      <c r="BK286">
        <f>MAX(0,MIN(1,0.28*AR286+0.18*AT286+0.16*BJ286+0.14*(1-AV286)+0.12*BQ286+0.12*BO286))</f>
        <v/>
      </c>
      <c r="BL286">
        <f>MAX(0,MIN(1,0.22*AQ286+0.18*AS286+0.18*BC286+0.18*BD286+0.08*BE286+0.10*BF286+0.06*BO286))</f>
        <v/>
      </c>
      <c r="BM286">
        <f>MAX(0,MIN(1,0.20*(1-AZ286)+0.16*(1-BA286)+0.14*(1-AW286)+0.14*AU286+0.18*BG286+0.10*BH286+0.08*BP286))</f>
        <v/>
      </c>
      <c r="BN286">
        <f>MAX(0,MIN(1,0.42*BJ286+0.33*BK286+0.15*AT286+0.10*BQ286))</f>
        <v/>
      </c>
      <c r="BO286">
        <f>MAX(0,MIN(1,0.30*BC286+0.24*BD286+0.18*AS286+0.14*(1-BI286)+0.14*AT286))</f>
        <v/>
      </c>
      <c r="BP286">
        <f>MAX(0,MIN(1,0.26*AS286+0.20*(1-BA286)+0.16*(1-AW286)+0.18*BG286+0.10*AU286+0.10+BB286))</f>
        <v/>
      </c>
      <c r="BQ286">
        <f>MAX(0,MIN(1,0.24*AT286+0.18*BF286+0.14*AR286+0.14*BO286+0.14*(1-AV286)+0.16*(1-AZ286)))</f>
        <v/>
      </c>
      <c r="BR286">
        <f>IF(BO286&gt;=0.80,"Open",IF(BO286&gt;=0.62,"Measured",IF(BO286&gt;=0.45,"Selective","Guarded")))</f>
        <v/>
      </c>
      <c r="BS286">
        <f>IF(Y286="COMM_Direct","Direct",IF(Y286="COMM_Emotional","Emotional",IF(Y286="COMM_Logical","Logical",IF(Y286="COMM_Indirect","Indirect","Avoidant"))))</f>
        <v/>
      </c>
      <c r="BT286">
        <f>IF(BG286&gt;=0.78,"Co-repair",IF(BG286&gt;=0.58,"Re-engage",IF(BG286&gt;=0.40,"Delay","Suppress")))</f>
        <v/>
      </c>
      <c r="BU286">
        <f>IF(BI286&gt;=0.70,"Retreat-risk",IF(BH286&lt;=0.40,"Rush-risk",IF(BH286&gt;=0.65,"Slow-build","Mixed")))</f>
        <v/>
      </c>
      <c r="BV286">
        <f>IF(BL286-BM286&gt;=0.15,"Stimulation-seeking",IF(BM286-BL286&gt;=0.15,"Calm-seeking","Mixed")))</f>
        <v/>
      </c>
      <c r="BW286">
        <f>IF(AND(BL286&gt;=0.72,BM286&lt;0.48),"High",IF(AND(BL286&gt;=0.60,BM286&lt;0.58),"Medium","Low"))</f>
        <v/>
      </c>
    </row>
    <row r="287" ht="68.25" customHeight="1" s="10">
      <c r="A287" s="2" t="inlineStr">
        <is>
          <t>Q56_F</t>
        </is>
      </c>
      <c r="B287" s="2" t="n">
        <v>56</v>
      </c>
      <c r="C287" s="2" t="n">
        <v>105</v>
      </c>
      <c r="D287" s="2" t="inlineStr">
        <is>
          <t>Shadow</t>
        </is>
      </c>
      <c r="E287" s="2" t="n">
        <v>1.35</v>
      </c>
      <c r="F287" s="2" t="inlineStr">
        <is>
          <t>ShadowPattern</t>
        </is>
      </c>
      <c r="G287" s="2" t="inlineStr">
        <is>
          <t>IntegrityRisk</t>
        </is>
      </c>
      <c r="H287" s="2" t="n"/>
      <c r="I287" s="2" t="inlineStr">
        <is>
          <t>F</t>
        </is>
      </c>
      <c r="J287" s="2" t="inlineStr">
        <is>
          <t>F</t>
        </is>
      </c>
      <c r="K287" s="2" t="inlineStr">
        <is>
          <t>I wonder if I just wasn't worth remembering.</t>
        </is>
      </c>
      <c r="L287" s="2" t="n">
        <v>8</v>
      </c>
      <c r="M287" s="2" t="n"/>
      <c r="N287" s="2" t="n">
        <v>2</v>
      </c>
      <c r="O287" s="2" t="n">
        <v>2</v>
      </c>
      <c r="P287" s="2" t="n">
        <v>2</v>
      </c>
      <c r="Q287" s="2" t="n"/>
      <c r="R287" s="2" t="n"/>
      <c r="S287" s="2" t="inlineStr">
        <is>
          <t>Self-Saboteur</t>
        </is>
      </c>
      <c r="T287" s="2" t="n">
        <v>6</v>
      </c>
      <c r="U287" s="2" t="n">
        <v>8</v>
      </c>
      <c r="V287" s="2" t="inlineStr">
        <is>
          <t>masc:0.0;fem:0.0</t>
        </is>
      </c>
      <c r="W287" s="2" t="n">
        <v>0</v>
      </c>
      <c r="X287" s="2" t="n">
        <v>0</v>
      </c>
      <c r="Y287" s="2" t="n"/>
      <c r="Z287" s="2" t="n"/>
      <c r="AA287" s="2" t="n"/>
      <c r="AB287" s="2" t="n"/>
      <c r="AC287" s="2" t="n"/>
      <c r="AD287" s="2" t="n"/>
      <c r="AE287" s="2" t="n">
        <v>0</v>
      </c>
      <c r="AF287" s="2" t="n"/>
      <c r="AG287" s="2" t="n"/>
      <c r="AH287" s="2" t="n">
        <v>0</v>
      </c>
      <c r="AI287" s="2" t="n"/>
      <c r="AJ287" s="2" t="inlineStr">
        <is>
          <t>no</t>
        </is>
      </c>
      <c r="AK287" s="2" t="inlineStr">
        <is>
          <t>no</t>
        </is>
      </c>
      <c r="AL287" s="2" t="inlineStr">
        <is>
          <t>no</t>
        </is>
      </c>
      <c r="AM287" s="2" t="n"/>
      <c r="AN287" s="2" t="n"/>
      <c r="AO287" s="2" t="n"/>
      <c r="AP287" s="2" t="inlineStr">
        <is>
          <t>v3_2026-03-19</t>
        </is>
      </c>
      <c r="AQ287">
        <f>(L287-Schema_v5!$C2)/(Schema_v5!$C3-Schema_v5!$C2)</f>
        <v/>
      </c>
      <c r="AR287">
        <f>(M287-Schema_v5!$C4)/(Schema_v5!$C5-Schema_v5!$C4)</f>
        <v/>
      </c>
      <c r="AS287">
        <f>N287/Schema_v5!$C6</f>
        <v/>
      </c>
      <c r="AT287">
        <f>O287/Schema_v5!$C7</f>
        <v/>
      </c>
      <c r="AU287">
        <f>P287/Schema_v5!$C8</f>
        <v/>
      </c>
      <c r="AV287">
        <f>IF(Schema_v5!$C9=0,0,AH287/Schema_v5!$C9)</f>
        <v/>
      </c>
      <c r="AW287">
        <f>IF(Schema_v5!$C10=0,0,AE287/Schema_v5!$C10)</f>
        <v/>
      </c>
      <c r="AX287">
        <f>(W287-Schema_v5!$C11)/(Schema_v5!$C12-Schema_v5!$C11)</f>
        <v/>
      </c>
      <c r="AY287">
        <f>(X287-Schema_v5!$C13)/(Schema_v5!$C14-Schema_v5!$C13)</f>
        <v/>
      </c>
      <c r="AZ287">
        <f>MIN(1,MAX(0,U287/Schema_v7!$C$9))</f>
        <v/>
      </c>
      <c r="BA287">
        <f>IF(AJ287="yes",0.55,0)</f>
        <v/>
      </c>
      <c r="BB287">
        <f>IF(AI287="yes",0.10,0)</f>
        <v/>
      </c>
      <c r="BC287">
        <f>IF(Y287="COMM_Direct",0.92,IF(Y287="COMM_Emotional",0.70,IF(Y287="COMM_Logical",0.65,IF(Y287="COMM_Indirect",0.55,0.35))))</f>
        <v/>
      </c>
      <c r="BD287">
        <f>IF(Z287="REG_CoRegulator",0.92,IF(Z287="REG_SelfSoother",0.76,IF(Z287="REG_Distractor",0.48,0.35)))</f>
        <v/>
      </c>
      <c r="BE287">
        <f>IF(AA287="LANG_Time",0.76,IF(AA287="LANG_Service",0.70,IF(AA287="LANG_Words",0.72,IF(AA287="LANG_Touch",0.68,0.60))))</f>
        <v/>
      </c>
      <c r="BF287">
        <f>MAX(0,MIN(1,0.28*AS287+0.16*AT287+0.18*BC287+0.18*BD287+0.10*(1-AZ287)+0.10*(1-BA287)+BB287))</f>
        <v/>
      </c>
      <c r="BG287">
        <f>MAX(0,MIN(1,0.24*AU287+0.18*AS287+0.18*BC287+0.20*BD287+0.10*(1-AW287)+0.10*(1-BA287)))</f>
        <v/>
      </c>
      <c r="BH287">
        <f>MAX(0,MIN(1,0.28*AR287+0.18*AT287+0.16*AU287+0.18*(1-AV287)+0.10*(1-AW287)+0.10*BF287))</f>
        <v/>
      </c>
      <c r="BI287">
        <f>MAX(0,MIN(1,0.30*AV287+0.20*AZ287+0.20*AW287+0.15*(1-BH287)+0.15*(1-BO287)))</f>
        <v/>
      </c>
      <c r="BJ287">
        <f>MAX(0,1-(ABS(((( AX287+AY287)/2)-0.55)*1.6)))</f>
        <v/>
      </c>
      <c r="BK287">
        <f>MAX(0,MIN(1,0.28*AR287+0.18*AT287+0.16*BJ287+0.14*(1-AV287)+0.12*BQ287+0.12*BO287))</f>
        <v/>
      </c>
      <c r="BL287">
        <f>MAX(0,MIN(1,0.22*AQ287+0.18*AS287+0.18*BC287+0.18*BD287+0.08*BE287+0.10*BF287+0.06*BO287))</f>
        <v/>
      </c>
      <c r="BM287">
        <f>MAX(0,MIN(1,0.20*(1-AZ287)+0.16*(1-BA287)+0.14*(1-AW287)+0.14*AU287+0.18*BG287+0.10*BH287+0.08*BP287))</f>
        <v/>
      </c>
      <c r="BN287">
        <f>MAX(0,MIN(1,0.42*BJ287+0.33*BK287+0.15*AT287+0.10*BQ287))</f>
        <v/>
      </c>
      <c r="BO287">
        <f>MAX(0,MIN(1,0.30*BC287+0.24*BD287+0.18*AS287+0.14*(1-BI287)+0.14*AT287))</f>
        <v/>
      </c>
      <c r="BP287">
        <f>MAX(0,MIN(1,0.26*AS287+0.20*(1-BA287)+0.16*(1-AW287)+0.18*BG287+0.10*AU287+0.10+BB287))</f>
        <v/>
      </c>
      <c r="BQ287">
        <f>MAX(0,MIN(1,0.24*AT287+0.18*BF287+0.14*AR287+0.14*BO287+0.14*(1-AV287)+0.16*(1-AZ287)))</f>
        <v/>
      </c>
      <c r="BR287">
        <f>IF(BO287&gt;=0.80,"Open",IF(BO287&gt;=0.62,"Measured",IF(BO287&gt;=0.45,"Selective","Guarded")))</f>
        <v/>
      </c>
      <c r="BS287">
        <f>IF(Y287="COMM_Direct","Direct",IF(Y287="COMM_Emotional","Emotional",IF(Y287="COMM_Logical","Logical",IF(Y287="COMM_Indirect","Indirect","Avoidant"))))</f>
        <v/>
      </c>
      <c r="BT287">
        <f>IF(BG287&gt;=0.78,"Co-repair",IF(BG287&gt;=0.58,"Re-engage",IF(BG287&gt;=0.40,"Delay","Suppress")))</f>
        <v/>
      </c>
      <c r="BU287">
        <f>IF(BI287&gt;=0.70,"Retreat-risk",IF(BH287&lt;=0.40,"Rush-risk",IF(BH287&gt;=0.65,"Slow-build","Mixed")))</f>
        <v/>
      </c>
      <c r="BV287">
        <f>IF(BL287-BM287&gt;=0.15,"Stimulation-seeking",IF(BM287-BL287&gt;=0.15,"Calm-seeking","Mixed")))</f>
        <v/>
      </c>
      <c r="BW287">
        <f>IF(AND(BL287&gt;=0.72,BM287&lt;0.48),"High",IF(AND(BL287&gt;=0.60,BM287&lt;0.58),"Medium","Low"))</f>
        <v/>
      </c>
    </row>
    <row r="288" ht="108" customHeight="1" s="10">
      <c r="A288" s="2" t="inlineStr">
        <is>
          <t>Q57_A</t>
        </is>
      </c>
      <c r="B288" s="2" t="n">
        <v>57</v>
      </c>
      <c r="C288" s="2" t="n">
        <v>106</v>
      </c>
      <c r="D288" s="2" t="inlineStr">
        <is>
          <t>Shadow</t>
        </is>
      </c>
      <c r="E288" s="2" t="n">
        <v>1.35</v>
      </c>
      <c r="F288" s="2" t="inlineStr">
        <is>
          <t>ShadowPattern</t>
        </is>
      </c>
      <c r="G288" s="2" t="inlineStr">
        <is>
          <t>IntegrityRisk</t>
        </is>
      </c>
      <c r="H288" s="2" t="inlineStr">
        <is>
          <t>You sense someone pulling away, but they haven't said anything. What's your response?</t>
        </is>
      </c>
      <c r="I288" s="2" t="inlineStr">
        <is>
          <t>A</t>
        </is>
      </c>
      <c r="J288" s="2" t="inlineStr">
        <is>
          <t>A</t>
        </is>
      </c>
      <c r="K288" s="2" t="inlineStr">
        <is>
          <t>Drop a dramatic statement or confession to pull them back in emotionally.</t>
        </is>
      </c>
      <c r="L288" s="2" t="n">
        <v>4</v>
      </c>
      <c r="M288" s="2" t="n"/>
      <c r="N288" s="2" t="n">
        <v>4</v>
      </c>
      <c r="O288" s="2" t="n">
        <v>4</v>
      </c>
      <c r="P288" s="2" t="n">
        <v>4</v>
      </c>
      <c r="Q288" s="2" t="n"/>
      <c r="R288" s="2" t="n"/>
      <c r="S288" s="2" t="inlineStr">
        <is>
          <t>Manipulator</t>
        </is>
      </c>
      <c r="T288" s="2" t="n">
        <v>1</v>
      </c>
      <c r="U288" s="2" t="n">
        <v>6</v>
      </c>
      <c r="V288" s="2" t="inlineStr">
        <is>
          <t>masc:0.0;fem:0.0</t>
        </is>
      </c>
      <c r="W288" s="2" t="n">
        <v>0</v>
      </c>
      <c r="X288" s="2" t="n">
        <v>0</v>
      </c>
      <c r="Y288" s="2" t="n"/>
      <c r="Z288" s="2" t="n"/>
      <c r="AA288" s="2" t="n"/>
      <c r="AB288" s="2" t="n"/>
      <c r="AC288" s="2" t="n"/>
      <c r="AD288" s="2" t="n"/>
      <c r="AE288" s="2" t="n">
        <v>0</v>
      </c>
      <c r="AF288" s="2" t="n"/>
      <c r="AG288" s="2" t="n"/>
      <c r="AH288" s="2" t="n">
        <v>0</v>
      </c>
      <c r="AI288" s="2" t="n"/>
      <c r="AJ288" s="2" t="inlineStr">
        <is>
          <t>yes</t>
        </is>
      </c>
      <c r="AK288" s="2" t="inlineStr">
        <is>
          <t>no</t>
        </is>
      </c>
      <c r="AL288" s="2" t="inlineStr">
        <is>
          <t>no</t>
        </is>
      </c>
      <c r="AM288" s="2" t="n"/>
      <c r="AN288" s="2" t="n"/>
      <c r="AO288" s="2" t="n"/>
      <c r="AP288" s="2" t="inlineStr">
        <is>
          <t>v3_2026-03-19</t>
        </is>
      </c>
      <c r="AQ288">
        <f>(L288-Schema_v5!$C2)/(Schema_v5!$C3-Schema_v5!$C2)</f>
        <v/>
      </c>
      <c r="AR288">
        <f>(M288-Schema_v5!$C4)/(Schema_v5!$C5-Schema_v5!$C4)</f>
        <v/>
      </c>
      <c r="AS288">
        <f>N288/Schema_v5!$C6</f>
        <v/>
      </c>
      <c r="AT288">
        <f>O288/Schema_v5!$C7</f>
        <v/>
      </c>
      <c r="AU288">
        <f>P288/Schema_v5!$C8</f>
        <v/>
      </c>
      <c r="AV288">
        <f>IF(Schema_v5!$C9=0,0,AH288/Schema_v5!$C9)</f>
        <v/>
      </c>
      <c r="AW288">
        <f>IF(Schema_v5!$C10=0,0,AE288/Schema_v5!$C10)</f>
        <v/>
      </c>
      <c r="AX288">
        <f>(W288-Schema_v5!$C11)/(Schema_v5!$C12-Schema_v5!$C11)</f>
        <v/>
      </c>
      <c r="AY288">
        <f>(X288-Schema_v5!$C13)/(Schema_v5!$C14-Schema_v5!$C13)</f>
        <v/>
      </c>
      <c r="AZ288">
        <f>MIN(1,MAX(0,U288/Schema_v7!$C$9))</f>
        <v/>
      </c>
      <c r="BA288">
        <f>IF(AJ288="yes",0.55,0)</f>
        <v/>
      </c>
      <c r="BB288">
        <f>IF(AI288="yes",0.10,0)</f>
        <v/>
      </c>
      <c r="BC288">
        <f>IF(Y288="COMM_Direct",0.92,IF(Y288="COMM_Emotional",0.70,IF(Y288="COMM_Logical",0.65,IF(Y288="COMM_Indirect",0.55,0.35))))</f>
        <v/>
      </c>
      <c r="BD288">
        <f>IF(Z288="REG_CoRegulator",0.92,IF(Z288="REG_SelfSoother",0.76,IF(Z288="REG_Distractor",0.48,0.35)))</f>
        <v/>
      </c>
      <c r="BE288">
        <f>IF(AA288="LANG_Time",0.76,IF(AA288="LANG_Service",0.70,IF(AA288="LANG_Words",0.72,IF(AA288="LANG_Touch",0.68,0.60))))</f>
        <v/>
      </c>
      <c r="BF288">
        <f>MAX(0,MIN(1,0.28*AS288+0.16*AT288+0.18*BC288+0.18*BD288+0.10*(1-AZ288)+0.10*(1-BA288)+BB288))</f>
        <v/>
      </c>
      <c r="BG288">
        <f>MAX(0,MIN(1,0.24*AU288+0.18*AS288+0.18*BC288+0.20*BD288+0.10*(1-AW288)+0.10*(1-BA288)))</f>
        <v/>
      </c>
      <c r="BH288">
        <f>MAX(0,MIN(1,0.28*AR288+0.18*AT288+0.16*AU288+0.18*(1-AV288)+0.10*(1-AW288)+0.10*BF288))</f>
        <v/>
      </c>
      <c r="BI288">
        <f>MAX(0,MIN(1,0.30*AV288+0.20*AZ288+0.20*AW288+0.15*(1-BH288)+0.15*(1-BO288)))</f>
        <v/>
      </c>
      <c r="BJ288">
        <f>MAX(0,1-(ABS(((( AX288+AY288)/2)-0.55)*1.6)))</f>
        <v/>
      </c>
      <c r="BK288">
        <f>MAX(0,MIN(1,0.28*AR288+0.18*AT288+0.16*BJ288+0.14*(1-AV288)+0.12*BQ288+0.12*BO288))</f>
        <v/>
      </c>
      <c r="BL288">
        <f>MAX(0,MIN(1,0.22*AQ288+0.18*AS288+0.18*BC288+0.18*BD288+0.08*BE288+0.10*BF288+0.06*BO288))</f>
        <v/>
      </c>
      <c r="BM288">
        <f>MAX(0,MIN(1,0.20*(1-AZ288)+0.16*(1-BA288)+0.14*(1-AW288)+0.14*AU288+0.18*BG288+0.10*BH288+0.08*BP288))</f>
        <v/>
      </c>
      <c r="BN288">
        <f>MAX(0,MIN(1,0.42*BJ288+0.33*BK288+0.15*AT288+0.10*BQ288))</f>
        <v/>
      </c>
      <c r="BO288">
        <f>MAX(0,MIN(1,0.30*BC288+0.24*BD288+0.18*AS288+0.14*(1-BI288)+0.14*AT288))</f>
        <v/>
      </c>
      <c r="BP288">
        <f>MAX(0,MIN(1,0.26*AS288+0.20*(1-BA288)+0.16*(1-AW288)+0.18*BG288+0.10*AU288+0.10+BB288))</f>
        <v/>
      </c>
      <c r="BQ288">
        <f>MAX(0,MIN(1,0.24*AT288+0.18*BF288+0.14*AR288+0.14*BO288+0.14*(1-AV288)+0.16*(1-AZ288)))</f>
        <v/>
      </c>
      <c r="BR288">
        <f>IF(BO288&gt;=0.80,"Open",IF(BO288&gt;=0.62,"Measured",IF(BO288&gt;=0.45,"Selective","Guarded")))</f>
        <v/>
      </c>
      <c r="BS288">
        <f>IF(Y288="COMM_Direct","Direct",IF(Y288="COMM_Emotional","Emotional",IF(Y288="COMM_Logical","Logical",IF(Y288="COMM_Indirect","Indirect","Avoidant"))))</f>
        <v/>
      </c>
      <c r="BT288">
        <f>IF(BG288&gt;=0.78,"Co-repair",IF(BG288&gt;=0.58,"Re-engage",IF(BG288&gt;=0.40,"Delay","Suppress")))</f>
        <v/>
      </c>
      <c r="BU288">
        <f>IF(BI288&gt;=0.70,"Retreat-risk",IF(BH288&lt;=0.40,"Rush-risk",IF(BH288&gt;=0.65,"Slow-build","Mixed")))</f>
        <v/>
      </c>
      <c r="BV288">
        <f>IF(BL288-BM288&gt;=0.15,"Stimulation-seeking",IF(BM288-BL288&gt;=0.15,"Calm-seeking","Mixed")))</f>
        <v/>
      </c>
      <c r="BW288">
        <f>IF(AND(BL288&gt;=0.72,BM288&lt;0.48),"High",IF(AND(BL288&gt;=0.60,BM288&lt;0.58),"Medium","Low"))</f>
        <v/>
      </c>
    </row>
    <row r="289" ht="81" customHeight="1" s="10">
      <c r="A289" s="2" t="inlineStr">
        <is>
          <t>Q57_B</t>
        </is>
      </c>
      <c r="B289" s="2" t="n">
        <v>57</v>
      </c>
      <c r="C289" s="2" t="n">
        <v>106</v>
      </c>
      <c r="D289" s="2" t="inlineStr">
        <is>
          <t>Shadow</t>
        </is>
      </c>
      <c r="E289" s="2" t="n">
        <v>1.35</v>
      </c>
      <c r="F289" s="2" t="inlineStr">
        <is>
          <t>ShadowPattern</t>
        </is>
      </c>
      <c r="G289" s="2" t="inlineStr">
        <is>
          <t>IntegrityRisk</t>
        </is>
      </c>
      <c r="H289" s="2" t="n"/>
      <c r="I289" s="2" t="inlineStr">
        <is>
          <t>B</t>
        </is>
      </c>
      <c r="J289" s="2" t="inlineStr">
        <is>
          <t>B</t>
        </is>
      </c>
      <c r="K289" s="2" t="inlineStr">
        <is>
          <t>Say nothing, but make myself harder to reach. They'll notice eventually.</t>
        </is>
      </c>
      <c r="L289" s="2" t="n">
        <v>3</v>
      </c>
      <c r="M289" s="2" t="n"/>
      <c r="N289" s="2" t="n">
        <v>6</v>
      </c>
      <c r="O289" s="2" t="n">
        <v>6</v>
      </c>
      <c r="P289" s="2" t="n">
        <v>6</v>
      </c>
      <c r="Q289" s="2" t="n"/>
      <c r="R289" s="2" t="n"/>
      <c r="S289" s="2" t="inlineStr">
        <is>
          <t>Stonewaller</t>
        </is>
      </c>
      <c r="T289" s="2" t="n">
        <v>2</v>
      </c>
      <c r="U289" s="2" t="n">
        <v>4</v>
      </c>
      <c r="V289" s="2" t="inlineStr">
        <is>
          <t>masc:0.0;fem:0.0</t>
        </is>
      </c>
      <c r="W289" s="2" t="n">
        <v>0</v>
      </c>
      <c r="X289" s="2" t="n">
        <v>0</v>
      </c>
      <c r="Y289" s="2" t="n"/>
      <c r="Z289" s="2" t="n"/>
      <c r="AA289" s="2" t="n"/>
      <c r="AB289" s="2" t="n"/>
      <c r="AC289" s="2" t="n"/>
      <c r="AD289" s="2" t="n"/>
      <c r="AE289" s="2" t="n">
        <v>0</v>
      </c>
      <c r="AF289" s="2" t="n"/>
      <c r="AG289" s="2" t="n"/>
      <c r="AH289" s="2" t="n">
        <v>0</v>
      </c>
      <c r="AI289" s="2" t="n"/>
      <c r="AJ289" s="2" t="inlineStr">
        <is>
          <t>yes</t>
        </is>
      </c>
      <c r="AK289" s="2" t="inlineStr">
        <is>
          <t>no</t>
        </is>
      </c>
      <c r="AL289" s="2" t="inlineStr">
        <is>
          <t>no</t>
        </is>
      </c>
      <c r="AM289" s="2" t="n"/>
      <c r="AN289" s="2" t="n"/>
      <c r="AO289" s="2" t="n"/>
      <c r="AP289" s="2" t="inlineStr">
        <is>
          <t>v3_2026-03-19</t>
        </is>
      </c>
      <c r="AQ289">
        <f>(L289-Schema_v5!$C2)/(Schema_v5!$C3-Schema_v5!$C2)</f>
        <v/>
      </c>
      <c r="AR289">
        <f>(M289-Schema_v5!$C4)/(Schema_v5!$C5-Schema_v5!$C4)</f>
        <v/>
      </c>
      <c r="AS289">
        <f>N289/Schema_v5!$C6</f>
        <v/>
      </c>
      <c r="AT289">
        <f>O289/Schema_v5!$C7</f>
        <v/>
      </c>
      <c r="AU289">
        <f>P289/Schema_v5!$C8</f>
        <v/>
      </c>
      <c r="AV289">
        <f>IF(Schema_v5!$C9=0,0,AH289/Schema_v5!$C9)</f>
        <v/>
      </c>
      <c r="AW289">
        <f>IF(Schema_v5!$C10=0,0,AE289/Schema_v5!$C10)</f>
        <v/>
      </c>
      <c r="AX289">
        <f>(W289-Schema_v5!$C11)/(Schema_v5!$C12-Schema_v5!$C11)</f>
        <v/>
      </c>
      <c r="AY289">
        <f>(X289-Schema_v5!$C13)/(Schema_v5!$C14-Schema_v5!$C13)</f>
        <v/>
      </c>
      <c r="AZ289">
        <f>MIN(1,MAX(0,U289/Schema_v7!$C$9))</f>
        <v/>
      </c>
      <c r="BA289">
        <f>IF(AJ289="yes",0.55,0)</f>
        <v/>
      </c>
      <c r="BB289">
        <f>IF(AI289="yes",0.10,0)</f>
        <v/>
      </c>
      <c r="BC289">
        <f>IF(Y289="COMM_Direct",0.92,IF(Y289="COMM_Emotional",0.70,IF(Y289="COMM_Logical",0.65,IF(Y289="COMM_Indirect",0.55,0.35))))</f>
        <v/>
      </c>
      <c r="BD289">
        <f>IF(Z289="REG_CoRegulator",0.92,IF(Z289="REG_SelfSoother",0.76,IF(Z289="REG_Distractor",0.48,0.35)))</f>
        <v/>
      </c>
      <c r="BE289">
        <f>IF(AA289="LANG_Time",0.76,IF(AA289="LANG_Service",0.70,IF(AA289="LANG_Words",0.72,IF(AA289="LANG_Touch",0.68,0.60))))</f>
        <v/>
      </c>
      <c r="BF289">
        <f>MAX(0,MIN(1,0.28*AS289+0.16*AT289+0.18*BC289+0.18*BD289+0.10*(1-AZ289)+0.10*(1-BA289)+BB289))</f>
        <v/>
      </c>
      <c r="BG289">
        <f>MAX(0,MIN(1,0.24*AU289+0.18*AS289+0.18*BC289+0.20*BD289+0.10*(1-AW289)+0.10*(1-BA289)))</f>
        <v/>
      </c>
      <c r="BH289">
        <f>MAX(0,MIN(1,0.28*AR289+0.18*AT289+0.16*AU289+0.18*(1-AV289)+0.10*(1-AW289)+0.10*BF289))</f>
        <v/>
      </c>
      <c r="BI289">
        <f>MAX(0,MIN(1,0.30*AV289+0.20*AZ289+0.20*AW289+0.15*(1-BH289)+0.15*(1-BO289)))</f>
        <v/>
      </c>
      <c r="BJ289">
        <f>MAX(0,1-(ABS(((( AX289+AY289)/2)-0.55)*1.6)))</f>
        <v/>
      </c>
      <c r="BK289">
        <f>MAX(0,MIN(1,0.28*AR289+0.18*AT289+0.16*BJ289+0.14*(1-AV289)+0.12*BQ289+0.12*BO289))</f>
        <v/>
      </c>
      <c r="BL289">
        <f>MAX(0,MIN(1,0.22*AQ289+0.18*AS289+0.18*BC289+0.18*BD289+0.08*BE289+0.10*BF289+0.06*BO289))</f>
        <v/>
      </c>
      <c r="BM289">
        <f>MAX(0,MIN(1,0.20*(1-AZ289)+0.16*(1-BA289)+0.14*(1-AW289)+0.14*AU289+0.18*BG289+0.10*BH289+0.08*BP289))</f>
        <v/>
      </c>
      <c r="BN289">
        <f>MAX(0,MIN(1,0.42*BJ289+0.33*BK289+0.15*AT289+0.10*BQ289))</f>
        <v/>
      </c>
      <c r="BO289">
        <f>MAX(0,MIN(1,0.30*BC289+0.24*BD289+0.18*AS289+0.14*(1-BI289)+0.14*AT289))</f>
        <v/>
      </c>
      <c r="BP289">
        <f>MAX(0,MIN(1,0.26*AS289+0.20*(1-BA289)+0.16*(1-AW289)+0.18*BG289+0.10*AU289+0.10+BB289))</f>
        <v/>
      </c>
      <c r="BQ289">
        <f>MAX(0,MIN(1,0.24*AT289+0.18*BF289+0.14*AR289+0.14*BO289+0.14*(1-AV289)+0.16*(1-AZ289)))</f>
        <v/>
      </c>
      <c r="BR289">
        <f>IF(BO289&gt;=0.80,"Open",IF(BO289&gt;=0.62,"Measured",IF(BO289&gt;=0.45,"Selective","Guarded")))</f>
        <v/>
      </c>
      <c r="BS289">
        <f>IF(Y289="COMM_Direct","Direct",IF(Y289="COMM_Emotional","Emotional",IF(Y289="COMM_Logical","Logical",IF(Y289="COMM_Indirect","Indirect","Avoidant"))))</f>
        <v/>
      </c>
      <c r="BT289">
        <f>IF(BG289&gt;=0.78,"Co-repair",IF(BG289&gt;=0.58,"Re-engage",IF(BG289&gt;=0.40,"Delay","Suppress")))</f>
        <v/>
      </c>
      <c r="BU289">
        <f>IF(BI289&gt;=0.70,"Retreat-risk",IF(BH289&lt;=0.40,"Rush-risk",IF(BH289&gt;=0.65,"Slow-build","Mixed")))</f>
        <v/>
      </c>
      <c r="BV289">
        <f>IF(BL289-BM289&gt;=0.15,"Stimulation-seeking",IF(BM289-BL289&gt;=0.15,"Calm-seeking","Mixed")))</f>
        <v/>
      </c>
      <c r="BW289">
        <f>IF(AND(BL289&gt;=0.72,BM289&lt;0.48),"High",IF(AND(BL289&gt;=0.60,BM289&lt;0.58),"Medium","Low"))</f>
        <v/>
      </c>
    </row>
    <row r="290" ht="94.5" customHeight="1" s="10">
      <c r="A290" s="2" t="inlineStr">
        <is>
          <t>Q57_C</t>
        </is>
      </c>
      <c r="B290" s="2" t="n">
        <v>57</v>
      </c>
      <c r="C290" s="2" t="n">
        <v>106</v>
      </c>
      <c r="D290" s="2" t="inlineStr">
        <is>
          <t>Shadow</t>
        </is>
      </c>
      <c r="E290" s="2" t="n">
        <v>1.35</v>
      </c>
      <c r="F290" s="2" t="inlineStr">
        <is>
          <t>ShadowPattern</t>
        </is>
      </c>
      <c r="G290" s="2" t="inlineStr">
        <is>
          <t>IntegrityRisk</t>
        </is>
      </c>
      <c r="H290" s="2" t="n"/>
      <c r="I290" s="2" t="inlineStr">
        <is>
          <t>C</t>
        </is>
      </c>
      <c r="J290" s="2" t="inlineStr">
        <is>
          <t>C</t>
        </is>
      </c>
      <c r="K290" s="2" t="inlineStr">
        <is>
          <t>Text more, call more-prove I'm still here. I get louder when I feel abandoned.</t>
        </is>
      </c>
      <c r="L290" s="2" t="n">
        <v>5</v>
      </c>
      <c r="M290" s="2" t="n"/>
      <c r="N290" s="2" t="n">
        <v>4</v>
      </c>
      <c r="O290" s="2" t="n">
        <v>4</v>
      </c>
      <c r="P290" s="2" t="n">
        <v>4</v>
      </c>
      <c r="Q290" s="2" t="n"/>
      <c r="R290" s="2" t="n"/>
      <c r="S290" s="2" t="inlineStr">
        <is>
          <t>Love Bomber</t>
        </is>
      </c>
      <c r="T290" s="2" t="n">
        <v>3</v>
      </c>
      <c r="U290" s="2" t="n">
        <v>6</v>
      </c>
      <c r="V290" s="2" t="inlineStr">
        <is>
          <t>masc:0.0;fem:0.0</t>
        </is>
      </c>
      <c r="W290" s="2" t="n">
        <v>0</v>
      </c>
      <c r="X290" s="2" t="n">
        <v>0</v>
      </c>
      <c r="Y290" s="2" t="n"/>
      <c r="Z290" s="2" t="n"/>
      <c r="AA290" s="2" t="n"/>
      <c r="AB290" s="2" t="n"/>
      <c r="AC290" s="2" t="n"/>
      <c r="AD290" s="2" t="n"/>
      <c r="AE290" s="2" t="n">
        <v>0</v>
      </c>
      <c r="AF290" s="2" t="n"/>
      <c r="AG290" s="2" t="n"/>
      <c r="AH290" s="2" t="n">
        <v>0</v>
      </c>
      <c r="AI290" s="2" t="n"/>
      <c r="AJ290" s="2" t="inlineStr">
        <is>
          <t>no</t>
        </is>
      </c>
      <c r="AK290" s="2" t="inlineStr">
        <is>
          <t>no</t>
        </is>
      </c>
      <c r="AL290" s="2" t="inlineStr">
        <is>
          <t>no</t>
        </is>
      </c>
      <c r="AM290" s="2" t="n"/>
      <c r="AN290" s="2" t="n"/>
      <c r="AO290" s="2" t="n"/>
      <c r="AP290" s="2" t="inlineStr">
        <is>
          <t>v3_2026-03-19</t>
        </is>
      </c>
      <c r="AQ290">
        <f>(L290-Schema_v5!$C2)/(Schema_v5!$C3-Schema_v5!$C2)</f>
        <v/>
      </c>
      <c r="AR290">
        <f>(M290-Schema_v5!$C4)/(Schema_v5!$C5-Schema_v5!$C4)</f>
        <v/>
      </c>
      <c r="AS290">
        <f>N290/Schema_v5!$C6</f>
        <v/>
      </c>
      <c r="AT290">
        <f>O290/Schema_v5!$C7</f>
        <v/>
      </c>
      <c r="AU290">
        <f>P290/Schema_v5!$C8</f>
        <v/>
      </c>
      <c r="AV290">
        <f>IF(Schema_v5!$C9=0,0,AH290/Schema_v5!$C9)</f>
        <v/>
      </c>
      <c r="AW290">
        <f>IF(Schema_v5!$C10=0,0,AE290/Schema_v5!$C10)</f>
        <v/>
      </c>
      <c r="AX290">
        <f>(W290-Schema_v5!$C11)/(Schema_v5!$C12-Schema_v5!$C11)</f>
        <v/>
      </c>
      <c r="AY290">
        <f>(X290-Schema_v5!$C13)/(Schema_v5!$C14-Schema_v5!$C13)</f>
        <v/>
      </c>
      <c r="AZ290">
        <f>MIN(1,MAX(0,U290/Schema_v7!$C$9))</f>
        <v/>
      </c>
      <c r="BA290">
        <f>IF(AJ290="yes",0.55,0)</f>
        <v/>
      </c>
      <c r="BB290">
        <f>IF(AI290="yes",0.10,0)</f>
        <v/>
      </c>
      <c r="BC290">
        <f>IF(Y290="COMM_Direct",0.92,IF(Y290="COMM_Emotional",0.70,IF(Y290="COMM_Logical",0.65,IF(Y290="COMM_Indirect",0.55,0.35))))</f>
        <v/>
      </c>
      <c r="BD290">
        <f>IF(Z290="REG_CoRegulator",0.92,IF(Z290="REG_SelfSoother",0.76,IF(Z290="REG_Distractor",0.48,0.35)))</f>
        <v/>
      </c>
      <c r="BE290">
        <f>IF(AA290="LANG_Time",0.76,IF(AA290="LANG_Service",0.70,IF(AA290="LANG_Words",0.72,IF(AA290="LANG_Touch",0.68,0.60))))</f>
        <v/>
      </c>
      <c r="BF290">
        <f>MAX(0,MIN(1,0.28*AS290+0.16*AT290+0.18*BC290+0.18*BD290+0.10*(1-AZ290)+0.10*(1-BA290)+BB290))</f>
        <v/>
      </c>
      <c r="BG290">
        <f>MAX(0,MIN(1,0.24*AU290+0.18*AS290+0.18*BC290+0.20*BD290+0.10*(1-AW290)+0.10*(1-BA290)))</f>
        <v/>
      </c>
      <c r="BH290">
        <f>MAX(0,MIN(1,0.28*AR290+0.18*AT290+0.16*AU290+0.18*(1-AV290)+0.10*(1-AW290)+0.10*BF290))</f>
        <v/>
      </c>
      <c r="BI290">
        <f>MAX(0,MIN(1,0.30*AV290+0.20*AZ290+0.20*AW290+0.15*(1-BH290)+0.15*(1-BO290)))</f>
        <v/>
      </c>
      <c r="BJ290">
        <f>MAX(0,1-(ABS(((( AX290+AY290)/2)-0.55)*1.6)))</f>
        <v/>
      </c>
      <c r="BK290">
        <f>MAX(0,MIN(1,0.28*AR290+0.18*AT290+0.16*BJ290+0.14*(1-AV290)+0.12*BQ290+0.12*BO290))</f>
        <v/>
      </c>
      <c r="BL290">
        <f>MAX(0,MIN(1,0.22*AQ290+0.18*AS290+0.18*BC290+0.18*BD290+0.08*BE290+0.10*BF290+0.06*BO290))</f>
        <v/>
      </c>
      <c r="BM290">
        <f>MAX(0,MIN(1,0.20*(1-AZ290)+0.16*(1-BA290)+0.14*(1-AW290)+0.14*AU290+0.18*BG290+0.10*BH290+0.08*BP290))</f>
        <v/>
      </c>
      <c r="BN290">
        <f>MAX(0,MIN(1,0.42*BJ290+0.33*BK290+0.15*AT290+0.10*BQ290))</f>
        <v/>
      </c>
      <c r="BO290">
        <f>MAX(0,MIN(1,0.30*BC290+0.24*BD290+0.18*AS290+0.14*(1-BI290)+0.14*AT290))</f>
        <v/>
      </c>
      <c r="BP290">
        <f>MAX(0,MIN(1,0.26*AS290+0.20*(1-BA290)+0.16*(1-AW290)+0.18*BG290+0.10*AU290+0.10+BB290))</f>
        <v/>
      </c>
      <c r="BQ290">
        <f>MAX(0,MIN(1,0.24*AT290+0.18*BF290+0.14*AR290+0.14*BO290+0.14*(1-AV290)+0.16*(1-AZ290)))</f>
        <v/>
      </c>
      <c r="BR290">
        <f>IF(BO290&gt;=0.80,"Open",IF(BO290&gt;=0.62,"Measured",IF(BO290&gt;=0.45,"Selective","Guarded")))</f>
        <v/>
      </c>
      <c r="BS290">
        <f>IF(Y290="COMM_Direct","Direct",IF(Y290="COMM_Emotional","Emotional",IF(Y290="COMM_Logical","Logical",IF(Y290="COMM_Indirect","Indirect","Avoidant"))))</f>
        <v/>
      </c>
      <c r="BT290">
        <f>IF(BG290&gt;=0.78,"Co-repair",IF(BG290&gt;=0.58,"Re-engage",IF(BG290&gt;=0.40,"Delay","Suppress")))</f>
        <v/>
      </c>
      <c r="BU290">
        <f>IF(BI290&gt;=0.70,"Retreat-risk",IF(BH290&lt;=0.40,"Rush-risk",IF(BH290&gt;=0.65,"Slow-build","Mixed")))</f>
        <v/>
      </c>
      <c r="BV290">
        <f>IF(BL290-BM290&gt;=0.15,"Stimulation-seeking",IF(BM290-BL290&gt;=0.15,"Calm-seeking","Mixed")))</f>
        <v/>
      </c>
      <c r="BW290">
        <f>IF(AND(BL290&gt;=0.72,BM290&lt;0.48),"High",IF(AND(BL290&gt;=0.60,BM290&lt;0.58),"Medium","Low"))</f>
        <v/>
      </c>
    </row>
    <row r="291" ht="68.25" customHeight="1" s="10">
      <c r="A291" s="2" t="inlineStr">
        <is>
          <t>Q57_D</t>
        </is>
      </c>
      <c r="B291" s="2" t="n">
        <v>57</v>
      </c>
      <c r="C291" s="2" t="n">
        <v>106</v>
      </c>
      <c r="D291" s="2" t="inlineStr">
        <is>
          <t>Shadow</t>
        </is>
      </c>
      <c r="E291" s="2" t="n">
        <v>1.35</v>
      </c>
      <c r="F291" s="2" t="inlineStr">
        <is>
          <t>ShadowPattern</t>
        </is>
      </c>
      <c r="G291" s="2" t="inlineStr">
        <is>
          <t>IntegrityRisk</t>
        </is>
      </c>
      <c r="H291" s="2" t="n"/>
      <c r="I291" s="2" t="inlineStr">
        <is>
          <t>D</t>
        </is>
      </c>
      <c r="J291" s="2" t="inlineStr">
        <is>
          <t>D</t>
        </is>
      </c>
      <c r="K291" s="2" t="inlineStr">
        <is>
          <t>Mirror their vibe. If they're cold, I'm cooler. I adjust fast.</t>
        </is>
      </c>
      <c r="L291" s="2" t="n">
        <v>6</v>
      </c>
      <c r="M291" s="2" t="n"/>
      <c r="N291" s="2" t="n">
        <v>4</v>
      </c>
      <c r="O291" s="2" t="n">
        <v>4</v>
      </c>
      <c r="P291" s="2" t="n">
        <v>4</v>
      </c>
      <c r="Q291" s="2" t="n"/>
      <c r="R291" s="2" t="n"/>
      <c r="S291" s="2" t="inlineStr">
        <is>
          <t>Chameleon</t>
        </is>
      </c>
      <c r="T291" s="2" t="n">
        <v>4</v>
      </c>
      <c r="U291" s="2" t="n">
        <v>6</v>
      </c>
      <c r="V291" s="2" t="inlineStr">
        <is>
          <t>masc:0.0;fem:0.0</t>
        </is>
      </c>
      <c r="W291" s="2" t="n">
        <v>0</v>
      </c>
      <c r="X291" s="2" t="n">
        <v>0</v>
      </c>
      <c r="Y291" s="2" t="n"/>
      <c r="Z291" s="2" t="n"/>
      <c r="AA291" s="2" t="n"/>
      <c r="AB291" s="2" t="n"/>
      <c r="AC291" s="2" t="n"/>
      <c r="AD291" s="2" t="n"/>
      <c r="AE291" s="2" t="n">
        <v>0</v>
      </c>
      <c r="AF291" s="2" t="n"/>
      <c r="AG291" s="2" t="n"/>
      <c r="AH291" s="2" t="n">
        <v>0.6</v>
      </c>
      <c r="AI291" s="2" t="n"/>
      <c r="AJ291" s="2" t="inlineStr">
        <is>
          <t>no</t>
        </is>
      </c>
      <c r="AK291" s="2" t="inlineStr">
        <is>
          <t>no</t>
        </is>
      </c>
      <c r="AL291" s="2" t="inlineStr">
        <is>
          <t>no</t>
        </is>
      </c>
      <c r="AM291" s="2" t="n"/>
      <c r="AN291" s="2" t="n"/>
      <c r="AO291" s="2" t="n"/>
      <c r="AP291" s="2" t="inlineStr">
        <is>
          <t>v3_2026-03-19</t>
        </is>
      </c>
      <c r="AQ291">
        <f>(L291-Schema_v5!$C2)/(Schema_v5!$C3-Schema_v5!$C2)</f>
        <v/>
      </c>
      <c r="AR291">
        <f>(M291-Schema_v5!$C4)/(Schema_v5!$C5-Schema_v5!$C4)</f>
        <v/>
      </c>
      <c r="AS291">
        <f>N291/Schema_v5!$C6</f>
        <v/>
      </c>
      <c r="AT291">
        <f>O291/Schema_v5!$C7</f>
        <v/>
      </c>
      <c r="AU291">
        <f>P291/Schema_v5!$C8</f>
        <v/>
      </c>
      <c r="AV291">
        <f>IF(Schema_v5!$C9=0,0,AH291/Schema_v5!$C9)</f>
        <v/>
      </c>
      <c r="AW291">
        <f>IF(Schema_v5!$C10=0,0,AE291/Schema_v5!$C10)</f>
        <v/>
      </c>
      <c r="AX291">
        <f>(W291-Schema_v5!$C11)/(Schema_v5!$C12-Schema_v5!$C11)</f>
        <v/>
      </c>
      <c r="AY291">
        <f>(X291-Schema_v5!$C13)/(Schema_v5!$C14-Schema_v5!$C13)</f>
        <v/>
      </c>
      <c r="AZ291">
        <f>MIN(1,MAX(0,U291/Schema_v7!$C$9))</f>
        <v/>
      </c>
      <c r="BA291">
        <f>IF(AJ291="yes",0.55,0)</f>
        <v/>
      </c>
      <c r="BB291">
        <f>IF(AI291="yes",0.10,0)</f>
        <v/>
      </c>
      <c r="BC291">
        <f>IF(Y291="COMM_Direct",0.92,IF(Y291="COMM_Emotional",0.70,IF(Y291="COMM_Logical",0.65,IF(Y291="COMM_Indirect",0.55,0.35))))</f>
        <v/>
      </c>
      <c r="BD291">
        <f>IF(Z291="REG_CoRegulator",0.92,IF(Z291="REG_SelfSoother",0.76,IF(Z291="REG_Distractor",0.48,0.35)))</f>
        <v/>
      </c>
      <c r="BE291">
        <f>IF(AA291="LANG_Time",0.76,IF(AA291="LANG_Service",0.70,IF(AA291="LANG_Words",0.72,IF(AA291="LANG_Touch",0.68,0.60))))</f>
        <v/>
      </c>
      <c r="BF291">
        <f>MAX(0,MIN(1,0.28*AS291+0.16*AT291+0.18*BC291+0.18*BD291+0.10*(1-AZ291)+0.10*(1-BA291)+BB291))</f>
        <v/>
      </c>
      <c r="BG291">
        <f>MAX(0,MIN(1,0.24*AU291+0.18*AS291+0.18*BC291+0.20*BD291+0.10*(1-AW291)+0.10*(1-BA291)))</f>
        <v/>
      </c>
      <c r="BH291">
        <f>MAX(0,MIN(1,0.28*AR291+0.18*AT291+0.16*AU291+0.18*(1-AV291)+0.10*(1-AW291)+0.10*BF291))</f>
        <v/>
      </c>
      <c r="BI291">
        <f>MAX(0,MIN(1,0.30*AV291+0.20*AZ291+0.20*AW291+0.15*(1-BH291)+0.15*(1-BO291)))</f>
        <v/>
      </c>
      <c r="BJ291">
        <f>MAX(0,1-(ABS(((( AX291+AY291)/2)-0.55)*1.6)))</f>
        <v/>
      </c>
      <c r="BK291">
        <f>MAX(0,MIN(1,0.28*AR291+0.18*AT291+0.16*BJ291+0.14*(1-AV291)+0.12*BQ291+0.12*BO291))</f>
        <v/>
      </c>
      <c r="BL291">
        <f>MAX(0,MIN(1,0.22*AQ291+0.18*AS291+0.18*BC291+0.18*BD291+0.08*BE291+0.10*BF291+0.06*BO291))</f>
        <v/>
      </c>
      <c r="BM291">
        <f>MAX(0,MIN(1,0.20*(1-AZ291)+0.16*(1-BA291)+0.14*(1-AW291)+0.14*AU291+0.18*BG291+0.10*BH291+0.08*BP291))</f>
        <v/>
      </c>
      <c r="BN291">
        <f>MAX(0,MIN(1,0.42*BJ291+0.33*BK291+0.15*AT291+0.10*BQ291))</f>
        <v/>
      </c>
      <c r="BO291">
        <f>MAX(0,MIN(1,0.30*BC291+0.24*BD291+0.18*AS291+0.14*(1-BI291)+0.14*AT291))</f>
        <v/>
      </c>
      <c r="BP291">
        <f>MAX(0,MIN(1,0.26*AS291+0.20*(1-BA291)+0.16*(1-AW291)+0.18*BG291+0.10*AU291+0.10+BB291))</f>
        <v/>
      </c>
      <c r="BQ291">
        <f>MAX(0,MIN(1,0.24*AT291+0.18*BF291+0.14*AR291+0.14*BO291+0.14*(1-AV291)+0.16*(1-AZ291)))</f>
        <v/>
      </c>
      <c r="BR291">
        <f>IF(BO291&gt;=0.80,"Open",IF(BO291&gt;=0.62,"Measured",IF(BO291&gt;=0.45,"Selective","Guarded")))</f>
        <v/>
      </c>
      <c r="BS291">
        <f>IF(Y291="COMM_Direct","Direct",IF(Y291="COMM_Emotional","Emotional",IF(Y291="COMM_Logical","Logical",IF(Y291="COMM_Indirect","Indirect","Avoidant"))))</f>
        <v/>
      </c>
      <c r="BT291">
        <f>IF(BG291&gt;=0.78,"Co-repair",IF(BG291&gt;=0.58,"Re-engage",IF(BG291&gt;=0.40,"Delay","Suppress")))</f>
        <v/>
      </c>
      <c r="BU291">
        <f>IF(BI291&gt;=0.70,"Retreat-risk",IF(BH291&lt;=0.40,"Rush-risk",IF(BH291&gt;=0.65,"Slow-build","Mixed")))</f>
        <v/>
      </c>
      <c r="BV291">
        <f>IF(BL291-BM291&gt;=0.15,"Stimulation-seeking",IF(BM291-BL291&gt;=0.15,"Calm-seeking","Mixed")))</f>
        <v/>
      </c>
      <c r="BW291">
        <f>IF(AND(BL291&gt;=0.72,BM291&lt;0.48),"High",IF(AND(BL291&gt;=0.60,BM291&lt;0.58),"Medium","Low"))</f>
        <v/>
      </c>
    </row>
    <row r="292" ht="94.5" customHeight="1" s="10">
      <c r="A292" s="2" t="inlineStr">
        <is>
          <t>Q57_E</t>
        </is>
      </c>
      <c r="B292" s="2" t="n">
        <v>57</v>
      </c>
      <c r="C292" s="2" t="n">
        <v>106</v>
      </c>
      <c r="D292" s="2" t="inlineStr">
        <is>
          <t>Shadow</t>
        </is>
      </c>
      <c r="E292" s="2" t="n">
        <v>1.35</v>
      </c>
      <c r="F292" s="2" t="inlineStr">
        <is>
          <t>ShadowPattern</t>
        </is>
      </c>
      <c r="G292" s="2" t="inlineStr">
        <is>
          <t>IntegrityRisk</t>
        </is>
      </c>
      <c r="H292" s="2" t="n"/>
      <c r="I292" s="2" t="inlineStr">
        <is>
          <t>E</t>
        </is>
      </c>
      <c r="J292" s="2" t="inlineStr">
        <is>
          <t>E</t>
        </is>
      </c>
      <c r="K292" s="2" t="inlineStr">
        <is>
          <t>Bring up everything I've done for them-then ask why they're acting different.</t>
        </is>
      </c>
      <c r="L292" s="2" t="n">
        <v>7</v>
      </c>
      <c r="M292" s="2" t="n"/>
      <c r="N292" s="2" t="n">
        <v>2</v>
      </c>
      <c r="O292" s="2" t="n">
        <v>2</v>
      </c>
      <c r="P292" s="2" t="n">
        <v>2</v>
      </c>
      <c r="Q292" s="2" t="n"/>
      <c r="R292" s="2" t="n"/>
      <c r="S292" s="2" t="inlineStr">
        <is>
          <t>Scorekeeper</t>
        </is>
      </c>
      <c r="T292" s="2" t="n">
        <v>5</v>
      </c>
      <c r="U292" s="2" t="n">
        <v>8</v>
      </c>
      <c r="V292" s="2" t="inlineStr">
        <is>
          <t>masc:0.0;fem:0.0</t>
        </is>
      </c>
      <c r="W292" s="2" t="n">
        <v>0</v>
      </c>
      <c r="X292" s="2" t="n">
        <v>0</v>
      </c>
      <c r="Y292" s="2" t="n"/>
      <c r="Z292" s="2" t="n"/>
      <c r="AA292" s="2" t="n"/>
      <c r="AB292" s="2" t="n"/>
      <c r="AC292" s="2" t="n"/>
      <c r="AD292" s="2" t="n"/>
      <c r="AE292" s="2" t="n">
        <v>0</v>
      </c>
      <c r="AF292" s="2" t="n"/>
      <c r="AG292" s="2" t="n"/>
      <c r="AH292" s="2" t="n">
        <v>0</v>
      </c>
      <c r="AI292" s="2" t="n"/>
      <c r="AJ292" s="2" t="inlineStr">
        <is>
          <t>no</t>
        </is>
      </c>
      <c r="AK292" s="2" t="inlineStr">
        <is>
          <t>no</t>
        </is>
      </c>
      <c r="AL292" s="2" t="inlineStr">
        <is>
          <t>no</t>
        </is>
      </c>
      <c r="AM292" s="2" t="n"/>
      <c r="AN292" s="2" t="n"/>
      <c r="AO292" s="2" t="n"/>
      <c r="AP292" s="2" t="inlineStr">
        <is>
          <t>v3_2026-03-19</t>
        </is>
      </c>
      <c r="AQ292">
        <f>(L292-Schema_v5!$C2)/(Schema_v5!$C3-Schema_v5!$C2)</f>
        <v/>
      </c>
      <c r="AR292">
        <f>(M292-Schema_v5!$C4)/(Schema_v5!$C5-Schema_v5!$C4)</f>
        <v/>
      </c>
      <c r="AS292">
        <f>N292/Schema_v5!$C6</f>
        <v/>
      </c>
      <c r="AT292">
        <f>O292/Schema_v5!$C7</f>
        <v/>
      </c>
      <c r="AU292">
        <f>P292/Schema_v5!$C8</f>
        <v/>
      </c>
      <c r="AV292">
        <f>IF(Schema_v5!$C9=0,0,AH292/Schema_v5!$C9)</f>
        <v/>
      </c>
      <c r="AW292">
        <f>IF(Schema_v5!$C10=0,0,AE292/Schema_v5!$C10)</f>
        <v/>
      </c>
      <c r="AX292">
        <f>(W292-Schema_v5!$C11)/(Schema_v5!$C12-Schema_v5!$C11)</f>
        <v/>
      </c>
      <c r="AY292">
        <f>(X292-Schema_v5!$C13)/(Schema_v5!$C14-Schema_v5!$C13)</f>
        <v/>
      </c>
      <c r="AZ292">
        <f>MIN(1,MAX(0,U292/Schema_v7!$C$9))</f>
        <v/>
      </c>
      <c r="BA292">
        <f>IF(AJ292="yes",0.55,0)</f>
        <v/>
      </c>
      <c r="BB292">
        <f>IF(AI292="yes",0.10,0)</f>
        <v/>
      </c>
      <c r="BC292">
        <f>IF(Y292="COMM_Direct",0.92,IF(Y292="COMM_Emotional",0.70,IF(Y292="COMM_Logical",0.65,IF(Y292="COMM_Indirect",0.55,0.35))))</f>
        <v/>
      </c>
      <c r="BD292">
        <f>IF(Z292="REG_CoRegulator",0.92,IF(Z292="REG_SelfSoother",0.76,IF(Z292="REG_Distractor",0.48,0.35)))</f>
        <v/>
      </c>
      <c r="BE292">
        <f>IF(AA292="LANG_Time",0.76,IF(AA292="LANG_Service",0.70,IF(AA292="LANG_Words",0.72,IF(AA292="LANG_Touch",0.68,0.60))))</f>
        <v/>
      </c>
      <c r="BF292">
        <f>MAX(0,MIN(1,0.28*AS292+0.16*AT292+0.18*BC292+0.18*BD292+0.10*(1-AZ292)+0.10*(1-BA292)+BB292))</f>
        <v/>
      </c>
      <c r="BG292">
        <f>MAX(0,MIN(1,0.24*AU292+0.18*AS292+0.18*BC292+0.20*BD292+0.10*(1-AW292)+0.10*(1-BA292)))</f>
        <v/>
      </c>
      <c r="BH292">
        <f>MAX(0,MIN(1,0.28*AR292+0.18*AT292+0.16*AU292+0.18*(1-AV292)+0.10*(1-AW292)+0.10*BF292))</f>
        <v/>
      </c>
      <c r="BI292">
        <f>MAX(0,MIN(1,0.30*AV292+0.20*AZ292+0.20*AW292+0.15*(1-BH292)+0.15*(1-BO292)))</f>
        <v/>
      </c>
      <c r="BJ292">
        <f>MAX(0,1-(ABS(((( AX292+AY292)/2)-0.55)*1.6)))</f>
        <v/>
      </c>
      <c r="BK292">
        <f>MAX(0,MIN(1,0.28*AR292+0.18*AT292+0.16*BJ292+0.14*(1-AV292)+0.12*BQ292+0.12*BO292))</f>
        <v/>
      </c>
      <c r="BL292">
        <f>MAX(0,MIN(1,0.22*AQ292+0.18*AS292+0.18*BC292+0.18*BD292+0.08*BE292+0.10*BF292+0.06*BO292))</f>
        <v/>
      </c>
      <c r="BM292">
        <f>MAX(0,MIN(1,0.20*(1-AZ292)+0.16*(1-BA292)+0.14*(1-AW292)+0.14*AU292+0.18*BG292+0.10*BH292+0.08*BP292))</f>
        <v/>
      </c>
      <c r="BN292">
        <f>MAX(0,MIN(1,0.42*BJ292+0.33*BK292+0.15*AT292+0.10*BQ292))</f>
        <v/>
      </c>
      <c r="BO292">
        <f>MAX(0,MIN(1,0.30*BC292+0.24*BD292+0.18*AS292+0.14*(1-BI292)+0.14*AT292))</f>
        <v/>
      </c>
      <c r="BP292">
        <f>MAX(0,MIN(1,0.26*AS292+0.20*(1-BA292)+0.16*(1-AW292)+0.18*BG292+0.10*AU292+0.10+BB292))</f>
        <v/>
      </c>
      <c r="BQ292">
        <f>MAX(0,MIN(1,0.24*AT292+0.18*BF292+0.14*AR292+0.14*BO292+0.14*(1-AV292)+0.16*(1-AZ292)))</f>
        <v/>
      </c>
      <c r="BR292">
        <f>IF(BO292&gt;=0.80,"Open",IF(BO292&gt;=0.62,"Measured",IF(BO292&gt;=0.45,"Selective","Guarded")))</f>
        <v/>
      </c>
      <c r="BS292">
        <f>IF(Y292="COMM_Direct","Direct",IF(Y292="COMM_Emotional","Emotional",IF(Y292="COMM_Logical","Logical",IF(Y292="COMM_Indirect","Indirect","Avoidant"))))</f>
        <v/>
      </c>
      <c r="BT292">
        <f>IF(BG292&gt;=0.78,"Co-repair",IF(BG292&gt;=0.58,"Re-engage",IF(BG292&gt;=0.40,"Delay","Suppress")))</f>
        <v/>
      </c>
      <c r="BU292">
        <f>IF(BI292&gt;=0.70,"Retreat-risk",IF(BH292&lt;=0.40,"Rush-risk",IF(BH292&gt;=0.65,"Slow-build","Mixed")))</f>
        <v/>
      </c>
      <c r="BV292">
        <f>IF(BL292-BM292&gt;=0.15,"Stimulation-seeking",IF(BM292-BL292&gt;=0.15,"Calm-seeking","Mixed")))</f>
        <v/>
      </c>
      <c r="BW292">
        <f>IF(AND(BL292&gt;=0.72,BM292&lt;0.48),"High",IF(AND(BL292&gt;=0.60,BM292&lt;0.58),"Medium","Low"))</f>
        <v/>
      </c>
    </row>
    <row r="293" ht="81" customHeight="1" s="10">
      <c r="A293" s="2" t="inlineStr">
        <is>
          <t>Q57_F</t>
        </is>
      </c>
      <c r="B293" s="2" t="n">
        <v>57</v>
      </c>
      <c r="C293" s="2" t="n">
        <v>106</v>
      </c>
      <c r="D293" s="2" t="inlineStr">
        <is>
          <t>Shadow</t>
        </is>
      </c>
      <c r="E293" s="2" t="n">
        <v>1.35</v>
      </c>
      <c r="F293" s="2" t="inlineStr">
        <is>
          <t>ShadowPattern</t>
        </is>
      </c>
      <c r="G293" s="2" t="inlineStr">
        <is>
          <t>IntegrityRisk</t>
        </is>
      </c>
      <c r="H293" s="2" t="n"/>
      <c r="I293" s="2" t="inlineStr">
        <is>
          <t>F</t>
        </is>
      </c>
      <c r="J293" s="2" t="inlineStr">
        <is>
          <t>F</t>
        </is>
      </c>
      <c r="K293" s="2" t="inlineStr">
        <is>
          <t>Assume I did something wrong, and start pulling away before they do.</t>
        </is>
      </c>
      <c r="L293" s="2" t="n">
        <v>8</v>
      </c>
      <c r="M293" s="2" t="n"/>
      <c r="N293" s="2" t="n">
        <v>2</v>
      </c>
      <c r="O293" s="2" t="n">
        <v>2</v>
      </c>
      <c r="P293" s="2" t="n">
        <v>2</v>
      </c>
      <c r="Q293" s="2" t="n"/>
      <c r="R293" s="2" t="n"/>
      <c r="S293" s="2" t="inlineStr">
        <is>
          <t>Self-Saboteur</t>
        </is>
      </c>
      <c r="T293" s="2" t="n">
        <v>6</v>
      </c>
      <c r="U293" s="2" t="n">
        <v>8</v>
      </c>
      <c r="V293" s="2" t="inlineStr">
        <is>
          <t>masc:0.0;fem:0.0</t>
        </is>
      </c>
      <c r="W293" s="2" t="n">
        <v>0</v>
      </c>
      <c r="X293" s="2" t="n">
        <v>0</v>
      </c>
      <c r="Y293" s="2" t="n"/>
      <c r="Z293" s="2" t="n"/>
      <c r="AA293" s="2" t="n"/>
      <c r="AB293" s="2" t="n"/>
      <c r="AC293" s="2" t="n"/>
      <c r="AD293" s="2" t="n"/>
      <c r="AE293" s="2" t="n">
        <v>0</v>
      </c>
      <c r="AF293" s="2" t="n"/>
      <c r="AG293" s="2" t="n"/>
      <c r="AH293" s="2" t="n">
        <v>0</v>
      </c>
      <c r="AI293" s="2" t="n"/>
      <c r="AJ293" s="2" t="inlineStr">
        <is>
          <t>no</t>
        </is>
      </c>
      <c r="AK293" s="2" t="inlineStr">
        <is>
          <t>no</t>
        </is>
      </c>
      <c r="AL293" s="2" t="inlineStr">
        <is>
          <t>no</t>
        </is>
      </c>
      <c r="AM293" s="2" t="n"/>
      <c r="AN293" s="2" t="n"/>
      <c r="AO293" s="2" t="n"/>
      <c r="AP293" s="2" t="inlineStr">
        <is>
          <t>v3_2026-03-19</t>
        </is>
      </c>
      <c r="AQ293">
        <f>(L293-Schema_v5!$C2)/(Schema_v5!$C3-Schema_v5!$C2)</f>
        <v/>
      </c>
      <c r="AR293">
        <f>(M293-Schema_v5!$C4)/(Schema_v5!$C5-Schema_v5!$C4)</f>
        <v/>
      </c>
      <c r="AS293">
        <f>N293/Schema_v5!$C6</f>
        <v/>
      </c>
      <c r="AT293">
        <f>O293/Schema_v5!$C7</f>
        <v/>
      </c>
      <c r="AU293">
        <f>P293/Schema_v5!$C8</f>
        <v/>
      </c>
      <c r="AV293">
        <f>IF(Schema_v5!$C9=0,0,AH293/Schema_v5!$C9)</f>
        <v/>
      </c>
      <c r="AW293">
        <f>IF(Schema_v5!$C10=0,0,AE293/Schema_v5!$C10)</f>
        <v/>
      </c>
      <c r="AX293">
        <f>(W293-Schema_v5!$C11)/(Schema_v5!$C12-Schema_v5!$C11)</f>
        <v/>
      </c>
      <c r="AY293">
        <f>(X293-Schema_v5!$C13)/(Schema_v5!$C14-Schema_v5!$C13)</f>
        <v/>
      </c>
      <c r="AZ293">
        <f>MIN(1,MAX(0,U293/Schema_v7!$C$9))</f>
        <v/>
      </c>
      <c r="BA293">
        <f>IF(AJ293="yes",0.55,0)</f>
        <v/>
      </c>
      <c r="BB293">
        <f>IF(AI293="yes",0.10,0)</f>
        <v/>
      </c>
      <c r="BC293">
        <f>IF(Y293="COMM_Direct",0.92,IF(Y293="COMM_Emotional",0.70,IF(Y293="COMM_Logical",0.65,IF(Y293="COMM_Indirect",0.55,0.35))))</f>
        <v/>
      </c>
      <c r="BD293">
        <f>IF(Z293="REG_CoRegulator",0.92,IF(Z293="REG_SelfSoother",0.76,IF(Z293="REG_Distractor",0.48,0.35)))</f>
        <v/>
      </c>
      <c r="BE293">
        <f>IF(AA293="LANG_Time",0.76,IF(AA293="LANG_Service",0.70,IF(AA293="LANG_Words",0.72,IF(AA293="LANG_Touch",0.68,0.60))))</f>
        <v/>
      </c>
      <c r="BF293">
        <f>MAX(0,MIN(1,0.28*AS293+0.16*AT293+0.18*BC293+0.18*BD293+0.10*(1-AZ293)+0.10*(1-BA293)+BB293))</f>
        <v/>
      </c>
      <c r="BG293">
        <f>MAX(0,MIN(1,0.24*AU293+0.18*AS293+0.18*BC293+0.20*BD293+0.10*(1-AW293)+0.10*(1-BA293)))</f>
        <v/>
      </c>
      <c r="BH293">
        <f>MAX(0,MIN(1,0.28*AR293+0.18*AT293+0.16*AU293+0.18*(1-AV293)+0.10*(1-AW293)+0.10*BF293))</f>
        <v/>
      </c>
      <c r="BI293">
        <f>MAX(0,MIN(1,0.30*AV293+0.20*AZ293+0.20*AW293+0.15*(1-BH293)+0.15*(1-BO293)))</f>
        <v/>
      </c>
      <c r="BJ293">
        <f>MAX(0,1-(ABS(((( AX293+AY293)/2)-0.55)*1.6)))</f>
        <v/>
      </c>
      <c r="BK293">
        <f>MAX(0,MIN(1,0.28*AR293+0.18*AT293+0.16*BJ293+0.14*(1-AV293)+0.12*BQ293+0.12*BO293))</f>
        <v/>
      </c>
      <c r="BL293">
        <f>MAX(0,MIN(1,0.22*AQ293+0.18*AS293+0.18*BC293+0.18*BD293+0.08*BE293+0.10*BF293+0.06*BO293))</f>
        <v/>
      </c>
      <c r="BM293">
        <f>MAX(0,MIN(1,0.20*(1-AZ293)+0.16*(1-BA293)+0.14*(1-AW293)+0.14*AU293+0.18*BG293+0.10*BH293+0.08*BP293))</f>
        <v/>
      </c>
      <c r="BN293">
        <f>MAX(0,MIN(1,0.42*BJ293+0.33*BK293+0.15*AT293+0.10*BQ293))</f>
        <v/>
      </c>
      <c r="BO293">
        <f>MAX(0,MIN(1,0.30*BC293+0.24*BD293+0.18*AS293+0.14*(1-BI293)+0.14*AT293))</f>
        <v/>
      </c>
      <c r="BP293">
        <f>MAX(0,MIN(1,0.26*AS293+0.20*(1-BA293)+0.16*(1-AW293)+0.18*BG293+0.10*AU293+0.10+BB293))</f>
        <v/>
      </c>
      <c r="BQ293">
        <f>MAX(0,MIN(1,0.24*AT293+0.18*BF293+0.14*AR293+0.14*BO293+0.14*(1-AV293)+0.16*(1-AZ293)))</f>
        <v/>
      </c>
      <c r="BR293">
        <f>IF(BO293&gt;=0.80,"Open",IF(BO293&gt;=0.62,"Measured",IF(BO293&gt;=0.45,"Selective","Guarded")))</f>
        <v/>
      </c>
      <c r="BS293">
        <f>IF(Y293="COMM_Direct","Direct",IF(Y293="COMM_Emotional","Emotional",IF(Y293="COMM_Logical","Logical",IF(Y293="COMM_Indirect","Indirect","Avoidant"))))</f>
        <v/>
      </c>
      <c r="BT293">
        <f>IF(BG293&gt;=0.78,"Co-repair",IF(BG293&gt;=0.58,"Re-engage",IF(BG293&gt;=0.40,"Delay","Suppress")))</f>
        <v/>
      </c>
      <c r="BU293">
        <f>IF(BI293&gt;=0.70,"Retreat-risk",IF(BH293&lt;=0.40,"Rush-risk",IF(BH293&gt;=0.65,"Slow-build","Mixed")))</f>
        <v/>
      </c>
      <c r="BV293">
        <f>IF(BL293-BM293&gt;=0.15,"Stimulation-seeking",IF(BM293-BL293&gt;=0.15,"Calm-seeking","Mixed")))</f>
        <v/>
      </c>
      <c r="BW293">
        <f>IF(AND(BL293&gt;=0.72,BM293&lt;0.48),"High",IF(AND(BL293&gt;=0.60,BM293&lt;0.58),"Medium","Low"))</f>
        <v/>
      </c>
    </row>
    <row r="294" ht="81" customHeight="1" s="10">
      <c r="A294" s="2" t="inlineStr">
        <is>
          <t>Q58_A</t>
        </is>
      </c>
      <c r="B294" s="2" t="n">
        <v>58</v>
      </c>
      <c r="C294" s="2" t="n">
        <v>107</v>
      </c>
      <c r="D294" s="2" t="inlineStr">
        <is>
          <t>Shadow</t>
        </is>
      </c>
      <c r="E294" s="2" t="n">
        <v>1.35</v>
      </c>
      <c r="F294" s="2" t="inlineStr">
        <is>
          <t>ShadowPattern</t>
        </is>
      </c>
      <c r="G294" s="2" t="inlineStr">
        <is>
          <t>IntegrityRisk</t>
        </is>
      </c>
      <c r="H294" s="2" t="inlineStr">
        <is>
          <t>You mess up-hurt someone or break a small trust. How do you usually handle it?</t>
        </is>
      </c>
      <c r="I294" s="2" t="inlineStr">
        <is>
          <t>A</t>
        </is>
      </c>
      <c r="J294" s="2" t="inlineStr">
        <is>
          <t>A</t>
        </is>
      </c>
      <c r="K294" s="2" t="inlineStr">
        <is>
          <t>Apologize in a way that makes them feel bad for making me feel bad.</t>
        </is>
      </c>
      <c r="L294" s="2" t="n">
        <v>4</v>
      </c>
      <c r="M294" s="2" t="n"/>
      <c r="N294" s="2" t="n">
        <v>4</v>
      </c>
      <c r="O294" s="2" t="n">
        <v>4</v>
      </c>
      <c r="P294" s="2" t="n">
        <v>4</v>
      </c>
      <c r="Q294" s="2" t="n"/>
      <c r="R294" s="2" t="n"/>
      <c r="S294" s="2" t="inlineStr">
        <is>
          <t>Manipulator</t>
        </is>
      </c>
      <c r="T294" s="2" t="n">
        <v>1</v>
      </c>
      <c r="U294" s="2" t="n">
        <v>6</v>
      </c>
      <c r="V294" s="2" t="inlineStr">
        <is>
          <t>masc:0.0;fem:0.0</t>
        </is>
      </c>
      <c r="W294" s="2" t="n">
        <v>0</v>
      </c>
      <c r="X294" s="2" t="n">
        <v>0</v>
      </c>
      <c r="Y294" s="2" t="n"/>
      <c r="Z294" s="2" t="n"/>
      <c r="AA294" s="2" t="n"/>
      <c r="AB294" s="2" t="n"/>
      <c r="AC294" s="2" t="n"/>
      <c r="AD294" s="2" t="n"/>
      <c r="AE294" s="2" t="n">
        <v>0</v>
      </c>
      <c r="AF294" s="2" t="n"/>
      <c r="AG294" s="2" t="n"/>
      <c r="AH294" s="2" t="n">
        <v>0</v>
      </c>
      <c r="AI294" s="2" t="n"/>
      <c r="AJ294" s="2" t="inlineStr">
        <is>
          <t>yes</t>
        </is>
      </c>
      <c r="AK294" s="2" t="inlineStr">
        <is>
          <t>no</t>
        </is>
      </c>
      <c r="AL294" s="2" t="inlineStr">
        <is>
          <t>no</t>
        </is>
      </c>
      <c r="AM294" s="2" t="n"/>
      <c r="AN294" s="2" t="n"/>
      <c r="AO294" s="2" t="n"/>
      <c r="AP294" s="2" t="inlineStr">
        <is>
          <t>v3_2026-03-19</t>
        </is>
      </c>
      <c r="AQ294">
        <f>(L294-Schema_v5!$C2)/(Schema_v5!$C3-Schema_v5!$C2)</f>
        <v/>
      </c>
      <c r="AR294">
        <f>(M294-Schema_v5!$C4)/(Schema_v5!$C5-Schema_v5!$C4)</f>
        <v/>
      </c>
      <c r="AS294">
        <f>N294/Schema_v5!$C6</f>
        <v/>
      </c>
      <c r="AT294">
        <f>O294/Schema_v5!$C7</f>
        <v/>
      </c>
      <c r="AU294">
        <f>P294/Schema_v5!$C8</f>
        <v/>
      </c>
      <c r="AV294">
        <f>IF(Schema_v5!$C9=0,0,AH294/Schema_v5!$C9)</f>
        <v/>
      </c>
      <c r="AW294">
        <f>IF(Schema_v5!$C10=0,0,AE294/Schema_v5!$C10)</f>
        <v/>
      </c>
      <c r="AX294">
        <f>(W294-Schema_v5!$C11)/(Schema_v5!$C12-Schema_v5!$C11)</f>
        <v/>
      </c>
      <c r="AY294">
        <f>(X294-Schema_v5!$C13)/(Schema_v5!$C14-Schema_v5!$C13)</f>
        <v/>
      </c>
      <c r="AZ294">
        <f>MIN(1,MAX(0,U294/Schema_v7!$C$9))</f>
        <v/>
      </c>
      <c r="BA294">
        <f>IF(AJ294="yes",0.55,0)</f>
        <v/>
      </c>
      <c r="BB294">
        <f>IF(AI294="yes",0.10,0)</f>
        <v/>
      </c>
      <c r="BC294">
        <f>IF(Y294="COMM_Direct",0.92,IF(Y294="COMM_Emotional",0.70,IF(Y294="COMM_Logical",0.65,IF(Y294="COMM_Indirect",0.55,0.35))))</f>
        <v/>
      </c>
      <c r="BD294">
        <f>IF(Z294="REG_CoRegulator",0.92,IF(Z294="REG_SelfSoother",0.76,IF(Z294="REG_Distractor",0.48,0.35)))</f>
        <v/>
      </c>
      <c r="BE294">
        <f>IF(AA294="LANG_Time",0.76,IF(AA294="LANG_Service",0.70,IF(AA294="LANG_Words",0.72,IF(AA294="LANG_Touch",0.68,0.60))))</f>
        <v/>
      </c>
      <c r="BF294">
        <f>MAX(0,MIN(1,0.28*AS294+0.16*AT294+0.18*BC294+0.18*BD294+0.10*(1-AZ294)+0.10*(1-BA294)+BB294))</f>
        <v/>
      </c>
      <c r="BG294">
        <f>MAX(0,MIN(1,0.24*AU294+0.18*AS294+0.18*BC294+0.20*BD294+0.10*(1-AW294)+0.10*(1-BA294)))</f>
        <v/>
      </c>
      <c r="BH294">
        <f>MAX(0,MIN(1,0.28*AR294+0.18*AT294+0.16*AU294+0.18*(1-AV294)+0.10*(1-AW294)+0.10*BF294))</f>
        <v/>
      </c>
      <c r="BI294">
        <f>MAX(0,MIN(1,0.30*AV294+0.20*AZ294+0.20*AW294+0.15*(1-BH294)+0.15*(1-BO294)))</f>
        <v/>
      </c>
      <c r="BJ294">
        <f>MAX(0,1-(ABS(((( AX294+AY294)/2)-0.55)*1.6)))</f>
        <v/>
      </c>
      <c r="BK294">
        <f>MAX(0,MIN(1,0.28*AR294+0.18*AT294+0.16*BJ294+0.14*(1-AV294)+0.12*BQ294+0.12*BO294))</f>
        <v/>
      </c>
      <c r="BL294">
        <f>MAX(0,MIN(1,0.22*AQ294+0.18*AS294+0.18*BC294+0.18*BD294+0.08*BE294+0.10*BF294+0.06*BO294))</f>
        <v/>
      </c>
      <c r="BM294">
        <f>MAX(0,MIN(1,0.20*(1-AZ294)+0.16*(1-BA294)+0.14*(1-AW294)+0.14*AU294+0.18*BG294+0.10*BH294+0.08*BP294))</f>
        <v/>
      </c>
      <c r="BN294">
        <f>MAX(0,MIN(1,0.42*BJ294+0.33*BK294+0.15*AT294+0.10*BQ294))</f>
        <v/>
      </c>
      <c r="BO294">
        <f>MAX(0,MIN(1,0.30*BC294+0.24*BD294+0.18*AS294+0.14*(1-BI294)+0.14*AT294))</f>
        <v/>
      </c>
      <c r="BP294">
        <f>MAX(0,MIN(1,0.26*AS294+0.20*(1-BA294)+0.16*(1-AW294)+0.18*BG294+0.10*AU294+0.10+BB294))</f>
        <v/>
      </c>
      <c r="BQ294">
        <f>MAX(0,MIN(1,0.24*AT294+0.18*BF294+0.14*AR294+0.14*BO294+0.14*(1-AV294)+0.16*(1-AZ294)))</f>
        <v/>
      </c>
      <c r="BR294">
        <f>IF(BO294&gt;=0.80,"Open",IF(BO294&gt;=0.62,"Measured",IF(BO294&gt;=0.45,"Selective","Guarded")))</f>
        <v/>
      </c>
      <c r="BS294">
        <f>IF(Y294="COMM_Direct","Direct",IF(Y294="COMM_Emotional","Emotional",IF(Y294="COMM_Logical","Logical",IF(Y294="COMM_Indirect","Indirect","Avoidant"))))</f>
        <v/>
      </c>
      <c r="BT294">
        <f>IF(BG294&gt;=0.78,"Co-repair",IF(BG294&gt;=0.58,"Re-engage",IF(BG294&gt;=0.40,"Delay","Suppress")))</f>
        <v/>
      </c>
      <c r="BU294">
        <f>IF(BI294&gt;=0.70,"Retreat-risk",IF(BH294&lt;=0.40,"Rush-risk",IF(BH294&gt;=0.65,"Slow-build","Mixed")))</f>
        <v/>
      </c>
      <c r="BV294">
        <f>IF(BL294-BM294&gt;=0.15,"Stimulation-seeking",IF(BM294-BL294&gt;=0.15,"Calm-seeking","Mixed")))</f>
        <v/>
      </c>
      <c r="BW294">
        <f>IF(AND(BL294&gt;=0.72,BM294&lt;0.48),"High",IF(AND(BL294&gt;=0.60,BM294&lt;0.58),"Medium","Low"))</f>
        <v/>
      </c>
    </row>
    <row r="295" ht="54.75" customHeight="1" s="10">
      <c r="A295" s="2" t="inlineStr">
        <is>
          <t>Q58_B</t>
        </is>
      </c>
      <c r="B295" s="2" t="n">
        <v>58</v>
      </c>
      <c r="C295" s="2" t="n">
        <v>107</v>
      </c>
      <c r="D295" s="2" t="inlineStr">
        <is>
          <t>Shadow</t>
        </is>
      </c>
      <c r="E295" s="2" t="n">
        <v>1.35</v>
      </c>
      <c r="F295" s="2" t="inlineStr">
        <is>
          <t>ShadowPattern</t>
        </is>
      </c>
      <c r="G295" s="2" t="inlineStr">
        <is>
          <t>IntegrityRisk</t>
        </is>
      </c>
      <c r="H295" s="2" t="n"/>
      <c r="I295" s="2" t="inlineStr">
        <is>
          <t>B</t>
        </is>
      </c>
      <c r="J295" s="2" t="inlineStr">
        <is>
          <t>B</t>
        </is>
      </c>
      <c r="K295" s="2" t="inlineStr">
        <is>
          <t>Say nothing. If they bring it up, I'll deal with it then.</t>
        </is>
      </c>
      <c r="L295" s="2" t="n">
        <v>3</v>
      </c>
      <c r="M295" s="2" t="n"/>
      <c r="N295" s="2" t="n">
        <v>6</v>
      </c>
      <c r="O295" s="2" t="n">
        <v>6</v>
      </c>
      <c r="P295" s="2" t="n">
        <v>6</v>
      </c>
      <c r="Q295" s="2" t="n"/>
      <c r="R295" s="2" t="n"/>
      <c r="S295" s="2" t="inlineStr">
        <is>
          <t>Stonewaller</t>
        </is>
      </c>
      <c r="T295" s="2" t="n">
        <v>2</v>
      </c>
      <c r="U295" s="2" t="n">
        <v>4</v>
      </c>
      <c r="V295" s="2" t="inlineStr">
        <is>
          <t>masc:0.0;fem:0.0</t>
        </is>
      </c>
      <c r="W295" s="2" t="n">
        <v>0</v>
      </c>
      <c r="X295" s="2" t="n">
        <v>0</v>
      </c>
      <c r="Y295" s="2" t="n"/>
      <c r="Z295" s="2" t="n"/>
      <c r="AA295" s="2" t="n"/>
      <c r="AB295" s="2" t="n"/>
      <c r="AC295" s="2" t="n"/>
      <c r="AD295" s="2" t="n"/>
      <c r="AE295" s="2" t="n">
        <v>0</v>
      </c>
      <c r="AF295" s="2" t="n"/>
      <c r="AG295" s="2" t="n"/>
      <c r="AH295" s="2" t="n">
        <v>0</v>
      </c>
      <c r="AI295" s="2" t="n"/>
      <c r="AJ295" s="2" t="inlineStr">
        <is>
          <t>yes</t>
        </is>
      </c>
      <c r="AK295" s="2" t="inlineStr">
        <is>
          <t>no</t>
        </is>
      </c>
      <c r="AL295" s="2" t="inlineStr">
        <is>
          <t>no</t>
        </is>
      </c>
      <c r="AM295" s="2" t="n"/>
      <c r="AN295" s="2" t="n"/>
      <c r="AO295" s="2" t="n"/>
      <c r="AP295" s="2" t="inlineStr">
        <is>
          <t>v3_2026-03-19</t>
        </is>
      </c>
      <c r="AQ295">
        <f>(L295-Schema_v5!$C2)/(Schema_v5!$C3-Schema_v5!$C2)</f>
        <v/>
      </c>
      <c r="AR295">
        <f>(M295-Schema_v5!$C4)/(Schema_v5!$C5-Schema_v5!$C4)</f>
        <v/>
      </c>
      <c r="AS295">
        <f>N295/Schema_v5!$C6</f>
        <v/>
      </c>
      <c r="AT295">
        <f>O295/Schema_v5!$C7</f>
        <v/>
      </c>
      <c r="AU295">
        <f>P295/Schema_v5!$C8</f>
        <v/>
      </c>
      <c r="AV295">
        <f>IF(Schema_v5!$C9=0,0,AH295/Schema_v5!$C9)</f>
        <v/>
      </c>
      <c r="AW295">
        <f>IF(Schema_v5!$C10=0,0,AE295/Schema_v5!$C10)</f>
        <v/>
      </c>
      <c r="AX295">
        <f>(W295-Schema_v5!$C11)/(Schema_v5!$C12-Schema_v5!$C11)</f>
        <v/>
      </c>
      <c r="AY295">
        <f>(X295-Schema_v5!$C13)/(Schema_v5!$C14-Schema_v5!$C13)</f>
        <v/>
      </c>
      <c r="AZ295">
        <f>MIN(1,MAX(0,U295/Schema_v7!$C$9))</f>
        <v/>
      </c>
      <c r="BA295">
        <f>IF(AJ295="yes",0.55,0)</f>
        <v/>
      </c>
      <c r="BB295">
        <f>IF(AI295="yes",0.10,0)</f>
        <v/>
      </c>
      <c r="BC295">
        <f>IF(Y295="COMM_Direct",0.92,IF(Y295="COMM_Emotional",0.70,IF(Y295="COMM_Logical",0.65,IF(Y295="COMM_Indirect",0.55,0.35))))</f>
        <v/>
      </c>
      <c r="BD295">
        <f>IF(Z295="REG_CoRegulator",0.92,IF(Z295="REG_SelfSoother",0.76,IF(Z295="REG_Distractor",0.48,0.35)))</f>
        <v/>
      </c>
      <c r="BE295">
        <f>IF(AA295="LANG_Time",0.76,IF(AA295="LANG_Service",0.70,IF(AA295="LANG_Words",0.72,IF(AA295="LANG_Touch",0.68,0.60))))</f>
        <v/>
      </c>
      <c r="BF295">
        <f>MAX(0,MIN(1,0.28*AS295+0.16*AT295+0.18*BC295+0.18*BD295+0.10*(1-AZ295)+0.10*(1-BA295)+BB295))</f>
        <v/>
      </c>
      <c r="BG295">
        <f>MAX(0,MIN(1,0.24*AU295+0.18*AS295+0.18*BC295+0.20*BD295+0.10*(1-AW295)+0.10*(1-BA295)))</f>
        <v/>
      </c>
      <c r="BH295">
        <f>MAX(0,MIN(1,0.28*AR295+0.18*AT295+0.16*AU295+0.18*(1-AV295)+0.10*(1-AW295)+0.10*BF295))</f>
        <v/>
      </c>
      <c r="BI295">
        <f>MAX(0,MIN(1,0.30*AV295+0.20*AZ295+0.20*AW295+0.15*(1-BH295)+0.15*(1-BO295)))</f>
        <v/>
      </c>
      <c r="BJ295">
        <f>MAX(0,1-(ABS(((( AX295+AY295)/2)-0.55)*1.6)))</f>
        <v/>
      </c>
      <c r="BK295">
        <f>MAX(0,MIN(1,0.28*AR295+0.18*AT295+0.16*BJ295+0.14*(1-AV295)+0.12*BQ295+0.12*BO295))</f>
        <v/>
      </c>
      <c r="BL295">
        <f>MAX(0,MIN(1,0.22*AQ295+0.18*AS295+0.18*BC295+0.18*BD295+0.08*BE295+0.10*BF295+0.06*BO295))</f>
        <v/>
      </c>
      <c r="BM295">
        <f>MAX(0,MIN(1,0.20*(1-AZ295)+0.16*(1-BA295)+0.14*(1-AW295)+0.14*AU295+0.18*BG295+0.10*BH295+0.08*BP295))</f>
        <v/>
      </c>
      <c r="BN295">
        <f>MAX(0,MIN(1,0.42*BJ295+0.33*BK295+0.15*AT295+0.10*BQ295))</f>
        <v/>
      </c>
      <c r="BO295">
        <f>MAX(0,MIN(1,0.30*BC295+0.24*BD295+0.18*AS295+0.14*(1-BI295)+0.14*AT295))</f>
        <v/>
      </c>
      <c r="BP295">
        <f>MAX(0,MIN(1,0.26*AS295+0.20*(1-BA295)+0.16*(1-AW295)+0.18*BG295+0.10*AU295+0.10+BB295))</f>
        <v/>
      </c>
      <c r="BQ295">
        <f>MAX(0,MIN(1,0.24*AT295+0.18*BF295+0.14*AR295+0.14*BO295+0.14*(1-AV295)+0.16*(1-AZ295)))</f>
        <v/>
      </c>
      <c r="BR295">
        <f>IF(BO295&gt;=0.80,"Open",IF(BO295&gt;=0.62,"Measured",IF(BO295&gt;=0.45,"Selective","Guarded")))</f>
        <v/>
      </c>
      <c r="BS295">
        <f>IF(Y295="COMM_Direct","Direct",IF(Y295="COMM_Emotional","Emotional",IF(Y295="COMM_Logical","Logical",IF(Y295="COMM_Indirect","Indirect","Avoidant"))))</f>
        <v/>
      </c>
      <c r="BT295">
        <f>IF(BG295&gt;=0.78,"Co-repair",IF(BG295&gt;=0.58,"Re-engage",IF(BG295&gt;=0.40,"Delay","Suppress")))</f>
        <v/>
      </c>
      <c r="BU295">
        <f>IF(BI295&gt;=0.70,"Retreat-risk",IF(BH295&lt;=0.40,"Rush-risk",IF(BH295&gt;=0.65,"Slow-build","Mixed")))</f>
        <v/>
      </c>
      <c r="BV295">
        <f>IF(BL295-BM295&gt;=0.15,"Stimulation-seeking",IF(BM295-BL295&gt;=0.15,"Calm-seeking","Mixed")))</f>
        <v/>
      </c>
      <c r="BW295">
        <f>IF(AND(BL295&gt;=0.72,BM295&lt;0.48),"High",IF(AND(BL295&gt;=0.60,BM295&lt;0.58),"Medium","Low"))</f>
        <v/>
      </c>
    </row>
    <row r="296" ht="94.5" customHeight="1" s="10">
      <c r="A296" s="2" t="inlineStr">
        <is>
          <t>Q58_C</t>
        </is>
      </c>
      <c r="B296" s="2" t="n">
        <v>58</v>
      </c>
      <c r="C296" s="2" t="n">
        <v>107</v>
      </c>
      <c r="D296" s="2" t="inlineStr">
        <is>
          <t>Shadow</t>
        </is>
      </c>
      <c r="E296" s="2" t="n">
        <v>1.35</v>
      </c>
      <c r="F296" s="2" t="inlineStr">
        <is>
          <t>ShadowPattern</t>
        </is>
      </c>
      <c r="G296" s="2" t="inlineStr">
        <is>
          <t>IntegrityRisk</t>
        </is>
      </c>
      <c r="H296" s="2" t="n"/>
      <c r="I296" s="2" t="inlineStr">
        <is>
          <t>C</t>
        </is>
      </c>
      <c r="J296" s="2" t="inlineStr">
        <is>
          <t>C</t>
        </is>
      </c>
      <c r="K296" s="2" t="inlineStr">
        <is>
          <t>Over-apologize, promise the world, and hope they feel how much I care.</t>
        </is>
      </c>
      <c r="L296" s="2" t="n">
        <v>5</v>
      </c>
      <c r="M296" s="2" t="n"/>
      <c r="N296" s="2" t="n">
        <v>4</v>
      </c>
      <c r="O296" s="2" t="n">
        <v>4</v>
      </c>
      <c r="P296" s="2" t="n">
        <v>4</v>
      </c>
      <c r="Q296" s="2" t="n"/>
      <c r="R296" s="2" t="n"/>
      <c r="S296" s="2" t="inlineStr">
        <is>
          <t>Love Bomber</t>
        </is>
      </c>
      <c r="T296" s="2" t="n">
        <v>3</v>
      </c>
      <c r="U296" s="2" t="n">
        <v>6</v>
      </c>
      <c r="V296" s="2" t="inlineStr">
        <is>
          <t>masc:0.0;fem:0.0</t>
        </is>
      </c>
      <c r="W296" s="2" t="n">
        <v>0</v>
      </c>
      <c r="X296" s="2" t="n">
        <v>0</v>
      </c>
      <c r="Y296" s="2" t="n"/>
      <c r="Z296" s="2" t="n"/>
      <c r="AA296" s="2" t="n"/>
      <c r="AB296" s="2" t="n"/>
      <c r="AC296" s="2" t="n"/>
      <c r="AD296" s="2" t="n"/>
      <c r="AE296" s="2" t="n">
        <v>0</v>
      </c>
      <c r="AF296" s="2" t="n"/>
      <c r="AG296" s="2" t="n"/>
      <c r="AH296" s="2" t="n">
        <v>0</v>
      </c>
      <c r="AI296" s="2" t="n"/>
      <c r="AJ296" s="2" t="inlineStr">
        <is>
          <t>no</t>
        </is>
      </c>
      <c r="AK296" s="2" t="inlineStr">
        <is>
          <t>no</t>
        </is>
      </c>
      <c r="AL296" s="2" t="inlineStr">
        <is>
          <t>no</t>
        </is>
      </c>
      <c r="AM296" s="2" t="n"/>
      <c r="AN296" s="2" t="n"/>
      <c r="AO296" s="2" t="n"/>
      <c r="AP296" s="2" t="inlineStr">
        <is>
          <t>v3_2026-03-19</t>
        </is>
      </c>
      <c r="AQ296">
        <f>(L296-Schema_v5!$C2)/(Schema_v5!$C3-Schema_v5!$C2)</f>
        <v/>
      </c>
      <c r="AR296">
        <f>(M296-Schema_v5!$C4)/(Schema_v5!$C5-Schema_v5!$C4)</f>
        <v/>
      </c>
      <c r="AS296">
        <f>N296/Schema_v5!$C6</f>
        <v/>
      </c>
      <c r="AT296">
        <f>O296/Schema_v5!$C7</f>
        <v/>
      </c>
      <c r="AU296">
        <f>P296/Schema_v5!$C8</f>
        <v/>
      </c>
      <c r="AV296">
        <f>IF(Schema_v5!$C9=0,0,AH296/Schema_v5!$C9)</f>
        <v/>
      </c>
      <c r="AW296">
        <f>IF(Schema_v5!$C10=0,0,AE296/Schema_v5!$C10)</f>
        <v/>
      </c>
      <c r="AX296">
        <f>(W296-Schema_v5!$C11)/(Schema_v5!$C12-Schema_v5!$C11)</f>
        <v/>
      </c>
      <c r="AY296">
        <f>(X296-Schema_v5!$C13)/(Schema_v5!$C14-Schema_v5!$C13)</f>
        <v/>
      </c>
      <c r="AZ296">
        <f>MIN(1,MAX(0,U296/Schema_v7!$C$9))</f>
        <v/>
      </c>
      <c r="BA296">
        <f>IF(AJ296="yes",0.55,0)</f>
        <v/>
      </c>
      <c r="BB296">
        <f>IF(AI296="yes",0.10,0)</f>
        <v/>
      </c>
      <c r="BC296">
        <f>IF(Y296="COMM_Direct",0.92,IF(Y296="COMM_Emotional",0.70,IF(Y296="COMM_Logical",0.65,IF(Y296="COMM_Indirect",0.55,0.35))))</f>
        <v/>
      </c>
      <c r="BD296">
        <f>IF(Z296="REG_CoRegulator",0.92,IF(Z296="REG_SelfSoother",0.76,IF(Z296="REG_Distractor",0.48,0.35)))</f>
        <v/>
      </c>
      <c r="BE296">
        <f>IF(AA296="LANG_Time",0.76,IF(AA296="LANG_Service",0.70,IF(AA296="LANG_Words",0.72,IF(AA296="LANG_Touch",0.68,0.60))))</f>
        <v/>
      </c>
      <c r="BF296">
        <f>MAX(0,MIN(1,0.28*AS296+0.16*AT296+0.18*BC296+0.18*BD296+0.10*(1-AZ296)+0.10*(1-BA296)+BB296))</f>
        <v/>
      </c>
      <c r="BG296">
        <f>MAX(0,MIN(1,0.24*AU296+0.18*AS296+0.18*BC296+0.20*BD296+0.10*(1-AW296)+0.10*(1-BA296)))</f>
        <v/>
      </c>
      <c r="BH296">
        <f>MAX(0,MIN(1,0.28*AR296+0.18*AT296+0.16*AU296+0.18*(1-AV296)+0.10*(1-AW296)+0.10*BF296))</f>
        <v/>
      </c>
      <c r="BI296">
        <f>MAX(0,MIN(1,0.30*AV296+0.20*AZ296+0.20*AW296+0.15*(1-BH296)+0.15*(1-BO296)))</f>
        <v/>
      </c>
      <c r="BJ296">
        <f>MAX(0,1-(ABS(((( AX296+AY296)/2)-0.55)*1.6)))</f>
        <v/>
      </c>
      <c r="BK296">
        <f>MAX(0,MIN(1,0.28*AR296+0.18*AT296+0.16*BJ296+0.14*(1-AV296)+0.12*BQ296+0.12*BO296))</f>
        <v/>
      </c>
      <c r="BL296">
        <f>MAX(0,MIN(1,0.22*AQ296+0.18*AS296+0.18*BC296+0.18*BD296+0.08*BE296+0.10*BF296+0.06*BO296))</f>
        <v/>
      </c>
      <c r="BM296">
        <f>MAX(0,MIN(1,0.20*(1-AZ296)+0.16*(1-BA296)+0.14*(1-AW296)+0.14*AU296+0.18*BG296+0.10*BH296+0.08*BP296))</f>
        <v/>
      </c>
      <c r="BN296">
        <f>MAX(0,MIN(1,0.42*BJ296+0.33*BK296+0.15*AT296+0.10*BQ296))</f>
        <v/>
      </c>
      <c r="BO296">
        <f>MAX(0,MIN(1,0.30*BC296+0.24*BD296+0.18*AS296+0.14*(1-BI296)+0.14*AT296))</f>
        <v/>
      </c>
      <c r="BP296">
        <f>MAX(0,MIN(1,0.26*AS296+0.20*(1-BA296)+0.16*(1-AW296)+0.18*BG296+0.10*AU296+0.10+BB296))</f>
        <v/>
      </c>
      <c r="BQ296">
        <f>MAX(0,MIN(1,0.24*AT296+0.18*BF296+0.14*AR296+0.14*BO296+0.14*(1-AV296)+0.16*(1-AZ296)))</f>
        <v/>
      </c>
      <c r="BR296">
        <f>IF(BO296&gt;=0.80,"Open",IF(BO296&gt;=0.62,"Measured",IF(BO296&gt;=0.45,"Selective","Guarded")))</f>
        <v/>
      </c>
      <c r="BS296">
        <f>IF(Y296="COMM_Direct","Direct",IF(Y296="COMM_Emotional","Emotional",IF(Y296="COMM_Logical","Logical",IF(Y296="COMM_Indirect","Indirect","Avoidant"))))</f>
        <v/>
      </c>
      <c r="BT296">
        <f>IF(BG296&gt;=0.78,"Co-repair",IF(BG296&gt;=0.58,"Re-engage",IF(BG296&gt;=0.40,"Delay","Suppress")))</f>
        <v/>
      </c>
      <c r="BU296">
        <f>IF(BI296&gt;=0.70,"Retreat-risk",IF(BH296&lt;=0.40,"Rush-risk",IF(BH296&gt;=0.65,"Slow-build","Mixed")))</f>
        <v/>
      </c>
      <c r="BV296">
        <f>IF(BL296-BM296&gt;=0.15,"Stimulation-seeking",IF(BM296-BL296&gt;=0.15,"Calm-seeking","Mixed")))</f>
        <v/>
      </c>
      <c r="BW296">
        <f>IF(AND(BL296&gt;=0.72,BM296&lt;0.48),"High",IF(AND(BL296&gt;=0.60,BM296&lt;0.58),"Medium","Low"))</f>
        <v/>
      </c>
    </row>
    <row r="297" ht="94.5" customHeight="1" s="10">
      <c r="A297" s="2" t="inlineStr">
        <is>
          <t>Q58_D</t>
        </is>
      </c>
      <c r="B297" s="2" t="n">
        <v>58</v>
      </c>
      <c r="C297" s="2" t="n">
        <v>107</v>
      </c>
      <c r="D297" s="2" t="inlineStr">
        <is>
          <t>Shadow</t>
        </is>
      </c>
      <c r="E297" s="2" t="n">
        <v>1.35</v>
      </c>
      <c r="F297" s="2" t="inlineStr">
        <is>
          <t>ShadowPattern</t>
        </is>
      </c>
      <c r="G297" s="2" t="inlineStr">
        <is>
          <t>IntegrityRisk</t>
        </is>
      </c>
      <c r="H297" s="2" t="n"/>
      <c r="I297" s="2" t="inlineStr">
        <is>
          <t>D</t>
        </is>
      </c>
      <c r="J297" s="2" t="inlineStr">
        <is>
          <t>D</t>
        </is>
      </c>
      <c r="K297" s="2" t="inlineStr">
        <is>
          <t>Spin it into a joke or self-deprecating moment. Make it lighter than it feels.</t>
        </is>
      </c>
      <c r="L297" s="2" t="n">
        <v>6</v>
      </c>
      <c r="M297" s="2" t="n"/>
      <c r="N297" s="2" t="n">
        <v>4</v>
      </c>
      <c r="O297" s="2" t="n">
        <v>4</v>
      </c>
      <c r="P297" s="2" t="n">
        <v>4</v>
      </c>
      <c r="Q297" s="2" t="n"/>
      <c r="R297" s="2" t="n"/>
      <c r="S297" s="2" t="inlineStr">
        <is>
          <t>Chameleon</t>
        </is>
      </c>
      <c r="T297" s="2" t="n">
        <v>4</v>
      </c>
      <c r="U297" s="2" t="n">
        <v>6</v>
      </c>
      <c r="V297" s="2" t="inlineStr">
        <is>
          <t>masc:0.0;fem:0.0</t>
        </is>
      </c>
      <c r="W297" s="2" t="n">
        <v>0</v>
      </c>
      <c r="X297" s="2" t="n">
        <v>0</v>
      </c>
      <c r="Y297" s="2" t="n"/>
      <c r="Z297" s="2" t="n"/>
      <c r="AA297" s="2" t="n"/>
      <c r="AB297" s="2" t="n"/>
      <c r="AC297" s="2" t="n"/>
      <c r="AD297" s="2" t="n"/>
      <c r="AE297" s="2" t="n">
        <v>0</v>
      </c>
      <c r="AF297" s="2" t="n"/>
      <c r="AG297" s="2" t="n"/>
      <c r="AH297" s="2" t="n">
        <v>0</v>
      </c>
      <c r="AI297" s="2" t="n"/>
      <c r="AJ297" s="2" t="inlineStr">
        <is>
          <t>no</t>
        </is>
      </c>
      <c r="AK297" s="2" t="inlineStr">
        <is>
          <t>no</t>
        </is>
      </c>
      <c r="AL297" s="2" t="inlineStr">
        <is>
          <t>no</t>
        </is>
      </c>
      <c r="AM297" s="2" t="n"/>
      <c r="AN297" s="2" t="n"/>
      <c r="AO297" s="2" t="n"/>
      <c r="AP297" s="2" t="inlineStr">
        <is>
          <t>v3_2026-03-19</t>
        </is>
      </c>
      <c r="AQ297">
        <f>(L297-Schema_v5!$C2)/(Schema_v5!$C3-Schema_v5!$C2)</f>
        <v/>
      </c>
      <c r="AR297">
        <f>(M297-Schema_v5!$C4)/(Schema_v5!$C5-Schema_v5!$C4)</f>
        <v/>
      </c>
      <c r="AS297">
        <f>N297/Schema_v5!$C6</f>
        <v/>
      </c>
      <c r="AT297">
        <f>O297/Schema_v5!$C7</f>
        <v/>
      </c>
      <c r="AU297">
        <f>P297/Schema_v5!$C8</f>
        <v/>
      </c>
      <c r="AV297">
        <f>IF(Schema_v5!$C9=0,0,AH297/Schema_v5!$C9)</f>
        <v/>
      </c>
      <c r="AW297">
        <f>IF(Schema_v5!$C10=0,0,AE297/Schema_v5!$C10)</f>
        <v/>
      </c>
      <c r="AX297">
        <f>(W297-Schema_v5!$C11)/(Schema_v5!$C12-Schema_v5!$C11)</f>
        <v/>
      </c>
      <c r="AY297">
        <f>(X297-Schema_v5!$C13)/(Schema_v5!$C14-Schema_v5!$C13)</f>
        <v/>
      </c>
      <c r="AZ297">
        <f>MIN(1,MAX(0,U297/Schema_v7!$C$9))</f>
        <v/>
      </c>
      <c r="BA297">
        <f>IF(AJ297="yes",0.55,0)</f>
        <v/>
      </c>
      <c r="BB297">
        <f>IF(AI297="yes",0.10,0)</f>
        <v/>
      </c>
      <c r="BC297">
        <f>IF(Y297="COMM_Direct",0.92,IF(Y297="COMM_Emotional",0.70,IF(Y297="COMM_Logical",0.65,IF(Y297="COMM_Indirect",0.55,0.35))))</f>
        <v/>
      </c>
      <c r="BD297">
        <f>IF(Z297="REG_CoRegulator",0.92,IF(Z297="REG_SelfSoother",0.76,IF(Z297="REG_Distractor",0.48,0.35)))</f>
        <v/>
      </c>
      <c r="BE297">
        <f>IF(AA297="LANG_Time",0.76,IF(AA297="LANG_Service",0.70,IF(AA297="LANG_Words",0.72,IF(AA297="LANG_Touch",0.68,0.60))))</f>
        <v/>
      </c>
      <c r="BF297">
        <f>MAX(0,MIN(1,0.28*AS297+0.16*AT297+0.18*BC297+0.18*BD297+0.10*(1-AZ297)+0.10*(1-BA297)+BB297))</f>
        <v/>
      </c>
      <c r="BG297">
        <f>MAX(0,MIN(1,0.24*AU297+0.18*AS297+0.18*BC297+0.20*BD297+0.10*(1-AW297)+0.10*(1-BA297)))</f>
        <v/>
      </c>
      <c r="BH297">
        <f>MAX(0,MIN(1,0.28*AR297+0.18*AT297+0.16*AU297+0.18*(1-AV297)+0.10*(1-AW297)+0.10*BF297))</f>
        <v/>
      </c>
      <c r="BI297">
        <f>MAX(0,MIN(1,0.30*AV297+0.20*AZ297+0.20*AW297+0.15*(1-BH297)+0.15*(1-BO297)))</f>
        <v/>
      </c>
      <c r="BJ297">
        <f>MAX(0,1-(ABS(((( AX297+AY297)/2)-0.55)*1.6)))</f>
        <v/>
      </c>
      <c r="BK297">
        <f>MAX(0,MIN(1,0.28*AR297+0.18*AT297+0.16*BJ297+0.14*(1-AV297)+0.12*BQ297+0.12*BO297))</f>
        <v/>
      </c>
      <c r="BL297">
        <f>MAX(0,MIN(1,0.22*AQ297+0.18*AS297+0.18*BC297+0.18*BD297+0.08*BE297+0.10*BF297+0.06*BO297))</f>
        <v/>
      </c>
      <c r="BM297">
        <f>MAX(0,MIN(1,0.20*(1-AZ297)+0.16*(1-BA297)+0.14*(1-AW297)+0.14*AU297+0.18*BG297+0.10*BH297+0.08*BP297))</f>
        <v/>
      </c>
      <c r="BN297">
        <f>MAX(0,MIN(1,0.42*BJ297+0.33*BK297+0.15*AT297+0.10*BQ297))</f>
        <v/>
      </c>
      <c r="BO297">
        <f>MAX(0,MIN(1,0.30*BC297+0.24*BD297+0.18*AS297+0.14*(1-BI297)+0.14*AT297))</f>
        <v/>
      </c>
      <c r="BP297">
        <f>MAX(0,MIN(1,0.26*AS297+0.20*(1-BA297)+0.16*(1-AW297)+0.18*BG297+0.10*AU297+0.10+BB297))</f>
        <v/>
      </c>
      <c r="BQ297">
        <f>MAX(0,MIN(1,0.24*AT297+0.18*BF297+0.14*AR297+0.14*BO297+0.14*(1-AV297)+0.16*(1-AZ297)))</f>
        <v/>
      </c>
      <c r="BR297">
        <f>IF(BO297&gt;=0.80,"Open",IF(BO297&gt;=0.62,"Measured",IF(BO297&gt;=0.45,"Selective","Guarded")))</f>
        <v/>
      </c>
      <c r="BS297">
        <f>IF(Y297="COMM_Direct","Direct",IF(Y297="COMM_Emotional","Emotional",IF(Y297="COMM_Logical","Logical",IF(Y297="COMM_Indirect","Indirect","Avoidant"))))</f>
        <v/>
      </c>
      <c r="BT297">
        <f>IF(BG297&gt;=0.78,"Co-repair",IF(BG297&gt;=0.58,"Re-engage",IF(BG297&gt;=0.40,"Delay","Suppress")))</f>
        <v/>
      </c>
      <c r="BU297">
        <f>IF(BI297&gt;=0.70,"Retreat-risk",IF(BH297&lt;=0.40,"Rush-risk",IF(BH297&gt;=0.65,"Slow-build","Mixed")))</f>
        <v/>
      </c>
      <c r="BV297">
        <f>IF(BL297-BM297&gt;=0.15,"Stimulation-seeking",IF(BM297-BL297&gt;=0.15,"Calm-seeking","Mixed")))</f>
        <v/>
      </c>
      <c r="BW297">
        <f>IF(AND(BL297&gt;=0.72,BM297&lt;0.48),"High",IF(AND(BL297&gt;=0.60,BM297&lt;0.58),"Medium","Low"))</f>
        <v/>
      </c>
    </row>
    <row r="298" ht="108" customHeight="1" s="10">
      <c r="A298" s="2" t="inlineStr">
        <is>
          <t>Q58_E</t>
        </is>
      </c>
      <c r="B298" s="2" t="n">
        <v>58</v>
      </c>
      <c r="C298" s="2" t="n">
        <v>107</v>
      </c>
      <c r="D298" s="2" t="inlineStr">
        <is>
          <t>Shadow</t>
        </is>
      </c>
      <c r="E298" s="2" t="n">
        <v>1.35</v>
      </c>
      <c r="F298" s="2" t="inlineStr">
        <is>
          <t>ShadowPattern</t>
        </is>
      </c>
      <c r="G298" s="2" t="inlineStr">
        <is>
          <t>IntegrityRisk</t>
        </is>
      </c>
      <c r="H298" s="2" t="n"/>
      <c r="I298" s="2" t="inlineStr">
        <is>
          <t>E</t>
        </is>
      </c>
      <c r="J298" s="2" t="inlineStr">
        <is>
          <t>E</t>
        </is>
      </c>
      <c r="K298" s="2" t="inlineStr">
        <is>
          <t>Remind them of how good I usually am. This one thing shouldn't weigh more than all I've given.</t>
        </is>
      </c>
      <c r="L298" s="2" t="n">
        <v>7</v>
      </c>
      <c r="M298" s="2" t="n"/>
      <c r="N298" s="2" t="n">
        <v>2</v>
      </c>
      <c r="O298" s="2" t="n">
        <v>2</v>
      </c>
      <c r="P298" s="2" t="n">
        <v>2</v>
      </c>
      <c r="Q298" s="2" t="n"/>
      <c r="R298" s="2" t="n"/>
      <c r="S298" s="2" t="inlineStr">
        <is>
          <t>Scorekeeper</t>
        </is>
      </c>
      <c r="T298" s="2" t="n">
        <v>5</v>
      </c>
      <c r="U298" s="2" t="n">
        <v>8</v>
      </c>
      <c r="V298" s="2" t="inlineStr">
        <is>
          <t>masc:0.0;fem:0.0</t>
        </is>
      </c>
      <c r="W298" s="2" t="n">
        <v>0</v>
      </c>
      <c r="X298" s="2" t="n">
        <v>0</v>
      </c>
      <c r="Y298" s="2" t="n"/>
      <c r="Z298" s="2" t="n"/>
      <c r="AA298" s="2" t="n"/>
      <c r="AB298" s="2" t="n"/>
      <c r="AC298" s="2" t="n"/>
      <c r="AD298" s="2" t="n"/>
      <c r="AE298" s="2" t="n">
        <v>0</v>
      </c>
      <c r="AF298" s="2" t="n"/>
      <c r="AG298" s="2" t="n"/>
      <c r="AH298" s="2" t="n">
        <v>0</v>
      </c>
      <c r="AI298" s="2" t="n"/>
      <c r="AJ298" s="2" t="inlineStr">
        <is>
          <t>no</t>
        </is>
      </c>
      <c r="AK298" s="2" t="inlineStr">
        <is>
          <t>no</t>
        </is>
      </c>
      <c r="AL298" s="2" t="inlineStr">
        <is>
          <t>no</t>
        </is>
      </c>
      <c r="AM298" s="2" t="n"/>
      <c r="AN298" s="2" t="n"/>
      <c r="AO298" s="2" t="n"/>
      <c r="AP298" s="2" t="inlineStr">
        <is>
          <t>v3_2026-03-19</t>
        </is>
      </c>
      <c r="AQ298">
        <f>(L298-Schema_v5!$C2)/(Schema_v5!$C3-Schema_v5!$C2)</f>
        <v/>
      </c>
      <c r="AR298">
        <f>(M298-Schema_v5!$C4)/(Schema_v5!$C5-Schema_v5!$C4)</f>
        <v/>
      </c>
      <c r="AS298">
        <f>N298/Schema_v5!$C6</f>
        <v/>
      </c>
      <c r="AT298">
        <f>O298/Schema_v5!$C7</f>
        <v/>
      </c>
      <c r="AU298">
        <f>P298/Schema_v5!$C8</f>
        <v/>
      </c>
      <c r="AV298">
        <f>IF(Schema_v5!$C9=0,0,AH298/Schema_v5!$C9)</f>
        <v/>
      </c>
      <c r="AW298">
        <f>IF(Schema_v5!$C10=0,0,AE298/Schema_v5!$C10)</f>
        <v/>
      </c>
      <c r="AX298">
        <f>(W298-Schema_v5!$C11)/(Schema_v5!$C12-Schema_v5!$C11)</f>
        <v/>
      </c>
      <c r="AY298">
        <f>(X298-Schema_v5!$C13)/(Schema_v5!$C14-Schema_v5!$C13)</f>
        <v/>
      </c>
      <c r="AZ298">
        <f>MIN(1,MAX(0,U298/Schema_v7!$C$9))</f>
        <v/>
      </c>
      <c r="BA298">
        <f>IF(AJ298="yes",0.55,0)</f>
        <v/>
      </c>
      <c r="BB298">
        <f>IF(AI298="yes",0.10,0)</f>
        <v/>
      </c>
      <c r="BC298">
        <f>IF(Y298="COMM_Direct",0.92,IF(Y298="COMM_Emotional",0.70,IF(Y298="COMM_Logical",0.65,IF(Y298="COMM_Indirect",0.55,0.35))))</f>
        <v/>
      </c>
      <c r="BD298">
        <f>IF(Z298="REG_CoRegulator",0.92,IF(Z298="REG_SelfSoother",0.76,IF(Z298="REG_Distractor",0.48,0.35)))</f>
        <v/>
      </c>
      <c r="BE298">
        <f>IF(AA298="LANG_Time",0.76,IF(AA298="LANG_Service",0.70,IF(AA298="LANG_Words",0.72,IF(AA298="LANG_Touch",0.68,0.60))))</f>
        <v/>
      </c>
      <c r="BF298">
        <f>MAX(0,MIN(1,0.28*AS298+0.16*AT298+0.18*BC298+0.18*BD298+0.10*(1-AZ298)+0.10*(1-BA298)+BB298))</f>
        <v/>
      </c>
      <c r="BG298">
        <f>MAX(0,MIN(1,0.24*AU298+0.18*AS298+0.18*BC298+0.20*BD298+0.10*(1-AW298)+0.10*(1-BA298)))</f>
        <v/>
      </c>
      <c r="BH298">
        <f>MAX(0,MIN(1,0.28*AR298+0.18*AT298+0.16*AU298+0.18*(1-AV298)+0.10*(1-AW298)+0.10*BF298))</f>
        <v/>
      </c>
      <c r="BI298">
        <f>MAX(0,MIN(1,0.30*AV298+0.20*AZ298+0.20*AW298+0.15*(1-BH298)+0.15*(1-BO298)))</f>
        <v/>
      </c>
      <c r="BJ298">
        <f>MAX(0,1-(ABS(((( AX298+AY298)/2)-0.55)*1.6)))</f>
        <v/>
      </c>
      <c r="BK298">
        <f>MAX(0,MIN(1,0.28*AR298+0.18*AT298+0.16*BJ298+0.14*(1-AV298)+0.12*BQ298+0.12*BO298))</f>
        <v/>
      </c>
      <c r="BL298">
        <f>MAX(0,MIN(1,0.22*AQ298+0.18*AS298+0.18*BC298+0.18*BD298+0.08*BE298+0.10*BF298+0.06*BO298))</f>
        <v/>
      </c>
      <c r="BM298">
        <f>MAX(0,MIN(1,0.20*(1-AZ298)+0.16*(1-BA298)+0.14*(1-AW298)+0.14*AU298+0.18*BG298+0.10*BH298+0.08*BP298))</f>
        <v/>
      </c>
      <c r="BN298">
        <f>MAX(0,MIN(1,0.42*BJ298+0.33*BK298+0.15*AT298+0.10*BQ298))</f>
        <v/>
      </c>
      <c r="BO298">
        <f>MAX(0,MIN(1,0.30*BC298+0.24*BD298+0.18*AS298+0.14*(1-BI298)+0.14*AT298))</f>
        <v/>
      </c>
      <c r="BP298">
        <f>MAX(0,MIN(1,0.26*AS298+0.20*(1-BA298)+0.16*(1-AW298)+0.18*BG298+0.10*AU298+0.10+BB298))</f>
        <v/>
      </c>
      <c r="BQ298">
        <f>MAX(0,MIN(1,0.24*AT298+0.18*BF298+0.14*AR298+0.14*BO298+0.14*(1-AV298)+0.16*(1-AZ298)))</f>
        <v/>
      </c>
      <c r="BR298">
        <f>IF(BO298&gt;=0.80,"Open",IF(BO298&gt;=0.62,"Measured",IF(BO298&gt;=0.45,"Selective","Guarded")))</f>
        <v/>
      </c>
      <c r="BS298">
        <f>IF(Y298="COMM_Direct","Direct",IF(Y298="COMM_Emotional","Emotional",IF(Y298="COMM_Logical","Logical",IF(Y298="COMM_Indirect","Indirect","Avoidant"))))</f>
        <v/>
      </c>
      <c r="BT298">
        <f>IF(BG298&gt;=0.78,"Co-repair",IF(BG298&gt;=0.58,"Re-engage",IF(BG298&gt;=0.40,"Delay","Suppress")))</f>
        <v/>
      </c>
      <c r="BU298">
        <f>IF(BI298&gt;=0.70,"Retreat-risk",IF(BH298&lt;=0.40,"Rush-risk",IF(BH298&gt;=0.65,"Slow-build","Mixed")))</f>
        <v/>
      </c>
      <c r="BV298">
        <f>IF(BL298-BM298&gt;=0.15,"Stimulation-seeking",IF(BM298-BL298&gt;=0.15,"Calm-seeking","Mixed")))</f>
        <v/>
      </c>
      <c r="BW298">
        <f>IF(AND(BL298&gt;=0.72,BM298&lt;0.48),"High",IF(AND(BL298&gt;=0.60,BM298&lt;0.58),"Medium","Low"))</f>
        <v/>
      </c>
    </row>
    <row r="299" ht="108" customHeight="1" s="10">
      <c r="A299" s="2" t="inlineStr">
        <is>
          <t>Q58_F</t>
        </is>
      </c>
      <c r="B299" s="2" t="n">
        <v>58</v>
      </c>
      <c r="C299" s="2" t="n">
        <v>107</v>
      </c>
      <c r="D299" s="2" t="inlineStr">
        <is>
          <t>Shadow</t>
        </is>
      </c>
      <c r="E299" s="2" t="n">
        <v>1.35</v>
      </c>
      <c r="F299" s="2" t="inlineStr">
        <is>
          <t>ShadowPattern</t>
        </is>
      </c>
      <c r="G299" s="2" t="inlineStr">
        <is>
          <t>IntegrityRisk</t>
        </is>
      </c>
      <c r="H299" s="2" t="n"/>
      <c r="I299" s="2" t="inlineStr">
        <is>
          <t>F</t>
        </is>
      </c>
      <c r="J299" s="2" t="inlineStr">
        <is>
          <t>F</t>
        </is>
      </c>
      <c r="K299" s="2" t="inlineStr">
        <is>
          <t>Replay it in my head a hundred times, then decide they're better off without me.</t>
        </is>
      </c>
      <c r="L299" s="2" t="n">
        <v>8</v>
      </c>
      <c r="M299" s="2" t="n"/>
      <c r="N299" s="2" t="n">
        <v>2</v>
      </c>
      <c r="O299" s="2" t="n">
        <v>2</v>
      </c>
      <c r="P299" s="2" t="n">
        <v>2</v>
      </c>
      <c r="Q299" s="2" t="n"/>
      <c r="R299" s="2" t="n"/>
      <c r="S299" s="2" t="inlineStr">
        <is>
          <t>Self-Saboteur</t>
        </is>
      </c>
      <c r="T299" s="2" t="n">
        <v>6</v>
      </c>
      <c r="U299" s="2" t="n">
        <v>8</v>
      </c>
      <c r="V299" s="2" t="inlineStr">
        <is>
          <t>masc:0.0;fem:0.0</t>
        </is>
      </c>
      <c r="W299" s="2" t="n">
        <v>0</v>
      </c>
      <c r="X299" s="2" t="n">
        <v>0</v>
      </c>
      <c r="Y299" s="2" t="n"/>
      <c r="Z299" s="2" t="n"/>
      <c r="AA299" s="2" t="n"/>
      <c r="AB299" s="2" t="n"/>
      <c r="AC299" s="2" t="n"/>
      <c r="AD299" s="2" t="n"/>
      <c r="AE299" s="2" t="n">
        <v>0</v>
      </c>
      <c r="AF299" s="2" t="n"/>
      <c r="AG299" s="2" t="n"/>
      <c r="AH299" s="2" t="n">
        <v>0</v>
      </c>
      <c r="AI299" s="2" t="n"/>
      <c r="AJ299" s="2" t="inlineStr">
        <is>
          <t>no</t>
        </is>
      </c>
      <c r="AK299" s="2" t="inlineStr">
        <is>
          <t>no</t>
        </is>
      </c>
      <c r="AL299" s="2" t="inlineStr">
        <is>
          <t>no</t>
        </is>
      </c>
      <c r="AM299" s="2" t="n"/>
      <c r="AN299" s="2" t="n"/>
      <c r="AO299" s="2" t="n"/>
      <c r="AP299" s="2" t="inlineStr">
        <is>
          <t>v3_2026-03-19</t>
        </is>
      </c>
      <c r="AQ299">
        <f>(L299-Schema_v5!$C2)/(Schema_v5!$C3-Schema_v5!$C2)</f>
        <v/>
      </c>
      <c r="AR299">
        <f>(M299-Schema_v5!$C4)/(Schema_v5!$C5-Schema_v5!$C4)</f>
        <v/>
      </c>
      <c r="AS299">
        <f>N299/Schema_v5!$C6</f>
        <v/>
      </c>
      <c r="AT299">
        <f>O299/Schema_v5!$C7</f>
        <v/>
      </c>
      <c r="AU299">
        <f>P299/Schema_v5!$C8</f>
        <v/>
      </c>
      <c r="AV299">
        <f>IF(Schema_v5!$C9=0,0,AH299/Schema_v5!$C9)</f>
        <v/>
      </c>
      <c r="AW299">
        <f>IF(Schema_v5!$C10=0,0,AE299/Schema_v5!$C10)</f>
        <v/>
      </c>
      <c r="AX299">
        <f>(W299-Schema_v5!$C11)/(Schema_v5!$C12-Schema_v5!$C11)</f>
        <v/>
      </c>
      <c r="AY299">
        <f>(X299-Schema_v5!$C13)/(Schema_v5!$C14-Schema_v5!$C13)</f>
        <v/>
      </c>
      <c r="AZ299">
        <f>MIN(1,MAX(0,U299/Schema_v7!$C$9))</f>
        <v/>
      </c>
      <c r="BA299">
        <f>IF(AJ299="yes",0.55,0)</f>
        <v/>
      </c>
      <c r="BB299">
        <f>IF(AI299="yes",0.10,0)</f>
        <v/>
      </c>
      <c r="BC299">
        <f>IF(Y299="COMM_Direct",0.92,IF(Y299="COMM_Emotional",0.70,IF(Y299="COMM_Logical",0.65,IF(Y299="COMM_Indirect",0.55,0.35))))</f>
        <v/>
      </c>
      <c r="BD299">
        <f>IF(Z299="REG_CoRegulator",0.92,IF(Z299="REG_SelfSoother",0.76,IF(Z299="REG_Distractor",0.48,0.35)))</f>
        <v/>
      </c>
      <c r="BE299">
        <f>IF(AA299="LANG_Time",0.76,IF(AA299="LANG_Service",0.70,IF(AA299="LANG_Words",0.72,IF(AA299="LANG_Touch",0.68,0.60))))</f>
        <v/>
      </c>
      <c r="BF299">
        <f>MAX(0,MIN(1,0.28*AS299+0.16*AT299+0.18*BC299+0.18*BD299+0.10*(1-AZ299)+0.10*(1-BA299)+BB299))</f>
        <v/>
      </c>
      <c r="BG299">
        <f>MAX(0,MIN(1,0.24*AU299+0.18*AS299+0.18*BC299+0.20*BD299+0.10*(1-AW299)+0.10*(1-BA299)))</f>
        <v/>
      </c>
      <c r="BH299">
        <f>MAX(0,MIN(1,0.28*AR299+0.18*AT299+0.16*AU299+0.18*(1-AV299)+0.10*(1-AW299)+0.10*BF299))</f>
        <v/>
      </c>
      <c r="BI299">
        <f>MAX(0,MIN(1,0.30*AV299+0.20*AZ299+0.20*AW299+0.15*(1-BH299)+0.15*(1-BO299)))</f>
        <v/>
      </c>
      <c r="BJ299">
        <f>MAX(0,1-(ABS(((( AX299+AY299)/2)-0.55)*1.6)))</f>
        <v/>
      </c>
      <c r="BK299">
        <f>MAX(0,MIN(1,0.28*AR299+0.18*AT299+0.16*BJ299+0.14*(1-AV299)+0.12*BQ299+0.12*BO299))</f>
        <v/>
      </c>
      <c r="BL299">
        <f>MAX(0,MIN(1,0.22*AQ299+0.18*AS299+0.18*BC299+0.18*BD299+0.08*BE299+0.10*BF299+0.06*BO299))</f>
        <v/>
      </c>
      <c r="BM299">
        <f>MAX(0,MIN(1,0.20*(1-AZ299)+0.16*(1-BA299)+0.14*(1-AW299)+0.14*AU299+0.18*BG299+0.10*BH299+0.08*BP299))</f>
        <v/>
      </c>
      <c r="BN299">
        <f>MAX(0,MIN(1,0.42*BJ299+0.33*BK299+0.15*AT299+0.10*BQ299))</f>
        <v/>
      </c>
      <c r="BO299">
        <f>MAX(0,MIN(1,0.30*BC299+0.24*BD299+0.18*AS299+0.14*(1-BI299)+0.14*AT299))</f>
        <v/>
      </c>
      <c r="BP299">
        <f>MAX(0,MIN(1,0.26*AS299+0.20*(1-BA299)+0.16*(1-AW299)+0.18*BG299+0.10*AU299+0.10+BB299))</f>
        <v/>
      </c>
      <c r="BQ299">
        <f>MAX(0,MIN(1,0.24*AT299+0.18*BF299+0.14*AR299+0.14*BO299+0.14*(1-AV299)+0.16*(1-AZ299)))</f>
        <v/>
      </c>
      <c r="BR299">
        <f>IF(BO299&gt;=0.80,"Open",IF(BO299&gt;=0.62,"Measured",IF(BO299&gt;=0.45,"Selective","Guarded")))</f>
        <v/>
      </c>
      <c r="BS299">
        <f>IF(Y299="COMM_Direct","Direct",IF(Y299="COMM_Emotional","Emotional",IF(Y299="COMM_Logical","Logical",IF(Y299="COMM_Indirect","Indirect","Avoidant"))))</f>
        <v/>
      </c>
      <c r="BT299">
        <f>IF(BG299&gt;=0.78,"Co-repair",IF(BG299&gt;=0.58,"Re-engage",IF(BG299&gt;=0.40,"Delay","Suppress")))</f>
        <v/>
      </c>
      <c r="BU299">
        <f>IF(BI299&gt;=0.70,"Retreat-risk",IF(BH299&lt;=0.40,"Rush-risk",IF(BH299&gt;=0.65,"Slow-build","Mixed")))</f>
        <v/>
      </c>
      <c r="BV299">
        <f>IF(BL299-BM299&gt;=0.15,"Stimulation-seeking",IF(BM299-BL299&gt;=0.15,"Calm-seeking","Mixed")))</f>
        <v/>
      </c>
      <c r="BW299">
        <f>IF(AND(BL299&gt;=0.72,BM299&lt;0.48),"High",IF(AND(BL299&gt;=0.60,BM299&lt;0.58),"Medium","Low"))</f>
        <v/>
      </c>
    </row>
    <row r="300" ht="94.5" customHeight="1" s="10">
      <c r="A300" s="2" t="inlineStr">
        <is>
          <t>Q59_A</t>
        </is>
      </c>
      <c r="B300" s="2" t="n">
        <v>59</v>
      </c>
      <c r="C300" s="2" t="n">
        <v>108</v>
      </c>
      <c r="D300" s="2" t="inlineStr">
        <is>
          <t>Shadow</t>
        </is>
      </c>
      <c r="E300" s="2" t="n">
        <v>1.4</v>
      </c>
      <c r="F300" s="2" t="inlineStr">
        <is>
          <t>ShadowPattern</t>
        </is>
      </c>
      <c r="G300" s="2" t="inlineStr">
        <is>
          <t>IntegrityRisk</t>
        </is>
      </c>
      <c r="H300" s="2" t="inlineStr">
        <is>
          <t>You're in a fight. It's heated, and you feel unseen. What comes out?</t>
        </is>
      </c>
      <c r="I300" s="2" t="inlineStr">
        <is>
          <t>A</t>
        </is>
      </c>
      <c r="J300" s="2" t="inlineStr">
        <is>
          <t>A</t>
        </is>
      </c>
      <c r="K300" s="2" t="inlineStr">
        <is>
          <t>Say something sharp that'll stick with them. They should feel what I feel.</t>
        </is>
      </c>
      <c r="L300" s="2" t="n">
        <v>4</v>
      </c>
      <c r="M300" s="2" t="n"/>
      <c r="N300" s="2" t="n">
        <v>4</v>
      </c>
      <c r="O300" s="2" t="n">
        <v>4</v>
      </c>
      <c r="P300" s="2" t="n">
        <v>4</v>
      </c>
      <c r="Q300" s="2" t="n"/>
      <c r="R300" s="2" t="n"/>
      <c r="S300" s="2" t="inlineStr">
        <is>
          <t>Manipulator</t>
        </is>
      </c>
      <c r="T300" s="2" t="n">
        <v>1</v>
      </c>
      <c r="U300" s="2" t="n">
        <v>6</v>
      </c>
      <c r="V300" s="2" t="inlineStr">
        <is>
          <t>masc:0.0;fem:0.0</t>
        </is>
      </c>
      <c r="W300" s="2" t="n">
        <v>0</v>
      </c>
      <c r="X300" s="2" t="n">
        <v>0</v>
      </c>
      <c r="Y300" s="2" t="n"/>
      <c r="Z300" s="2" t="n"/>
      <c r="AA300" s="2" t="n"/>
      <c r="AB300" s="2" t="n"/>
      <c r="AC300" s="2" t="n"/>
      <c r="AD300" s="2" t="n"/>
      <c r="AE300" s="2" t="n">
        <v>0</v>
      </c>
      <c r="AF300" s="2" t="n"/>
      <c r="AG300" s="2" t="n"/>
      <c r="AH300" s="2" t="n">
        <v>0</v>
      </c>
      <c r="AI300" s="2" t="n"/>
      <c r="AJ300" s="2" t="inlineStr">
        <is>
          <t>yes</t>
        </is>
      </c>
      <c r="AK300" s="2" t="inlineStr">
        <is>
          <t>no</t>
        </is>
      </c>
      <c r="AL300" s="2" t="inlineStr">
        <is>
          <t>no</t>
        </is>
      </c>
      <c r="AM300" s="2" t="n"/>
      <c r="AN300" s="2" t="n"/>
      <c r="AO300" s="2" t="n"/>
      <c r="AP300" s="2" t="inlineStr">
        <is>
          <t>v3_2026-03-19</t>
        </is>
      </c>
      <c r="AQ300">
        <f>(L300-Schema_v5!$C2)/(Schema_v5!$C3-Schema_v5!$C2)</f>
        <v/>
      </c>
      <c r="AR300">
        <f>(M300-Schema_v5!$C4)/(Schema_v5!$C5-Schema_v5!$C4)</f>
        <v/>
      </c>
      <c r="AS300">
        <f>N300/Schema_v5!$C6</f>
        <v/>
      </c>
      <c r="AT300">
        <f>O300/Schema_v5!$C7</f>
        <v/>
      </c>
      <c r="AU300">
        <f>P300/Schema_v5!$C8</f>
        <v/>
      </c>
      <c r="AV300">
        <f>IF(Schema_v5!$C9=0,0,AH300/Schema_v5!$C9)</f>
        <v/>
      </c>
      <c r="AW300">
        <f>IF(Schema_v5!$C10=0,0,AE300/Schema_v5!$C10)</f>
        <v/>
      </c>
      <c r="AX300">
        <f>(W300-Schema_v5!$C11)/(Schema_v5!$C12-Schema_v5!$C11)</f>
        <v/>
      </c>
      <c r="AY300">
        <f>(X300-Schema_v5!$C13)/(Schema_v5!$C14-Schema_v5!$C13)</f>
        <v/>
      </c>
      <c r="AZ300">
        <f>MIN(1,MAX(0,U300/Schema_v7!$C$9))</f>
        <v/>
      </c>
      <c r="BA300">
        <f>IF(AJ300="yes",0.55,0)</f>
        <v/>
      </c>
      <c r="BB300">
        <f>IF(AI300="yes",0.10,0)</f>
        <v/>
      </c>
      <c r="BC300">
        <f>IF(Y300="COMM_Direct",0.92,IF(Y300="COMM_Emotional",0.70,IF(Y300="COMM_Logical",0.65,IF(Y300="COMM_Indirect",0.55,0.35))))</f>
        <v/>
      </c>
      <c r="BD300">
        <f>IF(Z300="REG_CoRegulator",0.92,IF(Z300="REG_SelfSoother",0.76,IF(Z300="REG_Distractor",0.48,0.35)))</f>
        <v/>
      </c>
      <c r="BE300">
        <f>IF(AA300="LANG_Time",0.76,IF(AA300="LANG_Service",0.70,IF(AA300="LANG_Words",0.72,IF(AA300="LANG_Touch",0.68,0.60))))</f>
        <v/>
      </c>
      <c r="BF300">
        <f>MAX(0,MIN(1,0.28*AS300+0.16*AT300+0.18*BC300+0.18*BD300+0.10*(1-AZ300)+0.10*(1-BA300)+BB300))</f>
        <v/>
      </c>
      <c r="BG300">
        <f>MAX(0,MIN(1,0.24*AU300+0.18*AS300+0.18*BC300+0.20*BD300+0.10*(1-AW300)+0.10*(1-BA300)))</f>
        <v/>
      </c>
      <c r="BH300">
        <f>MAX(0,MIN(1,0.28*AR300+0.18*AT300+0.16*AU300+0.18*(1-AV300)+0.10*(1-AW300)+0.10*BF300))</f>
        <v/>
      </c>
      <c r="BI300">
        <f>MAX(0,MIN(1,0.30*AV300+0.20*AZ300+0.20*AW300+0.15*(1-BH300)+0.15*(1-BO300)))</f>
        <v/>
      </c>
      <c r="BJ300">
        <f>MAX(0,1-(ABS(((( AX300+AY300)/2)-0.55)*1.6)))</f>
        <v/>
      </c>
      <c r="BK300">
        <f>MAX(0,MIN(1,0.28*AR300+0.18*AT300+0.16*BJ300+0.14*(1-AV300)+0.12*BQ300+0.12*BO300))</f>
        <v/>
      </c>
      <c r="BL300">
        <f>MAX(0,MIN(1,0.22*AQ300+0.18*AS300+0.18*BC300+0.18*BD300+0.08*BE300+0.10*BF300+0.06*BO300))</f>
        <v/>
      </c>
      <c r="BM300">
        <f>MAX(0,MIN(1,0.20*(1-AZ300)+0.16*(1-BA300)+0.14*(1-AW300)+0.14*AU300+0.18*BG300+0.10*BH300+0.08*BP300))</f>
        <v/>
      </c>
      <c r="BN300">
        <f>MAX(0,MIN(1,0.42*BJ300+0.33*BK300+0.15*AT300+0.10*BQ300))</f>
        <v/>
      </c>
      <c r="BO300">
        <f>MAX(0,MIN(1,0.30*BC300+0.24*BD300+0.18*AS300+0.14*(1-BI300)+0.14*AT300))</f>
        <v/>
      </c>
      <c r="BP300">
        <f>MAX(0,MIN(1,0.26*AS300+0.20*(1-BA300)+0.16*(1-AW300)+0.18*BG300+0.10*AU300+0.10+BB300))</f>
        <v/>
      </c>
      <c r="BQ300">
        <f>MAX(0,MIN(1,0.24*AT300+0.18*BF300+0.14*AR300+0.14*BO300+0.14*(1-AV300)+0.16*(1-AZ300)))</f>
        <v/>
      </c>
      <c r="BR300">
        <f>IF(BO300&gt;=0.80,"Open",IF(BO300&gt;=0.62,"Measured",IF(BO300&gt;=0.45,"Selective","Guarded")))</f>
        <v/>
      </c>
      <c r="BS300">
        <f>IF(Y300="COMM_Direct","Direct",IF(Y300="COMM_Emotional","Emotional",IF(Y300="COMM_Logical","Logical",IF(Y300="COMM_Indirect","Indirect","Avoidant"))))</f>
        <v/>
      </c>
      <c r="BT300">
        <f>IF(BG300&gt;=0.78,"Co-repair",IF(BG300&gt;=0.58,"Re-engage",IF(BG300&gt;=0.40,"Delay","Suppress")))</f>
        <v/>
      </c>
      <c r="BU300">
        <f>IF(BI300&gt;=0.70,"Retreat-risk",IF(BH300&lt;=0.40,"Rush-risk",IF(BH300&gt;=0.65,"Slow-build","Mixed")))</f>
        <v/>
      </c>
      <c r="BV300">
        <f>IF(BL300-BM300&gt;=0.15,"Stimulation-seeking",IF(BM300-BL300&gt;=0.15,"Calm-seeking","Mixed")))</f>
        <v/>
      </c>
      <c r="BW300">
        <f>IF(AND(BL300&gt;=0.72,BM300&lt;0.48),"High",IF(AND(BL300&gt;=0.60,BM300&lt;0.58),"Medium","Low"))</f>
        <v/>
      </c>
    </row>
    <row r="301" ht="68.25" customHeight="1" s="10">
      <c r="A301" s="2" t="inlineStr">
        <is>
          <t>Q59_B</t>
        </is>
      </c>
      <c r="B301" s="2" t="n">
        <v>59</v>
      </c>
      <c r="C301" s="2" t="n">
        <v>108</v>
      </c>
      <c r="D301" s="2" t="inlineStr">
        <is>
          <t>Shadow</t>
        </is>
      </c>
      <c r="E301" s="2" t="n">
        <v>1.4</v>
      </c>
      <c r="F301" s="2" t="inlineStr">
        <is>
          <t>ShadowPattern</t>
        </is>
      </c>
      <c r="G301" s="2" t="inlineStr">
        <is>
          <t>IntegrityRisk</t>
        </is>
      </c>
      <c r="H301" s="2" t="n"/>
      <c r="I301" s="2" t="inlineStr">
        <is>
          <t>B</t>
        </is>
      </c>
      <c r="J301" s="2" t="inlineStr">
        <is>
          <t>B</t>
        </is>
      </c>
      <c r="K301" s="2" t="inlineStr">
        <is>
          <t>Shut down completely. I won't give them more to twist.</t>
        </is>
      </c>
      <c r="L301" s="2" t="n">
        <v>3</v>
      </c>
      <c r="M301" s="2" t="n"/>
      <c r="N301" s="2" t="n">
        <v>6</v>
      </c>
      <c r="O301" s="2" t="n">
        <v>6</v>
      </c>
      <c r="P301" s="2" t="n">
        <v>6</v>
      </c>
      <c r="Q301" s="2" t="n"/>
      <c r="R301" s="2" t="n"/>
      <c r="S301" s="2" t="inlineStr">
        <is>
          <t>Stonewaller</t>
        </is>
      </c>
      <c r="T301" s="2" t="n">
        <v>2</v>
      </c>
      <c r="U301" s="2" t="n">
        <v>4</v>
      </c>
      <c r="V301" s="2" t="inlineStr">
        <is>
          <t>masc:0.0;fem:0.0</t>
        </is>
      </c>
      <c r="W301" s="2" t="n">
        <v>0</v>
      </c>
      <c r="X301" s="2" t="n">
        <v>0</v>
      </c>
      <c r="Y301" s="2" t="n"/>
      <c r="Z301" s="2" t="n"/>
      <c r="AA301" s="2" t="n"/>
      <c r="AB301" s="2" t="n"/>
      <c r="AC301" s="2" t="n"/>
      <c r="AD301" s="2" t="n"/>
      <c r="AE301" s="2" t="n">
        <v>0</v>
      </c>
      <c r="AF301" s="2" t="n"/>
      <c r="AG301" s="2" t="n"/>
      <c r="AH301" s="2" t="n">
        <v>0</v>
      </c>
      <c r="AI301" s="2" t="n"/>
      <c r="AJ301" s="2" t="inlineStr">
        <is>
          <t>yes</t>
        </is>
      </c>
      <c r="AK301" s="2" t="inlineStr">
        <is>
          <t>no</t>
        </is>
      </c>
      <c r="AL301" s="2" t="inlineStr">
        <is>
          <t>no</t>
        </is>
      </c>
      <c r="AM301" s="2" t="n"/>
      <c r="AN301" s="2" t="n"/>
      <c r="AO301" s="2" t="n"/>
      <c r="AP301" s="2" t="inlineStr">
        <is>
          <t>v3_2026-03-19</t>
        </is>
      </c>
      <c r="AQ301">
        <f>(L301-Schema_v5!$C2)/(Schema_v5!$C3-Schema_v5!$C2)</f>
        <v/>
      </c>
      <c r="AR301">
        <f>(M301-Schema_v5!$C4)/(Schema_v5!$C5-Schema_v5!$C4)</f>
        <v/>
      </c>
      <c r="AS301">
        <f>N301/Schema_v5!$C6</f>
        <v/>
      </c>
      <c r="AT301">
        <f>O301/Schema_v5!$C7</f>
        <v/>
      </c>
      <c r="AU301">
        <f>P301/Schema_v5!$C8</f>
        <v/>
      </c>
      <c r="AV301">
        <f>IF(Schema_v5!$C9=0,0,AH301/Schema_v5!$C9)</f>
        <v/>
      </c>
      <c r="AW301">
        <f>IF(Schema_v5!$C10=0,0,AE301/Schema_v5!$C10)</f>
        <v/>
      </c>
      <c r="AX301">
        <f>(W301-Schema_v5!$C11)/(Schema_v5!$C12-Schema_v5!$C11)</f>
        <v/>
      </c>
      <c r="AY301">
        <f>(X301-Schema_v5!$C13)/(Schema_v5!$C14-Schema_v5!$C13)</f>
        <v/>
      </c>
      <c r="AZ301">
        <f>MIN(1,MAX(0,U301/Schema_v7!$C$9))</f>
        <v/>
      </c>
      <c r="BA301">
        <f>IF(AJ301="yes",0.55,0)</f>
        <v/>
      </c>
      <c r="BB301">
        <f>IF(AI301="yes",0.10,0)</f>
        <v/>
      </c>
      <c r="BC301">
        <f>IF(Y301="COMM_Direct",0.92,IF(Y301="COMM_Emotional",0.70,IF(Y301="COMM_Logical",0.65,IF(Y301="COMM_Indirect",0.55,0.35))))</f>
        <v/>
      </c>
      <c r="BD301">
        <f>IF(Z301="REG_CoRegulator",0.92,IF(Z301="REG_SelfSoother",0.76,IF(Z301="REG_Distractor",0.48,0.35)))</f>
        <v/>
      </c>
      <c r="BE301">
        <f>IF(AA301="LANG_Time",0.76,IF(AA301="LANG_Service",0.70,IF(AA301="LANG_Words",0.72,IF(AA301="LANG_Touch",0.68,0.60))))</f>
        <v/>
      </c>
      <c r="BF301">
        <f>MAX(0,MIN(1,0.28*AS301+0.16*AT301+0.18*BC301+0.18*BD301+0.10*(1-AZ301)+0.10*(1-BA301)+BB301))</f>
        <v/>
      </c>
      <c r="BG301">
        <f>MAX(0,MIN(1,0.24*AU301+0.18*AS301+0.18*BC301+0.20*BD301+0.10*(1-AW301)+0.10*(1-BA301)))</f>
        <v/>
      </c>
      <c r="BH301">
        <f>MAX(0,MIN(1,0.28*AR301+0.18*AT301+0.16*AU301+0.18*(1-AV301)+0.10*(1-AW301)+0.10*BF301))</f>
        <v/>
      </c>
      <c r="BI301">
        <f>MAX(0,MIN(1,0.30*AV301+0.20*AZ301+0.20*AW301+0.15*(1-BH301)+0.15*(1-BO301)))</f>
        <v/>
      </c>
      <c r="BJ301">
        <f>MAX(0,1-(ABS(((( AX301+AY301)/2)-0.55)*1.6)))</f>
        <v/>
      </c>
      <c r="BK301">
        <f>MAX(0,MIN(1,0.28*AR301+0.18*AT301+0.16*BJ301+0.14*(1-AV301)+0.12*BQ301+0.12*BO301))</f>
        <v/>
      </c>
      <c r="BL301">
        <f>MAX(0,MIN(1,0.22*AQ301+0.18*AS301+0.18*BC301+0.18*BD301+0.08*BE301+0.10*BF301+0.06*BO301))</f>
        <v/>
      </c>
      <c r="BM301">
        <f>MAX(0,MIN(1,0.20*(1-AZ301)+0.16*(1-BA301)+0.14*(1-AW301)+0.14*AU301+0.18*BG301+0.10*BH301+0.08*BP301))</f>
        <v/>
      </c>
      <c r="BN301">
        <f>MAX(0,MIN(1,0.42*BJ301+0.33*BK301+0.15*AT301+0.10*BQ301))</f>
        <v/>
      </c>
      <c r="BO301">
        <f>MAX(0,MIN(1,0.30*BC301+0.24*BD301+0.18*AS301+0.14*(1-BI301)+0.14*AT301))</f>
        <v/>
      </c>
      <c r="BP301">
        <f>MAX(0,MIN(1,0.26*AS301+0.20*(1-BA301)+0.16*(1-AW301)+0.18*BG301+0.10*AU301+0.10+BB301))</f>
        <v/>
      </c>
      <c r="BQ301">
        <f>MAX(0,MIN(1,0.24*AT301+0.18*BF301+0.14*AR301+0.14*BO301+0.14*(1-AV301)+0.16*(1-AZ301)))</f>
        <v/>
      </c>
      <c r="BR301">
        <f>IF(BO301&gt;=0.80,"Open",IF(BO301&gt;=0.62,"Measured",IF(BO301&gt;=0.45,"Selective","Guarded")))</f>
        <v/>
      </c>
      <c r="BS301">
        <f>IF(Y301="COMM_Direct","Direct",IF(Y301="COMM_Emotional","Emotional",IF(Y301="COMM_Logical","Logical",IF(Y301="COMM_Indirect","Indirect","Avoidant"))))</f>
        <v/>
      </c>
      <c r="BT301">
        <f>IF(BG301&gt;=0.78,"Co-repair",IF(BG301&gt;=0.58,"Re-engage",IF(BG301&gt;=0.40,"Delay","Suppress")))</f>
        <v/>
      </c>
      <c r="BU301">
        <f>IF(BI301&gt;=0.70,"Retreat-risk",IF(BH301&lt;=0.40,"Rush-risk",IF(BH301&gt;=0.65,"Slow-build","Mixed")))</f>
        <v/>
      </c>
      <c r="BV301">
        <f>IF(BL301-BM301&gt;=0.15,"Stimulation-seeking",IF(BM301-BL301&gt;=0.15,"Calm-seeking","Mixed")))</f>
        <v/>
      </c>
      <c r="BW301">
        <f>IF(AND(BL301&gt;=0.72,BM301&lt;0.48),"High",IF(AND(BL301&gt;=0.60,BM301&lt;0.58),"Medium","Low"))</f>
        <v/>
      </c>
    </row>
    <row r="302" ht="81" customHeight="1" s="10">
      <c r="A302" s="2" t="inlineStr">
        <is>
          <t>Q59_C</t>
        </is>
      </c>
      <c r="B302" s="2" t="n">
        <v>59</v>
      </c>
      <c r="C302" s="2" t="n">
        <v>108</v>
      </c>
      <c r="D302" s="2" t="inlineStr">
        <is>
          <t>Shadow</t>
        </is>
      </c>
      <c r="E302" s="2" t="n">
        <v>1.4</v>
      </c>
      <c r="F302" s="2" t="inlineStr">
        <is>
          <t>ShadowPattern</t>
        </is>
      </c>
      <c r="G302" s="2" t="inlineStr">
        <is>
          <t>IntegrityRisk</t>
        </is>
      </c>
      <c r="H302" s="2" t="n"/>
      <c r="I302" s="2" t="inlineStr">
        <is>
          <t>C</t>
        </is>
      </c>
      <c r="J302" s="2" t="inlineStr">
        <is>
          <t>C</t>
        </is>
      </c>
      <c r="K302" s="2" t="inlineStr">
        <is>
          <t>Beg, cry, confess everything, I just want them to see me.</t>
        </is>
      </c>
      <c r="L302" s="2" t="n">
        <v>5</v>
      </c>
      <c r="M302" s="2" t="n"/>
      <c r="N302" s="2" t="n">
        <v>4</v>
      </c>
      <c r="O302" s="2" t="n">
        <v>4</v>
      </c>
      <c r="P302" s="2" t="n">
        <v>4</v>
      </c>
      <c r="Q302" s="2" t="n"/>
      <c r="R302" s="2" t="n"/>
      <c r="S302" s="2" t="inlineStr">
        <is>
          <t>Love Bomber</t>
        </is>
      </c>
      <c r="T302" s="2" t="n">
        <v>3</v>
      </c>
      <c r="U302" s="2" t="n">
        <v>6</v>
      </c>
      <c r="V302" s="2" t="inlineStr">
        <is>
          <t>masc:0.0;fem:0.0</t>
        </is>
      </c>
      <c r="W302" s="2" t="n">
        <v>0</v>
      </c>
      <c r="X302" s="2" t="n">
        <v>0</v>
      </c>
      <c r="Y302" s="2" t="n"/>
      <c r="Z302" s="2" t="n"/>
      <c r="AA302" s="2" t="n"/>
      <c r="AB302" s="2" t="n"/>
      <c r="AC302" s="2" t="n"/>
      <c r="AD302" s="2" t="n"/>
      <c r="AE302" s="2" t="n">
        <v>0</v>
      </c>
      <c r="AF302" s="2" t="n"/>
      <c r="AG302" s="2" t="n"/>
      <c r="AH302" s="2" t="n">
        <v>0</v>
      </c>
      <c r="AI302" s="2" t="n"/>
      <c r="AJ302" s="2" t="inlineStr">
        <is>
          <t>no</t>
        </is>
      </c>
      <c r="AK302" s="2" t="inlineStr">
        <is>
          <t>no</t>
        </is>
      </c>
      <c r="AL302" s="2" t="inlineStr">
        <is>
          <t>no</t>
        </is>
      </c>
      <c r="AM302" s="2" t="n"/>
      <c r="AN302" s="2" t="n"/>
      <c r="AO302" s="2" t="n"/>
      <c r="AP302" s="2" t="inlineStr">
        <is>
          <t>v3_2026-03-19</t>
        </is>
      </c>
      <c r="AQ302">
        <f>(L302-Schema_v5!$C2)/(Schema_v5!$C3-Schema_v5!$C2)</f>
        <v/>
      </c>
      <c r="AR302">
        <f>(M302-Schema_v5!$C4)/(Schema_v5!$C5-Schema_v5!$C4)</f>
        <v/>
      </c>
      <c r="AS302">
        <f>N302/Schema_v5!$C6</f>
        <v/>
      </c>
      <c r="AT302">
        <f>O302/Schema_v5!$C7</f>
        <v/>
      </c>
      <c r="AU302">
        <f>P302/Schema_v5!$C8</f>
        <v/>
      </c>
      <c r="AV302">
        <f>IF(Schema_v5!$C9=0,0,AH302/Schema_v5!$C9)</f>
        <v/>
      </c>
      <c r="AW302">
        <f>IF(Schema_v5!$C10=0,0,AE302/Schema_v5!$C10)</f>
        <v/>
      </c>
      <c r="AX302">
        <f>(W302-Schema_v5!$C11)/(Schema_v5!$C12-Schema_v5!$C11)</f>
        <v/>
      </c>
      <c r="AY302">
        <f>(X302-Schema_v5!$C13)/(Schema_v5!$C14-Schema_v5!$C13)</f>
        <v/>
      </c>
      <c r="AZ302">
        <f>MIN(1,MAX(0,U302/Schema_v7!$C$9))</f>
        <v/>
      </c>
      <c r="BA302">
        <f>IF(AJ302="yes",0.55,0)</f>
        <v/>
      </c>
      <c r="BB302">
        <f>IF(AI302="yes",0.10,0)</f>
        <v/>
      </c>
      <c r="BC302">
        <f>IF(Y302="COMM_Direct",0.92,IF(Y302="COMM_Emotional",0.70,IF(Y302="COMM_Logical",0.65,IF(Y302="COMM_Indirect",0.55,0.35))))</f>
        <v/>
      </c>
      <c r="BD302">
        <f>IF(Z302="REG_CoRegulator",0.92,IF(Z302="REG_SelfSoother",0.76,IF(Z302="REG_Distractor",0.48,0.35)))</f>
        <v/>
      </c>
      <c r="BE302">
        <f>IF(AA302="LANG_Time",0.76,IF(AA302="LANG_Service",0.70,IF(AA302="LANG_Words",0.72,IF(AA302="LANG_Touch",0.68,0.60))))</f>
        <v/>
      </c>
      <c r="BF302">
        <f>MAX(0,MIN(1,0.28*AS302+0.16*AT302+0.18*BC302+0.18*BD302+0.10*(1-AZ302)+0.10*(1-BA302)+BB302))</f>
        <v/>
      </c>
      <c r="BG302">
        <f>MAX(0,MIN(1,0.24*AU302+0.18*AS302+0.18*BC302+0.20*BD302+0.10*(1-AW302)+0.10*(1-BA302)))</f>
        <v/>
      </c>
      <c r="BH302">
        <f>MAX(0,MIN(1,0.28*AR302+0.18*AT302+0.16*AU302+0.18*(1-AV302)+0.10*(1-AW302)+0.10*BF302))</f>
        <v/>
      </c>
      <c r="BI302">
        <f>MAX(0,MIN(1,0.30*AV302+0.20*AZ302+0.20*AW302+0.15*(1-BH302)+0.15*(1-BO302)))</f>
        <v/>
      </c>
      <c r="BJ302">
        <f>MAX(0,1-(ABS(((( AX302+AY302)/2)-0.55)*1.6)))</f>
        <v/>
      </c>
      <c r="BK302">
        <f>MAX(0,MIN(1,0.28*AR302+0.18*AT302+0.16*BJ302+0.14*(1-AV302)+0.12*BQ302+0.12*BO302))</f>
        <v/>
      </c>
      <c r="BL302">
        <f>MAX(0,MIN(1,0.22*AQ302+0.18*AS302+0.18*BC302+0.18*BD302+0.08*BE302+0.10*BF302+0.06*BO302))</f>
        <v/>
      </c>
      <c r="BM302">
        <f>MAX(0,MIN(1,0.20*(1-AZ302)+0.16*(1-BA302)+0.14*(1-AW302)+0.14*AU302+0.18*BG302+0.10*BH302+0.08*BP302))</f>
        <v/>
      </c>
      <c r="BN302">
        <f>MAX(0,MIN(1,0.42*BJ302+0.33*BK302+0.15*AT302+0.10*BQ302))</f>
        <v/>
      </c>
      <c r="BO302">
        <f>MAX(0,MIN(1,0.30*BC302+0.24*BD302+0.18*AS302+0.14*(1-BI302)+0.14*AT302))</f>
        <v/>
      </c>
      <c r="BP302">
        <f>MAX(0,MIN(1,0.26*AS302+0.20*(1-BA302)+0.16*(1-AW302)+0.18*BG302+0.10*AU302+0.10+BB302))</f>
        <v/>
      </c>
      <c r="BQ302">
        <f>MAX(0,MIN(1,0.24*AT302+0.18*BF302+0.14*AR302+0.14*BO302+0.14*(1-AV302)+0.16*(1-AZ302)))</f>
        <v/>
      </c>
      <c r="BR302">
        <f>IF(BO302&gt;=0.80,"Open",IF(BO302&gt;=0.62,"Measured",IF(BO302&gt;=0.45,"Selective","Guarded")))</f>
        <v/>
      </c>
      <c r="BS302">
        <f>IF(Y302="COMM_Direct","Direct",IF(Y302="COMM_Emotional","Emotional",IF(Y302="COMM_Logical","Logical",IF(Y302="COMM_Indirect","Indirect","Avoidant"))))</f>
        <v/>
      </c>
      <c r="BT302">
        <f>IF(BG302&gt;=0.78,"Co-repair",IF(BG302&gt;=0.58,"Re-engage",IF(BG302&gt;=0.40,"Delay","Suppress")))</f>
        <v/>
      </c>
      <c r="BU302">
        <f>IF(BI302&gt;=0.70,"Retreat-risk",IF(BH302&lt;=0.40,"Rush-risk",IF(BH302&gt;=0.65,"Slow-build","Mixed")))</f>
        <v/>
      </c>
      <c r="BV302">
        <f>IF(BL302-BM302&gt;=0.15,"Stimulation-seeking",IF(BM302-BL302&gt;=0.15,"Calm-seeking","Mixed")))</f>
        <v/>
      </c>
      <c r="BW302">
        <f>IF(AND(BL302&gt;=0.72,BM302&lt;0.48),"High",IF(AND(BL302&gt;=0.60,BM302&lt;0.58),"Medium","Low"))</f>
        <v/>
      </c>
    </row>
    <row r="303" ht="94.5" customHeight="1" s="10">
      <c r="A303" s="2" t="inlineStr">
        <is>
          <t>Q59_D</t>
        </is>
      </c>
      <c r="B303" s="2" t="n">
        <v>59</v>
      </c>
      <c r="C303" s="2" t="n">
        <v>108</v>
      </c>
      <c r="D303" s="2" t="inlineStr">
        <is>
          <t>Shadow</t>
        </is>
      </c>
      <c r="E303" s="2" t="n">
        <v>1.4</v>
      </c>
      <c r="F303" s="2" t="inlineStr">
        <is>
          <t>ShadowPattern</t>
        </is>
      </c>
      <c r="G303" s="2" t="inlineStr">
        <is>
          <t>IntegrityRisk</t>
        </is>
      </c>
      <c r="H303" s="2" t="n"/>
      <c r="I303" s="2" t="inlineStr">
        <is>
          <t>D</t>
        </is>
      </c>
      <c r="J303" s="2" t="inlineStr">
        <is>
          <t>D</t>
        </is>
      </c>
      <c r="K303" s="2" t="inlineStr">
        <is>
          <t>Switch tones, change energy, find a way to make it stop, without fixing it.</t>
        </is>
      </c>
      <c r="L303" s="2" t="n">
        <v>6</v>
      </c>
      <c r="M303" s="2" t="n"/>
      <c r="N303" s="2" t="n">
        <v>4</v>
      </c>
      <c r="O303" s="2" t="n">
        <v>4</v>
      </c>
      <c r="P303" s="2" t="n">
        <v>4</v>
      </c>
      <c r="Q303" s="2" t="n"/>
      <c r="R303" s="2" t="n"/>
      <c r="S303" s="2" t="inlineStr">
        <is>
          <t>Chameleon</t>
        </is>
      </c>
      <c r="T303" s="2" t="n">
        <v>4</v>
      </c>
      <c r="U303" s="2" t="n">
        <v>6</v>
      </c>
      <c r="V303" s="2" t="inlineStr">
        <is>
          <t>masc:0.0;fem:0.0</t>
        </is>
      </c>
      <c r="W303" s="2" t="n">
        <v>0</v>
      </c>
      <c r="X303" s="2" t="n">
        <v>0</v>
      </c>
      <c r="Y303" s="2" t="n"/>
      <c r="Z303" s="2" t="n"/>
      <c r="AA303" s="2" t="n"/>
      <c r="AB303" s="2" t="n"/>
      <c r="AC303" s="2" t="n"/>
      <c r="AD303" s="2" t="n"/>
      <c r="AE303" s="2" t="n">
        <v>0</v>
      </c>
      <c r="AF303" s="2" t="n"/>
      <c r="AG303" s="2" t="n"/>
      <c r="AH303" s="2" t="n">
        <v>0</v>
      </c>
      <c r="AI303" s="2" t="n"/>
      <c r="AJ303" s="2" t="inlineStr">
        <is>
          <t>no</t>
        </is>
      </c>
      <c r="AK303" s="2" t="inlineStr">
        <is>
          <t>no</t>
        </is>
      </c>
      <c r="AL303" s="2" t="inlineStr">
        <is>
          <t>no</t>
        </is>
      </c>
      <c r="AM303" s="2" t="n"/>
      <c r="AN303" s="2" t="n"/>
      <c r="AO303" s="2" t="n"/>
      <c r="AP303" s="2" t="inlineStr">
        <is>
          <t>v3_2026-03-19</t>
        </is>
      </c>
      <c r="AQ303">
        <f>(L303-Schema_v5!$C2)/(Schema_v5!$C3-Schema_v5!$C2)</f>
        <v/>
      </c>
      <c r="AR303">
        <f>(M303-Schema_v5!$C4)/(Schema_v5!$C5-Schema_v5!$C4)</f>
        <v/>
      </c>
      <c r="AS303">
        <f>N303/Schema_v5!$C6</f>
        <v/>
      </c>
      <c r="AT303">
        <f>O303/Schema_v5!$C7</f>
        <v/>
      </c>
      <c r="AU303">
        <f>P303/Schema_v5!$C8</f>
        <v/>
      </c>
      <c r="AV303">
        <f>IF(Schema_v5!$C9=0,0,AH303/Schema_v5!$C9)</f>
        <v/>
      </c>
      <c r="AW303">
        <f>IF(Schema_v5!$C10=0,0,AE303/Schema_v5!$C10)</f>
        <v/>
      </c>
      <c r="AX303">
        <f>(W303-Schema_v5!$C11)/(Schema_v5!$C12-Schema_v5!$C11)</f>
        <v/>
      </c>
      <c r="AY303">
        <f>(X303-Schema_v5!$C13)/(Schema_v5!$C14-Schema_v5!$C13)</f>
        <v/>
      </c>
      <c r="AZ303">
        <f>MIN(1,MAX(0,U303/Schema_v7!$C$9))</f>
        <v/>
      </c>
      <c r="BA303">
        <f>IF(AJ303="yes",0.55,0)</f>
        <v/>
      </c>
      <c r="BB303">
        <f>IF(AI303="yes",0.10,0)</f>
        <v/>
      </c>
      <c r="BC303">
        <f>IF(Y303="COMM_Direct",0.92,IF(Y303="COMM_Emotional",0.70,IF(Y303="COMM_Logical",0.65,IF(Y303="COMM_Indirect",0.55,0.35))))</f>
        <v/>
      </c>
      <c r="BD303">
        <f>IF(Z303="REG_CoRegulator",0.92,IF(Z303="REG_SelfSoother",0.76,IF(Z303="REG_Distractor",0.48,0.35)))</f>
        <v/>
      </c>
      <c r="BE303">
        <f>IF(AA303="LANG_Time",0.76,IF(AA303="LANG_Service",0.70,IF(AA303="LANG_Words",0.72,IF(AA303="LANG_Touch",0.68,0.60))))</f>
        <v/>
      </c>
      <c r="BF303">
        <f>MAX(0,MIN(1,0.28*AS303+0.16*AT303+0.18*BC303+0.18*BD303+0.10*(1-AZ303)+0.10*(1-BA303)+BB303))</f>
        <v/>
      </c>
      <c r="BG303">
        <f>MAX(0,MIN(1,0.24*AU303+0.18*AS303+0.18*BC303+0.20*BD303+0.10*(1-AW303)+0.10*(1-BA303)))</f>
        <v/>
      </c>
      <c r="BH303">
        <f>MAX(0,MIN(1,0.28*AR303+0.18*AT303+0.16*AU303+0.18*(1-AV303)+0.10*(1-AW303)+0.10*BF303))</f>
        <v/>
      </c>
      <c r="BI303">
        <f>MAX(0,MIN(1,0.30*AV303+0.20*AZ303+0.20*AW303+0.15*(1-BH303)+0.15*(1-BO303)))</f>
        <v/>
      </c>
      <c r="BJ303">
        <f>MAX(0,1-(ABS(((( AX303+AY303)/2)-0.55)*1.6)))</f>
        <v/>
      </c>
      <c r="BK303">
        <f>MAX(0,MIN(1,0.28*AR303+0.18*AT303+0.16*BJ303+0.14*(1-AV303)+0.12*BQ303+0.12*BO303))</f>
        <v/>
      </c>
      <c r="BL303">
        <f>MAX(0,MIN(1,0.22*AQ303+0.18*AS303+0.18*BC303+0.18*BD303+0.08*BE303+0.10*BF303+0.06*BO303))</f>
        <v/>
      </c>
      <c r="BM303">
        <f>MAX(0,MIN(1,0.20*(1-AZ303)+0.16*(1-BA303)+0.14*(1-AW303)+0.14*AU303+0.18*BG303+0.10*BH303+0.08*BP303))</f>
        <v/>
      </c>
      <c r="BN303">
        <f>MAX(0,MIN(1,0.42*BJ303+0.33*BK303+0.15*AT303+0.10*BQ303))</f>
        <v/>
      </c>
      <c r="BO303">
        <f>MAX(0,MIN(1,0.30*BC303+0.24*BD303+0.18*AS303+0.14*(1-BI303)+0.14*AT303))</f>
        <v/>
      </c>
      <c r="BP303">
        <f>MAX(0,MIN(1,0.26*AS303+0.20*(1-BA303)+0.16*(1-AW303)+0.18*BG303+0.10*AU303+0.10+BB303))</f>
        <v/>
      </c>
      <c r="BQ303">
        <f>MAX(0,MIN(1,0.24*AT303+0.18*BF303+0.14*AR303+0.14*BO303+0.14*(1-AV303)+0.16*(1-AZ303)))</f>
        <v/>
      </c>
      <c r="BR303">
        <f>IF(BO303&gt;=0.80,"Open",IF(BO303&gt;=0.62,"Measured",IF(BO303&gt;=0.45,"Selective","Guarded")))</f>
        <v/>
      </c>
      <c r="BS303">
        <f>IF(Y303="COMM_Direct","Direct",IF(Y303="COMM_Emotional","Emotional",IF(Y303="COMM_Logical","Logical",IF(Y303="COMM_Indirect","Indirect","Avoidant"))))</f>
        <v/>
      </c>
      <c r="BT303">
        <f>IF(BG303&gt;=0.78,"Co-repair",IF(BG303&gt;=0.58,"Re-engage",IF(BG303&gt;=0.40,"Delay","Suppress")))</f>
        <v/>
      </c>
      <c r="BU303">
        <f>IF(BI303&gt;=0.70,"Retreat-risk",IF(BH303&lt;=0.40,"Rush-risk",IF(BH303&gt;=0.65,"Slow-build","Mixed")))</f>
        <v/>
      </c>
      <c r="BV303">
        <f>IF(BL303-BM303&gt;=0.15,"Stimulation-seeking",IF(BM303-BL303&gt;=0.15,"Calm-seeking","Mixed")))</f>
        <v/>
      </c>
      <c r="BW303">
        <f>IF(AND(BL303&gt;=0.72,BM303&lt;0.48),"High",IF(AND(BL303&gt;=0.60,BM303&lt;0.58),"Medium","Low"))</f>
        <v/>
      </c>
    </row>
    <row r="304" ht="81" customHeight="1" s="10">
      <c r="A304" s="2" t="inlineStr">
        <is>
          <t>Q59_E</t>
        </is>
      </c>
      <c r="B304" s="2" t="n">
        <v>59</v>
      </c>
      <c r="C304" s="2" t="n">
        <v>108</v>
      </c>
      <c r="D304" s="2" t="inlineStr">
        <is>
          <t>Shadow</t>
        </is>
      </c>
      <c r="E304" s="2" t="n">
        <v>1.4</v>
      </c>
      <c r="F304" s="2" t="inlineStr">
        <is>
          <t>ShadowPattern</t>
        </is>
      </c>
      <c r="G304" s="2" t="inlineStr">
        <is>
          <t>IntegrityRisk</t>
        </is>
      </c>
      <c r="H304" s="2" t="n"/>
      <c r="I304" s="2" t="inlineStr">
        <is>
          <t>E</t>
        </is>
      </c>
      <c r="J304" s="2" t="inlineStr">
        <is>
          <t>E</t>
        </is>
      </c>
      <c r="K304" s="2" t="inlineStr">
        <is>
          <t>Bring up all the other times they've done this. It's never just about now.</t>
        </is>
      </c>
      <c r="L304" s="2" t="n">
        <v>7</v>
      </c>
      <c r="M304" s="2" t="n"/>
      <c r="N304" s="2" t="n">
        <v>2</v>
      </c>
      <c r="O304" s="2" t="n">
        <v>2</v>
      </c>
      <c r="P304" s="2" t="n">
        <v>2</v>
      </c>
      <c r="Q304" s="2" t="n"/>
      <c r="R304" s="2" t="n"/>
      <c r="S304" s="2" t="inlineStr">
        <is>
          <t>Scorekeeper</t>
        </is>
      </c>
      <c r="T304" s="2" t="n">
        <v>5</v>
      </c>
      <c r="U304" s="2" t="n">
        <v>8</v>
      </c>
      <c r="V304" s="2" t="inlineStr">
        <is>
          <t>masc:0.0;fem:0.0</t>
        </is>
      </c>
      <c r="W304" s="2" t="n">
        <v>0</v>
      </c>
      <c r="X304" s="2" t="n">
        <v>0</v>
      </c>
      <c r="Y304" s="2" t="n"/>
      <c r="Z304" s="2" t="n"/>
      <c r="AA304" s="2" t="n"/>
      <c r="AB304" s="2" t="n"/>
      <c r="AC304" s="2" t="n"/>
      <c r="AD304" s="2" t="n"/>
      <c r="AE304" s="2" t="n">
        <v>0</v>
      </c>
      <c r="AF304" s="2" t="n"/>
      <c r="AG304" s="2" t="n"/>
      <c r="AH304" s="2" t="n">
        <v>0</v>
      </c>
      <c r="AI304" s="2" t="n"/>
      <c r="AJ304" s="2" t="inlineStr">
        <is>
          <t>no</t>
        </is>
      </c>
      <c r="AK304" s="2" t="inlineStr">
        <is>
          <t>no</t>
        </is>
      </c>
      <c r="AL304" s="2" t="inlineStr">
        <is>
          <t>no</t>
        </is>
      </c>
      <c r="AM304" s="2" t="n"/>
      <c r="AN304" s="2" t="n"/>
      <c r="AO304" s="2" t="n"/>
      <c r="AP304" s="2" t="inlineStr">
        <is>
          <t>v3_2026-03-19</t>
        </is>
      </c>
      <c r="AQ304">
        <f>(L304-Schema_v5!$C2)/(Schema_v5!$C3-Schema_v5!$C2)</f>
        <v/>
      </c>
      <c r="AR304">
        <f>(M304-Schema_v5!$C4)/(Schema_v5!$C5-Schema_v5!$C4)</f>
        <v/>
      </c>
      <c r="AS304">
        <f>N304/Schema_v5!$C6</f>
        <v/>
      </c>
      <c r="AT304">
        <f>O304/Schema_v5!$C7</f>
        <v/>
      </c>
      <c r="AU304">
        <f>P304/Schema_v5!$C8</f>
        <v/>
      </c>
      <c r="AV304">
        <f>IF(Schema_v5!$C9=0,0,AH304/Schema_v5!$C9)</f>
        <v/>
      </c>
      <c r="AW304">
        <f>IF(Schema_v5!$C10=0,0,AE304/Schema_v5!$C10)</f>
        <v/>
      </c>
      <c r="AX304">
        <f>(W304-Schema_v5!$C11)/(Schema_v5!$C12-Schema_v5!$C11)</f>
        <v/>
      </c>
      <c r="AY304">
        <f>(X304-Schema_v5!$C13)/(Schema_v5!$C14-Schema_v5!$C13)</f>
        <v/>
      </c>
      <c r="AZ304">
        <f>MIN(1,MAX(0,U304/Schema_v7!$C$9))</f>
        <v/>
      </c>
      <c r="BA304">
        <f>IF(AJ304="yes",0.55,0)</f>
        <v/>
      </c>
      <c r="BB304">
        <f>IF(AI304="yes",0.10,0)</f>
        <v/>
      </c>
      <c r="BC304">
        <f>IF(Y304="COMM_Direct",0.92,IF(Y304="COMM_Emotional",0.70,IF(Y304="COMM_Logical",0.65,IF(Y304="COMM_Indirect",0.55,0.35))))</f>
        <v/>
      </c>
      <c r="BD304">
        <f>IF(Z304="REG_CoRegulator",0.92,IF(Z304="REG_SelfSoother",0.76,IF(Z304="REG_Distractor",0.48,0.35)))</f>
        <v/>
      </c>
      <c r="BE304">
        <f>IF(AA304="LANG_Time",0.76,IF(AA304="LANG_Service",0.70,IF(AA304="LANG_Words",0.72,IF(AA304="LANG_Touch",0.68,0.60))))</f>
        <v/>
      </c>
      <c r="BF304">
        <f>MAX(0,MIN(1,0.28*AS304+0.16*AT304+0.18*BC304+0.18*BD304+0.10*(1-AZ304)+0.10*(1-BA304)+BB304))</f>
        <v/>
      </c>
      <c r="BG304">
        <f>MAX(0,MIN(1,0.24*AU304+0.18*AS304+0.18*BC304+0.20*BD304+0.10*(1-AW304)+0.10*(1-BA304)))</f>
        <v/>
      </c>
      <c r="BH304">
        <f>MAX(0,MIN(1,0.28*AR304+0.18*AT304+0.16*AU304+0.18*(1-AV304)+0.10*(1-AW304)+0.10*BF304))</f>
        <v/>
      </c>
      <c r="BI304">
        <f>MAX(0,MIN(1,0.30*AV304+0.20*AZ304+0.20*AW304+0.15*(1-BH304)+0.15*(1-BO304)))</f>
        <v/>
      </c>
      <c r="BJ304">
        <f>MAX(0,1-(ABS(((( AX304+AY304)/2)-0.55)*1.6)))</f>
        <v/>
      </c>
      <c r="BK304">
        <f>MAX(0,MIN(1,0.28*AR304+0.18*AT304+0.16*BJ304+0.14*(1-AV304)+0.12*BQ304+0.12*BO304))</f>
        <v/>
      </c>
      <c r="BL304">
        <f>MAX(0,MIN(1,0.22*AQ304+0.18*AS304+0.18*BC304+0.18*BD304+0.08*BE304+0.10*BF304+0.06*BO304))</f>
        <v/>
      </c>
      <c r="BM304">
        <f>MAX(0,MIN(1,0.20*(1-AZ304)+0.16*(1-BA304)+0.14*(1-AW304)+0.14*AU304+0.18*BG304+0.10*BH304+0.08*BP304))</f>
        <v/>
      </c>
      <c r="BN304">
        <f>MAX(0,MIN(1,0.42*BJ304+0.33*BK304+0.15*AT304+0.10*BQ304))</f>
        <v/>
      </c>
      <c r="BO304">
        <f>MAX(0,MIN(1,0.30*BC304+0.24*BD304+0.18*AS304+0.14*(1-BI304)+0.14*AT304))</f>
        <v/>
      </c>
      <c r="BP304">
        <f>MAX(0,MIN(1,0.26*AS304+0.20*(1-BA304)+0.16*(1-AW304)+0.18*BG304+0.10*AU304+0.10+BB304))</f>
        <v/>
      </c>
      <c r="BQ304">
        <f>MAX(0,MIN(1,0.24*AT304+0.18*BF304+0.14*AR304+0.14*BO304+0.14*(1-AV304)+0.16*(1-AZ304)))</f>
        <v/>
      </c>
      <c r="BR304">
        <f>IF(BO304&gt;=0.80,"Open",IF(BO304&gt;=0.62,"Measured",IF(BO304&gt;=0.45,"Selective","Guarded")))</f>
        <v/>
      </c>
      <c r="BS304">
        <f>IF(Y304="COMM_Direct","Direct",IF(Y304="COMM_Emotional","Emotional",IF(Y304="COMM_Logical","Logical",IF(Y304="COMM_Indirect","Indirect","Avoidant"))))</f>
        <v/>
      </c>
      <c r="BT304">
        <f>IF(BG304&gt;=0.78,"Co-repair",IF(BG304&gt;=0.58,"Re-engage",IF(BG304&gt;=0.40,"Delay","Suppress")))</f>
        <v/>
      </c>
      <c r="BU304">
        <f>IF(BI304&gt;=0.70,"Retreat-risk",IF(BH304&lt;=0.40,"Rush-risk",IF(BH304&gt;=0.65,"Slow-build","Mixed")))</f>
        <v/>
      </c>
      <c r="BV304">
        <f>IF(BL304-BM304&gt;=0.15,"Stimulation-seeking",IF(BM304-BL304&gt;=0.15,"Calm-seeking","Mixed")))</f>
        <v/>
      </c>
      <c r="BW304">
        <f>IF(AND(BL304&gt;=0.72,BM304&lt;0.48),"High",IF(AND(BL304&gt;=0.60,BM304&lt;0.58),"Medium","Low"))</f>
        <v/>
      </c>
    </row>
    <row r="305" ht="68.25" customHeight="1" s="10">
      <c r="A305" s="2" t="inlineStr">
        <is>
          <t>Q59_F</t>
        </is>
      </c>
      <c r="B305" s="2" t="n">
        <v>59</v>
      </c>
      <c r="C305" s="2" t="n">
        <v>108</v>
      </c>
      <c r="D305" s="2" t="inlineStr">
        <is>
          <t>Shadow</t>
        </is>
      </c>
      <c r="E305" s="2" t="n">
        <v>1.4</v>
      </c>
      <c r="F305" s="2" t="inlineStr">
        <is>
          <t>ShadowPattern</t>
        </is>
      </c>
      <c r="G305" s="2" t="inlineStr">
        <is>
          <t>IntegrityRisk</t>
        </is>
      </c>
      <c r="H305" s="2" t="n"/>
      <c r="I305" s="2" t="inlineStr">
        <is>
          <t>F</t>
        </is>
      </c>
      <c r="J305" s="2" t="inlineStr">
        <is>
          <t>F</t>
        </is>
      </c>
      <c r="K305" s="2" t="inlineStr">
        <is>
          <t>Tell myself I was wrong for speaking up in the first place.</t>
        </is>
      </c>
      <c r="L305" s="2" t="n">
        <v>8</v>
      </c>
      <c r="M305" s="2" t="n"/>
      <c r="N305" s="2" t="n">
        <v>2</v>
      </c>
      <c r="O305" s="2" t="n">
        <v>2</v>
      </c>
      <c r="P305" s="2" t="n">
        <v>2</v>
      </c>
      <c r="Q305" s="2" t="n"/>
      <c r="R305" s="2" t="n"/>
      <c r="S305" s="2" t="inlineStr">
        <is>
          <t>Self-Saboteur</t>
        </is>
      </c>
      <c r="T305" s="2" t="n">
        <v>6</v>
      </c>
      <c r="U305" s="2" t="n">
        <v>8</v>
      </c>
      <c r="V305" s="2" t="inlineStr">
        <is>
          <t>masc:0.0;fem:0.0</t>
        </is>
      </c>
      <c r="W305" s="2" t="n">
        <v>0</v>
      </c>
      <c r="X305" s="2" t="n">
        <v>0</v>
      </c>
      <c r="Y305" s="2" t="n"/>
      <c r="Z305" s="2" t="n"/>
      <c r="AA305" s="2" t="n"/>
      <c r="AB305" s="2" t="n"/>
      <c r="AC305" s="2" t="n"/>
      <c r="AD305" s="2" t="n"/>
      <c r="AE305" s="2" t="n">
        <v>0</v>
      </c>
      <c r="AF305" s="2" t="n"/>
      <c r="AG305" s="2" t="n"/>
      <c r="AH305" s="2" t="n">
        <v>0</v>
      </c>
      <c r="AI305" s="2" t="n"/>
      <c r="AJ305" s="2" t="inlineStr">
        <is>
          <t>no</t>
        </is>
      </c>
      <c r="AK305" s="2" t="inlineStr">
        <is>
          <t>no</t>
        </is>
      </c>
      <c r="AL305" s="2" t="inlineStr">
        <is>
          <t>no</t>
        </is>
      </c>
      <c r="AM305" s="2" t="n"/>
      <c r="AN305" s="2" t="n"/>
      <c r="AO305" s="2" t="n"/>
      <c r="AP305" s="2" t="inlineStr">
        <is>
          <t>v3_2026-03-19</t>
        </is>
      </c>
      <c r="AQ305">
        <f>(L305-Schema_v5!$C2)/(Schema_v5!$C3-Schema_v5!$C2)</f>
        <v/>
      </c>
      <c r="AR305">
        <f>(M305-Schema_v5!$C4)/(Schema_v5!$C5-Schema_v5!$C4)</f>
        <v/>
      </c>
      <c r="AS305">
        <f>N305/Schema_v5!$C6</f>
        <v/>
      </c>
      <c r="AT305">
        <f>O305/Schema_v5!$C7</f>
        <v/>
      </c>
      <c r="AU305">
        <f>P305/Schema_v5!$C8</f>
        <v/>
      </c>
      <c r="AV305">
        <f>IF(Schema_v5!$C9=0,0,AH305/Schema_v5!$C9)</f>
        <v/>
      </c>
      <c r="AW305">
        <f>IF(Schema_v5!$C10=0,0,AE305/Schema_v5!$C10)</f>
        <v/>
      </c>
      <c r="AX305">
        <f>(W305-Schema_v5!$C11)/(Schema_v5!$C12-Schema_v5!$C11)</f>
        <v/>
      </c>
      <c r="AY305">
        <f>(X305-Schema_v5!$C13)/(Schema_v5!$C14-Schema_v5!$C13)</f>
        <v/>
      </c>
      <c r="AZ305">
        <f>MIN(1,MAX(0,U305/Schema_v7!$C$9))</f>
        <v/>
      </c>
      <c r="BA305">
        <f>IF(AJ305="yes",0.55,0)</f>
        <v/>
      </c>
      <c r="BB305">
        <f>IF(AI305="yes",0.10,0)</f>
        <v/>
      </c>
      <c r="BC305">
        <f>IF(Y305="COMM_Direct",0.92,IF(Y305="COMM_Emotional",0.70,IF(Y305="COMM_Logical",0.65,IF(Y305="COMM_Indirect",0.55,0.35))))</f>
        <v/>
      </c>
      <c r="BD305">
        <f>IF(Z305="REG_CoRegulator",0.92,IF(Z305="REG_SelfSoother",0.76,IF(Z305="REG_Distractor",0.48,0.35)))</f>
        <v/>
      </c>
      <c r="BE305">
        <f>IF(AA305="LANG_Time",0.76,IF(AA305="LANG_Service",0.70,IF(AA305="LANG_Words",0.72,IF(AA305="LANG_Touch",0.68,0.60))))</f>
        <v/>
      </c>
      <c r="BF305">
        <f>MAX(0,MIN(1,0.28*AS305+0.16*AT305+0.18*BC305+0.18*BD305+0.10*(1-AZ305)+0.10*(1-BA305)+BB305))</f>
        <v/>
      </c>
      <c r="BG305">
        <f>MAX(0,MIN(1,0.24*AU305+0.18*AS305+0.18*BC305+0.20*BD305+0.10*(1-AW305)+0.10*(1-BA305)))</f>
        <v/>
      </c>
      <c r="BH305">
        <f>MAX(0,MIN(1,0.28*AR305+0.18*AT305+0.16*AU305+0.18*(1-AV305)+0.10*(1-AW305)+0.10*BF305))</f>
        <v/>
      </c>
      <c r="BI305">
        <f>MAX(0,MIN(1,0.30*AV305+0.20*AZ305+0.20*AW305+0.15*(1-BH305)+0.15*(1-BO305)))</f>
        <v/>
      </c>
      <c r="BJ305">
        <f>MAX(0,1-(ABS(((( AX305+AY305)/2)-0.55)*1.6)))</f>
        <v/>
      </c>
      <c r="BK305">
        <f>MAX(0,MIN(1,0.28*AR305+0.18*AT305+0.16*BJ305+0.14*(1-AV305)+0.12*BQ305+0.12*BO305))</f>
        <v/>
      </c>
      <c r="BL305">
        <f>MAX(0,MIN(1,0.22*AQ305+0.18*AS305+0.18*BC305+0.18*BD305+0.08*BE305+0.10*BF305+0.06*BO305))</f>
        <v/>
      </c>
      <c r="BM305">
        <f>MAX(0,MIN(1,0.20*(1-AZ305)+0.16*(1-BA305)+0.14*(1-AW305)+0.14*AU305+0.18*BG305+0.10*BH305+0.08*BP305))</f>
        <v/>
      </c>
      <c r="BN305">
        <f>MAX(0,MIN(1,0.42*BJ305+0.33*BK305+0.15*AT305+0.10*BQ305))</f>
        <v/>
      </c>
      <c r="BO305">
        <f>MAX(0,MIN(1,0.30*BC305+0.24*BD305+0.18*AS305+0.14*(1-BI305)+0.14*AT305))</f>
        <v/>
      </c>
      <c r="BP305">
        <f>MAX(0,MIN(1,0.26*AS305+0.20*(1-BA305)+0.16*(1-AW305)+0.18*BG305+0.10*AU305+0.10+BB305))</f>
        <v/>
      </c>
      <c r="BQ305">
        <f>MAX(0,MIN(1,0.24*AT305+0.18*BF305+0.14*AR305+0.14*BO305+0.14*(1-AV305)+0.16*(1-AZ305)))</f>
        <v/>
      </c>
      <c r="BR305">
        <f>IF(BO305&gt;=0.80,"Open",IF(BO305&gt;=0.62,"Measured",IF(BO305&gt;=0.45,"Selective","Guarded")))</f>
        <v/>
      </c>
      <c r="BS305">
        <f>IF(Y305="COMM_Direct","Direct",IF(Y305="COMM_Emotional","Emotional",IF(Y305="COMM_Logical","Logical",IF(Y305="COMM_Indirect","Indirect","Avoidant"))))</f>
        <v/>
      </c>
      <c r="BT305">
        <f>IF(BG305&gt;=0.78,"Co-repair",IF(BG305&gt;=0.58,"Re-engage",IF(BG305&gt;=0.40,"Delay","Suppress")))</f>
        <v/>
      </c>
      <c r="BU305">
        <f>IF(BI305&gt;=0.70,"Retreat-risk",IF(BH305&lt;=0.40,"Rush-risk",IF(BH305&gt;=0.65,"Slow-build","Mixed")))</f>
        <v/>
      </c>
      <c r="BV305">
        <f>IF(BL305-BM305&gt;=0.15,"Stimulation-seeking",IF(BM305-BL305&gt;=0.15,"Calm-seeking","Mixed")))</f>
        <v/>
      </c>
      <c r="BW305">
        <f>IF(AND(BL305&gt;=0.72,BM305&lt;0.48),"High",IF(AND(BL305&gt;=0.60,BM305&lt;0.58),"Medium","Low"))</f>
        <v/>
      </c>
    </row>
    <row r="306" ht="108" customHeight="1" s="10">
      <c r="A306" s="2" t="inlineStr">
        <is>
          <t>Q60_A</t>
        </is>
      </c>
      <c r="B306" s="2" t="n">
        <v>60</v>
      </c>
      <c r="C306" s="2" t="n">
        <v>109</v>
      </c>
      <c r="D306" s="2" t="inlineStr">
        <is>
          <t>Shadow</t>
        </is>
      </c>
      <c r="E306" s="2" t="n">
        <v>1.4</v>
      </c>
      <c r="F306" s="2" t="inlineStr">
        <is>
          <t>ShadowPattern</t>
        </is>
      </c>
      <c r="G306" s="2" t="inlineStr">
        <is>
          <t>IntegrityRisk</t>
        </is>
      </c>
      <c r="H306" s="2" t="inlineStr">
        <is>
          <t>You feel something deeply but aren't sure if they'll understand. What do you do?</t>
        </is>
      </c>
      <c r="I306" s="2" t="inlineStr">
        <is>
          <t>A</t>
        </is>
      </c>
      <c r="J306" s="2" t="inlineStr">
        <is>
          <t>A</t>
        </is>
      </c>
      <c r="K306" s="2" t="inlineStr">
        <is>
          <t>Say it in a way that makes them feel guilty if they don't respond how I want.</t>
        </is>
      </c>
      <c r="L306" s="2" t="n">
        <v>4</v>
      </c>
      <c r="M306" s="2" t="n"/>
      <c r="N306" s="2" t="n">
        <v>4</v>
      </c>
      <c r="O306" s="2" t="n">
        <v>4</v>
      </c>
      <c r="P306" s="2" t="n">
        <v>4</v>
      </c>
      <c r="Q306" s="2" t="n"/>
      <c r="R306" s="2" t="n"/>
      <c r="S306" s="2" t="inlineStr">
        <is>
          <t>Manipulator</t>
        </is>
      </c>
      <c r="T306" s="2" t="n">
        <v>1</v>
      </c>
      <c r="U306" s="2" t="n">
        <v>6</v>
      </c>
      <c r="V306" s="2" t="inlineStr">
        <is>
          <t>masc:0.0;fem:0.0</t>
        </is>
      </c>
      <c r="W306" s="2" t="n">
        <v>0</v>
      </c>
      <c r="X306" s="2" t="n">
        <v>0</v>
      </c>
      <c r="Y306" s="2" t="n"/>
      <c r="Z306" s="2" t="n"/>
      <c r="AA306" s="2" t="n"/>
      <c r="AB306" s="2" t="n"/>
      <c r="AC306" s="2" t="n"/>
      <c r="AD306" s="2" t="n"/>
      <c r="AE306" s="2" t="n">
        <v>0</v>
      </c>
      <c r="AF306" s="2" t="n"/>
      <c r="AG306" s="2" t="n"/>
      <c r="AH306" s="2" t="n">
        <v>0.6</v>
      </c>
      <c r="AI306" s="2" t="n"/>
      <c r="AJ306" s="2" t="inlineStr">
        <is>
          <t>yes</t>
        </is>
      </c>
      <c r="AK306" s="2" t="inlineStr">
        <is>
          <t>no</t>
        </is>
      </c>
      <c r="AL306" s="2" t="inlineStr">
        <is>
          <t>no</t>
        </is>
      </c>
      <c r="AM306" s="2" t="n"/>
      <c r="AN306" s="2" t="n"/>
      <c r="AO306" s="2" t="n"/>
      <c r="AP306" s="2" t="inlineStr">
        <is>
          <t>v3_2026-03-19</t>
        </is>
      </c>
      <c r="AQ306">
        <f>(L306-Schema_v5!$C2)/(Schema_v5!$C3-Schema_v5!$C2)</f>
        <v/>
      </c>
      <c r="AR306">
        <f>(M306-Schema_v5!$C4)/(Schema_v5!$C5-Schema_v5!$C4)</f>
        <v/>
      </c>
      <c r="AS306">
        <f>N306/Schema_v5!$C6</f>
        <v/>
      </c>
      <c r="AT306">
        <f>O306/Schema_v5!$C7</f>
        <v/>
      </c>
      <c r="AU306">
        <f>P306/Schema_v5!$C8</f>
        <v/>
      </c>
      <c r="AV306">
        <f>IF(Schema_v5!$C9=0,0,AH306/Schema_v5!$C9)</f>
        <v/>
      </c>
      <c r="AW306">
        <f>IF(Schema_v5!$C10=0,0,AE306/Schema_v5!$C10)</f>
        <v/>
      </c>
      <c r="AX306">
        <f>(W306-Schema_v5!$C11)/(Schema_v5!$C12-Schema_v5!$C11)</f>
        <v/>
      </c>
      <c r="AY306">
        <f>(X306-Schema_v5!$C13)/(Schema_v5!$C14-Schema_v5!$C13)</f>
        <v/>
      </c>
      <c r="AZ306">
        <f>MIN(1,MAX(0,U306/Schema_v7!$C$9))</f>
        <v/>
      </c>
      <c r="BA306">
        <f>IF(AJ306="yes",0.55,0)</f>
        <v/>
      </c>
      <c r="BB306">
        <f>IF(AI306="yes",0.10,0)</f>
        <v/>
      </c>
      <c r="BC306">
        <f>IF(Y306="COMM_Direct",0.92,IF(Y306="COMM_Emotional",0.70,IF(Y306="COMM_Logical",0.65,IF(Y306="COMM_Indirect",0.55,0.35))))</f>
        <v/>
      </c>
      <c r="BD306">
        <f>IF(Z306="REG_CoRegulator",0.92,IF(Z306="REG_SelfSoother",0.76,IF(Z306="REG_Distractor",0.48,0.35)))</f>
        <v/>
      </c>
      <c r="BE306">
        <f>IF(AA306="LANG_Time",0.76,IF(AA306="LANG_Service",0.70,IF(AA306="LANG_Words",0.72,IF(AA306="LANG_Touch",0.68,0.60))))</f>
        <v/>
      </c>
      <c r="BF306">
        <f>MAX(0,MIN(1,0.28*AS306+0.16*AT306+0.18*BC306+0.18*BD306+0.10*(1-AZ306)+0.10*(1-BA306)+BB306))</f>
        <v/>
      </c>
      <c r="BG306">
        <f>MAX(0,MIN(1,0.24*AU306+0.18*AS306+0.18*BC306+0.20*BD306+0.10*(1-AW306)+0.10*(1-BA306)))</f>
        <v/>
      </c>
      <c r="BH306">
        <f>MAX(0,MIN(1,0.28*AR306+0.18*AT306+0.16*AU306+0.18*(1-AV306)+0.10*(1-AW306)+0.10*BF306))</f>
        <v/>
      </c>
      <c r="BI306">
        <f>MAX(0,MIN(1,0.30*AV306+0.20*AZ306+0.20*AW306+0.15*(1-BH306)+0.15*(1-BO306)))</f>
        <v/>
      </c>
      <c r="BJ306">
        <f>MAX(0,1-(ABS(((( AX306+AY306)/2)-0.55)*1.6)))</f>
        <v/>
      </c>
      <c r="BK306">
        <f>MAX(0,MIN(1,0.28*AR306+0.18*AT306+0.16*BJ306+0.14*(1-AV306)+0.12*BQ306+0.12*BO306))</f>
        <v/>
      </c>
      <c r="BL306">
        <f>MAX(0,MIN(1,0.22*AQ306+0.18*AS306+0.18*BC306+0.18*BD306+0.08*BE306+0.10*BF306+0.06*BO306))</f>
        <v/>
      </c>
      <c r="BM306">
        <f>MAX(0,MIN(1,0.20*(1-AZ306)+0.16*(1-BA306)+0.14*(1-AW306)+0.14*AU306+0.18*BG306+0.10*BH306+0.08*BP306))</f>
        <v/>
      </c>
      <c r="BN306">
        <f>MAX(0,MIN(1,0.42*BJ306+0.33*BK306+0.15*AT306+0.10*BQ306))</f>
        <v/>
      </c>
      <c r="BO306">
        <f>MAX(0,MIN(1,0.30*BC306+0.24*BD306+0.18*AS306+0.14*(1-BI306)+0.14*AT306))</f>
        <v/>
      </c>
      <c r="BP306">
        <f>MAX(0,MIN(1,0.26*AS306+0.20*(1-BA306)+0.16*(1-AW306)+0.18*BG306+0.10*AU306+0.10+BB306))</f>
        <v/>
      </c>
      <c r="BQ306">
        <f>MAX(0,MIN(1,0.24*AT306+0.18*BF306+0.14*AR306+0.14*BO306+0.14*(1-AV306)+0.16*(1-AZ306)))</f>
        <v/>
      </c>
      <c r="BR306">
        <f>IF(BO306&gt;=0.80,"Open",IF(BO306&gt;=0.62,"Measured",IF(BO306&gt;=0.45,"Selective","Guarded")))</f>
        <v/>
      </c>
      <c r="BS306">
        <f>IF(Y306="COMM_Direct","Direct",IF(Y306="COMM_Emotional","Emotional",IF(Y306="COMM_Logical","Logical",IF(Y306="COMM_Indirect","Indirect","Avoidant"))))</f>
        <v/>
      </c>
      <c r="BT306">
        <f>IF(BG306&gt;=0.78,"Co-repair",IF(BG306&gt;=0.58,"Re-engage",IF(BG306&gt;=0.40,"Delay","Suppress")))</f>
        <v/>
      </c>
      <c r="BU306">
        <f>IF(BI306&gt;=0.70,"Retreat-risk",IF(BH306&lt;=0.40,"Rush-risk",IF(BH306&gt;=0.65,"Slow-build","Mixed")))</f>
        <v/>
      </c>
      <c r="BV306">
        <f>IF(BL306-BM306&gt;=0.15,"Stimulation-seeking",IF(BM306-BL306&gt;=0.15,"Calm-seeking","Mixed")))</f>
        <v/>
      </c>
      <c r="BW306">
        <f>IF(AND(BL306&gt;=0.72,BM306&lt;0.48),"High",IF(AND(BL306&gt;=0.60,BM306&lt;0.58),"Medium","Low"))</f>
        <v/>
      </c>
    </row>
    <row r="307" ht="81" customHeight="1" s="10">
      <c r="A307" s="2" t="inlineStr">
        <is>
          <t>Q60_B</t>
        </is>
      </c>
      <c r="B307" s="2" t="n">
        <v>60</v>
      </c>
      <c r="C307" s="2" t="n">
        <v>109</v>
      </c>
      <c r="D307" s="2" t="inlineStr">
        <is>
          <t>Shadow</t>
        </is>
      </c>
      <c r="E307" s="2" t="n">
        <v>1.4</v>
      </c>
      <c r="F307" s="2" t="inlineStr">
        <is>
          <t>ShadowPattern</t>
        </is>
      </c>
      <c r="G307" s="2" t="inlineStr">
        <is>
          <t>IntegrityRisk</t>
        </is>
      </c>
      <c r="H307" s="2" t="n"/>
      <c r="I307" s="2" t="inlineStr">
        <is>
          <t>B</t>
        </is>
      </c>
      <c r="J307" s="2" t="inlineStr">
        <is>
          <t>B</t>
        </is>
      </c>
      <c r="K307" s="2" t="inlineStr">
        <is>
          <t>Keep it in. If I say it and it's not received right, I'll never say it again</t>
        </is>
      </c>
      <c r="L307" s="2" t="n">
        <v>3</v>
      </c>
      <c r="M307" s="2" t="n"/>
      <c r="N307" s="2" t="n">
        <v>6</v>
      </c>
      <c r="O307" s="2" t="n">
        <v>6</v>
      </c>
      <c r="P307" s="2" t="n">
        <v>6</v>
      </c>
      <c r="Q307" s="2" t="n"/>
      <c r="R307" s="2" t="n"/>
      <c r="S307" s="2" t="inlineStr">
        <is>
          <t>Stonewaller</t>
        </is>
      </c>
      <c r="T307" s="2" t="n">
        <v>2</v>
      </c>
      <c r="U307" s="2" t="n">
        <v>4</v>
      </c>
      <c r="V307" s="2" t="inlineStr">
        <is>
          <t>masc:0.0;fem:0.0</t>
        </is>
      </c>
      <c r="W307" s="2" t="n">
        <v>0</v>
      </c>
      <c r="X307" s="2" t="n">
        <v>0</v>
      </c>
      <c r="Y307" s="2" t="n"/>
      <c r="Z307" s="2" t="n"/>
      <c r="AA307" s="2" t="n"/>
      <c r="AB307" s="2" t="n"/>
      <c r="AC307" s="2" t="n"/>
      <c r="AD307" s="2" t="n"/>
      <c r="AE307" s="2" t="n">
        <v>0</v>
      </c>
      <c r="AF307" s="2" t="n"/>
      <c r="AG307" s="2" t="n"/>
      <c r="AH307" s="2" t="n">
        <v>0</v>
      </c>
      <c r="AI307" s="2" t="n"/>
      <c r="AJ307" s="2" t="inlineStr">
        <is>
          <t>yes</t>
        </is>
      </c>
      <c r="AK307" s="2" t="inlineStr">
        <is>
          <t>no</t>
        </is>
      </c>
      <c r="AL307" s="2" t="inlineStr">
        <is>
          <t>no</t>
        </is>
      </c>
      <c r="AM307" s="2" t="n"/>
      <c r="AN307" s="2" t="n"/>
      <c r="AO307" s="2" t="n"/>
      <c r="AP307" s="2" t="inlineStr">
        <is>
          <t>v3_2026-03-19</t>
        </is>
      </c>
      <c r="AQ307">
        <f>(L307-Schema_v5!$C2)/(Schema_v5!$C3-Schema_v5!$C2)</f>
        <v/>
      </c>
      <c r="AR307">
        <f>(M307-Schema_v5!$C4)/(Schema_v5!$C5-Schema_v5!$C4)</f>
        <v/>
      </c>
      <c r="AS307">
        <f>N307/Schema_v5!$C6</f>
        <v/>
      </c>
      <c r="AT307">
        <f>O307/Schema_v5!$C7</f>
        <v/>
      </c>
      <c r="AU307">
        <f>P307/Schema_v5!$C8</f>
        <v/>
      </c>
      <c r="AV307">
        <f>IF(Schema_v5!$C9=0,0,AH307/Schema_v5!$C9)</f>
        <v/>
      </c>
      <c r="AW307">
        <f>IF(Schema_v5!$C10=0,0,AE307/Schema_v5!$C10)</f>
        <v/>
      </c>
      <c r="AX307">
        <f>(W307-Schema_v5!$C11)/(Schema_v5!$C12-Schema_v5!$C11)</f>
        <v/>
      </c>
      <c r="AY307">
        <f>(X307-Schema_v5!$C13)/(Schema_v5!$C14-Schema_v5!$C13)</f>
        <v/>
      </c>
      <c r="AZ307">
        <f>MIN(1,MAX(0,U307/Schema_v7!$C$9))</f>
        <v/>
      </c>
      <c r="BA307">
        <f>IF(AJ307="yes",0.55,0)</f>
        <v/>
      </c>
      <c r="BB307">
        <f>IF(AI307="yes",0.10,0)</f>
        <v/>
      </c>
      <c r="BC307">
        <f>IF(Y307="COMM_Direct",0.92,IF(Y307="COMM_Emotional",0.70,IF(Y307="COMM_Logical",0.65,IF(Y307="COMM_Indirect",0.55,0.35))))</f>
        <v/>
      </c>
      <c r="BD307">
        <f>IF(Z307="REG_CoRegulator",0.92,IF(Z307="REG_SelfSoother",0.76,IF(Z307="REG_Distractor",0.48,0.35)))</f>
        <v/>
      </c>
      <c r="BE307">
        <f>IF(AA307="LANG_Time",0.76,IF(AA307="LANG_Service",0.70,IF(AA307="LANG_Words",0.72,IF(AA307="LANG_Touch",0.68,0.60))))</f>
        <v/>
      </c>
      <c r="BF307">
        <f>MAX(0,MIN(1,0.28*AS307+0.16*AT307+0.18*BC307+0.18*BD307+0.10*(1-AZ307)+0.10*(1-BA307)+BB307))</f>
        <v/>
      </c>
      <c r="BG307">
        <f>MAX(0,MIN(1,0.24*AU307+0.18*AS307+0.18*BC307+0.20*BD307+0.10*(1-AW307)+0.10*(1-BA307)))</f>
        <v/>
      </c>
      <c r="BH307">
        <f>MAX(0,MIN(1,0.28*AR307+0.18*AT307+0.16*AU307+0.18*(1-AV307)+0.10*(1-AW307)+0.10*BF307))</f>
        <v/>
      </c>
      <c r="BI307">
        <f>MAX(0,MIN(1,0.30*AV307+0.20*AZ307+0.20*AW307+0.15*(1-BH307)+0.15*(1-BO307)))</f>
        <v/>
      </c>
      <c r="BJ307">
        <f>MAX(0,1-(ABS(((( AX307+AY307)/2)-0.55)*1.6)))</f>
        <v/>
      </c>
      <c r="BK307">
        <f>MAX(0,MIN(1,0.28*AR307+0.18*AT307+0.16*BJ307+0.14*(1-AV307)+0.12*BQ307+0.12*BO307))</f>
        <v/>
      </c>
      <c r="BL307">
        <f>MAX(0,MIN(1,0.22*AQ307+0.18*AS307+0.18*BC307+0.18*BD307+0.08*BE307+0.10*BF307+0.06*BO307))</f>
        <v/>
      </c>
      <c r="BM307">
        <f>MAX(0,MIN(1,0.20*(1-AZ307)+0.16*(1-BA307)+0.14*(1-AW307)+0.14*AU307+0.18*BG307+0.10*BH307+0.08*BP307))</f>
        <v/>
      </c>
      <c r="BN307">
        <f>MAX(0,MIN(1,0.42*BJ307+0.33*BK307+0.15*AT307+0.10*BQ307))</f>
        <v/>
      </c>
      <c r="BO307">
        <f>MAX(0,MIN(1,0.30*BC307+0.24*BD307+0.18*AS307+0.14*(1-BI307)+0.14*AT307))</f>
        <v/>
      </c>
      <c r="BP307">
        <f>MAX(0,MIN(1,0.26*AS307+0.20*(1-BA307)+0.16*(1-AW307)+0.18*BG307+0.10*AU307+0.10+BB307))</f>
        <v/>
      </c>
      <c r="BQ307">
        <f>MAX(0,MIN(1,0.24*AT307+0.18*BF307+0.14*AR307+0.14*BO307+0.14*(1-AV307)+0.16*(1-AZ307)))</f>
        <v/>
      </c>
      <c r="BR307">
        <f>IF(BO307&gt;=0.80,"Open",IF(BO307&gt;=0.62,"Measured",IF(BO307&gt;=0.45,"Selective","Guarded")))</f>
        <v/>
      </c>
      <c r="BS307">
        <f>IF(Y307="COMM_Direct","Direct",IF(Y307="COMM_Emotional","Emotional",IF(Y307="COMM_Logical","Logical",IF(Y307="COMM_Indirect","Indirect","Avoidant"))))</f>
        <v/>
      </c>
      <c r="BT307">
        <f>IF(BG307&gt;=0.78,"Co-repair",IF(BG307&gt;=0.58,"Re-engage",IF(BG307&gt;=0.40,"Delay","Suppress")))</f>
        <v/>
      </c>
      <c r="BU307">
        <f>IF(BI307&gt;=0.70,"Retreat-risk",IF(BH307&lt;=0.40,"Rush-risk",IF(BH307&gt;=0.65,"Slow-build","Mixed")))</f>
        <v/>
      </c>
      <c r="BV307">
        <f>IF(BL307-BM307&gt;=0.15,"Stimulation-seeking",IF(BM307-BL307&gt;=0.15,"Calm-seeking","Mixed")))</f>
        <v/>
      </c>
      <c r="BW307">
        <f>IF(AND(BL307&gt;=0.72,BM307&lt;0.48),"High",IF(AND(BL307&gt;=0.60,BM307&lt;0.58),"Medium","Low"))</f>
        <v/>
      </c>
    </row>
    <row r="308" ht="94.5" customHeight="1" s="10">
      <c r="A308" s="2" t="inlineStr">
        <is>
          <t>Q60_C</t>
        </is>
      </c>
      <c r="B308" s="2" t="n">
        <v>60</v>
      </c>
      <c r="C308" s="2" t="n">
        <v>109</v>
      </c>
      <c r="D308" s="2" t="inlineStr">
        <is>
          <t>Shadow</t>
        </is>
      </c>
      <c r="E308" s="2" t="n">
        <v>1.4</v>
      </c>
      <c r="F308" s="2" t="inlineStr">
        <is>
          <t>ShadowPattern</t>
        </is>
      </c>
      <c r="G308" s="2" t="inlineStr">
        <is>
          <t>IntegrityRisk</t>
        </is>
      </c>
      <c r="H308" s="2" t="n"/>
      <c r="I308" s="2" t="inlineStr">
        <is>
          <t>C</t>
        </is>
      </c>
      <c r="J308" s="2" t="inlineStr">
        <is>
          <t>C</t>
        </is>
      </c>
      <c r="K308" s="2" t="inlineStr">
        <is>
          <t>Say it big and fast, love, dreams, everything. I want it all out there before I lose my nerve</t>
        </is>
      </c>
      <c r="L308" s="2" t="n">
        <v>5</v>
      </c>
      <c r="M308" s="2" t="n"/>
      <c r="N308" s="2" t="n">
        <v>4</v>
      </c>
      <c r="O308" s="2" t="n">
        <v>4</v>
      </c>
      <c r="P308" s="2" t="n">
        <v>4</v>
      </c>
      <c r="Q308" s="2" t="n"/>
      <c r="R308" s="2" t="n"/>
      <c r="S308" s="2" t="inlineStr">
        <is>
          <t>Love Bomber</t>
        </is>
      </c>
      <c r="T308" s="2" t="n">
        <v>3</v>
      </c>
      <c r="U308" s="2" t="n">
        <v>6</v>
      </c>
      <c r="V308" s="2" t="inlineStr">
        <is>
          <t>masc:0.0;fem:0.0</t>
        </is>
      </c>
      <c r="W308" s="2" t="n">
        <v>0</v>
      </c>
      <c r="X308" s="2" t="n">
        <v>0</v>
      </c>
      <c r="Y308" s="2" t="n"/>
      <c r="Z308" s="2" t="n"/>
      <c r="AA308" s="2" t="n"/>
      <c r="AB308" s="2" t="n"/>
      <c r="AC308" s="2" t="n"/>
      <c r="AD308" s="2" t="n"/>
      <c r="AE308" s="2" t="n">
        <v>0</v>
      </c>
      <c r="AF308" s="2" t="n"/>
      <c r="AG308" s="2" t="n"/>
      <c r="AH308" s="2" t="n">
        <v>0</v>
      </c>
      <c r="AI308" s="2" t="n"/>
      <c r="AJ308" s="2" t="inlineStr">
        <is>
          <t>no</t>
        </is>
      </c>
      <c r="AK308" s="2" t="inlineStr">
        <is>
          <t>no</t>
        </is>
      </c>
      <c r="AL308" s="2" t="inlineStr">
        <is>
          <t>no</t>
        </is>
      </c>
      <c r="AM308" s="2" t="n"/>
      <c r="AN308" s="2" t="n"/>
      <c r="AO308" s="2" t="n"/>
      <c r="AP308" s="2" t="inlineStr">
        <is>
          <t>v3_2026-03-19</t>
        </is>
      </c>
      <c r="AQ308">
        <f>(L308-Schema_v5!$C2)/(Schema_v5!$C3-Schema_v5!$C2)</f>
        <v/>
      </c>
      <c r="AR308">
        <f>(M308-Schema_v5!$C4)/(Schema_v5!$C5-Schema_v5!$C4)</f>
        <v/>
      </c>
      <c r="AS308">
        <f>N308/Schema_v5!$C6</f>
        <v/>
      </c>
      <c r="AT308">
        <f>O308/Schema_v5!$C7</f>
        <v/>
      </c>
      <c r="AU308">
        <f>P308/Schema_v5!$C8</f>
        <v/>
      </c>
      <c r="AV308">
        <f>IF(Schema_v5!$C9=0,0,AH308/Schema_v5!$C9)</f>
        <v/>
      </c>
      <c r="AW308">
        <f>IF(Schema_v5!$C10=0,0,AE308/Schema_v5!$C10)</f>
        <v/>
      </c>
      <c r="AX308">
        <f>(W308-Schema_v5!$C11)/(Schema_v5!$C12-Schema_v5!$C11)</f>
        <v/>
      </c>
      <c r="AY308">
        <f>(X308-Schema_v5!$C13)/(Schema_v5!$C14-Schema_v5!$C13)</f>
        <v/>
      </c>
      <c r="AZ308">
        <f>MIN(1,MAX(0,U308/Schema_v7!$C$9))</f>
        <v/>
      </c>
      <c r="BA308">
        <f>IF(AJ308="yes",0.55,0)</f>
        <v/>
      </c>
      <c r="BB308">
        <f>IF(AI308="yes",0.10,0)</f>
        <v/>
      </c>
      <c r="BC308">
        <f>IF(Y308="COMM_Direct",0.92,IF(Y308="COMM_Emotional",0.70,IF(Y308="COMM_Logical",0.65,IF(Y308="COMM_Indirect",0.55,0.35))))</f>
        <v/>
      </c>
      <c r="BD308">
        <f>IF(Z308="REG_CoRegulator",0.92,IF(Z308="REG_SelfSoother",0.76,IF(Z308="REG_Distractor",0.48,0.35)))</f>
        <v/>
      </c>
      <c r="BE308">
        <f>IF(AA308="LANG_Time",0.76,IF(AA308="LANG_Service",0.70,IF(AA308="LANG_Words",0.72,IF(AA308="LANG_Touch",0.68,0.60))))</f>
        <v/>
      </c>
      <c r="BF308">
        <f>MAX(0,MIN(1,0.28*AS308+0.16*AT308+0.18*BC308+0.18*BD308+0.10*(1-AZ308)+0.10*(1-BA308)+BB308))</f>
        <v/>
      </c>
      <c r="BG308">
        <f>MAX(0,MIN(1,0.24*AU308+0.18*AS308+0.18*BC308+0.20*BD308+0.10*(1-AW308)+0.10*(1-BA308)))</f>
        <v/>
      </c>
      <c r="BH308">
        <f>MAX(0,MIN(1,0.28*AR308+0.18*AT308+0.16*AU308+0.18*(1-AV308)+0.10*(1-AW308)+0.10*BF308))</f>
        <v/>
      </c>
      <c r="BI308">
        <f>MAX(0,MIN(1,0.30*AV308+0.20*AZ308+0.20*AW308+0.15*(1-BH308)+0.15*(1-BO308)))</f>
        <v/>
      </c>
      <c r="BJ308">
        <f>MAX(0,1-(ABS(((( AX308+AY308)/2)-0.55)*1.6)))</f>
        <v/>
      </c>
      <c r="BK308">
        <f>MAX(0,MIN(1,0.28*AR308+0.18*AT308+0.16*BJ308+0.14*(1-AV308)+0.12*BQ308+0.12*BO308))</f>
        <v/>
      </c>
      <c r="BL308">
        <f>MAX(0,MIN(1,0.22*AQ308+0.18*AS308+0.18*BC308+0.18*BD308+0.08*BE308+0.10*BF308+0.06*BO308))</f>
        <v/>
      </c>
      <c r="BM308">
        <f>MAX(0,MIN(1,0.20*(1-AZ308)+0.16*(1-BA308)+0.14*(1-AW308)+0.14*AU308+0.18*BG308+0.10*BH308+0.08*BP308))</f>
        <v/>
      </c>
      <c r="BN308">
        <f>MAX(0,MIN(1,0.42*BJ308+0.33*BK308+0.15*AT308+0.10*BQ308))</f>
        <v/>
      </c>
      <c r="BO308">
        <f>MAX(0,MIN(1,0.30*BC308+0.24*BD308+0.18*AS308+0.14*(1-BI308)+0.14*AT308))</f>
        <v/>
      </c>
      <c r="BP308">
        <f>MAX(0,MIN(1,0.26*AS308+0.20*(1-BA308)+0.16*(1-AW308)+0.18*BG308+0.10*AU308+0.10+BB308))</f>
        <v/>
      </c>
      <c r="BQ308">
        <f>MAX(0,MIN(1,0.24*AT308+0.18*BF308+0.14*AR308+0.14*BO308+0.14*(1-AV308)+0.16*(1-AZ308)))</f>
        <v/>
      </c>
      <c r="BR308">
        <f>IF(BO308&gt;=0.80,"Open",IF(BO308&gt;=0.62,"Measured",IF(BO308&gt;=0.45,"Selective","Guarded")))</f>
        <v/>
      </c>
      <c r="BS308">
        <f>IF(Y308="COMM_Direct","Direct",IF(Y308="COMM_Emotional","Emotional",IF(Y308="COMM_Logical","Logical",IF(Y308="COMM_Indirect","Indirect","Avoidant"))))</f>
        <v/>
      </c>
      <c r="BT308">
        <f>IF(BG308&gt;=0.78,"Co-repair",IF(BG308&gt;=0.58,"Re-engage",IF(BG308&gt;=0.40,"Delay","Suppress")))</f>
        <v/>
      </c>
      <c r="BU308">
        <f>IF(BI308&gt;=0.70,"Retreat-risk",IF(BH308&lt;=0.40,"Rush-risk",IF(BH308&gt;=0.65,"Slow-build","Mixed")))</f>
        <v/>
      </c>
      <c r="BV308">
        <f>IF(BL308-BM308&gt;=0.15,"Stimulation-seeking",IF(BM308-BL308&gt;=0.15,"Calm-seeking","Mixed")))</f>
        <v/>
      </c>
      <c r="BW308">
        <f>IF(AND(BL308&gt;=0.72,BM308&lt;0.48),"High",IF(AND(BL308&gt;=0.60,BM308&lt;0.58),"Medium","Low"))</f>
        <v/>
      </c>
    </row>
    <row r="309" ht="94.5" customHeight="1" s="10">
      <c r="A309" s="2" t="inlineStr">
        <is>
          <t>Q60_D</t>
        </is>
      </c>
      <c r="B309" s="2" t="n">
        <v>60</v>
      </c>
      <c r="C309" s="2" t="n">
        <v>109</v>
      </c>
      <c r="D309" s="2" t="inlineStr">
        <is>
          <t>Shadow</t>
        </is>
      </c>
      <c r="E309" s="2" t="n">
        <v>1.4</v>
      </c>
      <c r="F309" s="2" t="inlineStr">
        <is>
          <t>ShadowPattern</t>
        </is>
      </c>
      <c r="G309" s="2" t="inlineStr">
        <is>
          <t>IntegrityRisk</t>
        </is>
      </c>
      <c r="H309" s="2" t="n"/>
      <c r="I309" s="2" t="inlineStr">
        <is>
          <t>D</t>
        </is>
      </c>
      <c r="J309" s="2" t="inlineStr">
        <is>
          <t>D</t>
        </is>
      </c>
      <c r="K309" s="2" t="inlineStr">
        <is>
          <t>Shift tone, play it off, hint at it. If they're paying attention, they'll get it.</t>
        </is>
      </c>
      <c r="L309" s="2" t="n">
        <v>6</v>
      </c>
      <c r="M309" s="2" t="n"/>
      <c r="N309" s="2" t="n">
        <v>4</v>
      </c>
      <c r="O309" s="2" t="n">
        <v>4</v>
      </c>
      <c r="P309" s="2" t="n">
        <v>4</v>
      </c>
      <c r="Q309" s="2" t="n"/>
      <c r="R309" s="2" t="n"/>
      <c r="S309" s="2" t="inlineStr">
        <is>
          <t>Chameleon</t>
        </is>
      </c>
      <c r="T309" s="2" t="n">
        <v>4</v>
      </c>
      <c r="U309" s="2" t="n">
        <v>6</v>
      </c>
      <c r="V309" s="2" t="inlineStr">
        <is>
          <t>masc:0.0;fem:0.0</t>
        </is>
      </c>
      <c r="W309" s="2" t="n">
        <v>0</v>
      </c>
      <c r="X309" s="2" t="n">
        <v>0</v>
      </c>
      <c r="Y309" s="2" t="n"/>
      <c r="Z309" s="2" t="n"/>
      <c r="AA309" s="2" t="n"/>
      <c r="AB309" s="2" t="n"/>
      <c r="AC309" s="2" t="n"/>
      <c r="AD309" s="2" t="n"/>
      <c r="AE309" s="2" t="n">
        <v>0</v>
      </c>
      <c r="AF309" s="2" t="n"/>
      <c r="AG309" s="2" t="n"/>
      <c r="AH309" s="2" t="n">
        <v>0</v>
      </c>
      <c r="AI309" s="2" t="n"/>
      <c r="AJ309" s="2" t="inlineStr">
        <is>
          <t>no</t>
        </is>
      </c>
      <c r="AK309" s="2" t="inlineStr">
        <is>
          <t>no</t>
        </is>
      </c>
      <c r="AL309" s="2" t="inlineStr">
        <is>
          <t>no</t>
        </is>
      </c>
      <c r="AM309" s="2" t="n"/>
      <c r="AN309" s="2" t="n"/>
      <c r="AO309" s="2" t="n"/>
      <c r="AP309" s="2" t="inlineStr">
        <is>
          <t>v3_2026-03-19</t>
        </is>
      </c>
      <c r="AQ309">
        <f>(L309-Schema_v5!$C2)/(Schema_v5!$C3-Schema_v5!$C2)</f>
        <v/>
      </c>
      <c r="AR309">
        <f>(M309-Schema_v5!$C4)/(Schema_v5!$C5-Schema_v5!$C4)</f>
        <v/>
      </c>
      <c r="AS309">
        <f>N309/Schema_v5!$C6</f>
        <v/>
      </c>
      <c r="AT309">
        <f>O309/Schema_v5!$C7</f>
        <v/>
      </c>
      <c r="AU309">
        <f>P309/Schema_v5!$C8</f>
        <v/>
      </c>
      <c r="AV309">
        <f>IF(Schema_v5!$C9=0,0,AH309/Schema_v5!$C9)</f>
        <v/>
      </c>
      <c r="AW309">
        <f>IF(Schema_v5!$C10=0,0,AE309/Schema_v5!$C10)</f>
        <v/>
      </c>
      <c r="AX309">
        <f>(W309-Schema_v5!$C11)/(Schema_v5!$C12-Schema_v5!$C11)</f>
        <v/>
      </c>
      <c r="AY309">
        <f>(X309-Schema_v5!$C13)/(Schema_v5!$C14-Schema_v5!$C13)</f>
        <v/>
      </c>
      <c r="AZ309">
        <f>MIN(1,MAX(0,U309/Schema_v7!$C$9))</f>
        <v/>
      </c>
      <c r="BA309">
        <f>IF(AJ309="yes",0.55,0)</f>
        <v/>
      </c>
      <c r="BB309">
        <f>IF(AI309="yes",0.10,0)</f>
        <v/>
      </c>
      <c r="BC309">
        <f>IF(Y309="COMM_Direct",0.92,IF(Y309="COMM_Emotional",0.70,IF(Y309="COMM_Logical",0.65,IF(Y309="COMM_Indirect",0.55,0.35))))</f>
        <v/>
      </c>
      <c r="BD309">
        <f>IF(Z309="REG_CoRegulator",0.92,IF(Z309="REG_SelfSoother",0.76,IF(Z309="REG_Distractor",0.48,0.35)))</f>
        <v/>
      </c>
      <c r="BE309">
        <f>IF(AA309="LANG_Time",0.76,IF(AA309="LANG_Service",0.70,IF(AA309="LANG_Words",0.72,IF(AA309="LANG_Touch",0.68,0.60))))</f>
        <v/>
      </c>
      <c r="BF309">
        <f>MAX(0,MIN(1,0.28*AS309+0.16*AT309+0.18*BC309+0.18*BD309+0.10*(1-AZ309)+0.10*(1-BA309)+BB309))</f>
        <v/>
      </c>
      <c r="BG309">
        <f>MAX(0,MIN(1,0.24*AU309+0.18*AS309+0.18*BC309+0.20*BD309+0.10*(1-AW309)+0.10*(1-BA309)))</f>
        <v/>
      </c>
      <c r="BH309">
        <f>MAX(0,MIN(1,0.28*AR309+0.18*AT309+0.16*AU309+0.18*(1-AV309)+0.10*(1-AW309)+0.10*BF309))</f>
        <v/>
      </c>
      <c r="BI309">
        <f>MAX(0,MIN(1,0.30*AV309+0.20*AZ309+0.20*AW309+0.15*(1-BH309)+0.15*(1-BO309)))</f>
        <v/>
      </c>
      <c r="BJ309">
        <f>MAX(0,1-(ABS(((( AX309+AY309)/2)-0.55)*1.6)))</f>
        <v/>
      </c>
      <c r="BK309">
        <f>MAX(0,MIN(1,0.28*AR309+0.18*AT309+0.16*BJ309+0.14*(1-AV309)+0.12*BQ309+0.12*BO309))</f>
        <v/>
      </c>
      <c r="BL309">
        <f>MAX(0,MIN(1,0.22*AQ309+0.18*AS309+0.18*BC309+0.18*BD309+0.08*BE309+0.10*BF309+0.06*BO309))</f>
        <v/>
      </c>
      <c r="BM309">
        <f>MAX(0,MIN(1,0.20*(1-AZ309)+0.16*(1-BA309)+0.14*(1-AW309)+0.14*AU309+0.18*BG309+0.10*BH309+0.08*BP309))</f>
        <v/>
      </c>
      <c r="BN309">
        <f>MAX(0,MIN(1,0.42*BJ309+0.33*BK309+0.15*AT309+0.10*BQ309))</f>
        <v/>
      </c>
      <c r="BO309">
        <f>MAX(0,MIN(1,0.30*BC309+0.24*BD309+0.18*AS309+0.14*(1-BI309)+0.14*AT309))</f>
        <v/>
      </c>
      <c r="BP309">
        <f>MAX(0,MIN(1,0.26*AS309+0.20*(1-BA309)+0.16*(1-AW309)+0.18*BG309+0.10*AU309+0.10+BB309))</f>
        <v/>
      </c>
      <c r="BQ309">
        <f>MAX(0,MIN(1,0.24*AT309+0.18*BF309+0.14*AR309+0.14*BO309+0.14*(1-AV309)+0.16*(1-AZ309)))</f>
        <v/>
      </c>
      <c r="BR309">
        <f>IF(BO309&gt;=0.80,"Open",IF(BO309&gt;=0.62,"Measured",IF(BO309&gt;=0.45,"Selective","Guarded")))</f>
        <v/>
      </c>
      <c r="BS309">
        <f>IF(Y309="COMM_Direct","Direct",IF(Y309="COMM_Emotional","Emotional",IF(Y309="COMM_Logical","Logical",IF(Y309="COMM_Indirect","Indirect","Avoidant"))))</f>
        <v/>
      </c>
      <c r="BT309">
        <f>IF(BG309&gt;=0.78,"Co-repair",IF(BG309&gt;=0.58,"Re-engage",IF(BG309&gt;=0.40,"Delay","Suppress")))</f>
        <v/>
      </c>
      <c r="BU309">
        <f>IF(BI309&gt;=0.70,"Retreat-risk",IF(BH309&lt;=0.40,"Rush-risk",IF(BH309&gt;=0.65,"Slow-build","Mixed")))</f>
        <v/>
      </c>
      <c r="BV309">
        <f>IF(BL309-BM309&gt;=0.15,"Stimulation-seeking",IF(BM309-BL309&gt;=0.15,"Calm-seeking","Mixed")))</f>
        <v/>
      </c>
      <c r="BW309">
        <f>IF(AND(BL309&gt;=0.72,BM309&lt;0.48),"High",IF(AND(BL309&gt;=0.60,BM309&lt;0.58),"Medium","Low"))</f>
        <v/>
      </c>
    </row>
    <row r="310" ht="108" customHeight="1" s="10">
      <c r="A310" s="2" t="inlineStr">
        <is>
          <t>Q60_E</t>
        </is>
      </c>
      <c r="B310" s="2" t="n">
        <v>60</v>
      </c>
      <c r="C310" s="2" t="n">
        <v>109</v>
      </c>
      <c r="D310" s="2" t="inlineStr">
        <is>
          <t>Shadow</t>
        </is>
      </c>
      <c r="E310" s="2" t="n">
        <v>1.4</v>
      </c>
      <c r="F310" s="2" t="inlineStr">
        <is>
          <t>ShadowPattern</t>
        </is>
      </c>
      <c r="G310" s="2" t="inlineStr">
        <is>
          <t>IntegrityRisk</t>
        </is>
      </c>
      <c r="H310" s="2" t="n"/>
      <c r="I310" s="2" t="inlineStr">
        <is>
          <t>E</t>
        </is>
      </c>
      <c r="J310" s="2" t="inlineStr">
        <is>
          <t>E</t>
        </is>
      </c>
      <c r="K310" s="2" t="inlineStr">
        <is>
          <t>Test them. I'll bring up something emotional they did and watch how they handle it.</t>
        </is>
      </c>
      <c r="L310" s="2" t="n">
        <v>7</v>
      </c>
      <c r="M310" s="2" t="n"/>
      <c r="N310" s="2" t="n">
        <v>2</v>
      </c>
      <c r="O310" s="2" t="n">
        <v>2</v>
      </c>
      <c r="P310" s="2" t="n">
        <v>2</v>
      </c>
      <c r="Q310" s="2" t="n"/>
      <c r="R310" s="2" t="n"/>
      <c r="S310" s="2" t="inlineStr">
        <is>
          <t>Scorekeeper</t>
        </is>
      </c>
      <c r="T310" s="2" t="n">
        <v>5</v>
      </c>
      <c r="U310" s="2" t="n">
        <v>8</v>
      </c>
      <c r="V310" s="2" t="inlineStr">
        <is>
          <t>masc:0.0;fem:0.0</t>
        </is>
      </c>
      <c r="W310" s="2" t="n">
        <v>0</v>
      </c>
      <c r="X310" s="2" t="n">
        <v>0</v>
      </c>
      <c r="Y310" s="2" t="n"/>
      <c r="Z310" s="2" t="n"/>
      <c r="AA310" s="2" t="n"/>
      <c r="AB310" s="2" t="n"/>
      <c r="AC310" s="2" t="n"/>
      <c r="AD310" s="2" t="n"/>
      <c r="AE310" s="2" t="n">
        <v>0</v>
      </c>
      <c r="AF310" s="2" t="n"/>
      <c r="AG310" s="2" t="n"/>
      <c r="AH310" s="2" t="n">
        <v>0.6</v>
      </c>
      <c r="AI310" s="2" t="n"/>
      <c r="AJ310" s="2" t="inlineStr">
        <is>
          <t>no</t>
        </is>
      </c>
      <c r="AK310" s="2" t="inlineStr">
        <is>
          <t>no</t>
        </is>
      </c>
      <c r="AL310" s="2" t="inlineStr">
        <is>
          <t>no</t>
        </is>
      </c>
      <c r="AM310" s="2" t="n"/>
      <c r="AN310" s="2" t="n"/>
      <c r="AO310" s="2" t="n"/>
      <c r="AP310" s="2" t="inlineStr">
        <is>
          <t>v3_2026-03-19</t>
        </is>
      </c>
      <c r="AQ310">
        <f>(L310-Schema_v5!$C2)/(Schema_v5!$C3-Schema_v5!$C2)</f>
        <v/>
      </c>
      <c r="AR310">
        <f>(M310-Schema_v5!$C4)/(Schema_v5!$C5-Schema_v5!$C4)</f>
        <v/>
      </c>
      <c r="AS310">
        <f>N310/Schema_v5!$C6</f>
        <v/>
      </c>
      <c r="AT310">
        <f>O310/Schema_v5!$C7</f>
        <v/>
      </c>
      <c r="AU310">
        <f>P310/Schema_v5!$C8</f>
        <v/>
      </c>
      <c r="AV310">
        <f>IF(Schema_v5!$C9=0,0,AH310/Schema_v5!$C9)</f>
        <v/>
      </c>
      <c r="AW310">
        <f>IF(Schema_v5!$C10=0,0,AE310/Schema_v5!$C10)</f>
        <v/>
      </c>
      <c r="AX310">
        <f>(W310-Schema_v5!$C11)/(Schema_v5!$C12-Schema_v5!$C11)</f>
        <v/>
      </c>
      <c r="AY310">
        <f>(X310-Schema_v5!$C13)/(Schema_v5!$C14-Schema_v5!$C13)</f>
        <v/>
      </c>
      <c r="AZ310">
        <f>MIN(1,MAX(0,U310/Schema_v7!$C$9))</f>
        <v/>
      </c>
      <c r="BA310">
        <f>IF(AJ310="yes",0.55,0)</f>
        <v/>
      </c>
      <c r="BB310">
        <f>IF(AI310="yes",0.10,0)</f>
        <v/>
      </c>
      <c r="BC310">
        <f>IF(Y310="COMM_Direct",0.92,IF(Y310="COMM_Emotional",0.70,IF(Y310="COMM_Logical",0.65,IF(Y310="COMM_Indirect",0.55,0.35))))</f>
        <v/>
      </c>
      <c r="BD310">
        <f>IF(Z310="REG_CoRegulator",0.92,IF(Z310="REG_SelfSoother",0.76,IF(Z310="REG_Distractor",0.48,0.35)))</f>
        <v/>
      </c>
      <c r="BE310">
        <f>IF(AA310="LANG_Time",0.76,IF(AA310="LANG_Service",0.70,IF(AA310="LANG_Words",0.72,IF(AA310="LANG_Touch",0.68,0.60))))</f>
        <v/>
      </c>
      <c r="BF310">
        <f>MAX(0,MIN(1,0.28*AS310+0.16*AT310+0.18*BC310+0.18*BD310+0.10*(1-AZ310)+0.10*(1-BA310)+BB310))</f>
        <v/>
      </c>
      <c r="BG310">
        <f>MAX(0,MIN(1,0.24*AU310+0.18*AS310+0.18*BC310+0.20*BD310+0.10*(1-AW310)+0.10*(1-BA310)))</f>
        <v/>
      </c>
      <c r="BH310">
        <f>MAX(0,MIN(1,0.28*AR310+0.18*AT310+0.16*AU310+0.18*(1-AV310)+0.10*(1-AW310)+0.10*BF310))</f>
        <v/>
      </c>
      <c r="BI310">
        <f>MAX(0,MIN(1,0.30*AV310+0.20*AZ310+0.20*AW310+0.15*(1-BH310)+0.15*(1-BO310)))</f>
        <v/>
      </c>
      <c r="BJ310">
        <f>MAX(0,1-(ABS(((( AX310+AY310)/2)-0.55)*1.6)))</f>
        <v/>
      </c>
      <c r="BK310">
        <f>MAX(0,MIN(1,0.28*AR310+0.18*AT310+0.16*BJ310+0.14*(1-AV310)+0.12*BQ310+0.12*BO310))</f>
        <v/>
      </c>
      <c r="BL310">
        <f>MAX(0,MIN(1,0.22*AQ310+0.18*AS310+0.18*BC310+0.18*BD310+0.08*BE310+0.10*BF310+0.06*BO310))</f>
        <v/>
      </c>
      <c r="BM310">
        <f>MAX(0,MIN(1,0.20*(1-AZ310)+0.16*(1-BA310)+0.14*(1-AW310)+0.14*AU310+0.18*BG310+0.10*BH310+0.08*BP310))</f>
        <v/>
      </c>
      <c r="BN310">
        <f>MAX(0,MIN(1,0.42*BJ310+0.33*BK310+0.15*AT310+0.10*BQ310))</f>
        <v/>
      </c>
      <c r="BO310">
        <f>MAX(0,MIN(1,0.30*BC310+0.24*BD310+0.18*AS310+0.14*(1-BI310)+0.14*AT310))</f>
        <v/>
      </c>
      <c r="BP310">
        <f>MAX(0,MIN(1,0.26*AS310+0.20*(1-BA310)+0.16*(1-AW310)+0.18*BG310+0.10*AU310+0.10+BB310))</f>
        <v/>
      </c>
      <c r="BQ310">
        <f>MAX(0,MIN(1,0.24*AT310+0.18*BF310+0.14*AR310+0.14*BO310+0.14*(1-AV310)+0.16*(1-AZ310)))</f>
        <v/>
      </c>
      <c r="BR310">
        <f>IF(BO310&gt;=0.80,"Open",IF(BO310&gt;=0.62,"Measured",IF(BO310&gt;=0.45,"Selective","Guarded")))</f>
        <v/>
      </c>
      <c r="BS310">
        <f>IF(Y310="COMM_Direct","Direct",IF(Y310="COMM_Emotional","Emotional",IF(Y310="COMM_Logical","Logical",IF(Y310="COMM_Indirect","Indirect","Avoidant"))))</f>
        <v/>
      </c>
      <c r="BT310">
        <f>IF(BG310&gt;=0.78,"Co-repair",IF(BG310&gt;=0.58,"Re-engage",IF(BG310&gt;=0.40,"Delay","Suppress")))</f>
        <v/>
      </c>
      <c r="BU310">
        <f>IF(BI310&gt;=0.70,"Retreat-risk",IF(BH310&lt;=0.40,"Rush-risk",IF(BH310&gt;=0.65,"Slow-build","Mixed")))</f>
        <v/>
      </c>
      <c r="BV310">
        <f>IF(BL310-BM310&gt;=0.15,"Stimulation-seeking",IF(BM310-BL310&gt;=0.15,"Calm-seeking","Mixed")))</f>
        <v/>
      </c>
      <c r="BW310">
        <f>IF(AND(BL310&gt;=0.72,BM310&lt;0.48),"High",IF(AND(BL310&gt;=0.60,BM310&lt;0.58),"Medium","Low"))</f>
        <v/>
      </c>
    </row>
    <row r="311" ht="94.5" customHeight="1" s="10">
      <c r="A311" s="2" t="inlineStr">
        <is>
          <t>Q60_F</t>
        </is>
      </c>
      <c r="B311" s="2" t="n">
        <v>60</v>
      </c>
      <c r="C311" s="2" t="n">
        <v>109</v>
      </c>
      <c r="D311" s="2" t="inlineStr">
        <is>
          <t>Shadow</t>
        </is>
      </c>
      <c r="E311" s="2" t="n">
        <v>1.4</v>
      </c>
      <c r="F311" s="2" t="inlineStr">
        <is>
          <t>ShadowPattern</t>
        </is>
      </c>
      <c r="G311" s="2" t="inlineStr">
        <is>
          <t>IntegrityRisk</t>
        </is>
      </c>
      <c r="H311" s="2" t="n"/>
      <c r="I311" s="2" t="inlineStr">
        <is>
          <t>F</t>
        </is>
      </c>
      <c r="J311" s="2" t="inlineStr">
        <is>
          <t>F</t>
        </is>
      </c>
      <c r="K311" s="2" t="inlineStr">
        <is>
          <t>Assume they won't get it... and quietly start distancing to protect myself.</t>
        </is>
      </c>
      <c r="L311" s="2" t="n">
        <v>8</v>
      </c>
      <c r="M311" s="2" t="n"/>
      <c r="N311" s="2" t="n">
        <v>2</v>
      </c>
      <c r="O311" s="2" t="n">
        <v>2</v>
      </c>
      <c r="P311" s="2" t="n">
        <v>2</v>
      </c>
      <c r="Q311" s="2" t="n"/>
      <c r="R311" s="2" t="n"/>
      <c r="S311" s="2" t="inlineStr">
        <is>
          <t>Self-Saboteur</t>
        </is>
      </c>
      <c r="T311" s="2" t="n">
        <v>6</v>
      </c>
      <c r="U311" s="2" t="n">
        <v>8</v>
      </c>
      <c r="V311" s="2" t="inlineStr">
        <is>
          <t>masc:0.0;fem:0.0</t>
        </is>
      </c>
      <c r="W311" s="2" t="n">
        <v>0</v>
      </c>
      <c r="X311" s="2" t="n">
        <v>0</v>
      </c>
      <c r="Y311" s="2" t="n"/>
      <c r="Z311" s="2" t="n"/>
      <c r="AA311" s="2" t="n"/>
      <c r="AB311" s="2" t="n"/>
      <c r="AC311" s="2" t="n"/>
      <c r="AD311" s="2" t="n"/>
      <c r="AE311" s="2" t="n">
        <v>0</v>
      </c>
      <c r="AF311" s="2" t="n"/>
      <c r="AG311" s="2" t="n"/>
      <c r="AH311" s="2" t="n">
        <v>0</v>
      </c>
      <c r="AI311" s="2" t="n"/>
      <c r="AJ311" s="2" t="inlineStr">
        <is>
          <t>no</t>
        </is>
      </c>
      <c r="AK311" s="2" t="inlineStr">
        <is>
          <t>no</t>
        </is>
      </c>
      <c r="AL311" s="2" t="inlineStr">
        <is>
          <t>no</t>
        </is>
      </c>
      <c r="AM311" s="2" t="n"/>
      <c r="AN311" s="2" t="n"/>
      <c r="AO311" s="2" t="n"/>
      <c r="AP311" s="2" t="inlineStr">
        <is>
          <t>v3_2026-03-19</t>
        </is>
      </c>
      <c r="AQ311">
        <f>(L311-Schema_v5!$C2)/(Schema_v5!$C3-Schema_v5!$C2)</f>
        <v/>
      </c>
      <c r="AR311">
        <f>(M311-Schema_v5!$C4)/(Schema_v5!$C5-Schema_v5!$C4)</f>
        <v/>
      </c>
      <c r="AS311">
        <f>N311/Schema_v5!$C6</f>
        <v/>
      </c>
      <c r="AT311">
        <f>O311/Schema_v5!$C7</f>
        <v/>
      </c>
      <c r="AU311">
        <f>P311/Schema_v5!$C8</f>
        <v/>
      </c>
      <c r="AV311">
        <f>IF(Schema_v5!$C9=0,0,AH311/Schema_v5!$C9)</f>
        <v/>
      </c>
      <c r="AW311">
        <f>IF(Schema_v5!$C10=0,0,AE311/Schema_v5!$C10)</f>
        <v/>
      </c>
      <c r="AX311">
        <f>(W311-Schema_v5!$C11)/(Schema_v5!$C12-Schema_v5!$C11)</f>
        <v/>
      </c>
      <c r="AY311">
        <f>(X311-Schema_v5!$C13)/(Schema_v5!$C14-Schema_v5!$C13)</f>
        <v/>
      </c>
      <c r="AZ311">
        <f>MIN(1,MAX(0,U311/Schema_v7!$C$9))</f>
        <v/>
      </c>
      <c r="BA311">
        <f>IF(AJ311="yes",0.55,0)</f>
        <v/>
      </c>
      <c r="BB311">
        <f>IF(AI311="yes",0.10,0)</f>
        <v/>
      </c>
      <c r="BC311">
        <f>IF(Y311="COMM_Direct",0.92,IF(Y311="COMM_Emotional",0.70,IF(Y311="COMM_Logical",0.65,IF(Y311="COMM_Indirect",0.55,0.35))))</f>
        <v/>
      </c>
      <c r="BD311">
        <f>IF(Z311="REG_CoRegulator",0.92,IF(Z311="REG_SelfSoother",0.76,IF(Z311="REG_Distractor",0.48,0.35)))</f>
        <v/>
      </c>
      <c r="BE311">
        <f>IF(AA311="LANG_Time",0.76,IF(AA311="LANG_Service",0.70,IF(AA311="LANG_Words",0.72,IF(AA311="LANG_Touch",0.68,0.60))))</f>
        <v/>
      </c>
      <c r="BF311">
        <f>MAX(0,MIN(1,0.28*AS311+0.16*AT311+0.18*BC311+0.18*BD311+0.10*(1-AZ311)+0.10*(1-BA311)+BB311))</f>
        <v/>
      </c>
      <c r="BG311">
        <f>MAX(0,MIN(1,0.24*AU311+0.18*AS311+0.18*BC311+0.20*BD311+0.10*(1-AW311)+0.10*(1-BA311)))</f>
        <v/>
      </c>
      <c r="BH311">
        <f>MAX(0,MIN(1,0.28*AR311+0.18*AT311+0.16*AU311+0.18*(1-AV311)+0.10*(1-AW311)+0.10*BF311))</f>
        <v/>
      </c>
      <c r="BI311">
        <f>MAX(0,MIN(1,0.30*AV311+0.20*AZ311+0.20*AW311+0.15*(1-BH311)+0.15*(1-BO311)))</f>
        <v/>
      </c>
      <c r="BJ311">
        <f>MAX(0,1-(ABS(((( AX311+AY311)/2)-0.55)*1.6)))</f>
        <v/>
      </c>
      <c r="BK311">
        <f>MAX(0,MIN(1,0.28*AR311+0.18*AT311+0.16*BJ311+0.14*(1-AV311)+0.12*BQ311+0.12*BO311))</f>
        <v/>
      </c>
      <c r="BL311">
        <f>MAX(0,MIN(1,0.22*AQ311+0.18*AS311+0.18*BC311+0.18*BD311+0.08*BE311+0.10*BF311+0.06*BO311))</f>
        <v/>
      </c>
      <c r="BM311">
        <f>MAX(0,MIN(1,0.20*(1-AZ311)+0.16*(1-BA311)+0.14*(1-AW311)+0.14*AU311+0.18*BG311+0.10*BH311+0.08*BP311))</f>
        <v/>
      </c>
      <c r="BN311">
        <f>MAX(0,MIN(1,0.42*BJ311+0.33*BK311+0.15*AT311+0.10*BQ311))</f>
        <v/>
      </c>
      <c r="BO311">
        <f>MAX(0,MIN(1,0.30*BC311+0.24*BD311+0.18*AS311+0.14*(1-BI311)+0.14*AT311))</f>
        <v/>
      </c>
      <c r="BP311">
        <f>MAX(0,MIN(1,0.26*AS311+0.20*(1-BA311)+0.16*(1-AW311)+0.18*BG311+0.10*AU311+0.10+BB311))</f>
        <v/>
      </c>
      <c r="BQ311">
        <f>MAX(0,MIN(1,0.24*AT311+0.18*BF311+0.14*AR311+0.14*BO311+0.14*(1-AV311)+0.16*(1-AZ311)))</f>
        <v/>
      </c>
      <c r="BR311">
        <f>IF(BO311&gt;=0.80,"Open",IF(BO311&gt;=0.62,"Measured",IF(BO311&gt;=0.45,"Selective","Guarded")))</f>
        <v/>
      </c>
      <c r="BS311">
        <f>IF(Y311="COMM_Direct","Direct",IF(Y311="COMM_Emotional","Emotional",IF(Y311="COMM_Logical","Logical",IF(Y311="COMM_Indirect","Indirect","Avoidant"))))</f>
        <v/>
      </c>
      <c r="BT311">
        <f>IF(BG311&gt;=0.78,"Co-repair",IF(BG311&gt;=0.58,"Re-engage",IF(BG311&gt;=0.40,"Delay","Suppress")))</f>
        <v/>
      </c>
      <c r="BU311">
        <f>IF(BI311&gt;=0.70,"Retreat-risk",IF(BH311&lt;=0.40,"Rush-risk",IF(BH311&gt;=0.65,"Slow-build","Mixed")))</f>
        <v/>
      </c>
      <c r="BV311">
        <f>IF(BL311-BM311&gt;=0.15,"Stimulation-seeking",IF(BM311-BL311&gt;=0.15,"Calm-seeking","Mixed")))</f>
        <v/>
      </c>
      <c r="BW311">
        <f>IF(AND(BL311&gt;=0.72,BM311&lt;0.48),"High",IF(AND(BL311&gt;=0.60,BM311&lt;0.58),"Medium","Low"))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" min="1" max="1"/>
    <col width="16" customWidth="1" style="10" min="2" max="2"/>
    <col width="18" customWidth="1" style="10" min="3" max="3"/>
    <col width="18" customWidth="1" style="10" min="4" max="4"/>
    <col width="12" customWidth="1" style="10" min="5" max="5"/>
    <col width="60" customWidth="1" style="10" min="6" max="6"/>
  </cols>
  <sheetData>
    <row r="1">
      <c r="A1" s="14" t="inlineStr">
        <is>
          <t>rule_id</t>
        </is>
      </c>
      <c r="B1" s="14" t="inlineStr">
        <is>
          <t>applies_to</t>
        </is>
      </c>
      <c r="C1" s="14" t="inlineStr">
        <is>
          <t>lhs</t>
        </is>
      </c>
      <c r="D1" s="14" t="inlineStr">
        <is>
          <t>rhs</t>
        </is>
      </c>
      <c r="E1" s="14" t="inlineStr">
        <is>
          <t>bonus_norm</t>
        </is>
      </c>
      <c r="F1" s="14" t="inlineStr">
        <is>
          <t>reason</t>
        </is>
      </c>
    </row>
    <row r="2">
      <c r="A2" s="13" t="inlineStr">
        <is>
          <t>IB01</t>
        </is>
      </c>
      <c r="B2" s="13" t="inlineStr">
        <is>
          <t>archetype_pair</t>
        </is>
      </c>
      <c r="C2" s="13" t="inlineStr">
        <is>
          <t>REGULATED</t>
        </is>
      </c>
      <c r="D2" s="13" t="inlineStr">
        <is>
          <t>REGULATED</t>
        </is>
      </c>
      <c r="E2" s="16" t="n">
        <v>0.06</v>
      </c>
      <c r="F2" s="13" t="inlineStr">
        <is>
          <t>Mutual stability unlock</t>
        </is>
      </c>
    </row>
    <row r="3">
      <c r="A3" s="13" t="inlineStr">
        <is>
          <t>IB02</t>
        </is>
      </c>
      <c r="B3" s="13" t="inlineStr">
        <is>
          <t>archetype_pair</t>
        </is>
      </c>
      <c r="C3" s="13" t="inlineStr">
        <is>
          <t>REGULATED</t>
        </is>
      </c>
      <c r="D3" s="13" t="inlineStr">
        <is>
          <t>TRANSLATOR</t>
        </is>
      </c>
      <c r="E3" s="16" t="n">
        <v>0.05</v>
      </c>
      <c r="F3" s="13" t="inlineStr">
        <is>
          <t>Directness + empathy</t>
        </is>
      </c>
    </row>
    <row r="4">
      <c r="A4" s="13" t="inlineStr">
        <is>
          <t>IB03</t>
        </is>
      </c>
      <c r="B4" s="13" t="inlineStr">
        <is>
          <t>archetype_pair</t>
        </is>
      </c>
      <c r="C4" s="13" t="inlineStr">
        <is>
          <t>ANALYZER</t>
        </is>
      </c>
      <c r="D4" s="13" t="inlineStr">
        <is>
          <t>TRANSLATOR</t>
        </is>
      </c>
      <c r="E4" s="16" t="n">
        <v>0.03</v>
      </c>
      <c r="F4" s="13" t="inlineStr">
        <is>
          <t>Thoughtful pace if both are honest</t>
        </is>
      </c>
    </row>
    <row r="5">
      <c r="A5" s="13" t="inlineStr">
        <is>
          <t>IB04</t>
        </is>
      </c>
      <c r="B5" s="13" t="inlineStr">
        <is>
          <t>archetype_pair</t>
        </is>
      </c>
      <c r="C5" s="13" t="inlineStr">
        <is>
          <t>ROMANTIC</t>
        </is>
      </c>
      <c r="D5" s="13" t="inlineStr">
        <is>
          <t>REGULATED</t>
        </is>
      </c>
      <c r="E5" s="16" t="n">
        <v>0.02</v>
      </c>
      <c r="F5" s="13" t="inlineStr">
        <is>
          <t>Warmth can work if anchored</t>
        </is>
      </c>
    </row>
    <row r="6">
      <c r="A6" s="13" t="inlineStr">
        <is>
          <t>IB05</t>
        </is>
      </c>
      <c r="B6" s="13" t="inlineStr">
        <is>
          <t>comm_pair</t>
        </is>
      </c>
      <c r="C6" s="13" t="inlineStr">
        <is>
          <t>COMM_Direct</t>
        </is>
      </c>
      <c r="D6" s="13" t="inlineStr">
        <is>
          <t>COMM_Direct</t>
        </is>
      </c>
      <c r="E6" s="16" t="n">
        <v>0.03</v>
      </c>
      <c r="F6" s="13" t="inlineStr">
        <is>
          <t>Low ambiguity</t>
        </is>
      </c>
    </row>
    <row r="7">
      <c r="A7" s="13" t="inlineStr">
        <is>
          <t>IB06</t>
        </is>
      </c>
      <c r="B7" s="13" t="inlineStr">
        <is>
          <t>reg_pair</t>
        </is>
      </c>
      <c r="C7" s="13" t="inlineStr">
        <is>
          <t>REG_CoRegulator</t>
        </is>
      </c>
      <c r="D7" s="13" t="inlineStr">
        <is>
          <t>REG_CoRegulator</t>
        </is>
      </c>
      <c r="E7" s="16" t="n">
        <v>0.04</v>
      </c>
      <c r="F7" s="13" t="inlineStr">
        <is>
          <t>High repair ceiling</t>
        </is>
      </c>
    </row>
    <row r="8">
      <c r="A8" s="13" t="inlineStr">
        <is>
          <t>IB07</t>
        </is>
      </c>
      <c r="B8" s="13" t="inlineStr">
        <is>
          <t>reg_pair</t>
        </is>
      </c>
      <c r="C8" s="13" t="inlineStr">
        <is>
          <t>REG_CoRegulator</t>
        </is>
      </c>
      <c r="D8" s="13" t="inlineStr">
        <is>
          <t>REG_SelfSoother</t>
        </is>
      </c>
      <c r="E8" s="16" t="n">
        <v>0.02</v>
      </c>
      <c r="F8" s="13" t="inlineStr">
        <is>
          <t>Good recoverability</t>
        </is>
      </c>
    </row>
    <row r="9">
      <c r="A9" s="13" t="inlineStr">
        <is>
          <t>IB08</t>
        </is>
      </c>
      <c r="B9" s="13" t="inlineStr">
        <is>
          <t>love_pair</t>
        </is>
      </c>
      <c r="C9" s="13" t="inlineStr">
        <is>
          <t>LANG_Time</t>
        </is>
      </c>
      <c r="D9" s="13" t="inlineStr">
        <is>
          <t>LANG_Time</t>
        </is>
      </c>
      <c r="E9" s="16" t="n">
        <v>0.01</v>
      </c>
      <c r="F9" s="13" t="inlineStr">
        <is>
          <t>Effort cadence fit</t>
        </is>
      </c>
    </row>
    <row r="10">
      <c r="A10" s="13" t="inlineStr">
        <is>
          <t>IB09</t>
        </is>
      </c>
      <c r="B10" s="13" t="inlineStr">
        <is>
          <t>polarity</t>
        </is>
      </c>
      <c r="C10" s="13" t="inlineStr">
        <is>
          <t>balanced</t>
        </is>
      </c>
      <c r="D10" s="13" t="inlineStr">
        <is>
          <t>balanced</t>
        </is>
      </c>
      <c r="E10" s="16" t="n">
        <v>0.02</v>
      </c>
      <c r="F10" s="13" t="inlineStr">
        <is>
          <t>Mutual attraction without overheat</t>
        </is>
      </c>
    </row>
    <row r="11">
      <c r="A11" s="13" t="inlineStr">
        <is>
          <t>IB10</t>
        </is>
      </c>
      <c r="B11" s="13" t="inlineStr">
        <is>
          <t>shadow_pair</t>
        </is>
      </c>
      <c r="C11" s="13" t="inlineStr">
        <is>
          <t>Stonewaller</t>
        </is>
      </c>
      <c r="D11" s="13" t="inlineStr">
        <is>
          <t>Stonewaller</t>
        </is>
      </c>
      <c r="E11" s="16" t="n">
        <v>-0.03</v>
      </c>
      <c r="F11" s="13" t="inlineStr">
        <is>
          <t>Mutual freeze risk</t>
        </is>
      </c>
    </row>
    <row r="12">
      <c r="A12" s="13" t="inlineStr">
        <is>
          <t>IB11</t>
        </is>
      </c>
      <c r="B12" s="13" t="inlineStr">
        <is>
          <t>shadow_pair</t>
        </is>
      </c>
      <c r="C12" s="13" t="inlineStr">
        <is>
          <t>Love Bomber</t>
        </is>
      </c>
      <c r="D12" s="13" t="inlineStr">
        <is>
          <t>Manipulator</t>
        </is>
      </c>
      <c r="E12" s="16" t="n">
        <v>-0.06</v>
      </c>
      <c r="F12" s="13" t="inlineStr">
        <is>
          <t>Intensity + exploitation risk</t>
        </is>
      </c>
    </row>
    <row r="13">
      <c r="A13" s="13" t="inlineStr">
        <is>
          <t>IB12</t>
        </is>
      </c>
      <c r="B13" s="13" t="inlineStr">
        <is>
          <t>shadow_pair</t>
        </is>
      </c>
      <c r="C13" s="13" t="inlineStr">
        <is>
          <t>Scorekeeper</t>
        </is>
      </c>
      <c r="D13" s="13" t="inlineStr">
        <is>
          <t>Chameleon</t>
        </is>
      </c>
      <c r="E13" s="16" t="n">
        <v>-0.04</v>
      </c>
      <c r="F13" s="13" t="inlineStr">
        <is>
          <t>Hidden resentment + self-loss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0" min="1" max="1"/>
    <col width="16" customWidth="1" style="10" min="2" max="2"/>
    <col width="34" customWidth="1" style="10" min="3" max="3"/>
    <col width="12" customWidth="1" style="10" min="4" max="4"/>
    <col width="24" customWidth="1" style="10" min="5" max="5"/>
    <col width="50" customWidth="1" style="10" min="6" max="6"/>
  </cols>
  <sheetData>
    <row r="1">
      <c r="A1" s="14" t="inlineStr">
        <is>
          <t>rule_id</t>
        </is>
      </c>
      <c r="B1" s="14" t="inlineStr">
        <is>
          <t>trigger_type</t>
        </is>
      </c>
      <c r="C1" s="14" t="inlineStr">
        <is>
          <t>condition</t>
        </is>
      </c>
      <c r="D1" s="14" t="inlineStr">
        <is>
          <t>penalty_norm</t>
        </is>
      </c>
      <c r="E1" s="14" t="inlineStr">
        <is>
          <t>cap_effect</t>
        </is>
      </c>
      <c r="F1" s="14" t="inlineStr">
        <is>
          <t>reason</t>
        </is>
      </c>
    </row>
    <row r="2">
      <c r="A2" s="13" t="inlineStr">
        <is>
          <t>HP01</t>
        </is>
      </c>
      <c r="B2" s="13" t="inlineStr">
        <is>
          <t>shadow_danger</t>
        </is>
      </c>
      <c r="C2" s="13" t="inlineStr">
        <is>
          <t>Love Bomber + Manipulator</t>
        </is>
      </c>
      <c r="D2" s="16" t="n">
        <v>0.16</v>
      </c>
      <c r="E2" s="13" t="inlineStr">
        <is>
          <t>cap&lt;=610 if stability&lt;0.45</t>
        </is>
      </c>
      <c r="F2" s="13" t="inlineStr">
        <is>
          <t>Intensity without trust</t>
        </is>
      </c>
    </row>
    <row r="3">
      <c r="A3" s="13" t="inlineStr">
        <is>
          <t>HP02</t>
        </is>
      </c>
      <c r="B3" s="13" t="inlineStr">
        <is>
          <t>shadow_danger</t>
        </is>
      </c>
      <c r="C3" s="13" t="inlineStr">
        <is>
          <t>Stonewaller + Stonewaller</t>
        </is>
      </c>
      <c r="D3" s="16" t="n">
        <v>0.12</v>
      </c>
      <c r="E3" s="13" t="inlineStr">
        <is>
          <t>cap&lt;=620 if chemistry&gt;0.70</t>
        </is>
      </c>
      <c r="F3" s="13" t="inlineStr">
        <is>
          <t>Dual shutdown</t>
        </is>
      </c>
    </row>
    <row r="4">
      <c r="A4" s="13" t="inlineStr">
        <is>
          <t>HP03</t>
        </is>
      </c>
      <c r="B4" s="13" t="inlineStr">
        <is>
          <t>integrity</t>
        </is>
      </c>
      <c r="C4" s="13" t="inlineStr">
        <is>
          <t>Both users integrity penalty high</t>
        </is>
      </c>
      <c r="D4" s="16" t="n">
        <v>0.1</v>
      </c>
      <c r="E4" s="13" t="inlineStr">
        <is>
          <t>cap&lt;=640</t>
        </is>
      </c>
      <c r="F4" s="13" t="inlineStr">
        <is>
          <t>Self-story mismatch both sides</t>
        </is>
      </c>
    </row>
    <row r="5">
      <c r="A5" s="13" t="inlineStr">
        <is>
          <t>HP04</t>
        </is>
      </c>
      <c r="B5" s="13" t="inlineStr">
        <is>
          <t>cluster</t>
        </is>
      </c>
      <c r="C5" s="13" t="inlineStr">
        <is>
          <t>Both users high contradiction burden</t>
        </is>
      </c>
      <c r="D5" s="16" t="n">
        <v>0.09</v>
      </c>
      <c r="E5" s="13" t="inlineStr">
        <is>
          <t>cap&lt;=650</t>
        </is>
      </c>
      <c r="F5" s="13" t="inlineStr">
        <is>
          <t>Conflicted pattern loop</t>
        </is>
      </c>
    </row>
    <row r="6">
      <c r="A6" s="13" t="inlineStr">
        <is>
          <t>HP05</t>
        </is>
      </c>
      <c r="B6" s="13" t="inlineStr">
        <is>
          <t>stability_gate</t>
        </is>
      </c>
      <c r="C6" s="13" t="inlineStr">
        <is>
          <t>StabilityCore &lt; 0.40</t>
        </is>
      </c>
      <c r="D6" s="16" t="n">
        <v>0.08</v>
      </c>
      <c r="E6" s="13" t="inlineStr">
        <is>
          <t>cap&lt;=600</t>
        </is>
      </c>
      <c r="F6" s="13" t="inlineStr">
        <is>
          <t>System should not promote weak hold</t>
        </is>
      </c>
    </row>
    <row r="7">
      <c r="A7" s="13" t="inlineStr">
        <is>
          <t>HP06</t>
        </is>
      </c>
      <c r="B7" s="13" t="inlineStr">
        <is>
          <t>repair_gate</t>
        </is>
      </c>
      <c r="C7" s="13" t="inlineStr">
        <is>
          <t>RepairNorm_pair &lt; 0.42</t>
        </is>
      </c>
      <c r="D7" s="16" t="n">
        <v>0.07000000000000001</v>
      </c>
      <c r="E7" s="13" t="inlineStr">
        <is>
          <t>cap&lt;=620</t>
        </is>
      </c>
      <c r="F7" s="13" t="inlineStr">
        <is>
          <t>Rupture likely stays rupture</t>
        </is>
      </c>
    </row>
    <row r="8">
      <c r="A8" s="13" t="inlineStr">
        <is>
          <t>HP07</t>
        </is>
      </c>
      <c r="B8" s="13" t="inlineStr">
        <is>
          <t>attachment</t>
        </is>
      </c>
      <c r="C8" s="13" t="inlineStr">
        <is>
          <t>One rush-risk + one retreat-risk extreme</t>
        </is>
      </c>
      <c r="D8" s="16" t="n">
        <v>0.1</v>
      </c>
      <c r="E8" s="13" t="inlineStr">
        <is>
          <t>cap&lt;=630</t>
        </is>
      </c>
      <c r="F8" s="13" t="inlineStr">
        <is>
          <t>Pursue/withdraw trap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0" min="1" max="1"/>
    <col width="22" customWidth="1" style="10" min="2" max="2"/>
    <col width="62" customWidth="1" style="10" min="3" max="3"/>
    <col width="50" customWidth="1" style="10" min="4" max="4"/>
  </cols>
  <sheetData>
    <row r="1">
      <c r="A1" s="14" t="inlineStr">
        <is>
          <t>Section</t>
        </is>
      </c>
      <c r="B1" s="14" t="inlineStr">
        <is>
          <t>Metric</t>
        </is>
      </c>
      <c r="C1" s="14" t="inlineStr">
        <is>
          <t>Formula / Logic</t>
        </is>
      </c>
      <c r="D1" s="14" t="inlineStr">
        <is>
          <t>Why it exists</t>
        </is>
      </c>
    </row>
    <row r="2">
      <c r="A2" s="13" t="inlineStr">
        <is>
          <t>User aggregation</t>
        </is>
      </c>
      <c r="B2" s="13" t="inlineStr">
        <is>
          <t>ReadinessNorm_user</t>
        </is>
      </c>
      <c r="C2" s="13">
        <f>weighted average of AnswerBank_v7.readiness_norm by question_weight_v3</f>
        <v/>
      </c>
      <c r="D2" s="13" t="inlineStr">
        <is>
          <t>Base health / maturity signal</t>
        </is>
      </c>
    </row>
    <row r="3">
      <c r="A3" s="13" t="inlineStr">
        <is>
          <t>User aggregation</t>
        </is>
      </c>
      <c r="B3" s="13" t="inlineStr">
        <is>
          <t>ExecutionNorm_user</t>
        </is>
      </c>
      <c r="C3" s="13">
        <f>weighted average of AnswerBank_v7.execution_norm_v7</f>
        <v/>
      </c>
      <c r="D3" s="13" t="inlineStr">
        <is>
          <t>Turns intent into action</t>
        </is>
      </c>
    </row>
    <row r="4">
      <c r="A4" s="13" t="inlineStr">
        <is>
          <t>User aggregation</t>
        </is>
      </c>
      <c r="B4" s="13" t="inlineStr">
        <is>
          <t>RepairNorm_user</t>
        </is>
      </c>
      <c r="C4" s="13">
        <f>weighted average of AnswerBank_v7.repair_norm_v7</f>
        <v/>
      </c>
      <c r="D4" s="13" t="inlineStr">
        <is>
          <t>Rupture recovery potential</t>
        </is>
      </c>
    </row>
    <row r="5">
      <c r="A5" s="13" t="inlineStr">
        <is>
          <t>User aggregation</t>
        </is>
      </c>
      <c r="B5" s="13" t="inlineStr">
        <is>
          <t>PacingNorm_user</t>
        </is>
      </c>
      <c r="C5" s="13">
        <f>weighted average of AnswerBank_v7.pacing_norm_v7</f>
        <v/>
      </c>
      <c r="D5" s="13" t="inlineStr">
        <is>
          <t>Bond tempo regulation</t>
        </is>
      </c>
    </row>
    <row r="6">
      <c r="A6" s="13" t="inlineStr">
        <is>
          <t>User aggregation</t>
        </is>
      </c>
      <c r="B6" s="13" t="inlineStr">
        <is>
          <t>OpennessNorm_user</t>
        </is>
      </c>
      <c r="C6" s="13">
        <f>weighted average of AnswerBank_v7.openness_signal_norm_v7</f>
        <v/>
      </c>
      <c r="D6" s="13" t="inlineStr">
        <is>
          <t>Emotional access</t>
        </is>
      </c>
    </row>
    <row r="7">
      <c r="A7" s="13" t="inlineStr">
        <is>
          <t>User aggregation</t>
        </is>
      </c>
      <c r="B7" s="13" t="inlineStr">
        <is>
          <t>AccountabilityNorm_user</t>
        </is>
      </c>
      <c r="C7" s="13">
        <f>weighted average of AnswerBank_v7.accountability_signal_norm_v7</f>
        <v/>
      </c>
      <c r="D7" s="13" t="inlineStr">
        <is>
          <t>Ownership / correction</t>
        </is>
      </c>
    </row>
    <row r="8">
      <c r="A8" s="13" t="inlineStr">
        <is>
          <t>User aggregation</t>
        </is>
      </c>
      <c r="B8" s="13" t="inlineStr">
        <is>
          <t>ReciprocityNorm_user</t>
        </is>
      </c>
      <c r="C8" s="13">
        <f>weighted average of AnswerBank_v7.reciprocity_signal_norm_v7</f>
        <v/>
      </c>
      <c r="D8" s="13" t="inlineStr">
        <is>
          <t>Mutuality proxy</t>
        </is>
      </c>
    </row>
    <row r="9">
      <c r="A9" s="13" t="inlineStr">
        <is>
          <t>Pair metric</t>
        </is>
      </c>
      <c r="B9" s="13" t="inlineStr">
        <is>
          <t>ArchetypeNorm</t>
        </is>
      </c>
      <c r="C9" s="13">
        <f>lookup(primary_archetype_A, primary_archetype_B, secondary blends)</f>
        <v/>
      </c>
      <c r="D9" s="13" t="inlineStr">
        <is>
          <t>Behavioral compatibility</t>
        </is>
      </c>
    </row>
    <row r="10">
      <c r="A10" s="13" t="inlineStr">
        <is>
          <t>Pair metric</t>
        </is>
      </c>
      <c r="B10" s="13" t="inlineStr">
        <is>
          <t>CommNorm</t>
        </is>
      </c>
      <c r="C10" s="13">
        <f>1-ABS(comm_health_A - comm_health_B)*0.85</f>
        <v/>
      </c>
      <c r="D10" s="13" t="inlineStr">
        <is>
          <t>Ambiguity / expression fit</t>
        </is>
      </c>
    </row>
    <row r="11">
      <c r="A11" s="13" t="inlineStr">
        <is>
          <t>Pair metric</t>
        </is>
      </c>
      <c r="B11" s="13" t="inlineStr">
        <is>
          <t>RegNorm</t>
        </is>
      </c>
      <c r="C11" s="13">
        <f>1-ABS(reg_health_A - reg_health_B)*0.90</f>
        <v/>
      </c>
      <c r="D11" s="13" t="inlineStr">
        <is>
          <t>Nervous system fit</t>
        </is>
      </c>
    </row>
    <row r="12">
      <c r="A12" s="13" t="inlineStr">
        <is>
          <t>Pair metric</t>
        </is>
      </c>
      <c r="B12" s="13" t="inlineStr">
        <is>
          <t>LoveNorm</t>
        </is>
      </c>
      <c r="C12" s="13">
        <f>1-ABS(love_norm_A - love_norm_B)*0.60</f>
        <v/>
      </c>
      <c r="D12" s="13" t="inlineStr">
        <is>
          <t>Lower weighted preference fit</t>
        </is>
      </c>
    </row>
    <row r="13">
      <c r="A13" s="13" t="inlineStr">
        <is>
          <t>Pair metric</t>
        </is>
      </c>
      <c r="B13" s="13" t="inlineStr">
        <is>
          <t>ReadinessNorm</t>
        </is>
      </c>
      <c r="C13" s="13">
        <f>1-ABS(readiness_A - readiness_B)*0.50 + MIN(readiness_A,readiness_B)*0.50</f>
        <v/>
      </c>
      <c r="D13" s="13" t="inlineStr">
        <is>
          <t>Equal maturity + floor</t>
        </is>
      </c>
    </row>
    <row r="14">
      <c r="A14" s="13" t="inlineStr">
        <is>
          <t>Pair metric</t>
        </is>
      </c>
      <c r="B14" s="13" t="inlineStr">
        <is>
          <t>ExecutionNorm</t>
        </is>
      </c>
      <c r="C14" s="13">
        <f>1-ABS(execution_A - execution_B)*0.40 + MIN(execution_A,execution_B)*0.60</f>
        <v/>
      </c>
      <c r="D14" s="13" t="inlineStr">
        <is>
          <t>Weak side matters</t>
        </is>
      </c>
    </row>
    <row r="15">
      <c r="A15" s="13" t="inlineStr">
        <is>
          <t>Pair metric</t>
        </is>
      </c>
      <c r="B15" s="13" t="inlineStr">
        <is>
          <t>OpennessNorm</t>
        </is>
      </c>
      <c r="C15" s="13">
        <f>1-ABS(openness_A - openness_B)*0.50 + MIN(openness_A,openness_B)*0.50</f>
        <v/>
      </c>
      <c r="D15" s="13" t="inlineStr">
        <is>
          <t>Access pace fit</t>
        </is>
      </c>
    </row>
    <row r="16">
      <c r="A16" s="13" t="inlineStr">
        <is>
          <t>Pair metric</t>
        </is>
      </c>
      <c r="B16" s="13" t="inlineStr">
        <is>
          <t>ShadowRiskNorm</t>
        </is>
      </c>
      <c r="C16" s="13">
        <f>MIN(1,0.55*MAX(shadow_A,shadow_B)+0.45*AVG(shadow_A,shadow_B))</f>
        <v/>
      </c>
      <c r="D16" s="13" t="inlineStr">
        <is>
          <t>High risk should dominate</t>
        </is>
      </c>
    </row>
    <row r="17">
      <c r="A17" s="13" t="inlineStr">
        <is>
          <t>Pair metric</t>
        </is>
      </c>
      <c r="B17" s="13" t="inlineStr">
        <is>
          <t>IntegrityPenaltyNorm</t>
        </is>
      </c>
      <c r="C17" s="13">
        <f>MIN(1,0.65*MAX(integrity_A,integrity_B)+0.35*AVG(integrity_A,integrity_B))</f>
        <v/>
      </c>
      <c r="D17" s="13" t="inlineStr">
        <is>
          <t>One liar can sink a boat</t>
        </is>
      </c>
    </row>
    <row r="18">
      <c r="A18" s="13" t="inlineStr">
        <is>
          <t>Pair metric</t>
        </is>
      </c>
      <c r="B18" s="13" t="inlineStr">
        <is>
          <t>ClusterPenaltyNorm</t>
        </is>
      </c>
      <c r="C18" s="13">
        <f>MIN(1,0.60*MAX(cluster_A,cluster_B)+0.40*AVG(cluster_A,cluster_B))</f>
        <v/>
      </c>
      <c r="D18" s="13" t="inlineStr">
        <is>
          <t>Contradiction burden</t>
        </is>
      </c>
    </row>
    <row r="19">
      <c r="A19" s="13" t="inlineStr">
        <is>
          <t>Pair metric</t>
        </is>
      </c>
      <c r="B19" s="13" t="inlineStr">
        <is>
          <t>ForecastNorm</t>
        </is>
      </c>
      <c r="C19" s="13">
        <f>1-ABS(forecast_A - forecast_B)*0.45 + MIN(forecast_A,forecast_B)*0.55</f>
        <v/>
      </c>
      <c r="D19" s="13" t="inlineStr">
        <is>
          <t>Shared viability</t>
        </is>
      </c>
    </row>
    <row r="20">
      <c r="A20" s="13" t="inlineStr">
        <is>
          <t>Pair metric</t>
        </is>
      </c>
      <c r="B20" s="13" t="inlineStr">
        <is>
          <t>RepairNorm_pair</t>
        </is>
      </c>
      <c r="C20" s="13">
        <f>1-ABS(repair_A - repair_B)*0.35 + MIN(repair_A,repair_B)*0.65</f>
        <v/>
      </c>
      <c r="D20" s="13" t="inlineStr">
        <is>
          <t>Weak repair partner matters most</t>
        </is>
      </c>
    </row>
    <row r="21">
      <c r="A21" s="13" t="inlineStr">
        <is>
          <t>Pair metric</t>
        </is>
      </c>
      <c r="B21" s="13" t="inlineStr">
        <is>
          <t>PacingNorm</t>
        </is>
      </c>
      <c r="C21" s="13">
        <f>1-ABS(pacing_A - pacing_B)*0.40 + MIN(pacing_A,pacing_B)*0.60</f>
        <v/>
      </c>
      <c r="D21" s="13" t="inlineStr">
        <is>
          <t>Pace mismatch is expensive</t>
        </is>
      </c>
    </row>
    <row r="22">
      <c r="A22" s="13" t="inlineStr">
        <is>
          <t>Pair metric</t>
        </is>
      </c>
      <c r="B22" s="13" t="inlineStr">
        <is>
          <t>AccountabilityNorm</t>
        </is>
      </c>
      <c r="C22" s="13">
        <f>1-ABS(accountability_A - accountability_B)*0.40 + MIN(accountability_A,accountability_B)*0.60</f>
        <v/>
      </c>
      <c r="D22" s="13" t="inlineStr">
        <is>
          <t>Own and adjust</t>
        </is>
      </c>
    </row>
    <row r="23">
      <c r="A23" s="13" t="inlineStr">
        <is>
          <t>Pair metric</t>
        </is>
      </c>
      <c r="B23" s="13" t="inlineStr">
        <is>
          <t>CenteredPolarityNorm</t>
        </is>
      </c>
      <c r="C23" s="13">
        <f>1-ABS(((polarity_centered_A+polarity_centered_B)/2)-0.62)*0.8</f>
        <v/>
      </c>
      <c r="D23" s="13" t="inlineStr">
        <is>
          <t>Attraction without overheat</t>
        </is>
      </c>
    </row>
    <row r="24">
      <c r="A24" s="13" t="inlineStr">
        <is>
          <t>Pair metric</t>
        </is>
      </c>
      <c r="B24" s="13" t="inlineStr">
        <is>
          <t>AttractionPatternNorm</t>
        </is>
      </c>
      <c r="C24" s="13">
        <f>1-ABS(attraction_A - attraction_B)*0.35 + MIN(attraction_A,attraction_B)*0.65</f>
        <v/>
      </c>
      <c r="D24" s="13" t="inlineStr">
        <is>
          <t>Mutual attraction style</t>
        </is>
      </c>
    </row>
    <row r="25">
      <c r="A25" s="13" t="inlineStr">
        <is>
          <t>Pair metric</t>
        </is>
      </c>
      <c r="B25" s="13" t="inlineStr">
        <is>
          <t>ReciprocityNorm</t>
        </is>
      </c>
      <c r="C25" s="13">
        <f>1-ABS(reciprocity_A - reciprocity_B)*0.50 + MIN(reciprocity_A,reciprocity_B)*0.50</f>
        <v/>
      </c>
      <c r="D25" s="13" t="inlineStr">
        <is>
          <t>Mutual exchange</t>
        </is>
      </c>
    </row>
    <row r="26">
      <c r="A26" s="13" t="inlineStr">
        <is>
          <t>Pair metric</t>
        </is>
      </c>
      <c r="B26" s="13" t="inlineStr">
        <is>
          <t>ZodiacNorm</t>
        </is>
      </c>
      <c r="C26" s="13">
        <f> (zodiac_score_1_to_10 - 1) / 9</f>
        <v/>
      </c>
      <c r="D26" s="13" t="inlineStr">
        <is>
          <t>Clean normalization</t>
        </is>
      </c>
    </row>
    <row r="27">
      <c r="A27" s="13" t="inlineStr">
        <is>
          <t>Pair metric</t>
        </is>
      </c>
      <c r="B27" s="13" t="inlineStr">
        <is>
          <t>AdjustedNumerologyNorm</t>
        </is>
      </c>
      <c r="C27" s="13">
        <f> ((numerology_score_1_to_10 - 1) / 9) * (0.75 + 0.25*confidence)</f>
        <v/>
      </c>
      <c r="D27" s="13" t="inlineStr">
        <is>
          <t>Numerology as confidence tint</t>
        </is>
      </c>
    </row>
    <row r="28">
      <c r="A28" s="13" t="inlineStr">
        <is>
          <t>Core</t>
        </is>
      </c>
      <c r="B28" s="13" t="inlineStr">
        <is>
          <t>BehavioralCore</t>
        </is>
      </c>
      <c r="C28" s="13">
        <f>0.24*ArchetypeNorm + 0.18*CommNorm + 0.18*RegNorm + 0.08*LoveNorm + 0.14*ReadinessNorm + 0.10*ExecutionNorm + 0.08*OpennessNorm</f>
        <v/>
      </c>
      <c r="D28" s="13" t="inlineStr">
        <is>
          <t>Main fit engine</t>
        </is>
      </c>
    </row>
    <row r="29">
      <c r="A29" s="13" t="inlineStr">
        <is>
          <t>Core</t>
        </is>
      </c>
      <c r="B29" s="13" t="inlineStr">
        <is>
          <t>StabilityCore</t>
        </is>
      </c>
      <c r="C29" s="13">
        <f>0.20*(1-ShadowRiskNorm) + 0.16*(1-IntegrityPenaltyNorm) + 0.14*(1-ClusterPenaltyNorm) + 0.14*ForecastNorm + 0.18*RepairNorm_pair + 0.10*PacingNorm + 0.08*AccountabilityNorm</f>
        <v/>
      </c>
      <c r="D29" s="13" t="inlineStr">
        <is>
          <t>Hold / repair engine</t>
        </is>
      </c>
    </row>
    <row r="30">
      <c r="A30" s="13" t="inlineStr">
        <is>
          <t>Core</t>
        </is>
      </c>
      <c r="B30" s="13" t="inlineStr">
        <is>
          <t>ChemistryCore</t>
        </is>
      </c>
      <c r="C30" s="13">
        <f>0.42*CenteredPolarityNorm + 0.33*AttractionPatternNorm + 0.15*StanceNorm_pair + 0.10*ReciprocityNorm</f>
        <v/>
      </c>
      <c r="D30" s="13" t="inlineStr">
        <is>
          <t>Spark, not captain</t>
        </is>
      </c>
    </row>
    <row r="31">
      <c r="A31" s="13" t="inlineStr">
        <is>
          <t>Core</t>
        </is>
      </c>
      <c r="B31" s="13" t="inlineStr">
        <is>
          <t>CosmicCore</t>
        </is>
      </c>
      <c r="C31" s="13">
        <f>0.60*ZodiacNorm + 0.40*AdjustedNumerologyNorm</f>
        <v/>
      </c>
      <c r="D31" s="13" t="inlineStr">
        <is>
          <t>Overlay only</t>
        </is>
      </c>
    </row>
    <row r="32">
      <c r="A32" s="13" t="inlineStr">
        <is>
          <t>Scoring</t>
        </is>
      </c>
      <c r="B32" s="13" t="inlineStr">
        <is>
          <t>AlignmentWeighted</t>
        </is>
      </c>
      <c r="C32" s="13">
        <f>0.56*BehavioralCore + 0.26*StabilityCore + 0.10*ChemistryCore + 0.08*CosmicCore</f>
        <v/>
      </c>
      <c r="D32" s="13" t="inlineStr">
        <is>
          <t>Pre-gate stack</t>
        </is>
      </c>
    </row>
    <row r="33">
      <c r="A33" s="13" t="inlineStr">
        <is>
          <t>Scoring</t>
        </is>
      </c>
      <c r="B33" s="13" t="inlineStr">
        <is>
          <t>Gate</t>
        </is>
      </c>
      <c r="C33" s="13">
        <f>0.55 + 0.25*MIN(BehavioralCore,StabilityCore) + 0.10*StabilityCore + 0.05*BehavioralCore + 0.05*RepairNorm_pair</f>
        <v/>
      </c>
      <c r="D33" s="13" t="inlineStr">
        <is>
          <t>Prevents weak-hold highs</t>
        </is>
      </c>
    </row>
    <row r="34">
      <c r="A34" s="13" t="inlineStr">
        <is>
          <t>Scoring</t>
        </is>
      </c>
      <c r="B34" s="13" t="inlineStr">
        <is>
          <t>RawSuccessNorm</t>
        </is>
      </c>
      <c r="C34" s="13">
        <f>MAX(0,MIN(1,(AlignmentWeighted*Gate)+InteractionBonus-HardPenalty))</f>
        <v/>
      </c>
      <c r="D34" s="13" t="inlineStr">
        <is>
          <t>Final normalized result</t>
        </is>
      </c>
    </row>
    <row r="35">
      <c r="A35" s="13" t="inlineStr">
        <is>
          <t>Scoring</t>
        </is>
      </c>
      <c r="B35" s="13" t="inlineStr">
        <is>
          <t>CompatibilityScore</t>
        </is>
      </c>
      <c r="C35" s="13">
        <f>350 + 500*RawSuccessNorm</f>
        <v/>
      </c>
      <c r="D35" s="13" t="inlineStr">
        <is>
          <t>350-850 credit score</t>
        </is>
      </c>
    </row>
    <row r="36">
      <c r="A36" s="13" t="inlineStr">
        <is>
          <t>Scoring</t>
        </is>
      </c>
      <c r="B36" s="13" t="inlineStr">
        <is>
          <t>StabilityScore</t>
        </is>
      </c>
      <c r="C36" s="13">
        <f>100*(0.60*StabilityCore + 0.25*RepairNorm_pair + 0.15*(1-HardPenalty))</f>
        <v/>
      </c>
      <c r="D36" s="13" t="inlineStr">
        <is>
          <t>0-100 hold truth</t>
        </is>
      </c>
    </row>
    <row r="37">
      <c r="A37" s="13" t="inlineStr">
        <is>
          <t>Scoring</t>
        </is>
      </c>
      <c r="B37" s="13" t="inlineStr">
        <is>
          <t>ChemistryScore</t>
        </is>
      </c>
      <c r="C37" s="13">
        <f>100*(ChemistryCore*(0.80+0.20*MIN(BehavioralCore,StabilityCore)))</f>
        <v/>
      </c>
      <c r="D37" s="13" t="inlineStr">
        <is>
          <t>Spark gated by fit/hold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2026-03-19T02:58:36Z</dcterms:created>
  <dcterms:modified xmlns:dcterms="http://purl.org/dc/terms/" xmlns:xsi="http://www.w3.org/2001/XMLSchema-instance" xsi:type="dcterms:W3CDTF">2026-03-20T10:45:04Z</dcterms:modified>
</cp:coreProperties>
</file>