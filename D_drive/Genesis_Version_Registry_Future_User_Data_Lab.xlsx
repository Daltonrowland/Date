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e26e529cc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9286350f2a7482f"/>
    <x:sheet xmlns:r="http://schemas.openxmlformats.org/officeDocument/2006/relationships" name="Controls_Targets" sheetId="2" r:id="R6c56bdf81d0942a3"/>
    <x:sheet xmlns:r="http://schemas.openxmlformats.org/officeDocument/2006/relationships" name="Version_Registry" sheetId="3" r:id="Rede44cd4f7634df1"/>
    <x:sheet xmlns:r="http://schemas.openxmlformats.org/officeDocument/2006/relationships" name="Version_Profiles" sheetId="4" r:id="Rbe4bc64f2634498b"/>
    <x:sheet xmlns:r="http://schemas.openxmlformats.org/officeDocument/2006/relationships" name="Simulation_Benchmarks" sheetId="5" r:id="R860a4bbfac9d4870"/>
    <x:sheet xmlns:r="http://schemas.openxmlformats.org/officeDocument/2006/relationships" name="Future_User_Data_Input" sheetId="6" r:id="Rc4875a7fd50a4e20"/>
    <x:sheet xmlns:r="http://schemas.openxmlformats.org/officeDocument/2006/relationships" name="Scorecard" sheetId="7" r:id="R548299fd663b4181"/>
    <x:sheet xmlns:r="http://schemas.openxmlformats.org/officeDocument/2006/relationships" name="Change_Log" sheetId="8" r:id="R74ace0d9ba344727"/>
    <x:sheet xmlns:r="http://schemas.openxmlformats.org/officeDocument/2006/relationships" name="Run_Log" sheetId="9" r:id="Rabdc5a9b511046b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H4" authorId="0">
      <x:text>
        <x:r>
          <x:t>Enter as decimal percent. Example: 21.2% should be entered as 0.212</x:t>
        </x:r>
      </x:text>
    </x:comment>
    <x:comment ref="I4" authorId="0">
      <x:text>
        <x:r>
          <x:t>Enter as decimal percent. Example: 21.2% should be entered as 0.212</x:t>
        </x:r>
      </x:text>
    </x:comment>
    <x:comment ref="J4" authorId="0">
      <x:text>
        <x:r>
          <x:t>Enter as decimal percent. Example: 21.2% should be entered as 0.212</x:t>
        </x:r>
      </x:text>
    </x:comment>
    <x:comment ref="K4" authorId="0">
      <x:text>
        <x:r>
          <x:t>Enter as decimal percent. Example: 21.2% should be entered as 0.212</x:t>
        </x:r>
      </x:text>
    </x:comment>
    <x:comment ref="L4" authorId="0">
      <x:text>
        <x:r>
          <x:t>Enter as decimal percent. Example: 21.2% should be entered as 0.212</x:t>
        </x:r>
      </x:text>
    </x:comment>
    <x:comment ref="O4" authorId="0">
      <x:text>
        <x:r>
          <x:t>Enter safety as 1–10 average from future user data.</x:t>
        </x:r>
      </x:text>
    </x:comment>
    <x:comment ref="Q4" authorId="0">
      <x:text>
        <x:r>
          <x:t>Harm Flag % should be decimal percent. Lower is better.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"/>
  </x:numFmts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FFFFFF"/>
    </x:font>
    <x:font>
      <x:b/>
    </x:font>
    <x:font>
      <x:b/>
      <x:sz val="14"/>
      <x:color rgb="00FFFFFF"/>
    </x:font>
    <x:font>
      <x:i/>
      <x:color rgb="009C650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E2F0D9"/>
      </x:patternFill>
    </x:fill>
    <x:fill>
      <x:patternFill patternType="solid">
        <x:fgColor rgb="005B9BD5"/>
      </x:patternFill>
    </x:fill>
  </x:fills>
  <x:borders count="6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FBFBF"/>
      </x:top>
      <x:bottom/>
      <x:diagonal/>
    </x:border>
    <x:border>
      <x:left/>
      <x:right style="thin">
        <x:color rgb="00BFBFBF"/>
      </x:right>
      <x:top style="thin">
        <x:color rgb="00BFBFBF"/>
      </x:top>
      <x:bottom/>
      <x:diagonal/>
    </x:border>
    <x:border>
      <x:left/>
      <x:right/>
      <x:top style="thin">
        <x:color rgb="00BFBFBF"/>
      </x:top>
      <x:bottom style="thin">
        <x:color rgb="00BFBFBF"/>
      </x:bottom>
      <x:diagonal/>
    </x:border>
    <x:border>
      <x:left/>
      <x:right style="thin">
        <x:color rgb="00BFBFBF"/>
      </x:right>
      <x:top style="thin">
        <x:color rgb="00BFBFBF"/>
      </x:top>
      <x:bottom style="thin">
        <x:color rgb="00BFBFBF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1" xfId="0" applyAlignment="1">
      <x:alignment horizontal="left" vertical="top" wrapText="1"/>
    </x:xf>
    <x:xf numFmtId="0" fontId="0" fillId="0" borderId="1" xfId="0"/>
    <x:xf numFmtId="0" fontId="2" fillId="2" borderId="1" xfId="0" applyAlignment="1">
      <x:alignment horizontal="center" vertical="center" wrapText="1"/>
    </x:xf>
    <x:xf numFmtId="0" fontId="3" fillId="3" borderId="1" xfId="0" applyAlignment="1">
      <x:alignment horizontal="left" vertical="top" wrapText="1"/>
    </x:xf>
    <x:xf numFmtId="0" fontId="0" fillId="0" borderId="1" xfId="0" applyAlignment="1">
      <x:alignment horizontal="left" vertical="top" wrapText="1"/>
    </x:xf>
    <x:xf numFmtId="0" fontId="0" fillId="0" borderId="4" xfId="0"/>
    <x:xf numFmtId="0" fontId="0" fillId="0" borderId="5" xfId="0"/>
    <x:xf numFmtId="0" fontId="2" fillId="2" borderId="1" xfId="0"/>
    <x:xf numFmtId="0" fontId="4" fillId="2" borderId="1" xfId="0"/>
    <x:xf numFmtId="164" fontId="0" fillId="0" borderId="1" xfId="0" applyAlignment="1">
      <x:alignment horizontal="left" vertical="top" wrapText="1"/>
    </x:xf>
    <x:xf numFmtId="0" fontId="3" fillId="4" borderId="1" xfId="0" applyAlignment="1">
      <x:alignment horizontal="left" vertical="top" wrapText="1"/>
    </x:xf>
    <x:xf numFmtId="0" fontId="2" fillId="5" borderId="1" xfId="0" applyAlignment="1">
      <x:alignment horizontal="center" vertical="center" wrapText="1"/>
    </x:xf>
    <x:xf numFmtId="165" fontId="0" fillId="0" borderId="1" xfId="0" applyAlignment="1">
      <x:alignment horizontal="left" vertical="top" wrapText="1"/>
    </x:xf>
    <x:xf numFmtId="0" fontId="3" fillId="3" borderId="1" xfId="0"/>
    <x:xf numFmtId="0" fontId="0" fillId="3" borderId="1" xfId="0"/>
    <x:xf numFmtId="0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165" fontId="0" fillId="0" borderId="1" xfId="0" applyAlignment="1">
      <x:alignment horizontal="center" vertical="center" wrapText="1"/>
    </x:xf>
    <x:xf numFmtId="0" fontId="5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65609928c4255" /><Relationship Type="http://schemas.openxmlformats.org/officeDocument/2006/relationships/theme" Target="/xl/theme/theme1.xml" Id="R267099359c694604" /><Relationship Type="http://schemas.openxmlformats.org/officeDocument/2006/relationships/sharedStrings" Target="/xl/sharedStrings.xml" Id="R1dab929d3cbc4553" /><Relationship Type="http://schemas.openxmlformats.org/officeDocument/2006/relationships/worksheet" Target="/xl/worksheets/sheet1.xml" Id="Rd9286350f2a7482f" /><Relationship Type="http://schemas.openxmlformats.org/officeDocument/2006/relationships/worksheet" Target="/xl/worksheets/sheet2.xml" Id="R6c56bdf81d0942a3" /><Relationship Type="http://schemas.openxmlformats.org/officeDocument/2006/relationships/worksheet" Target="/xl/worksheets/sheet3.xml" Id="Rede44cd4f7634df1" /><Relationship Type="http://schemas.openxmlformats.org/officeDocument/2006/relationships/worksheet" Target="/xl/worksheets/sheet4.xml" Id="Rbe4bc64f2634498b" /><Relationship Type="http://schemas.openxmlformats.org/officeDocument/2006/relationships/worksheet" Target="/xl/worksheets/sheet5.xml" Id="R860a4bbfac9d4870" /><Relationship Type="http://schemas.openxmlformats.org/officeDocument/2006/relationships/worksheet" Target="/xl/worksheets/sheet6.xml" Id="Rc4875a7fd50a4e20" /><Relationship Type="http://schemas.openxmlformats.org/officeDocument/2006/relationships/worksheet" Target="/xl/worksheets/sheet7.xml" Id="R548299fd663b4181" /><Relationship Type="http://schemas.openxmlformats.org/officeDocument/2006/relationships/worksheet" Target="/xl/worksheets/sheet8.xml" Id="R74ace0d9ba344727" /><Relationship Type="http://schemas.openxmlformats.org/officeDocument/2006/relationships/worksheet" Target="/xl/worksheets/sheet9.xml" Id="Rabdc5a9b511046b9" /><Relationship Type="http://schemas.microsoft.com/office/2017/10/relationships/person" Target="/xl/persons/person.xml" Id="Rde928d9ef9604b0c" /></Relationships>
</file>

<file path=xl/persons/person.xml><?xml version="1.0" encoding="utf-8"?>
<xltc:personList xmlns:xltc="http://schemas.microsoft.com/office/spreadsheetml/2018/threadedcomments">
  <xltc:person displayName="OpenAI" id="{D91E8683-C272-2552-15E6-6B7BB594CDB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3fee0bfcdf514261" /><Relationship Type="http://schemas.openxmlformats.org/officeDocument/2006/relationships/vmlDrawing" Target="/xl/drawings/vmldrawing.vml" Id="R7e726c07077944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0" customWidth="1"/>
    <x:col min="2" max="2" width="60" customWidth="1"/>
    <x:col min="3" max="3" width="52" customWidth="1"/>
    <x:col min="4" max="4" width="19" customWidth="1"/>
  </x:cols>
  <x:sheetData>
    <x:row r="1" ht="24" customHeight="1">
      <x:c r="A1" s="1" t="inlineStr">
        <x:is>
          <x:t xml:space="preserve">Genesis Relationship Scores — Version Registry &amp; Future User Data Lab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/>
    <x:row r="3" ht="22" customHeight="1">
      <x:c r="A3" s="3" t="inlineStr">
        <x:is>
          <x:t xml:space="preserve">Section</x:t>
        </x:is>
      </x:c>
      <x:c r="B3" s="3" t="inlineStr">
        <x:is>
          <x:t xml:space="preserve">Detail</x:t>
        </x:is>
      </x:c>
    </x:row>
    <x:row r="4">
      <x:c r="A4" s="4" t="inlineStr">
        <x:is>
          <x:t xml:space="preserve">Purpose</x:t>
        </x:is>
      </x:c>
      <x:c r="B4" s="5" t="inlineStr">
        <x:is>
          <x:t xml:space="preserve">House the four active post-v4 algorithm variants in one governed workbook so future live user data can be logged, compared, and scored without losing version control.</x:t>
        </x:is>
      </x:c>
      <x:c r="C4" s="6" t="n"/>
      <x:c r="D4" s="6" t="n"/>
      <x:c r="E4" s="6" t="n"/>
      <x:c r="F4" s="6" t="n"/>
      <x:c r="G4" s="6" t="n"/>
      <x:c r="H4" s="7" t="n"/>
    </x:row>
    <x:row r="5">
      <x:c r="A5" s="4" t="inlineStr">
        <x:is>
          <x:t xml:space="preserve">Structural source</x:t>
        </x:is>
      </x:c>
      <x:c r="B5" s="5" t="inlineStr">
        <x:is>
          <x:t xml:space="preserve">Quantum workbook remains the structural law source for engine design and score doctrine.</x:t>
        </x:is>
      </x:c>
      <x:c r="C5" s="6" t="n"/>
      <x:c r="D5" s="6" t="n"/>
      <x:c r="E5" s="6" t="n"/>
      <x:c r="F5" s="6" t="n"/>
      <x:c r="G5" s="6" t="n"/>
      <x:c r="H5" s="7" t="n"/>
    </x:row>
    <x:row r="6">
      <x:c r="A6" s="4" t="inlineStr">
        <x:is>
          <x:t xml:space="preserve">Benchmark source</x:t>
        </x:is>
      </x:c>
      <x:c r="B6" s="5" t="inlineStr">
        <x:is>
          <x:t xml:space="preserve">RS-QV4-LIVE is kept as the benchmark reference. The four active tracked variants are RS-QV5-A01, RS-QV5-A02, RS-QV5-B01, and RS-QV5-B02.</x:t>
        </x:is>
      </x:c>
      <x:c r="C6" s="6" t="n"/>
      <x:c r="D6" s="6" t="n"/>
      <x:c r="E6" s="6" t="n"/>
      <x:c r="F6" s="6" t="n"/>
      <x:c r="G6" s="6" t="n"/>
      <x:c r="H6" s="7" t="n"/>
    </x:row>
    <x:row r="7">
      <x:c r="A7" s="4" t="inlineStr">
        <x:is>
          <x:t xml:space="preserve">How to use</x:t>
        </x:is>
      </x:c>
      <x:c r="B7" s="5" t="inlineStr">
        <x:is>
          <x:t xml:space="preserve">1) Keep Version_Registry updated when you create a new algorithm branch. 2) Paste future observed user metrics into Future_User_Data_Input. 3) Review Scorecard for composite fit. 4) Record every decision in Change_Log and every test cohort in Run_Log.</x:t>
        </x:is>
      </x:c>
      <x:c r="C7" s="6" t="n"/>
      <x:c r="D7" s="6" t="n"/>
      <x:c r="E7" s="6" t="n"/>
      <x:c r="F7" s="6" t="n"/>
      <x:c r="G7" s="6" t="n"/>
      <x:c r="H7" s="7" t="n"/>
    </x:row>
    <x:row r="8">
      <x:c r="A8" s="4" t="inlineStr">
        <x:is>
          <x:t xml:space="preserve">Input convention</x:t>
        </x:is>
      </x:c>
      <x:c r="B8" s="5" t="inlineStr">
        <x:is>
          <x:t xml:space="preserve">Percent fields are entered as decimals (example: 21.2% = 0.212). Safety and Chemistry are entered on a 1–10 scale.</x:t>
        </x:is>
      </x:c>
      <x:c r="C8" s="6" t="n"/>
      <x:c r="D8" s="6" t="n"/>
      <x:c r="E8" s="6" t="n"/>
      <x:c r="F8" s="6" t="n"/>
      <x:c r="G8" s="6" t="n"/>
      <x:c r="H8" s="7" t="n"/>
    </x:row>
    <x:row r="9">
      <x:c r="A9" s="4" t="inlineStr">
        <x:is>
          <x:t xml:space="preserve">Recommendation</x:t>
        </x:is>
      </x:c>
      <x:c r="B9" s="5" t="inlineStr">
        <x:is>
          <x:t xml:space="preserve">Current leading launch-side candidate: RS-QV5-B02 (Guarded Bridge Hotter), but this workbook is built to let future user data decide whether that remains true.</x:t>
        </x:is>
      </x:c>
      <x:c r="C9" s="6" t="n"/>
      <x:c r="D9" s="6" t="n"/>
      <x:c r="E9" s="6" t="n"/>
      <x:c r="F9" s="6" t="n"/>
      <x:c r="G9" s="6" t="n"/>
      <x:c r="H9" s="7" t="n"/>
    </x:row>
    <x:row r="10"/>
    <x:row r="11">
      <x:c r="A11" s="8" t="inlineStr">
        <x:is>
          <x:t xml:space="preserve">Tracked active variants</x:t>
        </x:is>
      </x:c>
      <x:c r="B11" s="2" t="n"/>
      <x:c r="C11" s="2" t="n"/>
      <x:c r="D11" s="2" t="n"/>
    </x:row>
    <x:row r="12">
      <x:c r="A12" s="3" t="inlineStr">
        <x:is>
          <x:t xml:space="preserve">Code</x:t>
        </x:is>
      </x:c>
      <x:c r="B12" s="3" t="inlineStr">
        <x:is>
          <x:t xml:space="preserve">Display Name</x:t>
        </x:is>
      </x:c>
      <x:c r="C12" s="3" t="inlineStr">
        <x:is>
          <x:t xml:space="preserve">Short Meaning</x:t>
        </x:is>
      </x:c>
      <x:c r="D12" s="3" t="inlineStr">
        <x:is>
          <x:t xml:space="preserve">Next Truth Source</x:t>
        </x:is>
      </x:c>
    </x:row>
    <x:row r="13">
      <x:c r="A13" s="5" t="inlineStr">
        <x:is>
          <x:t xml:space="preserve">RS-QV5-A01</x:t>
        </x:is>
      </x:c>
      <x:c r="B13" s="5" t="inlineStr">
        <x:is>
          <x:t xml:space="preserve">Run14A Bridge Balanced</x:t>
        </x:is>
      </x:c>
      <x:c r="C13" s="5" t="inlineStr">
        <x:is>
          <x:t xml:space="preserve">Cleanest pure-balance reshaping</x:t>
        </x:is>
      </x:c>
      <x:c r="D13" s="5" t="inlineStr">
        <x:is>
          <x:t xml:space="preserve">Future user data</x:t>
        </x:is>
      </x:c>
    </x:row>
    <x:row r="14">
      <x:c r="A14" s="5" t="inlineStr">
        <x:is>
          <x:t xml:space="preserve">RS-QV5-A02</x:t>
        </x:is>
      </x:c>
      <x:c r="B14" s="5" t="inlineStr">
        <x:is>
          <x:t xml:space="preserve">Run14B Bridge Hotter</x:t>
        </x:is>
      </x:c>
      <x:c r="C14" s="5" t="inlineStr">
        <x:is>
          <x:t xml:space="preserve">More top-end magic, slightly softer on risky pairs</x:t>
        </x:is>
      </x:c>
      <x:c r="D14" s="5" t="inlineStr">
        <x:is>
          <x:t xml:space="preserve">Future user data</x:t>
        </x:is>
      </x:c>
    </x:row>
    <x:row r="15">
      <x:c r="A15" s="5" t="inlineStr">
        <x:is>
          <x:t xml:space="preserve">RS-QV5-B01</x:t>
        </x:is>
      </x:c>
      <x:c r="B15" s="5" t="inlineStr">
        <x:is>
          <x:t xml:space="preserve">Guarded Bridge Balanced</x:t>
        </x:is>
      </x:c>
      <x:c r="C15" s="5" t="inlineStr">
        <x:is>
          <x:t xml:space="preserve">Safer, cooler, more conservative</x:t>
        </x:is>
      </x:c>
      <x:c r="D15" s="5" t="inlineStr">
        <x:is>
          <x:t xml:space="preserve">Future user data</x:t>
        </x:is>
      </x:c>
    </x:row>
    <x:row r="16">
      <x:c r="A16" s="5" t="inlineStr">
        <x:is>
          <x:t xml:space="preserve">RS-QV5-B02</x:t>
        </x:is>
      </x:c>
      <x:c r="B16" s="5" t="inlineStr">
        <x:is>
          <x:t xml:space="preserve">Guarded Bridge Hotter</x:t>
        </x:is>
      </x:c>
      <x:c r="C16" s="5" t="inlineStr">
        <x:is>
          <x:t xml:space="preserve">Balanced truth + safety + top-end lift</x:t>
        </x:is>
      </x:c>
      <x:c r="D16" s="5" t="inlineStr">
        <x:is>
          <x:t xml:space="preserve">Future user data</x:t>
        </x:is>
      </x:c>
    </x:row>
  </x:sheetData>
  <x:mergeCells>
    <x:mergeCell ref="B8:H8"/>
    <x:mergeCell ref="B9:H9"/>
    <x:mergeCell ref="A11:D11"/>
    <x:mergeCell ref="B4:H4"/>
    <x:mergeCell ref="B6:H6"/>
    <x:mergeCell ref="B7:H7"/>
    <x:mergeCell ref="A1:H1"/>
    <x:mergeCell ref="B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4" customWidth="1"/>
    <x:col min="3" max="3" width="57" customWidth="1"/>
    <x:col min="4" max="4" width="18" customWidth="1"/>
    <x:col min="5" max="5" width="12" customWidth="1"/>
    <x:col min="6" max="6" width="45" customWidth="1"/>
  </x:cols>
  <x:sheetData>
    <x:row r="1" ht="24" customHeight="1">
      <x:c r="A1" s="9" t="inlineStr">
        <x:is>
          <x:t xml:space="preserve">Controls &amp; Target Bands</x:t>
        </x:is>
      </x:c>
      <x:c r="B1" s="2" t="n"/>
      <x:c r="C1" s="2" t="n"/>
      <x:c r="D1" s="2" t="n"/>
      <x:c r="E1" s="2" t="n"/>
      <x:c r="F1" s="2" t="n"/>
    </x:row>
    <x:row r="2"/>
    <x:row r="3" ht="22" customHeight="1">
      <x:c r="A3" s="3" t="inlineStr">
        <x:is>
          <x:t xml:space="preserve">Tier Band</x:t>
        </x:is>
      </x:c>
      <x:c r="B3" s="3" t="inlineStr">
        <x:is>
          <x:t xml:space="preserve">Target Min</x:t>
        </x:is>
      </x:c>
      <x:c r="C3" s="3" t="inlineStr">
        <x:is>
          <x:t xml:space="preserve">Target Max</x:t>
        </x:is>
      </x:c>
      <x:c r="D3" s="3" t="inlineStr">
        <x:is>
          <x:t xml:space="preserve">Target Mid</x:t>
        </x:is>
      </x:c>
      <x:c r="E3" s="3" t="inlineStr">
        <x:is>
          <x:t xml:space="preserve">Half Range</x:t>
        </x:is>
      </x:c>
      <x:c r="F3" s="3" t="inlineStr">
        <x:is>
          <x:t xml:space="preserve">Comment</x:t>
        </x:is>
      </x:c>
    </x:row>
    <x:row r="4">
      <x:c r="A4" s="5" t="inlineStr">
        <x:is>
          <x:t xml:space="preserve">350-500</x:t>
        </x:is>
      </x:c>
      <x:c r="B4" s="10" t="n">
        <x:v>0.03</x:v>
      </x:c>
      <x:c r="C4" s="10" t="n">
        <x:v>0.08</x:v>
      </x:c>
      <x:c r="D4" s="10" t="n">
        <x:v>0.055</x:v>
      </x:c>
      <x:c r="E4" s="10" t="n">
        <x:v>0.025</x:v>
      </x:c>
      <x:c r="F4" s="5" t="inlineStr">
        <x:is>
          <x:t xml:space="preserve">Bad matches should exist in real numbers</x:t>
        </x:is>
      </x:c>
    </x:row>
    <x:row r="5">
      <x:c r="A5" s="5" t="inlineStr">
        <x:is>
          <x:t xml:space="preserve">501-600</x:t>
        </x:is>
      </x:c>
      <x:c r="B5" s="10" t="n">
        <x:v>0.15</x:v>
      </x:c>
      <x:c r="C5" s="10" t="n">
        <x:v>0.25</x:v>
      </x:c>
      <x:c r="D5" s="10" t="n">
        <x:v>0.2</x:v>
      </x:c>
      <x:c r="E5" s="10" t="n">
        <x:v>0.05</x:v>
      </x:c>
      <x:c r="F5" s="5" t="inlineStr">
        <x:is>
          <x:t xml:space="preserve">Okay / caution band should be visible</x:t>
        </x:is>
      </x:c>
    </x:row>
    <x:row r="6">
      <x:c r="A6" s="5" t="inlineStr">
        <x:is>
          <x:t xml:space="preserve">601-700</x:t>
        </x:is>
      </x:c>
      <x:c r="B6" s="10" t="n">
        <x:v>0.45</x:v>
      </x:c>
      <x:c r="C6" s="10" t="n">
        <x:v>0.55</x:v>
      </x:c>
      <x:c r="D6" s="10" t="n">
        <x:v>0.5</x:v>
      </x:c>
      <x:c r="E6" s="10" t="n">
        <x:v>0.05</x:v>
      </x:c>
      <x:c r="F6" s="5" t="inlineStr">
        <x:is>
          <x:t xml:space="preserve">Healthy workable band should be the biggest</x:t>
        </x:is>
      </x:c>
    </x:row>
    <x:row r="7">
      <x:c r="A7" s="5" t="inlineStr">
        <x:is>
          <x:t xml:space="preserve">701-750</x:t>
        </x:is>
      </x:c>
      <x:c r="B7" s="10" t="n">
        <x:v>0.12</x:v>
      </x:c>
      <x:c r="C7" s="10" t="n">
        <x:v>0.2</x:v>
      </x:c>
      <x:c r="D7" s="10" t="n">
        <x:v>0.16</x:v>
      </x:c>
      <x:c r="E7" s="10" t="n">
        <x:v>0.04</x:v>
      </x:c>
      <x:c r="F7" s="5" t="inlineStr">
        <x:is>
          <x:t xml:space="preserve">Great matches should be uncommon</x:t>
        </x:is>
      </x:c>
    </x:row>
    <x:row r="8">
      <x:c r="A8" s="5" t="inlineStr">
        <x:is>
          <x:t xml:space="preserve">751-850</x:t>
        </x:is>
      </x:c>
      <x:c r="B8" s="10" t="n">
        <x:v>0.08</x:v>
      </x:c>
      <x:c r="C8" s="10" t="n">
        <x:v>0.12</x:v>
      </x:c>
      <x:c r="D8" s="10" t="n">
        <x:v>0.1</x:v>
      </x:c>
      <x:c r="E8" s="10" t="n">
        <x:v>0.02</x:v>
      </x:c>
      <x:c r="F8" s="5" t="inlineStr">
        <x:is>
          <x:t xml:space="preserve">Soul-aligned should stay rare</x:t>
        </x:is>
      </x:c>
    </x:row>
    <x:row r="9"/>
    <x:row r="10">
      <x:c r="A10" s="8" t="inlineStr">
        <x:is>
          <x:t xml:space="preserve">Outcome Targets</x:t>
        </x:is>
      </x:c>
      <x:c r="B10" s="2" t="n"/>
      <x:c r="C10" s="2" t="n"/>
      <x:c r="D10" s="2" t="n"/>
    </x:row>
    <x:row r="11">
      <x:c r="A11" s="3" t="inlineStr">
        <x:is>
          <x:t xml:space="preserve">Metric</x:t>
        </x:is>
      </x:c>
      <x:c r="B11" s="3" t="inlineStr">
        <x:is>
          <x:t xml:space="preserve">Target / Cap</x:t>
        </x:is>
      </x:c>
      <x:c r="C11" s="3" t="inlineStr">
        <x:is>
          <x:t xml:space="preserve">Units</x:t>
        </x:is>
      </x:c>
      <x:c r="D11" s="3" t="inlineStr">
        <x:is>
          <x:t xml:space="preserve">Use</x:t>
        </x:is>
      </x:c>
    </x:row>
    <x:row r="12">
      <x:c r="A12" s="5" t="inlineStr">
        <x:is>
          <x:t xml:space="preserve">30d Progression</x:t>
        </x:is>
      </x:c>
      <x:c r="B12" s="10" t="n">
        <x:v>0.35</x:v>
      </x:c>
      <x:c r="C12" s="5" t="inlineStr">
        <x:is>
          <x:t xml:space="preserve">decimal %</x:t>
        </x:is>
      </x:c>
      <x:c r="D12" s="5" t="inlineStr">
        <x:is>
          <x:t xml:space="preserve">Higher is better</x:t>
        </x:is>
      </x:c>
    </x:row>
    <x:row r="13">
      <x:c r="A13" s="5" t="inlineStr">
        <x:is>
          <x:t xml:space="preserve">90d Stability</x:t>
        </x:is>
      </x:c>
      <x:c r="B13" s="10" t="n">
        <x:v>0.2</x:v>
      </x:c>
      <x:c r="C13" s="5" t="inlineStr">
        <x:is>
          <x:t xml:space="preserve">decimal %</x:t>
        </x:is>
      </x:c>
      <x:c r="D13" s="5" t="inlineStr">
        <x:is>
          <x:t xml:space="preserve">Higher is better</x:t>
        </x:is>
      </x:c>
    </x:row>
    <x:row r="14">
      <x:c r="A14" s="5" t="inlineStr">
        <x:is>
          <x:t xml:space="preserve">Avg Safety</x:t>
        </x:is>
      </x:c>
      <x:c r="B14" s="5" t="n">
        <x:v>8</x:v>
      </x:c>
      <x:c r="C14" s="5" t="inlineStr">
        <x:is>
          <x:t xml:space="preserve">1-10</x:t>
        </x:is>
      </x:c>
      <x:c r="D14" s="5" t="inlineStr">
        <x:is>
          <x:t xml:space="preserve">Higher is better</x:t>
        </x:is>
      </x:c>
    </x:row>
    <x:row r="15">
      <x:c r="A15" s="5" t="inlineStr">
        <x:is>
          <x:t xml:space="preserve">Avg Chemistry</x:t>
        </x:is>
      </x:c>
      <x:c r="B15" s="5" t="n">
        <x:v>7</x:v>
      </x:c>
      <x:c r="C15" s="5" t="inlineStr">
        <x:is>
          <x:t xml:space="preserve">1-10</x:t>
        </x:is>
      </x:c>
      <x:c r="D15" s="5" t="inlineStr">
        <x:is>
          <x:t xml:space="preserve">Higher is better</x:t>
        </x:is>
      </x:c>
    </x:row>
    <x:row r="16">
      <x:c r="A16" s="5" t="inlineStr">
        <x:is>
          <x:t xml:space="preserve">Harm Flag Cap</x:t>
        </x:is>
      </x:c>
      <x:c r="B16" s="10" t="n">
        <x:v>0.02</x:v>
      </x:c>
      <x:c r="C16" s="5" t="inlineStr">
        <x:is>
          <x:t xml:space="preserve">decimal %</x:t>
        </x:is>
      </x:c>
      <x:c r="D16" s="5" t="inlineStr">
        <x:is>
          <x:t xml:space="preserve">Lower is better</x:t>
        </x:is>
      </x:c>
    </x:row>
    <x:row r="17">
      <x:c r="A17" s="5" t="inlineStr">
        <x:is>
          <x:t xml:space="preserve">False Positive Cap</x:t>
        </x:is>
      </x:c>
      <x:c r="B17" s="10" t="n">
        <x:v>0.08</x:v>
      </x:c>
      <x:c r="C17" s="5" t="inlineStr">
        <x:is>
          <x:t xml:space="preserve">decimal %</x:t>
        </x:is>
      </x:c>
      <x:c r="D17" s="5" t="inlineStr">
        <x:is>
          <x:t xml:space="preserve">Lower is better</x:t>
        </x:is>
      </x:c>
    </x:row>
    <x:row r="18">
      <x:c r="A18" s="5" t="inlineStr">
        <x:is>
          <x:t xml:space="preserve">False Negative Cap</x:t>
        </x:is>
      </x:c>
      <x:c r="B18" s="10" t="n">
        <x:v>0.12</x:v>
      </x:c>
      <x:c r="C18" s="5" t="inlineStr">
        <x:is>
          <x:t xml:space="preserve">decimal %</x:t>
        </x:is>
      </x:c>
      <x:c r="D18" s="5" t="inlineStr">
        <x:is>
          <x:t xml:space="preserve">Lower is better</x:t>
        </x:is>
      </x:c>
    </x:row>
    <x:row r="19"/>
    <x:row r="20"/>
    <x:row r="21">
      <x:c r="A21" s="8" t="inlineStr">
        <x:is>
          <x:t xml:space="preserve">Composite Score Weights</x:t>
        </x:is>
      </x:c>
      <x:c r="B21" s="2" t="n"/>
      <x:c r="C21" s="2" t="n"/>
    </x:row>
    <x:row r="22">
      <x:c r="A22" s="3" t="inlineStr">
        <x:is>
          <x:t xml:space="preserve">Component</x:t>
        </x:is>
      </x:c>
      <x:c r="B22" s="3" t="inlineStr">
        <x:is>
          <x:t xml:space="preserve">Weight</x:t>
        </x:is>
      </x:c>
      <x:c r="C22" s="3" t="inlineStr">
        <x:is>
          <x:t xml:space="preserve">Meaning</x:t>
        </x:is>
      </x:c>
    </x:row>
    <x:row r="23">
      <x:c r="A23" s="5" t="inlineStr">
        <x:is>
          <x:t xml:space="preserve">Tier Fit</x:t>
        </x:is>
      </x:c>
      <x:c r="B23" s="10" t="n">
        <x:v>0.3</x:v>
      </x:c>
      <x:c r="C23" s="5" t="inlineStr">
        <x:is>
          <x:t xml:space="preserve">How close the observed tier spread is to target ecology</x:t>
        </x:is>
      </x:c>
    </x:row>
    <x:row r="24">
      <x:c r="A24" s="5" t="inlineStr">
        <x:is>
          <x:t xml:space="preserve">Outcome Fit</x:t>
        </x:is>
      </x:c>
      <x:c r="B24" s="10" t="n">
        <x:v>0.45</x:v>
      </x:c>
      <x:c r="C24" s="5" t="inlineStr">
        <x:is>
          <x:t xml:space="preserve">Progression, stability, safety, and chemistry</x:t>
        </x:is>
      </x:c>
    </x:row>
    <x:row r="25">
      <x:c r="A25" s="5" t="inlineStr">
        <x:is>
          <x:t xml:space="preserve">Risk Control</x:t>
        </x:is>
      </x:c>
      <x:c r="B25" s="10" t="n">
        <x:v>0.25</x:v>
      </x:c>
      <x:c r="C25" s="5" t="inlineStr">
        <x:is>
          <x:t xml:space="preserve">Harm, false positives, and false negatives</x:t>
        </x:is>
      </x:c>
    </x:row>
  </x:sheetData>
  <x:mergeCells>
    <x:mergeCell ref="A10:D10"/>
    <x:mergeCell ref="A1:F1"/>
    <x:mergeCell ref="A21:C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8" customWidth="1"/>
    <x:col min="3" max="3" width="13" customWidth="1"/>
    <x:col min="4" max="4" width="13" customWidth="1"/>
    <x:col min="5" max="5" width="28" customWidth="1"/>
    <x:col min="6" max="6" width="30" customWidth="1"/>
    <x:col min="7" max="7" width="18" customWidth="1"/>
    <x:col min="8" max="8" width="31" customWidth="1"/>
    <x:col min="9" max="9" width="58" customWidth="1"/>
  </x:cols>
  <x:sheetData>
    <x:row r="1" ht="24" customHeight="1">
      <x:c r="A1" s="9" t="inlineStr">
        <x:is>
          <x:t xml:space="preserve">Version Registry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</x:row>
    <x:row r="2"/>
    <x:row r="3" ht="22" customHeight="1">
      <x:c r="A3" s="3" t="inlineStr">
        <x:is>
          <x:t xml:space="preserve">Version Code</x:t>
        </x:is>
      </x:c>
      <x:c r="B3" s="3" t="inlineStr">
        <x:is>
          <x:t xml:space="preserve">Display Name</x:t>
        </x:is>
      </x:c>
      <x:c r="C3" s="3" t="inlineStr">
        <x:is>
          <x:t xml:space="preserve">Parent</x:t>
        </x:is>
      </x:c>
      <x:c r="D3" s="3" t="inlineStr">
        <x:is>
          <x:t xml:space="preserve">Branch Type</x:t>
        </x:is>
      </x:c>
      <x:c r="E3" s="3" t="inlineStr">
        <x:is>
          <x:t xml:space="preserve">Structural Source</x:t>
        </x:is>
      </x:c>
      <x:c r="F3" s="3" t="inlineStr">
        <x:is>
          <x:t xml:space="preserve">Benchmark Source</x:t>
        </x:is>
      </x:c>
      <x:c r="G3" s="3" t="inlineStr">
        <x:is>
          <x:t xml:space="preserve">Status</x:t>
        </x:is>
      </x:c>
      <x:c r="H3" s="3" t="inlineStr">
        <x:is>
          <x:t xml:space="preserve">Recommended Use</x:t>
        </x:is>
      </x:c>
      <x:c r="I3" s="3" t="inlineStr">
        <x:is>
          <x:t xml:space="preserve">Notes</x:t>
        </x:is>
      </x:c>
    </x:row>
    <x:row r="4">
      <x:c r="A4" s="5" t="inlineStr">
        <x:is>
          <x:t xml:space="preserve">RS-QV4-LIVE</x:t>
        </x:is>
      </x:c>
      <x:c r="B4" s="5" t="inlineStr">
        <x:is>
          <x:t xml:space="preserve">Current Workbook / v4 Live Benchmark</x:t>
        </x:is>
      </x:c>
      <x:c r="C4" s="5" t="inlineStr">
        <x:is>
          <x:t xml:space="preserve">—</x:t>
        </x:is>
      </x:c>
      <x:c r="D4" s="5" t="inlineStr">
        <x:is>
          <x:t xml:space="preserve">Benchmark</x:t>
        </x:is>
      </x:c>
      <x:c r="E4" s="5" t="inlineStr">
        <x:is>
          <x:t xml:space="preserve">Quantum workbook structure</x:t>
        </x:is>
      </x:c>
      <x:c r="F4" s="5" t="inlineStr">
        <x:is>
          <x:t xml:space="preserve">v4 simulation behavior</x:t>
        </x:is>
      </x:c>
      <x:c r="G4" s="5" t="inlineStr">
        <x:is>
          <x:t xml:space="preserve">Reference</x:t>
        </x:is>
      </x:c>
      <x:c r="H4" s="5" t="inlineStr">
        <x:is>
          <x:t xml:space="preserve">Hold as benchmark only</x:t>
        </x:is>
      </x:c>
      <x:c r="I4" s="5" t="inlineStr">
        <x:is>
          <x:t xml:space="preserve">Too compressed in upper-middle; keep for comparison only</x:t>
        </x:is>
      </x:c>
    </x:row>
    <x:row r="5">
      <x:c r="A5" s="5" t="inlineStr">
        <x:is>
          <x:t xml:space="preserve">RS-QV5-A01</x:t>
        </x:is>
      </x:c>
      <x:c r="B5" s="5" t="inlineStr">
        <x:is>
          <x:t xml:space="preserve">Run14A Bridge Balanced</x:t>
        </x:is>
      </x:c>
      <x:c r="C5" s="5" t="inlineStr">
        <x:is>
          <x:t xml:space="preserve">RS-QV4-LIVE</x:t>
        </x:is>
      </x:c>
      <x:c r="D5" s="5" t="inlineStr">
        <x:is>
          <x:t xml:space="preserve">A-Branch</x:t>
        </x:is>
      </x:c>
      <x:c r="E5" s="5" t="inlineStr">
        <x:is>
          <x:t xml:space="preserve">Quantum structure</x:t>
        </x:is>
      </x:c>
      <x:c r="F5" s="5" t="inlineStr">
        <x:is>
          <x:t xml:space="preserve">Run14A actual workbook rerun</x:t>
        </x:is>
      </x:c>
      <x:c r="G5" s="5" t="inlineStr">
        <x:is>
          <x:t xml:space="preserve">Active</x:t>
        </x:is>
      </x:c>
      <x:c r="H5" s="5" t="inlineStr">
        <x:is>
          <x:t xml:space="preserve">Cleaner balance candidate</x:t>
        </x:is>
      </x:c>
      <x:c r="I5" s="5" t="inlineStr">
        <x:is>
          <x:t xml:space="preserve">Best pure-balance reshaping</x:t>
        </x:is>
      </x:c>
    </x:row>
    <x:row r="6">
      <x:c r="A6" s="5" t="inlineStr">
        <x:is>
          <x:t xml:space="preserve">RS-QV5-A02</x:t>
        </x:is>
      </x:c>
      <x:c r="B6" s="5" t="inlineStr">
        <x:is>
          <x:t xml:space="preserve">Run14B Bridge Hotter</x:t>
        </x:is>
      </x:c>
      <x:c r="C6" s="5" t="inlineStr">
        <x:is>
          <x:t xml:space="preserve">RS-QV4-LIVE</x:t>
        </x:is>
      </x:c>
      <x:c r="D6" s="5" t="inlineStr">
        <x:is>
          <x:t xml:space="preserve">A-Branch</x:t>
        </x:is>
      </x:c>
      <x:c r="E6" s="5" t="inlineStr">
        <x:is>
          <x:t xml:space="preserve">Quantum structure</x:t>
        </x:is>
      </x:c>
      <x:c r="F6" s="5" t="inlineStr">
        <x:is>
          <x:t xml:space="preserve">Run14B actual workbook rerun</x:t>
        </x:is>
      </x:c>
      <x:c r="G6" s="5" t="inlineStr">
        <x:is>
          <x:t xml:space="preserve">Active</x:t>
        </x:is>
      </x:c>
      <x:c r="H6" s="5" t="inlineStr">
        <x:is>
          <x:t xml:space="preserve">Hotter challenger</x:t>
        </x:is>
      </x:c>
      <x:c r="I6" s="5" t="inlineStr">
        <x:is>
          <x:t xml:space="preserve">More top-end lift, slightly softer punishment</x:t>
        </x:is>
      </x:c>
    </x:row>
    <x:row r="7">
      <x:c r="A7" s="5" t="inlineStr">
        <x:is>
          <x:t xml:space="preserve">RS-QV5-B01</x:t>
        </x:is>
      </x:c>
      <x:c r="B7" s="5" t="inlineStr">
        <x:is>
          <x:t xml:space="preserve">Guarded Bridge Balanced</x:t>
        </x:is>
      </x:c>
      <x:c r="C7" s="5" t="inlineStr">
        <x:is>
          <x:t xml:space="preserve">RS-QV5-A01</x:t>
        </x:is>
      </x:c>
      <x:c r="D7" s="5" t="inlineStr">
        <x:is>
          <x:t xml:space="preserve">B-Branch</x:t>
        </x:is>
      </x:c>
      <x:c r="E7" s="5" t="inlineStr">
        <x:is>
          <x:t xml:space="preserve">Quantum structure</x:t>
        </x:is>
      </x:c>
      <x:c r="F7" s="5" t="inlineStr">
        <x:is>
          <x:t xml:space="preserve">Run15 launch calibration</x:t>
        </x:is>
      </x:c>
      <x:c r="G7" s="5" t="inlineStr">
        <x:is>
          <x:t xml:space="preserve">Active</x:t>
        </x:is>
      </x:c>
      <x:c r="H7" s="5" t="inlineStr">
        <x:is>
          <x:t xml:space="preserve">Conservative safety candidate</x:t>
        </x:is>
      </x:c>
      <x:c r="I7" s="5" t="inlineStr">
        <x:is>
          <x:t xml:space="preserve">Cooler, safer, stricter</x:t>
        </x:is>
      </x:c>
    </x:row>
    <x:row r="8">
      <x:c r="A8" s="5" t="inlineStr">
        <x:is>
          <x:t xml:space="preserve">RS-QV5-B02</x:t>
        </x:is>
      </x:c>
      <x:c r="B8" s="5" t="inlineStr">
        <x:is>
          <x:t xml:space="preserve">Guarded Bridge Hotter</x:t>
        </x:is>
      </x:c>
      <x:c r="C8" s="5" t="inlineStr">
        <x:is>
          <x:t xml:space="preserve">RS-QV5-A02</x:t>
        </x:is>
      </x:c>
      <x:c r="D8" s="5" t="inlineStr">
        <x:is>
          <x:t xml:space="preserve">B-Branch</x:t>
        </x:is>
      </x:c>
      <x:c r="E8" s="5" t="inlineStr">
        <x:is>
          <x:t xml:space="preserve">Quantum structure</x:t>
        </x:is>
      </x:c>
      <x:c r="F8" s="5" t="inlineStr">
        <x:is>
          <x:t xml:space="preserve">Run15 launch calibration</x:t>
        </x:is>
      </x:c>
      <x:c r="G8" s="11" t="inlineStr">
        <x:is>
          <x:t xml:space="preserve">Active / Leading</x:t>
        </x:is>
      </x:c>
      <x:c r="H8" s="5" t="inlineStr">
        <x:is>
          <x:t xml:space="preserve">Current launch-side favorite</x:t>
        </x:is>
      </x:c>
      <x:c r="I8" s="5" t="inlineStr">
        <x:is>
          <x:t xml:space="preserve">Best balance of truth, safety, and top-end magic</x:t>
        </x:is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45" customWidth="1"/>
    <x:col min="3" max="3" width="40" customWidth="1"/>
    <x:col min="4" max="4" width="44" customWidth="1"/>
    <x:col min="5" max="5" width="46" customWidth="1"/>
  </x:cols>
  <x:sheetData>
    <x:row r="1" ht="24" customHeight="1">
      <x:c r="A1" s="9" t="inlineStr">
        <x:is>
          <x:t xml:space="preserve">Version Profiles</x:t>
        </x:is>
      </x:c>
      <x:c r="B1" s="2" t="n"/>
      <x:c r="C1" s="2" t="n"/>
      <x:c r="D1" s="2" t="n"/>
      <x:c r="E1" s="2" t="n"/>
      <x:c r="F1" s="2" t="n"/>
    </x:row>
    <x:row r="2"/>
    <x:row r="3" ht="22" customHeight="1">
      <x:c r="A3" s="3" t="inlineStr">
        <x:is>
          <x:t xml:space="preserve">Field</x:t>
        </x:is>
      </x:c>
      <x:c r="B3" s="12" t="inlineStr">
        <x:is>
          <x:t xml:space="preserve">RS-QV5-A01</x:t>
        </x:is>
      </x:c>
      <x:c r="C3" s="12" t="inlineStr">
        <x:is>
          <x:t xml:space="preserve">RS-QV5-A02</x:t>
        </x:is>
      </x:c>
      <x:c r="D3" s="12" t="inlineStr">
        <x:is>
          <x:t xml:space="preserve">RS-QV5-B01</x:t>
        </x:is>
      </x:c>
      <x:c r="E3" s="12" t="inlineStr">
        <x:is>
          <x:t xml:space="preserve">RS-QV5-B02</x:t>
        </x:is>
      </x:c>
    </x:row>
    <x:row r="4">
      <x:c r="A4" s="4" t="inlineStr">
        <x:is>
          <x:t xml:space="preserve">Core intent</x:t>
        </x:is>
      </x:c>
      <x:c r="B4" s="5" t="inlineStr">
        <x:is>
          <x:t xml:space="preserve">Pure balance reshape</x:t>
        </x:is>
      </x:c>
      <x:c r="C4" s="5" t="inlineStr">
        <x:is>
          <x:t xml:space="preserve">Hotter balance reshape</x:t>
        </x:is>
      </x:c>
      <x:c r="D4" s="5" t="inlineStr">
        <x:is>
          <x:t xml:space="preserve">Guarded + balanced</x:t>
        </x:is>
      </x:c>
      <x:c r="E4" s="5" t="inlineStr">
        <x:is>
          <x:t xml:space="preserve">Guarded + hotter</x:t>
        </x:is>
      </x:c>
    </x:row>
    <x:row r="5">
      <x:c r="A5" s="4" t="inlineStr">
        <x:is>
          <x:t xml:space="preserve">Balance profile</x:t>
        </x:is>
      </x:c>
      <x:c r="B5" s="5" t="inlineStr">
        <x:is>
          <x:t xml:space="preserve">Most even launch-side tier ecology</x:t>
        </x:is>
      </x:c>
      <x:c r="C5" s="5" t="inlineStr">
        <x:is>
          <x:t xml:space="preserve">Balanced, but pushes more pairs upward</x:t>
        </x:is>
      </x:c>
      <x:c r="D5" s="5" t="inlineStr">
        <x:is>
          <x:t xml:space="preserve">Safer and cooler distribution</x:t>
        </x:is>
      </x:c>
      <x:c r="E5" s="5" t="inlineStr">
        <x:is>
          <x:t xml:space="preserve">Balanced truth with preserved magic</x:t>
        </x:is>
      </x:c>
    </x:row>
    <x:row r="6">
      <x:c r="A6" s="4" t="inlineStr">
        <x:is>
          <x:t xml:space="preserve">Top-end warmth</x:t>
        </x:is>
      </x:c>
      <x:c r="B6" s="5" t="inlineStr">
        <x:is>
          <x:t xml:space="preserve">Moderate</x:t>
        </x:is>
      </x:c>
      <x:c r="C6" s="5" t="inlineStr">
        <x:is>
          <x:t xml:space="preserve">High</x:t>
        </x:is>
      </x:c>
      <x:c r="D6" s="5" t="inlineStr">
        <x:is>
          <x:t xml:space="preserve">Moderate-low</x:t>
        </x:is>
      </x:c>
      <x:c r="E6" s="5" t="inlineStr">
        <x:is>
          <x:t xml:space="preserve">High</x:t>
        </x:is>
      </x:c>
    </x:row>
    <x:row r="7">
      <x:c r="A7" s="4" t="inlineStr">
        <x:is>
          <x:t xml:space="preserve">Safety strictness</x:t>
        </x:is>
      </x:c>
      <x:c r="B7" s="5" t="inlineStr">
        <x:is>
          <x:t xml:space="preserve">Moderate</x:t>
        </x:is>
      </x:c>
      <x:c r="C7" s="5" t="inlineStr">
        <x:is>
          <x:t xml:space="preserve">Moderate</x:t>
        </x:is>
      </x:c>
      <x:c r="D7" s="5" t="inlineStr">
        <x:is>
          <x:t xml:space="preserve">High</x:t>
        </x:is>
      </x:c>
      <x:c r="E7" s="5" t="inlineStr">
        <x:is>
          <x:t xml:space="preserve">High</x:t>
        </x:is>
      </x:c>
    </x:row>
    <x:row r="8">
      <x:c r="A8" s="4" t="inlineStr">
        <x:is>
          <x:t xml:space="preserve">Toxic lock-and-key suppression</x:t>
        </x:is>
      </x:c>
      <x:c r="B8" s="5" t="inlineStr">
        <x:is>
          <x:t xml:space="preserve">Moderate</x:t>
        </x:is>
      </x:c>
      <x:c r="C8" s="5" t="inlineStr">
        <x:is>
          <x:t xml:space="preserve">Light-moderate</x:t>
        </x:is>
      </x:c>
      <x:c r="D8" s="5" t="inlineStr">
        <x:is>
          <x:t xml:space="preserve">High</x:t>
        </x:is>
      </x:c>
      <x:c r="E8" s="5" t="inlineStr">
        <x:is>
          <x:t xml:space="preserve">High</x:t>
        </x:is>
      </x:c>
    </x:row>
    <x:row r="9">
      <x:c r="A9" s="4" t="inlineStr">
        <x:is>
          <x:t xml:space="preserve">Best use case</x:t>
        </x:is>
      </x:c>
      <x:c r="B9" s="5" t="inlineStr">
        <x:is>
          <x:t xml:space="preserve">If you want fairness first</x:t>
        </x:is>
      </x:c>
      <x:c r="C9" s="5" t="inlineStr">
        <x:is>
          <x:t xml:space="preserve">If you want more wow matches</x:t>
        </x:is>
      </x:c>
      <x:c r="D9" s="5" t="inlineStr">
        <x:is>
          <x:t xml:space="preserve">If protection matters more than excitement</x:t>
        </x:is>
      </x:c>
      <x:c r="E9" s="5" t="inlineStr">
        <x:is>
          <x:t xml:space="preserve">Best pre-user-data launch candidate</x:t>
        </x:is>
      </x:c>
    </x:row>
    <x:row r="10">
      <x:c r="A10" s="4" t="inlineStr">
        <x:is>
          <x:t xml:space="preserve">Main tradeoff</x:t>
        </x:is>
      </x:c>
      <x:c r="B10" s="5" t="inlineStr">
        <x:is>
          <x:t xml:space="preserve">Less exciting top band than hotter versions</x:t>
        </x:is>
      </x:c>
      <x:c r="C10" s="5" t="inlineStr">
        <x:is>
          <x:t xml:space="preserve">Lets some risky pairs run warmer</x:t>
        </x:is>
      </x:c>
      <x:c r="D10" s="5" t="inlineStr">
        <x:is>
          <x:t xml:space="preserve">Can feel colder at the top</x:t>
        </x:is>
      </x:c>
      <x:c r="E10" s="5" t="inlineStr">
        <x:is>
          <x:t xml:space="preserve">Still needs balanced live-user certification</x:t>
        </x:is>
      </x:c>
    </x:row>
    <x:row r="11">
      <x:c r="A11" s="4" t="inlineStr">
        <x:is>
          <x:t xml:space="preserve">Current posture</x:t>
        </x:is>
      </x:c>
      <x:c r="B11" s="5" t="inlineStr">
        <x:is>
          <x:t xml:space="preserve">Active</x:t>
        </x:is>
      </x:c>
      <x:c r="C11" s="5" t="inlineStr">
        <x:is>
          <x:t xml:space="preserve">Active</x:t>
        </x:is>
      </x:c>
      <x:c r="D11" s="5" t="inlineStr">
        <x:is>
          <x:t xml:space="preserve">Active</x:t>
        </x:is>
      </x:c>
      <x:c r="E11" s="11" t="inlineStr">
        <x:is>
          <x:t xml:space="preserve">Active / Leading</x:t>
        </x:is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1" customWidth="1"/>
    <x:col min="2" max="2" width="28" customWidth="1"/>
    <x:col min="3" max="3" width="26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24" customWidth="1"/>
    <x:col min="10" max="10" width="20" customWidth="1"/>
    <x:col min="11" max="11" width="16" customWidth="1"/>
    <x:col min="12" max="12" width="18" customWidth="1"/>
    <x:col min="13" max="13" width="39" customWidth="1"/>
  </x:cols>
  <x:sheetData>
    <x:row r="1" ht="24" customHeight="1">
      <x:c r="A1" s="9" t="inlineStr">
        <x:is>
          <x:t xml:space="preserve">Known Simulation Benchmarks (from completed runs)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</x:row>
    <x:row r="2"/>
    <x:row r="3" ht="22" customHeight="1">
      <x:c r="A3" s="3" t="inlineStr">
        <x:is>
          <x:t xml:space="preserve">Version Code</x:t>
        </x:is>
      </x:c>
      <x:c r="B3" s="3" t="inlineStr">
        <x:is>
          <x:t xml:space="preserve">Display Name</x:t>
        </x:is>
      </x:c>
      <x:c r="C3" s="3" t="inlineStr">
        <x:is>
          <x:t xml:space="preserve">Source Pack</x:t>
        </x:is>
      </x:c>
      <x:c r="D3" s="3" t="inlineStr">
        <x:is>
          <x:t xml:space="preserve">%350-500</x:t>
        </x:is>
      </x:c>
      <x:c r="E3" s="3" t="inlineStr">
        <x:is>
          <x:t xml:space="preserve">%501-600</x:t>
        </x:is>
      </x:c>
      <x:c r="F3" s="3" t="inlineStr">
        <x:is>
          <x:t xml:space="preserve">%601-700</x:t>
        </x:is>
      </x:c>
      <x:c r="G3" s="3" t="inlineStr">
        <x:is>
          <x:t xml:space="preserve">%701-750</x:t>
        </x:is>
      </x:c>
      <x:c r="H3" s="3" t="inlineStr">
        <x:is>
          <x:t xml:space="preserve">%751-850</x:t>
        </x:is>
      </x:c>
      <x:c r="I3" s="3" t="inlineStr">
        <x:is>
          <x:t xml:space="preserve">TrapC Green×Green Mean</x:t>
        </x:is>
      </x:c>
      <x:c r="J3" s="3" t="inlineStr">
        <x:is>
          <x:t xml:space="preserve">TrapC Adv×Adv Mean</x:t>
        </x:is>
      </x:c>
      <x:c r="K3" s="3" t="inlineStr">
        <x:is>
          <x:t xml:space="preserve">Separation Gap</x:t>
        </x:is>
      </x:c>
      <x:c r="L3" s="3" t="inlineStr">
        <x:is>
          <x:t xml:space="preserve">Current Use</x:t>
        </x:is>
      </x:c>
      <x:c r="M3" s="3" t="inlineStr">
        <x:is>
          <x:t xml:space="preserve">Comment</x:t>
        </x:is>
      </x:c>
    </x:row>
    <x:row r="4">
      <x:c r="A4" s="5" t="inlineStr">
        <x:is>
          <x:t xml:space="preserve">RS-QV4-LIVE</x:t>
        </x:is>
      </x:c>
      <x:c r="B4" s="5" t="inlineStr">
        <x:is>
          <x:t xml:space="preserve">Current workbook / v4 live</x:t>
        </x:is>
      </x:c>
      <x:c r="C4" s="5" t="inlineStr">
        <x:is>
          <x:t xml:space="preserve">Actual workbook rerun</x:t>
        </x:is>
      </x:c>
      <x:c r="D4" s="10" t="n">
        <x:v>0</x:v>
      </x:c>
      <x:c r="E4" s="10" t="n">
        <x:v>0</x:v>
      </x:c>
      <x:c r="F4" s="10" t="n">
        <x:v>0.446</x:v>
      </x:c>
      <x:c r="G4" s="10" t="n">
        <x:v>0.543</x:v>
      </x:c>
      <x:c r="H4" s="10" t="n">
        <x:v>0.011</x:v>
      </x:c>
      <x:c r="I4" s="5" t="n"/>
      <x:c r="J4" s="5" t="n"/>
      <x:c r="K4" s="5" t="n"/>
      <x:c r="L4" s="5" t="inlineStr">
        <x:is>
          <x:t xml:space="preserve">Reference</x:t>
        </x:is>
      </x:c>
      <x:c r="M4" s="5" t="inlineStr">
        <x:is>
          <x:t xml:space="preserve">Too compressed; almost no lower tiers</x:t>
        </x:is>
      </x:c>
    </x:row>
    <x:row r="5">
      <x:c r="A5" s="5" t="inlineStr">
        <x:is>
          <x:t xml:space="preserve">RS-QV5-A01</x:t>
        </x:is>
      </x:c>
      <x:c r="B5" s="5" t="inlineStr">
        <x:is>
          <x:t xml:space="preserve">Run14A Bridge Balanced</x:t>
        </x:is>
      </x:c>
      <x:c r="C5" s="5" t="inlineStr">
        <x:is>
          <x:t xml:space="preserve">Run14 actual workbook</x:t>
        </x:is>
      </x:c>
      <x:c r="D5" s="10" t="n">
        <x:v>0.033</x:v>
      </x:c>
      <x:c r="E5" s="10" t="n">
        <x:v>0.186</x:v>
      </x:c>
      <x:c r="F5" s="10" t="n">
        <x:v>0.51</x:v>
      </x:c>
      <x:c r="G5" s="10" t="n">
        <x:v>0.175</x:v>
      </x:c>
      <x:c r="H5" s="10" t="n">
        <x:v>0.096</x:v>
      </x:c>
      <x:c r="I5" s="13" t="n">
        <x:v>781.4</x:v>
      </x:c>
      <x:c r="J5" s="13" t="n">
        <x:v>579.2</x:v>
      </x:c>
      <x:c r="K5" s="13" t="n">
        <x:v>202.2</x:v>
      </x:c>
      <x:c r="L5" s="5" t="inlineStr">
        <x:is>
          <x:t xml:space="preserve">Active</x:t>
        </x:is>
      </x:c>
      <x:c r="M5" s="5" t="inlineStr">
        <x:is>
          <x:t xml:space="preserve">Cleaner pure balance</x:t>
        </x:is>
      </x:c>
    </x:row>
    <x:row r="6">
      <x:c r="A6" s="5" t="inlineStr">
        <x:is>
          <x:t xml:space="preserve">RS-QV5-A02</x:t>
        </x:is>
      </x:c>
      <x:c r="B6" s="5" t="inlineStr">
        <x:is>
          <x:t xml:space="preserve">Run14B Bridge Hotter</x:t>
        </x:is>
      </x:c>
      <x:c r="C6" s="5" t="inlineStr">
        <x:is>
          <x:t xml:space="preserve">Run14 actual workbook</x:t>
        </x:is>
      </x:c>
      <x:c r="D6" s="10" t="n">
        <x:v>0.031</x:v>
      </x:c>
      <x:c r="E6" s="10" t="n">
        <x:v>0.181</x:v>
      </x:c>
      <x:c r="F6" s="10" t="n">
        <x:v>0.512</x:v>
      </x:c>
      <x:c r="G6" s="10" t="n">
        <x:v>0.169</x:v>
      </x:c>
      <x:c r="H6" s="10" t="n">
        <x:v>0.107</x:v>
      </x:c>
      <x:c r="I6" s="13" t="n">
        <x:v>786.1</x:v>
      </x:c>
      <x:c r="J6" s="13" t="n">
        <x:v>580.8</x:v>
      </x:c>
      <x:c r="K6" s="13" t="n">
        <x:v>205.3</x:v>
      </x:c>
      <x:c r="L6" s="5" t="inlineStr">
        <x:is>
          <x:t xml:space="preserve">Active</x:t>
        </x:is>
      </x:c>
      <x:c r="M6" s="5" t="inlineStr">
        <x:is>
          <x:t xml:space="preserve">Hotter top band</x:t>
        </x:is>
      </x:c>
    </x:row>
    <x:row r="7">
      <x:c r="A7" s="5" t="inlineStr">
        <x:is>
          <x:t xml:space="preserve">RS-QV5-B01</x:t>
        </x:is>
      </x:c>
      <x:c r="B7" s="5" t="inlineStr">
        <x:is>
          <x:t xml:space="preserve">Guarded Bridge Balanced</x:t>
        </x:is>
      </x:c>
      <x:c r="C7" s="5" t="inlineStr">
        <x:is>
          <x:t xml:space="preserve">Run15 launch calibration</x:t>
        </x:is>
      </x:c>
      <x:c r="D7" s="10" t="n">
        <x:v>0.035</x:v>
      </x:c>
      <x:c r="E7" s="10" t="n">
        <x:v>0.209</x:v>
      </x:c>
      <x:c r="F7" s="10" t="n">
        <x:v>0.507</x:v>
      </x:c>
      <x:c r="G7" s="10" t="n">
        <x:v>0.158</x:v>
      </x:c>
      <x:c r="H7" s="10" t="n">
        <x:v>0.091</x:v>
      </x:c>
      <x:c r="I7" s="13" t="n">
        <x:v>781.4</x:v>
      </x:c>
      <x:c r="J7" s="13" t="n">
        <x:v>627.1</x:v>
      </x:c>
      <x:c r="K7" s="13" t="n">
        <x:v>154.3</x:v>
      </x:c>
      <x:c r="L7" s="5" t="inlineStr">
        <x:is>
          <x:t xml:space="preserve">Active</x:t>
        </x:is>
      </x:c>
      <x:c r="M7" s="5" t="inlineStr">
        <x:is>
          <x:t xml:space="preserve">Safer and cooler</x:t>
        </x:is>
      </x:c>
    </x:row>
    <x:row r="8">
      <x:c r="A8" s="5" t="inlineStr">
        <x:is>
          <x:t xml:space="preserve">RS-QV5-B02</x:t>
        </x:is>
      </x:c>
      <x:c r="B8" s="5" t="inlineStr">
        <x:is>
          <x:t xml:space="preserve">Guarded Bridge Hotter</x:t>
        </x:is>
      </x:c>
      <x:c r="C8" s="5" t="inlineStr">
        <x:is>
          <x:t xml:space="preserve">Run15 launch calibration</x:t>
        </x:is>
      </x:c>
      <x:c r="D8" s="10" t="n">
        <x:v>0.034</x:v>
      </x:c>
      <x:c r="E8" s="10" t="n">
        <x:v>0.212</x:v>
      </x:c>
      <x:c r="F8" s="10" t="n">
        <x:v>0.505</x:v>
      </x:c>
      <x:c r="G8" s="10" t="n">
        <x:v>0.151</x:v>
      </x:c>
      <x:c r="H8" s="10" t="n">
        <x:v>0.098</x:v>
      </x:c>
      <x:c r="I8" s="13" t="n">
        <x:v>785.9</x:v>
      </x:c>
      <x:c r="J8" s="13" t="n">
        <x:v>623.5</x:v>
      </x:c>
      <x:c r="K8" s="13" t="n">
        <x:v>162.4</x:v>
      </x:c>
      <x:c r="L8" s="11" t="inlineStr">
        <x:is>
          <x:t xml:space="preserve">Active / Leading</x:t>
        </x:is>
      </x:c>
      <x:c r="M8" s="5" t="inlineStr">
        <x:is>
          <x:t xml:space="preserve">Best pre-signup compromise</x:t>
        </x:is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0" customWidth="1"/>
    <x:col min="2" max="2" width="25" customWidth="1"/>
    <x:col min="3" max="3" width="11" customWidth="1"/>
    <x:col min="4" max="4" width="7" customWidth="1"/>
    <x:col min="5" max="5" width="17" customWidth="1"/>
    <x:col min="6" max="6" width="12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9" customWidth="1"/>
    <x:col min="14" max="14" width="17" customWidth="1"/>
    <x:col min="15" max="15" width="19" customWidth="1"/>
    <x:col min="16" max="16" width="22" customWidth="1"/>
    <x:col min="17" max="17" width="13" customWidth="1"/>
    <x:col min="18" max="18" width="18" customWidth="1"/>
    <x:col min="19" max="19" width="18" customWidth="1"/>
    <x:col min="20" max="20" width="60" customWidth="1"/>
    <x:col min="21" max="21" width="60" customWidth="1"/>
    <x:col min="22" max="22" width="60" customWidth="1"/>
    <x:col min="23" max="23" width="60" customWidth="1"/>
    <x:col min="24" max="24" width="7" customWidth="1"/>
  </x:cols>
  <x:sheetData>
    <x:row r="1" ht="24" customHeight="1">
      <x:c r="A1" s="9" t="inlineStr">
        <x:is>
          <x:t xml:space="preserve">Future User Data Input (one current row per active version)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  <x:c r="Q1" s="2" t="n"/>
      <x:c r="R1" s="2" t="n"/>
      <x:c r="S1" s="2" t="n"/>
      <x:c r="T1" s="2" t="n"/>
      <x:c r="U1" s="2" t="n"/>
      <x:c r="V1" s="2" t="n"/>
      <x:c r="W1" s="2" t="n"/>
      <x:c r="X1" s="2" t="n"/>
    </x:row>
    <x:row r="2"/>
    <x:row r="3" ht="22" customHeight="1">
      <x:c r="A3" s="3" t="inlineStr">
        <x:is>
          <x:t xml:space="preserve">Version Code</x:t>
        </x:is>
      </x:c>
      <x:c r="B3" s="3" t="inlineStr">
        <x:is>
          <x:t xml:space="preserve">Display Name</x:t>
        </x:is>
      </x:c>
      <x:c r="C3" s="3" t="inlineStr">
        <x:is>
          <x:t xml:space="preserve">Cohort ID</x:t>
        </x:is>
      </x:c>
      <x:c r="D3" s="3" t="inlineStr">
        <x:is>
          <x:t xml:space="preserve">Users</x:t>
        </x:is>
      </x:c>
      <x:c r="E3" s="3" t="inlineStr">
        <x:is>
          <x:t xml:space="preserve">Pairs Evaluated</x:t>
        </x:is>
      </x:c>
      <x:c r="F3" s="3" t="inlineStr">
        <x:is>
          <x:t xml:space="preserve">Eval Start</x:t>
        </x:is>
      </x:c>
      <x:c r="G3" s="3" t="inlineStr">
        <x:is>
          <x:t xml:space="preserve">Eval End</x:t>
        </x:is>
      </x:c>
      <x:c r="H3" s="3" t="inlineStr">
        <x:is>
          <x:t xml:space="preserve">%350-500</x:t>
        </x:is>
      </x:c>
      <x:c r="I3" s="3" t="inlineStr">
        <x:is>
          <x:t xml:space="preserve">%501-600</x:t>
        </x:is>
      </x:c>
      <x:c r="J3" s="3" t="inlineStr">
        <x:is>
          <x:t xml:space="preserve">%601-700</x:t>
        </x:is>
      </x:c>
      <x:c r="K3" s="3" t="inlineStr">
        <x:is>
          <x:t xml:space="preserve">%701-750</x:t>
        </x:is>
      </x:c>
      <x:c r="L3" s="3" t="inlineStr">
        <x:is>
          <x:t xml:space="preserve">%751-850</x:t>
        </x:is>
      </x:c>
      <x:c r="M3" s="3" t="inlineStr">
        <x:is>
          <x:t xml:space="preserve">30d Progression %</x:t>
        </x:is>
      </x:c>
      <x:c r="N3" s="3" t="inlineStr">
        <x:is>
          <x:t xml:space="preserve">90d Stability %</x:t>
        </x:is>
      </x:c>
      <x:c r="O3" s="3" t="inlineStr">
        <x:is>
          <x:t xml:space="preserve">Avg Safety (1-10)</x:t>
        </x:is>
      </x:c>
      <x:c r="P3" s="3" t="inlineStr">
        <x:is>
          <x:t xml:space="preserve">Avg Chemistry (1-10)</x:t>
        </x:is>
      </x:c>
      <x:c r="Q3" s="3" t="inlineStr">
        <x:is>
          <x:t xml:space="preserve">Harm Flag %</x:t>
        </x:is>
      </x:c>
      <x:c r="R3" s="3" t="inlineStr">
        <x:is>
          <x:t xml:space="preserve">False Positive %</x:t>
        </x:is>
      </x:c>
      <x:c r="S3" s="3" t="inlineStr">
        <x:is>
          <x:t xml:space="preserve">False Negative %</x:t>
        </x:is>
      </x:c>
      <x:c r="T3" s="3" t="inlineStr">
        <x:is>
          <x:t xml:space="preserve">Tier Fit Score</x:t>
        </x:is>
      </x:c>
      <x:c r="U3" s="3" t="inlineStr">
        <x:is>
          <x:t xml:space="preserve">Outcome Fit Score</x:t>
        </x:is>
      </x:c>
      <x:c r="V3" s="3" t="inlineStr">
        <x:is>
          <x:t xml:space="preserve">Risk Control Score</x:t>
        </x:is>
      </x:c>
      <x:c r="W3" s="3" t="inlineStr">
        <x:is>
          <x:t xml:space="preserve">Composite Score</x:t>
        </x:is>
      </x:c>
      <x:c r="X3" s="3" t="inlineStr">
        <x:is>
          <x:t xml:space="preserve">Notes</x:t>
        </x:is>
      </x:c>
    </x:row>
    <x:row r="4">
      <x:c r="A4" s="14" t="inlineStr">
        <x:is>
          <x:t xml:space="preserve">RS-QV5-A01</x:t>
        </x:is>
      </x:c>
      <x:c r="B4" s="15" t="inlineStr">
        <x:is>
          <x:t xml:space="preserve">Run14A Bridge Balanced</x:t>
        </x:is>
      </x:c>
      <x:c r="C4" s="5" t="n"/>
      <x:c r="D4" s="16" t="n"/>
      <x:c r="E4" s="16" t="n"/>
      <x:c r="F4" s="16" t="n"/>
      <x:c r="G4" s="16" t="n"/>
      <x:c r="H4" s="17" t="n"/>
      <x:c r="I4" s="17" t="n"/>
      <x:c r="J4" s="17" t="n"/>
      <x:c r="K4" s="17" t="n"/>
      <x:c r="L4" s="17" t="n"/>
      <x:c r="M4" s="17" t="n"/>
      <x:c r="N4" s="17" t="n"/>
      <x:c r="O4" s="18" t="n"/>
      <x:c r="P4" s="18" t="n"/>
      <x:c r="Q4" s="17" t="n"/>
      <x:c r="R4" s="17" t="n"/>
      <x:c r="S4" s="17" t="n"/>
      <x:c r="T4" s="17">
        <x:f>IF(OR(H4="",I4="",J4="",K4="",L4=""),"",AVERAGE(MAX(0,1-ABS(H4-Controls_Targets!$D$4)/Controls_Targets!$E$4),MAX(0,1-ABS(I4-Controls_Targets!$D$5)/Controls_Targets!$E$5),MAX(0,1-ABS(J4-Controls_Targets!$D$6)/Controls_Targets!$E$6),MAX(0,1-ABS(K4-Controls_Targets!$D$7)/Controls_Targets!$E$7),MAX(0,1-ABS(L4-Controls_Targets!$D$8)/Controls_Targets!$E$8)))</x:f>
      </x:c>
      <x:c r="U4" s="17">
        <x:f>IF(OR(M4="",N4="",O4="",P4=""),"",AVERAGE(MIN(1,M4/Controls_Targets!$B$12),MIN(1,N4/Controls_Targets!$B$13),MIN(1,O4/Controls_Targets!$B$14),MIN(1,P4/Controls_Targets!$B$15)))</x:f>
      </x:c>
      <x:c r="V4" s="17">
        <x:f>IF(OR(Q4="",R4="",S4=""),"",AVERAGE(MAX(0,1-Q4/Controls_Targets!$B$16),MAX(0,1-R4/Controls_Targets!$B$17),MAX(0,1-S4/Controls_Targets!$B$18)))</x:f>
      </x:c>
      <x:c r="W4" s="17">
        <x:f>IF(OR(T4="",U4="",V4=""),"",T4*Controls_Targets!$B$23+U4*Controls_Targets!$B$24+V4*Controls_Targets!$B$25)</x:f>
      </x:c>
      <x:c r="X4" s="5" t="n"/>
    </x:row>
    <x:row r="5">
      <x:c r="A5" s="14" t="inlineStr">
        <x:is>
          <x:t xml:space="preserve">RS-QV5-A02</x:t>
        </x:is>
      </x:c>
      <x:c r="B5" s="15" t="inlineStr">
        <x:is>
          <x:t xml:space="preserve">Run14B Bridge Hotter</x:t>
        </x:is>
      </x:c>
      <x:c r="C5" s="5" t="n"/>
      <x:c r="D5" s="16" t="n"/>
      <x:c r="E5" s="16" t="n"/>
      <x:c r="F5" s="16" t="n"/>
      <x:c r="G5" s="16" t="n"/>
      <x:c r="H5" s="17" t="n"/>
      <x:c r="I5" s="17" t="n"/>
      <x:c r="J5" s="17" t="n"/>
      <x:c r="K5" s="17" t="n"/>
      <x:c r="L5" s="17" t="n"/>
      <x:c r="M5" s="17" t="n"/>
      <x:c r="N5" s="17" t="n"/>
      <x:c r="O5" s="18" t="n"/>
      <x:c r="P5" s="18" t="n"/>
      <x:c r="Q5" s="17" t="n"/>
      <x:c r="R5" s="17" t="n"/>
      <x:c r="S5" s="17" t="n"/>
      <x:c r="T5" s="17">
        <x:f>IF(OR(H5="",I5="",J5="",K5="",L5=""),"",AVERAGE(MAX(0,1-ABS(H5-Controls_Targets!$D$4)/Controls_Targets!$E$4),MAX(0,1-ABS(I5-Controls_Targets!$D$5)/Controls_Targets!$E$5),MAX(0,1-ABS(J5-Controls_Targets!$D$6)/Controls_Targets!$E$6),MAX(0,1-ABS(K5-Controls_Targets!$D$7)/Controls_Targets!$E$7),MAX(0,1-ABS(L5-Controls_Targets!$D$8)/Controls_Targets!$E$8)))</x:f>
      </x:c>
      <x:c r="U5" s="17">
        <x:f>IF(OR(M5="",N5="",O5="",P5=""),"",AVERAGE(MIN(1,M5/Controls_Targets!$B$12),MIN(1,N5/Controls_Targets!$B$13),MIN(1,O5/Controls_Targets!$B$14),MIN(1,P5/Controls_Targets!$B$15)))</x:f>
      </x:c>
      <x:c r="V5" s="17">
        <x:f>IF(OR(Q5="",R5="",S5=""),"",AVERAGE(MAX(0,1-Q5/Controls_Targets!$B$16),MAX(0,1-R5/Controls_Targets!$B$17),MAX(0,1-S5/Controls_Targets!$B$18)))</x:f>
      </x:c>
      <x:c r="W5" s="17">
        <x:f>IF(OR(T5="",U5="",V5=""),"",T5*Controls_Targets!$B$23+U5*Controls_Targets!$B$24+V5*Controls_Targets!$B$25)</x:f>
      </x:c>
      <x:c r="X5" s="5" t="n"/>
    </x:row>
    <x:row r="6">
      <x:c r="A6" s="14" t="inlineStr">
        <x:is>
          <x:t xml:space="preserve">RS-QV5-B01</x:t>
        </x:is>
      </x:c>
      <x:c r="B6" s="15" t="inlineStr">
        <x:is>
          <x:t xml:space="preserve">Guarded Bridge Balanced</x:t>
        </x:is>
      </x:c>
      <x:c r="C6" s="5" t="n"/>
      <x:c r="D6" s="16" t="n"/>
      <x:c r="E6" s="16" t="n"/>
      <x:c r="F6" s="16" t="n"/>
      <x:c r="G6" s="16" t="n"/>
      <x:c r="H6" s="17" t="n"/>
      <x:c r="I6" s="17" t="n"/>
      <x:c r="J6" s="17" t="n"/>
      <x:c r="K6" s="17" t="n"/>
      <x:c r="L6" s="17" t="n"/>
      <x:c r="M6" s="17" t="n"/>
      <x:c r="N6" s="17" t="n"/>
      <x:c r="O6" s="18" t="n"/>
      <x:c r="P6" s="18" t="n"/>
      <x:c r="Q6" s="17" t="n"/>
      <x:c r="R6" s="17" t="n"/>
      <x:c r="S6" s="17" t="n"/>
      <x:c r="T6" s="17">
        <x:f>IF(OR(H6="",I6="",J6="",K6="",L6=""),"",AVERAGE(MAX(0,1-ABS(H6-Controls_Targets!$D$4)/Controls_Targets!$E$4),MAX(0,1-ABS(I6-Controls_Targets!$D$5)/Controls_Targets!$E$5),MAX(0,1-ABS(J6-Controls_Targets!$D$6)/Controls_Targets!$E$6),MAX(0,1-ABS(K6-Controls_Targets!$D$7)/Controls_Targets!$E$7),MAX(0,1-ABS(L6-Controls_Targets!$D$8)/Controls_Targets!$E$8)))</x:f>
      </x:c>
      <x:c r="U6" s="17">
        <x:f>IF(OR(M6="",N6="",O6="",P6=""),"",AVERAGE(MIN(1,M6/Controls_Targets!$B$12),MIN(1,N6/Controls_Targets!$B$13),MIN(1,O6/Controls_Targets!$B$14),MIN(1,P6/Controls_Targets!$B$15)))</x:f>
      </x:c>
      <x:c r="V6" s="17">
        <x:f>IF(OR(Q6="",R6="",S6=""),"",AVERAGE(MAX(0,1-Q6/Controls_Targets!$B$16),MAX(0,1-R6/Controls_Targets!$B$17),MAX(0,1-S6/Controls_Targets!$B$18)))</x:f>
      </x:c>
      <x:c r="W6" s="17">
        <x:f>IF(OR(T6="",U6="",V6=""),"",T6*Controls_Targets!$B$23+U6*Controls_Targets!$B$24+V6*Controls_Targets!$B$25)</x:f>
      </x:c>
      <x:c r="X6" s="5" t="n"/>
    </x:row>
    <x:row r="7">
      <x:c r="A7" s="14" t="inlineStr">
        <x:is>
          <x:t xml:space="preserve">RS-QV5-B02</x:t>
        </x:is>
      </x:c>
      <x:c r="B7" s="15" t="inlineStr">
        <x:is>
          <x:t xml:space="preserve">Guarded Bridge Hotter</x:t>
        </x:is>
      </x:c>
      <x:c r="C7" s="5" t="n"/>
      <x:c r="D7" s="16" t="n"/>
      <x:c r="E7" s="16" t="n"/>
      <x:c r="F7" s="16" t="n"/>
      <x:c r="G7" s="16" t="n"/>
      <x:c r="H7" s="17" t="n"/>
      <x:c r="I7" s="17" t="n"/>
      <x:c r="J7" s="17" t="n"/>
      <x:c r="K7" s="17" t="n"/>
      <x:c r="L7" s="17" t="n"/>
      <x:c r="M7" s="17" t="n"/>
      <x:c r="N7" s="17" t="n"/>
      <x:c r="O7" s="18" t="n"/>
      <x:c r="P7" s="18" t="n"/>
      <x:c r="Q7" s="17" t="n"/>
      <x:c r="R7" s="17" t="n"/>
      <x:c r="S7" s="17" t="n"/>
      <x:c r="T7" s="17">
        <x:f>IF(OR(H7="",I7="",J7="",K7="",L7=""),"",AVERAGE(MAX(0,1-ABS(H7-Controls_Targets!$D$4)/Controls_Targets!$E$4),MAX(0,1-ABS(I7-Controls_Targets!$D$5)/Controls_Targets!$E$5),MAX(0,1-ABS(J7-Controls_Targets!$D$6)/Controls_Targets!$E$6),MAX(0,1-ABS(K7-Controls_Targets!$D$7)/Controls_Targets!$E$7),MAX(0,1-ABS(L7-Controls_Targets!$D$8)/Controls_Targets!$E$8)))</x:f>
      </x:c>
      <x:c r="U7" s="17">
        <x:f>IF(OR(M7="",N7="",O7="",P7=""),"",AVERAGE(MIN(1,M7/Controls_Targets!$B$12),MIN(1,N7/Controls_Targets!$B$13),MIN(1,O7/Controls_Targets!$B$14),MIN(1,P7/Controls_Targets!$B$15)))</x:f>
      </x:c>
      <x:c r="V7" s="17">
        <x:f>IF(OR(Q7="",R7="",S7=""),"",AVERAGE(MAX(0,1-Q7/Controls_Targets!$B$16),MAX(0,1-R7/Controls_Targets!$B$17),MAX(0,1-S7/Controls_Targets!$B$18)))</x:f>
      </x:c>
      <x:c r="W7" s="17">
        <x:f>IF(OR(T7="",U7="",V7=""),"",T7*Controls_Targets!$B$23+U7*Controls_Targets!$B$24+V7*Controls_Targets!$B$25)</x:f>
      </x:c>
      <x:c r="X7" s="5" t="n"/>
    </x:row>
    <x:row r="8"/>
    <x:row r="9">
      <x:c r="W9" s="19" t="inlineStr">
        <x:is>
          <x:t xml:space="preserve">Tip: paste one completed cohort row per version, then duplicate rows below for later cohorts if needed.</x:t>
        </x:is>
      </x:c>
    </x:row>
    <x:row r="10"/>
  </x:sheetData>
  <x:mergeCells>
    <x:mergeCell ref="W9:X10"/>
    <x:mergeCell ref="A1:X1"/>
  </x:mergeCells>
  <x:pageMargins left="0.7" right="0.7" top="0.75" bottom="0.75" header="0.3" footer="0.3"/>
  <x:legacyDrawing xmlns:r="http://schemas.openxmlformats.org/officeDocument/2006/relationships" r:id="R7e726c070779447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60" customWidth="1"/>
    <x:col min="4" max="4" width="60" customWidth="1"/>
    <x:col min="5" max="5" width="60" customWidth="1"/>
    <x:col min="6" max="6" width="60" customWidth="1"/>
    <x:col min="7" max="7" width="60" customWidth="1"/>
    <x:col min="8" max="8" width="60" customWidth="1"/>
    <x:col min="9" max="9" width="60" customWidth="1"/>
    <x:col min="10" max="10" width="60" customWidth="1"/>
  </x:cols>
  <x:sheetData>
    <x:row r="1" ht="24" customHeight="1">
      <x:c r="A1" s="9" t="inlineStr">
        <x:is>
          <x:t xml:space="preserve">Live Version Scorecard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/>
    <x:row r="3" ht="22" customHeight="1">
      <x:c r="A3" s="3" t="inlineStr">
        <x:is>
          <x:t xml:space="preserve">Version Code</x:t>
        </x:is>
      </x:c>
      <x:c r="B3" s="3" t="inlineStr">
        <x:is>
          <x:t xml:space="preserve">Display Name</x:t>
        </x:is>
      </x:c>
      <x:c r="C3" s="3" t="inlineStr">
        <x:is>
          <x:t xml:space="preserve">Cohort ID</x:t>
        </x:is>
      </x:c>
      <x:c r="D3" s="3" t="inlineStr">
        <x:is>
          <x:t xml:space="preserve">Users</x:t>
        </x:is>
      </x:c>
      <x:c r="E3" s="3" t="inlineStr">
        <x:is>
          <x:t xml:space="preserve">Composite Score</x:t>
        </x:is>
      </x:c>
      <x:c r="F3" s="3" t="inlineStr">
        <x:is>
          <x:t xml:space="preserve">Recommendation Bucket</x:t>
        </x:is>
      </x:c>
      <x:c r="G3" s="3" t="inlineStr">
        <x:is>
          <x:t xml:space="preserve">Tier Fit</x:t>
        </x:is>
      </x:c>
      <x:c r="H3" s="3" t="inlineStr">
        <x:is>
          <x:t xml:space="preserve">Outcome Fit</x:t>
        </x:is>
      </x:c>
      <x:c r="I3" s="3" t="inlineStr">
        <x:is>
          <x:t xml:space="preserve">Risk Control</x:t>
        </x:is>
      </x:c>
      <x:c r="J3" s="3" t="inlineStr">
        <x:is>
          <x:t xml:space="preserve">Notes</x:t>
        </x:is>
      </x:c>
    </x:row>
    <x:row r="4">
      <x:c r="A4" s="16" t="str">
        <x:f>Future_User_Data_Input!A4</x:f>
        <x:v>RS-QV5-A01</x:v>
      </x:c>
      <x:c r="B4" s="5" t="str">
        <x:f>Future_User_Data_Input!B4</x:f>
        <x:v>Run14A Bridge Balanced</x:v>
      </x:c>
      <x:c r="C4" s="16">
        <x:f>IF(Future_User_Data_Input!C4="","",Future_User_Data_Input!C4)</x:f>
      </x:c>
      <x:c r="D4" s="16">
        <x:f>IF(Future_User_Data_Input!D4="","",Future_User_Data_Input!D4)</x:f>
      </x:c>
      <x:c r="E4" s="17">
        <x:f>IF(Future_User_Data_Input!W4="","",Future_User_Data_Input!W4)</x:f>
      </x:c>
      <x:c r="F4" s="5">
        <x:f>IF(E4="","",IF(E4&gt;=0.85,"Promote / lock candidate",IF(E4&gt;=0.75,"Keep in active contention",IF(E4&gt;=0.65,"Review and refine","Downgrade / archive"))))</x:f>
      </x:c>
      <x:c r="G4" s="17">
        <x:f>IF(Future_User_Data_Input!T4="","",Future_User_Data_Input!T4)</x:f>
      </x:c>
      <x:c r="H4" s="17">
        <x:f>IF(Future_User_Data_Input!U4="","",Future_User_Data_Input!U4)</x:f>
      </x:c>
      <x:c r="I4" s="17">
        <x:f>IF(Future_User_Data_Input!V4="","",Future_User_Data_Input!V4)</x:f>
      </x:c>
      <x:c r="J4" s="5">
        <x:f>IF(Future_User_Data_Input!X4="","",Future_User_Data_Input!X4)</x:f>
      </x:c>
    </x:row>
    <x:row r="5">
      <x:c r="A5" s="16" t="str">
        <x:f>Future_User_Data_Input!A5</x:f>
        <x:v>RS-QV5-A02</x:v>
      </x:c>
      <x:c r="B5" s="5" t="str">
        <x:f>Future_User_Data_Input!B5</x:f>
        <x:v>Run14B Bridge Hotter</x:v>
      </x:c>
      <x:c r="C5" s="16">
        <x:f>IF(Future_User_Data_Input!C5="","",Future_User_Data_Input!C5)</x:f>
      </x:c>
      <x:c r="D5" s="16">
        <x:f>IF(Future_User_Data_Input!D5="","",Future_User_Data_Input!D5)</x:f>
      </x:c>
      <x:c r="E5" s="17">
        <x:f>IF(Future_User_Data_Input!W5="","",Future_User_Data_Input!W5)</x:f>
      </x:c>
      <x:c r="F5" s="5">
        <x:f>IF(E5="","",IF(E5&gt;=0.85,"Promote / lock candidate",IF(E5&gt;=0.75,"Keep in active contention",IF(E5&gt;=0.65,"Review and refine","Downgrade / archive"))))</x:f>
      </x:c>
      <x:c r="G5" s="17">
        <x:f>IF(Future_User_Data_Input!T5="","",Future_User_Data_Input!T5)</x:f>
      </x:c>
      <x:c r="H5" s="17">
        <x:f>IF(Future_User_Data_Input!U5="","",Future_User_Data_Input!U5)</x:f>
      </x:c>
      <x:c r="I5" s="17">
        <x:f>IF(Future_User_Data_Input!V5="","",Future_User_Data_Input!V5)</x:f>
      </x:c>
      <x:c r="J5" s="5">
        <x:f>IF(Future_User_Data_Input!X5="","",Future_User_Data_Input!X5)</x:f>
      </x:c>
    </x:row>
    <x:row r="6">
      <x:c r="A6" s="16" t="str">
        <x:f>Future_User_Data_Input!A6</x:f>
        <x:v>RS-QV5-B01</x:v>
      </x:c>
      <x:c r="B6" s="5" t="str">
        <x:f>Future_User_Data_Input!B6</x:f>
        <x:v>Guarded Bridge Balanced</x:v>
      </x:c>
      <x:c r="C6" s="16">
        <x:f>IF(Future_User_Data_Input!C6="","",Future_User_Data_Input!C6)</x:f>
      </x:c>
      <x:c r="D6" s="16">
        <x:f>IF(Future_User_Data_Input!D6="","",Future_User_Data_Input!D6)</x:f>
      </x:c>
      <x:c r="E6" s="17">
        <x:f>IF(Future_User_Data_Input!W6="","",Future_User_Data_Input!W6)</x:f>
      </x:c>
      <x:c r="F6" s="5">
        <x:f>IF(E6="","",IF(E6&gt;=0.85,"Promote / lock candidate",IF(E6&gt;=0.75,"Keep in active contention",IF(E6&gt;=0.65,"Review and refine","Downgrade / archive"))))</x:f>
      </x:c>
      <x:c r="G6" s="17">
        <x:f>IF(Future_User_Data_Input!T6="","",Future_User_Data_Input!T6)</x:f>
      </x:c>
      <x:c r="H6" s="17">
        <x:f>IF(Future_User_Data_Input!U6="","",Future_User_Data_Input!U6)</x:f>
      </x:c>
      <x:c r="I6" s="17">
        <x:f>IF(Future_User_Data_Input!V6="","",Future_User_Data_Input!V6)</x:f>
      </x:c>
      <x:c r="J6" s="5">
        <x:f>IF(Future_User_Data_Input!X6="","",Future_User_Data_Input!X6)</x:f>
      </x:c>
    </x:row>
    <x:row r="7">
      <x:c r="A7" s="16" t="str">
        <x:f>Future_User_Data_Input!A7</x:f>
        <x:v>RS-QV5-B02</x:v>
      </x:c>
      <x:c r="B7" s="5" t="str">
        <x:f>Future_User_Data_Input!B7</x:f>
        <x:v>Guarded Bridge Hotter</x:v>
      </x:c>
      <x:c r="C7" s="16">
        <x:f>IF(Future_User_Data_Input!C7="","",Future_User_Data_Input!C7)</x:f>
      </x:c>
      <x:c r="D7" s="16">
        <x:f>IF(Future_User_Data_Input!D7="","",Future_User_Data_Input!D7)</x:f>
      </x:c>
      <x:c r="E7" s="17">
        <x:f>IF(Future_User_Data_Input!W7="","",Future_User_Data_Input!W7)</x:f>
      </x:c>
      <x:c r="F7" s="5">
        <x:f>IF(E7="","",IF(E7&gt;=0.85,"Promote / lock candidate",IF(E7&gt;=0.75,"Keep in active contention",IF(E7&gt;=0.65,"Review and refine","Downgrade / archive"))))</x:f>
      </x:c>
      <x:c r="G7" s="17">
        <x:f>IF(Future_User_Data_Input!T7="","",Future_User_Data_Input!T7)</x:f>
      </x:c>
      <x:c r="H7" s="17">
        <x:f>IF(Future_User_Data_Input!U7="","",Future_User_Data_Input!U7)</x:f>
      </x:c>
      <x:c r="I7" s="17">
        <x:f>IF(Future_User_Data_Input!V7="","",Future_User_Data_Input!V7)</x:f>
      </x:c>
      <x:c r="J7" s="5">
        <x:f>IF(Future_User_Data_Input!X7="","",Future_User_Data_Input!X7)</x:f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6" customWidth="1"/>
    <x:col min="4" max="4" width="14" customWidth="1"/>
    <x:col min="5" max="5" width="16" customWidth="1"/>
    <x:col min="6" max="6" width="17" customWidth="1"/>
    <x:col min="7" max="7" width="17" customWidth="1"/>
    <x:col min="8" max="8" width="10" customWidth="1"/>
    <x:col min="9" max="9" width="7" customWidth="1"/>
  </x:cols>
  <x:sheetData>
    <x:row r="1" ht="24" customHeight="1">
      <x:c r="A1" s="9" t="inlineStr">
        <x:is>
          <x:t xml:space="preserve">Change Log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</x:row>
    <x:row r="2"/>
    <x:row r="3" ht="22" customHeight="1">
      <x:c r="A3" s="3" t="inlineStr">
        <x:is>
          <x:t xml:space="preserve">Date</x:t>
        </x:is>
      </x:c>
      <x:c r="B3" s="3" t="inlineStr">
        <x:is>
          <x:t xml:space="preserve">New Version Code</x:t>
        </x:is>
      </x:c>
      <x:c r="C3" s="3" t="inlineStr">
        <x:is>
          <x:t xml:space="preserve">Parent Version</x:t>
        </x:is>
      </x:c>
      <x:c r="D3" s="3" t="inlineStr">
        <x:is>
          <x:t xml:space="preserve">What Changed</x:t>
        </x:is>
      </x:c>
      <x:c r="E3" s="3" t="inlineStr">
        <x:is>
          <x:t xml:space="preserve">Why It Changed</x:t>
        </x:is>
      </x:c>
      <x:c r="F3" s="3" t="inlineStr">
        <x:is>
          <x:t xml:space="preserve">Expected Effect</x:t>
        </x:is>
      </x:c>
      <x:c r="G3" s="3" t="inlineStr">
        <x:is>
          <x:t xml:space="preserve">Observed Effect</x:t>
        </x:is>
      </x:c>
      <x:c r="H3" s="3" t="inlineStr">
        <x:is>
          <x:t xml:space="preserve">Decision</x:t>
        </x:is>
      </x:c>
      <x:c r="I3" s="3" t="inlineStr">
        <x:is>
          <x:t xml:space="preserve">Owner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6" customWidth="1"/>
    <x:col min="3" max="3" width="14" customWidth="1"/>
    <x:col min="4" max="4" width="18" customWidth="1"/>
    <x:col min="5" max="5" width="7" customWidth="1"/>
    <x:col min="6" max="6" width="7" customWidth="1"/>
    <x:col min="7" max="7" width="14" customWidth="1"/>
    <x:col min="8" max="8" width="13" customWidth="1"/>
    <x:col min="9" max="9" width="12" customWidth="1"/>
    <x:col min="10" max="10" width="7" customWidth="1"/>
  </x:cols>
  <x:sheetData>
    <x:row r="1" ht="24" customHeight="1">
      <x:c r="A1" s="9" t="inlineStr">
        <x:is>
          <x:t xml:space="preserve">Run Log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/>
    <x:row r="3" ht="22" customHeight="1">
      <x:c r="A3" s="3" t="inlineStr">
        <x:is>
          <x:t xml:space="preserve">Run ID</x:t>
        </x:is>
      </x:c>
      <x:c r="B3" s="3" t="inlineStr">
        <x:is>
          <x:t xml:space="preserve">Date</x:t>
        </x:is>
      </x:c>
      <x:c r="C3" s="3" t="inlineStr">
        <x:is>
          <x:t xml:space="preserve">Version Code</x:t>
        </x:is>
      </x:c>
      <x:c r="D3" s="3" t="inlineStr">
        <x:is>
          <x:t xml:space="preserve">Dataset / Cohort</x:t>
        </x:is>
      </x:c>
      <x:c r="E3" s="3" t="inlineStr">
        <x:is>
          <x:t xml:space="preserve">Users</x:t>
        </x:is>
      </x:c>
      <x:c r="F3" s="3" t="inlineStr">
        <x:is>
          <x:t xml:space="preserve">Pairs</x:t>
        </x:is>
      </x:c>
      <x:c r="G3" s="3" t="inlineStr">
        <x:is>
          <x:t xml:space="preserve">Input Source</x:t>
        </x:is>
      </x:c>
      <x:c r="H3" s="3" t="inlineStr">
        <x:is>
          <x:t xml:space="preserve">Output File</x:t>
        </x:is>
      </x:c>
      <x:c r="I3" s="3" t="inlineStr">
        <x:is>
          <x:t xml:space="preserve">Key Result</x:t>
        </x:is>
      </x:c>
      <x:c r="J3" s="3" t="inlineStr">
        <x:is>
          <x:t xml:space="preserve">Notes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</x:row>
    <x:row r="14">
      <x:c r="A14" s="5" t="n"/>
      <x:c r="B14" s="5" t="n"/>
      <x:c r="C14" s="5" t="n"/>
      <x:c r="D14" s="5" t="n"/>
      <x:c r="E14" s="5" t="n"/>
      <x:c r="F14" s="5" t="n"/>
      <x:c r="G14" s="5" t="n"/>
      <x:c r="H14" s="5" t="n"/>
      <x:c r="I14" s="5" t="n"/>
      <x:c r="J14" s="5" t="n"/>
    </x:row>
    <x:row r="15">
      <x:c r="A15" s="5" t="n"/>
      <x:c r="B15" s="5" t="n"/>
      <x:c r="C15" s="5" t="n"/>
      <x:c r="D15" s="5" t="n"/>
      <x:c r="E15" s="5" t="n"/>
      <x:c r="F15" s="5" t="n"/>
      <x:c r="G15" s="5" t="n"/>
      <x:c r="H15" s="5" t="n"/>
      <x:c r="I15" s="5" t="n"/>
      <x:c r="J15" s="5" t="n"/>
    </x:row>
  </x:sheetData>
  <x:mergeCells>
    <x:mergeCell ref="A1:J1"/>
  </x:mergeCells>
  <x:pageMargins left="0.7" right="0.7" top="0.75" bottom="0.75" header="0.3" footer="0.3"/>
</x:worksheet>
</file>