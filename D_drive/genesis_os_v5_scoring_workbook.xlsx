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v5" sheetId="1" state="visible" r:id="rId1"/>
    <sheet xmlns:r="http://schemas.openxmlformats.org/officeDocument/2006/relationships" name="MatchEngine_v5" sheetId="2" state="visible" r:id="rId2"/>
    <sheet xmlns:r="http://schemas.openxmlformats.org/officeDocument/2006/relationships" name="README_v4" sheetId="3" state="visible" r:id="rId3"/>
    <sheet xmlns:r="http://schemas.openxmlformats.org/officeDocument/2006/relationships" name="AnswerBank_v4" sheetId="4" state="visible" r:id="rId4"/>
    <sheet xmlns:r="http://schemas.openxmlformats.org/officeDocument/2006/relationships" name="QuestionWeights_v4" sheetId="5" state="visible" r:id="rId5"/>
    <sheet xmlns:r="http://schemas.openxmlformats.org/officeDocument/2006/relationships" name="ArchetypeLookup_v4" sheetId="6" state="visible" r:id="rId6"/>
    <sheet xmlns:r="http://schemas.openxmlformats.org/officeDocument/2006/relationships" name="ShadowLookup_v4" sheetId="7" state="visible" r:id="rId7"/>
    <sheet xmlns:r="http://schemas.openxmlformats.org/officeDocument/2006/relationships" name="AstrologyLookup_v4" sheetId="8" state="visible" r:id="rId8"/>
    <sheet xmlns:r="http://schemas.openxmlformats.org/officeDocument/2006/relationships" name="NumerologyLookup_v4" sheetId="9" state="visible" r:id="rId9"/>
    <sheet xmlns:r="http://schemas.openxmlformats.org/officeDocument/2006/relationships" name="CommLookup_v4" sheetId="10" state="visible" r:id="rId10"/>
    <sheet xmlns:r="http://schemas.openxmlformats.org/officeDocument/2006/relationships" name="RegLookup_v4" sheetId="11" state="visible" r:id="rId11"/>
    <sheet xmlns:r="http://schemas.openxmlformats.org/officeDocument/2006/relationships" name="LoveLookup_v4" sheetId="12" state="visible" r:id="rId12"/>
    <sheet xmlns:r="http://schemas.openxmlformats.org/officeDocument/2006/relationships" name="InteractionRules_v4" sheetId="13" state="visible" r:id="rId13"/>
    <sheet xmlns:r="http://schemas.openxmlformats.org/officeDocument/2006/relationships" name="AstroSignMap_v4" sheetId="14" state="visible" r:id="rId14"/>
    <sheet xmlns:r="http://schemas.openxmlformats.org/officeDocument/2006/relationships" name="TestHarness_v4" sheetId="15" state="visible" r:id="rId15"/>
    <sheet xmlns:r="http://schemas.openxmlformats.org/officeDocument/2006/relationships" name="FinalScores_v4" sheetId="16" state="visible" r:id="rId16"/>
    <sheet xmlns:r="http://schemas.openxmlformats.org/officeDocument/2006/relationships" name="AnswerBank_v5" sheetId="17" state="visible" r:id="rId17"/>
    <sheet xmlns:r="http://schemas.openxmlformats.org/officeDocument/2006/relationships" name="AstrologyLookup_v5" sheetId="18" state="visible" r:id="rId18"/>
    <sheet xmlns:r="http://schemas.openxmlformats.org/officeDocument/2006/relationships" name="NumerologyLookup_v5" sheetId="19" state="visible" r:id="rId19"/>
    <sheet xmlns:r="http://schemas.openxmlformats.org/officeDocument/2006/relationships" name="FinalScores_v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C7CDD6"/>
      </left>
      <right style="thin">
        <color rgb="00C7CDD6"/>
      </right>
      <top style="thin">
        <color rgb="00C7CDD6"/>
      </top>
      <bottom style="thin">
        <color rgb="00C7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AnswerBankV4" displayName="AnswerBankV4" ref="A1:AP311" headerRowCount="1">
  <autoFilter ref="A1:AP311"/>
  <tableColumns count="42">
    <tableColumn id="1" name="answer_id"/>
    <tableColumn id="2" name="canonical_q"/>
    <tableColumn id="3" name="question_number_int"/>
    <tableColumn id="4" name="phase"/>
    <tableColumn id="5" name="question_weight_v3"/>
    <tableColumn id="6" name="dimension_primary"/>
    <tableColumn id="7" name="dimension_secondary"/>
    <tableColumn id="8" name="question_text"/>
    <tableColumn id="9" name="answer_option_id"/>
    <tableColumn id="10" name="answer_letter"/>
    <tableColumn id="11" name="answer_text"/>
    <tableColumn id="12" name="score_weight"/>
    <tableColumn id="13" name="compatibility_weight"/>
    <tableColumn id="14" name="readiness_points_v3"/>
    <tableColumn id="15" name="compatibility_stance_v3"/>
    <tableColumn id="16" name="forecast_points_v3"/>
    <tableColumn id="17" name="archetype"/>
    <tableColumn id="18" name="archetype_id"/>
    <tableColumn id="19" name="shadow_type"/>
    <tableColumn id="20" name="shadow_type_id"/>
    <tableColumn id="21" name="shadow_risk_points_v3"/>
    <tableColumn id="22" name="polarity_tag"/>
    <tableColumn id="23" name="polarity_masc_delta_v3"/>
    <tableColumn id="24" name="polarity_fem_delta_v3"/>
    <tableColumn id="25" name="comm_style"/>
    <tableColumn id="26" name="regulation_style"/>
    <tableColumn id="27" name="love_language"/>
    <tableColumn id="28" name="cluster_tags"/>
    <tableColumn id="29" name="cluster_1"/>
    <tableColumn id="30" name="cluster_2"/>
    <tableColumn id="31" name="cluster_penalty_points"/>
    <tableColumn id="32" name="pattern_tag"/>
    <tableColumn id="33" name="match_behavior_tag"/>
    <tableColumn id="34" name="pattern_risk"/>
    <tableColumn id="35" name="consistency_flag"/>
    <tableColumn id="36" name="integrity_flag_v3"/>
    <tableColumn id="37" name="drift_relevance"/>
    <tableColumn id="38" name="forecast_relevance"/>
    <tableColumn id="39" name="energy_type_tag"/>
    <tableColumn id="40" name="emotion_family"/>
    <tableColumn id="41" name="emotion_cell"/>
    <tableColumn id="42" name="version_snapshot"/>
  </tableColumns>
  <tableStyleInfo name="TableStyleMedium2" showRowStripes="1"/>
</table>
</file>

<file path=xl/tables/table2.xml><?xml version="1.0" encoding="utf-8"?>
<table xmlns="http://schemas.openxmlformats.org/spreadsheetml/2006/main" id="2" name="QWeightsV4" displayName="QWeightsV4" ref="A1:C61" headerRowCount="1">
  <autoFilter ref="A1:C61"/>
  <tableColumns count="3">
    <tableColumn id="1" name="q"/>
    <tableColumn id="2" name="phase"/>
    <tableColumn id="3" name="question_weight"/>
  </tableColumns>
  <tableStyleInfo name="TableStyleMedium2" showRowStripes="1"/>
</table>
</file>

<file path=xl/tables/table3.xml><?xml version="1.0" encoding="utf-8"?>
<table xmlns="http://schemas.openxmlformats.org/spreadsheetml/2006/main" id="3" name="ArchLookupV4" displayName="ArchLookupV4" ref="A1:B101" headerRowCount="1">
  <autoFilter ref="A1:B101"/>
  <tableColumns count="2">
    <tableColumn id="1" name="pair_key"/>
    <tableColumn id="2" name="score_2_9"/>
  </tableColumns>
  <tableStyleInfo name="TableStyleMedium2" showRowStripes="1"/>
</table>
</file>

<file path=xl/tables/table4.xml><?xml version="1.0" encoding="utf-8"?>
<table xmlns="http://schemas.openxmlformats.org/spreadsheetml/2006/main" id="4" name="ShadowLookupV4" displayName="ShadowLookupV4" ref="A1:B37" headerRowCount="1">
  <autoFilter ref="A1:B37"/>
  <tableColumns count="2">
    <tableColumn id="1" name="pair_key"/>
    <tableColumn id="2" name="score_2_6"/>
  </tableColumns>
  <tableStyleInfo name="TableStyleMedium2" showRowStripes="1"/>
</table>
</file>

<file path=xl/tables/table5.xml><?xml version="1.0" encoding="utf-8"?>
<table xmlns="http://schemas.openxmlformats.org/spreadsheetml/2006/main" id="5" name="AstroLookupV4" displayName="AstroLookupV4" ref="A1:B577" headerRowCount="1">
  <autoFilter ref="A1:B577"/>
  <tableColumns count="2">
    <tableColumn id="1" name="pair_key"/>
    <tableColumn id="2" name="score_1_10"/>
  </tableColumns>
  <tableStyleInfo name="TableStyleMedium2" showRowStripes="1"/>
</table>
</file>

<file path=xl/tables/table6.xml><?xml version="1.0" encoding="utf-8"?>
<table xmlns="http://schemas.openxmlformats.org/spreadsheetml/2006/main" id="6" name="NumLookupV4" displayName="NumLookupV4" ref="A1:C67" headerRowCount="1">
  <autoFilter ref="A1:C67"/>
  <tableColumns count="3">
    <tableColumn id="1" name="pair_key"/>
    <tableColumn id="2" name="score_1_10"/>
    <tableColumn id="3" name="weight_points"/>
  </tableColumns>
  <tableStyleInfo name="TableStyleMedium2" showRowStripes="1"/>
</table>
</file>

<file path=xl/tables/table7.xml><?xml version="1.0" encoding="utf-8"?>
<table xmlns="http://schemas.openxmlformats.org/spreadsheetml/2006/main" id="7" name="CommLookupV4" displayName="CommLookupV4" ref="A1:B16" headerRowCount="1">
  <autoFilter ref="A1:B16"/>
  <tableColumns count="2">
    <tableColumn id="1" name="pair_key"/>
    <tableColumn id="2" name="score_1_10"/>
  </tableColumns>
  <tableStyleInfo name="TableStyleMedium2" showRowStripes="1"/>
</table>
</file>

<file path=xl/tables/table8.xml><?xml version="1.0" encoding="utf-8"?>
<table xmlns="http://schemas.openxmlformats.org/spreadsheetml/2006/main" id="8" name="RegLookupV4" displayName="RegLookupV4" ref="A1:B11" headerRowCount="1">
  <autoFilter ref="A1:B11"/>
  <tableColumns count="2">
    <tableColumn id="1" name="pair_key"/>
    <tableColumn id="2" name="score_1_10"/>
  </tableColumns>
  <tableStyleInfo name="TableStyleMedium2" showRowStripes="1"/>
</table>
</file>

<file path=xl/tables/table9.xml><?xml version="1.0" encoding="utf-8"?>
<table xmlns="http://schemas.openxmlformats.org/spreadsheetml/2006/main" id="9" name="LoveLookupV4" displayName="LoveLookupV4" ref="A1:B16" headerRowCount="1">
  <autoFilter ref="A1:B16"/>
  <tableColumns count="2">
    <tableColumn id="1" name="pair_key"/>
    <tableColumn id="2" name="score_1_10"/>
  </tableColumns>
  <tableStyleInfo name="TableStyleMedium2" showRowStripes="1"/>
</table>
</file>

<file path=xl/tables/table10.xml><?xml version="1.0" encoding="utf-8"?>
<table xmlns="http://schemas.openxmlformats.org/spreadsheetml/2006/main" id="10" name="RulesV4" displayName="RulesV4" ref="A1:I6" headerRowCount="1">
  <autoFilter ref="A1:I6"/>
  <tableColumns count="9">
    <tableColumn id="1" name="rule_id"/>
    <tableColumn id="2" name="source_type"/>
    <tableColumn id="3" name="source_value"/>
    <tableColumn id="4" name="target_type"/>
    <tableColumn id="5" name="target_value"/>
    <tableColumn id="6" name="pair_effect"/>
    <tableColumn id="7" name="compatibility_modifier"/>
    <tableColumn id="8" name="forecast_modifier"/>
    <tableColumn id="9" name="source"/>
  </tableColumns>
  <tableStyleInfo name="TableStyleMedium2" showRowStripes="1"/>
</table>
</file>

<file path=xl/tables/table11.xml><?xml version="1.0" encoding="utf-8"?>
<table xmlns="http://schemas.openxmlformats.org/spreadsheetml/2006/main" id="11" name="SignMapV4" displayName="SignMapV4" ref="A1:B13" headerRowCount="1">
  <autoFilter ref="A1:B13"/>
  <tableColumns count="2">
    <tableColumn id="1" name="sun_sign"/>
    <tableColumn id="2" name="abb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56" customWidth="1" min="4" max="4"/>
  </cols>
  <sheetData>
    <row r="1">
      <c r="A1" s="7" t="inlineStr">
        <is>
          <t>Category</t>
        </is>
      </c>
      <c r="B1" s="7" t="inlineStr">
        <is>
          <t>Name</t>
        </is>
      </c>
      <c r="C1" s="7" t="inlineStr">
        <is>
          <t>Value</t>
        </is>
      </c>
      <c r="D1" s="7" t="inlineStr">
        <is>
          <t>Notes</t>
        </is>
      </c>
    </row>
    <row r="2">
      <c r="A2" s="8" t="inlineStr">
        <is>
          <t>Normalization</t>
        </is>
      </c>
      <c r="B2" s="8" t="inlineStr">
        <is>
          <t>SCORE_WEIGHT_MIN</t>
        </is>
      </c>
      <c r="C2" s="8" t="n">
        <v>3</v>
      </c>
      <c r="D2" s="8" t="inlineStr">
        <is>
          <t>AnswerBank_v4 score_weight min</t>
        </is>
      </c>
    </row>
    <row r="3">
      <c r="A3" s="8" t="inlineStr">
        <is>
          <t>Normalization</t>
        </is>
      </c>
      <c r="B3" s="8" t="inlineStr">
        <is>
          <t>SCORE_WEIGHT_MAX</t>
        </is>
      </c>
      <c r="C3" s="8" t="n">
        <v>10</v>
      </c>
      <c r="D3" s="8" t="inlineStr">
        <is>
          <t>AnswerBank_v4 score_weight max</t>
        </is>
      </c>
    </row>
    <row r="4">
      <c r="A4" s="8" t="inlineStr">
        <is>
          <t>Normalization</t>
        </is>
      </c>
      <c r="B4" s="8" t="inlineStr">
        <is>
          <t>COMP_WEIGHT_MIN</t>
        </is>
      </c>
      <c r="C4" s="8" t="n">
        <v>4</v>
      </c>
      <c r="D4" s="8" t="inlineStr">
        <is>
          <t>AnswerBank_v4 compatibility_weight min</t>
        </is>
      </c>
    </row>
    <row r="5">
      <c r="A5" s="8" t="inlineStr">
        <is>
          <t>Normalization</t>
        </is>
      </c>
      <c r="B5" s="8" t="inlineStr">
        <is>
          <t>COMP_WEIGHT_MAX</t>
        </is>
      </c>
      <c r="C5" s="8" t="n">
        <v>10</v>
      </c>
      <c r="D5" s="8" t="inlineStr">
        <is>
          <t>AnswerBank_v4 compatibility_weight max</t>
        </is>
      </c>
    </row>
    <row r="6">
      <c r="A6" s="8" t="inlineStr">
        <is>
          <t>Normalization</t>
        </is>
      </c>
      <c r="B6" s="8" t="inlineStr">
        <is>
          <t>READINESS_MAX</t>
        </is>
      </c>
      <c r="C6" s="8" t="n">
        <v>10</v>
      </c>
      <c r="D6" s="8" t="inlineStr">
        <is>
          <t>readiness_points_v3 scale</t>
        </is>
      </c>
    </row>
    <row r="7">
      <c r="A7" s="8" t="inlineStr">
        <is>
          <t>Normalization</t>
        </is>
      </c>
      <c r="B7" s="8" t="inlineStr">
        <is>
          <t>STANCE_MAX</t>
        </is>
      </c>
      <c r="C7" s="8" t="n">
        <v>10</v>
      </c>
      <c r="D7" s="8" t="inlineStr">
        <is>
          <t>compatibility_stance_v3 scale</t>
        </is>
      </c>
    </row>
    <row r="8">
      <c r="A8" s="8" t="inlineStr">
        <is>
          <t>Normalization</t>
        </is>
      </c>
      <c r="B8" s="8" t="inlineStr">
        <is>
          <t>FORECAST_MAX</t>
        </is>
      </c>
      <c r="C8" s="8" t="n">
        <v>10</v>
      </c>
      <c r="D8" s="8" t="inlineStr">
        <is>
          <t>forecast_points_v3 scale</t>
        </is>
      </c>
    </row>
    <row r="9">
      <c r="A9" s="8" t="inlineStr">
        <is>
          <t>Normalization</t>
        </is>
      </c>
      <c r="B9" s="8" t="inlineStr">
        <is>
          <t>PATTERN_RISK_MAX</t>
        </is>
      </c>
      <c r="C9" s="8" t="n">
        <v>1.8</v>
      </c>
      <c r="D9" s="8" t="inlineStr">
        <is>
          <t>pattern_risk max in AnswerBank</t>
        </is>
      </c>
    </row>
    <row r="10">
      <c r="A10" s="8" t="inlineStr">
        <is>
          <t>Normalization</t>
        </is>
      </c>
      <c r="B10" s="8" t="inlineStr">
        <is>
          <t>CLUSTER_PENALTY_MAX_PER_ANSWER</t>
        </is>
      </c>
      <c r="C10" s="8" t="n">
        <v>14</v>
      </c>
      <c r="D10" s="8" t="inlineStr">
        <is>
          <t>cluster_penalty_points max per answer</t>
        </is>
      </c>
    </row>
    <row r="11">
      <c r="A11" s="8" t="inlineStr">
        <is>
          <t>Normalization</t>
        </is>
      </c>
      <c r="B11" s="8" t="inlineStr">
        <is>
          <t>POL_MASC_MIN</t>
        </is>
      </c>
      <c r="C11" s="8" t="n">
        <v>-0.4</v>
      </c>
      <c r="D11" s="8" t="inlineStr">
        <is>
          <t>polarity_masc_delta_v3 min</t>
        </is>
      </c>
    </row>
    <row r="12">
      <c r="A12" s="8" t="inlineStr">
        <is>
          <t>Normalization</t>
        </is>
      </c>
      <c r="B12" s="8" t="inlineStr">
        <is>
          <t>POL_MASC_MAX</t>
        </is>
      </c>
      <c r="C12" s="8" t="n">
        <v>1.8</v>
      </c>
      <c r="D12" s="8" t="inlineStr">
        <is>
          <t>polarity_masc_delta_v3 max</t>
        </is>
      </c>
    </row>
    <row r="13">
      <c r="A13" s="8" t="inlineStr">
        <is>
          <t>Normalization</t>
        </is>
      </c>
      <c r="B13" s="8" t="inlineStr">
        <is>
          <t>POL_FEM_MIN</t>
        </is>
      </c>
      <c r="C13" s="8" t="n">
        <v>-1.6</v>
      </c>
      <c r="D13" s="8" t="inlineStr">
        <is>
          <t>polarity_fem_delta_v3 min</t>
        </is>
      </c>
    </row>
    <row r="14">
      <c r="A14" s="8" t="inlineStr">
        <is>
          <t>Normalization</t>
        </is>
      </c>
      <c r="B14" s="8" t="inlineStr">
        <is>
          <t>POL_FEM_MAX</t>
        </is>
      </c>
      <c r="C14" s="8" t="n">
        <v>2</v>
      </c>
      <c r="D14" s="8" t="inlineStr">
        <is>
          <t>polarity_fem_delta_v3 max</t>
        </is>
      </c>
    </row>
    <row r="15">
      <c r="A15" s="8" t="inlineStr">
        <is>
          <t>Core Weights</t>
        </is>
      </c>
      <c r="B15" s="8" t="inlineStr">
        <is>
          <t>W_BEHAVIORAL_CORE</t>
        </is>
      </c>
      <c r="C15" s="8" t="n">
        <v>0.52</v>
      </c>
      <c r="D15" s="8" t="inlineStr">
        <is>
          <t>Final RawMatch weight</t>
        </is>
      </c>
    </row>
    <row r="16">
      <c r="A16" s="8" t="inlineStr">
        <is>
          <t>Core Weights</t>
        </is>
      </c>
      <c r="B16" s="8" t="inlineStr">
        <is>
          <t>W_STABILITY_CORE</t>
        </is>
      </c>
      <c r="C16" s="8" t="n">
        <v>0.23</v>
      </c>
      <c r="D16" s="8" t="inlineStr">
        <is>
          <t>Final RawMatch weight</t>
        </is>
      </c>
    </row>
    <row r="17">
      <c r="A17" s="8" t="inlineStr">
        <is>
          <t>Core Weights</t>
        </is>
      </c>
      <c r="B17" s="8" t="inlineStr">
        <is>
          <t>W_CHEMISTRY_CORE</t>
        </is>
      </c>
      <c r="C17" s="8" t="n">
        <v>0.13</v>
      </c>
      <c r="D17" s="8" t="inlineStr">
        <is>
          <t>Final RawMatch weight</t>
        </is>
      </c>
    </row>
    <row r="18">
      <c r="A18" s="8" t="inlineStr">
        <is>
          <t>Core Weights</t>
        </is>
      </c>
      <c r="B18" s="8" t="inlineStr">
        <is>
          <t>W_COSMIC_CORE</t>
        </is>
      </c>
      <c r="C18" s="8" t="n">
        <v>0.12</v>
      </c>
      <c r="D18" s="8" t="inlineStr">
        <is>
          <t>Final RawMatch weight</t>
        </is>
      </c>
    </row>
    <row r="19">
      <c r="A19" s="8" t="inlineStr">
        <is>
          <t>BehavioralCore Mix</t>
        </is>
      </c>
      <c r="B19" s="8" t="inlineStr">
        <is>
          <t>W_ARCHETYPE</t>
        </is>
      </c>
      <c r="C19" s="8" t="n">
        <v>0.4</v>
      </c>
      <c r="D19" s="8" t="inlineStr">
        <is>
          <t>Inside BehavioralCore</t>
        </is>
      </c>
    </row>
    <row r="20">
      <c r="A20" s="8" t="inlineStr">
        <is>
          <t>BehavioralCore Mix</t>
        </is>
      </c>
      <c r="B20" s="8" t="inlineStr">
        <is>
          <t>W_COMM</t>
        </is>
      </c>
      <c r="C20" s="8" t="n">
        <v>0.2</v>
      </c>
      <c r="D20" s="8" t="inlineStr">
        <is>
          <t>Inside BehavioralCore</t>
        </is>
      </c>
    </row>
    <row r="21">
      <c r="A21" s="8" t="inlineStr">
        <is>
          <t>BehavioralCore Mix</t>
        </is>
      </c>
      <c r="B21" s="8" t="inlineStr">
        <is>
          <t>W_REG</t>
        </is>
      </c>
      <c r="C21" s="8" t="n">
        <v>0.2</v>
      </c>
      <c r="D21" s="8" t="inlineStr">
        <is>
          <t>Inside BehavioralCore</t>
        </is>
      </c>
    </row>
    <row r="22">
      <c r="A22" s="8" t="inlineStr">
        <is>
          <t>BehavioralCore Mix</t>
        </is>
      </c>
      <c r="B22" s="8" t="inlineStr">
        <is>
          <t>W_LOVE</t>
        </is>
      </c>
      <c r="C22" s="8" t="n">
        <v>0.1</v>
      </c>
      <c r="D22" s="8" t="inlineStr">
        <is>
          <t>Inside BehavioralCore</t>
        </is>
      </c>
    </row>
    <row r="23">
      <c r="A23" s="8" t="inlineStr">
        <is>
          <t>BehavioralCore Mix</t>
        </is>
      </c>
      <c r="B23" s="8" t="inlineStr">
        <is>
          <t>W_READINESS</t>
        </is>
      </c>
      <c r="C23" s="8" t="n">
        <v>0.1</v>
      </c>
      <c r="D23" s="8" t="inlineStr">
        <is>
          <t>Inside BehavioralCore</t>
        </is>
      </c>
    </row>
    <row r="24">
      <c r="A24" s="8" t="inlineStr">
        <is>
          <t>StabilityCore Mix</t>
        </is>
      </c>
      <c r="B24" s="8" t="inlineStr">
        <is>
          <t>W_STAB_SHADOW</t>
        </is>
      </c>
      <c r="C24" s="8" t="n">
        <v>0.35</v>
      </c>
      <c r="D24" s="8" t="inlineStr">
        <is>
          <t>(1-ShadowRiskNorm)</t>
        </is>
      </c>
    </row>
    <row r="25">
      <c r="A25" s="8" t="inlineStr">
        <is>
          <t>StabilityCore Mix</t>
        </is>
      </c>
      <c r="B25" s="8" t="inlineStr">
        <is>
          <t>W_STAB_INTEGRITY</t>
        </is>
      </c>
      <c r="C25" s="8" t="n">
        <v>0.25</v>
      </c>
      <c r="D25" s="8" t="inlineStr">
        <is>
          <t>(1-IntegrityPenaltyNorm)</t>
        </is>
      </c>
    </row>
    <row r="26">
      <c r="A26" s="8" t="inlineStr">
        <is>
          <t>StabilityCore Mix</t>
        </is>
      </c>
      <c r="B26" s="8" t="inlineStr">
        <is>
          <t>W_STAB_CLUSTER</t>
        </is>
      </c>
      <c r="C26" s="8" t="n">
        <v>0.2</v>
      </c>
      <c r="D26" s="8" t="inlineStr">
        <is>
          <t>(1-ClusterPenaltyNorm)</t>
        </is>
      </c>
    </row>
    <row r="27">
      <c r="A27" s="8" t="inlineStr">
        <is>
          <t>StabilityCore Mix</t>
        </is>
      </c>
      <c r="B27" s="8" t="inlineStr">
        <is>
          <t>W_STAB_FORECAST</t>
        </is>
      </c>
      <c r="C27" s="8" t="n">
        <v>0.2</v>
      </c>
      <c r="D27" s="8" t="inlineStr">
        <is>
          <t>ForecastNorm</t>
        </is>
      </c>
    </row>
    <row r="28">
      <c r="A28" s="8" t="inlineStr">
        <is>
          <t>ChemistryCore Mix</t>
        </is>
      </c>
      <c r="B28" s="8" t="inlineStr">
        <is>
          <t>W_POLARITY</t>
        </is>
      </c>
      <c r="C28" s="8" t="n">
        <v>0.55</v>
      </c>
      <c r="D28" s="8" t="inlineStr">
        <is>
          <t>PolarityNorm</t>
        </is>
      </c>
    </row>
    <row r="29">
      <c r="A29" s="8" t="inlineStr">
        <is>
          <t>ChemistryCore Mix</t>
        </is>
      </c>
      <c r="B29" s="8" t="inlineStr">
        <is>
          <t>W_ATTRACTION</t>
        </is>
      </c>
      <c r="C29" s="8" t="n">
        <v>0.45</v>
      </c>
      <c r="D29" s="8" t="inlineStr">
        <is>
          <t>AttractionPatternNorm (default 0.5)</t>
        </is>
      </c>
    </row>
    <row r="30">
      <c r="A30" s="8" t="inlineStr">
        <is>
          <t>CosmicCore Mix</t>
        </is>
      </c>
      <c r="B30" s="8" t="inlineStr">
        <is>
          <t>W_ZODIAC</t>
        </is>
      </c>
      <c r="C30" s="8" t="n">
        <v>0.58</v>
      </c>
      <c r="D30" s="8" t="inlineStr">
        <is>
          <t>Inside CosmicCore</t>
        </is>
      </c>
    </row>
    <row r="31">
      <c r="A31" s="8" t="inlineStr">
        <is>
          <t>CosmicCore Mix</t>
        </is>
      </c>
      <c r="B31" s="8" t="inlineStr">
        <is>
          <t>W_NUMEROLOGY</t>
        </is>
      </c>
      <c r="C31" s="8" t="n">
        <v>0.42</v>
      </c>
      <c r="D31" s="8" t="inlineStr">
        <is>
          <t>Inside CosmicCore</t>
        </is>
      </c>
    </row>
    <row r="32">
      <c r="A32" s="8" t="inlineStr">
        <is>
          <t>Bonuses/Penalties</t>
        </is>
      </c>
      <c r="B32" s="8" t="inlineStr">
        <is>
          <t>INTERACTION_BONUS_MIN</t>
        </is>
      </c>
      <c r="C32" s="8" t="n">
        <v>-0.06</v>
      </c>
      <c r="D32" s="8" t="inlineStr">
        <is>
          <t>Normalized adjustment</t>
        </is>
      </c>
    </row>
    <row r="33">
      <c r="A33" s="8" t="inlineStr">
        <is>
          <t>Bonuses/Penalties</t>
        </is>
      </c>
      <c r="B33" s="8" t="inlineStr">
        <is>
          <t>INTERACTION_BONUS_MAX</t>
        </is>
      </c>
      <c r="C33" s="8" t="n">
        <v>0.06</v>
      </c>
      <c r="D33" s="8" t="inlineStr">
        <is>
          <t>Normalized adjustment</t>
        </is>
      </c>
    </row>
    <row r="34">
      <c r="A34" s="8" t="inlineStr">
        <is>
          <t>Bonuses/Penalties</t>
        </is>
      </c>
      <c r="B34" s="8" t="inlineStr">
        <is>
          <t>HARD_PENALTY_MIN</t>
        </is>
      </c>
      <c r="C34" s="8" t="n">
        <v>0</v>
      </c>
      <c r="D34" s="8" t="inlineStr">
        <is>
          <t>Normalized adjustment</t>
        </is>
      </c>
    </row>
    <row r="35">
      <c r="A35" s="8" t="inlineStr">
        <is>
          <t>Bonuses/Penalties</t>
        </is>
      </c>
      <c r="B35" s="8" t="inlineStr">
        <is>
          <t>HARD_PENALTY_MAX</t>
        </is>
      </c>
      <c r="C35" s="8" t="n">
        <v>0.18</v>
      </c>
      <c r="D35" s="8" t="inlineStr">
        <is>
          <t>Normalized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58" customWidth="1" min="3" max="3"/>
  </cols>
  <sheetData>
    <row r="1">
      <c r="A1" s="7" t="inlineStr">
        <is>
          <t>Metric</t>
        </is>
      </c>
      <c r="B1" s="7" t="inlineStr">
        <is>
          <t>Value</t>
        </is>
      </c>
      <c r="C1" s="7" t="inlineStr">
        <is>
          <t>Notes</t>
        </is>
      </c>
    </row>
    <row r="2">
      <c r="A2" s="8" t="inlineStr">
        <is>
          <t>ArchetypeNorm</t>
        </is>
      </c>
      <c r="B2" s="8">
        <f>IFERROR(((0.50*VLOOKUP(FinalScores_v5!E4&amp;"|"&amp;FinalScores_v5!E6,ArchetypeLookup_v4!$A$2:$B$101,2,FALSE)+0.20*VLOOKUP(FinalScores_v5!E4&amp;"|"&amp;FinalScores_v5!E7,ArchetypeLookup_v4!$A$2:$B$101,2,FALSE)+0.20*VLOOKUP(FinalScores_v5!E5&amp;"|"&amp;FinalScores_v5!E6,ArchetypeLookup_v4!$A$2:$B$101,2,FALSE)+0.10*VLOOKUP(FinalScores_v5!E5&amp;"|"&amp;FinalScores_v5!E7,ArchetypeLookup_v4!$A$2:$B$101,2,FALSE))-2)/7,0.5)</f>
        <v/>
      </c>
      <c r="C2" s="8" t="inlineStr">
        <is>
          <t>Archetype pairing normalized from 2–9 to 0–1</t>
        </is>
      </c>
    </row>
    <row r="3">
      <c r="A3" s="8" t="inlineStr">
        <is>
          <t>CommNorm</t>
        </is>
      </c>
      <c r="B3" s="8">
        <f>IFERROR((VLOOKUP(FinalScores_v5!E16,CommLookup_v4!$A$2:$B$16,2,FALSE)-2)/7,0.5)</f>
        <v/>
      </c>
      <c r="C3" s="8" t="inlineStr">
        <is>
          <t>Communication style (normalized)</t>
        </is>
      </c>
    </row>
    <row r="4">
      <c r="A4" s="8" t="inlineStr">
        <is>
          <t>RegNorm</t>
        </is>
      </c>
      <c r="B4" s="8">
        <f>IFERROR((VLOOKUP(FinalScores_v5!E17,RegLookup_v4!$A$2:$B$11,2,FALSE)-3)/7,0.5)</f>
        <v/>
      </c>
      <c r="C4" s="8" t="inlineStr">
        <is>
          <t>Regulation style (normalized)</t>
        </is>
      </c>
    </row>
    <row r="5">
      <c r="A5" s="8" t="inlineStr">
        <is>
          <t>LoveNorm</t>
        </is>
      </c>
      <c r="B5" s="8">
        <f>IFERROR((VLOOKUP(FinalScores_v5!E18,LoveLookup_v4!$A$2:$B$16,2,FALSE)-5)/5,0.6)</f>
        <v/>
      </c>
      <c r="C5" s="8" t="inlineStr">
        <is>
          <t>Love language fit proxy (normalized)</t>
        </is>
      </c>
    </row>
    <row r="6">
      <c r="A6" s="8" t="inlineStr">
        <is>
          <t>Readiness_A</t>
        </is>
      </c>
      <c r="B6" s="8">
        <f>TestHarness_v4!B64</f>
        <v/>
      </c>
      <c r="C6" s="8" t="inlineStr">
        <is>
          <t>0–100</t>
        </is>
      </c>
    </row>
    <row r="7">
      <c r="A7" s="8" t="inlineStr">
        <is>
          <t>Readiness_B</t>
        </is>
      </c>
      <c r="B7" s="8">
        <f>TestHarness_v4!B65</f>
        <v/>
      </c>
      <c r="C7" s="8" t="inlineStr">
        <is>
          <t>0–100</t>
        </is>
      </c>
    </row>
    <row r="8">
      <c r="A8" s="8" t="inlineStr">
        <is>
          <t>ReadinessPairNorm</t>
        </is>
      </c>
      <c r="B8" s="8">
        <f>MAX(0,((B6+B7)/200) - 0.25*ABS(B6-B7)/100)</f>
        <v/>
      </c>
      <c r="C8" s="8" t="inlineStr">
        <is>
          <t>Average minus mismatch penalty</t>
        </is>
      </c>
    </row>
    <row r="9">
      <c r="A9" s="8" t="inlineStr">
        <is>
          <t>ForecastNormPair</t>
        </is>
      </c>
      <c r="B9" s="8">
        <f>IFERROR((SUMPRODUCT(TestHarness_v4!$B$10:$B$59,TestHarness_v4!$H$10:$H$59)+SUMPRODUCT(TestHarness_v4!$B$10:$B$59,TestHarness_v4!$L$10:$L$59))/(2*SUM(TestHarness_v4!$B$10:$B$59)*Schema_v5!$C$8),0.5)</f>
        <v/>
      </c>
      <c r="C9" s="8" t="inlineStr">
        <is>
          <t>Weighted forecast points normalized</t>
        </is>
      </c>
    </row>
    <row r="10">
      <c r="A10" s="8" t="inlineStr">
        <is>
          <t>ClusterPenaltyPairRaw</t>
        </is>
      </c>
      <c r="B10" s="8">
        <f>MIN(35,0.35*(FinalScores_v5!B5+FinalScores_v5!B6))</f>
        <v/>
      </c>
      <c r="C10" s="8" t="inlineStr">
        <is>
          <t>Same as v4 cap</t>
        </is>
      </c>
    </row>
    <row r="11">
      <c r="A11" s="8" t="inlineStr">
        <is>
          <t>ClusterPenaltyNorm</t>
        </is>
      </c>
      <c r="B11" s="8">
        <f>MIN(1,B10/35)</f>
        <v/>
      </c>
      <c r="C11" s="8" t="inlineStr">
        <is>
          <t>0–1</t>
        </is>
      </c>
    </row>
    <row r="12">
      <c r="A12" s="8" t="inlineStr">
        <is>
          <t>IntegrityPenaltyRaw</t>
        </is>
      </c>
      <c r="B12" s="8">
        <f>FinalScores_v5!E40</f>
        <v/>
      </c>
      <c r="C12" s="8" t="inlineStr">
        <is>
          <t>0–80 current logic</t>
        </is>
      </c>
    </row>
    <row r="13">
      <c r="A13" s="8" t="inlineStr">
        <is>
          <t>IntegrityPenaltyNorm</t>
        </is>
      </c>
      <c r="B13" s="8">
        <f>MIN(1,B12/80)</f>
        <v/>
      </c>
      <c r="C13" s="8" t="inlineStr">
        <is>
          <t>0–1</t>
        </is>
      </c>
    </row>
    <row r="14">
      <c r="A14" s="8" t="inlineStr">
        <is>
          <t>ShadowRiskRaw</t>
        </is>
      </c>
      <c r="B14" s="8">
        <f>(TestHarness_v4!B83+TestHarness_v4!B84)/2</f>
        <v/>
      </c>
      <c r="C14" s="8" t="inlineStr">
        <is>
          <t>Average shadow intensity</t>
        </is>
      </c>
    </row>
    <row r="15">
      <c r="A15" s="8" t="inlineStr">
        <is>
          <t>ShadowRiskNorm</t>
        </is>
      </c>
      <c r="B15" s="8">
        <f>MIN(1,MAX(0,B14/10))</f>
        <v/>
      </c>
      <c r="C15" s="8" t="inlineStr">
        <is>
          <t>Assumes 0–10 scale</t>
        </is>
      </c>
    </row>
    <row r="16">
      <c r="A16" s="8" t="inlineStr">
        <is>
          <t>AttractionPatternNorm</t>
        </is>
      </c>
      <c r="B16" s="8">
        <f>0.5</f>
        <v/>
      </c>
      <c r="C16" s="8" t="inlineStr">
        <is>
          <t>Neutral until you build attraction-pattern model</t>
        </is>
      </c>
    </row>
    <row r="17">
      <c r="A17" s="8" t="inlineStr">
        <is>
          <t>PolarityNorm</t>
        </is>
      </c>
      <c r="B17" s="8">
        <f>FinalScores_v5!E35</f>
        <v/>
      </c>
      <c r="C17" s="8" t="inlineStr">
        <is>
          <t>Current polarity placeholder (0–1)</t>
        </is>
      </c>
    </row>
    <row r="18">
      <c r="A18" s="8" t="inlineStr">
        <is>
          <t>ZodiacNorm</t>
        </is>
      </c>
      <c r="B18" s="8">
        <f>FinalScores_v5!E31</f>
        <v/>
      </c>
      <c r="C18" s="8" t="inlineStr">
        <is>
          <t>From AstrologyLookup_v5 zodiac_norm</t>
        </is>
      </c>
    </row>
    <row r="19">
      <c r="A19" s="8" t="inlineStr">
        <is>
          <t>NumerologyNorm</t>
        </is>
      </c>
      <c r="B19" s="8">
        <f>FinalScores_v5!E33</f>
        <v/>
      </c>
      <c r="C19" s="8" t="inlineStr">
        <is>
          <t>From NumerologyLookup_v5 adjusted_numerology_norm</t>
        </is>
      </c>
    </row>
    <row r="20">
      <c r="A20" s="8" t="inlineStr">
        <is>
          <t>BehavioralCore</t>
        </is>
      </c>
      <c r="B20" s="8">
        <f>Schema_v5!$C$15*(Schema_v5!$C$19*B2+Schema_v5!$C$20*B3+Schema_v5!$C$21*B4+Schema_v5!$C$22*B5+Schema_v5!$C$23*B8)</f>
        <v/>
      </c>
      <c r="C20" s="8" t="inlineStr">
        <is>
          <t>Includes BehavioralCore weight (0.52) * inner mix</t>
        </is>
      </c>
    </row>
    <row r="21">
      <c r="A21" s="8" t="inlineStr">
        <is>
          <t>StabilityCore</t>
        </is>
      </c>
      <c r="B21" s="8">
        <f>Schema_v5!$C$16*(Schema_v5!$C$24*(1-B15)+Schema_v5!$C$25*(1-B13)+Schema_v5!$C$26*(1-B11)+Schema_v5!$C$27*B9)</f>
        <v/>
      </c>
      <c r="C21" s="8" t="inlineStr">
        <is>
          <t>Includes Stability weight (0.23) * inner mix</t>
        </is>
      </c>
    </row>
    <row r="22">
      <c r="A22" s="8" t="inlineStr">
        <is>
          <t>ChemistryCore</t>
        </is>
      </c>
      <c r="B22" s="8">
        <f>Schema_v5!$C$17*(Schema_v5!$C$28*B18+Schema_v5!$C$29*B17)</f>
        <v/>
      </c>
      <c r="C22" s="8" t="inlineStr">
        <is>
          <t>Includes Chemistry weight (0.13) * inner mix</t>
        </is>
      </c>
    </row>
    <row r="23">
      <c r="A23" s="8" t="inlineStr">
        <is>
          <t>CosmicCore</t>
        </is>
      </c>
      <c r="B23" s="8">
        <f>Schema_v5!$C$18*(Schema_v5!$C$30*B19+Schema_v5!$C$31*B20)</f>
        <v/>
      </c>
      <c r="C23" s="8" t="inlineStr">
        <is>
          <t>Includes Cosmic weight (0.12) * inner mix</t>
        </is>
      </c>
    </row>
    <row r="24">
      <c r="A24" s="8" t="inlineStr">
        <is>
          <t>InteractionBonus</t>
        </is>
      </c>
      <c r="B24" s="8">
        <f>0</f>
        <v/>
      </c>
      <c r="C24" s="8" t="inlineStr">
        <is>
          <t>Normalized -0.06..+0.06 (hook your InteractionRules)</t>
        </is>
      </c>
    </row>
    <row r="25">
      <c r="A25" s="8" t="inlineStr">
        <is>
          <t>HardPenalty</t>
        </is>
      </c>
      <c r="B25" s="8">
        <f>0</f>
        <v/>
      </c>
      <c r="C25" s="8" t="inlineStr">
        <is>
          <t>Normalized 0..0.18 (severe contradiction / dangerous pair)</t>
        </is>
      </c>
    </row>
    <row r="26">
      <c r="A26" s="8" t="inlineStr">
        <is>
          <t>RawMatch</t>
        </is>
      </c>
      <c r="B26" s="8">
        <f>MAX(0,MIN(1,B22+B23+B24+B25 + B26 - B27))</f>
        <v/>
      </c>
      <c r="C26" s="8" t="inlineStr">
        <is>
          <t>Clamped 0–1</t>
        </is>
      </c>
    </row>
    <row r="27">
      <c r="A27" s="8" t="inlineStr">
        <is>
          <t>CompatibilityScore_350_850</t>
        </is>
      </c>
      <c r="B27" s="8">
        <f>350+500*B28</f>
        <v/>
      </c>
      <c r="C27" s="8" t="inlineStr">
        <is>
          <t>Headline score</t>
        </is>
      </c>
    </row>
    <row r="28">
      <c r="A28" s="8" t="inlineStr">
        <is>
          <t>StabilityScore_0_100</t>
        </is>
      </c>
      <c r="B28" s="8">
        <f>100*(B23/Schema_v5!$C$16)</f>
        <v/>
      </c>
      <c r="C28" s="8" t="inlineStr">
        <is>
          <t>Remove outer weight to show stability itself</t>
        </is>
      </c>
    </row>
    <row r="29">
      <c r="A29" s="8" t="inlineStr">
        <is>
          <t>ChemistryScore_0_100</t>
        </is>
      </c>
      <c r="B29" s="8">
        <f>100*(B24/Schema_v5!$C$17)</f>
        <v/>
      </c>
      <c r="C29" s="8" t="inlineStr">
        <is>
          <t>Remove outer weight to show chemistry itself</t>
        </is>
      </c>
    </row>
    <row r="30">
      <c r="A30" s="8" t="inlineStr">
        <is>
          <t>CosmicOverlayScore_0_100</t>
        </is>
      </c>
      <c r="B30" s="8">
        <f>100*(B25/Schema_v5!$C$18)</f>
        <v/>
      </c>
      <c r="C30" s="8" t="inlineStr">
        <is>
          <t>Remove outer weight to show cosmic overlay itself</t>
        </is>
      </c>
    </row>
    <row r="31">
      <c r="A31" s="8" t="inlineStr">
        <is>
          <t>TierLabel</t>
        </is>
      </c>
      <c r="B31" s="8">
        <f>IF(AND(B29&gt;=750,B30&gt;=72,B31&gt;=60),"Soul-aligned",IF(AND(B29&gt;=670,B29&lt;=749,B30&gt;=58),"Strong potential",IF(AND(B29&gt;=650,B31&gt;=75,B30&lt;58),"Magnetic but risky",IF(AND(B29&gt;=560,B29&lt;=669),"Possible but unstable",IF(OR(B29&lt;560,B30&lt;40),"Red flag zone","Unclassified")))))</f>
        <v/>
      </c>
      <c r="C31" s="8" t="inlineStr">
        <is>
          <t>Uses the tier logic you specified</t>
        </is>
      </c>
    </row>
    <row r="32">
      <c r="A32" s="8" t="inlineStr">
        <is>
          <t>TierReasonPrimary</t>
        </is>
      </c>
      <c r="B32" s="8">
        <f>"Top driver: "&amp;IF(B30&lt;58,"Stability","Compatibility")</f>
        <v/>
      </c>
      <c r="C32" s="8" t="inlineStr">
        <is>
          <t>Simple placeholder; refine later</t>
        </is>
      </c>
    </row>
    <row r="33">
      <c r="A33" s="8" t="inlineStr">
        <is>
          <t>TierReasonSecondary</t>
        </is>
      </c>
      <c r="B33" s="8">
        <f>"Watch: "&amp;IF(B15&gt;0.5,"Shadow activation","Pace/needs mismatch")</f>
        <v/>
      </c>
      <c r="C33" s="8" t="inlineStr">
        <is>
          <t>Simple placeholder; refine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Genesis OS v4.1 — Deterministic Scoring Workbook (Full formulas, pre-user-data)</t>
        </is>
      </c>
    </row>
    <row r="3">
      <c r="A3" t="inlineStr">
        <is>
          <t>Sheets:</t>
        </is>
      </c>
    </row>
    <row r="4">
      <c r="A4" t="inlineStr">
        <is>
          <t>• TestHarness_v4 → enter answer_ids for two users (Q1–Q60). Computes readiness + BehaviorCore + penalties.</t>
        </is>
      </c>
    </row>
    <row r="5">
      <c r="A5" t="inlineStr">
        <is>
          <t>• FinalScores_v4 → computes Compatibility 350–850 and Forecast 0–100 using all matrices + the v4 deterministic formula.</t>
        </is>
      </c>
    </row>
    <row r="7">
      <c r="A7" t="inlineStr">
        <is>
          <t>Rule: Q1–Q50 count toward readiness/behavior. Q51–Q60 are shadow/integrity only.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95" customWidth="1" min="3" max="3"/>
    <col width="12" customWidth="1" min="4" max="4"/>
    <col width="18.9" customWidth="1" min="5" max="5"/>
    <col width="17.85" customWidth="1" min="6" max="6"/>
    <col width="19.95" customWidth="1" min="7" max="7"/>
    <col width="13.65" customWidth="1" min="8" max="8"/>
    <col width="16.8" customWidth="1" min="9" max="9"/>
    <col width="13.65" customWidth="1" min="10" max="10"/>
    <col width="12" customWidth="1" min="11" max="11"/>
    <col width="12.6" customWidth="1" min="12" max="12"/>
    <col width="21" customWidth="1" min="13" max="13"/>
    <col width="19.95" customWidth="1" min="14" max="14"/>
    <col width="24.15" customWidth="1" min="15" max="15"/>
    <col width="18.9" customWidth="1" min="16" max="16"/>
    <col width="12" customWidth="1" min="17" max="17"/>
    <col width="12.6" customWidth="1" min="18" max="18"/>
    <col width="12" customWidth="1" min="19" max="19"/>
    <col width="14.7" customWidth="1" min="20" max="20"/>
    <col width="22.05" customWidth="1" min="21" max="21"/>
    <col width="12.6" customWidth="1" min="22" max="22"/>
    <col width="23.1" customWidth="1" min="23" max="23"/>
    <col width="22.05" customWidth="1" min="24" max="24"/>
    <col width="12" customWidth="1" min="25" max="25"/>
    <col width="16.8" customWidth="1" min="26" max="26"/>
    <col width="13.65" customWidth="1" min="27" max="27"/>
    <col width="12.6" customWidth="1" min="28" max="28"/>
    <col width="12" customWidth="1" min="29" max="29"/>
    <col width="12" customWidth="1" min="30" max="30"/>
    <col width="23.1" customWidth="1" min="31" max="31"/>
    <col width="12" customWidth="1" min="32" max="32"/>
    <col width="18.9" customWidth="1" min="33" max="33"/>
    <col width="12.6" customWidth="1" min="34" max="34"/>
    <col width="16.8" customWidth="1" min="35" max="35"/>
    <col width="17.85" customWidth="1" min="36" max="36"/>
    <col width="15.75" customWidth="1" min="37" max="37"/>
    <col width="18.9" customWidth="1" min="38" max="38"/>
    <col width="15.75" customWidth="1" min="39" max="39"/>
    <col width="14.7" customWidth="1" min="40" max="40"/>
    <col width="12.6" customWidth="1" min="41" max="41"/>
    <col width="16.8" customWidth="1" min="42" max="42"/>
  </cols>
  <sheetData>
    <row r="1">
      <c r="A1" s="2" t="inlineStr">
        <is>
          <t>answer_id</t>
        </is>
      </c>
      <c r="B1" s="2" t="inlineStr">
        <is>
          <t>canonical_q</t>
        </is>
      </c>
      <c r="C1" s="2" t="inlineStr">
        <is>
          <t>question_number_int</t>
        </is>
      </c>
      <c r="D1" s="2" t="inlineStr">
        <is>
          <t>phase</t>
        </is>
      </c>
      <c r="E1" s="2" t="inlineStr">
        <is>
          <t>question_weight_v3</t>
        </is>
      </c>
      <c r="F1" s="2" t="inlineStr">
        <is>
          <t>dimension_primary</t>
        </is>
      </c>
      <c r="G1" s="2" t="inlineStr">
        <is>
          <t>dimension_secondary</t>
        </is>
      </c>
      <c r="H1" s="2" t="inlineStr">
        <is>
          <t>question_text</t>
        </is>
      </c>
      <c r="I1" s="2" t="inlineStr">
        <is>
          <t>answer_option_id</t>
        </is>
      </c>
      <c r="J1" s="2" t="inlineStr">
        <is>
          <t>answer_letter</t>
        </is>
      </c>
      <c r="K1" s="2" t="inlineStr">
        <is>
          <t>answer_text</t>
        </is>
      </c>
      <c r="L1" s="2" t="inlineStr">
        <is>
          <t>score_weight</t>
        </is>
      </c>
      <c r="M1" s="2" t="inlineStr">
        <is>
          <t>compatibility_weight</t>
        </is>
      </c>
      <c r="N1" s="2" t="inlineStr">
        <is>
          <t>readiness_points_v3</t>
        </is>
      </c>
      <c r="O1" s="2" t="inlineStr">
        <is>
          <t>compatibility_stance_v3</t>
        </is>
      </c>
      <c r="P1" s="2" t="inlineStr">
        <is>
          <t>forecast_points_v3</t>
        </is>
      </c>
      <c r="Q1" s="2" t="inlineStr">
        <is>
          <t>archetype</t>
        </is>
      </c>
      <c r="R1" s="2" t="inlineStr">
        <is>
          <t>archetype_id</t>
        </is>
      </c>
      <c r="S1" s="2" t="inlineStr">
        <is>
          <t>shadow_type</t>
        </is>
      </c>
      <c r="T1" s="2" t="inlineStr">
        <is>
          <t>shadow_type_id</t>
        </is>
      </c>
      <c r="U1" s="2" t="inlineStr">
        <is>
          <t>shadow_risk_points_v3</t>
        </is>
      </c>
      <c r="V1" s="2" t="inlineStr">
        <is>
          <t>polarity_tag</t>
        </is>
      </c>
      <c r="W1" s="2" t="inlineStr">
        <is>
          <t>polarity_masc_delta_v3</t>
        </is>
      </c>
      <c r="X1" s="2" t="inlineStr">
        <is>
          <t>polarity_fem_delta_v3</t>
        </is>
      </c>
      <c r="Y1" s="2" t="inlineStr">
        <is>
          <t>comm_style</t>
        </is>
      </c>
      <c r="Z1" s="2" t="inlineStr">
        <is>
          <t>regulation_style</t>
        </is>
      </c>
      <c r="AA1" s="2" t="inlineStr">
        <is>
          <t>love_language</t>
        </is>
      </c>
      <c r="AB1" s="2" t="inlineStr">
        <is>
          <t>cluster_tags</t>
        </is>
      </c>
      <c r="AC1" s="2" t="inlineStr">
        <is>
          <t>cluster_1</t>
        </is>
      </c>
      <c r="AD1" s="2" t="inlineStr">
        <is>
          <t>cluster_2</t>
        </is>
      </c>
      <c r="AE1" s="2" t="inlineStr">
        <is>
          <t>cluster_penalty_points</t>
        </is>
      </c>
      <c r="AF1" s="2" t="inlineStr">
        <is>
          <t>pattern_tag</t>
        </is>
      </c>
      <c r="AG1" s="2" t="inlineStr">
        <is>
          <t>match_behavior_tag</t>
        </is>
      </c>
      <c r="AH1" s="2" t="inlineStr">
        <is>
          <t>pattern_risk</t>
        </is>
      </c>
      <c r="AI1" s="2" t="inlineStr">
        <is>
          <t>consistency_flag</t>
        </is>
      </c>
      <c r="AJ1" s="2" t="inlineStr">
        <is>
          <t>integrity_flag_v3</t>
        </is>
      </c>
      <c r="AK1" s="2" t="inlineStr">
        <is>
          <t>drift_relevance</t>
        </is>
      </c>
      <c r="AL1" s="2" t="inlineStr">
        <is>
          <t>forecast_relevance</t>
        </is>
      </c>
      <c r="AM1" s="2" t="inlineStr">
        <is>
          <t>energy_type_tag</t>
        </is>
      </c>
      <c r="AN1" s="2" t="inlineStr">
        <is>
          <t>emotion_family</t>
        </is>
      </c>
      <c r="AO1" s="2" t="inlineStr">
        <is>
          <t>emotion_cell</t>
        </is>
      </c>
      <c r="AP1" s="2" t="inlineStr">
        <is>
          <t>version_snapshot</t>
        </is>
      </c>
    </row>
    <row r="2">
      <c r="A2" s="3" t="inlineStr">
        <is>
          <t>Q01_A</t>
        </is>
      </c>
      <c r="B2" s="3" t="n">
        <v>1</v>
      </c>
      <c r="C2" s="3" t="n">
        <v>1</v>
      </c>
      <c r="D2" s="3" t="inlineStr">
        <is>
          <t>Core</t>
        </is>
      </c>
      <c r="E2" s="3" t="n">
        <v>1</v>
      </c>
      <c r="F2" s="3" t="inlineStr">
        <is>
          <t>CommunicationHealth</t>
        </is>
      </c>
      <c r="G2" s="3" t="inlineStr">
        <is>
          <t>EmotionalNeeds</t>
        </is>
      </c>
      <c r="H2" s="3" t="inlineStr">
        <is>
          <t>When something feels off between you and someone you're dating, what usually happens next-internally or outwardly?</t>
        </is>
      </c>
      <c r="I2" s="3" t="inlineStr">
        <is>
          <t>A</t>
        </is>
      </c>
      <c r="J2" s="3" t="inlineStr">
        <is>
          <t>A</t>
        </is>
      </c>
      <c r="K2" s="3" t="inlineStr">
        <is>
          <t>It's probably nothing. I just shift into neutral and let it play out. If they bring it up, cool. If not, I'm not pushing it.</t>
        </is>
      </c>
      <c r="L2" s="3" t="n">
        <v>3</v>
      </c>
      <c r="M2" s="3" t="n">
        <v>4</v>
      </c>
      <c r="N2" s="3" t="n">
        <v>0</v>
      </c>
      <c r="O2" s="3" t="n">
        <v>0</v>
      </c>
      <c r="P2" s="3" t="n">
        <v>0</v>
      </c>
      <c r="Q2" s="3" t="inlineStr">
        <is>
          <t>Icebox</t>
        </is>
      </c>
      <c r="R2" s="3" t="n">
        <v>1</v>
      </c>
      <c r="S2" s="3" t="inlineStr"/>
      <c r="T2" s="3" t="inlineStr"/>
      <c r="U2" s="3" t="n">
        <v>0</v>
      </c>
      <c r="V2" s="3" t="inlineStr">
        <is>
          <t>masc:1.8;fem:-1.6</t>
        </is>
      </c>
      <c r="W2" s="3" t="n">
        <v>1.8</v>
      </c>
      <c r="X2" s="3" t="n">
        <v>-1.6</v>
      </c>
      <c r="Y2" s="3" t="inlineStr">
        <is>
          <t>COMM_Avoidant</t>
        </is>
      </c>
      <c r="Z2" s="3" t="inlineStr">
        <is>
          <t>REG_Suppressor</t>
        </is>
      </c>
      <c r="AA2" s="3" t="inlineStr">
        <is>
          <t>LANG_Time</t>
        </is>
      </c>
      <c r="AB2" s="3" t="inlineStr">
        <is>
          <t>Vulnerability_Loop , Pursuer_Distancer</t>
        </is>
      </c>
      <c r="AC2" s="3" t="inlineStr">
        <is>
          <t>Vulnerability_Loop</t>
        </is>
      </c>
      <c r="AD2" s="3" t="inlineStr">
        <is>
          <t>Pursuer_Distancer</t>
        </is>
      </c>
      <c r="AE2" s="3" t="n">
        <v>11</v>
      </c>
      <c r="AF2" s="3" t="inlineStr">
        <is>
          <t>emotional disengage</t>
        </is>
      </c>
      <c r="AG2" s="3" t="inlineStr">
        <is>
          <t>passive drifter</t>
        </is>
      </c>
      <c r="AH2" s="3" t="n">
        <v>0</v>
      </c>
      <c r="AI2" s="3" t="inlineStr">
        <is>
          <t>yes</t>
        </is>
      </c>
      <c r="AJ2" s="3" t="inlineStr">
        <is>
          <t>no</t>
        </is>
      </c>
      <c r="AK2" s="3" t="inlineStr">
        <is>
          <t>yes</t>
        </is>
      </c>
      <c r="AL2" s="3" t="inlineStr">
        <is>
          <t>yes</t>
        </is>
      </c>
      <c r="AM2" s="3" t="inlineStr"/>
      <c r="AN2" s="3" t="inlineStr"/>
      <c r="AO2" s="3" t="inlineStr"/>
      <c r="AP2" s="3" t="inlineStr">
        <is>
          <t>v3_2026-03-19</t>
        </is>
      </c>
    </row>
    <row r="3">
      <c r="A3" s="3" t="inlineStr">
        <is>
          <t>Q01_B</t>
        </is>
      </c>
      <c r="B3" s="3" t="n">
        <v>1</v>
      </c>
      <c r="C3" s="3" t="n">
        <v>1</v>
      </c>
      <c r="D3" s="3" t="inlineStr">
        <is>
          <t>Core</t>
        </is>
      </c>
      <c r="E3" s="3" t="n">
        <v>1</v>
      </c>
      <c r="F3" s="3" t="inlineStr">
        <is>
          <t>CommunicationHealth</t>
        </is>
      </c>
      <c r="G3" s="3" t="inlineStr">
        <is>
          <t>EmotionalNeeds</t>
        </is>
      </c>
      <c r="H3" s="3" t="inlineStr"/>
      <c r="I3" s="3" t="inlineStr">
        <is>
          <t>B</t>
        </is>
      </c>
      <c r="J3" s="3" t="inlineStr">
        <is>
          <t>B</t>
        </is>
      </c>
      <c r="K3" s="3" t="inlineStr">
        <is>
          <t>I start rereading everything. The tone in a text. A pause that felt a little too long. I like turning it into a puzzle to solve.</t>
        </is>
      </c>
      <c r="L3" s="3" t="n">
        <v>6</v>
      </c>
      <c r="M3" s="3" t="n">
        <v>7</v>
      </c>
      <c r="N3" s="3" t="n">
        <v>4</v>
      </c>
      <c r="O3" s="3" t="n">
        <v>6</v>
      </c>
      <c r="P3" s="3" t="n">
        <v>4</v>
      </c>
      <c r="Q3" s="3" t="inlineStr">
        <is>
          <t>Analyzer</t>
        </is>
      </c>
      <c r="R3" s="3" t="n">
        <v>2</v>
      </c>
      <c r="S3" s="3" t="inlineStr"/>
      <c r="T3" s="3" t="inlineStr"/>
      <c r="U3" s="3" t="n">
        <v>0</v>
      </c>
      <c r="V3" s="3" t="inlineStr">
        <is>
          <t>masc:1.4;fem:0.1</t>
        </is>
      </c>
      <c r="W3" s="3" t="n">
        <v>1.4</v>
      </c>
      <c r="X3" s="3" t="n">
        <v>0.1</v>
      </c>
      <c r="Y3" s="3" t="inlineStr">
        <is>
          <t>COMM_Logical</t>
        </is>
      </c>
      <c r="Z3" s="3" t="inlineStr">
        <is>
          <t>REG_SelfSoother</t>
        </is>
      </c>
      <c r="AA3" s="3" t="inlineStr">
        <is>
          <t>LANG_Service</t>
        </is>
      </c>
      <c r="AB3" s="3" t="inlineStr">
        <is>
          <t>Trust_Tension</t>
        </is>
      </c>
      <c r="AC3" s="3" t="inlineStr">
        <is>
          <t>Trust_Tension</t>
        </is>
      </c>
      <c r="AD3" s="3" t="inlineStr"/>
      <c r="AE3" s="3" t="n">
        <v>6</v>
      </c>
      <c r="AF3" s="3" t="inlineStr">
        <is>
          <t>overanalysis</t>
        </is>
      </c>
      <c r="AG3" s="3" t="inlineStr">
        <is>
          <t>hyper-vigilant decoder</t>
        </is>
      </c>
      <c r="AH3" s="3" t="n">
        <v>0</v>
      </c>
      <c r="AI3" s="3" t="inlineStr">
        <is>
          <t>yes</t>
        </is>
      </c>
      <c r="AJ3" s="3" t="inlineStr">
        <is>
          <t>no</t>
        </is>
      </c>
      <c r="AK3" s="3" t="inlineStr">
        <is>
          <t>yes</t>
        </is>
      </c>
      <c r="AL3" s="3" t="inlineStr">
        <is>
          <t>yes</t>
        </is>
      </c>
      <c r="AM3" s="3" t="inlineStr"/>
      <c r="AN3" s="3" t="inlineStr"/>
      <c r="AO3" s="3" t="inlineStr"/>
      <c r="AP3" s="3" t="inlineStr">
        <is>
          <t>v3_2026-03-19</t>
        </is>
      </c>
    </row>
    <row r="4">
      <c r="A4" s="3" t="inlineStr">
        <is>
          <t>Q01_C</t>
        </is>
      </c>
      <c r="B4" s="3" t="n">
        <v>1</v>
      </c>
      <c r="C4" s="3" t="n">
        <v>1</v>
      </c>
      <c r="D4" s="3" t="inlineStr">
        <is>
          <t>Core</t>
        </is>
      </c>
      <c r="E4" s="3" t="n">
        <v>1</v>
      </c>
      <c r="F4" s="3" t="inlineStr">
        <is>
          <t>CommunicationHealth</t>
        </is>
      </c>
      <c r="G4" s="3" t="inlineStr">
        <is>
          <t>EmotionalNeeds</t>
        </is>
      </c>
      <c r="H4" s="3" t="inlineStr"/>
      <c r="I4" s="3" t="inlineStr">
        <is>
          <t>C</t>
        </is>
      </c>
      <c r="J4" s="3" t="inlineStr">
        <is>
          <t>C</t>
        </is>
      </c>
      <c r="K4" s="3" t="inlineStr">
        <is>
          <t>I'll bring something up, but I usually wrap it in a joke or a side comment. I'd rather ease into it than make it feel too serious.</t>
        </is>
      </c>
      <c r="L4" s="3" t="n">
        <v>7</v>
      </c>
      <c r="M4" s="3" t="n">
        <v>8</v>
      </c>
      <c r="N4" s="3" t="n">
        <v>6</v>
      </c>
      <c r="O4" s="3" t="n">
        <v>8</v>
      </c>
      <c r="P4" s="3" t="n">
        <v>8</v>
      </c>
      <c r="Q4" s="3" t="inlineStr">
        <is>
          <t>Translator</t>
        </is>
      </c>
      <c r="R4" s="3" t="n">
        <v>3</v>
      </c>
      <c r="S4" s="3" t="inlineStr"/>
      <c r="T4" s="3" t="inlineStr"/>
      <c r="U4" s="3" t="n">
        <v>0</v>
      </c>
      <c r="V4" s="3" t="inlineStr">
        <is>
          <t>masc:-0.1;fem:1.6</t>
        </is>
      </c>
      <c r="W4" s="3" t="n">
        <v>-0.1</v>
      </c>
      <c r="X4" s="3" t="n">
        <v>1.6</v>
      </c>
      <c r="Y4" s="3" t="inlineStr">
        <is>
          <t>COMM_Indirect</t>
        </is>
      </c>
      <c r="Z4" s="3" t="inlineStr">
        <is>
          <t>REG_CoRegulator</t>
        </is>
      </c>
      <c r="AA4" s="3" t="inlineStr">
        <is>
          <t>LANG_Words</t>
        </is>
      </c>
      <c r="AB4" s="3" t="inlineStr"/>
      <c r="AC4" s="3" t="inlineStr"/>
      <c r="AD4" s="3" t="inlineStr"/>
      <c r="AE4" s="3" t="n">
        <v>0</v>
      </c>
      <c r="AF4" s="3" t="inlineStr">
        <is>
          <t>soft entry communication</t>
        </is>
      </c>
      <c r="AG4" s="3" t="inlineStr">
        <is>
          <t>light approach</t>
        </is>
      </c>
      <c r="AH4" s="3" t="n">
        <v>0</v>
      </c>
      <c r="AI4" s="3" t="inlineStr">
        <is>
          <t>no</t>
        </is>
      </c>
      <c r="AJ4" s="3" t="inlineStr">
        <is>
          <t>no</t>
        </is>
      </c>
      <c r="AK4" s="3" t="inlineStr">
        <is>
          <t>yes</t>
        </is>
      </c>
      <c r="AL4" s="3" t="inlineStr">
        <is>
          <t>yes</t>
        </is>
      </c>
      <c r="AM4" s="3" t="inlineStr"/>
      <c r="AN4" s="3" t="inlineStr"/>
      <c r="AO4" s="3" t="inlineStr"/>
      <c r="AP4" s="3" t="inlineStr">
        <is>
          <t>v3_2026-03-19</t>
        </is>
      </c>
    </row>
    <row r="5">
      <c r="A5" s="3" t="inlineStr">
        <is>
          <t>Q01_D</t>
        </is>
      </c>
      <c r="B5" s="3" t="n">
        <v>1</v>
      </c>
      <c r="C5" s="3" t="n">
        <v>1</v>
      </c>
      <c r="D5" s="3" t="inlineStr">
        <is>
          <t>Core</t>
        </is>
      </c>
      <c r="E5" s="3" t="n">
        <v>1</v>
      </c>
      <c r="F5" s="3" t="inlineStr">
        <is>
          <t>CommunicationHealth</t>
        </is>
      </c>
      <c r="G5" s="3" t="inlineStr">
        <is>
          <t>EmotionalNeeds</t>
        </is>
      </c>
      <c r="H5" s="3" t="inlineStr"/>
      <c r="I5" s="3" t="inlineStr">
        <is>
          <t>D</t>
        </is>
      </c>
      <c r="J5" s="3" t="inlineStr">
        <is>
          <t>D</t>
        </is>
      </c>
      <c r="K5" s="3" t="inlineStr">
        <is>
          <t>I usually wait. Not to avoid it, just to feel it out first. I've learned not everything needs a reaction, but if it lingers, I'll say something.</t>
        </is>
      </c>
      <c r="L5" s="3" t="n">
        <v>8</v>
      </c>
      <c r="M5" s="3" t="n">
        <v>8</v>
      </c>
      <c r="N5" s="3" t="n">
        <v>8</v>
      </c>
      <c r="O5" s="3" t="n">
        <v>8</v>
      </c>
      <c r="P5" s="3" t="n">
        <v>6</v>
      </c>
      <c r="Q5" s="3" t="inlineStr">
        <is>
          <t>Survivor</t>
        </is>
      </c>
      <c r="R5" s="3" t="n">
        <v>8</v>
      </c>
      <c r="S5" s="3" t="inlineStr"/>
      <c r="T5" s="3" t="inlineStr"/>
      <c r="U5" s="3" t="n">
        <v>0</v>
      </c>
      <c r="V5" s="3" t="inlineStr">
        <is>
          <t>masc:0.3;fem:1.3</t>
        </is>
      </c>
      <c r="W5" s="3" t="n">
        <v>0.3</v>
      </c>
      <c r="X5" s="3" t="n">
        <v>1.3</v>
      </c>
      <c r="Y5" s="3" t="inlineStr">
        <is>
          <t>COMM_Emotional</t>
        </is>
      </c>
      <c r="Z5" s="3" t="inlineStr">
        <is>
          <t>REG_SelfSoother</t>
        </is>
      </c>
      <c r="AA5" s="3" t="inlineStr">
        <is>
          <t>LANG_Service</t>
        </is>
      </c>
      <c r="AB5" s="3" t="inlineStr"/>
      <c r="AC5" s="3" t="inlineStr"/>
      <c r="AD5" s="3" t="inlineStr"/>
      <c r="AE5" s="3" t="n">
        <v>0</v>
      </c>
      <c r="AF5" s="3" t="inlineStr">
        <is>
          <t>measured patience</t>
        </is>
      </c>
      <c r="AG5" s="3" t="inlineStr">
        <is>
          <t>cautious feeler</t>
        </is>
      </c>
      <c r="AH5" s="3" t="n">
        <v>0.6</v>
      </c>
      <c r="AI5" s="3" t="inlineStr">
        <is>
          <t>no</t>
        </is>
      </c>
      <c r="AJ5" s="3" t="inlineStr">
        <is>
          <t>no</t>
        </is>
      </c>
      <c r="AK5" s="3" t="inlineStr">
        <is>
          <t>yes</t>
        </is>
      </c>
      <c r="AL5" s="3" t="inlineStr">
        <is>
          <t>yes</t>
        </is>
      </c>
      <c r="AM5" s="3" t="inlineStr"/>
      <c r="AN5" s="3" t="inlineStr"/>
      <c r="AO5" s="3" t="inlineStr"/>
      <c r="AP5" s="3" t="inlineStr">
        <is>
          <t>v3_2026-03-19</t>
        </is>
      </c>
    </row>
    <row r="6">
      <c r="A6" s="3" t="inlineStr">
        <is>
          <t>Q01_E</t>
        </is>
      </c>
      <c r="B6" s="3" t="n">
        <v>1</v>
      </c>
      <c r="C6" s="3" t="n">
        <v>1</v>
      </c>
      <c r="D6" s="3" t="inlineStr">
        <is>
          <t>Core</t>
        </is>
      </c>
      <c r="E6" s="3" t="n">
        <v>1</v>
      </c>
      <c r="F6" s="3" t="inlineStr">
        <is>
          <t>CommunicationHealth</t>
        </is>
      </c>
      <c r="G6" s="3" t="inlineStr">
        <is>
          <t>EmotionalNeeds</t>
        </is>
      </c>
      <c r="H6" s="3" t="inlineStr"/>
      <c r="I6" s="3" t="inlineStr">
        <is>
          <t>E</t>
        </is>
      </c>
      <c r="J6" s="3" t="inlineStr">
        <is>
          <t>E</t>
        </is>
      </c>
      <c r="K6" s="3" t="inlineStr">
        <is>
          <t>I don't do weird energy. I'm not unkind, but I also don't pretend. If something's off, I'm not sitting in it quietly.</t>
        </is>
      </c>
      <c r="L6" s="3" t="n">
        <v>9</v>
      </c>
      <c r="M6" s="3" t="n">
        <v>9</v>
      </c>
      <c r="N6" s="3" t="n">
        <v>10</v>
      </c>
      <c r="O6" s="3" t="n">
        <v>10</v>
      </c>
      <c r="P6" s="3" t="n">
        <v>10</v>
      </c>
      <c r="Q6" s="3" t="inlineStr">
        <is>
          <t>Regulated Grown-Up</t>
        </is>
      </c>
      <c r="R6" s="3" t="n">
        <v>9</v>
      </c>
      <c r="S6" s="3" t="inlineStr"/>
      <c r="T6" s="3" t="inlineStr"/>
      <c r="U6" s="3" t="n">
        <v>0</v>
      </c>
      <c r="V6" s="3" t="inlineStr">
        <is>
          <t>masc:1.1;fem:0.9</t>
        </is>
      </c>
      <c r="W6" s="3" t="n">
        <v>1.1</v>
      </c>
      <c r="X6" s="3" t="n">
        <v>0.9</v>
      </c>
      <c r="Y6" s="3" t="inlineStr">
        <is>
          <t>COMM_Direct</t>
        </is>
      </c>
      <c r="Z6" s="3" t="inlineStr">
        <is>
          <t>REG_CoRegulator</t>
        </is>
      </c>
      <c r="AA6" s="3" t="inlineStr">
        <is>
          <t>LANG_Words</t>
        </is>
      </c>
      <c r="AB6" s="3" t="inlineStr"/>
      <c r="AC6" s="3" t="inlineStr"/>
      <c r="AD6" s="3" t="inlineStr"/>
      <c r="AE6" s="3" t="n">
        <v>0</v>
      </c>
      <c r="AF6" s="3" t="inlineStr">
        <is>
          <t>direct boundary setting</t>
        </is>
      </c>
      <c r="AG6" s="3" t="inlineStr">
        <is>
          <t>clear communicator</t>
        </is>
      </c>
      <c r="AH6" s="3" t="n">
        <v>0</v>
      </c>
      <c r="AI6" s="3" t="inlineStr">
        <is>
          <t>no</t>
        </is>
      </c>
      <c r="AJ6" s="3" t="inlineStr">
        <is>
          <t>no</t>
        </is>
      </c>
      <c r="AK6" s="3" t="inlineStr">
        <is>
          <t>yes</t>
        </is>
      </c>
      <c r="AL6" s="3" t="inlineStr">
        <is>
          <t>yes</t>
        </is>
      </c>
      <c r="AM6" s="3" t="inlineStr"/>
      <c r="AN6" s="3" t="inlineStr"/>
      <c r="AO6" s="3" t="inlineStr"/>
      <c r="AP6" s="3" t="inlineStr">
        <is>
          <t>v3_2026-03-19</t>
        </is>
      </c>
    </row>
    <row r="7">
      <c r="A7" s="3" t="inlineStr">
        <is>
          <t>Q02_A</t>
        </is>
      </c>
      <c r="B7" s="3" t="n">
        <v>2</v>
      </c>
      <c r="C7" s="3" t="n">
        <v>2</v>
      </c>
      <c r="D7" s="3" t="inlineStr">
        <is>
          <t>Core</t>
        </is>
      </c>
      <c r="E7" s="3" t="n">
        <v>1</v>
      </c>
      <c r="F7" s="3" t="inlineStr">
        <is>
          <t>CommunicationHealth</t>
        </is>
      </c>
      <c r="G7" s="3" t="inlineStr">
        <is>
          <t>EmotionalNeeds</t>
        </is>
      </c>
      <c r="H7" s="3" t="inlineStr">
        <is>
          <t>You bring up something that bothered you. They brush it off or make a joke. What's your honest reaction?</t>
        </is>
      </c>
      <c r="I7" s="3" t="inlineStr">
        <is>
          <t>A</t>
        </is>
      </c>
      <c r="J7" s="3" t="inlineStr">
        <is>
          <t>A</t>
        </is>
      </c>
      <c r="K7" s="3" t="inlineStr">
        <is>
          <t>Not surprised. I usually go quieter after that. I've seen this play out before, no point chasing clarity where it's not offered.</t>
        </is>
      </c>
      <c r="L7" s="3" t="n">
        <v>5</v>
      </c>
      <c r="M7" s="3" t="n">
        <v>6</v>
      </c>
      <c r="N7" s="3" t="n">
        <v>0</v>
      </c>
      <c r="O7" s="3" t="n">
        <v>0</v>
      </c>
      <c r="P7" s="3" t="n">
        <v>0</v>
      </c>
      <c r="Q7" s="3" t="inlineStr">
        <is>
          <t>Quiet Exit</t>
        </is>
      </c>
      <c r="R7" s="3" t="n">
        <v>4</v>
      </c>
      <c r="S7" s="3" t="inlineStr"/>
      <c r="T7" s="3" t="inlineStr"/>
      <c r="U7" s="3" t="n">
        <v>0</v>
      </c>
      <c r="V7" s="3" t="inlineStr">
        <is>
          <t>masc:1.4;fem:-1.3</t>
        </is>
      </c>
      <c r="W7" s="3" t="n">
        <v>1.4</v>
      </c>
      <c r="X7" s="3" t="n">
        <v>-1.3</v>
      </c>
      <c r="Y7" s="3" t="inlineStr">
        <is>
          <t>COMM_Avoidant</t>
        </is>
      </c>
      <c r="Z7" s="3" t="inlineStr">
        <is>
          <t>REG_Suppressor</t>
        </is>
      </c>
      <c r="AA7" s="3" t="inlineStr">
        <is>
          <t>LANG_Time</t>
        </is>
      </c>
      <c r="AB7" s="3" t="inlineStr">
        <is>
          <t>Vulnerability_Loop , Pursuer_Distancer</t>
        </is>
      </c>
      <c r="AC7" s="3" t="inlineStr">
        <is>
          <t>Vulnerability_Loop</t>
        </is>
      </c>
      <c r="AD7" s="3" t="inlineStr">
        <is>
          <t>Pursuer_Distancer</t>
        </is>
      </c>
      <c r="AE7" s="3" t="n">
        <v>11</v>
      </c>
      <c r="AF7" s="3" t="inlineStr">
        <is>
          <t>withdrawal after dismissal</t>
        </is>
      </c>
      <c r="AG7" s="3" t="inlineStr">
        <is>
          <t>silent step-back</t>
        </is>
      </c>
      <c r="AH7" s="3" t="n">
        <v>0.8</v>
      </c>
      <c r="AI7" s="3" t="inlineStr">
        <is>
          <t>yes</t>
        </is>
      </c>
      <c r="AJ7" s="3" t="inlineStr">
        <is>
          <t>no</t>
        </is>
      </c>
      <c r="AK7" s="3" t="inlineStr">
        <is>
          <t>yes</t>
        </is>
      </c>
      <c r="AL7" s="3" t="inlineStr">
        <is>
          <t>yes</t>
        </is>
      </c>
      <c r="AM7" s="3" t="inlineStr"/>
      <c r="AN7" s="3" t="inlineStr"/>
      <c r="AO7" s="3" t="inlineStr"/>
      <c r="AP7" s="3" t="inlineStr">
        <is>
          <t>v3_2026-03-19</t>
        </is>
      </c>
    </row>
    <row r="8">
      <c r="A8" s="3" t="inlineStr">
        <is>
          <t>Q02_B</t>
        </is>
      </c>
      <c r="B8" s="3" t="n">
        <v>2</v>
      </c>
      <c r="C8" s="3" t="n">
        <v>2</v>
      </c>
      <c r="D8" s="3" t="inlineStr">
        <is>
          <t>Core</t>
        </is>
      </c>
      <c r="E8" s="3" t="n">
        <v>1</v>
      </c>
      <c r="F8" s="3" t="inlineStr">
        <is>
          <t>CommunicationHealth</t>
        </is>
      </c>
      <c r="G8" s="3" t="inlineStr">
        <is>
          <t>EmotionalNeeds</t>
        </is>
      </c>
      <c r="H8" s="3" t="inlineStr"/>
      <c r="I8" s="3" t="inlineStr">
        <is>
          <t>B</t>
        </is>
      </c>
      <c r="J8" s="3" t="inlineStr">
        <is>
          <t>B</t>
        </is>
      </c>
      <c r="K8" s="3" t="inlineStr">
        <is>
          <t>I'll play along, but it definitely changes how I see them. I keep score, even if they never know it.</t>
        </is>
      </c>
      <c r="L8" s="3" t="n">
        <v>4</v>
      </c>
      <c r="M8" s="3" t="n">
        <v>5</v>
      </c>
      <c r="N8" s="3" t="n">
        <v>0</v>
      </c>
      <c r="O8" s="3" t="n">
        <v>0</v>
      </c>
      <c r="P8" s="3" t="n">
        <v>0</v>
      </c>
      <c r="Q8" s="3" t="inlineStr">
        <is>
          <t>Performer</t>
        </is>
      </c>
      <c r="R8" s="3" t="n">
        <v>7</v>
      </c>
      <c r="S8" s="3" t="inlineStr"/>
      <c r="T8" s="3" t="inlineStr"/>
      <c r="U8" s="3" t="n">
        <v>0</v>
      </c>
      <c r="V8" s="3" t="inlineStr">
        <is>
          <t>masc:0.3;fem:0.5</t>
        </is>
      </c>
      <c r="W8" s="3" t="n">
        <v>0.3</v>
      </c>
      <c r="X8" s="3" t="n">
        <v>0.5</v>
      </c>
      <c r="Y8" s="3" t="inlineStr">
        <is>
          <t>COMM_Indirect</t>
        </is>
      </c>
      <c r="Z8" s="3" t="inlineStr">
        <is>
          <t>REG_Distractor</t>
        </is>
      </c>
      <c r="AA8" s="3" t="inlineStr">
        <is>
          <t>LANG_Gifts</t>
        </is>
      </c>
      <c r="AB8" s="3" t="inlineStr">
        <is>
          <t>Control_Avoidance , Scorekeeping_Echo</t>
        </is>
      </c>
      <c r="AC8" s="3" t="inlineStr">
        <is>
          <t>Control_Avoidance</t>
        </is>
      </c>
      <c r="AD8" s="3" t="inlineStr">
        <is>
          <t>Scorekeeping_Echo</t>
        </is>
      </c>
      <c r="AE8" s="3" t="n">
        <v>14</v>
      </c>
      <c r="AF8" s="3" t="inlineStr">
        <is>
          <t>private resentment</t>
        </is>
      </c>
      <c r="AG8" s="3" t="inlineStr">
        <is>
          <t>image-based keeper</t>
        </is>
      </c>
      <c r="AH8" s="3" t="n">
        <v>1.2</v>
      </c>
      <c r="AI8" s="3" t="inlineStr">
        <is>
          <t>yes</t>
        </is>
      </c>
      <c r="AJ8" s="3" t="inlineStr">
        <is>
          <t>no</t>
        </is>
      </c>
      <c r="AK8" s="3" t="inlineStr">
        <is>
          <t>yes</t>
        </is>
      </c>
      <c r="AL8" s="3" t="inlineStr">
        <is>
          <t>yes</t>
        </is>
      </c>
      <c r="AM8" s="3" t="inlineStr"/>
      <c r="AN8" s="3" t="inlineStr"/>
      <c r="AO8" s="3" t="inlineStr"/>
      <c r="AP8" s="3" t="inlineStr">
        <is>
          <t>v3_2026-03-19</t>
        </is>
      </c>
    </row>
    <row r="9">
      <c r="A9" s="3" t="inlineStr">
        <is>
          <t>Q02_C</t>
        </is>
      </c>
      <c r="B9" s="3" t="n">
        <v>2</v>
      </c>
      <c r="C9" s="3" t="n">
        <v>2</v>
      </c>
      <c r="D9" s="3" t="inlineStr">
        <is>
          <t>Core</t>
        </is>
      </c>
      <c r="E9" s="3" t="n">
        <v>1</v>
      </c>
      <c r="F9" s="3" t="inlineStr">
        <is>
          <t>CommunicationHealth</t>
        </is>
      </c>
      <c r="G9" s="3" t="inlineStr">
        <is>
          <t>EmotionalNeeds</t>
        </is>
      </c>
      <c r="H9" s="3" t="inlineStr"/>
      <c r="I9" s="3" t="inlineStr">
        <is>
          <t>C</t>
        </is>
      </c>
      <c r="J9" s="3" t="inlineStr">
        <is>
          <t>C</t>
        </is>
      </c>
      <c r="K9" s="3" t="inlineStr">
        <is>
          <t>I bring it up again, but this time they can probably hear the shift in my tone. I'm not trying to argue, I just need them to actually hear me.</t>
        </is>
      </c>
      <c r="L9" s="3" t="n">
        <v>8</v>
      </c>
      <c r="M9" s="3" t="n">
        <v>8</v>
      </c>
      <c r="N9" s="3" t="n">
        <v>8</v>
      </c>
      <c r="O9" s="3" t="n">
        <v>8</v>
      </c>
      <c r="P9" s="3" t="n">
        <v>8</v>
      </c>
      <c r="Q9" s="3" t="inlineStr">
        <is>
          <t>Fixer</t>
        </is>
      </c>
      <c r="R9" s="3" t="n">
        <v>5</v>
      </c>
      <c r="S9" s="3" t="inlineStr"/>
      <c r="T9" s="3" t="inlineStr"/>
      <c r="U9" s="3" t="n">
        <v>0</v>
      </c>
      <c r="V9" s="3" t="inlineStr">
        <is>
          <t>masc:-0.4;fem:2.0</t>
        </is>
      </c>
      <c r="W9" s="3" t="n">
        <v>-0.4</v>
      </c>
      <c r="X9" s="3" t="n">
        <v>2</v>
      </c>
      <c r="Y9" s="3" t="inlineStr">
        <is>
          <t>COMM_Emotional</t>
        </is>
      </c>
      <c r="Z9" s="3" t="inlineStr">
        <is>
          <t>REG_CoRegulator</t>
        </is>
      </c>
      <c r="AA9" s="3" t="inlineStr">
        <is>
          <t>LANG_Service</t>
        </is>
      </c>
      <c r="AB9" s="3" t="inlineStr"/>
      <c r="AC9" s="3" t="inlineStr"/>
      <c r="AD9" s="3" t="inlineStr"/>
      <c r="AE9" s="3" t="n">
        <v>0</v>
      </c>
      <c r="AF9" s="3" t="inlineStr">
        <is>
          <t>persistence for resolution</t>
        </is>
      </c>
      <c r="AG9" s="3" t="inlineStr">
        <is>
          <t>consistent communicator</t>
        </is>
      </c>
      <c r="AH9" s="3" t="n">
        <v>0</v>
      </c>
      <c r="AI9" s="3" t="inlineStr">
        <is>
          <t>no</t>
        </is>
      </c>
      <c r="AJ9" s="3" t="inlineStr">
        <is>
          <t>no</t>
        </is>
      </c>
      <c r="AK9" s="3" t="inlineStr">
        <is>
          <t>yes</t>
        </is>
      </c>
      <c r="AL9" s="3" t="inlineStr">
        <is>
          <t>yes</t>
        </is>
      </c>
      <c r="AM9" s="3" t="inlineStr"/>
      <c r="AN9" s="3" t="inlineStr"/>
      <c r="AO9" s="3" t="inlineStr"/>
      <c r="AP9" s="3" t="inlineStr">
        <is>
          <t>v3_2026-03-19</t>
        </is>
      </c>
    </row>
    <row r="10">
      <c r="A10" s="3" t="inlineStr">
        <is>
          <t>Q02_D</t>
        </is>
      </c>
      <c r="B10" s="3" t="n">
        <v>2</v>
      </c>
      <c r="C10" s="3" t="n">
        <v>2</v>
      </c>
      <c r="D10" s="3" t="inlineStr">
        <is>
          <t>Core</t>
        </is>
      </c>
      <c r="E10" s="3" t="n">
        <v>1</v>
      </c>
      <c r="F10" s="3" t="inlineStr">
        <is>
          <t>CommunicationHealth</t>
        </is>
      </c>
      <c r="G10" s="3" t="inlineStr">
        <is>
          <t>EmotionalNeeds</t>
        </is>
      </c>
      <c r="H10" s="3" t="inlineStr"/>
      <c r="I10" s="3" t="inlineStr">
        <is>
          <t>D</t>
        </is>
      </c>
      <c r="J10" s="3" t="inlineStr">
        <is>
          <t>D</t>
        </is>
      </c>
      <c r="K10" s="3" t="inlineStr">
        <is>
          <t>I laugh too, but it sticks with me. Hours later I'm still replaying what I said, wondering if I should've just kept quiet.</t>
        </is>
      </c>
      <c r="L10" s="3" t="n">
        <v>5</v>
      </c>
      <c r="M10" s="3" t="n">
        <v>6</v>
      </c>
      <c r="N10" s="3" t="n">
        <v>2</v>
      </c>
      <c r="O10" s="3" t="n">
        <v>4</v>
      </c>
      <c r="P10" s="3" t="n">
        <v>2</v>
      </c>
      <c r="Q10" s="3" t="inlineStr">
        <is>
          <t>Phantom Seeker</t>
        </is>
      </c>
      <c r="R10" s="3" t="n">
        <v>10</v>
      </c>
      <c r="S10" s="3" t="inlineStr"/>
      <c r="T10" s="3" t="inlineStr"/>
      <c r="U10" s="3" t="n">
        <v>0</v>
      </c>
      <c r="V10" s="3" t="inlineStr">
        <is>
          <t>masc:-0.2;fem:1.5</t>
        </is>
      </c>
      <c r="W10" s="3" t="n">
        <v>-0.2</v>
      </c>
      <c r="X10" s="3" t="n">
        <v>1.5</v>
      </c>
      <c r="Y10" s="3" t="inlineStr">
        <is>
          <t>COMM_Emotional</t>
        </is>
      </c>
      <c r="Z10" s="3" t="inlineStr">
        <is>
          <t>REG_SelfSoother</t>
        </is>
      </c>
      <c r="AA10" s="3" t="inlineStr">
        <is>
          <t>LANG_Touch</t>
        </is>
      </c>
      <c r="AB10" s="3" t="inlineStr">
        <is>
          <t>Conflict_Flip</t>
        </is>
      </c>
      <c r="AC10" s="3" t="inlineStr">
        <is>
          <t>Conflict_Flip</t>
        </is>
      </c>
      <c r="AD10" s="3" t="inlineStr"/>
      <c r="AE10" s="3" t="n">
        <v>4</v>
      </c>
      <c r="AF10" s="3" t="inlineStr">
        <is>
          <t>quiet rumination</t>
        </is>
      </c>
      <c r="AG10" s="3" t="inlineStr">
        <is>
          <t>soft stewer</t>
        </is>
      </c>
      <c r="AH10" s="3" t="n">
        <v>0</v>
      </c>
      <c r="AI10" s="3" t="inlineStr">
        <is>
          <t>yes</t>
        </is>
      </c>
      <c r="AJ10" s="3" t="inlineStr">
        <is>
          <t>no</t>
        </is>
      </c>
      <c r="AK10" s="3" t="inlineStr">
        <is>
          <t>yes</t>
        </is>
      </c>
      <c r="AL10" s="3" t="inlineStr">
        <is>
          <t>yes</t>
        </is>
      </c>
      <c r="AM10" s="3" t="inlineStr"/>
      <c r="AN10" s="3" t="inlineStr"/>
      <c r="AO10" s="3" t="inlineStr"/>
      <c r="AP10" s="3" t="inlineStr">
        <is>
          <t>v3_2026-03-19</t>
        </is>
      </c>
    </row>
    <row r="11">
      <c r="A11" s="3" t="inlineStr">
        <is>
          <t>Q02_E</t>
        </is>
      </c>
      <c r="B11" s="3" t="n">
        <v>2</v>
      </c>
      <c r="C11" s="3" t="n">
        <v>2</v>
      </c>
      <c r="D11" s="3" t="inlineStr">
        <is>
          <t>Core</t>
        </is>
      </c>
      <c r="E11" s="3" t="n">
        <v>1</v>
      </c>
      <c r="F11" s="3" t="inlineStr">
        <is>
          <t>CommunicationHealth</t>
        </is>
      </c>
      <c r="G11" s="3" t="inlineStr">
        <is>
          <t>EmotionalNeeds</t>
        </is>
      </c>
      <c r="H11" s="3" t="inlineStr"/>
      <c r="I11" s="3" t="inlineStr">
        <is>
          <t>E</t>
        </is>
      </c>
      <c r="J11" s="3" t="inlineStr">
        <is>
          <t>E</t>
        </is>
      </c>
      <c r="K11" s="3" t="inlineStr">
        <is>
          <t>I clock that fast. If I opened up and they shrugged it off, I don't ask again. I don't mind being the bad guy if it means protecting my peace.</t>
        </is>
      </c>
      <c r="L11" s="3" t="n">
        <v>9</v>
      </c>
      <c r="M11" s="3" t="n">
        <v>9</v>
      </c>
      <c r="N11" s="3" t="n">
        <v>10</v>
      </c>
      <c r="O11" s="3" t="n">
        <v>10</v>
      </c>
      <c r="P11" s="3" t="n">
        <v>10</v>
      </c>
      <c r="Q11" s="3" t="inlineStr">
        <is>
          <t>Regulated Grown-Up</t>
        </is>
      </c>
      <c r="R11" s="3" t="n">
        <v>9</v>
      </c>
      <c r="S11" s="3" t="inlineStr"/>
      <c r="T11" s="3" t="inlineStr"/>
      <c r="U11" s="3" t="n">
        <v>0</v>
      </c>
      <c r="V11" s="3" t="inlineStr">
        <is>
          <t>masc:1.1;fem:0.9</t>
        </is>
      </c>
      <c r="W11" s="3" t="n">
        <v>1.1</v>
      </c>
      <c r="X11" s="3" t="n">
        <v>0.9</v>
      </c>
      <c r="Y11" s="3" t="inlineStr">
        <is>
          <t>COMM_Direct</t>
        </is>
      </c>
      <c r="Z11" s="3" t="inlineStr">
        <is>
          <t>REG_CoRegulator</t>
        </is>
      </c>
      <c r="AA11" s="3" t="inlineStr">
        <is>
          <t>LANG_Words</t>
        </is>
      </c>
      <c r="AB11" s="3" t="inlineStr"/>
      <c r="AC11" s="3" t="inlineStr"/>
      <c r="AD11" s="3" t="inlineStr"/>
      <c r="AE11" s="3" t="n">
        <v>0</v>
      </c>
      <c r="AF11" s="3" t="inlineStr">
        <is>
          <t>fast boundary recognition</t>
        </is>
      </c>
      <c r="AG11" s="3" t="inlineStr">
        <is>
          <t>peace protector</t>
        </is>
      </c>
      <c r="AH11" s="3" t="n">
        <v>0</v>
      </c>
      <c r="AI11" s="3" t="inlineStr">
        <is>
          <t>no</t>
        </is>
      </c>
      <c r="AJ11" s="3" t="inlineStr">
        <is>
          <t>no</t>
        </is>
      </c>
      <c r="AK11" s="3" t="inlineStr">
        <is>
          <t>yes</t>
        </is>
      </c>
      <c r="AL11" s="3" t="inlineStr">
        <is>
          <t>yes</t>
        </is>
      </c>
      <c r="AM11" s="3" t="inlineStr"/>
      <c r="AN11" s="3" t="inlineStr"/>
      <c r="AO11" s="3" t="inlineStr"/>
      <c r="AP11" s="3" t="inlineStr">
        <is>
          <t>v3_2026-03-19</t>
        </is>
      </c>
    </row>
    <row r="12">
      <c r="A12" s="3" t="inlineStr">
        <is>
          <t>Q03_A</t>
        </is>
      </c>
      <c r="B12" s="3" t="n">
        <v>3</v>
      </c>
      <c r="C12" s="3" t="n">
        <v>3</v>
      </c>
      <c r="D12" s="3" t="inlineStr">
        <is>
          <t>Core</t>
        </is>
      </c>
      <c r="E12" s="3" t="n">
        <v>1</v>
      </c>
      <c r="F12" s="3" t="inlineStr">
        <is>
          <t>CommunicationHealth</t>
        </is>
      </c>
      <c r="G12" s="3" t="inlineStr">
        <is>
          <t>EmotionalNeeds</t>
        </is>
      </c>
      <c r="H12" s="3" t="inlineStr">
        <is>
          <t>You start catching feelings and realizing you actually like this person. How does your energy shift?</t>
        </is>
      </c>
      <c r="I12" s="3" t="inlineStr">
        <is>
          <t>A</t>
        </is>
      </c>
      <c r="J12" s="3" t="inlineStr">
        <is>
          <t>A</t>
        </is>
      </c>
      <c r="K12" s="3" t="inlineStr">
        <is>
          <t>I pull back a little. Not to play games, I just need space to check if I'm seeing it clearly before I lean in.</t>
        </is>
      </c>
      <c r="L12" s="3" t="n">
        <v>6</v>
      </c>
      <c r="M12" s="3" t="n">
        <v>7</v>
      </c>
      <c r="N12" s="3" t="n">
        <v>2</v>
      </c>
      <c r="O12" s="3" t="n">
        <v>2</v>
      </c>
      <c r="P12" s="3" t="n">
        <v>0</v>
      </c>
      <c r="Q12" s="3" t="inlineStr">
        <is>
          <t>Icebox</t>
        </is>
      </c>
      <c r="R12" s="3" t="n">
        <v>1</v>
      </c>
      <c r="S12" s="3" t="inlineStr"/>
      <c r="T12" s="3" t="inlineStr"/>
      <c r="U12" s="3" t="n">
        <v>0</v>
      </c>
      <c r="V12" s="3" t="inlineStr">
        <is>
          <t>masc:1.8;fem:-1.6</t>
        </is>
      </c>
      <c r="W12" s="3" t="n">
        <v>1.8</v>
      </c>
      <c r="X12" s="3" t="n">
        <v>-1.6</v>
      </c>
      <c r="Y12" s="3" t="inlineStr">
        <is>
          <t>COMM_Avoidant</t>
        </is>
      </c>
      <c r="Z12" s="3" t="inlineStr">
        <is>
          <t>REG_Suppressor</t>
        </is>
      </c>
      <c r="AA12" s="3" t="inlineStr">
        <is>
          <t>LANG_Time</t>
        </is>
      </c>
      <c r="AB12" s="3" t="inlineStr"/>
      <c r="AC12" s="3" t="inlineStr"/>
      <c r="AD12" s="3" t="inlineStr"/>
      <c r="AE12" s="3" t="n">
        <v>0</v>
      </c>
      <c r="AF12" s="3" t="inlineStr">
        <is>
          <t>cautious distance</t>
        </is>
      </c>
      <c r="AG12" s="3" t="inlineStr">
        <is>
          <t>safety checker</t>
        </is>
      </c>
      <c r="AH12" s="3" t="n">
        <v>0.5</v>
      </c>
      <c r="AI12" s="3" t="inlineStr">
        <is>
          <t>no</t>
        </is>
      </c>
      <c r="AJ12" s="3" t="inlineStr">
        <is>
          <t>no</t>
        </is>
      </c>
      <c r="AK12" s="3" t="inlineStr">
        <is>
          <t>yes</t>
        </is>
      </c>
      <c r="AL12" s="3" t="inlineStr">
        <is>
          <t>yes</t>
        </is>
      </c>
      <c r="AM12" s="3" t="inlineStr"/>
      <c r="AN12" s="3" t="inlineStr"/>
      <c r="AO12" s="3" t="inlineStr"/>
      <c r="AP12" s="3" t="inlineStr">
        <is>
          <t>v3_2026-03-19</t>
        </is>
      </c>
    </row>
    <row r="13">
      <c r="A13" s="3" t="inlineStr">
        <is>
          <t>Q03_B</t>
        </is>
      </c>
      <c r="B13" s="3" t="n">
        <v>3</v>
      </c>
      <c r="C13" s="3" t="n">
        <v>3</v>
      </c>
      <c r="D13" s="3" t="inlineStr">
        <is>
          <t>Core</t>
        </is>
      </c>
      <c r="E13" s="3" t="n">
        <v>1</v>
      </c>
      <c r="F13" s="3" t="inlineStr">
        <is>
          <t>CommunicationHealth</t>
        </is>
      </c>
      <c r="G13" s="3" t="inlineStr">
        <is>
          <t>EmotionalNeeds</t>
        </is>
      </c>
      <c r="H13" s="3" t="inlineStr"/>
      <c r="I13" s="3" t="inlineStr">
        <is>
          <t>B</t>
        </is>
      </c>
      <c r="J13" s="3" t="inlineStr">
        <is>
          <t>B</t>
        </is>
      </c>
      <c r="K13" s="3" t="inlineStr">
        <is>
          <t>I start imagining what it could be. I try not to get ahead of myself, I just like feeling what it can be.</t>
        </is>
      </c>
      <c r="L13" s="3" t="n">
        <v>7</v>
      </c>
      <c r="M13" s="3" t="n">
        <v>8</v>
      </c>
      <c r="N13" s="3" t="n">
        <v>4</v>
      </c>
      <c r="O13" s="3" t="n">
        <v>6</v>
      </c>
      <c r="P13" s="3" t="n">
        <v>4</v>
      </c>
      <c r="Q13" s="3" t="inlineStr">
        <is>
          <t>Romantic Idealist</t>
        </is>
      </c>
      <c r="R13" s="3" t="n">
        <v>6</v>
      </c>
      <c r="S13" s="3" t="inlineStr"/>
      <c r="T13" s="3" t="inlineStr"/>
      <c r="U13" s="3" t="n">
        <v>0</v>
      </c>
      <c r="V13" s="3" t="inlineStr">
        <is>
          <t>masc:-0.4;fem:1.5</t>
        </is>
      </c>
      <c r="W13" s="3" t="n">
        <v>-0.4</v>
      </c>
      <c r="X13" s="3" t="n">
        <v>1.5</v>
      </c>
      <c r="Y13" s="3" t="inlineStr">
        <is>
          <t>COMM_Emotional</t>
        </is>
      </c>
      <c r="Z13" s="3" t="inlineStr">
        <is>
          <t>REG_Distractor</t>
        </is>
      </c>
      <c r="AA13" s="3" t="inlineStr">
        <is>
          <t>LANG_Gifts</t>
        </is>
      </c>
      <c r="AB13" s="3" t="inlineStr">
        <is>
          <t>Humor_Shield , Affection_Mismatch</t>
        </is>
      </c>
      <c r="AC13" s="3" t="inlineStr">
        <is>
          <t>Humor_Shield</t>
        </is>
      </c>
      <c r="AD13" s="3" t="inlineStr">
        <is>
          <t>Affection_Mismatch</t>
        </is>
      </c>
      <c r="AE13" s="3" t="n">
        <v>7</v>
      </c>
      <c r="AF13" s="3" t="inlineStr">
        <is>
          <t>guarded playfulness</t>
        </is>
      </c>
      <c r="AG13" s="3" t="inlineStr">
        <is>
          <t>safe tester</t>
        </is>
      </c>
      <c r="AH13" s="3" t="n">
        <v>0.2</v>
      </c>
      <c r="AI13" s="3" t="inlineStr">
        <is>
          <t>yes</t>
        </is>
      </c>
      <c r="AJ13" s="3" t="inlineStr">
        <is>
          <t>no</t>
        </is>
      </c>
      <c r="AK13" s="3" t="inlineStr">
        <is>
          <t>yes</t>
        </is>
      </c>
      <c r="AL13" s="3" t="inlineStr">
        <is>
          <t>yes</t>
        </is>
      </c>
      <c r="AM13" s="3" t="inlineStr"/>
      <c r="AN13" s="3" t="inlineStr"/>
      <c r="AO13" s="3" t="inlineStr"/>
      <c r="AP13" s="3" t="inlineStr">
        <is>
          <t>v3_2026-03-19</t>
        </is>
      </c>
    </row>
    <row r="14">
      <c r="A14" s="3" t="inlineStr">
        <is>
          <t>Q03_C</t>
        </is>
      </c>
      <c r="B14" s="3" t="n">
        <v>3</v>
      </c>
      <c r="C14" s="3" t="n">
        <v>3</v>
      </c>
      <c r="D14" s="3" t="inlineStr">
        <is>
          <t>Core</t>
        </is>
      </c>
      <c r="E14" s="3" t="n">
        <v>1</v>
      </c>
      <c r="F14" s="3" t="inlineStr">
        <is>
          <t>CommunicationHealth</t>
        </is>
      </c>
      <c r="G14" s="3" t="inlineStr">
        <is>
          <t>EmotionalNeeds</t>
        </is>
      </c>
      <c r="H14" s="3" t="inlineStr"/>
      <c r="I14" s="3" t="inlineStr">
        <is>
          <t>C</t>
        </is>
      </c>
      <c r="J14" s="3" t="inlineStr">
        <is>
          <t>C</t>
        </is>
      </c>
      <c r="K14" s="3" t="inlineStr">
        <is>
          <t>I don't say much, but I start showing up more, checking in, remembering little things. That's usually how I start showing my interest.</t>
        </is>
      </c>
      <c r="L14" s="3" t="n">
        <v>8</v>
      </c>
      <c r="M14" s="3" t="n">
        <v>9</v>
      </c>
      <c r="N14" s="3" t="n">
        <v>8</v>
      </c>
      <c r="O14" s="3" t="n">
        <v>8</v>
      </c>
      <c r="P14" s="3" t="n">
        <v>8</v>
      </c>
      <c r="Q14" s="3" t="inlineStr">
        <is>
          <t>Analyzer</t>
        </is>
      </c>
      <c r="R14" s="3" t="n">
        <v>2</v>
      </c>
      <c r="S14" s="3" t="inlineStr"/>
      <c r="T14" s="3" t="inlineStr"/>
      <c r="U14" s="3" t="n">
        <v>0</v>
      </c>
      <c r="V14" s="3" t="inlineStr">
        <is>
          <t>masc:1.4;fem:0.1</t>
        </is>
      </c>
      <c r="W14" s="3" t="n">
        <v>1.4</v>
      </c>
      <c r="X14" s="3" t="n">
        <v>0.1</v>
      </c>
      <c r="Y14" s="3" t="inlineStr">
        <is>
          <t>COMM_Logical</t>
        </is>
      </c>
      <c r="Z14" s="3" t="inlineStr">
        <is>
          <t>REG_SelfSoother</t>
        </is>
      </c>
      <c r="AA14" s="3" t="inlineStr">
        <is>
          <t>LANG_Service</t>
        </is>
      </c>
      <c r="AB14" s="3" t="inlineStr"/>
      <c r="AC14" s="3" t="inlineStr"/>
      <c r="AD14" s="3" t="inlineStr"/>
      <c r="AE14" s="3" t="n">
        <v>0</v>
      </c>
      <c r="AF14" s="3" t="inlineStr">
        <is>
          <t>steady investment</t>
        </is>
      </c>
      <c r="AG14" s="3" t="inlineStr">
        <is>
          <t>quiet prover</t>
        </is>
      </c>
      <c r="AH14" s="3" t="n">
        <v>0</v>
      </c>
      <c r="AI14" s="3" t="inlineStr">
        <is>
          <t>no</t>
        </is>
      </c>
      <c r="AJ14" s="3" t="inlineStr">
        <is>
          <t>no</t>
        </is>
      </c>
      <c r="AK14" s="3" t="inlineStr">
        <is>
          <t>yes</t>
        </is>
      </c>
      <c r="AL14" s="3" t="inlineStr">
        <is>
          <t>yes</t>
        </is>
      </c>
      <c r="AM14" s="3" t="inlineStr"/>
      <c r="AN14" s="3" t="inlineStr"/>
      <c r="AO14" s="3" t="inlineStr"/>
      <c r="AP14" s="3" t="inlineStr">
        <is>
          <t>v3_2026-03-19</t>
        </is>
      </c>
    </row>
    <row r="15">
      <c r="A15" s="3" t="inlineStr">
        <is>
          <t>Q03_D</t>
        </is>
      </c>
      <c r="B15" s="3" t="n">
        <v>3</v>
      </c>
      <c r="C15" s="3" t="n">
        <v>3</v>
      </c>
      <c r="D15" s="3" t="inlineStr">
        <is>
          <t>Core</t>
        </is>
      </c>
      <c r="E15" s="3" t="n">
        <v>1</v>
      </c>
      <c r="F15" s="3" t="inlineStr">
        <is>
          <t>CommunicationHealth</t>
        </is>
      </c>
      <c r="G15" s="3" t="inlineStr">
        <is>
          <t>EmotionalNeeds</t>
        </is>
      </c>
      <c r="H15" s="3" t="inlineStr"/>
      <c r="I15" s="3" t="inlineStr">
        <is>
          <t>D</t>
        </is>
      </c>
      <c r="J15" s="3" t="inlineStr">
        <is>
          <t>D</t>
        </is>
      </c>
      <c r="K15" s="3" t="inlineStr">
        <is>
          <t>I want them to like me back, but I need to know it's safe first. So I keep it light while I wait on their actions.</t>
        </is>
      </c>
      <c r="L15" s="3" t="n">
        <v>6</v>
      </c>
      <c r="M15" s="3" t="n">
        <v>6</v>
      </c>
      <c r="N15" s="3" t="n">
        <v>4</v>
      </c>
      <c r="O15" s="3" t="n">
        <v>2</v>
      </c>
      <c r="P15" s="3" t="n">
        <v>2</v>
      </c>
      <c r="Q15" s="3" t="inlineStr">
        <is>
          <t>Phantom Seeker</t>
        </is>
      </c>
      <c r="R15" s="3" t="n">
        <v>10</v>
      </c>
      <c r="S15" s="3" t="inlineStr"/>
      <c r="T15" s="3" t="inlineStr"/>
      <c r="U15" s="3" t="n">
        <v>0</v>
      </c>
      <c r="V15" s="3" t="inlineStr">
        <is>
          <t>masc:-0.2;fem:1.5</t>
        </is>
      </c>
      <c r="W15" s="3" t="n">
        <v>-0.2</v>
      </c>
      <c r="X15" s="3" t="n">
        <v>1.5</v>
      </c>
      <c r="Y15" s="3" t="inlineStr">
        <is>
          <t>COMM_Emotional</t>
        </is>
      </c>
      <c r="Z15" s="3" t="inlineStr">
        <is>
          <t>REG_SelfSoother</t>
        </is>
      </c>
      <c r="AA15" s="3" t="inlineStr">
        <is>
          <t>LANG_Touch</t>
        </is>
      </c>
      <c r="AB15" s="3" t="inlineStr">
        <is>
          <t>Humor_Shield , Affection_Mismatch</t>
        </is>
      </c>
      <c r="AC15" s="3" t="inlineStr">
        <is>
          <t>Humor_Shield</t>
        </is>
      </c>
      <c r="AD15" s="3" t="inlineStr">
        <is>
          <t>Affection_Mismatch</t>
        </is>
      </c>
      <c r="AE15" s="3" t="n">
        <v>7</v>
      </c>
      <c r="AF15" s="3" t="inlineStr">
        <is>
          <t>guarded playfulness</t>
        </is>
      </c>
      <c r="AG15" s="3" t="inlineStr">
        <is>
          <t>safe tester</t>
        </is>
      </c>
      <c r="AH15" s="3" t="n">
        <v>0</v>
      </c>
      <c r="AI15" s="3" t="inlineStr">
        <is>
          <t>yes</t>
        </is>
      </c>
      <c r="AJ15" s="3" t="inlineStr">
        <is>
          <t>no</t>
        </is>
      </c>
      <c r="AK15" s="3" t="inlineStr">
        <is>
          <t>yes</t>
        </is>
      </c>
      <c r="AL15" s="3" t="inlineStr">
        <is>
          <t>yes</t>
        </is>
      </c>
      <c r="AM15" s="3" t="inlineStr"/>
      <c r="AN15" s="3" t="inlineStr"/>
      <c r="AO15" s="3" t="inlineStr"/>
      <c r="AP15" s="3" t="inlineStr">
        <is>
          <t>v3_2026-03-19</t>
        </is>
      </c>
    </row>
    <row r="16">
      <c r="A16" s="3" t="inlineStr">
        <is>
          <t>Q03_E</t>
        </is>
      </c>
      <c r="B16" s="3" t="n">
        <v>3</v>
      </c>
      <c r="C16" s="3" t="n">
        <v>3</v>
      </c>
      <c r="D16" s="3" t="inlineStr">
        <is>
          <t>Core</t>
        </is>
      </c>
      <c r="E16" s="3" t="n">
        <v>1</v>
      </c>
      <c r="F16" s="3" t="inlineStr">
        <is>
          <t>CommunicationHealth</t>
        </is>
      </c>
      <c r="G16" s="3" t="inlineStr">
        <is>
          <t>EmotionalNeeds</t>
        </is>
      </c>
      <c r="H16" s="3" t="inlineStr"/>
      <c r="I16" s="3" t="inlineStr">
        <is>
          <t>E</t>
        </is>
      </c>
      <c r="J16" s="3" t="inlineStr">
        <is>
          <t>E</t>
        </is>
      </c>
      <c r="K16" s="3" t="inlineStr">
        <is>
          <t>If I like someone, yeah, it shows. But I've learned not to lean too far until I know they're showing up too. I'm not trying to guess where I stand.</t>
        </is>
      </c>
      <c r="L16" s="3" t="n">
        <v>9</v>
      </c>
      <c r="M16" s="3" t="n">
        <v>9</v>
      </c>
      <c r="N16" s="3" t="n">
        <v>10</v>
      </c>
      <c r="O16" s="3" t="n">
        <v>10</v>
      </c>
      <c r="P16" s="3" t="n">
        <v>10</v>
      </c>
      <c r="Q16" s="3" t="inlineStr">
        <is>
          <t>Regulated Grown-Up</t>
        </is>
      </c>
      <c r="R16" s="3" t="n">
        <v>9</v>
      </c>
      <c r="S16" s="3" t="inlineStr"/>
      <c r="T16" s="3" t="inlineStr"/>
      <c r="U16" s="3" t="n">
        <v>0</v>
      </c>
      <c r="V16" s="3" t="inlineStr">
        <is>
          <t>masc:1.1;fem:0.9</t>
        </is>
      </c>
      <c r="W16" s="3" t="n">
        <v>1.1</v>
      </c>
      <c r="X16" s="3" t="n">
        <v>0.9</v>
      </c>
      <c r="Y16" s="3" t="inlineStr">
        <is>
          <t>COMM_Direct</t>
        </is>
      </c>
      <c r="Z16" s="3" t="inlineStr">
        <is>
          <t>REG_CoRegulator</t>
        </is>
      </c>
      <c r="AA16" s="3" t="inlineStr">
        <is>
          <t>LANG_Words</t>
        </is>
      </c>
      <c r="AB16" s="3" t="inlineStr"/>
      <c r="AC16" s="3" t="inlineStr"/>
      <c r="AD16" s="3" t="inlineStr"/>
      <c r="AE16" s="3" t="n">
        <v>0</v>
      </c>
      <c r="AF16" s="3" t="inlineStr">
        <is>
          <t>balanced openness</t>
        </is>
      </c>
      <c r="AG16" s="3" t="inlineStr">
        <is>
          <t>readiness matcher</t>
        </is>
      </c>
      <c r="AH16" s="3" t="n">
        <v>0.2</v>
      </c>
      <c r="AI16" s="3" t="inlineStr">
        <is>
          <t>no</t>
        </is>
      </c>
      <c r="AJ16" s="3" t="inlineStr">
        <is>
          <t>no</t>
        </is>
      </c>
      <c r="AK16" s="3" t="inlineStr">
        <is>
          <t>yes</t>
        </is>
      </c>
      <c r="AL16" s="3" t="inlineStr">
        <is>
          <t>yes</t>
        </is>
      </c>
      <c r="AM16" s="3" t="inlineStr"/>
      <c r="AN16" s="3" t="inlineStr"/>
      <c r="AO16" s="3" t="inlineStr"/>
      <c r="AP16" s="3" t="inlineStr">
        <is>
          <t>v3_2026-03-19</t>
        </is>
      </c>
    </row>
    <row r="17">
      <c r="A17" s="3" t="inlineStr">
        <is>
          <t>Q04_A</t>
        </is>
      </c>
      <c r="B17" s="3" t="n">
        <v>4</v>
      </c>
      <c r="C17" s="3" t="n">
        <v>4</v>
      </c>
      <c r="D17" s="3" t="inlineStr">
        <is>
          <t>Core</t>
        </is>
      </c>
      <c r="E17" s="3" t="n">
        <v>1</v>
      </c>
      <c r="F17" s="3" t="inlineStr">
        <is>
          <t>CommunicationHealth</t>
        </is>
      </c>
      <c r="G17" s="3" t="inlineStr">
        <is>
          <t>EmotionalNeeds</t>
        </is>
      </c>
      <c r="H17" s="3" t="inlineStr">
        <is>
          <t>You're starting to notice some red flags. Nothing explosive, just little things that don't sit right. What do you do with that feeling?</t>
        </is>
      </c>
      <c r="I17" s="3" t="inlineStr">
        <is>
          <t>A</t>
        </is>
      </c>
      <c r="J17" s="3" t="inlineStr">
        <is>
          <t>A</t>
        </is>
      </c>
      <c r="K17" s="3" t="inlineStr">
        <is>
          <t>I keep watching. I've learned not to bring things up too early. People need time to reveal themselves.</t>
        </is>
      </c>
      <c r="L17" s="3" t="n">
        <v>7</v>
      </c>
      <c r="M17" s="3" t="n">
        <v>8</v>
      </c>
      <c r="N17" s="3" t="n">
        <v>6</v>
      </c>
      <c r="O17" s="3" t="n">
        <v>6</v>
      </c>
      <c r="P17" s="3" t="n">
        <v>6</v>
      </c>
      <c r="Q17" s="3" t="inlineStr">
        <is>
          <t>Analyzer</t>
        </is>
      </c>
      <c r="R17" s="3" t="n">
        <v>2</v>
      </c>
      <c r="S17" s="3" t="inlineStr"/>
      <c r="T17" s="3" t="inlineStr"/>
      <c r="U17" s="3" t="n">
        <v>0</v>
      </c>
      <c r="V17" s="3" t="inlineStr">
        <is>
          <t>masc:1.4;fem:0.1</t>
        </is>
      </c>
      <c r="W17" s="3" t="n">
        <v>1.4</v>
      </c>
      <c r="X17" s="3" t="n">
        <v>0.1</v>
      </c>
      <c r="Y17" s="3" t="inlineStr">
        <is>
          <t>COMM_Logical</t>
        </is>
      </c>
      <c r="Z17" s="3" t="inlineStr">
        <is>
          <t>REG_SelfSoother</t>
        </is>
      </c>
      <c r="AA17" s="3" t="inlineStr">
        <is>
          <t>LANG_Service</t>
        </is>
      </c>
      <c r="AB17" s="3" t="inlineStr"/>
      <c r="AC17" s="3" t="inlineStr"/>
      <c r="AD17" s="3" t="inlineStr"/>
      <c r="AE17" s="3" t="n">
        <v>0</v>
      </c>
      <c r="AF17" s="3" t="inlineStr">
        <is>
          <t>silent observation</t>
        </is>
      </c>
      <c r="AG17" s="3" t="inlineStr">
        <is>
          <t>patient tracker</t>
        </is>
      </c>
      <c r="AH17" s="3" t="n">
        <v>1.2</v>
      </c>
      <c r="AI17" s="3" t="inlineStr">
        <is>
          <t>no</t>
        </is>
      </c>
      <c r="AJ17" s="3" t="inlineStr">
        <is>
          <t>no</t>
        </is>
      </c>
      <c r="AK17" s="3" t="inlineStr">
        <is>
          <t>yes</t>
        </is>
      </c>
      <c r="AL17" s="3" t="inlineStr">
        <is>
          <t>yes</t>
        </is>
      </c>
      <c r="AM17" s="3" t="inlineStr"/>
      <c r="AN17" s="3" t="inlineStr"/>
      <c r="AO17" s="3" t="inlineStr"/>
      <c r="AP17" s="3" t="inlineStr">
        <is>
          <t>v3_2026-03-19</t>
        </is>
      </c>
    </row>
    <row r="18">
      <c r="A18" s="3" t="inlineStr">
        <is>
          <t>Q04_B</t>
        </is>
      </c>
      <c r="B18" s="3" t="n">
        <v>4</v>
      </c>
      <c r="C18" s="3" t="n">
        <v>4</v>
      </c>
      <c r="D18" s="3" t="inlineStr">
        <is>
          <t>Core</t>
        </is>
      </c>
      <c r="E18" s="3" t="n">
        <v>1</v>
      </c>
      <c r="F18" s="3" t="inlineStr">
        <is>
          <t>CommunicationHealth</t>
        </is>
      </c>
      <c r="G18" s="3" t="inlineStr">
        <is>
          <t>EmotionalNeeds</t>
        </is>
      </c>
      <c r="H18" s="3" t="inlineStr"/>
      <c r="I18" s="3" t="inlineStr">
        <is>
          <t>B</t>
        </is>
      </c>
      <c r="J18" s="3" t="inlineStr">
        <is>
          <t>B</t>
        </is>
      </c>
      <c r="K18" s="3" t="inlineStr">
        <is>
          <t>I ignore it at first. I don't want to ruin a good thing by overthinking. Sometimes I just want it to stay good for a little while.</t>
        </is>
      </c>
      <c r="L18" s="3" t="n">
        <v>5</v>
      </c>
      <c r="M18" s="3" t="n">
        <v>6</v>
      </c>
      <c r="N18" s="3" t="n">
        <v>2</v>
      </c>
      <c r="O18" s="3" t="n">
        <v>2</v>
      </c>
      <c r="P18" s="3" t="n">
        <v>0</v>
      </c>
      <c r="Q18" s="3" t="inlineStr">
        <is>
          <t>Romantic Idealist</t>
        </is>
      </c>
      <c r="R18" s="3" t="n">
        <v>6</v>
      </c>
      <c r="S18" s="3" t="inlineStr"/>
      <c r="T18" s="3" t="inlineStr"/>
      <c r="U18" s="3" t="n">
        <v>0</v>
      </c>
      <c r="V18" s="3" t="inlineStr">
        <is>
          <t>masc:-0.4;fem:1.5</t>
        </is>
      </c>
      <c r="W18" s="3" t="n">
        <v>-0.4</v>
      </c>
      <c r="X18" s="3" t="n">
        <v>1.5</v>
      </c>
      <c r="Y18" s="3" t="inlineStr">
        <is>
          <t>COMM_Emotional</t>
        </is>
      </c>
      <c r="Z18" s="3" t="inlineStr">
        <is>
          <t>REG_Distractor</t>
        </is>
      </c>
      <c r="AA18" s="3" t="inlineStr">
        <is>
          <t>LANG_Gifts</t>
        </is>
      </c>
      <c r="AB18" s="3" t="inlineStr">
        <is>
          <t>Commitment_Ambiguity</t>
        </is>
      </c>
      <c r="AC18" s="3" t="inlineStr">
        <is>
          <t>Commitment_Ambiguity</t>
        </is>
      </c>
      <c r="AD18" s="3" t="inlineStr"/>
      <c r="AE18" s="3" t="n">
        <v>5</v>
      </c>
      <c r="AF18" s="3" t="inlineStr">
        <is>
          <t>optimism over caution</t>
        </is>
      </c>
      <c r="AG18" s="3" t="inlineStr">
        <is>
          <t>avoidant hope</t>
        </is>
      </c>
      <c r="AH18" s="3" t="n">
        <v>0.6</v>
      </c>
      <c r="AI18" s="3" t="inlineStr">
        <is>
          <t>yes</t>
        </is>
      </c>
      <c r="AJ18" s="3" t="inlineStr">
        <is>
          <t>no</t>
        </is>
      </c>
      <c r="AK18" s="3" t="inlineStr">
        <is>
          <t>yes</t>
        </is>
      </c>
      <c r="AL18" s="3" t="inlineStr">
        <is>
          <t>yes</t>
        </is>
      </c>
      <c r="AM18" s="3" t="inlineStr"/>
      <c r="AN18" s="3" t="inlineStr"/>
      <c r="AO18" s="3" t="inlineStr"/>
      <c r="AP18" s="3" t="inlineStr">
        <is>
          <t>v3_2026-03-19</t>
        </is>
      </c>
    </row>
    <row r="19">
      <c r="A19" s="3" t="inlineStr">
        <is>
          <t>Q04_C</t>
        </is>
      </c>
      <c r="B19" s="3" t="n">
        <v>4</v>
      </c>
      <c r="C19" s="3" t="n">
        <v>4</v>
      </c>
      <c r="D19" s="3" t="inlineStr">
        <is>
          <t>Core</t>
        </is>
      </c>
      <c r="E19" s="3" t="n">
        <v>1</v>
      </c>
      <c r="F19" s="3" t="inlineStr">
        <is>
          <t>CommunicationHealth</t>
        </is>
      </c>
      <c r="G19" s="3" t="inlineStr">
        <is>
          <t>EmotionalNeeds</t>
        </is>
      </c>
      <c r="H19" s="3" t="inlineStr"/>
      <c r="I19" s="3" t="inlineStr">
        <is>
          <t>C</t>
        </is>
      </c>
      <c r="J19" s="3" t="inlineStr">
        <is>
          <t>C</t>
        </is>
      </c>
      <c r="K19" s="3" t="inlineStr">
        <is>
          <t>I call it out. I just say what I see. I'd rather know now than waste time.</t>
        </is>
      </c>
      <c r="L19" s="3" t="n">
        <v>10</v>
      </c>
      <c r="M19" s="3" t="n">
        <v>10</v>
      </c>
      <c r="N19" s="3" t="n">
        <v>10</v>
      </c>
      <c r="O19" s="3" t="n">
        <v>10</v>
      </c>
      <c r="P19" s="3" t="n">
        <v>10</v>
      </c>
      <c r="Q19" s="3" t="inlineStr">
        <is>
          <t>Regulated Grown-Up</t>
        </is>
      </c>
      <c r="R19" s="3" t="n">
        <v>9</v>
      </c>
      <c r="S19" s="3" t="inlineStr"/>
      <c r="T19" s="3" t="inlineStr"/>
      <c r="U19" s="3" t="n">
        <v>0</v>
      </c>
      <c r="V19" s="3" t="inlineStr">
        <is>
          <t>masc:1.1;fem:0.9</t>
        </is>
      </c>
      <c r="W19" s="3" t="n">
        <v>1.1</v>
      </c>
      <c r="X19" s="3" t="n">
        <v>0.9</v>
      </c>
      <c r="Y19" s="3" t="inlineStr">
        <is>
          <t>COMM_Direct</t>
        </is>
      </c>
      <c r="Z19" s="3" t="inlineStr">
        <is>
          <t>REG_CoRegulator</t>
        </is>
      </c>
      <c r="AA19" s="3" t="inlineStr">
        <is>
          <t>LANG_Words</t>
        </is>
      </c>
      <c r="AB19" s="3" t="inlineStr"/>
      <c r="AC19" s="3" t="inlineStr"/>
      <c r="AD19" s="3" t="inlineStr"/>
      <c r="AE19" s="3" t="n">
        <v>0</v>
      </c>
      <c r="AF19" s="3" t="inlineStr">
        <is>
          <t>early clarity</t>
        </is>
      </c>
      <c r="AG19" s="3" t="inlineStr">
        <is>
          <t>straight talker</t>
        </is>
      </c>
      <c r="AH19" s="3" t="n">
        <v>0</v>
      </c>
      <c r="AI19" s="3" t="inlineStr">
        <is>
          <t>no</t>
        </is>
      </c>
      <c r="AJ19" s="3" t="inlineStr">
        <is>
          <t>no</t>
        </is>
      </c>
      <c r="AK19" s="3" t="inlineStr">
        <is>
          <t>yes</t>
        </is>
      </c>
      <c r="AL19" s="3" t="inlineStr">
        <is>
          <t>yes</t>
        </is>
      </c>
      <c r="AM19" s="3" t="inlineStr"/>
      <c r="AN19" s="3" t="inlineStr"/>
      <c r="AO19" s="3" t="inlineStr"/>
      <c r="AP19" s="3" t="inlineStr">
        <is>
          <t>v3_2026-03-19</t>
        </is>
      </c>
    </row>
    <row r="20">
      <c r="A20" s="3" t="inlineStr">
        <is>
          <t>Q04_D</t>
        </is>
      </c>
      <c r="B20" s="3" t="n">
        <v>4</v>
      </c>
      <c r="C20" s="3" t="n">
        <v>4</v>
      </c>
      <c r="D20" s="3" t="inlineStr">
        <is>
          <t>Core</t>
        </is>
      </c>
      <c r="E20" s="3" t="n">
        <v>1</v>
      </c>
      <c r="F20" s="3" t="inlineStr">
        <is>
          <t>CommunicationHealth</t>
        </is>
      </c>
      <c r="G20" s="3" t="inlineStr">
        <is>
          <t>EmotionalNeeds</t>
        </is>
      </c>
      <c r="H20" s="3" t="inlineStr"/>
      <c r="I20" s="3" t="inlineStr">
        <is>
          <t>D</t>
        </is>
      </c>
      <c r="J20" s="3" t="inlineStr">
        <is>
          <t>D</t>
        </is>
      </c>
      <c r="K20" s="3" t="inlineStr">
        <is>
          <t>I tell myself I'm just being too picky or expecting too much. So I wait. I just stop texting first and start holding back.</t>
        </is>
      </c>
      <c r="L20" s="3" t="n">
        <v>4</v>
      </c>
      <c r="M20" s="3" t="n">
        <v>5</v>
      </c>
      <c r="N20" s="3" t="n">
        <v>0</v>
      </c>
      <c r="O20" s="3" t="n">
        <v>2</v>
      </c>
      <c r="P20" s="3" t="n">
        <v>0</v>
      </c>
      <c r="Q20" s="3" t="inlineStr">
        <is>
          <t>Phantom Seeker</t>
        </is>
      </c>
      <c r="R20" s="3" t="n">
        <v>10</v>
      </c>
      <c r="S20" s="3" t="inlineStr"/>
      <c r="T20" s="3" t="inlineStr"/>
      <c r="U20" s="3" t="n">
        <v>0</v>
      </c>
      <c r="V20" s="3" t="inlineStr">
        <is>
          <t>masc:-0.2;fem:1.5</t>
        </is>
      </c>
      <c r="W20" s="3" t="n">
        <v>-0.2</v>
      </c>
      <c r="X20" s="3" t="n">
        <v>1.5</v>
      </c>
      <c r="Y20" s="3" t="inlineStr">
        <is>
          <t>COMM_Emotional</t>
        </is>
      </c>
      <c r="Z20" s="3" t="inlineStr">
        <is>
          <t>REG_SelfSoother</t>
        </is>
      </c>
      <c r="AA20" s="3" t="inlineStr">
        <is>
          <t>LANG_Touch</t>
        </is>
      </c>
      <c r="AB20" s="3" t="inlineStr">
        <is>
          <t>Commitment_Ambiguity</t>
        </is>
      </c>
      <c r="AC20" s="3" t="inlineStr">
        <is>
          <t>Commitment_Ambiguity</t>
        </is>
      </c>
      <c r="AD20" s="3" t="inlineStr"/>
      <c r="AE20" s="3" t="n">
        <v>5</v>
      </c>
      <c r="AF20" s="3" t="inlineStr">
        <is>
          <t>self-doubt delay</t>
        </is>
      </c>
      <c r="AG20" s="3" t="inlineStr">
        <is>
          <t>pullback protector</t>
        </is>
      </c>
      <c r="AH20" s="3" t="n">
        <v>0.6</v>
      </c>
      <c r="AI20" s="3" t="inlineStr">
        <is>
          <t>yes</t>
        </is>
      </c>
      <c r="AJ20" s="3" t="inlineStr">
        <is>
          <t>no</t>
        </is>
      </c>
      <c r="AK20" s="3" t="inlineStr">
        <is>
          <t>yes</t>
        </is>
      </c>
      <c r="AL20" s="3" t="inlineStr">
        <is>
          <t>yes</t>
        </is>
      </c>
      <c r="AM20" s="3" t="inlineStr"/>
      <c r="AN20" s="3" t="inlineStr"/>
      <c r="AO20" s="3" t="inlineStr"/>
      <c r="AP20" s="3" t="inlineStr">
        <is>
          <t>v3_2026-03-19</t>
        </is>
      </c>
    </row>
    <row r="21">
      <c r="A21" s="3" t="inlineStr">
        <is>
          <t>Q04_E</t>
        </is>
      </c>
      <c r="B21" s="3" t="n">
        <v>4</v>
      </c>
      <c r="C21" s="3" t="n">
        <v>4</v>
      </c>
      <c r="D21" s="3" t="inlineStr">
        <is>
          <t>Core</t>
        </is>
      </c>
      <c r="E21" s="3" t="n">
        <v>1</v>
      </c>
      <c r="F21" s="3" t="inlineStr">
        <is>
          <t>CommunicationHealth</t>
        </is>
      </c>
      <c r="G21" s="3" t="inlineStr">
        <is>
          <t>EmotionalNeeds</t>
        </is>
      </c>
      <c r="H21" s="3" t="inlineStr"/>
      <c r="I21" s="3" t="inlineStr">
        <is>
          <t>E</t>
        </is>
      </c>
      <c r="J21" s="3" t="inlineStr">
        <is>
          <t>E</t>
        </is>
      </c>
      <c r="K21" s="3" t="inlineStr">
        <is>
          <t>I've learned not to announce when I'm done, I just leave when I'm sure. I downplay it out loud, but mentally I start planning my exit.</t>
        </is>
      </c>
      <c r="L21" s="3" t="n">
        <v>8</v>
      </c>
      <c r="M21" s="3" t="n">
        <v>8</v>
      </c>
      <c r="N21" s="3" t="n">
        <v>4</v>
      </c>
      <c r="O21" s="3" t="n">
        <v>4</v>
      </c>
      <c r="P21" s="3" t="n">
        <v>0</v>
      </c>
      <c r="Q21" s="3" t="inlineStr">
        <is>
          <t>Quiet Exit</t>
        </is>
      </c>
      <c r="R21" s="3" t="n">
        <v>4</v>
      </c>
      <c r="S21" s="3" t="inlineStr"/>
      <c r="T21" s="3" t="inlineStr"/>
      <c r="U21" s="3" t="n">
        <v>0</v>
      </c>
      <c r="V21" s="3" t="inlineStr">
        <is>
          <t>masc:1.4;fem:-1.3</t>
        </is>
      </c>
      <c r="W21" s="3" t="n">
        <v>1.4</v>
      </c>
      <c r="X21" s="3" t="n">
        <v>-1.3</v>
      </c>
      <c r="Y21" s="3" t="inlineStr">
        <is>
          <t>COMM_Avoidant</t>
        </is>
      </c>
      <c r="Z21" s="3" t="inlineStr">
        <is>
          <t>REG_Suppressor</t>
        </is>
      </c>
      <c r="AA21" s="3" t="inlineStr">
        <is>
          <t>LANG_Time</t>
        </is>
      </c>
      <c r="AB21" s="3" t="inlineStr"/>
      <c r="AC21" s="3" t="inlineStr"/>
      <c r="AD21" s="3" t="inlineStr"/>
      <c r="AE21" s="3" t="n">
        <v>0</v>
      </c>
      <c r="AF21" s="3" t="inlineStr">
        <is>
          <t>silent exit plan</t>
        </is>
      </c>
      <c r="AG21" s="3" t="inlineStr">
        <is>
          <t>strategic withdrawer</t>
        </is>
      </c>
      <c r="AH21" s="3" t="n">
        <v>1.2</v>
      </c>
      <c r="AI21" s="3" t="inlineStr">
        <is>
          <t>no</t>
        </is>
      </c>
      <c r="AJ21" s="3" t="inlineStr">
        <is>
          <t>no</t>
        </is>
      </c>
      <c r="AK21" s="3" t="inlineStr">
        <is>
          <t>yes</t>
        </is>
      </c>
      <c r="AL21" s="3" t="inlineStr">
        <is>
          <t>yes</t>
        </is>
      </c>
      <c r="AM21" s="3" t="inlineStr"/>
      <c r="AN21" s="3" t="inlineStr"/>
      <c r="AO21" s="3" t="inlineStr"/>
      <c r="AP21" s="3" t="inlineStr">
        <is>
          <t>v3_2026-03-19</t>
        </is>
      </c>
    </row>
    <row r="22">
      <c r="A22" s="3" t="inlineStr">
        <is>
          <t>Q05_A</t>
        </is>
      </c>
      <c r="B22" s="3" t="n">
        <v>5</v>
      </c>
      <c r="C22" s="3" t="n">
        <v>5</v>
      </c>
      <c r="D22" s="3" t="inlineStr">
        <is>
          <t>Core</t>
        </is>
      </c>
      <c r="E22" s="3" t="n">
        <v>1</v>
      </c>
      <c r="F22" s="3" t="inlineStr">
        <is>
          <t>CommunicationHealth</t>
        </is>
      </c>
      <c r="G22" s="3" t="inlineStr">
        <is>
          <t>EmotionalNeeds</t>
        </is>
      </c>
      <c r="H22" s="3" t="inlineStr">
        <is>
          <t>You open up about something personal. They listen, but they don't really respond or say much. How do you take that?</t>
        </is>
      </c>
      <c r="I22" s="3" t="inlineStr">
        <is>
          <t>A</t>
        </is>
      </c>
      <c r="J22" s="3" t="inlineStr">
        <is>
          <t>A</t>
        </is>
      </c>
      <c r="K22" s="3" t="inlineStr">
        <is>
          <t>I don't expect much from people emotionally. I just log it as "noted" and move on. No point getting deep with someone who doesn't meet you there.</t>
        </is>
      </c>
      <c r="L22" s="3" t="n">
        <v>4</v>
      </c>
      <c r="M22" s="3" t="n">
        <v>5</v>
      </c>
      <c r="N22" s="3" t="n">
        <v>0</v>
      </c>
      <c r="O22" s="3" t="n">
        <v>0</v>
      </c>
      <c r="P22" s="3" t="n">
        <v>0</v>
      </c>
      <c r="Q22" s="3" t="inlineStr">
        <is>
          <t>Icebox</t>
        </is>
      </c>
      <c r="R22" s="3" t="n">
        <v>1</v>
      </c>
      <c r="S22" s="3" t="inlineStr"/>
      <c r="T22" s="3" t="inlineStr"/>
      <c r="U22" s="3" t="n">
        <v>0</v>
      </c>
      <c r="V22" s="3" t="inlineStr">
        <is>
          <t>masc:1.8;fem:-1.6</t>
        </is>
      </c>
      <c r="W22" s="3" t="n">
        <v>1.8</v>
      </c>
      <c r="X22" s="3" t="n">
        <v>-1.6</v>
      </c>
      <c r="Y22" s="3" t="inlineStr">
        <is>
          <t>COMM_Avoidant</t>
        </is>
      </c>
      <c r="Z22" s="3" t="inlineStr">
        <is>
          <t>REG_Suppressor</t>
        </is>
      </c>
      <c r="AA22" s="3" t="inlineStr">
        <is>
          <t>LANG_Time</t>
        </is>
      </c>
      <c r="AB22" s="3" t="inlineStr">
        <is>
          <t>Scorekeeping_Echo , Vulnerability_Loop</t>
        </is>
      </c>
      <c r="AC22" s="3" t="inlineStr">
        <is>
          <t>Scorekeeping_Echo</t>
        </is>
      </c>
      <c r="AD22" s="3" t="inlineStr">
        <is>
          <t>Vulnerability_Loop</t>
        </is>
      </c>
      <c r="AE22" s="3" t="n">
        <v>13</v>
      </c>
      <c r="AF22" s="3" t="inlineStr">
        <is>
          <t>low expectation logging</t>
        </is>
      </c>
      <c r="AG22" s="3" t="inlineStr">
        <is>
          <t>cool detacher</t>
        </is>
      </c>
      <c r="AH22" s="3" t="n">
        <v>0.6</v>
      </c>
      <c r="AI22" s="3" t="inlineStr">
        <is>
          <t>yes</t>
        </is>
      </c>
      <c r="AJ22" s="3" t="inlineStr">
        <is>
          <t>no</t>
        </is>
      </c>
      <c r="AK22" s="3" t="inlineStr">
        <is>
          <t>yes</t>
        </is>
      </c>
      <c r="AL22" s="3" t="inlineStr">
        <is>
          <t>yes</t>
        </is>
      </c>
      <c r="AM22" s="3" t="inlineStr"/>
      <c r="AN22" s="3" t="inlineStr"/>
      <c r="AO22" s="3" t="inlineStr"/>
      <c r="AP22" s="3" t="inlineStr">
        <is>
          <t>v3_2026-03-19</t>
        </is>
      </c>
    </row>
    <row r="23">
      <c r="A23" s="3" t="inlineStr">
        <is>
          <t>Q05_B</t>
        </is>
      </c>
      <c r="B23" s="3" t="n">
        <v>5</v>
      </c>
      <c r="C23" s="3" t="n">
        <v>5</v>
      </c>
      <c r="D23" s="3" t="inlineStr">
        <is>
          <t>Core</t>
        </is>
      </c>
      <c r="E23" s="3" t="n">
        <v>1</v>
      </c>
      <c r="F23" s="3" t="inlineStr">
        <is>
          <t>CommunicationHealth</t>
        </is>
      </c>
      <c r="G23" s="3" t="inlineStr">
        <is>
          <t>EmotionalNeeds</t>
        </is>
      </c>
      <c r="H23" s="3" t="inlineStr"/>
      <c r="I23" s="3" t="inlineStr">
        <is>
          <t>B</t>
        </is>
      </c>
      <c r="J23" s="3" t="inlineStr">
        <is>
          <t>B</t>
        </is>
      </c>
      <c r="K23" s="3" t="inlineStr">
        <is>
          <t>I brush it off, but I don't forget it. Stuff like that reminds me who's safe and who just wants the easy version of me.</t>
        </is>
      </c>
      <c r="L23" s="3" t="n">
        <v>6</v>
      </c>
      <c r="M23" s="3" t="n">
        <v>7</v>
      </c>
      <c r="N23" s="3" t="n">
        <v>4</v>
      </c>
      <c r="O23" s="3" t="n">
        <v>6</v>
      </c>
      <c r="P23" s="3" t="n">
        <v>6</v>
      </c>
      <c r="Q23" s="3" t="inlineStr">
        <is>
          <t>Survivor</t>
        </is>
      </c>
      <c r="R23" s="3" t="n">
        <v>8</v>
      </c>
      <c r="S23" s="3" t="inlineStr"/>
      <c r="T23" s="3" t="inlineStr"/>
      <c r="U23" s="3" t="n">
        <v>0</v>
      </c>
      <c r="V23" s="3" t="inlineStr">
        <is>
          <t>masc:0.3;fem:1.3</t>
        </is>
      </c>
      <c r="W23" s="3" t="n">
        <v>0.3</v>
      </c>
      <c r="X23" s="3" t="n">
        <v>1.3</v>
      </c>
      <c r="Y23" s="3" t="inlineStr">
        <is>
          <t>COMM_Emotional</t>
        </is>
      </c>
      <c r="Z23" s="3" t="inlineStr">
        <is>
          <t>REG_SelfSoother</t>
        </is>
      </c>
      <c r="AA23" s="3" t="inlineStr">
        <is>
          <t>LANG_Service</t>
        </is>
      </c>
      <c r="AB23" s="3" t="inlineStr"/>
      <c r="AC23" s="3" t="inlineStr"/>
      <c r="AD23" s="3" t="inlineStr"/>
      <c r="AE23" s="3" t="n">
        <v>0</v>
      </c>
      <c r="AF23" s="3" t="inlineStr">
        <is>
          <t>guarded memory</t>
        </is>
      </c>
      <c r="AG23" s="3" t="inlineStr">
        <is>
          <t>loyalty filter</t>
        </is>
      </c>
      <c r="AH23" s="3" t="n">
        <v>0</v>
      </c>
      <c r="AI23" s="3" t="inlineStr">
        <is>
          <t>no</t>
        </is>
      </c>
      <c r="AJ23" s="3" t="inlineStr">
        <is>
          <t>no</t>
        </is>
      </c>
      <c r="AK23" s="3" t="inlineStr">
        <is>
          <t>yes</t>
        </is>
      </c>
      <c r="AL23" s="3" t="inlineStr">
        <is>
          <t>yes</t>
        </is>
      </c>
      <c r="AM23" s="3" t="inlineStr"/>
      <c r="AN23" s="3" t="inlineStr"/>
      <c r="AO23" s="3" t="inlineStr"/>
      <c r="AP23" s="3" t="inlineStr">
        <is>
          <t>v3_2026-03-19</t>
        </is>
      </c>
    </row>
    <row r="24">
      <c r="A24" s="3" t="inlineStr">
        <is>
          <t>Q05_C</t>
        </is>
      </c>
      <c r="B24" s="3" t="n">
        <v>5</v>
      </c>
      <c r="C24" s="3" t="n">
        <v>5</v>
      </c>
      <c r="D24" s="3" t="inlineStr">
        <is>
          <t>Core</t>
        </is>
      </c>
      <c r="E24" s="3" t="n">
        <v>1</v>
      </c>
      <c r="F24" s="3" t="inlineStr">
        <is>
          <t>CommunicationHealth</t>
        </is>
      </c>
      <c r="G24" s="3" t="inlineStr">
        <is>
          <t>EmotionalNeeds</t>
        </is>
      </c>
      <c r="H24" s="3" t="inlineStr"/>
      <c r="I24" s="3" t="inlineStr">
        <is>
          <t>C</t>
        </is>
      </c>
      <c r="J24" s="3" t="inlineStr">
        <is>
          <t>C</t>
        </is>
      </c>
      <c r="K24" s="3" t="inlineStr">
        <is>
          <t>I try to explain again, maybe they didn't get it. And if they still don't? I stop showing that side to someone who doesn't see me.</t>
        </is>
      </c>
      <c r="L24" s="3" t="n">
        <v>8</v>
      </c>
      <c r="M24" s="3" t="n">
        <v>9</v>
      </c>
      <c r="N24" s="3" t="n">
        <v>8</v>
      </c>
      <c r="O24" s="3" t="n">
        <v>10</v>
      </c>
      <c r="P24" s="3" t="n">
        <v>8</v>
      </c>
      <c r="Q24" s="3" t="inlineStr">
        <is>
          <t>Fixer</t>
        </is>
      </c>
      <c r="R24" s="3" t="n">
        <v>5</v>
      </c>
      <c r="S24" s="3" t="inlineStr"/>
      <c r="T24" s="3" t="inlineStr"/>
      <c r="U24" s="3" t="n">
        <v>0</v>
      </c>
      <c r="V24" s="3" t="inlineStr">
        <is>
          <t>masc:-0.4;fem:2.0</t>
        </is>
      </c>
      <c r="W24" s="3" t="n">
        <v>-0.4</v>
      </c>
      <c r="X24" s="3" t="n">
        <v>2</v>
      </c>
      <c r="Y24" s="3" t="inlineStr">
        <is>
          <t>COMM_Emotional</t>
        </is>
      </c>
      <c r="Z24" s="3" t="inlineStr">
        <is>
          <t>REG_CoRegulator</t>
        </is>
      </c>
      <c r="AA24" s="3" t="inlineStr">
        <is>
          <t>LANG_Service</t>
        </is>
      </c>
      <c r="AB24" s="3" t="inlineStr"/>
      <c r="AC24" s="3" t="inlineStr"/>
      <c r="AD24" s="3" t="inlineStr"/>
      <c r="AE24" s="3" t="n">
        <v>0</v>
      </c>
      <c r="AF24" s="3" t="inlineStr">
        <is>
          <t>repair attempt</t>
        </is>
      </c>
      <c r="AG24" s="3" t="inlineStr">
        <is>
          <t>persistent helper</t>
        </is>
      </c>
      <c r="AH24" s="3" t="n">
        <v>0</v>
      </c>
      <c r="AI24" s="3" t="inlineStr">
        <is>
          <t>no</t>
        </is>
      </c>
      <c r="AJ24" s="3" t="inlineStr">
        <is>
          <t>no</t>
        </is>
      </c>
      <c r="AK24" s="3" t="inlineStr">
        <is>
          <t>yes</t>
        </is>
      </c>
      <c r="AL24" s="3" t="inlineStr">
        <is>
          <t>yes</t>
        </is>
      </c>
      <c r="AM24" s="3" t="inlineStr"/>
      <c r="AN24" s="3" t="inlineStr"/>
      <c r="AO24" s="3" t="inlineStr"/>
      <c r="AP24" s="3" t="inlineStr">
        <is>
          <t>v3_2026-03-19</t>
        </is>
      </c>
    </row>
    <row r="25">
      <c r="A25" s="3" t="inlineStr">
        <is>
          <t>Q05_D</t>
        </is>
      </c>
      <c r="B25" s="3" t="n">
        <v>5</v>
      </c>
      <c r="C25" s="3" t="n">
        <v>5</v>
      </c>
      <c r="D25" s="3" t="inlineStr">
        <is>
          <t>Core</t>
        </is>
      </c>
      <c r="E25" s="3" t="n">
        <v>1</v>
      </c>
      <c r="F25" s="3" t="inlineStr">
        <is>
          <t>CommunicationHealth</t>
        </is>
      </c>
      <c r="G25" s="3" t="inlineStr">
        <is>
          <t>EmotionalNeeds</t>
        </is>
      </c>
      <c r="H25" s="3" t="inlineStr"/>
      <c r="I25" s="3" t="inlineStr">
        <is>
          <t>D</t>
        </is>
      </c>
      <c r="J25" s="3" t="inlineStr">
        <is>
          <t>D</t>
        </is>
      </c>
      <c r="K25" s="3" t="inlineStr">
        <is>
          <t>I keep it smooth, but I notice the shift. Makes me rethink what I share next time, it's easier to just stay surface when people don't respond.</t>
        </is>
      </c>
      <c r="L25" s="3" t="n">
        <v>5</v>
      </c>
      <c r="M25" s="3" t="n">
        <v>6</v>
      </c>
      <c r="N25" s="3" t="n">
        <v>0</v>
      </c>
      <c r="O25" s="3" t="n">
        <v>2</v>
      </c>
      <c r="P25" s="3" t="n">
        <v>0</v>
      </c>
      <c r="Q25" s="3" t="inlineStr">
        <is>
          <t>Performer</t>
        </is>
      </c>
      <c r="R25" s="3" t="n">
        <v>7</v>
      </c>
      <c r="S25" s="3" t="inlineStr"/>
      <c r="T25" s="3" t="inlineStr"/>
      <c r="U25" s="3" t="n">
        <v>0</v>
      </c>
      <c r="V25" s="3" t="inlineStr">
        <is>
          <t>masc:0.3;fem:0.5</t>
        </is>
      </c>
      <c r="W25" s="3" t="n">
        <v>0.3</v>
      </c>
      <c r="X25" s="3" t="n">
        <v>0.5</v>
      </c>
      <c r="Y25" s="3" t="inlineStr">
        <is>
          <t>COMM_Indirect</t>
        </is>
      </c>
      <c r="Z25" s="3" t="inlineStr">
        <is>
          <t>REG_Distractor</t>
        </is>
      </c>
      <c r="AA25" s="3" t="inlineStr">
        <is>
          <t>LANG_Gifts</t>
        </is>
      </c>
      <c r="AB25" s="3" t="inlineStr">
        <is>
          <t>Public_Private_Split , Conflict_Flip</t>
        </is>
      </c>
      <c r="AC25" s="3" t="inlineStr">
        <is>
          <t>Public_Private_Split</t>
        </is>
      </c>
      <c r="AD25" s="3" t="inlineStr">
        <is>
          <t>Conflict_Flip</t>
        </is>
      </c>
      <c r="AE25" s="3" t="n">
        <v>8</v>
      </c>
      <c r="AF25" s="3" t="inlineStr">
        <is>
          <t>image-based withdrawal</t>
        </is>
      </c>
      <c r="AG25" s="3" t="inlineStr">
        <is>
          <t>surface masker</t>
        </is>
      </c>
      <c r="AH25" s="3" t="n">
        <v>1.2</v>
      </c>
      <c r="AI25" s="3" t="inlineStr">
        <is>
          <t>yes</t>
        </is>
      </c>
      <c r="AJ25" s="3" t="inlineStr">
        <is>
          <t>no</t>
        </is>
      </c>
      <c r="AK25" s="3" t="inlineStr">
        <is>
          <t>yes</t>
        </is>
      </c>
      <c r="AL25" s="3" t="inlineStr">
        <is>
          <t>yes</t>
        </is>
      </c>
      <c r="AM25" s="3" t="inlineStr"/>
      <c r="AN25" s="3" t="inlineStr"/>
      <c r="AO25" s="3" t="inlineStr"/>
      <c r="AP25" s="3" t="inlineStr">
        <is>
          <t>v3_2026-03-19</t>
        </is>
      </c>
    </row>
    <row r="26">
      <c r="A26" s="3" t="inlineStr">
        <is>
          <t>Q05_E</t>
        </is>
      </c>
      <c r="B26" s="3" t="n">
        <v>5</v>
      </c>
      <c r="C26" s="3" t="n">
        <v>5</v>
      </c>
      <c r="D26" s="3" t="inlineStr">
        <is>
          <t>Core</t>
        </is>
      </c>
      <c r="E26" s="3" t="n">
        <v>1</v>
      </c>
      <c r="F26" s="3" t="inlineStr">
        <is>
          <t>CommunicationHealth</t>
        </is>
      </c>
      <c r="G26" s="3" t="inlineStr">
        <is>
          <t>EmotionalNeeds</t>
        </is>
      </c>
      <c r="H26" s="3" t="inlineStr"/>
      <c r="I26" s="3" t="inlineStr">
        <is>
          <t>E</t>
        </is>
      </c>
      <c r="J26" s="3" t="inlineStr">
        <is>
          <t>E</t>
        </is>
      </c>
      <c r="K26" s="3" t="inlineStr">
        <is>
          <t>Silence says a lot. I take note. If they care, it'll show later, if not, I don't open that part of me again.</t>
        </is>
      </c>
      <c r="L26" s="3" t="n">
        <v>9</v>
      </c>
      <c r="M26" s="3" t="n">
        <v>9</v>
      </c>
      <c r="N26" s="3" t="n">
        <v>10</v>
      </c>
      <c r="O26" s="3" t="n">
        <v>10</v>
      </c>
      <c r="P26" s="3" t="n">
        <v>10</v>
      </c>
      <c r="Q26" s="3" t="inlineStr">
        <is>
          <t>Regulated Grown-Up</t>
        </is>
      </c>
      <c r="R26" s="3" t="n">
        <v>9</v>
      </c>
      <c r="S26" s="3" t="inlineStr"/>
      <c r="T26" s="3" t="inlineStr"/>
      <c r="U26" s="3" t="n">
        <v>0</v>
      </c>
      <c r="V26" s="3" t="inlineStr">
        <is>
          <t>masc:1.1;fem:0.9</t>
        </is>
      </c>
      <c r="W26" s="3" t="n">
        <v>1.1</v>
      </c>
      <c r="X26" s="3" t="n">
        <v>0.9</v>
      </c>
      <c r="Y26" s="3" t="inlineStr">
        <is>
          <t>COMM_Direct</t>
        </is>
      </c>
      <c r="Z26" s="3" t="inlineStr">
        <is>
          <t>REG_CoRegulator</t>
        </is>
      </c>
      <c r="AA26" s="3" t="inlineStr">
        <is>
          <t>LANG_Words</t>
        </is>
      </c>
      <c r="AB26" s="3" t="inlineStr"/>
      <c r="AC26" s="3" t="inlineStr"/>
      <c r="AD26" s="3" t="inlineStr"/>
      <c r="AE26" s="3" t="n">
        <v>0</v>
      </c>
      <c r="AF26" s="3" t="inlineStr">
        <is>
          <t>high awareness</t>
        </is>
      </c>
      <c r="AG26" s="3" t="inlineStr">
        <is>
          <t>calm sentinel</t>
        </is>
      </c>
      <c r="AH26" s="3" t="n">
        <v>0</v>
      </c>
      <c r="AI26" s="3" t="inlineStr">
        <is>
          <t>no</t>
        </is>
      </c>
      <c r="AJ26" s="3" t="inlineStr">
        <is>
          <t>no</t>
        </is>
      </c>
      <c r="AK26" s="3" t="inlineStr">
        <is>
          <t>yes</t>
        </is>
      </c>
      <c r="AL26" s="3" t="inlineStr">
        <is>
          <t>yes</t>
        </is>
      </c>
      <c r="AM26" s="3" t="inlineStr"/>
      <c r="AN26" s="3" t="inlineStr"/>
      <c r="AO26" s="3" t="inlineStr"/>
      <c r="AP26" s="3" t="inlineStr">
        <is>
          <t>v3_2026-03-19</t>
        </is>
      </c>
    </row>
    <row r="27">
      <c r="A27" s="3" t="inlineStr">
        <is>
          <t>Q06_A</t>
        </is>
      </c>
      <c r="B27" s="3" t="n">
        <v>6</v>
      </c>
      <c r="C27" s="3" t="n">
        <v>6</v>
      </c>
      <c r="D27" s="3" t="inlineStr">
        <is>
          <t>Core</t>
        </is>
      </c>
      <c r="E27" s="3" t="n">
        <v>1</v>
      </c>
      <c r="F27" s="3" t="inlineStr">
        <is>
          <t>CommunicationHealth</t>
        </is>
      </c>
      <c r="G27" s="3" t="inlineStr">
        <is>
          <t>EmotionalNeeds</t>
        </is>
      </c>
      <c r="H27" s="3" t="inlineStr">
        <is>
          <t>Question 6: One day they're into you, then distant the next. How do you handle the mixed signals?</t>
        </is>
      </c>
      <c r="I27" s="3" t="inlineStr">
        <is>
          <t>A</t>
        </is>
      </c>
      <c r="J27" s="3" t="inlineStr">
        <is>
          <t>A</t>
        </is>
      </c>
      <c r="K27" s="3" t="inlineStr">
        <is>
          <t>If you're hot and cold, I'm room temperature and gone. I'm not here to decode moods.</t>
        </is>
      </c>
      <c r="L27" s="3" t="n">
        <v>9</v>
      </c>
      <c r="M27" s="3" t="n">
        <v>9</v>
      </c>
      <c r="N27" s="3" t="n">
        <v>10</v>
      </c>
      <c r="O27" s="3" t="n">
        <v>10</v>
      </c>
      <c r="P27" s="3" t="n">
        <v>10</v>
      </c>
      <c r="Q27" s="3" t="inlineStr">
        <is>
          <t>Regulated Grown-Up</t>
        </is>
      </c>
      <c r="R27" s="3" t="n">
        <v>9</v>
      </c>
      <c r="S27" s="3" t="inlineStr"/>
      <c r="T27" s="3" t="inlineStr"/>
      <c r="U27" s="3" t="n">
        <v>0</v>
      </c>
      <c r="V27" s="3" t="inlineStr">
        <is>
          <t>masc:1.1;fem:0.9</t>
        </is>
      </c>
      <c r="W27" s="3" t="n">
        <v>1.1</v>
      </c>
      <c r="X27" s="3" t="n">
        <v>0.9</v>
      </c>
      <c r="Y27" s="3" t="inlineStr">
        <is>
          <t>COMM_Direct</t>
        </is>
      </c>
      <c r="Z27" s="3" t="inlineStr">
        <is>
          <t>REG_CoRegulator</t>
        </is>
      </c>
      <c r="AA27" s="3" t="inlineStr">
        <is>
          <t>LANG_Words</t>
        </is>
      </c>
      <c r="AB27" s="3" t="inlineStr"/>
      <c r="AC27" s="3" t="inlineStr"/>
      <c r="AD27" s="3" t="inlineStr"/>
      <c r="AE27" s="3" t="n">
        <v>0</v>
      </c>
      <c r="AF27" s="3" t="inlineStr">
        <is>
          <t>blunt detachment</t>
        </is>
      </c>
      <c r="AG27" s="3" t="inlineStr">
        <is>
          <t>immediate cutoff</t>
        </is>
      </c>
      <c r="AH27" s="3" t="n">
        <v>1.2</v>
      </c>
      <c r="AI27" s="3" t="inlineStr">
        <is>
          <t>no</t>
        </is>
      </c>
      <c r="AJ27" s="3" t="inlineStr">
        <is>
          <t>no</t>
        </is>
      </c>
      <c r="AK27" s="3" t="inlineStr">
        <is>
          <t>yes</t>
        </is>
      </c>
      <c r="AL27" s="3" t="inlineStr">
        <is>
          <t>yes</t>
        </is>
      </c>
      <c r="AM27" s="3" t="inlineStr"/>
      <c r="AN27" s="3" t="inlineStr"/>
      <c r="AO27" s="3" t="inlineStr"/>
      <c r="AP27" s="3" t="inlineStr">
        <is>
          <t>v3_2026-03-19</t>
        </is>
      </c>
    </row>
    <row r="28">
      <c r="A28" s="3" t="inlineStr">
        <is>
          <t>Q06_B</t>
        </is>
      </c>
      <c r="B28" s="3" t="n">
        <v>6</v>
      </c>
      <c r="C28" s="3" t="n">
        <v>6</v>
      </c>
      <c r="D28" s="3" t="inlineStr">
        <is>
          <t>Core</t>
        </is>
      </c>
      <c r="E28" s="3" t="n">
        <v>1</v>
      </c>
      <c r="F28" s="3" t="inlineStr">
        <is>
          <t>CommunicationHealth</t>
        </is>
      </c>
      <c r="G28" s="3" t="inlineStr">
        <is>
          <t>EmotionalNeeds</t>
        </is>
      </c>
      <c r="H28" s="3" t="inlineStr"/>
      <c r="I28" s="3" t="inlineStr">
        <is>
          <t>B</t>
        </is>
      </c>
      <c r="J28" s="3" t="inlineStr">
        <is>
          <t>B</t>
        </is>
      </c>
      <c r="K28" s="3" t="inlineStr">
        <is>
          <t>I recheck our last texts. Then I reread mine. Then I wonder if I should've said less, or more. I don't bring it up, but it definitely rewires how I respond.</t>
        </is>
      </c>
      <c r="L28" s="3" t="n">
        <v>5</v>
      </c>
      <c r="M28" s="3" t="n">
        <v>6</v>
      </c>
      <c r="N28" s="3" t="n">
        <v>4</v>
      </c>
      <c r="O28" s="3" t="n">
        <v>4</v>
      </c>
      <c r="P28" s="3" t="n">
        <v>2</v>
      </c>
      <c r="Q28" s="3" t="inlineStr">
        <is>
          <t>Analyzer</t>
        </is>
      </c>
      <c r="R28" s="3" t="n">
        <v>2</v>
      </c>
      <c r="S28" s="3" t="inlineStr"/>
      <c r="T28" s="3" t="inlineStr"/>
      <c r="U28" s="3" t="n">
        <v>0</v>
      </c>
      <c r="V28" s="3" t="inlineStr">
        <is>
          <t>masc:1.4;fem:0.1</t>
        </is>
      </c>
      <c r="W28" s="3" t="n">
        <v>1.4</v>
      </c>
      <c r="X28" s="3" t="n">
        <v>0.1</v>
      </c>
      <c r="Y28" s="3" t="inlineStr">
        <is>
          <t>COMM_Logical</t>
        </is>
      </c>
      <c r="Z28" s="3" t="inlineStr">
        <is>
          <t>REG_SelfSoother</t>
        </is>
      </c>
      <c r="AA28" s="3" t="inlineStr">
        <is>
          <t>LANG_Service</t>
        </is>
      </c>
      <c r="AB28" s="3" t="inlineStr">
        <is>
          <t>Trust_Tension</t>
        </is>
      </c>
      <c r="AC28" s="3" t="inlineStr">
        <is>
          <t>Trust_Tension</t>
        </is>
      </c>
      <c r="AD28" s="3" t="inlineStr"/>
      <c r="AE28" s="3" t="n">
        <v>6</v>
      </c>
      <c r="AF28" s="3" t="inlineStr">
        <is>
          <t>emotional spiral</t>
        </is>
      </c>
      <c r="AG28" s="3" t="inlineStr">
        <is>
          <t>overanalyzer</t>
        </is>
      </c>
      <c r="AH28" s="3" t="n">
        <v>0</v>
      </c>
      <c r="AI28" s="3" t="inlineStr">
        <is>
          <t>yes</t>
        </is>
      </c>
      <c r="AJ28" s="3" t="inlineStr">
        <is>
          <t>no</t>
        </is>
      </c>
      <c r="AK28" s="3" t="inlineStr">
        <is>
          <t>yes</t>
        </is>
      </c>
      <c r="AL28" s="3" t="inlineStr">
        <is>
          <t>yes</t>
        </is>
      </c>
      <c r="AM28" s="3" t="inlineStr"/>
      <c r="AN28" s="3" t="inlineStr"/>
      <c r="AO28" s="3" t="inlineStr"/>
      <c r="AP28" s="3" t="inlineStr">
        <is>
          <t>v3_2026-03-19</t>
        </is>
      </c>
    </row>
    <row r="29">
      <c r="A29" s="3" t="inlineStr">
        <is>
          <t>Q06_C</t>
        </is>
      </c>
      <c r="B29" s="3" t="n">
        <v>6</v>
      </c>
      <c r="C29" s="3" t="n">
        <v>6</v>
      </c>
      <c r="D29" s="3" t="inlineStr">
        <is>
          <t>Core</t>
        </is>
      </c>
      <c r="E29" s="3" t="n">
        <v>1</v>
      </c>
      <c r="F29" s="3" t="inlineStr">
        <is>
          <t>CommunicationHealth</t>
        </is>
      </c>
      <c r="G29" s="3" t="inlineStr">
        <is>
          <t>EmotionalNeeds</t>
        </is>
      </c>
      <c r="H29" s="3" t="inlineStr"/>
      <c r="I29" s="3" t="inlineStr">
        <is>
          <t>C</t>
        </is>
      </c>
      <c r="J29" s="3" t="inlineStr">
        <is>
          <t>C</t>
        </is>
      </c>
      <c r="K29" s="3" t="inlineStr">
        <is>
          <t>I back off. They'll either notice or they won't. I'm not chasing people who don't know what they want.</t>
        </is>
      </c>
      <c r="L29" s="3" t="n">
        <v>4</v>
      </c>
      <c r="M29" s="3" t="n">
        <v>5</v>
      </c>
      <c r="N29" s="3" t="n">
        <v>0</v>
      </c>
      <c r="O29" s="3" t="n">
        <v>0</v>
      </c>
      <c r="P29" s="3" t="n">
        <v>0</v>
      </c>
      <c r="Q29" s="3" t="inlineStr">
        <is>
          <t>Icebox</t>
        </is>
      </c>
      <c r="R29" s="3" t="n">
        <v>1</v>
      </c>
      <c r="S29" s="3" t="inlineStr"/>
      <c r="T29" s="3" t="inlineStr"/>
      <c r="U29" s="3" t="n">
        <v>0</v>
      </c>
      <c r="V29" s="3" t="inlineStr">
        <is>
          <t>masc:1.8;fem:-1.6</t>
        </is>
      </c>
      <c r="W29" s="3" t="n">
        <v>1.8</v>
      </c>
      <c r="X29" s="3" t="n">
        <v>-1.6</v>
      </c>
      <c r="Y29" s="3" t="inlineStr">
        <is>
          <t>COMM_Avoidant</t>
        </is>
      </c>
      <c r="Z29" s="3" t="inlineStr">
        <is>
          <t>REG_Suppressor</t>
        </is>
      </c>
      <c r="AA29" s="3" t="inlineStr">
        <is>
          <t>LANG_Time</t>
        </is>
      </c>
      <c r="AB29" s="3" t="inlineStr">
        <is>
          <t>Vulnerability_Loop</t>
        </is>
      </c>
      <c r="AC29" s="3" t="inlineStr">
        <is>
          <t>Vulnerability_Loop</t>
        </is>
      </c>
      <c r="AD29" s="3" t="inlineStr"/>
      <c r="AE29" s="3" t="n">
        <v>5</v>
      </c>
      <c r="AF29" s="3" t="inlineStr">
        <is>
          <t>quiet burn</t>
        </is>
      </c>
      <c r="AG29" s="3" t="inlineStr">
        <is>
          <t>disengaged pullback</t>
        </is>
      </c>
      <c r="AH29" s="3" t="n">
        <v>0.6</v>
      </c>
      <c r="AI29" s="3" t="inlineStr">
        <is>
          <t>yes</t>
        </is>
      </c>
      <c r="AJ29" s="3" t="inlineStr">
        <is>
          <t>no</t>
        </is>
      </c>
      <c r="AK29" s="3" t="inlineStr">
        <is>
          <t>yes</t>
        </is>
      </c>
      <c r="AL29" s="3" t="inlineStr">
        <is>
          <t>yes</t>
        </is>
      </c>
      <c r="AM29" s="3" t="inlineStr"/>
      <c r="AN29" s="3" t="inlineStr"/>
      <c r="AO29" s="3" t="inlineStr"/>
      <c r="AP29" s="3" t="inlineStr">
        <is>
          <t>v3_2026-03-19</t>
        </is>
      </c>
    </row>
    <row r="30">
      <c r="A30" s="3" t="inlineStr">
        <is>
          <t>Q06_D</t>
        </is>
      </c>
      <c r="B30" s="3" t="n">
        <v>6</v>
      </c>
      <c r="C30" s="3" t="n">
        <v>6</v>
      </c>
      <c r="D30" s="3" t="inlineStr">
        <is>
          <t>Core</t>
        </is>
      </c>
      <c r="E30" s="3" t="n">
        <v>1</v>
      </c>
      <c r="F30" s="3" t="inlineStr">
        <is>
          <t>CommunicationHealth</t>
        </is>
      </c>
      <c r="G30" s="3" t="inlineStr">
        <is>
          <t>EmotionalNeeds</t>
        </is>
      </c>
      <c r="H30" s="3" t="inlineStr"/>
      <c r="I30" s="3" t="inlineStr">
        <is>
          <t>D</t>
        </is>
      </c>
      <c r="J30" s="3" t="inlineStr">
        <is>
          <t>D</t>
        </is>
      </c>
      <c r="K30" s="3" t="inlineStr">
        <is>
          <t>I stop bringing things up. If they don't want me, I'm not going to beg to be understood. I've played that game before.</t>
        </is>
      </c>
      <c r="L30" s="3" t="n">
        <v>6</v>
      </c>
      <c r="M30" s="3" t="n">
        <v>7</v>
      </c>
      <c r="N30" s="3" t="n">
        <v>4</v>
      </c>
      <c r="O30" s="3" t="n">
        <v>4</v>
      </c>
      <c r="P30" s="3" t="n">
        <v>4</v>
      </c>
      <c r="Q30" s="3" t="inlineStr">
        <is>
          <t>Fixer</t>
        </is>
      </c>
      <c r="R30" s="3" t="n">
        <v>5</v>
      </c>
      <c r="S30" s="3" t="inlineStr"/>
      <c r="T30" s="3" t="inlineStr"/>
      <c r="U30" s="3" t="n">
        <v>0</v>
      </c>
      <c r="V30" s="3" t="inlineStr">
        <is>
          <t>masc:-0.4;fem:2.0</t>
        </is>
      </c>
      <c r="W30" s="3" t="n">
        <v>-0.4</v>
      </c>
      <c r="X30" s="3" t="n">
        <v>2</v>
      </c>
      <c r="Y30" s="3" t="inlineStr">
        <is>
          <t>COMM_Emotional</t>
        </is>
      </c>
      <c r="Z30" s="3" t="inlineStr">
        <is>
          <t>REG_CoRegulator</t>
        </is>
      </c>
      <c r="AA30" s="3" t="inlineStr">
        <is>
          <t>LANG_Service</t>
        </is>
      </c>
      <c r="AB30" s="3" t="inlineStr">
        <is>
          <t>Affection_Mismatch , Independence_Collision</t>
        </is>
      </c>
      <c r="AC30" s="3" t="inlineStr">
        <is>
          <t>Affection_Mismatch</t>
        </is>
      </c>
      <c r="AD30" s="3" t="inlineStr">
        <is>
          <t>Independence_Collision</t>
        </is>
      </c>
      <c r="AE30" s="3" t="n">
        <v>9</v>
      </c>
      <c r="AF30" s="3" t="inlineStr">
        <is>
          <t>resigned caregiver</t>
        </is>
      </c>
      <c r="AG30" s="3" t="inlineStr">
        <is>
          <t>silent surrender</t>
        </is>
      </c>
      <c r="AH30" s="3" t="n">
        <v>1.2</v>
      </c>
      <c r="AI30" s="3" t="inlineStr">
        <is>
          <t>yes</t>
        </is>
      </c>
      <c r="AJ30" s="3" t="inlineStr">
        <is>
          <t>no</t>
        </is>
      </c>
      <c r="AK30" s="3" t="inlineStr">
        <is>
          <t>yes</t>
        </is>
      </c>
      <c r="AL30" s="3" t="inlineStr">
        <is>
          <t>yes</t>
        </is>
      </c>
      <c r="AM30" s="3" t="inlineStr"/>
      <c r="AN30" s="3" t="inlineStr"/>
      <c r="AO30" s="3" t="inlineStr"/>
      <c r="AP30" s="3" t="inlineStr">
        <is>
          <t>v3_2026-03-19</t>
        </is>
      </c>
    </row>
    <row r="31">
      <c r="A31" s="3" t="inlineStr">
        <is>
          <t>Q06_E</t>
        </is>
      </c>
      <c r="B31" s="3" t="n">
        <v>6</v>
      </c>
      <c r="C31" s="3" t="n">
        <v>6</v>
      </c>
      <c r="D31" s="3" t="inlineStr">
        <is>
          <t>Core</t>
        </is>
      </c>
      <c r="E31" s="3" t="n">
        <v>1</v>
      </c>
      <c r="F31" s="3" t="inlineStr">
        <is>
          <t>CommunicationHealth</t>
        </is>
      </c>
      <c r="G31" s="3" t="inlineStr">
        <is>
          <t>EmotionalNeeds</t>
        </is>
      </c>
      <c r="H31" s="3" t="inlineStr"/>
      <c r="I31" s="3" t="inlineStr">
        <is>
          <t>E</t>
        </is>
      </c>
      <c r="J31" s="3" t="inlineStr">
        <is>
          <t>E</t>
        </is>
      </c>
      <c r="K31" s="3" t="inlineStr">
        <is>
          <t>I tell myself it's probably just stress or a bad week. I don't want to give up too early, but it's hard not to notice when it shifts.</t>
        </is>
      </c>
      <c r="L31" s="3" t="n">
        <v>7</v>
      </c>
      <c r="M31" s="3" t="n">
        <v>8</v>
      </c>
      <c r="N31" s="3" t="n">
        <v>6</v>
      </c>
      <c r="O31" s="3" t="n">
        <v>6</v>
      </c>
      <c r="P31" s="3" t="n">
        <v>4</v>
      </c>
      <c r="Q31" s="3" t="inlineStr">
        <is>
          <t>Romantic Idealist</t>
        </is>
      </c>
      <c r="R31" s="3" t="n">
        <v>6</v>
      </c>
      <c r="S31" s="3" t="inlineStr"/>
      <c r="T31" s="3" t="inlineStr"/>
      <c r="U31" s="3" t="n">
        <v>0</v>
      </c>
      <c r="V31" s="3" t="inlineStr">
        <is>
          <t>masc:-0.4;fem:1.5</t>
        </is>
      </c>
      <c r="W31" s="3" t="n">
        <v>-0.4</v>
      </c>
      <c r="X31" s="3" t="n">
        <v>1.5</v>
      </c>
      <c r="Y31" s="3" t="inlineStr">
        <is>
          <t>COMM_Emotional</t>
        </is>
      </c>
      <c r="Z31" s="3" t="inlineStr">
        <is>
          <t>REG_Distractor</t>
        </is>
      </c>
      <c r="AA31" s="3" t="inlineStr">
        <is>
          <t>LANG_Gifts</t>
        </is>
      </c>
      <c r="AB31" s="3" t="inlineStr"/>
      <c r="AC31" s="3" t="inlineStr"/>
      <c r="AD31" s="3" t="inlineStr"/>
      <c r="AE31" s="3" t="n">
        <v>0</v>
      </c>
      <c r="AF31" s="3" t="inlineStr">
        <is>
          <t>tired hope</t>
        </is>
      </c>
      <c r="AG31" s="3" t="inlineStr">
        <is>
          <t>cautious optimist</t>
        </is>
      </c>
      <c r="AH31" s="3" t="n">
        <v>0</v>
      </c>
      <c r="AI31" s="3" t="inlineStr">
        <is>
          <t>no</t>
        </is>
      </c>
      <c r="AJ31" s="3" t="inlineStr">
        <is>
          <t>no</t>
        </is>
      </c>
      <c r="AK31" s="3" t="inlineStr">
        <is>
          <t>yes</t>
        </is>
      </c>
      <c r="AL31" s="3" t="inlineStr">
        <is>
          <t>yes</t>
        </is>
      </c>
      <c r="AM31" s="3" t="inlineStr"/>
      <c r="AN31" s="3" t="inlineStr"/>
      <c r="AO31" s="3" t="inlineStr"/>
      <c r="AP31" s="3" t="inlineStr">
        <is>
          <t>v3_2026-03-19</t>
        </is>
      </c>
    </row>
    <row r="32">
      <c r="A32" s="3" t="inlineStr">
        <is>
          <t>Q07_A</t>
        </is>
      </c>
      <c r="B32" s="3" t="n">
        <v>7</v>
      </c>
      <c r="C32" s="3" t="n">
        <v>7</v>
      </c>
      <c r="D32" s="3" t="inlineStr">
        <is>
          <t>Core</t>
        </is>
      </c>
      <c r="E32" s="3" t="n">
        <v>1</v>
      </c>
      <c r="F32" s="3" t="inlineStr">
        <is>
          <t>CommunicationHealth</t>
        </is>
      </c>
      <c r="G32" s="3" t="inlineStr">
        <is>
          <t>EmotionalNeeds</t>
        </is>
      </c>
      <c r="H32" s="3" t="inlineStr">
        <is>
          <t>Question 7: You're deep in conversation and they suddenly shut down or go cold. What's your move?</t>
        </is>
      </c>
      <c r="I32" s="3" t="inlineStr">
        <is>
          <t>A</t>
        </is>
      </c>
      <c r="J32" s="3" t="inlineStr">
        <is>
          <t>A</t>
        </is>
      </c>
      <c r="K32" s="3" t="inlineStr">
        <is>
          <t>I pause. I've learned not everything's about me. If they want to talk, they will. If not, I don't chase silence.</t>
        </is>
      </c>
      <c r="L32" s="3" t="n">
        <v>8</v>
      </c>
      <c r="M32" s="3" t="n">
        <v>8</v>
      </c>
      <c r="N32" s="3" t="n">
        <v>4</v>
      </c>
      <c r="O32" s="3" t="n">
        <v>4</v>
      </c>
      <c r="P32" s="3" t="n">
        <v>0</v>
      </c>
      <c r="Q32" s="3" t="inlineStr">
        <is>
          <t>Icebox</t>
        </is>
      </c>
      <c r="R32" s="3" t="n">
        <v>1</v>
      </c>
      <c r="S32" s="3" t="inlineStr"/>
      <c r="T32" s="3" t="inlineStr"/>
      <c r="U32" s="3" t="n">
        <v>0</v>
      </c>
      <c r="V32" s="3" t="inlineStr">
        <is>
          <t>masc:1.8;fem:-1.6</t>
        </is>
      </c>
      <c r="W32" s="3" t="n">
        <v>1.8</v>
      </c>
      <c r="X32" s="3" t="n">
        <v>-1.6</v>
      </c>
      <c r="Y32" s="3" t="inlineStr">
        <is>
          <t>COMM_Avoidant</t>
        </is>
      </c>
      <c r="Z32" s="3" t="inlineStr">
        <is>
          <t>REG_Suppressor</t>
        </is>
      </c>
      <c r="AA32" s="3" t="inlineStr">
        <is>
          <t>LANG_Time</t>
        </is>
      </c>
      <c r="AB32" s="3" t="inlineStr"/>
      <c r="AC32" s="3" t="inlineStr"/>
      <c r="AD32" s="3" t="inlineStr"/>
      <c r="AE32" s="3" t="n">
        <v>0</v>
      </c>
      <c r="AF32" s="3" t="inlineStr">
        <is>
          <t>calm detachment</t>
        </is>
      </c>
      <c r="AG32" s="3" t="inlineStr">
        <is>
          <t>patient withdrawer</t>
        </is>
      </c>
      <c r="AH32" s="3" t="n">
        <v>0.8</v>
      </c>
      <c r="AI32" s="3" t="inlineStr">
        <is>
          <t>no</t>
        </is>
      </c>
      <c r="AJ32" s="3" t="inlineStr">
        <is>
          <t>no</t>
        </is>
      </c>
      <c r="AK32" s="3" t="inlineStr">
        <is>
          <t>yes</t>
        </is>
      </c>
      <c r="AL32" s="3" t="inlineStr">
        <is>
          <t>yes</t>
        </is>
      </c>
      <c r="AM32" s="3" t="inlineStr"/>
      <c r="AN32" s="3" t="inlineStr"/>
      <c r="AO32" s="3" t="inlineStr"/>
      <c r="AP32" s="3" t="inlineStr">
        <is>
          <t>v3_2026-03-19</t>
        </is>
      </c>
    </row>
    <row r="33">
      <c r="A33" s="3" t="inlineStr">
        <is>
          <t>Q07_B</t>
        </is>
      </c>
      <c r="B33" s="3" t="n">
        <v>7</v>
      </c>
      <c r="C33" s="3" t="n">
        <v>7</v>
      </c>
      <c r="D33" s="3" t="inlineStr">
        <is>
          <t>Core</t>
        </is>
      </c>
      <c r="E33" s="3" t="n">
        <v>1</v>
      </c>
      <c r="F33" s="3" t="inlineStr">
        <is>
          <t>CommunicationHealth</t>
        </is>
      </c>
      <c r="G33" s="3" t="inlineStr">
        <is>
          <t>EmotionalNeeds</t>
        </is>
      </c>
      <c r="H33" s="3" t="inlineStr"/>
      <c r="I33" s="3" t="inlineStr">
        <is>
          <t>B</t>
        </is>
      </c>
      <c r="J33" s="3" t="inlineStr">
        <is>
          <t>B</t>
        </is>
      </c>
      <c r="K33" s="3" t="inlineStr">
        <is>
          <t>I immediately think I said something wrong. I start scanning every word trying to figure out what triggered it.</t>
        </is>
      </c>
      <c r="L33" s="3" t="n">
        <v>5</v>
      </c>
      <c r="M33" s="3" t="n">
        <v>6</v>
      </c>
      <c r="N33" s="3" t="n">
        <v>4</v>
      </c>
      <c r="O33" s="3" t="n">
        <v>4</v>
      </c>
      <c r="P33" s="3" t="n">
        <v>2</v>
      </c>
      <c r="Q33" s="3" t="inlineStr">
        <is>
          <t>Analyzer</t>
        </is>
      </c>
      <c r="R33" s="3" t="n">
        <v>2</v>
      </c>
      <c r="S33" s="3" t="inlineStr"/>
      <c r="T33" s="3" t="inlineStr"/>
      <c r="U33" s="3" t="n">
        <v>0</v>
      </c>
      <c r="V33" s="3" t="inlineStr">
        <is>
          <t>masc:1.4;fem:0.1</t>
        </is>
      </c>
      <c r="W33" s="3" t="n">
        <v>1.4</v>
      </c>
      <c r="X33" s="3" t="n">
        <v>0.1</v>
      </c>
      <c r="Y33" s="3" t="inlineStr">
        <is>
          <t>COMM_Logical</t>
        </is>
      </c>
      <c r="Z33" s="3" t="inlineStr">
        <is>
          <t>REG_SelfSoother</t>
        </is>
      </c>
      <c r="AA33" s="3" t="inlineStr">
        <is>
          <t>LANG_Service</t>
        </is>
      </c>
      <c r="AB33" s="3" t="inlineStr">
        <is>
          <t>Vulnerability_Loop</t>
        </is>
      </c>
      <c r="AC33" s="3" t="inlineStr">
        <is>
          <t>Vulnerability_Loop</t>
        </is>
      </c>
      <c r="AD33" s="3" t="inlineStr"/>
      <c r="AE33" s="3" t="n">
        <v>5</v>
      </c>
      <c r="AF33" s="3" t="inlineStr">
        <is>
          <t>inner spiral</t>
        </is>
      </c>
      <c r="AG33" s="3" t="inlineStr">
        <is>
          <t>self-blamer</t>
        </is>
      </c>
      <c r="AH33" s="3" t="n">
        <v>0</v>
      </c>
      <c r="AI33" s="3" t="inlineStr">
        <is>
          <t>yes</t>
        </is>
      </c>
      <c r="AJ33" s="3" t="inlineStr">
        <is>
          <t>no</t>
        </is>
      </c>
      <c r="AK33" s="3" t="inlineStr">
        <is>
          <t>yes</t>
        </is>
      </c>
      <c r="AL33" s="3" t="inlineStr">
        <is>
          <t>yes</t>
        </is>
      </c>
      <c r="AM33" s="3" t="inlineStr"/>
      <c r="AN33" s="3" t="inlineStr"/>
      <c r="AO33" s="3" t="inlineStr"/>
      <c r="AP33" s="3" t="inlineStr">
        <is>
          <t>v3_2026-03-19</t>
        </is>
      </c>
    </row>
    <row r="34">
      <c r="A34" s="3" t="inlineStr">
        <is>
          <t>Q07_C</t>
        </is>
      </c>
      <c r="B34" s="3" t="n">
        <v>7</v>
      </c>
      <c r="C34" s="3" t="n">
        <v>7</v>
      </c>
      <c r="D34" s="3" t="inlineStr">
        <is>
          <t>Core</t>
        </is>
      </c>
      <c r="E34" s="3" t="n">
        <v>1</v>
      </c>
      <c r="F34" s="3" t="inlineStr">
        <is>
          <t>CommunicationHealth</t>
        </is>
      </c>
      <c r="G34" s="3" t="inlineStr">
        <is>
          <t>EmotionalNeeds</t>
        </is>
      </c>
      <c r="H34" s="3" t="inlineStr"/>
      <c r="I34" s="3" t="inlineStr">
        <is>
          <t>C</t>
        </is>
      </c>
      <c r="J34" s="3" t="inlineStr">
        <is>
          <t>C</t>
        </is>
      </c>
      <c r="K34" s="3" t="inlineStr">
        <is>
          <t>I'll ask once. If it's brushed off or ignored, I shift. I'm not the type to sit in someone else's silence for long.</t>
        </is>
      </c>
      <c r="L34" s="3" t="n">
        <v>9</v>
      </c>
      <c r="M34" s="3" t="n">
        <v>9</v>
      </c>
      <c r="N34" s="3" t="n">
        <v>10</v>
      </c>
      <c r="O34" s="3" t="n">
        <v>10</v>
      </c>
      <c r="P34" s="3" t="n">
        <v>10</v>
      </c>
      <c r="Q34" s="3" t="inlineStr">
        <is>
          <t>Regulated Grown-Up</t>
        </is>
      </c>
      <c r="R34" s="3" t="n">
        <v>9</v>
      </c>
      <c r="S34" s="3" t="inlineStr"/>
      <c r="T34" s="3" t="inlineStr"/>
      <c r="U34" s="3" t="n">
        <v>0</v>
      </c>
      <c r="V34" s="3" t="inlineStr">
        <is>
          <t>masc:1.1;fem:0.9</t>
        </is>
      </c>
      <c r="W34" s="3" t="n">
        <v>1.1</v>
      </c>
      <c r="X34" s="3" t="n">
        <v>0.9</v>
      </c>
      <c r="Y34" s="3" t="inlineStr">
        <is>
          <t>COMM_Direct</t>
        </is>
      </c>
      <c r="Z34" s="3" t="inlineStr">
        <is>
          <t>REG_CoRegulator</t>
        </is>
      </c>
      <c r="AA34" s="3" t="inlineStr">
        <is>
          <t>LANG_Words</t>
        </is>
      </c>
      <c r="AB34" s="3" t="inlineStr"/>
      <c r="AC34" s="3" t="inlineStr"/>
      <c r="AD34" s="3" t="inlineStr"/>
      <c r="AE34" s="3" t="n">
        <v>0</v>
      </c>
      <c r="AF34" s="3" t="inlineStr">
        <is>
          <t>direct with boundaries</t>
        </is>
      </c>
      <c r="AG34" s="3" t="inlineStr">
        <is>
          <t>firm line-setter</t>
        </is>
      </c>
      <c r="AH34" s="3" t="n">
        <v>0</v>
      </c>
      <c r="AI34" s="3" t="inlineStr">
        <is>
          <t>no</t>
        </is>
      </c>
      <c r="AJ34" s="3" t="inlineStr">
        <is>
          <t>no</t>
        </is>
      </c>
      <c r="AK34" s="3" t="inlineStr">
        <is>
          <t>yes</t>
        </is>
      </c>
      <c r="AL34" s="3" t="inlineStr">
        <is>
          <t>yes</t>
        </is>
      </c>
      <c r="AM34" s="3" t="inlineStr"/>
      <c r="AN34" s="3" t="inlineStr"/>
      <c r="AO34" s="3" t="inlineStr"/>
      <c r="AP34" s="3" t="inlineStr">
        <is>
          <t>v3_2026-03-19</t>
        </is>
      </c>
    </row>
    <row r="35">
      <c r="A35" s="3" t="inlineStr">
        <is>
          <t>Q07_D</t>
        </is>
      </c>
      <c r="B35" s="3" t="n">
        <v>7</v>
      </c>
      <c r="C35" s="3" t="n">
        <v>7</v>
      </c>
      <c r="D35" s="3" t="inlineStr">
        <is>
          <t>Core</t>
        </is>
      </c>
      <c r="E35" s="3" t="n">
        <v>1</v>
      </c>
      <c r="F35" s="3" t="inlineStr">
        <is>
          <t>CommunicationHealth</t>
        </is>
      </c>
      <c r="G35" s="3" t="inlineStr">
        <is>
          <t>EmotionalNeeds</t>
        </is>
      </c>
      <c r="H35" s="3" t="inlineStr"/>
      <c r="I35" s="3" t="inlineStr">
        <is>
          <t>D</t>
        </is>
      </c>
      <c r="J35" s="3" t="inlineStr">
        <is>
          <t>D</t>
        </is>
      </c>
      <c r="K35" s="3" t="inlineStr">
        <is>
          <t>I try to keep the mood up, shift the subject, make it feel less tense, even if I'm freaking out a little inside.</t>
        </is>
      </c>
      <c r="L35" s="3" t="n">
        <v>6</v>
      </c>
      <c r="M35" s="3" t="n">
        <v>7</v>
      </c>
      <c r="N35" s="3" t="n">
        <v>4</v>
      </c>
      <c r="O35" s="3" t="n">
        <v>4</v>
      </c>
      <c r="P35" s="3" t="n">
        <v>2</v>
      </c>
      <c r="Q35" s="3" t="inlineStr">
        <is>
          <t>Performer</t>
        </is>
      </c>
      <c r="R35" s="3" t="n">
        <v>7</v>
      </c>
      <c r="S35" s="3" t="inlineStr"/>
      <c r="T35" s="3" t="inlineStr"/>
      <c r="U35" s="3" t="n">
        <v>0</v>
      </c>
      <c r="V35" s="3" t="inlineStr">
        <is>
          <t>masc:0.3;fem:0.5</t>
        </is>
      </c>
      <c r="W35" s="3" t="n">
        <v>0.3</v>
      </c>
      <c r="X35" s="3" t="n">
        <v>0.5</v>
      </c>
      <c r="Y35" s="3" t="inlineStr">
        <is>
          <t>COMM_Indirect</t>
        </is>
      </c>
      <c r="Z35" s="3" t="inlineStr">
        <is>
          <t>REG_Distractor</t>
        </is>
      </c>
      <c r="AA35" s="3" t="inlineStr">
        <is>
          <t>LANG_Gifts</t>
        </is>
      </c>
      <c r="AB35" s="3" t="inlineStr">
        <is>
          <t>Vulnerability_Loop</t>
        </is>
      </c>
      <c r="AC35" s="3" t="inlineStr">
        <is>
          <t>Vulnerability_Loop</t>
        </is>
      </c>
      <c r="AD35" s="3" t="inlineStr"/>
      <c r="AE35" s="3" t="n">
        <v>5</v>
      </c>
      <c r="AF35" s="3" t="inlineStr">
        <is>
          <t>smooth cover-up</t>
        </is>
      </c>
      <c r="AG35" s="3" t="inlineStr">
        <is>
          <t>tension diffuser</t>
        </is>
      </c>
      <c r="AH35" s="3" t="n">
        <v>0</v>
      </c>
      <c r="AI35" s="3" t="inlineStr">
        <is>
          <t>yes</t>
        </is>
      </c>
      <c r="AJ35" s="3" t="inlineStr">
        <is>
          <t>no</t>
        </is>
      </c>
      <c r="AK35" s="3" t="inlineStr">
        <is>
          <t>yes</t>
        </is>
      </c>
      <c r="AL35" s="3" t="inlineStr">
        <is>
          <t>yes</t>
        </is>
      </c>
      <c r="AM35" s="3" t="inlineStr"/>
      <c r="AN35" s="3" t="inlineStr"/>
      <c r="AO35" s="3" t="inlineStr"/>
      <c r="AP35" s="3" t="inlineStr">
        <is>
          <t>v3_2026-03-19</t>
        </is>
      </c>
    </row>
    <row r="36">
      <c r="A36" s="3" t="inlineStr">
        <is>
          <t>Q07_E</t>
        </is>
      </c>
      <c r="B36" s="3" t="n">
        <v>7</v>
      </c>
      <c r="C36" s="3" t="n">
        <v>7</v>
      </c>
      <c r="D36" s="3" t="inlineStr">
        <is>
          <t>Core</t>
        </is>
      </c>
      <c r="E36" s="3" t="n">
        <v>1</v>
      </c>
      <c r="F36" s="3" t="inlineStr">
        <is>
          <t>CommunicationHealth</t>
        </is>
      </c>
      <c r="G36" s="3" t="inlineStr">
        <is>
          <t>EmotionalNeeds</t>
        </is>
      </c>
      <c r="H36" s="3" t="inlineStr"/>
      <c r="I36" s="3" t="inlineStr">
        <is>
          <t>E</t>
        </is>
      </c>
      <c r="J36" s="3" t="inlineStr">
        <is>
          <t>E</t>
        </is>
      </c>
      <c r="K36" s="3" t="inlineStr">
        <is>
          <t>I feel it, but I don't say anything. I stay present, hoping they'll come back to me on their own.</t>
        </is>
      </c>
      <c r="L36" s="3" t="n">
        <v>6</v>
      </c>
      <c r="M36" s="3" t="n">
        <v>6</v>
      </c>
      <c r="N36" s="3" t="n">
        <v>4</v>
      </c>
      <c r="O36" s="3" t="n">
        <v>4</v>
      </c>
      <c r="P36" s="3" t="n">
        <v>4</v>
      </c>
      <c r="Q36" s="3" t="inlineStr">
        <is>
          <t>Translator</t>
        </is>
      </c>
      <c r="R36" s="3" t="n">
        <v>3</v>
      </c>
      <c r="S36" s="3" t="inlineStr"/>
      <c r="T36" s="3" t="inlineStr"/>
      <c r="U36" s="3" t="n">
        <v>0</v>
      </c>
      <c r="V36" s="3" t="inlineStr">
        <is>
          <t>masc:-0.1;fem:1.6</t>
        </is>
      </c>
      <c r="W36" s="3" t="n">
        <v>-0.1</v>
      </c>
      <c r="X36" s="3" t="n">
        <v>1.6</v>
      </c>
      <c r="Y36" s="3" t="inlineStr">
        <is>
          <t>COMM_Indirect</t>
        </is>
      </c>
      <c r="Z36" s="3" t="inlineStr">
        <is>
          <t>REG_CoRegulator</t>
        </is>
      </c>
      <c r="AA36" s="3" t="inlineStr">
        <is>
          <t>LANG_Words</t>
        </is>
      </c>
      <c r="AB36" s="3" t="inlineStr">
        <is>
          <t>Vulnerability_Loop</t>
        </is>
      </c>
      <c r="AC36" s="3" t="inlineStr">
        <is>
          <t>Vulnerability_Loop</t>
        </is>
      </c>
      <c r="AD36" s="3" t="inlineStr"/>
      <c r="AE36" s="3" t="n">
        <v>5</v>
      </c>
      <c r="AF36" s="3" t="inlineStr">
        <is>
          <t>gentle waiter</t>
        </is>
      </c>
      <c r="AG36" s="3" t="inlineStr">
        <is>
          <t>silent holder</t>
        </is>
      </c>
      <c r="AH36" s="3" t="n">
        <v>0.6</v>
      </c>
      <c r="AI36" s="3" t="inlineStr">
        <is>
          <t>yes</t>
        </is>
      </c>
      <c r="AJ36" s="3" t="inlineStr">
        <is>
          <t>no</t>
        </is>
      </c>
      <c r="AK36" s="3" t="inlineStr">
        <is>
          <t>yes</t>
        </is>
      </c>
      <c r="AL36" s="3" t="inlineStr">
        <is>
          <t>yes</t>
        </is>
      </c>
      <c r="AM36" s="3" t="inlineStr"/>
      <c r="AN36" s="3" t="inlineStr"/>
      <c r="AO36" s="3" t="inlineStr"/>
      <c r="AP36" s="3" t="inlineStr">
        <is>
          <t>v3_2026-03-19</t>
        </is>
      </c>
    </row>
    <row r="37">
      <c r="A37" s="3" t="inlineStr">
        <is>
          <t>Q08_A</t>
        </is>
      </c>
      <c r="B37" s="3" t="n">
        <v>8</v>
      </c>
      <c r="C37" s="3" t="n">
        <v>8</v>
      </c>
      <c r="D37" s="3" t="inlineStr">
        <is>
          <t>Core</t>
        </is>
      </c>
      <c r="E37" s="3" t="n">
        <v>1</v>
      </c>
      <c r="F37" s="3" t="inlineStr">
        <is>
          <t>CommunicationHealth</t>
        </is>
      </c>
      <c r="G37" s="3" t="inlineStr">
        <is>
          <t>EmotionalNeeds</t>
        </is>
      </c>
      <c r="H37" s="3" t="inlineStr">
        <is>
          <t>Question 8: You feel them pulling away. They haven't said it, but the shift is obvious. What runs through your head first?</t>
        </is>
      </c>
      <c r="I37" s="3" t="inlineStr">
        <is>
          <t>A</t>
        </is>
      </c>
      <c r="J37" s="3" t="inlineStr">
        <is>
          <t>A</t>
        </is>
      </c>
      <c r="K37" s="3" t="inlineStr">
        <is>
          <t>Here we go again. I already know how this plays out. I stop trying the second I feel myself caring more than they do.</t>
        </is>
      </c>
      <c r="L37" s="3" t="n">
        <v>5</v>
      </c>
      <c r="M37" s="3" t="n">
        <v>5</v>
      </c>
      <c r="N37" s="3" t="n">
        <v>4</v>
      </c>
      <c r="O37" s="3" t="n">
        <v>2</v>
      </c>
      <c r="P37" s="3" t="n">
        <v>2</v>
      </c>
      <c r="Q37" s="3" t="inlineStr">
        <is>
          <t>Survivor</t>
        </is>
      </c>
      <c r="R37" s="3" t="n">
        <v>8</v>
      </c>
      <c r="S37" s="3" t="inlineStr"/>
      <c r="T37" s="3" t="inlineStr"/>
      <c r="U37" s="3" t="n">
        <v>0</v>
      </c>
      <c r="V37" s="3" t="inlineStr">
        <is>
          <t>masc:0.3;fem:1.3</t>
        </is>
      </c>
      <c r="W37" s="3" t="n">
        <v>0.3</v>
      </c>
      <c r="X37" s="3" t="n">
        <v>1.3</v>
      </c>
      <c r="Y37" s="3" t="inlineStr">
        <is>
          <t>COMM_Emotional</t>
        </is>
      </c>
      <c r="Z37" s="3" t="inlineStr">
        <is>
          <t>REG_SelfSoother</t>
        </is>
      </c>
      <c r="AA37" s="3" t="inlineStr">
        <is>
          <t>LANG_Service</t>
        </is>
      </c>
      <c r="AB37" s="3" t="inlineStr">
        <is>
          <t>Vulnerability_Loop</t>
        </is>
      </c>
      <c r="AC37" s="3" t="inlineStr">
        <is>
          <t>Vulnerability_Loop</t>
        </is>
      </c>
      <c r="AD37" s="3" t="inlineStr"/>
      <c r="AE37" s="3" t="n">
        <v>5</v>
      </c>
      <c r="AF37" s="3" t="inlineStr">
        <is>
          <t>pain-calibrated exit</t>
        </is>
      </c>
      <c r="AG37" s="3" t="inlineStr">
        <is>
          <t>early withdrawer</t>
        </is>
      </c>
      <c r="AH37" s="3" t="n">
        <v>0.6</v>
      </c>
      <c r="AI37" s="3" t="inlineStr">
        <is>
          <t>yes</t>
        </is>
      </c>
      <c r="AJ37" s="3" t="inlineStr">
        <is>
          <t>no</t>
        </is>
      </c>
      <c r="AK37" s="3" t="inlineStr">
        <is>
          <t>yes</t>
        </is>
      </c>
      <c r="AL37" s="3" t="inlineStr">
        <is>
          <t>yes</t>
        </is>
      </c>
      <c r="AM37" s="3" t="inlineStr"/>
      <c r="AN37" s="3" t="inlineStr"/>
      <c r="AO37" s="3" t="inlineStr"/>
      <c r="AP37" s="3" t="inlineStr">
        <is>
          <t>v3_2026-03-19</t>
        </is>
      </c>
    </row>
    <row r="38">
      <c r="A38" s="3" t="inlineStr">
        <is>
          <t>Q08_B</t>
        </is>
      </c>
      <c r="B38" s="3" t="n">
        <v>8</v>
      </c>
      <c r="C38" s="3" t="n">
        <v>8</v>
      </c>
      <c r="D38" s="3" t="inlineStr">
        <is>
          <t>Core</t>
        </is>
      </c>
      <c r="E38" s="3" t="n">
        <v>1</v>
      </c>
      <c r="F38" s="3" t="inlineStr">
        <is>
          <t>CommunicationHealth</t>
        </is>
      </c>
      <c r="G38" s="3" t="inlineStr">
        <is>
          <t>EmotionalNeeds</t>
        </is>
      </c>
      <c r="H38" s="3" t="inlineStr"/>
      <c r="I38" s="3" t="inlineStr">
        <is>
          <t>B</t>
        </is>
      </c>
      <c r="J38" s="3" t="inlineStr">
        <is>
          <t>B</t>
        </is>
      </c>
      <c r="K38" s="3" t="inlineStr">
        <is>
          <t>It's subtle, but I clock everything. Less emojis. Slower replies. Something's off, I just haven't figured out what yet.</t>
        </is>
      </c>
      <c r="L38" s="3" t="n">
        <v>7</v>
      </c>
      <c r="M38" s="3" t="n">
        <v>8</v>
      </c>
      <c r="N38" s="3" t="n">
        <v>6</v>
      </c>
      <c r="O38" s="3" t="n">
        <v>6</v>
      </c>
      <c r="P38" s="3" t="n">
        <v>6</v>
      </c>
      <c r="Q38" s="3" t="inlineStr">
        <is>
          <t>Analyzer</t>
        </is>
      </c>
      <c r="R38" s="3" t="n">
        <v>2</v>
      </c>
      <c r="S38" s="3" t="inlineStr"/>
      <c r="T38" s="3" t="inlineStr"/>
      <c r="U38" s="3" t="n">
        <v>0</v>
      </c>
      <c r="V38" s="3" t="inlineStr">
        <is>
          <t>masc:1.4;fem:0.1</t>
        </is>
      </c>
      <c r="W38" s="3" t="n">
        <v>1.4</v>
      </c>
      <c r="X38" s="3" t="n">
        <v>0.1</v>
      </c>
      <c r="Y38" s="3" t="inlineStr">
        <is>
          <t>COMM_Logical</t>
        </is>
      </c>
      <c r="Z38" s="3" t="inlineStr">
        <is>
          <t>REG_SelfSoother</t>
        </is>
      </c>
      <c r="AA38" s="3" t="inlineStr">
        <is>
          <t>LANG_Service</t>
        </is>
      </c>
      <c r="AB38" s="3" t="inlineStr"/>
      <c r="AC38" s="3" t="inlineStr"/>
      <c r="AD38" s="3" t="inlineStr"/>
      <c r="AE38" s="3" t="n">
        <v>0</v>
      </c>
      <c r="AF38" s="3" t="inlineStr">
        <is>
          <t>pattern tracker</t>
        </is>
      </c>
      <c r="AG38" s="3" t="inlineStr">
        <is>
          <t>micro-signal reader</t>
        </is>
      </c>
      <c r="AH38" s="3" t="n">
        <v>0.6</v>
      </c>
      <c r="AI38" s="3" t="inlineStr">
        <is>
          <t>no</t>
        </is>
      </c>
      <c r="AJ38" s="3" t="inlineStr">
        <is>
          <t>no</t>
        </is>
      </c>
      <c r="AK38" s="3" t="inlineStr">
        <is>
          <t>yes</t>
        </is>
      </c>
      <c r="AL38" s="3" t="inlineStr">
        <is>
          <t>yes</t>
        </is>
      </c>
      <c r="AM38" s="3" t="inlineStr"/>
      <c r="AN38" s="3" t="inlineStr"/>
      <c r="AO38" s="3" t="inlineStr"/>
      <c r="AP38" s="3" t="inlineStr">
        <is>
          <t>v3_2026-03-19</t>
        </is>
      </c>
    </row>
    <row r="39">
      <c r="A39" s="3" t="inlineStr">
        <is>
          <t>Q08_C</t>
        </is>
      </c>
      <c r="B39" s="3" t="n">
        <v>8</v>
      </c>
      <c r="C39" s="3" t="n">
        <v>8</v>
      </c>
      <c r="D39" s="3" t="inlineStr">
        <is>
          <t>Core</t>
        </is>
      </c>
      <c r="E39" s="3" t="n">
        <v>1</v>
      </c>
      <c r="F39" s="3" t="inlineStr">
        <is>
          <t>CommunicationHealth</t>
        </is>
      </c>
      <c r="G39" s="3" t="inlineStr">
        <is>
          <t>EmotionalNeeds</t>
        </is>
      </c>
      <c r="H39" s="3" t="inlineStr"/>
      <c r="I39" s="3" t="inlineStr">
        <is>
          <t>C</t>
        </is>
      </c>
      <c r="J39" s="3" t="inlineStr">
        <is>
          <t>C</t>
        </is>
      </c>
      <c r="K39" s="3" t="inlineStr">
        <is>
          <t>I don't ask. I just start detaching. If you're fading, I'm not chasing. I've done that before, and I don't owe anyone a meltdown.</t>
        </is>
      </c>
      <c r="L39" s="3" t="n">
        <v>5</v>
      </c>
      <c r="M39" s="3" t="n">
        <v>6</v>
      </c>
      <c r="N39" s="3" t="n">
        <v>0</v>
      </c>
      <c r="O39" s="3" t="n">
        <v>2</v>
      </c>
      <c r="P39" s="3" t="n">
        <v>0</v>
      </c>
      <c r="Q39" s="3" t="inlineStr">
        <is>
          <t>Quiet Exit</t>
        </is>
      </c>
      <c r="R39" s="3" t="n">
        <v>4</v>
      </c>
      <c r="S39" s="3" t="inlineStr"/>
      <c r="T39" s="3" t="inlineStr"/>
      <c r="U39" s="3" t="n">
        <v>0</v>
      </c>
      <c r="V39" s="3" t="inlineStr">
        <is>
          <t>masc:1.4;fem:-1.3</t>
        </is>
      </c>
      <c r="W39" s="3" t="n">
        <v>1.4</v>
      </c>
      <c r="X39" s="3" t="n">
        <v>-1.3</v>
      </c>
      <c r="Y39" s="3" t="inlineStr">
        <is>
          <t>COMM_Avoidant</t>
        </is>
      </c>
      <c r="Z39" s="3" t="inlineStr">
        <is>
          <t>REG_Suppressor</t>
        </is>
      </c>
      <c r="AA39" s="3" t="inlineStr">
        <is>
          <t>LANG_Time</t>
        </is>
      </c>
      <c r="AB39" s="3" t="inlineStr">
        <is>
          <t>Vulnerability_Loop</t>
        </is>
      </c>
      <c r="AC39" s="3" t="inlineStr">
        <is>
          <t>Vulnerability_Loop</t>
        </is>
      </c>
      <c r="AD39" s="3" t="inlineStr"/>
      <c r="AE39" s="3" t="n">
        <v>5</v>
      </c>
      <c r="AF39" s="3" t="inlineStr">
        <is>
          <t>soft boundary</t>
        </is>
      </c>
      <c r="AG39" s="3" t="inlineStr">
        <is>
          <t>quiet exit</t>
        </is>
      </c>
      <c r="AH39" s="3" t="n">
        <v>0.2</v>
      </c>
      <c r="AI39" s="3" t="inlineStr">
        <is>
          <t>yes</t>
        </is>
      </c>
      <c r="AJ39" s="3" t="inlineStr">
        <is>
          <t>no</t>
        </is>
      </c>
      <c r="AK39" s="3" t="inlineStr">
        <is>
          <t>yes</t>
        </is>
      </c>
      <c r="AL39" s="3" t="inlineStr">
        <is>
          <t>yes</t>
        </is>
      </c>
      <c r="AM39" s="3" t="inlineStr"/>
      <c r="AN39" s="3" t="inlineStr"/>
      <c r="AO39" s="3" t="inlineStr"/>
      <c r="AP39" s="3" t="inlineStr">
        <is>
          <t>v3_2026-03-19</t>
        </is>
      </c>
    </row>
    <row r="40">
      <c r="A40" s="3" t="inlineStr">
        <is>
          <t>Q08_D</t>
        </is>
      </c>
      <c r="B40" s="3" t="n">
        <v>8</v>
      </c>
      <c r="C40" s="3" t="n">
        <v>8</v>
      </c>
      <c r="D40" s="3" t="inlineStr">
        <is>
          <t>Core</t>
        </is>
      </c>
      <c r="E40" s="3" t="n">
        <v>1</v>
      </c>
      <c r="F40" s="3" t="inlineStr">
        <is>
          <t>CommunicationHealth</t>
        </is>
      </c>
      <c r="G40" s="3" t="inlineStr">
        <is>
          <t>EmotionalNeeds</t>
        </is>
      </c>
      <c r="H40" s="3" t="inlineStr"/>
      <c r="I40" s="3" t="inlineStr">
        <is>
          <t>D</t>
        </is>
      </c>
      <c r="J40" s="3" t="inlineStr">
        <is>
          <t>D</t>
        </is>
      </c>
      <c r="K40" s="3" t="inlineStr">
        <is>
          <t>Maybe they just need space. I try not to assume the worst... but yeah, it's hard not to take it personal.</t>
        </is>
      </c>
      <c r="L40" s="3" t="n">
        <v>7</v>
      </c>
      <c r="M40" s="3" t="n">
        <v>8</v>
      </c>
      <c r="N40" s="3" t="n">
        <v>6</v>
      </c>
      <c r="O40" s="3" t="n">
        <v>6</v>
      </c>
      <c r="P40" s="3" t="n">
        <v>4</v>
      </c>
      <c r="Q40" s="3" t="inlineStr">
        <is>
          <t>Romantic Idealist</t>
        </is>
      </c>
      <c r="R40" s="3" t="n">
        <v>6</v>
      </c>
      <c r="S40" s="3" t="inlineStr"/>
      <c r="T40" s="3" t="inlineStr"/>
      <c r="U40" s="3" t="n">
        <v>0</v>
      </c>
      <c r="V40" s="3" t="inlineStr">
        <is>
          <t>masc:-0.4;fem:1.5</t>
        </is>
      </c>
      <c r="W40" s="3" t="n">
        <v>-0.4</v>
      </c>
      <c r="X40" s="3" t="n">
        <v>1.5</v>
      </c>
      <c r="Y40" s="3" t="inlineStr">
        <is>
          <t>COMM_Emotional</t>
        </is>
      </c>
      <c r="Z40" s="3" t="inlineStr">
        <is>
          <t>REG_Distractor</t>
        </is>
      </c>
      <c r="AA40" s="3" t="inlineStr">
        <is>
          <t>LANG_Gifts</t>
        </is>
      </c>
      <c r="AB40" s="3" t="inlineStr"/>
      <c r="AC40" s="3" t="inlineStr"/>
      <c r="AD40" s="3" t="inlineStr"/>
      <c r="AE40" s="3" t="n">
        <v>0</v>
      </c>
      <c r="AF40" s="3" t="inlineStr">
        <is>
          <t>fragile optimism</t>
        </is>
      </c>
      <c r="AG40" s="3" t="inlineStr">
        <is>
          <t>tentative hope</t>
        </is>
      </c>
      <c r="AH40" s="3" t="n">
        <v>0</v>
      </c>
      <c r="AI40" s="3" t="inlineStr">
        <is>
          <t>no</t>
        </is>
      </c>
      <c r="AJ40" s="3" t="inlineStr">
        <is>
          <t>no</t>
        </is>
      </c>
      <c r="AK40" s="3" t="inlineStr">
        <is>
          <t>yes</t>
        </is>
      </c>
      <c r="AL40" s="3" t="inlineStr">
        <is>
          <t>yes</t>
        </is>
      </c>
      <c r="AM40" s="3" t="inlineStr"/>
      <c r="AN40" s="3" t="inlineStr"/>
      <c r="AO40" s="3" t="inlineStr"/>
      <c r="AP40" s="3" t="inlineStr">
        <is>
          <t>v3_2026-03-19</t>
        </is>
      </c>
    </row>
    <row r="41">
      <c r="A41" s="3" t="inlineStr">
        <is>
          <t>Q08_E</t>
        </is>
      </c>
      <c r="B41" s="3" t="n">
        <v>8</v>
      </c>
      <c r="C41" s="3" t="n">
        <v>8</v>
      </c>
      <c r="D41" s="3" t="inlineStr">
        <is>
          <t>Core</t>
        </is>
      </c>
      <c r="E41" s="3" t="n">
        <v>1</v>
      </c>
      <c r="F41" s="3" t="inlineStr">
        <is>
          <t>CommunicationHealth</t>
        </is>
      </c>
      <c r="G41" s="3" t="inlineStr">
        <is>
          <t>EmotionalNeeds</t>
        </is>
      </c>
      <c r="H41" s="3" t="inlineStr"/>
      <c r="I41" s="3" t="inlineStr">
        <is>
          <t>E</t>
        </is>
      </c>
      <c r="J41" s="3" t="inlineStr">
        <is>
          <t>E</t>
        </is>
      </c>
      <c r="K41" s="3" t="inlineStr">
        <is>
          <t>Cool. If they're gonna play distant, I'll be busy too. I'm not built to beg for consistency.</t>
        </is>
      </c>
      <c r="L41" s="3" t="n">
        <v>4</v>
      </c>
      <c r="M41" s="3" t="n">
        <v>5</v>
      </c>
      <c r="N41" s="3" t="n">
        <v>0</v>
      </c>
      <c r="O41" s="3" t="n">
        <v>0</v>
      </c>
      <c r="P41" s="3" t="n">
        <v>0</v>
      </c>
      <c r="Q41" s="3" t="inlineStr">
        <is>
          <t>Icebox</t>
        </is>
      </c>
      <c r="R41" s="3" t="n">
        <v>1</v>
      </c>
      <c r="S41" s="3" t="inlineStr"/>
      <c r="T41" s="3" t="inlineStr"/>
      <c r="U41" s="3" t="n">
        <v>0</v>
      </c>
      <c r="V41" s="3" t="inlineStr">
        <is>
          <t>masc:1.8;fem:-1.6</t>
        </is>
      </c>
      <c r="W41" s="3" t="n">
        <v>1.8</v>
      </c>
      <c r="X41" s="3" t="n">
        <v>-1.6</v>
      </c>
      <c r="Y41" s="3" t="inlineStr">
        <is>
          <t>COMM_Avoidant</t>
        </is>
      </c>
      <c r="Z41" s="3" t="inlineStr">
        <is>
          <t>REG_Suppressor</t>
        </is>
      </c>
      <c r="AA41" s="3" t="inlineStr">
        <is>
          <t>LANG_Time</t>
        </is>
      </c>
      <c r="AB41" s="3" t="inlineStr">
        <is>
          <t>Vulnerability_Loop , Pursuer_Distancer</t>
        </is>
      </c>
      <c r="AC41" s="3" t="inlineStr">
        <is>
          <t>Vulnerability_Loop</t>
        </is>
      </c>
      <c r="AD41" s="3" t="inlineStr">
        <is>
          <t>Pursuer_Distancer</t>
        </is>
      </c>
      <c r="AE41" s="3" t="n">
        <v>11</v>
      </c>
      <c r="AF41" s="3" t="inlineStr">
        <is>
          <t>defensive control</t>
        </is>
      </c>
      <c r="AG41" s="3" t="inlineStr">
        <is>
          <t>mirrored distance</t>
        </is>
      </c>
      <c r="AH41" s="3" t="n">
        <v>0</v>
      </c>
      <c r="AI41" s="3" t="inlineStr">
        <is>
          <t>yes</t>
        </is>
      </c>
      <c r="AJ41" s="3" t="inlineStr">
        <is>
          <t>no</t>
        </is>
      </c>
      <c r="AK41" s="3" t="inlineStr">
        <is>
          <t>yes</t>
        </is>
      </c>
      <c r="AL41" s="3" t="inlineStr">
        <is>
          <t>yes</t>
        </is>
      </c>
      <c r="AM41" s="3" t="inlineStr"/>
      <c r="AN41" s="3" t="inlineStr"/>
      <c r="AO41" s="3" t="inlineStr"/>
      <c r="AP41" s="3" t="inlineStr">
        <is>
          <t>v3_2026-03-19</t>
        </is>
      </c>
    </row>
    <row r="42">
      <c r="A42" s="3" t="inlineStr">
        <is>
          <t>Q09_A</t>
        </is>
      </c>
      <c r="B42" s="3" t="n">
        <v>9</v>
      </c>
      <c r="C42" s="3" t="n">
        <v>9</v>
      </c>
      <c r="D42" s="3" t="inlineStr">
        <is>
          <t>Core</t>
        </is>
      </c>
      <c r="E42" s="3" t="n">
        <v>1.05</v>
      </c>
      <c r="F42" s="3" t="inlineStr">
        <is>
          <t>ConflictRepair</t>
        </is>
      </c>
      <c r="G42" s="3" t="inlineStr">
        <is>
          <t>CommunicationHealth</t>
        </is>
      </c>
      <c r="H42" s="3" t="inlineStr">
        <is>
          <t>Question 9: They cancel plans last minute. No real reason, no reschedule. How do you take it?</t>
        </is>
      </c>
      <c r="I42" s="3" t="inlineStr">
        <is>
          <t>A</t>
        </is>
      </c>
      <c r="J42" s="3" t="inlineStr">
        <is>
          <t>A</t>
        </is>
      </c>
      <c r="K42" s="3" t="inlineStr">
        <is>
          <t>Noted. That's usually my cue to start pulling my energy back. I don't throw a fit, I just stop handing out access.</t>
        </is>
      </c>
      <c r="L42" s="3" t="n">
        <v>7</v>
      </c>
      <c r="M42" s="3" t="n">
        <v>8</v>
      </c>
      <c r="N42" s="3" t="n">
        <v>4</v>
      </c>
      <c r="O42" s="3" t="n">
        <v>4</v>
      </c>
      <c r="P42" s="3" t="n">
        <v>0</v>
      </c>
      <c r="Q42" s="3" t="inlineStr">
        <is>
          <t>Quiet Exit</t>
        </is>
      </c>
      <c r="R42" s="3" t="n">
        <v>4</v>
      </c>
      <c r="S42" s="3" t="inlineStr"/>
      <c r="T42" s="3" t="inlineStr"/>
      <c r="U42" s="3" t="n">
        <v>0</v>
      </c>
      <c r="V42" s="3" t="inlineStr">
        <is>
          <t>masc:1.4;fem:-1.3</t>
        </is>
      </c>
      <c r="W42" s="3" t="n">
        <v>1.4</v>
      </c>
      <c r="X42" s="3" t="n">
        <v>-1.3</v>
      </c>
      <c r="Y42" s="3" t="inlineStr">
        <is>
          <t>COMM_Avoidant</t>
        </is>
      </c>
      <c r="Z42" s="3" t="inlineStr">
        <is>
          <t>REG_Suppressor</t>
        </is>
      </c>
      <c r="AA42" s="3" t="inlineStr">
        <is>
          <t>LANG_Time</t>
        </is>
      </c>
      <c r="AB42" s="3" t="inlineStr"/>
      <c r="AC42" s="3" t="inlineStr"/>
      <c r="AD42" s="3" t="inlineStr"/>
      <c r="AE42" s="3" t="n">
        <v>0</v>
      </c>
      <c r="AF42" s="3" t="inlineStr">
        <is>
          <t>soft withdrawal</t>
        </is>
      </c>
      <c r="AG42" s="3" t="inlineStr">
        <is>
          <t>quiet boundary</t>
        </is>
      </c>
      <c r="AH42" s="3" t="n">
        <v>0.2</v>
      </c>
      <c r="AI42" s="3" t="inlineStr">
        <is>
          <t>no</t>
        </is>
      </c>
      <c r="AJ42" s="3" t="inlineStr">
        <is>
          <t>no</t>
        </is>
      </c>
      <c r="AK42" s="3" t="inlineStr">
        <is>
          <t>yes</t>
        </is>
      </c>
      <c r="AL42" s="3" t="inlineStr">
        <is>
          <t>yes</t>
        </is>
      </c>
      <c r="AM42" s="3" t="inlineStr"/>
      <c r="AN42" s="3" t="inlineStr"/>
      <c r="AO42" s="3" t="inlineStr"/>
      <c r="AP42" s="3" t="inlineStr">
        <is>
          <t>v3_2026-03-19</t>
        </is>
      </c>
    </row>
    <row r="43">
      <c r="A43" s="3" t="inlineStr">
        <is>
          <t>Q09_B</t>
        </is>
      </c>
      <c r="B43" s="3" t="n">
        <v>9</v>
      </c>
      <c r="C43" s="3" t="n">
        <v>9</v>
      </c>
      <c r="D43" s="3" t="inlineStr">
        <is>
          <t>Core</t>
        </is>
      </c>
      <c r="E43" s="3" t="n">
        <v>1.05</v>
      </c>
      <c r="F43" s="3" t="inlineStr">
        <is>
          <t>ConflictRepair</t>
        </is>
      </c>
      <c r="G43" s="3" t="inlineStr">
        <is>
          <t>CommunicationHealth</t>
        </is>
      </c>
      <c r="H43" s="3" t="inlineStr"/>
      <c r="I43" s="3" t="inlineStr">
        <is>
          <t>B</t>
        </is>
      </c>
      <c r="J43" s="3" t="inlineStr">
        <is>
          <t>B</t>
        </is>
      </c>
      <c r="K43" s="3" t="inlineStr">
        <is>
          <t>I act like it's fine, but it lingers. Now I'm checking who else they were with, what story that timing fits into. I overthink for a living.</t>
        </is>
      </c>
      <c r="L43" s="3" t="n">
        <v>5</v>
      </c>
      <c r="M43" s="3" t="n">
        <v>6</v>
      </c>
      <c r="N43" s="3" t="n">
        <v>4</v>
      </c>
      <c r="O43" s="3" t="n">
        <v>4</v>
      </c>
      <c r="P43" s="3" t="n">
        <v>2</v>
      </c>
      <c r="Q43" s="3" t="inlineStr">
        <is>
          <t>Analyzer</t>
        </is>
      </c>
      <c r="R43" s="3" t="n">
        <v>2</v>
      </c>
      <c r="S43" s="3" t="inlineStr"/>
      <c r="T43" s="3" t="inlineStr"/>
      <c r="U43" s="3" t="n">
        <v>0</v>
      </c>
      <c r="V43" s="3" t="inlineStr">
        <is>
          <t>masc:1.4;fem:0.1</t>
        </is>
      </c>
      <c r="W43" s="3" t="n">
        <v>1.4</v>
      </c>
      <c r="X43" s="3" t="n">
        <v>0.1</v>
      </c>
      <c r="Y43" s="3" t="inlineStr">
        <is>
          <t>COMM_Logical</t>
        </is>
      </c>
      <c r="Z43" s="3" t="inlineStr">
        <is>
          <t>REG_SelfSoother</t>
        </is>
      </c>
      <c r="AA43" s="3" t="inlineStr">
        <is>
          <t>LANG_Service</t>
        </is>
      </c>
      <c r="AB43" s="3" t="inlineStr">
        <is>
          <t>Vulnerability_Loop</t>
        </is>
      </c>
      <c r="AC43" s="3" t="inlineStr">
        <is>
          <t>Vulnerability_Loop</t>
        </is>
      </c>
      <c r="AD43" s="3" t="inlineStr"/>
      <c r="AE43" s="3" t="n">
        <v>5</v>
      </c>
      <c r="AF43" s="3" t="inlineStr">
        <is>
          <t>obsessive cross-referencer</t>
        </is>
      </c>
      <c r="AG43" s="3" t="inlineStr">
        <is>
          <t>trust checker</t>
        </is>
      </c>
      <c r="AH43" s="3" t="n">
        <v>0</v>
      </c>
      <c r="AI43" s="3" t="inlineStr">
        <is>
          <t>yes</t>
        </is>
      </c>
      <c r="AJ43" s="3" t="inlineStr">
        <is>
          <t>no</t>
        </is>
      </c>
      <c r="AK43" s="3" t="inlineStr">
        <is>
          <t>yes</t>
        </is>
      </c>
      <c r="AL43" s="3" t="inlineStr">
        <is>
          <t>yes</t>
        </is>
      </c>
      <c r="AM43" s="3" t="inlineStr"/>
      <c r="AN43" s="3" t="inlineStr"/>
      <c r="AO43" s="3" t="inlineStr"/>
      <c r="AP43" s="3" t="inlineStr">
        <is>
          <t>v3_2026-03-19</t>
        </is>
      </c>
    </row>
    <row r="44">
      <c r="A44" s="3" t="inlineStr">
        <is>
          <t>Q09_C</t>
        </is>
      </c>
      <c r="B44" s="3" t="n">
        <v>9</v>
      </c>
      <c r="C44" s="3" t="n">
        <v>9</v>
      </c>
      <c r="D44" s="3" t="inlineStr">
        <is>
          <t>Core</t>
        </is>
      </c>
      <c r="E44" s="3" t="n">
        <v>1.05</v>
      </c>
      <c r="F44" s="3" t="inlineStr">
        <is>
          <t>ConflictRepair</t>
        </is>
      </c>
      <c r="G44" s="3" t="inlineStr">
        <is>
          <t>CommunicationHealth</t>
        </is>
      </c>
      <c r="H44" s="3" t="inlineStr"/>
      <c r="I44" s="3" t="inlineStr">
        <is>
          <t>C</t>
        </is>
      </c>
      <c r="J44" s="3" t="inlineStr">
        <is>
          <t>C</t>
        </is>
      </c>
      <c r="K44" s="3" t="inlineStr">
        <is>
          <t>It stings. I replay the texts a few times, wondering what I said or didn't say. I don't bring it up, but I definitely adjust after that.</t>
        </is>
      </c>
      <c r="L44" s="3" t="n">
        <v>5</v>
      </c>
      <c r="M44" s="3" t="n">
        <v>6</v>
      </c>
      <c r="N44" s="3" t="n">
        <v>2</v>
      </c>
      <c r="O44" s="3" t="n">
        <v>4</v>
      </c>
      <c r="P44" s="3" t="n">
        <v>2</v>
      </c>
      <c r="Q44" s="3" t="inlineStr">
        <is>
          <t>Phantom Seeker</t>
        </is>
      </c>
      <c r="R44" s="3" t="n">
        <v>10</v>
      </c>
      <c r="S44" s="3" t="inlineStr"/>
      <c r="T44" s="3" t="inlineStr"/>
      <c r="U44" s="3" t="n">
        <v>0</v>
      </c>
      <c r="V44" s="3" t="inlineStr">
        <is>
          <t>masc:-0.2;fem:1.5</t>
        </is>
      </c>
      <c r="W44" s="3" t="n">
        <v>-0.2</v>
      </c>
      <c r="X44" s="3" t="n">
        <v>1.5</v>
      </c>
      <c r="Y44" s="3" t="inlineStr">
        <is>
          <t>COMM_Emotional</t>
        </is>
      </c>
      <c r="Z44" s="3" t="inlineStr">
        <is>
          <t>REG_SelfSoother</t>
        </is>
      </c>
      <c r="AA44" s="3" t="inlineStr">
        <is>
          <t>LANG_Touch</t>
        </is>
      </c>
      <c r="AB44" s="3" t="inlineStr">
        <is>
          <t>Vulnerability_Loop</t>
        </is>
      </c>
      <c r="AC44" s="3" t="inlineStr">
        <is>
          <t>Vulnerability_Loop</t>
        </is>
      </c>
      <c r="AD44" s="3" t="inlineStr"/>
      <c r="AE44" s="3" t="n">
        <v>5</v>
      </c>
      <c r="AF44" s="3" t="inlineStr">
        <is>
          <t>internalizer pullback</t>
        </is>
      </c>
      <c r="AG44" s="3" t="inlineStr">
        <is>
          <t>cautious retreater</t>
        </is>
      </c>
      <c r="AH44" s="3" t="n">
        <v>0</v>
      </c>
      <c r="AI44" s="3" t="inlineStr">
        <is>
          <t>yes</t>
        </is>
      </c>
      <c r="AJ44" s="3" t="inlineStr">
        <is>
          <t>no</t>
        </is>
      </c>
      <c r="AK44" s="3" t="inlineStr">
        <is>
          <t>yes</t>
        </is>
      </c>
      <c r="AL44" s="3" t="inlineStr">
        <is>
          <t>yes</t>
        </is>
      </c>
      <c r="AM44" s="3" t="inlineStr"/>
      <c r="AN44" s="3" t="inlineStr"/>
      <c r="AO44" s="3" t="inlineStr"/>
      <c r="AP44" s="3" t="inlineStr">
        <is>
          <t>v3_2026-03-19</t>
        </is>
      </c>
    </row>
    <row r="45">
      <c r="A45" s="3" t="inlineStr">
        <is>
          <t>Q09_D</t>
        </is>
      </c>
      <c r="B45" s="3" t="n">
        <v>9</v>
      </c>
      <c r="C45" s="3" t="n">
        <v>9</v>
      </c>
      <c r="D45" s="3" t="inlineStr">
        <is>
          <t>Core</t>
        </is>
      </c>
      <c r="E45" s="3" t="n">
        <v>1.05</v>
      </c>
      <c r="F45" s="3" t="inlineStr">
        <is>
          <t>ConflictRepair</t>
        </is>
      </c>
      <c r="G45" s="3" t="inlineStr">
        <is>
          <t>CommunicationHealth</t>
        </is>
      </c>
      <c r="H45" s="3" t="inlineStr"/>
      <c r="I45" s="3" t="inlineStr">
        <is>
          <t>D</t>
        </is>
      </c>
      <c r="J45" s="3" t="inlineStr">
        <is>
          <t>D</t>
        </is>
      </c>
      <c r="K45" s="3" t="inlineStr">
        <is>
          <t>I get annoyed, then weirdly try harder. Like maybe if I'm more consistent, they'll start matching that. It never really works, but I still do it.</t>
        </is>
      </c>
      <c r="L45" s="3" t="n">
        <v>4</v>
      </c>
      <c r="M45" s="3" t="n">
        <v>5</v>
      </c>
      <c r="N45" s="3" t="n">
        <v>2</v>
      </c>
      <c r="O45" s="3" t="n">
        <v>2</v>
      </c>
      <c r="P45" s="3" t="n">
        <v>2</v>
      </c>
      <c r="Q45" s="3" t="inlineStr">
        <is>
          <t>Fixer</t>
        </is>
      </c>
      <c r="R45" s="3" t="n">
        <v>5</v>
      </c>
      <c r="S45" s="3" t="inlineStr"/>
      <c r="T45" s="3" t="inlineStr"/>
      <c r="U45" s="3" t="n">
        <v>0</v>
      </c>
      <c r="V45" s="3" t="inlineStr">
        <is>
          <t>masc:-0.4;fem:2.0</t>
        </is>
      </c>
      <c r="W45" s="3" t="n">
        <v>-0.4</v>
      </c>
      <c r="X45" s="3" t="n">
        <v>2</v>
      </c>
      <c r="Y45" s="3" t="inlineStr">
        <is>
          <t>COMM_Emotional</t>
        </is>
      </c>
      <c r="Z45" s="3" t="inlineStr">
        <is>
          <t>REG_CoRegulator</t>
        </is>
      </c>
      <c r="AA45" s="3" t="inlineStr">
        <is>
          <t>LANG_Service</t>
        </is>
      </c>
      <c r="AB45" s="3" t="inlineStr">
        <is>
          <t>Commitment_Ambiguity</t>
        </is>
      </c>
      <c r="AC45" s="3" t="inlineStr">
        <is>
          <t>Commitment_Ambiguity</t>
        </is>
      </c>
      <c r="AD45" s="3" t="inlineStr"/>
      <c r="AE45" s="3" t="n">
        <v>5</v>
      </c>
      <c r="AF45" s="3" t="inlineStr">
        <is>
          <t>conditional effort loop</t>
        </is>
      </c>
      <c r="AG45" s="3" t="inlineStr">
        <is>
          <t>overcompensator</t>
        </is>
      </c>
      <c r="AH45" s="3" t="n">
        <v>0</v>
      </c>
      <c r="AI45" s="3" t="inlineStr">
        <is>
          <t>yes</t>
        </is>
      </c>
      <c r="AJ45" s="3" t="inlineStr">
        <is>
          <t>no</t>
        </is>
      </c>
      <c r="AK45" s="3" t="inlineStr">
        <is>
          <t>yes</t>
        </is>
      </c>
      <c r="AL45" s="3" t="inlineStr">
        <is>
          <t>yes</t>
        </is>
      </c>
      <c r="AM45" s="3" t="inlineStr"/>
      <c r="AN45" s="3" t="inlineStr"/>
      <c r="AO45" s="3" t="inlineStr"/>
      <c r="AP45" s="3" t="inlineStr">
        <is>
          <t>v3_2026-03-19</t>
        </is>
      </c>
    </row>
    <row r="46">
      <c r="A46" s="3" t="inlineStr">
        <is>
          <t>Q09_E</t>
        </is>
      </c>
      <c r="B46" s="3" t="n">
        <v>9</v>
      </c>
      <c r="C46" s="3" t="n">
        <v>9</v>
      </c>
      <c r="D46" s="3" t="inlineStr">
        <is>
          <t>Core</t>
        </is>
      </c>
      <c r="E46" s="3" t="n">
        <v>1.05</v>
      </c>
      <c r="F46" s="3" t="inlineStr">
        <is>
          <t>ConflictRepair</t>
        </is>
      </c>
      <c r="G46" s="3" t="inlineStr">
        <is>
          <t>CommunicationHealth</t>
        </is>
      </c>
      <c r="H46" s="3" t="inlineStr"/>
      <c r="I46" s="3" t="inlineStr">
        <is>
          <t>E</t>
        </is>
      </c>
      <c r="J46" s="3" t="inlineStr">
        <is>
          <t>E</t>
        </is>
      </c>
      <c r="K46" s="3" t="inlineStr">
        <is>
          <t>Cool. That tells me everything I needed to know. I move different after that, no announcement required.</t>
        </is>
      </c>
      <c r="L46" s="3" t="n">
        <v>4</v>
      </c>
      <c r="M46" s="3" t="n">
        <v>5</v>
      </c>
      <c r="N46" s="3" t="n">
        <v>0</v>
      </c>
      <c r="O46" s="3" t="n">
        <v>0</v>
      </c>
      <c r="P46" s="3" t="n">
        <v>0</v>
      </c>
      <c r="Q46" s="3" t="inlineStr">
        <is>
          <t>Icebox</t>
        </is>
      </c>
      <c r="R46" s="3" t="n">
        <v>1</v>
      </c>
      <c r="S46" s="3" t="inlineStr"/>
      <c r="T46" s="3" t="inlineStr"/>
      <c r="U46" s="3" t="n">
        <v>0</v>
      </c>
      <c r="V46" s="3" t="inlineStr">
        <is>
          <t>masc:1.8;fem:-1.6</t>
        </is>
      </c>
      <c r="W46" s="3" t="n">
        <v>1.8</v>
      </c>
      <c r="X46" s="3" t="n">
        <v>-1.6</v>
      </c>
      <c r="Y46" s="3" t="inlineStr">
        <is>
          <t>COMM_Avoidant</t>
        </is>
      </c>
      <c r="Z46" s="3" t="inlineStr">
        <is>
          <t>REG_Suppressor</t>
        </is>
      </c>
      <c r="AA46" s="3" t="inlineStr">
        <is>
          <t>LANG_Time</t>
        </is>
      </c>
      <c r="AB46" s="3" t="inlineStr"/>
      <c r="AC46" s="3" t="inlineStr"/>
      <c r="AD46" s="3" t="inlineStr"/>
      <c r="AE46" s="3" t="n">
        <v>0</v>
      </c>
      <c r="AF46" s="3" t="inlineStr">
        <is>
          <t>cold logic</t>
        </is>
      </c>
      <c r="AG46" s="3" t="inlineStr">
        <is>
          <t>decisive exit</t>
        </is>
      </c>
      <c r="AH46" s="3" t="n">
        <v>0.6</v>
      </c>
      <c r="AI46" s="3" t="inlineStr">
        <is>
          <t>no</t>
        </is>
      </c>
      <c r="AJ46" s="3" t="inlineStr">
        <is>
          <t>no</t>
        </is>
      </c>
      <c r="AK46" s="3" t="inlineStr">
        <is>
          <t>yes</t>
        </is>
      </c>
      <c r="AL46" s="3" t="inlineStr">
        <is>
          <t>yes</t>
        </is>
      </c>
      <c r="AM46" s="3" t="inlineStr"/>
      <c r="AN46" s="3" t="inlineStr"/>
      <c r="AO46" s="3" t="inlineStr"/>
      <c r="AP46" s="3" t="inlineStr">
        <is>
          <t>v3_2026-03-19</t>
        </is>
      </c>
    </row>
    <row r="47">
      <c r="A47" s="3" t="inlineStr">
        <is>
          <t>Q10_A</t>
        </is>
      </c>
      <c r="B47" s="3" t="n">
        <v>10</v>
      </c>
      <c r="C47" s="3" t="n">
        <v>10</v>
      </c>
      <c r="D47" s="3" t="inlineStr">
        <is>
          <t>Core</t>
        </is>
      </c>
      <c r="E47" s="3" t="n">
        <v>1.05</v>
      </c>
      <c r="F47" s="3" t="inlineStr">
        <is>
          <t>ConflictRepair</t>
        </is>
      </c>
      <c r="G47" s="3" t="inlineStr">
        <is>
          <t>CommunicationHealth</t>
        </is>
      </c>
      <c r="H47" s="3" t="inlineStr">
        <is>
          <t>Question 10: They come to you for comfort when things go wrong-but you're not sure they'd do the same for you. What runs through your mind?</t>
        </is>
      </c>
      <c r="I47" s="3" t="inlineStr">
        <is>
          <t>A</t>
        </is>
      </c>
      <c r="J47" s="3" t="inlineStr">
        <is>
          <t>A</t>
        </is>
      </c>
      <c r="K47" s="3" t="inlineStr">
        <is>
          <t>I play the part, but I clock the imbalance. I've been the safe place before, doesn't mean they ever planned to stay.</t>
        </is>
      </c>
      <c r="L47" s="3" t="n">
        <v>7</v>
      </c>
      <c r="M47" s="3" t="n">
        <v>8</v>
      </c>
      <c r="N47" s="3" t="n">
        <v>6</v>
      </c>
      <c r="O47" s="3" t="n">
        <v>8</v>
      </c>
      <c r="P47" s="3" t="n">
        <v>6</v>
      </c>
      <c r="Q47" s="3" t="inlineStr">
        <is>
          <t>Survivor</t>
        </is>
      </c>
      <c r="R47" s="3" t="n">
        <v>8</v>
      </c>
      <c r="S47" s="3" t="inlineStr"/>
      <c r="T47" s="3" t="inlineStr"/>
      <c r="U47" s="3" t="n">
        <v>0</v>
      </c>
      <c r="V47" s="3" t="inlineStr">
        <is>
          <t>masc:0.3;fem:1.3</t>
        </is>
      </c>
      <c r="W47" s="3" t="n">
        <v>0.3</v>
      </c>
      <c r="X47" s="3" t="n">
        <v>1.3</v>
      </c>
      <c r="Y47" s="3" t="inlineStr">
        <is>
          <t>COMM_Emotional</t>
        </is>
      </c>
      <c r="Z47" s="3" t="inlineStr">
        <is>
          <t>REG_SelfSoother</t>
        </is>
      </c>
      <c r="AA47" s="3" t="inlineStr">
        <is>
          <t>LANG_Service</t>
        </is>
      </c>
      <c r="AB47" s="3" t="inlineStr"/>
      <c r="AC47" s="3" t="inlineStr"/>
      <c r="AD47" s="3" t="inlineStr"/>
      <c r="AE47" s="3" t="n">
        <v>0</v>
      </c>
      <c r="AF47" s="3" t="inlineStr">
        <is>
          <t>burned-out responder</t>
        </is>
      </c>
      <c r="AG47" s="3" t="inlineStr">
        <is>
          <t>guarded giver</t>
        </is>
      </c>
      <c r="AH47" s="3" t="n">
        <v>0</v>
      </c>
      <c r="AI47" s="3" t="inlineStr">
        <is>
          <t>no</t>
        </is>
      </c>
      <c r="AJ47" s="3" t="inlineStr">
        <is>
          <t>no</t>
        </is>
      </c>
      <c r="AK47" s="3" t="inlineStr">
        <is>
          <t>yes</t>
        </is>
      </c>
      <c r="AL47" s="3" t="inlineStr">
        <is>
          <t>yes</t>
        </is>
      </c>
      <c r="AM47" s="3" t="inlineStr"/>
      <c r="AN47" s="3" t="inlineStr"/>
      <c r="AO47" s="3" t="inlineStr"/>
      <c r="AP47" s="3" t="inlineStr">
        <is>
          <t>v3_2026-03-19</t>
        </is>
      </c>
    </row>
    <row r="48">
      <c r="A48" s="3" t="inlineStr">
        <is>
          <t>Q10_B</t>
        </is>
      </c>
      <c r="B48" s="3" t="n">
        <v>10</v>
      </c>
      <c r="C48" s="3" t="n">
        <v>10</v>
      </c>
      <c r="D48" s="3" t="inlineStr">
        <is>
          <t>Core</t>
        </is>
      </c>
      <c r="E48" s="3" t="n">
        <v>1.05</v>
      </c>
      <c r="F48" s="3" t="inlineStr">
        <is>
          <t>ConflictRepair</t>
        </is>
      </c>
      <c r="G48" s="3" t="inlineStr">
        <is>
          <t>CommunicationHealth</t>
        </is>
      </c>
      <c r="H48" s="3" t="inlineStr"/>
      <c r="I48" s="3" t="inlineStr">
        <is>
          <t>B</t>
        </is>
      </c>
      <c r="J48" s="3" t="inlineStr">
        <is>
          <t>B</t>
        </is>
      </c>
      <c r="K48" s="3" t="inlineStr">
        <is>
          <t>I try to be what they need, hoping maybe this time they'll realize I'm more than a backup plan.</t>
        </is>
      </c>
      <c r="L48" s="3" t="n">
        <v>6</v>
      </c>
      <c r="M48" s="3" t="n">
        <v>7</v>
      </c>
      <c r="N48" s="3" t="n">
        <v>4</v>
      </c>
      <c r="O48" s="3" t="n">
        <v>6</v>
      </c>
      <c r="P48" s="3" t="n">
        <v>4</v>
      </c>
      <c r="Q48" s="3" t="inlineStr">
        <is>
          <t>Fixer</t>
        </is>
      </c>
      <c r="R48" s="3" t="n">
        <v>5</v>
      </c>
      <c r="S48" s="3" t="inlineStr"/>
      <c r="T48" s="3" t="inlineStr"/>
      <c r="U48" s="3" t="n">
        <v>0</v>
      </c>
      <c r="V48" s="3" t="inlineStr">
        <is>
          <t>masc:-0.4;fem:2.0</t>
        </is>
      </c>
      <c r="W48" s="3" t="n">
        <v>-0.4</v>
      </c>
      <c r="X48" s="3" t="n">
        <v>2</v>
      </c>
      <c r="Y48" s="3" t="inlineStr">
        <is>
          <t>COMM_Emotional</t>
        </is>
      </c>
      <c r="Z48" s="3" t="inlineStr">
        <is>
          <t>REG_CoRegulator</t>
        </is>
      </c>
      <c r="AA48" s="3" t="inlineStr">
        <is>
          <t>LANG_Service</t>
        </is>
      </c>
      <c r="AB48" s="3" t="inlineStr">
        <is>
          <t>Commitment_Ambiguity</t>
        </is>
      </c>
      <c r="AC48" s="3" t="inlineStr">
        <is>
          <t>Commitment_Ambiguity</t>
        </is>
      </c>
      <c r="AD48" s="3" t="inlineStr"/>
      <c r="AE48" s="3" t="n">
        <v>5</v>
      </c>
      <c r="AF48" s="3" t="inlineStr">
        <is>
          <t>approval-seeking caretaker</t>
        </is>
      </c>
      <c r="AG48" s="3" t="inlineStr">
        <is>
          <t>hopeful server</t>
        </is>
      </c>
      <c r="AH48" s="3" t="n">
        <v>0</v>
      </c>
      <c r="AI48" s="3" t="inlineStr">
        <is>
          <t>yes</t>
        </is>
      </c>
      <c r="AJ48" s="3" t="inlineStr">
        <is>
          <t>no</t>
        </is>
      </c>
      <c r="AK48" s="3" t="inlineStr">
        <is>
          <t>yes</t>
        </is>
      </c>
      <c r="AL48" s="3" t="inlineStr">
        <is>
          <t>yes</t>
        </is>
      </c>
      <c r="AM48" s="3" t="inlineStr"/>
      <c r="AN48" s="3" t="inlineStr"/>
      <c r="AO48" s="3" t="inlineStr"/>
      <c r="AP48" s="3" t="inlineStr">
        <is>
          <t>v3_2026-03-19</t>
        </is>
      </c>
    </row>
    <row r="49">
      <c r="A49" s="3" t="inlineStr">
        <is>
          <t>Q10_C</t>
        </is>
      </c>
      <c r="B49" s="3" t="n">
        <v>10</v>
      </c>
      <c r="C49" s="3" t="n">
        <v>10</v>
      </c>
      <c r="D49" s="3" t="inlineStr">
        <is>
          <t>Core</t>
        </is>
      </c>
      <c r="E49" s="3" t="n">
        <v>1.05</v>
      </c>
      <c r="F49" s="3" t="inlineStr">
        <is>
          <t>ConflictRepair</t>
        </is>
      </c>
      <c r="G49" s="3" t="inlineStr">
        <is>
          <t>CommunicationHealth</t>
        </is>
      </c>
      <c r="H49" s="3" t="inlineStr"/>
      <c r="I49" s="3" t="inlineStr">
        <is>
          <t>C</t>
        </is>
      </c>
      <c r="J49" s="3" t="inlineStr">
        <is>
          <t>C</t>
        </is>
      </c>
      <c r="K49" s="3" t="inlineStr">
        <is>
          <t>I comfort them, but in my head I'm already creating distance. If I can't count on them too, this whole thing is one-sided.</t>
        </is>
      </c>
      <c r="L49" s="3" t="n">
        <v>7</v>
      </c>
      <c r="M49" s="3" t="n">
        <v>8</v>
      </c>
      <c r="N49" s="3" t="n">
        <v>6</v>
      </c>
      <c r="O49" s="3" t="n">
        <v>8</v>
      </c>
      <c r="P49" s="3" t="n">
        <v>6</v>
      </c>
      <c r="Q49" s="3" t="inlineStr">
        <is>
          <t>Analyzer</t>
        </is>
      </c>
      <c r="R49" s="3" t="n">
        <v>2</v>
      </c>
      <c r="S49" s="3" t="inlineStr"/>
      <c r="T49" s="3" t="inlineStr"/>
      <c r="U49" s="3" t="n">
        <v>0</v>
      </c>
      <c r="V49" s="3" t="inlineStr">
        <is>
          <t>masc:1.4;fem:0.1</t>
        </is>
      </c>
      <c r="W49" s="3" t="n">
        <v>1.4</v>
      </c>
      <c r="X49" s="3" t="n">
        <v>0.1</v>
      </c>
      <c r="Y49" s="3" t="inlineStr">
        <is>
          <t>COMM_Logical</t>
        </is>
      </c>
      <c r="Z49" s="3" t="inlineStr">
        <is>
          <t>REG_SelfSoother</t>
        </is>
      </c>
      <c r="AA49" s="3" t="inlineStr">
        <is>
          <t>LANG_Service</t>
        </is>
      </c>
      <c r="AB49" s="3" t="inlineStr"/>
      <c r="AC49" s="3" t="inlineStr"/>
      <c r="AD49" s="3" t="inlineStr"/>
      <c r="AE49" s="3" t="n">
        <v>0</v>
      </c>
      <c r="AF49" s="3" t="inlineStr">
        <is>
          <t>measured pullback</t>
        </is>
      </c>
      <c r="AG49" s="3" t="inlineStr">
        <is>
          <t>quiet assessor</t>
        </is>
      </c>
      <c r="AH49" s="3" t="n">
        <v>0</v>
      </c>
      <c r="AI49" s="3" t="inlineStr">
        <is>
          <t>no</t>
        </is>
      </c>
      <c r="AJ49" s="3" t="inlineStr">
        <is>
          <t>no</t>
        </is>
      </c>
      <c r="AK49" s="3" t="inlineStr">
        <is>
          <t>yes</t>
        </is>
      </c>
      <c r="AL49" s="3" t="inlineStr">
        <is>
          <t>yes</t>
        </is>
      </c>
      <c r="AM49" s="3" t="inlineStr"/>
      <c r="AN49" s="3" t="inlineStr"/>
      <c r="AO49" s="3" t="inlineStr"/>
      <c r="AP49" s="3" t="inlineStr">
        <is>
          <t>v3_2026-03-19</t>
        </is>
      </c>
    </row>
    <row r="50">
      <c r="A50" s="3" t="inlineStr">
        <is>
          <t>Q10_D</t>
        </is>
      </c>
      <c r="B50" s="3" t="n">
        <v>10</v>
      </c>
      <c r="C50" s="3" t="n">
        <v>10</v>
      </c>
      <c r="D50" s="3" t="inlineStr">
        <is>
          <t>Core</t>
        </is>
      </c>
      <c r="E50" s="3" t="n">
        <v>1.05</v>
      </c>
      <c r="F50" s="3" t="inlineStr">
        <is>
          <t>ConflictRepair</t>
        </is>
      </c>
      <c r="G50" s="3" t="inlineStr">
        <is>
          <t>CommunicationHealth</t>
        </is>
      </c>
      <c r="H50" s="3" t="inlineStr"/>
      <c r="I50" s="3" t="inlineStr">
        <is>
          <t>D</t>
        </is>
      </c>
      <c r="J50" s="3" t="inlineStr">
        <is>
          <t>D</t>
        </is>
      </c>
      <c r="K50" s="3" t="inlineStr">
        <is>
          <t>I act calm, but I feel it. When I need someone, I keep it to myself, so watching them lean on me makes the silence louder.</t>
        </is>
      </c>
      <c r="L50" s="3" t="n">
        <v>5</v>
      </c>
      <c r="M50" s="3" t="n">
        <v>6</v>
      </c>
      <c r="N50" s="3" t="n">
        <v>2</v>
      </c>
      <c r="O50" s="3" t="n">
        <v>4</v>
      </c>
      <c r="P50" s="3" t="n">
        <v>2</v>
      </c>
      <c r="Q50" s="3" t="inlineStr">
        <is>
          <t>Phantom Seeker</t>
        </is>
      </c>
      <c r="R50" s="3" t="n">
        <v>10</v>
      </c>
      <c r="S50" s="3" t="inlineStr"/>
      <c r="T50" s="3" t="inlineStr"/>
      <c r="U50" s="3" t="n">
        <v>0</v>
      </c>
      <c r="V50" s="3" t="inlineStr">
        <is>
          <t>masc:-0.2;fem:1.5</t>
        </is>
      </c>
      <c r="W50" s="3" t="n">
        <v>-0.2</v>
      </c>
      <c r="X50" s="3" t="n">
        <v>1.5</v>
      </c>
      <c r="Y50" s="3" t="inlineStr">
        <is>
          <t>COMM_Emotional</t>
        </is>
      </c>
      <c r="Z50" s="3" t="inlineStr">
        <is>
          <t>REG_SelfSoother</t>
        </is>
      </c>
      <c r="AA50" s="3" t="inlineStr">
        <is>
          <t>LANG_Touch</t>
        </is>
      </c>
      <c r="AB50" s="3" t="inlineStr">
        <is>
          <t>Transparency_Gap</t>
        </is>
      </c>
      <c r="AC50" s="3" t="inlineStr">
        <is>
          <t>Transparency_Gap</t>
        </is>
      </c>
      <c r="AD50" s="3" t="inlineStr"/>
      <c r="AE50" s="3" t="n">
        <v>5</v>
      </c>
      <c r="AF50" s="3" t="inlineStr">
        <is>
          <t>quiet resentment</t>
        </is>
      </c>
      <c r="AG50" s="3" t="inlineStr">
        <is>
          <t>unspoken holder</t>
        </is>
      </c>
      <c r="AH50" s="3" t="n">
        <v>0</v>
      </c>
      <c r="AI50" s="3" t="inlineStr">
        <is>
          <t>yes</t>
        </is>
      </c>
      <c r="AJ50" s="3" t="inlineStr">
        <is>
          <t>no</t>
        </is>
      </c>
      <c r="AK50" s="3" t="inlineStr">
        <is>
          <t>yes</t>
        </is>
      </c>
      <c r="AL50" s="3" t="inlineStr">
        <is>
          <t>yes</t>
        </is>
      </c>
      <c r="AM50" s="3" t="inlineStr"/>
      <c r="AN50" s="3" t="inlineStr"/>
      <c r="AO50" s="3" t="inlineStr"/>
      <c r="AP50" s="3" t="inlineStr">
        <is>
          <t>v3_2026-03-19</t>
        </is>
      </c>
    </row>
    <row r="51">
      <c r="A51" s="3" t="inlineStr">
        <is>
          <t>Q10_E</t>
        </is>
      </c>
      <c r="B51" s="3" t="n">
        <v>10</v>
      </c>
      <c r="C51" s="3" t="n">
        <v>10</v>
      </c>
      <c r="D51" s="3" t="inlineStr">
        <is>
          <t>Core</t>
        </is>
      </c>
      <c r="E51" s="3" t="n">
        <v>1.05</v>
      </c>
      <c r="F51" s="3" t="inlineStr">
        <is>
          <t>ConflictRepair</t>
        </is>
      </c>
      <c r="G51" s="3" t="inlineStr">
        <is>
          <t>CommunicationHealth</t>
        </is>
      </c>
      <c r="H51" s="3" t="inlineStr"/>
      <c r="I51" s="3" t="inlineStr">
        <is>
          <t>E</t>
        </is>
      </c>
      <c r="J51" s="3" t="inlineStr">
        <is>
          <t>E</t>
        </is>
      </c>
      <c r="K51" s="3" t="inlineStr">
        <is>
          <t>I give them what they need in the moment. Then I sit with the feeling later, wondering why I always end up being the one who shows up.</t>
        </is>
      </c>
      <c r="L51" s="3" t="n">
        <v>6</v>
      </c>
      <c r="M51" s="3" t="n">
        <v>7</v>
      </c>
      <c r="N51" s="3" t="n">
        <v>4</v>
      </c>
      <c r="O51" s="3" t="n">
        <v>4</v>
      </c>
      <c r="P51" s="3" t="n">
        <v>4</v>
      </c>
      <c r="Q51" s="3" t="inlineStr">
        <is>
          <t>Romantic Idealist</t>
        </is>
      </c>
      <c r="R51" s="3" t="n">
        <v>6</v>
      </c>
      <c r="S51" s="3" t="inlineStr"/>
      <c r="T51" s="3" t="inlineStr"/>
      <c r="U51" s="3" t="n">
        <v>0</v>
      </c>
      <c r="V51" s="3" t="inlineStr">
        <is>
          <t>masc:-0.4;fem:1.5</t>
        </is>
      </c>
      <c r="W51" s="3" t="n">
        <v>-0.4</v>
      </c>
      <c r="X51" s="3" t="n">
        <v>1.5</v>
      </c>
      <c r="Y51" s="3" t="inlineStr">
        <is>
          <t>COMM_Emotional</t>
        </is>
      </c>
      <c r="Z51" s="3" t="inlineStr">
        <is>
          <t>REG_Distractor</t>
        </is>
      </c>
      <c r="AA51" s="3" t="inlineStr">
        <is>
          <t>LANG_Gifts</t>
        </is>
      </c>
      <c r="AB51" s="3" t="inlineStr"/>
      <c r="AC51" s="3" t="inlineStr"/>
      <c r="AD51" s="3" t="inlineStr"/>
      <c r="AE51" s="3" t="n">
        <v>0</v>
      </c>
      <c r="AF51" s="3" t="inlineStr">
        <is>
          <t>tired loyal dreamer</t>
        </is>
      </c>
      <c r="AG51" s="3" t="inlineStr">
        <is>
          <t>devoted but drained</t>
        </is>
      </c>
      <c r="AH51" s="3" t="n">
        <v>0</v>
      </c>
      <c r="AI51" s="3" t="inlineStr">
        <is>
          <t>no</t>
        </is>
      </c>
      <c r="AJ51" s="3" t="inlineStr">
        <is>
          <t>no</t>
        </is>
      </c>
      <c r="AK51" s="3" t="inlineStr">
        <is>
          <t>yes</t>
        </is>
      </c>
      <c r="AL51" s="3" t="inlineStr">
        <is>
          <t>yes</t>
        </is>
      </c>
      <c r="AM51" s="3" t="inlineStr"/>
      <c r="AN51" s="3" t="inlineStr"/>
      <c r="AO51" s="3" t="inlineStr"/>
      <c r="AP51" s="3" t="inlineStr">
        <is>
          <t>v3_2026-03-19</t>
        </is>
      </c>
    </row>
    <row r="52">
      <c r="A52" s="3" t="inlineStr">
        <is>
          <t>Q11_A</t>
        </is>
      </c>
      <c r="B52" s="3" t="n">
        <v>11</v>
      </c>
      <c r="C52" s="3" t="n">
        <v>11</v>
      </c>
      <c r="D52" s="3" t="inlineStr">
        <is>
          <t>Core</t>
        </is>
      </c>
      <c r="E52" s="3" t="n">
        <v>1.05</v>
      </c>
      <c r="F52" s="3" t="inlineStr">
        <is>
          <t>ConflictRepair</t>
        </is>
      </c>
      <c r="G52" s="3" t="inlineStr">
        <is>
          <t>CommunicationHealth</t>
        </is>
      </c>
      <c r="H52" s="3" t="inlineStr">
        <is>
          <t>They start acting distant-less replies, colder tone, still polite. What's your first move?</t>
        </is>
      </c>
      <c r="I52" s="3" t="inlineStr">
        <is>
          <t>A</t>
        </is>
      </c>
      <c r="J52" s="3" t="inlineStr">
        <is>
          <t>A</t>
        </is>
      </c>
      <c r="K52" s="3" t="inlineStr">
        <is>
          <t>I give them space. If they want to talk, they will. If not, I take the hint.</t>
        </is>
      </c>
      <c r="L52" s="3" t="n">
        <v>7</v>
      </c>
      <c r="M52" s="3" t="n">
        <v>8</v>
      </c>
      <c r="N52" s="3" t="n">
        <v>4</v>
      </c>
      <c r="O52" s="3" t="n">
        <v>4</v>
      </c>
      <c r="P52" s="3" t="n">
        <v>0</v>
      </c>
      <c r="Q52" s="3" t="inlineStr">
        <is>
          <t>Icebox</t>
        </is>
      </c>
      <c r="R52" s="3" t="n">
        <v>1</v>
      </c>
      <c r="S52" s="3" t="inlineStr"/>
      <c r="T52" s="3" t="inlineStr"/>
      <c r="U52" s="3" t="n">
        <v>0</v>
      </c>
      <c r="V52" s="3" t="inlineStr">
        <is>
          <t>masc:1.8;fem:-1.6</t>
        </is>
      </c>
      <c r="W52" s="3" t="n">
        <v>1.8</v>
      </c>
      <c r="X52" s="3" t="n">
        <v>-1.6</v>
      </c>
      <c r="Y52" s="3" t="inlineStr">
        <is>
          <t>COMM_Avoidant</t>
        </is>
      </c>
      <c r="Z52" s="3" t="inlineStr">
        <is>
          <t>REG_Suppressor</t>
        </is>
      </c>
      <c r="AA52" s="3" t="inlineStr">
        <is>
          <t>LANG_Time</t>
        </is>
      </c>
      <c r="AB52" s="3" t="inlineStr"/>
      <c r="AC52" s="3" t="inlineStr"/>
      <c r="AD52" s="3" t="inlineStr"/>
      <c r="AE52" s="3" t="n">
        <v>0</v>
      </c>
      <c r="AF52" s="3" t="inlineStr">
        <is>
          <t>detached cool</t>
        </is>
      </c>
      <c r="AG52" s="3" t="inlineStr">
        <is>
          <t>patient withdrawer</t>
        </is>
      </c>
      <c r="AH52" s="3" t="n">
        <v>1.2</v>
      </c>
      <c r="AI52" s="3" t="inlineStr">
        <is>
          <t>no</t>
        </is>
      </c>
      <c r="AJ52" s="3" t="inlineStr">
        <is>
          <t>no</t>
        </is>
      </c>
      <c r="AK52" s="3" t="inlineStr">
        <is>
          <t>yes</t>
        </is>
      </c>
      <c r="AL52" s="3" t="inlineStr">
        <is>
          <t>yes</t>
        </is>
      </c>
      <c r="AM52" s="3" t="inlineStr"/>
      <c r="AN52" s="3" t="inlineStr"/>
      <c r="AO52" s="3" t="inlineStr"/>
      <c r="AP52" s="3" t="inlineStr">
        <is>
          <t>v3_2026-03-19</t>
        </is>
      </c>
    </row>
    <row r="53">
      <c r="A53" s="3" t="inlineStr">
        <is>
          <t>Q11_B</t>
        </is>
      </c>
      <c r="B53" s="3" t="n">
        <v>11</v>
      </c>
      <c r="C53" s="3" t="n">
        <v>11</v>
      </c>
      <c r="D53" s="3" t="inlineStr">
        <is>
          <t>Core</t>
        </is>
      </c>
      <c r="E53" s="3" t="n">
        <v>1.05</v>
      </c>
      <c r="F53" s="3" t="inlineStr">
        <is>
          <t>ConflictRepair</t>
        </is>
      </c>
      <c r="G53" s="3" t="inlineStr">
        <is>
          <t>CommunicationHealth</t>
        </is>
      </c>
      <c r="H53" s="3" t="inlineStr"/>
      <c r="I53" s="3" t="inlineStr">
        <is>
          <t>B</t>
        </is>
      </c>
      <c r="J53" s="3" t="inlineStr">
        <is>
          <t>B</t>
        </is>
      </c>
      <c r="K53" s="3" t="inlineStr">
        <is>
          <t>I reread every text. Then I spiral into what I should've said differently.</t>
        </is>
      </c>
      <c r="L53" s="3" t="n">
        <v>4</v>
      </c>
      <c r="M53" s="3" t="n">
        <v>5</v>
      </c>
      <c r="N53" s="3" t="n">
        <v>2</v>
      </c>
      <c r="O53" s="3" t="n">
        <v>2</v>
      </c>
      <c r="P53" s="3" t="n">
        <v>2</v>
      </c>
      <c r="Q53" s="3" t="inlineStr">
        <is>
          <t>Analyzer</t>
        </is>
      </c>
      <c r="R53" s="3" t="n">
        <v>2</v>
      </c>
      <c r="S53" s="3" t="inlineStr"/>
      <c r="T53" s="3" t="inlineStr"/>
      <c r="U53" s="3" t="n">
        <v>0</v>
      </c>
      <c r="V53" s="3" t="inlineStr">
        <is>
          <t>masc:1.4;fem:0.1</t>
        </is>
      </c>
      <c r="W53" s="3" t="n">
        <v>1.4</v>
      </c>
      <c r="X53" s="3" t="n">
        <v>0.1</v>
      </c>
      <c r="Y53" s="3" t="inlineStr">
        <is>
          <t>COMM_Logical</t>
        </is>
      </c>
      <c r="Z53" s="3" t="inlineStr">
        <is>
          <t>REG_SelfSoother</t>
        </is>
      </c>
      <c r="AA53" s="3" t="inlineStr">
        <is>
          <t>LANG_Service</t>
        </is>
      </c>
      <c r="AB53" s="3" t="inlineStr">
        <is>
          <t>Trust_Tension</t>
        </is>
      </c>
      <c r="AC53" s="3" t="inlineStr">
        <is>
          <t>Trust_Tension</t>
        </is>
      </c>
      <c r="AD53" s="3" t="inlineStr"/>
      <c r="AE53" s="3" t="n">
        <v>6</v>
      </c>
      <c r="AF53" s="3" t="inlineStr">
        <is>
          <t>ruminating replayer</t>
        </is>
      </c>
      <c r="AG53" s="3" t="inlineStr">
        <is>
          <t>overanalyzer</t>
        </is>
      </c>
      <c r="AH53" s="3" t="n">
        <v>0</v>
      </c>
      <c r="AI53" s="3" t="inlineStr">
        <is>
          <t>yes</t>
        </is>
      </c>
      <c r="AJ53" s="3" t="inlineStr">
        <is>
          <t>no</t>
        </is>
      </c>
      <c r="AK53" s="3" t="inlineStr">
        <is>
          <t>yes</t>
        </is>
      </c>
      <c r="AL53" s="3" t="inlineStr">
        <is>
          <t>yes</t>
        </is>
      </c>
      <c r="AM53" s="3" t="inlineStr"/>
      <c r="AN53" s="3" t="inlineStr"/>
      <c r="AO53" s="3" t="inlineStr"/>
      <c r="AP53" s="3" t="inlineStr">
        <is>
          <t>v3_2026-03-19</t>
        </is>
      </c>
    </row>
    <row r="54">
      <c r="A54" s="3" t="inlineStr">
        <is>
          <t>Q11_C</t>
        </is>
      </c>
      <c r="B54" s="3" t="n">
        <v>11</v>
      </c>
      <c r="C54" s="3" t="n">
        <v>11</v>
      </c>
      <c r="D54" s="3" t="inlineStr">
        <is>
          <t>Core</t>
        </is>
      </c>
      <c r="E54" s="3" t="n">
        <v>1.05</v>
      </c>
      <c r="F54" s="3" t="inlineStr">
        <is>
          <t>ConflictRepair</t>
        </is>
      </c>
      <c r="G54" s="3" t="inlineStr">
        <is>
          <t>CommunicationHealth</t>
        </is>
      </c>
      <c r="H54" s="3" t="inlineStr"/>
      <c r="I54" s="3" t="inlineStr">
        <is>
          <t>C</t>
        </is>
      </c>
      <c r="J54" s="3" t="inlineStr">
        <is>
          <t>C</t>
        </is>
      </c>
      <c r="K54" s="3" t="inlineStr">
        <is>
          <t>I mirror their shift. If they're pulling back, so am I, no explanations.</t>
        </is>
      </c>
      <c r="L54" s="3" t="n">
        <v>6</v>
      </c>
      <c r="M54" s="3" t="n">
        <v>7</v>
      </c>
      <c r="N54" s="3" t="n">
        <v>2</v>
      </c>
      <c r="O54" s="3" t="n">
        <v>2</v>
      </c>
      <c r="P54" s="3" t="n">
        <v>0</v>
      </c>
      <c r="Q54" s="3" t="inlineStr">
        <is>
          <t>Quiet Exit</t>
        </is>
      </c>
      <c r="R54" s="3" t="n">
        <v>4</v>
      </c>
      <c r="S54" s="3" t="inlineStr"/>
      <c r="T54" s="3" t="inlineStr"/>
      <c r="U54" s="3" t="n">
        <v>0</v>
      </c>
      <c r="V54" s="3" t="inlineStr">
        <is>
          <t>masc:1.4;fem:-1.3</t>
        </is>
      </c>
      <c r="W54" s="3" t="n">
        <v>1.4</v>
      </c>
      <c r="X54" s="3" t="n">
        <v>-1.3</v>
      </c>
      <c r="Y54" s="3" t="inlineStr">
        <is>
          <t>COMM_Avoidant</t>
        </is>
      </c>
      <c r="Z54" s="3" t="inlineStr">
        <is>
          <t>REG_Suppressor</t>
        </is>
      </c>
      <c r="AA54" s="3" t="inlineStr">
        <is>
          <t>LANG_Time</t>
        </is>
      </c>
      <c r="AB54" s="3" t="inlineStr">
        <is>
          <t>Pursuer_Distancer</t>
        </is>
      </c>
      <c r="AC54" s="3" t="inlineStr">
        <is>
          <t>Pursuer_Distancer</t>
        </is>
      </c>
      <c r="AD54" s="3" t="inlineStr"/>
      <c r="AE54" s="3" t="n">
        <v>6</v>
      </c>
      <c r="AF54" s="3" t="inlineStr">
        <is>
          <t>soft echo</t>
        </is>
      </c>
      <c r="AG54" s="3" t="inlineStr">
        <is>
          <t>mirrored withdrawal</t>
        </is>
      </c>
      <c r="AH54" s="3" t="n">
        <v>0.6</v>
      </c>
      <c r="AI54" s="3" t="inlineStr">
        <is>
          <t>yes</t>
        </is>
      </c>
      <c r="AJ54" s="3" t="inlineStr">
        <is>
          <t>no</t>
        </is>
      </c>
      <c r="AK54" s="3" t="inlineStr">
        <is>
          <t>yes</t>
        </is>
      </c>
      <c r="AL54" s="3" t="inlineStr">
        <is>
          <t>yes</t>
        </is>
      </c>
      <c r="AM54" s="3" t="inlineStr"/>
      <c r="AN54" s="3" t="inlineStr"/>
      <c r="AO54" s="3" t="inlineStr"/>
      <c r="AP54" s="3" t="inlineStr">
        <is>
          <t>v3_2026-03-19</t>
        </is>
      </c>
    </row>
    <row r="55">
      <c r="A55" s="3" t="inlineStr">
        <is>
          <t>Q11_D</t>
        </is>
      </c>
      <c r="B55" s="3" t="n">
        <v>11</v>
      </c>
      <c r="C55" s="3" t="n">
        <v>11</v>
      </c>
      <c r="D55" s="3" t="inlineStr">
        <is>
          <t>Core</t>
        </is>
      </c>
      <c r="E55" s="3" t="n">
        <v>1.05</v>
      </c>
      <c r="F55" s="3" t="inlineStr">
        <is>
          <t>ConflictRepair</t>
        </is>
      </c>
      <c r="G55" s="3" t="inlineStr">
        <is>
          <t>CommunicationHealth</t>
        </is>
      </c>
      <c r="H55" s="3" t="inlineStr"/>
      <c r="I55" s="3" t="inlineStr">
        <is>
          <t>D</t>
        </is>
      </c>
      <c r="J55" s="3" t="inlineStr">
        <is>
          <t>D</t>
        </is>
      </c>
      <c r="K55" s="3" t="inlineStr">
        <is>
          <t>I try to re-engage them. Make them laugh. Be light. I don't want to feel the shift.</t>
        </is>
      </c>
      <c r="L55" s="3" t="n">
        <v>6</v>
      </c>
      <c r="M55" s="3" t="n">
        <v>7</v>
      </c>
      <c r="N55" s="3" t="n">
        <v>4</v>
      </c>
      <c r="O55" s="3" t="n">
        <v>4</v>
      </c>
      <c r="P55" s="3" t="n">
        <v>2</v>
      </c>
      <c r="Q55" s="3" t="inlineStr">
        <is>
          <t>Performer</t>
        </is>
      </c>
      <c r="R55" s="3" t="n">
        <v>7</v>
      </c>
      <c r="S55" s="3" t="inlineStr"/>
      <c r="T55" s="3" t="inlineStr"/>
      <c r="U55" s="3" t="n">
        <v>0</v>
      </c>
      <c r="V55" s="3" t="inlineStr">
        <is>
          <t>masc:0.3;fem:0.5</t>
        </is>
      </c>
      <c r="W55" s="3" t="n">
        <v>0.3</v>
      </c>
      <c r="X55" s="3" t="n">
        <v>0.5</v>
      </c>
      <c r="Y55" s="3" t="inlineStr">
        <is>
          <t>COMM_Indirect</t>
        </is>
      </c>
      <c r="Z55" s="3" t="inlineStr">
        <is>
          <t>REG_Distractor</t>
        </is>
      </c>
      <c r="AA55" s="3" t="inlineStr">
        <is>
          <t>LANG_Gifts</t>
        </is>
      </c>
      <c r="AB55" s="3" t="inlineStr">
        <is>
          <t>Vulnerability_Loop</t>
        </is>
      </c>
      <c r="AC55" s="3" t="inlineStr">
        <is>
          <t>Vulnerability_Loop</t>
        </is>
      </c>
      <c r="AD55" s="3" t="inlineStr"/>
      <c r="AE55" s="3" t="n">
        <v>5</v>
      </c>
      <c r="AF55" s="3" t="inlineStr">
        <is>
          <t>mood manager</t>
        </is>
      </c>
      <c r="AG55" s="3" t="inlineStr">
        <is>
          <t>tension diffuser</t>
        </is>
      </c>
      <c r="AH55" s="3" t="n">
        <v>0</v>
      </c>
      <c r="AI55" s="3" t="inlineStr">
        <is>
          <t>yes</t>
        </is>
      </c>
      <c r="AJ55" s="3" t="inlineStr">
        <is>
          <t>no</t>
        </is>
      </c>
      <c r="AK55" s="3" t="inlineStr">
        <is>
          <t>yes</t>
        </is>
      </c>
      <c r="AL55" s="3" t="inlineStr">
        <is>
          <t>yes</t>
        </is>
      </c>
      <c r="AM55" s="3" t="inlineStr"/>
      <c r="AN55" s="3" t="inlineStr"/>
      <c r="AO55" s="3" t="inlineStr"/>
      <c r="AP55" s="3" t="inlineStr">
        <is>
          <t>v3_2026-03-19</t>
        </is>
      </c>
    </row>
    <row r="56">
      <c r="A56" s="3" t="inlineStr">
        <is>
          <t>Q11_E</t>
        </is>
      </c>
      <c r="B56" s="3" t="n">
        <v>11</v>
      </c>
      <c r="C56" s="3" t="n">
        <v>11</v>
      </c>
      <c r="D56" s="3" t="inlineStr">
        <is>
          <t>Core</t>
        </is>
      </c>
      <c r="E56" s="3" t="n">
        <v>1.05</v>
      </c>
      <c r="F56" s="3" t="inlineStr">
        <is>
          <t>ConflictRepair</t>
        </is>
      </c>
      <c r="G56" s="3" t="inlineStr">
        <is>
          <t>CommunicationHealth</t>
        </is>
      </c>
      <c r="H56" s="3" t="inlineStr"/>
      <c r="I56" s="3" t="inlineStr">
        <is>
          <t>E</t>
        </is>
      </c>
      <c r="J56" s="3" t="inlineStr">
        <is>
          <t>E</t>
        </is>
      </c>
      <c r="K56" s="3" t="inlineStr">
        <is>
          <t>I sit with it, hoping they'll come back on their own. I don't press. I just wait.</t>
        </is>
      </c>
      <c r="L56" s="3" t="n">
        <v>7</v>
      </c>
      <c r="M56" s="3" t="n">
        <v>8</v>
      </c>
      <c r="N56" s="3" t="n">
        <v>6</v>
      </c>
      <c r="O56" s="3" t="n">
        <v>8</v>
      </c>
      <c r="P56" s="3" t="n">
        <v>8</v>
      </c>
      <c r="Q56" s="3" t="inlineStr">
        <is>
          <t>Translator</t>
        </is>
      </c>
      <c r="R56" s="3" t="n">
        <v>3</v>
      </c>
      <c r="S56" s="3" t="inlineStr"/>
      <c r="T56" s="3" t="inlineStr"/>
      <c r="U56" s="3" t="n">
        <v>0</v>
      </c>
      <c r="V56" s="3" t="inlineStr">
        <is>
          <t>masc:-0.1;fem:1.6</t>
        </is>
      </c>
      <c r="W56" s="3" t="n">
        <v>-0.1</v>
      </c>
      <c r="X56" s="3" t="n">
        <v>1.6</v>
      </c>
      <c r="Y56" s="3" t="inlineStr">
        <is>
          <t>COMM_Indirect</t>
        </is>
      </c>
      <c r="Z56" s="3" t="inlineStr">
        <is>
          <t>REG_CoRegulator</t>
        </is>
      </c>
      <c r="AA56" s="3" t="inlineStr">
        <is>
          <t>LANG_Words</t>
        </is>
      </c>
      <c r="AB56" s="3" t="inlineStr"/>
      <c r="AC56" s="3" t="inlineStr"/>
      <c r="AD56" s="3" t="inlineStr"/>
      <c r="AE56" s="3" t="n">
        <v>0</v>
      </c>
      <c r="AF56" s="3" t="inlineStr">
        <is>
          <t>gentle responder</t>
        </is>
      </c>
      <c r="AG56" s="3" t="inlineStr">
        <is>
          <t>quiet holder</t>
        </is>
      </c>
      <c r="AH56" s="3" t="n">
        <v>0</v>
      </c>
      <c r="AI56" s="3" t="inlineStr">
        <is>
          <t>no</t>
        </is>
      </c>
      <c r="AJ56" s="3" t="inlineStr">
        <is>
          <t>no</t>
        </is>
      </c>
      <c r="AK56" s="3" t="inlineStr">
        <is>
          <t>yes</t>
        </is>
      </c>
      <c r="AL56" s="3" t="inlineStr">
        <is>
          <t>yes</t>
        </is>
      </c>
      <c r="AM56" s="3" t="inlineStr"/>
      <c r="AN56" s="3" t="inlineStr"/>
      <c r="AO56" s="3" t="inlineStr"/>
      <c r="AP56" s="3" t="inlineStr">
        <is>
          <t>v3_2026-03-19</t>
        </is>
      </c>
    </row>
    <row r="57">
      <c r="A57" s="3" t="inlineStr">
        <is>
          <t>Q12_A</t>
        </is>
      </c>
      <c r="B57" s="3" t="n">
        <v>12</v>
      </c>
      <c r="C57" s="3" t="n">
        <v>12</v>
      </c>
      <c r="D57" s="3" t="inlineStr">
        <is>
          <t>Core</t>
        </is>
      </c>
      <c r="E57" s="3" t="n">
        <v>1.05</v>
      </c>
      <c r="F57" s="3" t="inlineStr">
        <is>
          <t>ConflictRepair</t>
        </is>
      </c>
      <c r="G57" s="3" t="inlineStr">
        <is>
          <t>CommunicationHealth</t>
        </is>
      </c>
      <c r="H57" s="3" t="inlineStr">
        <is>
          <t>They used to check in every day. Now they don't. You haven't brought it up yet. What's brewing in your head?</t>
        </is>
      </c>
      <c r="I57" s="3" t="inlineStr">
        <is>
          <t>A</t>
        </is>
      </c>
      <c r="J57" s="3" t="inlineStr">
        <is>
          <t>A</t>
        </is>
      </c>
      <c r="K57" s="3" t="inlineStr">
        <is>
          <t>Something changed. I don't know what, but it's not just in my head.</t>
        </is>
      </c>
      <c r="L57" s="3" t="n">
        <v>7</v>
      </c>
      <c r="M57" s="3" t="n">
        <v>8</v>
      </c>
      <c r="N57" s="3" t="n">
        <v>6</v>
      </c>
      <c r="O57" s="3" t="n">
        <v>8</v>
      </c>
      <c r="P57" s="3" t="n">
        <v>6</v>
      </c>
      <c r="Q57" s="3" t="inlineStr">
        <is>
          <t>Analyzer</t>
        </is>
      </c>
      <c r="R57" s="3" t="n">
        <v>2</v>
      </c>
      <c r="S57" s="3" t="inlineStr"/>
      <c r="T57" s="3" t="inlineStr"/>
      <c r="U57" s="3" t="n">
        <v>0</v>
      </c>
      <c r="V57" s="3" t="inlineStr">
        <is>
          <t>masc:1.4;fem:0.1</t>
        </is>
      </c>
      <c r="W57" s="3" t="n">
        <v>1.4</v>
      </c>
      <c r="X57" s="3" t="n">
        <v>0.1</v>
      </c>
      <c r="Y57" s="3" t="inlineStr">
        <is>
          <t>COMM_Logical</t>
        </is>
      </c>
      <c r="Z57" s="3" t="inlineStr">
        <is>
          <t>REG_SelfSoother</t>
        </is>
      </c>
      <c r="AA57" s="3" t="inlineStr">
        <is>
          <t>LANG_Service</t>
        </is>
      </c>
      <c r="AB57" s="3" t="inlineStr"/>
      <c r="AC57" s="3" t="inlineStr"/>
      <c r="AD57" s="3" t="inlineStr"/>
      <c r="AE57" s="3" t="n">
        <v>0</v>
      </c>
      <c r="AF57" s="3" t="inlineStr">
        <is>
          <t>pattern watcher</t>
        </is>
      </c>
      <c r="AG57" s="3" t="inlineStr">
        <is>
          <t>subtle signal reader</t>
        </is>
      </c>
      <c r="AH57" s="3" t="n">
        <v>0</v>
      </c>
      <c r="AI57" s="3" t="inlineStr">
        <is>
          <t>no</t>
        </is>
      </c>
      <c r="AJ57" s="3" t="inlineStr">
        <is>
          <t>no</t>
        </is>
      </c>
      <c r="AK57" s="3" t="inlineStr">
        <is>
          <t>yes</t>
        </is>
      </c>
      <c r="AL57" s="3" t="inlineStr">
        <is>
          <t>yes</t>
        </is>
      </c>
      <c r="AM57" s="3" t="inlineStr"/>
      <c r="AN57" s="3" t="inlineStr"/>
      <c r="AO57" s="3" t="inlineStr"/>
      <c r="AP57" s="3" t="inlineStr">
        <is>
          <t>v3_2026-03-19</t>
        </is>
      </c>
    </row>
    <row r="58">
      <c r="A58" s="3" t="inlineStr">
        <is>
          <t>Q12_B</t>
        </is>
      </c>
      <c r="B58" s="3" t="n">
        <v>12</v>
      </c>
      <c r="C58" s="3" t="n">
        <v>12</v>
      </c>
      <c r="D58" s="3" t="inlineStr">
        <is>
          <t>Core</t>
        </is>
      </c>
      <c r="E58" s="3" t="n">
        <v>1.05</v>
      </c>
      <c r="F58" s="3" t="inlineStr">
        <is>
          <t>ConflictRepair</t>
        </is>
      </c>
      <c r="G58" s="3" t="inlineStr">
        <is>
          <t>CommunicationHealth</t>
        </is>
      </c>
      <c r="H58" s="3" t="inlineStr"/>
      <c r="I58" s="3" t="inlineStr">
        <is>
          <t>B</t>
        </is>
      </c>
      <c r="J58" s="3" t="inlineStr">
        <is>
          <t>B</t>
        </is>
      </c>
      <c r="K58" s="3" t="inlineStr">
        <is>
          <t>I try not to assume. I wait. If I ask and it's nothing, I'll feel stupid.</t>
        </is>
      </c>
      <c r="L58" s="3" t="n">
        <v>5</v>
      </c>
      <c r="M58" s="3" t="n">
        <v>6</v>
      </c>
      <c r="N58" s="3" t="n">
        <v>2</v>
      </c>
      <c r="O58" s="3" t="n">
        <v>4</v>
      </c>
      <c r="P58" s="3" t="n">
        <v>2</v>
      </c>
      <c r="Q58" s="3" t="inlineStr">
        <is>
          <t>Phantom Seeker</t>
        </is>
      </c>
      <c r="R58" s="3" t="n">
        <v>10</v>
      </c>
      <c r="S58" s="3" t="inlineStr"/>
      <c r="T58" s="3" t="inlineStr"/>
      <c r="U58" s="3" t="n">
        <v>0</v>
      </c>
      <c r="V58" s="3" t="inlineStr">
        <is>
          <t>masc:-0.2;fem:1.5</t>
        </is>
      </c>
      <c r="W58" s="3" t="n">
        <v>-0.2</v>
      </c>
      <c r="X58" s="3" t="n">
        <v>1.5</v>
      </c>
      <c r="Y58" s="3" t="inlineStr">
        <is>
          <t>COMM_Emotional</t>
        </is>
      </c>
      <c r="Z58" s="3" t="inlineStr">
        <is>
          <t>REG_SelfSoother</t>
        </is>
      </c>
      <c r="AA58" s="3" t="inlineStr">
        <is>
          <t>LANG_Touch</t>
        </is>
      </c>
      <c r="AB58" s="3" t="inlineStr">
        <is>
          <t>Vulnerability_Loop</t>
        </is>
      </c>
      <c r="AC58" s="3" t="inlineStr">
        <is>
          <t>Vulnerability_Loop</t>
        </is>
      </c>
      <c r="AD58" s="3" t="inlineStr"/>
      <c r="AE58" s="3" t="n">
        <v>5</v>
      </c>
      <c r="AF58" s="3" t="inlineStr">
        <is>
          <t>doubtful waiter</t>
        </is>
      </c>
      <c r="AG58" s="3" t="inlineStr">
        <is>
          <t>hesitant checker</t>
        </is>
      </c>
      <c r="AH58" s="3" t="n">
        <v>0</v>
      </c>
      <c r="AI58" s="3" t="inlineStr">
        <is>
          <t>yes</t>
        </is>
      </c>
      <c r="AJ58" s="3" t="inlineStr">
        <is>
          <t>no</t>
        </is>
      </c>
      <c r="AK58" s="3" t="inlineStr">
        <is>
          <t>yes</t>
        </is>
      </c>
      <c r="AL58" s="3" t="inlineStr">
        <is>
          <t>yes</t>
        </is>
      </c>
      <c r="AM58" s="3" t="inlineStr"/>
      <c r="AN58" s="3" t="inlineStr"/>
      <c r="AO58" s="3" t="inlineStr"/>
      <c r="AP58" s="3" t="inlineStr">
        <is>
          <t>v3_2026-03-19</t>
        </is>
      </c>
    </row>
    <row r="59">
      <c r="A59" s="3" t="inlineStr">
        <is>
          <t>Q12_C</t>
        </is>
      </c>
      <c r="B59" s="3" t="n">
        <v>12</v>
      </c>
      <c r="C59" s="3" t="n">
        <v>12</v>
      </c>
      <c r="D59" s="3" t="inlineStr">
        <is>
          <t>Core</t>
        </is>
      </c>
      <c r="E59" s="3" t="n">
        <v>1.05</v>
      </c>
      <c r="F59" s="3" t="inlineStr">
        <is>
          <t>ConflictRepair</t>
        </is>
      </c>
      <c r="G59" s="3" t="inlineStr">
        <is>
          <t>CommunicationHealth</t>
        </is>
      </c>
      <c r="H59" s="3" t="inlineStr"/>
      <c r="I59" s="3" t="inlineStr">
        <is>
          <t>C</t>
        </is>
      </c>
      <c r="J59" s="3" t="inlineStr">
        <is>
          <t>C</t>
        </is>
      </c>
      <c r="K59" s="3" t="inlineStr">
        <is>
          <t>I bring it up again, but this time they can probably hear the shift in my tone. I'm not trying to argue-I just need them to actually hear me.</t>
        </is>
      </c>
      <c r="L59" s="3" t="n">
        <v>9</v>
      </c>
      <c r="M59" s="3" t="n">
        <v>9</v>
      </c>
      <c r="N59" s="3" t="n">
        <v>10</v>
      </c>
      <c r="O59" s="3" t="n">
        <v>10</v>
      </c>
      <c r="P59" s="3" t="n">
        <v>10</v>
      </c>
      <c r="Q59" s="3" t="inlineStr">
        <is>
          <t>Regulated Grown-Up</t>
        </is>
      </c>
      <c r="R59" s="3" t="n">
        <v>9</v>
      </c>
      <c r="S59" s="3" t="inlineStr"/>
      <c r="T59" s="3" t="inlineStr"/>
      <c r="U59" s="3" t="n">
        <v>0</v>
      </c>
      <c r="V59" s="3" t="inlineStr">
        <is>
          <t>masc:1.1;fem:0.9</t>
        </is>
      </c>
      <c r="W59" s="3" t="n">
        <v>1.1</v>
      </c>
      <c r="X59" s="3" t="n">
        <v>0.9</v>
      </c>
      <c r="Y59" s="3" t="inlineStr">
        <is>
          <t>COMM_Direct</t>
        </is>
      </c>
      <c r="Z59" s="3" t="inlineStr">
        <is>
          <t>REG_CoRegulator</t>
        </is>
      </c>
      <c r="AA59" s="3" t="inlineStr">
        <is>
          <t>LANG_Words</t>
        </is>
      </c>
      <c r="AB59" s="3" t="inlineStr"/>
      <c r="AC59" s="3" t="inlineStr"/>
      <c r="AD59" s="3" t="inlineStr"/>
      <c r="AE59" s="3" t="n">
        <v>0</v>
      </c>
      <c r="AF59" s="3" t="inlineStr">
        <is>
          <t>calm confronter</t>
        </is>
      </c>
      <c r="AG59" s="3" t="inlineStr">
        <is>
          <t>direct communicator</t>
        </is>
      </c>
      <c r="AH59" s="3" t="n">
        <v>0</v>
      </c>
      <c r="AI59" s="3" t="inlineStr">
        <is>
          <t>no</t>
        </is>
      </c>
      <c r="AJ59" s="3" t="inlineStr">
        <is>
          <t>no</t>
        </is>
      </c>
      <c r="AK59" s="3" t="inlineStr">
        <is>
          <t>yes</t>
        </is>
      </c>
      <c r="AL59" s="3" t="inlineStr">
        <is>
          <t>yes</t>
        </is>
      </c>
      <c r="AM59" s="3" t="inlineStr"/>
      <c r="AN59" s="3" t="inlineStr"/>
      <c r="AO59" s="3" t="inlineStr"/>
      <c r="AP59" s="3" t="inlineStr">
        <is>
          <t>v3_2026-03-19</t>
        </is>
      </c>
    </row>
    <row r="60">
      <c r="A60" s="3" t="inlineStr">
        <is>
          <t>Q12_D</t>
        </is>
      </c>
      <c r="B60" s="3" t="n">
        <v>12</v>
      </c>
      <c r="C60" s="3" t="n">
        <v>12</v>
      </c>
      <c r="D60" s="3" t="inlineStr">
        <is>
          <t>Core</t>
        </is>
      </c>
      <c r="E60" s="3" t="n">
        <v>1.05</v>
      </c>
      <c r="F60" s="3" t="inlineStr">
        <is>
          <t>ConflictRepair</t>
        </is>
      </c>
      <c r="G60" s="3" t="inlineStr">
        <is>
          <t>CommunicationHealth</t>
        </is>
      </c>
      <c r="H60" s="3" t="inlineStr"/>
      <c r="I60" s="3" t="inlineStr">
        <is>
          <t>D</t>
        </is>
      </c>
      <c r="J60" s="3" t="inlineStr">
        <is>
          <t>D</t>
        </is>
      </c>
      <c r="K60" s="3" t="inlineStr">
        <is>
          <t>I joke about it to see how they react. If they don't bite, I pull back quietly.</t>
        </is>
      </c>
      <c r="L60" s="3" t="n">
        <v>6</v>
      </c>
      <c r="M60" s="3" t="n">
        <v>7</v>
      </c>
      <c r="N60" s="3" t="n">
        <v>2</v>
      </c>
      <c r="O60" s="3" t="n">
        <v>2</v>
      </c>
      <c r="P60" s="3" t="n">
        <v>0</v>
      </c>
      <c r="Q60" s="3" t="inlineStr">
        <is>
          <t>Performer</t>
        </is>
      </c>
      <c r="R60" s="3" t="n">
        <v>7</v>
      </c>
      <c r="S60" s="3" t="inlineStr"/>
      <c r="T60" s="3" t="inlineStr"/>
      <c r="U60" s="3" t="n">
        <v>0</v>
      </c>
      <c r="V60" s="3" t="inlineStr">
        <is>
          <t>masc:0.3;fem:0.5</t>
        </is>
      </c>
      <c r="W60" s="3" t="n">
        <v>0.3</v>
      </c>
      <c r="X60" s="3" t="n">
        <v>0.5</v>
      </c>
      <c r="Y60" s="3" t="inlineStr">
        <is>
          <t>COMM_Indirect</t>
        </is>
      </c>
      <c r="Z60" s="3" t="inlineStr">
        <is>
          <t>REG_Distractor</t>
        </is>
      </c>
      <c r="AA60" s="3" t="inlineStr">
        <is>
          <t>LANG_Gifts</t>
        </is>
      </c>
      <c r="AB60" s="3" t="inlineStr">
        <is>
          <t>Vulnerability_Loop , Scorekeeping_Echo</t>
        </is>
      </c>
      <c r="AC60" s="3" t="inlineStr">
        <is>
          <t>Vulnerability_Loop</t>
        </is>
      </c>
      <c r="AD60" s="3" t="inlineStr">
        <is>
          <t>Scorekeeping_Echo</t>
        </is>
      </c>
      <c r="AE60" s="3" t="n">
        <v>13</v>
      </c>
      <c r="AF60" s="3" t="inlineStr">
        <is>
          <t>playful tester</t>
        </is>
      </c>
      <c r="AG60" s="3" t="inlineStr">
        <is>
          <t>indirect feeler</t>
        </is>
      </c>
      <c r="AH60" s="3" t="n">
        <v>0.8</v>
      </c>
      <c r="AI60" s="3" t="inlineStr">
        <is>
          <t>yes</t>
        </is>
      </c>
      <c r="AJ60" s="3" t="inlineStr">
        <is>
          <t>no</t>
        </is>
      </c>
      <c r="AK60" s="3" t="inlineStr">
        <is>
          <t>yes</t>
        </is>
      </c>
      <c r="AL60" s="3" t="inlineStr">
        <is>
          <t>yes</t>
        </is>
      </c>
      <c r="AM60" s="3" t="inlineStr"/>
      <c r="AN60" s="3" t="inlineStr"/>
      <c r="AO60" s="3" t="inlineStr"/>
      <c r="AP60" s="3" t="inlineStr">
        <is>
          <t>v3_2026-03-19</t>
        </is>
      </c>
    </row>
    <row r="61">
      <c r="A61" s="3" t="inlineStr">
        <is>
          <t>Q12_E</t>
        </is>
      </c>
      <c r="B61" s="3" t="n">
        <v>12</v>
      </c>
      <c r="C61" s="3" t="n">
        <v>12</v>
      </c>
      <c r="D61" s="3" t="inlineStr">
        <is>
          <t>Core</t>
        </is>
      </c>
      <c r="E61" s="3" t="n">
        <v>1.05</v>
      </c>
      <c r="F61" s="3" t="inlineStr">
        <is>
          <t>ConflictRepair</t>
        </is>
      </c>
      <c r="G61" s="3" t="inlineStr">
        <is>
          <t>CommunicationHealth</t>
        </is>
      </c>
      <c r="H61" s="3" t="inlineStr"/>
      <c r="I61" s="3" t="inlineStr">
        <is>
          <t>E</t>
        </is>
      </c>
      <c r="J61" s="3" t="inlineStr">
        <is>
          <t>E</t>
        </is>
      </c>
      <c r="K61" s="3" t="inlineStr">
        <is>
          <t>I shift before they get the chance to. I've seen this pattern before, I know how it ends.</t>
        </is>
      </c>
      <c r="L61" s="3" t="n">
        <v>6</v>
      </c>
      <c r="M61" s="3" t="n">
        <v>7</v>
      </c>
      <c r="N61" s="3" t="n">
        <v>4</v>
      </c>
      <c r="O61" s="3" t="n">
        <v>6</v>
      </c>
      <c r="P61" s="3" t="n">
        <v>4</v>
      </c>
      <c r="Q61" s="3" t="inlineStr">
        <is>
          <t>Survivor</t>
        </is>
      </c>
      <c r="R61" s="3" t="n">
        <v>8</v>
      </c>
      <c r="S61" s="3" t="inlineStr"/>
      <c r="T61" s="3" t="inlineStr"/>
      <c r="U61" s="3" t="n">
        <v>0</v>
      </c>
      <c r="V61" s="3" t="inlineStr">
        <is>
          <t>masc:0.3;fem:1.3</t>
        </is>
      </c>
      <c r="W61" s="3" t="n">
        <v>0.3</v>
      </c>
      <c r="X61" s="3" t="n">
        <v>1.3</v>
      </c>
      <c r="Y61" s="3" t="inlineStr">
        <is>
          <t>COMM_Emotional</t>
        </is>
      </c>
      <c r="Z61" s="3" t="inlineStr">
        <is>
          <t>REG_SelfSoother</t>
        </is>
      </c>
      <c r="AA61" s="3" t="inlineStr">
        <is>
          <t>LANG_Service</t>
        </is>
      </c>
      <c r="AB61" s="3" t="inlineStr">
        <is>
          <t>Vulnerability_Loop</t>
        </is>
      </c>
      <c r="AC61" s="3" t="inlineStr">
        <is>
          <t>Vulnerability_Loop</t>
        </is>
      </c>
      <c r="AD61" s="3" t="inlineStr"/>
      <c r="AE61" s="3" t="n">
        <v>5</v>
      </c>
      <c r="AF61" s="3" t="inlineStr">
        <is>
          <t>pain-preemptive responder</t>
        </is>
      </c>
      <c r="AG61" s="3" t="inlineStr">
        <is>
          <t>early exit planner</t>
        </is>
      </c>
      <c r="AH61" s="3" t="n">
        <v>0</v>
      </c>
      <c r="AI61" s="3" t="inlineStr">
        <is>
          <t>yes</t>
        </is>
      </c>
      <c r="AJ61" s="3" t="inlineStr">
        <is>
          <t>no</t>
        </is>
      </c>
      <c r="AK61" s="3" t="inlineStr">
        <is>
          <t>yes</t>
        </is>
      </c>
      <c r="AL61" s="3" t="inlineStr">
        <is>
          <t>yes</t>
        </is>
      </c>
      <c r="AM61" s="3" t="inlineStr"/>
      <c r="AN61" s="3" t="inlineStr"/>
      <c r="AO61" s="3" t="inlineStr"/>
      <c r="AP61" s="3" t="inlineStr">
        <is>
          <t>v3_2026-03-19</t>
        </is>
      </c>
    </row>
    <row r="62">
      <c r="A62" s="3" t="inlineStr">
        <is>
          <t>Q13_A</t>
        </is>
      </c>
      <c r="B62" s="3" t="n">
        <v>13</v>
      </c>
      <c r="C62" s="3" t="n">
        <v>13</v>
      </c>
      <c r="D62" s="3" t="inlineStr">
        <is>
          <t>Core</t>
        </is>
      </c>
      <c r="E62" s="3" t="n">
        <v>1.05</v>
      </c>
      <c r="F62" s="3" t="inlineStr">
        <is>
          <t>ConflictRepair</t>
        </is>
      </c>
      <c r="G62" s="3" t="inlineStr">
        <is>
          <t>CommunicationHealth</t>
        </is>
      </c>
      <c r="H62" s="3" t="inlineStr">
        <is>
          <t>They say they like you-but they're inconsistent. What part of you answers that first?</t>
        </is>
      </c>
      <c r="I62" s="3" t="inlineStr">
        <is>
          <t>A</t>
        </is>
      </c>
      <c r="J62" s="3" t="inlineStr">
        <is>
          <t>A</t>
        </is>
      </c>
      <c r="K62" s="3" t="inlineStr">
        <is>
          <t>I just need space to check if I'm seeing it clearly before I lean in. Not to play games.</t>
        </is>
      </c>
      <c r="L62" s="3" t="n">
        <v>8</v>
      </c>
      <c r="M62" s="3" t="n">
        <v>8</v>
      </c>
      <c r="N62" s="3" t="n">
        <v>4</v>
      </c>
      <c r="O62" s="3" t="n">
        <v>4</v>
      </c>
      <c r="P62" s="3" t="n">
        <v>2</v>
      </c>
      <c r="Q62" s="3" t="inlineStr">
        <is>
          <t>Quiet Exit</t>
        </is>
      </c>
      <c r="R62" s="3" t="n">
        <v>4</v>
      </c>
      <c r="S62" s="3" t="inlineStr"/>
      <c r="T62" s="3" t="inlineStr"/>
      <c r="U62" s="3" t="n">
        <v>0</v>
      </c>
      <c r="V62" s="3" t="inlineStr">
        <is>
          <t>masc:1.4;fem:-1.3</t>
        </is>
      </c>
      <c r="W62" s="3" t="n">
        <v>1.4</v>
      </c>
      <c r="X62" s="3" t="n">
        <v>-1.3</v>
      </c>
      <c r="Y62" s="3" t="inlineStr">
        <is>
          <t>COMM_Avoidant</t>
        </is>
      </c>
      <c r="Z62" s="3" t="inlineStr">
        <is>
          <t>REG_Suppressor</t>
        </is>
      </c>
      <c r="AA62" s="3" t="inlineStr">
        <is>
          <t>LANG_Time</t>
        </is>
      </c>
      <c r="AB62" s="3" t="inlineStr"/>
      <c r="AC62" s="3" t="inlineStr"/>
      <c r="AD62" s="3" t="inlineStr"/>
      <c r="AE62" s="3" t="n">
        <v>0</v>
      </c>
      <c r="AF62" s="3" t="inlineStr">
        <is>
          <t>observer mode</t>
        </is>
      </c>
      <c r="AG62" s="3" t="inlineStr">
        <is>
          <t>cautious engager</t>
        </is>
      </c>
      <c r="AH62" s="3" t="n">
        <v>0.2</v>
      </c>
      <c r="AI62" s="3" t="inlineStr">
        <is>
          <t>no</t>
        </is>
      </c>
      <c r="AJ62" s="3" t="inlineStr">
        <is>
          <t>no</t>
        </is>
      </c>
      <c r="AK62" s="3" t="inlineStr">
        <is>
          <t>yes</t>
        </is>
      </c>
      <c r="AL62" s="3" t="inlineStr">
        <is>
          <t>yes</t>
        </is>
      </c>
      <c r="AM62" s="3" t="inlineStr"/>
      <c r="AN62" s="3" t="inlineStr"/>
      <c r="AO62" s="3" t="inlineStr"/>
      <c r="AP62" s="3" t="inlineStr">
        <is>
          <t>v3_2026-03-19</t>
        </is>
      </c>
    </row>
    <row r="63">
      <c r="A63" s="3" t="inlineStr">
        <is>
          <t>Q13_B</t>
        </is>
      </c>
      <c r="B63" s="3" t="n">
        <v>13</v>
      </c>
      <c r="C63" s="3" t="n">
        <v>13</v>
      </c>
      <c r="D63" s="3" t="inlineStr">
        <is>
          <t>Core</t>
        </is>
      </c>
      <c r="E63" s="3" t="n">
        <v>1.05</v>
      </c>
      <c r="F63" s="3" t="inlineStr">
        <is>
          <t>ConflictRepair</t>
        </is>
      </c>
      <c r="G63" s="3" t="inlineStr">
        <is>
          <t>CommunicationHealth</t>
        </is>
      </c>
      <c r="H63" s="3" t="inlineStr"/>
      <c r="I63" s="3" t="inlineStr">
        <is>
          <t>B</t>
        </is>
      </c>
      <c r="J63" s="3" t="inlineStr">
        <is>
          <t>B</t>
        </is>
      </c>
      <c r="K63" s="3" t="inlineStr">
        <is>
          <t>I start imagining what it could be. I try not to get ahead of myself, I just like feeling what it can be.</t>
        </is>
      </c>
      <c r="L63" s="3" t="n">
        <v>7</v>
      </c>
      <c r="M63" s="3" t="n">
        <v>8</v>
      </c>
      <c r="N63" s="3" t="n">
        <v>6</v>
      </c>
      <c r="O63" s="3" t="n">
        <v>6</v>
      </c>
      <c r="P63" s="3" t="n">
        <v>4</v>
      </c>
      <c r="Q63" s="3" t="inlineStr">
        <is>
          <t>Romantic Idealist</t>
        </is>
      </c>
      <c r="R63" s="3" t="n">
        <v>6</v>
      </c>
      <c r="S63" s="3" t="inlineStr"/>
      <c r="T63" s="3" t="inlineStr"/>
      <c r="U63" s="3" t="n">
        <v>0</v>
      </c>
      <c r="V63" s="3" t="inlineStr">
        <is>
          <t>masc:-0.4;fem:1.5</t>
        </is>
      </c>
      <c r="W63" s="3" t="n">
        <v>-0.4</v>
      </c>
      <c r="X63" s="3" t="n">
        <v>1.5</v>
      </c>
      <c r="Y63" s="3" t="inlineStr">
        <is>
          <t>COMM_Emotional</t>
        </is>
      </c>
      <c r="Z63" s="3" t="inlineStr">
        <is>
          <t>REG_Distractor</t>
        </is>
      </c>
      <c r="AA63" s="3" t="inlineStr">
        <is>
          <t>LANG_Gifts</t>
        </is>
      </c>
      <c r="AB63" s="3" t="inlineStr"/>
      <c r="AC63" s="3" t="inlineStr"/>
      <c r="AD63" s="3" t="inlineStr"/>
      <c r="AE63" s="3" t="n">
        <v>0</v>
      </c>
      <c r="AF63" s="3" t="inlineStr">
        <is>
          <t>daydreaming hopeful</t>
        </is>
      </c>
      <c r="AG63" s="3" t="inlineStr">
        <is>
          <t>romantic visionary</t>
        </is>
      </c>
      <c r="AH63" s="3" t="n">
        <v>0</v>
      </c>
      <c r="AI63" s="3" t="inlineStr">
        <is>
          <t>no</t>
        </is>
      </c>
      <c r="AJ63" s="3" t="inlineStr">
        <is>
          <t>no</t>
        </is>
      </c>
      <c r="AK63" s="3" t="inlineStr">
        <is>
          <t>yes</t>
        </is>
      </c>
      <c r="AL63" s="3" t="inlineStr">
        <is>
          <t>yes</t>
        </is>
      </c>
      <c r="AM63" s="3" t="inlineStr"/>
      <c r="AN63" s="3" t="inlineStr"/>
      <c r="AO63" s="3" t="inlineStr"/>
      <c r="AP63" s="3" t="inlineStr">
        <is>
          <t>v3_2026-03-19</t>
        </is>
      </c>
    </row>
    <row r="64">
      <c r="A64" s="3" t="inlineStr">
        <is>
          <t>Q13_C</t>
        </is>
      </c>
      <c r="B64" s="3" t="n">
        <v>13</v>
      </c>
      <c r="C64" s="3" t="n">
        <v>13</v>
      </c>
      <c r="D64" s="3" t="inlineStr">
        <is>
          <t>Core</t>
        </is>
      </c>
      <c r="E64" s="3" t="n">
        <v>1.05</v>
      </c>
      <c r="F64" s="3" t="inlineStr">
        <is>
          <t>ConflictRepair</t>
        </is>
      </c>
      <c r="G64" s="3" t="inlineStr">
        <is>
          <t>CommunicationHealth</t>
        </is>
      </c>
      <c r="H64" s="3" t="inlineStr"/>
      <c r="I64" s="3" t="inlineStr">
        <is>
          <t>C</t>
        </is>
      </c>
      <c r="J64" s="3" t="inlineStr">
        <is>
          <t>C</t>
        </is>
      </c>
      <c r="K64" s="3" t="inlineStr">
        <is>
          <t>I don't say much, but I start showing up more, checking in, remembering little things. That's usually how I start showing my interest.</t>
        </is>
      </c>
      <c r="L64" s="3" t="n">
        <v>8</v>
      </c>
      <c r="M64" s="3" t="n">
        <v>9</v>
      </c>
      <c r="N64" s="3" t="n">
        <v>8</v>
      </c>
      <c r="O64" s="3" t="n">
        <v>10</v>
      </c>
      <c r="P64" s="3" t="n">
        <v>8</v>
      </c>
      <c r="Q64" s="3" t="inlineStr">
        <is>
          <t>Translator</t>
        </is>
      </c>
      <c r="R64" s="3" t="n">
        <v>3</v>
      </c>
      <c r="S64" s="3" t="inlineStr"/>
      <c r="T64" s="3" t="inlineStr"/>
      <c r="U64" s="3" t="n">
        <v>0</v>
      </c>
      <c r="V64" s="3" t="inlineStr">
        <is>
          <t>masc:-0.1;fem:1.6</t>
        </is>
      </c>
      <c r="W64" s="3" t="n">
        <v>-0.1</v>
      </c>
      <c r="X64" s="3" t="n">
        <v>1.6</v>
      </c>
      <c r="Y64" s="3" t="inlineStr">
        <is>
          <t>COMM_Indirect</t>
        </is>
      </c>
      <c r="Z64" s="3" t="inlineStr">
        <is>
          <t>REG_CoRegulator</t>
        </is>
      </c>
      <c r="AA64" s="3" t="inlineStr">
        <is>
          <t>LANG_Words</t>
        </is>
      </c>
      <c r="AB64" s="3" t="inlineStr"/>
      <c r="AC64" s="3" t="inlineStr"/>
      <c r="AD64" s="3" t="inlineStr"/>
      <c r="AE64" s="3" t="n">
        <v>0</v>
      </c>
      <c r="AF64" s="3" t="inlineStr">
        <is>
          <t>steady signaler</t>
        </is>
      </c>
      <c r="AG64" s="3" t="inlineStr">
        <is>
          <t>consistent investor</t>
        </is>
      </c>
      <c r="AH64" s="3" t="n">
        <v>0</v>
      </c>
      <c r="AI64" s="3" t="inlineStr">
        <is>
          <t>no</t>
        </is>
      </c>
      <c r="AJ64" s="3" t="inlineStr">
        <is>
          <t>no</t>
        </is>
      </c>
      <c r="AK64" s="3" t="inlineStr">
        <is>
          <t>yes</t>
        </is>
      </c>
      <c r="AL64" s="3" t="inlineStr">
        <is>
          <t>yes</t>
        </is>
      </c>
      <c r="AM64" s="3" t="inlineStr"/>
      <c r="AN64" s="3" t="inlineStr"/>
      <c r="AO64" s="3" t="inlineStr"/>
      <c r="AP64" s="3" t="inlineStr">
        <is>
          <t>v3_2026-03-19</t>
        </is>
      </c>
    </row>
    <row r="65">
      <c r="A65" s="3" t="inlineStr">
        <is>
          <t>Q13_D</t>
        </is>
      </c>
      <c r="B65" s="3" t="n">
        <v>13</v>
      </c>
      <c r="C65" s="3" t="n">
        <v>13</v>
      </c>
      <c r="D65" s="3" t="inlineStr">
        <is>
          <t>Core</t>
        </is>
      </c>
      <c r="E65" s="3" t="n">
        <v>1.05</v>
      </c>
      <c r="F65" s="3" t="inlineStr">
        <is>
          <t>ConflictRepair</t>
        </is>
      </c>
      <c r="G65" s="3" t="inlineStr">
        <is>
          <t>CommunicationHealth</t>
        </is>
      </c>
      <c r="H65" s="3" t="inlineStr"/>
      <c r="I65" s="3" t="inlineStr">
        <is>
          <t>D</t>
        </is>
      </c>
      <c r="J65" s="3" t="inlineStr">
        <is>
          <t>D</t>
        </is>
      </c>
      <c r="K65" s="3" t="inlineStr">
        <is>
          <t>I want them to like me back, but I need to know it's safe first, so I keep it light while I wait on their actions.</t>
        </is>
      </c>
      <c r="L65" s="3" t="n">
        <v>7</v>
      </c>
      <c r="M65" s="3" t="n">
        <v>8</v>
      </c>
      <c r="N65" s="3" t="n">
        <v>4</v>
      </c>
      <c r="O65" s="3" t="n">
        <v>6</v>
      </c>
      <c r="P65" s="3" t="n">
        <v>4</v>
      </c>
      <c r="Q65" s="3" t="inlineStr">
        <is>
          <t>Performer</t>
        </is>
      </c>
      <c r="R65" s="3" t="n">
        <v>7</v>
      </c>
      <c r="S65" s="3" t="inlineStr"/>
      <c r="T65" s="3" t="inlineStr"/>
      <c r="U65" s="3" t="n">
        <v>0</v>
      </c>
      <c r="V65" s="3" t="inlineStr">
        <is>
          <t>masc:0.3;fem:0.5</t>
        </is>
      </c>
      <c r="W65" s="3" t="n">
        <v>0.3</v>
      </c>
      <c r="X65" s="3" t="n">
        <v>0.5</v>
      </c>
      <c r="Y65" s="3" t="inlineStr">
        <is>
          <t>COMM_Indirect</t>
        </is>
      </c>
      <c r="Z65" s="3" t="inlineStr">
        <is>
          <t>REG_Distractor</t>
        </is>
      </c>
      <c r="AA65" s="3" t="inlineStr">
        <is>
          <t>LANG_Gifts</t>
        </is>
      </c>
      <c r="AB65" s="3" t="inlineStr"/>
      <c r="AC65" s="3" t="inlineStr"/>
      <c r="AD65" s="3" t="inlineStr"/>
      <c r="AE65" s="3" t="n">
        <v>0</v>
      </c>
      <c r="AF65" s="3" t="inlineStr">
        <is>
          <t>strategic flirter</t>
        </is>
      </c>
      <c r="AG65" s="3" t="inlineStr">
        <is>
          <t>cautious charmer</t>
        </is>
      </c>
      <c r="AH65" s="3" t="n">
        <v>0.2</v>
      </c>
      <c r="AI65" s="3" t="inlineStr">
        <is>
          <t>no</t>
        </is>
      </c>
      <c r="AJ65" s="3" t="inlineStr">
        <is>
          <t>no</t>
        </is>
      </c>
      <c r="AK65" s="3" t="inlineStr">
        <is>
          <t>yes</t>
        </is>
      </c>
      <c r="AL65" s="3" t="inlineStr">
        <is>
          <t>yes</t>
        </is>
      </c>
      <c r="AM65" s="3" t="inlineStr"/>
      <c r="AN65" s="3" t="inlineStr"/>
      <c r="AO65" s="3" t="inlineStr"/>
      <c r="AP65" s="3" t="inlineStr">
        <is>
          <t>v3_2026-03-19</t>
        </is>
      </c>
    </row>
    <row r="66">
      <c r="A66" s="3" t="inlineStr">
        <is>
          <t>Q13_E</t>
        </is>
      </c>
      <c r="B66" s="3" t="n">
        <v>13</v>
      </c>
      <c r="C66" s="3" t="n">
        <v>13</v>
      </c>
      <c r="D66" s="3" t="inlineStr">
        <is>
          <t>Core</t>
        </is>
      </c>
      <c r="E66" s="3" t="n">
        <v>1.05</v>
      </c>
      <c r="F66" s="3" t="inlineStr">
        <is>
          <t>ConflictRepair</t>
        </is>
      </c>
      <c r="G66" s="3" t="inlineStr">
        <is>
          <t>CommunicationHealth</t>
        </is>
      </c>
      <c r="H66" s="3" t="inlineStr"/>
      <c r="I66" s="3" t="inlineStr">
        <is>
          <t>E</t>
        </is>
      </c>
      <c r="J66" s="3" t="inlineStr">
        <is>
          <t>E</t>
        </is>
      </c>
      <c r="K66" s="3" t="inlineStr">
        <is>
          <t>If I like someone, it shows, but I don't rush just because the vibe is good. I wait to see if the energy stays real.</t>
        </is>
      </c>
      <c r="L66" s="3" t="n">
        <v>8</v>
      </c>
      <c r="M66" s="3" t="n">
        <v>9</v>
      </c>
      <c r="N66" s="3" t="n">
        <v>4</v>
      </c>
      <c r="O66" s="3" t="n">
        <v>6</v>
      </c>
      <c r="P66" s="3" t="n">
        <v>2</v>
      </c>
      <c r="Q66" s="3" t="inlineStr">
        <is>
          <t>Icebox</t>
        </is>
      </c>
      <c r="R66" s="3" t="n">
        <v>1</v>
      </c>
      <c r="S66" s="3" t="inlineStr"/>
      <c r="T66" s="3" t="inlineStr"/>
      <c r="U66" s="3" t="n">
        <v>0</v>
      </c>
      <c r="V66" s="3" t="inlineStr">
        <is>
          <t>masc:1.8;fem:-1.6</t>
        </is>
      </c>
      <c r="W66" s="3" t="n">
        <v>1.8</v>
      </c>
      <c r="X66" s="3" t="n">
        <v>-1.6</v>
      </c>
      <c r="Y66" s="3" t="inlineStr">
        <is>
          <t>COMM_Avoidant</t>
        </is>
      </c>
      <c r="Z66" s="3" t="inlineStr">
        <is>
          <t>REG_Suppressor</t>
        </is>
      </c>
      <c r="AA66" s="3" t="inlineStr">
        <is>
          <t>LANG_Time</t>
        </is>
      </c>
      <c r="AB66" s="3" t="inlineStr"/>
      <c r="AC66" s="3" t="inlineStr"/>
      <c r="AD66" s="3" t="inlineStr"/>
      <c r="AE66" s="3" t="n">
        <v>0</v>
      </c>
      <c r="AF66" s="3" t="inlineStr">
        <is>
          <t>guarded realist</t>
        </is>
      </c>
      <c r="AG66" s="3" t="inlineStr">
        <is>
          <t>patient tester</t>
        </is>
      </c>
      <c r="AH66" s="3" t="n">
        <v>0.6</v>
      </c>
      <c r="AI66" s="3" t="inlineStr">
        <is>
          <t>no</t>
        </is>
      </c>
      <c r="AJ66" s="3" t="inlineStr">
        <is>
          <t>no</t>
        </is>
      </c>
      <c r="AK66" s="3" t="inlineStr">
        <is>
          <t>yes</t>
        </is>
      </c>
      <c r="AL66" s="3" t="inlineStr">
        <is>
          <t>yes</t>
        </is>
      </c>
      <c r="AM66" s="3" t="inlineStr"/>
      <c r="AN66" s="3" t="inlineStr"/>
      <c r="AO66" s="3" t="inlineStr"/>
      <c r="AP66" s="3" t="inlineStr">
        <is>
          <t>v3_2026-03-19</t>
        </is>
      </c>
    </row>
    <row r="67">
      <c r="A67" s="3" t="inlineStr">
        <is>
          <t>Q14_A</t>
        </is>
      </c>
      <c r="B67" s="3" t="n">
        <v>14</v>
      </c>
      <c r="C67" s="3" t="n">
        <v>14</v>
      </c>
      <c r="D67" s="3" t="inlineStr">
        <is>
          <t>Core</t>
        </is>
      </c>
      <c r="E67" s="3" t="n">
        <v>1.05</v>
      </c>
      <c r="F67" s="3" t="inlineStr">
        <is>
          <t>ConflictRepair</t>
        </is>
      </c>
      <c r="G67" s="3" t="inlineStr">
        <is>
          <t>CommunicationHealth</t>
        </is>
      </c>
      <c r="H67" s="3" t="inlineStr">
        <is>
          <t>They keep you in the loop, but never quite make you the priority. What shifts in you?</t>
        </is>
      </c>
      <c r="I67" s="3" t="inlineStr">
        <is>
          <t>A</t>
        </is>
      </c>
      <c r="J67" s="3" t="inlineStr">
        <is>
          <t>A</t>
        </is>
      </c>
      <c r="K67" s="3" t="inlineStr">
        <is>
          <t>I mirror it. They get the same version of me they're handing out. No extra effort for bare minimum.</t>
        </is>
      </c>
      <c r="L67" s="3" t="n">
        <v>7</v>
      </c>
      <c r="M67" s="3" t="n">
        <v>8</v>
      </c>
      <c r="N67" s="3" t="n">
        <v>4</v>
      </c>
      <c r="O67" s="3" t="n">
        <v>4</v>
      </c>
      <c r="P67" s="3" t="n">
        <v>0</v>
      </c>
      <c r="Q67" s="3" t="inlineStr">
        <is>
          <t>Icebox</t>
        </is>
      </c>
      <c r="R67" s="3" t="n">
        <v>1</v>
      </c>
      <c r="S67" s="3" t="inlineStr"/>
      <c r="T67" s="3" t="inlineStr"/>
      <c r="U67" s="3" t="n">
        <v>0</v>
      </c>
      <c r="V67" s="3" t="inlineStr">
        <is>
          <t>masc:1.8;fem:-1.6</t>
        </is>
      </c>
      <c r="W67" s="3" t="n">
        <v>1.8</v>
      </c>
      <c r="X67" s="3" t="n">
        <v>-1.6</v>
      </c>
      <c r="Y67" s="3" t="inlineStr">
        <is>
          <t>COMM_Avoidant</t>
        </is>
      </c>
      <c r="Z67" s="3" t="inlineStr">
        <is>
          <t>REG_Suppressor</t>
        </is>
      </c>
      <c r="AA67" s="3" t="inlineStr">
        <is>
          <t>LANG_Time</t>
        </is>
      </c>
      <c r="AB67" s="3" t="inlineStr"/>
      <c r="AC67" s="3" t="inlineStr"/>
      <c r="AD67" s="3" t="inlineStr"/>
      <c r="AE67" s="3" t="n">
        <v>0</v>
      </c>
      <c r="AF67" s="3" t="inlineStr">
        <is>
          <t>tactical disengagement</t>
        </is>
      </c>
      <c r="AG67" s="3" t="inlineStr">
        <is>
          <t>mirrored detachment</t>
        </is>
      </c>
      <c r="AH67" s="3" t="n">
        <v>0.6</v>
      </c>
      <c r="AI67" s="3" t="inlineStr">
        <is>
          <t>no</t>
        </is>
      </c>
      <c r="AJ67" s="3" t="inlineStr">
        <is>
          <t>no</t>
        </is>
      </c>
      <c r="AK67" s="3" t="inlineStr">
        <is>
          <t>yes</t>
        </is>
      </c>
      <c r="AL67" s="3" t="inlineStr">
        <is>
          <t>yes</t>
        </is>
      </c>
      <c r="AM67" s="3" t="inlineStr"/>
      <c r="AN67" s="3" t="inlineStr"/>
      <c r="AO67" s="3" t="inlineStr"/>
      <c r="AP67" s="3" t="inlineStr">
        <is>
          <t>v3_2026-03-19</t>
        </is>
      </c>
    </row>
    <row r="68">
      <c r="A68" s="3" t="inlineStr">
        <is>
          <t>Q14_B</t>
        </is>
      </c>
      <c r="B68" s="3" t="n">
        <v>14</v>
      </c>
      <c r="C68" s="3" t="n">
        <v>14</v>
      </c>
      <c r="D68" s="3" t="inlineStr">
        <is>
          <t>Core</t>
        </is>
      </c>
      <c r="E68" s="3" t="n">
        <v>1.05</v>
      </c>
      <c r="F68" s="3" t="inlineStr">
        <is>
          <t>ConflictRepair</t>
        </is>
      </c>
      <c r="G68" s="3" t="inlineStr">
        <is>
          <t>CommunicationHealth</t>
        </is>
      </c>
      <c r="H68" s="3" t="inlineStr"/>
      <c r="I68" s="3" t="inlineStr">
        <is>
          <t>B</t>
        </is>
      </c>
      <c r="J68" s="3" t="inlineStr">
        <is>
          <t>B</t>
        </is>
      </c>
      <c r="K68" s="3" t="inlineStr">
        <is>
          <t>I start overexplaining, why I care, what I mean, what I hope for. I try to make it easier to choose me.</t>
        </is>
      </c>
      <c r="L68" s="3" t="n">
        <v>5</v>
      </c>
      <c r="M68" s="3" t="n">
        <v>6</v>
      </c>
      <c r="N68" s="3" t="n">
        <v>4</v>
      </c>
      <c r="O68" s="3" t="n">
        <v>4</v>
      </c>
      <c r="P68" s="3" t="n">
        <v>4</v>
      </c>
      <c r="Q68" s="3" t="inlineStr">
        <is>
          <t>Fixer</t>
        </is>
      </c>
      <c r="R68" s="3" t="n">
        <v>5</v>
      </c>
      <c r="S68" s="3" t="inlineStr"/>
      <c r="T68" s="3" t="inlineStr"/>
      <c r="U68" s="3" t="n">
        <v>0</v>
      </c>
      <c r="V68" s="3" t="inlineStr">
        <is>
          <t>masc:-0.4;fem:2.0</t>
        </is>
      </c>
      <c r="W68" s="3" t="n">
        <v>-0.4</v>
      </c>
      <c r="X68" s="3" t="n">
        <v>2</v>
      </c>
      <c r="Y68" s="3" t="inlineStr">
        <is>
          <t>COMM_Emotional</t>
        </is>
      </c>
      <c r="Z68" s="3" t="inlineStr">
        <is>
          <t>REG_CoRegulator</t>
        </is>
      </c>
      <c r="AA68" s="3" t="inlineStr">
        <is>
          <t>LANG_Service</t>
        </is>
      </c>
      <c r="AB68" s="3" t="inlineStr">
        <is>
          <t>Vulnerability_Loop</t>
        </is>
      </c>
      <c r="AC68" s="3" t="inlineStr">
        <is>
          <t>Vulnerability_Loop</t>
        </is>
      </c>
      <c r="AD68" s="3" t="inlineStr"/>
      <c r="AE68" s="3" t="n">
        <v>5</v>
      </c>
      <c r="AF68" s="3" t="inlineStr">
        <is>
          <t>emotional sales pitch</t>
        </is>
      </c>
      <c r="AG68" s="3" t="inlineStr">
        <is>
          <t>approval seeker</t>
        </is>
      </c>
      <c r="AH68" s="3" t="n">
        <v>0</v>
      </c>
      <c r="AI68" s="3" t="inlineStr">
        <is>
          <t>yes</t>
        </is>
      </c>
      <c r="AJ68" s="3" t="inlineStr">
        <is>
          <t>no</t>
        </is>
      </c>
      <c r="AK68" s="3" t="inlineStr">
        <is>
          <t>yes</t>
        </is>
      </c>
      <c r="AL68" s="3" t="inlineStr">
        <is>
          <t>yes</t>
        </is>
      </c>
      <c r="AM68" s="3" t="inlineStr"/>
      <c r="AN68" s="3" t="inlineStr"/>
      <c r="AO68" s="3" t="inlineStr"/>
      <c r="AP68" s="3" t="inlineStr">
        <is>
          <t>v3_2026-03-19</t>
        </is>
      </c>
    </row>
    <row r="69">
      <c r="A69" s="3" t="inlineStr">
        <is>
          <t>Q14_C</t>
        </is>
      </c>
      <c r="B69" s="3" t="n">
        <v>14</v>
      </c>
      <c r="C69" s="3" t="n">
        <v>14</v>
      </c>
      <c r="D69" s="3" t="inlineStr">
        <is>
          <t>Core</t>
        </is>
      </c>
      <c r="E69" s="3" t="n">
        <v>1.05</v>
      </c>
      <c r="F69" s="3" t="inlineStr">
        <is>
          <t>ConflictRepair</t>
        </is>
      </c>
      <c r="G69" s="3" t="inlineStr">
        <is>
          <t>CommunicationHealth</t>
        </is>
      </c>
      <c r="H69" s="3" t="inlineStr"/>
      <c r="I69" s="3" t="inlineStr">
        <is>
          <t>C</t>
        </is>
      </c>
      <c r="J69" s="3" t="inlineStr">
        <is>
          <t>C</t>
        </is>
      </c>
      <c r="K69" s="3" t="inlineStr">
        <is>
          <t>I act like I don't care, but it eats at me. I show up less, talk less, but I'm still watching every move.</t>
        </is>
      </c>
      <c r="L69" s="3" t="n">
        <v>5</v>
      </c>
      <c r="M69" s="3" t="n">
        <v>6</v>
      </c>
      <c r="N69" s="3" t="n">
        <v>2</v>
      </c>
      <c r="O69" s="3" t="n">
        <v>4</v>
      </c>
      <c r="P69" s="3" t="n">
        <v>2</v>
      </c>
      <c r="Q69" s="3" t="inlineStr">
        <is>
          <t>Phantom Seeker</t>
        </is>
      </c>
      <c r="R69" s="3" t="n">
        <v>10</v>
      </c>
      <c r="S69" s="3" t="inlineStr"/>
      <c r="T69" s="3" t="inlineStr"/>
      <c r="U69" s="3" t="n">
        <v>0</v>
      </c>
      <c r="V69" s="3" t="inlineStr">
        <is>
          <t>masc:-0.2;fem:1.5</t>
        </is>
      </c>
      <c r="W69" s="3" t="n">
        <v>-0.2</v>
      </c>
      <c r="X69" s="3" t="n">
        <v>1.5</v>
      </c>
      <c r="Y69" s="3" t="inlineStr">
        <is>
          <t>COMM_Emotional</t>
        </is>
      </c>
      <c r="Z69" s="3" t="inlineStr">
        <is>
          <t>REG_SelfSoother</t>
        </is>
      </c>
      <c r="AA69" s="3" t="inlineStr">
        <is>
          <t>LANG_Touch</t>
        </is>
      </c>
      <c r="AB69" s="3" t="inlineStr">
        <is>
          <t>Vulnerability_Loop</t>
        </is>
      </c>
      <c r="AC69" s="3" t="inlineStr">
        <is>
          <t>Vulnerability_Loop</t>
        </is>
      </c>
      <c r="AD69" s="3" t="inlineStr"/>
      <c r="AE69" s="3" t="n">
        <v>5</v>
      </c>
      <c r="AF69" s="3" t="inlineStr">
        <is>
          <t>internal retreat</t>
        </is>
      </c>
      <c r="AG69" s="3" t="inlineStr">
        <is>
          <t>quiet stewer</t>
        </is>
      </c>
      <c r="AH69" s="3" t="n">
        <v>0</v>
      </c>
      <c r="AI69" s="3" t="inlineStr">
        <is>
          <t>yes</t>
        </is>
      </c>
      <c r="AJ69" s="3" t="inlineStr">
        <is>
          <t>no</t>
        </is>
      </c>
      <c r="AK69" s="3" t="inlineStr">
        <is>
          <t>yes</t>
        </is>
      </c>
      <c r="AL69" s="3" t="inlineStr">
        <is>
          <t>yes</t>
        </is>
      </c>
      <c r="AM69" s="3" t="inlineStr"/>
      <c r="AN69" s="3" t="inlineStr"/>
      <c r="AO69" s="3" t="inlineStr"/>
      <c r="AP69" s="3" t="inlineStr">
        <is>
          <t>v3_2026-03-19</t>
        </is>
      </c>
    </row>
    <row r="70">
      <c r="A70" s="3" t="inlineStr">
        <is>
          <t>Q14_D</t>
        </is>
      </c>
      <c r="B70" s="3" t="n">
        <v>14</v>
      </c>
      <c r="C70" s="3" t="n">
        <v>14</v>
      </c>
      <c r="D70" s="3" t="inlineStr">
        <is>
          <t>Core</t>
        </is>
      </c>
      <c r="E70" s="3" t="n">
        <v>1.05</v>
      </c>
      <c r="F70" s="3" t="inlineStr">
        <is>
          <t>ConflictRepair</t>
        </is>
      </c>
      <c r="G70" s="3" t="inlineStr">
        <is>
          <t>CommunicationHealth</t>
        </is>
      </c>
      <c r="H70" s="3" t="inlineStr"/>
      <c r="I70" s="3" t="inlineStr">
        <is>
          <t>D</t>
        </is>
      </c>
      <c r="J70" s="3" t="inlineStr">
        <is>
          <t>D</t>
        </is>
      </c>
      <c r="K70" s="3" t="inlineStr">
        <is>
          <t>I pretend I'm fine, but the shift gets loud. Suddenly I'm noticing who they respond to faster. Who gets their energy.</t>
        </is>
      </c>
      <c r="L70" s="3" t="n">
        <v>6</v>
      </c>
      <c r="M70" s="3" t="n">
        <v>7</v>
      </c>
      <c r="N70" s="3" t="n">
        <v>4</v>
      </c>
      <c r="O70" s="3" t="n">
        <v>4</v>
      </c>
      <c r="P70" s="3" t="n">
        <v>2</v>
      </c>
      <c r="Q70" s="3" t="inlineStr">
        <is>
          <t>Analyzer</t>
        </is>
      </c>
      <c r="R70" s="3" t="n">
        <v>2</v>
      </c>
      <c r="S70" s="3" t="inlineStr"/>
      <c r="T70" s="3" t="inlineStr"/>
      <c r="U70" s="3" t="n">
        <v>0</v>
      </c>
      <c r="V70" s="3" t="inlineStr">
        <is>
          <t>masc:1.4;fem:0.1</t>
        </is>
      </c>
      <c r="W70" s="3" t="n">
        <v>1.4</v>
      </c>
      <c r="X70" s="3" t="n">
        <v>0.1</v>
      </c>
      <c r="Y70" s="3" t="inlineStr">
        <is>
          <t>COMM_Logical</t>
        </is>
      </c>
      <c r="Z70" s="3" t="inlineStr">
        <is>
          <t>REG_SelfSoother</t>
        </is>
      </c>
      <c r="AA70" s="3" t="inlineStr">
        <is>
          <t>LANG_Service</t>
        </is>
      </c>
      <c r="AB70" s="3" t="inlineStr">
        <is>
          <t>Vulnerability_Loop</t>
        </is>
      </c>
      <c r="AC70" s="3" t="inlineStr">
        <is>
          <t>Vulnerability_Loop</t>
        </is>
      </c>
      <c r="AD70" s="3" t="inlineStr"/>
      <c r="AE70" s="3" t="n">
        <v>5</v>
      </c>
      <c r="AF70" s="3" t="inlineStr">
        <is>
          <t>silent scorekeeper</t>
        </is>
      </c>
      <c r="AG70" s="3" t="inlineStr">
        <is>
          <t>attention tracker</t>
        </is>
      </c>
      <c r="AH70" s="3" t="n">
        <v>1.8</v>
      </c>
      <c r="AI70" s="3" t="inlineStr">
        <is>
          <t>yes</t>
        </is>
      </c>
      <c r="AJ70" s="3" t="inlineStr">
        <is>
          <t>no</t>
        </is>
      </c>
      <c r="AK70" s="3" t="inlineStr">
        <is>
          <t>yes</t>
        </is>
      </c>
      <c r="AL70" s="3" t="inlineStr">
        <is>
          <t>yes</t>
        </is>
      </c>
      <c r="AM70" s="3" t="inlineStr"/>
      <c r="AN70" s="3" t="inlineStr"/>
      <c r="AO70" s="3" t="inlineStr"/>
      <c r="AP70" s="3" t="inlineStr">
        <is>
          <t>v3_2026-03-19</t>
        </is>
      </c>
    </row>
    <row r="71">
      <c r="A71" s="3" t="inlineStr">
        <is>
          <t>Q14_E</t>
        </is>
      </c>
      <c r="B71" s="3" t="n">
        <v>14</v>
      </c>
      <c r="C71" s="3" t="n">
        <v>14</v>
      </c>
      <c r="D71" s="3" t="inlineStr">
        <is>
          <t>Core</t>
        </is>
      </c>
      <c r="E71" s="3" t="n">
        <v>1.05</v>
      </c>
      <c r="F71" s="3" t="inlineStr">
        <is>
          <t>ConflictRepair</t>
        </is>
      </c>
      <c r="G71" s="3" t="inlineStr">
        <is>
          <t>CommunicationHealth</t>
        </is>
      </c>
      <c r="H71" s="3" t="inlineStr"/>
      <c r="I71" s="3" t="inlineStr">
        <is>
          <t>E</t>
        </is>
      </c>
      <c r="J71" s="3" t="inlineStr">
        <is>
          <t>E</t>
        </is>
      </c>
      <c r="K71" s="3" t="inlineStr">
        <is>
          <t>I clock it, stash the receipt, and stop reaching out. I've made that mistake before, won't repeat it.</t>
        </is>
      </c>
      <c r="L71" s="3" t="n">
        <v>8</v>
      </c>
      <c r="M71" s="3" t="n">
        <v>9</v>
      </c>
      <c r="N71" s="3" t="n">
        <v>4</v>
      </c>
      <c r="O71" s="3" t="n">
        <v>6</v>
      </c>
      <c r="P71" s="3" t="n">
        <v>2</v>
      </c>
      <c r="Q71" s="3" t="inlineStr">
        <is>
          <t>Quiet Exit</t>
        </is>
      </c>
      <c r="R71" s="3" t="n">
        <v>4</v>
      </c>
      <c r="S71" s="3" t="inlineStr"/>
      <c r="T71" s="3" t="inlineStr"/>
      <c r="U71" s="3" t="n">
        <v>0</v>
      </c>
      <c r="V71" s="3" t="inlineStr">
        <is>
          <t>masc:1.4;fem:-1.3</t>
        </is>
      </c>
      <c r="W71" s="3" t="n">
        <v>1.4</v>
      </c>
      <c r="X71" s="3" t="n">
        <v>-1.3</v>
      </c>
      <c r="Y71" s="3" t="inlineStr">
        <is>
          <t>COMM_Avoidant</t>
        </is>
      </c>
      <c r="Z71" s="3" t="inlineStr">
        <is>
          <t>REG_Suppressor</t>
        </is>
      </c>
      <c r="AA71" s="3" t="inlineStr">
        <is>
          <t>LANG_Time</t>
        </is>
      </c>
      <c r="AB71" s="3" t="inlineStr"/>
      <c r="AC71" s="3" t="inlineStr"/>
      <c r="AD71" s="3" t="inlineStr"/>
      <c r="AE71" s="3" t="n">
        <v>0</v>
      </c>
      <c r="AF71" s="3" t="inlineStr">
        <is>
          <t>strategic shutdown</t>
        </is>
      </c>
      <c r="AG71" s="3" t="inlineStr">
        <is>
          <t>decisive withdrawer</t>
        </is>
      </c>
      <c r="AH71" s="3" t="n">
        <v>0.6</v>
      </c>
      <c r="AI71" s="3" t="inlineStr">
        <is>
          <t>no</t>
        </is>
      </c>
      <c r="AJ71" s="3" t="inlineStr">
        <is>
          <t>no</t>
        </is>
      </c>
      <c r="AK71" s="3" t="inlineStr">
        <is>
          <t>yes</t>
        </is>
      </c>
      <c r="AL71" s="3" t="inlineStr">
        <is>
          <t>yes</t>
        </is>
      </c>
      <c r="AM71" s="3" t="inlineStr"/>
      <c r="AN71" s="3" t="inlineStr"/>
      <c r="AO71" s="3" t="inlineStr"/>
      <c r="AP71" s="3" t="inlineStr">
        <is>
          <t>v3_2026-03-19</t>
        </is>
      </c>
    </row>
    <row r="72">
      <c r="A72" s="3" t="inlineStr">
        <is>
          <t>Q15_A</t>
        </is>
      </c>
      <c r="B72" s="3" t="n">
        <v>15</v>
      </c>
      <c r="C72" s="3" t="n">
        <v>15</v>
      </c>
      <c r="D72" s="3" t="inlineStr">
        <is>
          <t>Core</t>
        </is>
      </c>
      <c r="E72" s="3" t="n">
        <v>1.05</v>
      </c>
      <c r="F72" s="3" t="inlineStr">
        <is>
          <t>ConflictRepair</t>
        </is>
      </c>
      <c r="G72" s="3" t="inlineStr">
        <is>
          <t>CommunicationHealth</t>
        </is>
      </c>
      <c r="H72" s="3" t="inlineStr">
        <is>
          <t>They respond fast. They remember what you say. No mixed signals. It's easy. How does your brain react to that kind of consistency?</t>
        </is>
      </c>
      <c r="I72" s="3" t="inlineStr">
        <is>
          <t>A</t>
        </is>
      </c>
      <c r="J72" s="3" t="inlineStr">
        <is>
          <t>A</t>
        </is>
      </c>
      <c r="K72" s="3" t="inlineStr">
        <is>
          <t>I wait for the twist. Nobody's that into me for no reason. I enjoy it, but I stay suspicious.</t>
        </is>
      </c>
      <c r="L72" s="3" t="n">
        <v>6</v>
      </c>
      <c r="M72" s="3" t="n">
        <v>7</v>
      </c>
      <c r="N72" s="3" t="n">
        <v>4</v>
      </c>
      <c r="O72" s="3" t="n">
        <v>6</v>
      </c>
      <c r="P72" s="3" t="n">
        <v>4</v>
      </c>
      <c r="Q72" s="3" t="inlineStr">
        <is>
          <t>Survivor</t>
        </is>
      </c>
      <c r="R72" s="3" t="n">
        <v>8</v>
      </c>
      <c r="S72" s="3" t="inlineStr"/>
      <c r="T72" s="3" t="inlineStr"/>
      <c r="U72" s="3" t="n">
        <v>0</v>
      </c>
      <c r="V72" s="3" t="inlineStr">
        <is>
          <t>masc:0.3;fem:1.3</t>
        </is>
      </c>
      <c r="W72" s="3" t="n">
        <v>0.3</v>
      </c>
      <c r="X72" s="3" t="n">
        <v>1.3</v>
      </c>
      <c r="Y72" s="3" t="inlineStr">
        <is>
          <t>COMM_Emotional</t>
        </is>
      </c>
      <c r="Z72" s="3" t="inlineStr">
        <is>
          <t>REG_SelfSoother</t>
        </is>
      </c>
      <c r="AA72" s="3" t="inlineStr">
        <is>
          <t>LANG_Service</t>
        </is>
      </c>
      <c r="AB72" s="3" t="inlineStr">
        <is>
          <t>Vulnerability_Loop</t>
        </is>
      </c>
      <c r="AC72" s="3" t="inlineStr">
        <is>
          <t>Vulnerability_Loop</t>
        </is>
      </c>
      <c r="AD72" s="3" t="inlineStr"/>
      <c r="AE72" s="3" t="n">
        <v>5</v>
      </c>
      <c r="AF72" s="3" t="inlineStr">
        <is>
          <t>trauma-calibrated skepticism</t>
        </is>
      </c>
      <c r="AG72" s="3" t="inlineStr">
        <is>
          <t>guarded receiver</t>
        </is>
      </c>
      <c r="AH72" s="3" t="n">
        <v>0</v>
      </c>
      <c r="AI72" s="3" t="inlineStr">
        <is>
          <t>yes</t>
        </is>
      </c>
      <c r="AJ72" s="3" t="inlineStr">
        <is>
          <t>no</t>
        </is>
      </c>
      <c r="AK72" s="3" t="inlineStr">
        <is>
          <t>yes</t>
        </is>
      </c>
      <c r="AL72" s="3" t="inlineStr">
        <is>
          <t>yes</t>
        </is>
      </c>
      <c r="AM72" s="3" t="inlineStr"/>
      <c r="AN72" s="3" t="inlineStr"/>
      <c r="AO72" s="3" t="inlineStr"/>
      <c r="AP72" s="3" t="inlineStr">
        <is>
          <t>v3_2026-03-19</t>
        </is>
      </c>
    </row>
    <row r="73">
      <c r="A73" s="3" t="inlineStr">
        <is>
          <t>Q15_B</t>
        </is>
      </c>
      <c r="B73" s="3" t="n">
        <v>15</v>
      </c>
      <c r="C73" s="3" t="n">
        <v>15</v>
      </c>
      <c r="D73" s="3" t="inlineStr">
        <is>
          <t>Core</t>
        </is>
      </c>
      <c r="E73" s="3" t="n">
        <v>1.05</v>
      </c>
      <c r="F73" s="3" t="inlineStr">
        <is>
          <t>ConflictRepair</t>
        </is>
      </c>
      <c r="G73" s="3" t="inlineStr">
        <is>
          <t>CommunicationHealth</t>
        </is>
      </c>
      <c r="H73" s="3" t="inlineStr"/>
      <c r="I73" s="3" t="inlineStr">
        <is>
          <t>B</t>
        </is>
      </c>
      <c r="J73" s="3" t="inlineStr">
        <is>
          <t>B</t>
        </is>
      </c>
      <c r="K73" s="3" t="inlineStr">
        <is>
          <t>I get anxious. Like... if it's this easy now, what happens when I actually need something?</t>
        </is>
      </c>
      <c r="L73" s="3" t="n">
        <v>5</v>
      </c>
      <c r="M73" s="3" t="n">
        <v>6</v>
      </c>
      <c r="N73" s="3" t="n">
        <v>2</v>
      </c>
      <c r="O73" s="3" t="n">
        <v>4</v>
      </c>
      <c r="P73" s="3" t="n">
        <v>2</v>
      </c>
      <c r="Q73" s="3" t="inlineStr">
        <is>
          <t>Phantom Seeker</t>
        </is>
      </c>
      <c r="R73" s="3" t="n">
        <v>10</v>
      </c>
      <c r="S73" s="3" t="inlineStr"/>
      <c r="T73" s="3" t="inlineStr"/>
      <c r="U73" s="3" t="n">
        <v>0</v>
      </c>
      <c r="V73" s="3" t="inlineStr">
        <is>
          <t>masc:-0.2;fem:1.5</t>
        </is>
      </c>
      <c r="W73" s="3" t="n">
        <v>-0.2</v>
      </c>
      <c r="X73" s="3" t="n">
        <v>1.5</v>
      </c>
      <c r="Y73" s="3" t="inlineStr">
        <is>
          <t>COMM_Emotional</t>
        </is>
      </c>
      <c r="Z73" s="3" t="inlineStr">
        <is>
          <t>REG_SelfSoother</t>
        </is>
      </c>
      <c r="AA73" s="3" t="inlineStr">
        <is>
          <t>LANG_Touch</t>
        </is>
      </c>
      <c r="AB73" s="3" t="inlineStr">
        <is>
          <t>Vulnerability_Loop</t>
        </is>
      </c>
      <c r="AC73" s="3" t="inlineStr">
        <is>
          <t>Vulnerability_Loop</t>
        </is>
      </c>
      <c r="AD73" s="3" t="inlineStr"/>
      <c r="AE73" s="3" t="n">
        <v>5</v>
      </c>
      <c r="AF73" s="3" t="inlineStr">
        <is>
          <t>fragile trust reflex</t>
        </is>
      </c>
      <c r="AG73" s="3" t="inlineStr">
        <is>
          <t>uneasy believer</t>
        </is>
      </c>
      <c r="AH73" s="3" t="n">
        <v>0</v>
      </c>
      <c r="AI73" s="3" t="inlineStr">
        <is>
          <t>yes</t>
        </is>
      </c>
      <c r="AJ73" s="3" t="inlineStr">
        <is>
          <t>no</t>
        </is>
      </c>
      <c r="AK73" s="3" t="inlineStr">
        <is>
          <t>yes</t>
        </is>
      </c>
      <c r="AL73" s="3" t="inlineStr">
        <is>
          <t>yes</t>
        </is>
      </c>
      <c r="AM73" s="3" t="inlineStr"/>
      <c r="AN73" s="3" t="inlineStr"/>
      <c r="AO73" s="3" t="inlineStr"/>
      <c r="AP73" s="3" t="inlineStr">
        <is>
          <t>v3_2026-03-19</t>
        </is>
      </c>
    </row>
    <row r="74">
      <c r="A74" s="3" t="inlineStr">
        <is>
          <t>Q15_C</t>
        </is>
      </c>
      <c r="B74" s="3" t="n">
        <v>15</v>
      </c>
      <c r="C74" s="3" t="n">
        <v>15</v>
      </c>
      <c r="D74" s="3" t="inlineStr">
        <is>
          <t>Core</t>
        </is>
      </c>
      <c r="E74" s="3" t="n">
        <v>1.05</v>
      </c>
      <c r="F74" s="3" t="inlineStr">
        <is>
          <t>ConflictRepair</t>
        </is>
      </c>
      <c r="G74" s="3" t="inlineStr">
        <is>
          <t>CommunicationHealth</t>
        </is>
      </c>
      <c r="H74" s="3" t="inlineStr"/>
      <c r="I74" s="3" t="inlineStr">
        <is>
          <t>C</t>
        </is>
      </c>
      <c r="J74" s="3" t="inlineStr">
        <is>
          <t>C</t>
        </is>
      </c>
      <c r="K74" s="3" t="inlineStr">
        <is>
          <t>I like it, but I start checking what they want from me. Nobody invests like that unless they're expecting a return.</t>
        </is>
      </c>
      <c r="L74" s="3" t="n">
        <v>6</v>
      </c>
      <c r="M74" s="3" t="n">
        <v>7</v>
      </c>
      <c r="N74" s="3" t="n">
        <v>4</v>
      </c>
      <c r="O74" s="3" t="n">
        <v>6</v>
      </c>
      <c r="P74" s="3" t="n">
        <v>4</v>
      </c>
      <c r="Q74" s="3" t="inlineStr">
        <is>
          <t>Analyzer</t>
        </is>
      </c>
      <c r="R74" s="3" t="n">
        <v>2</v>
      </c>
      <c r="S74" s="3" t="inlineStr"/>
      <c r="T74" s="3" t="inlineStr"/>
      <c r="U74" s="3" t="n">
        <v>0</v>
      </c>
      <c r="V74" s="3" t="inlineStr">
        <is>
          <t>masc:1.4;fem:0.1</t>
        </is>
      </c>
      <c r="W74" s="3" t="n">
        <v>1.4</v>
      </c>
      <c r="X74" s="3" t="n">
        <v>0.1</v>
      </c>
      <c r="Y74" s="3" t="inlineStr">
        <is>
          <t>COMM_Logical</t>
        </is>
      </c>
      <c r="Z74" s="3" t="inlineStr">
        <is>
          <t>REG_SelfSoother</t>
        </is>
      </c>
      <c r="AA74" s="3" t="inlineStr">
        <is>
          <t>LANG_Service</t>
        </is>
      </c>
      <c r="AB74" s="3" t="inlineStr">
        <is>
          <t>Vulnerability_Loop</t>
        </is>
      </c>
      <c r="AC74" s="3" t="inlineStr">
        <is>
          <t>Vulnerability_Loop</t>
        </is>
      </c>
      <c r="AD74" s="3" t="inlineStr"/>
      <c r="AE74" s="3" t="n">
        <v>5</v>
      </c>
      <c r="AF74" s="3" t="inlineStr">
        <is>
          <t>reciprocity scanner</t>
        </is>
      </c>
      <c r="AG74" s="3" t="inlineStr">
        <is>
          <t>cautious assessor</t>
        </is>
      </c>
      <c r="AH74" s="3" t="n">
        <v>0</v>
      </c>
      <c r="AI74" s="3" t="inlineStr">
        <is>
          <t>yes</t>
        </is>
      </c>
      <c r="AJ74" s="3" t="inlineStr">
        <is>
          <t>no</t>
        </is>
      </c>
      <c r="AK74" s="3" t="inlineStr">
        <is>
          <t>yes</t>
        </is>
      </c>
      <c r="AL74" s="3" t="inlineStr">
        <is>
          <t>yes</t>
        </is>
      </c>
      <c r="AM74" s="3" t="inlineStr"/>
      <c r="AN74" s="3" t="inlineStr"/>
      <c r="AO74" s="3" t="inlineStr"/>
      <c r="AP74" s="3" t="inlineStr">
        <is>
          <t>v3_2026-03-19</t>
        </is>
      </c>
    </row>
    <row r="75">
      <c r="A75" s="3" t="inlineStr">
        <is>
          <t>Q15_D</t>
        </is>
      </c>
      <c r="B75" s="3" t="n">
        <v>15</v>
      </c>
      <c r="C75" s="3" t="n">
        <v>15</v>
      </c>
      <c r="D75" s="3" t="inlineStr">
        <is>
          <t>Core</t>
        </is>
      </c>
      <c r="E75" s="3" t="n">
        <v>1.05</v>
      </c>
      <c r="F75" s="3" t="inlineStr">
        <is>
          <t>ConflictRepair</t>
        </is>
      </c>
      <c r="G75" s="3" t="inlineStr">
        <is>
          <t>CommunicationHealth</t>
        </is>
      </c>
      <c r="H75" s="3" t="inlineStr"/>
      <c r="I75" s="3" t="inlineStr">
        <is>
          <t>D</t>
        </is>
      </c>
      <c r="J75" s="3" t="inlineStr">
        <is>
          <t>D</t>
        </is>
      </c>
      <c r="K75" s="3" t="inlineStr">
        <is>
          <t>I try not to mess it up. I overthink everything I send back. It feels good, but fragile.</t>
        </is>
      </c>
      <c r="L75" s="3" t="n">
        <v>6</v>
      </c>
      <c r="M75" s="3" t="n">
        <v>7</v>
      </c>
      <c r="N75" s="3" t="n">
        <v>4</v>
      </c>
      <c r="O75" s="3" t="n">
        <v>4</v>
      </c>
      <c r="P75" s="3" t="n">
        <v>2</v>
      </c>
      <c r="Q75" s="3" t="inlineStr">
        <is>
          <t>Performer</t>
        </is>
      </c>
      <c r="R75" s="3" t="n">
        <v>7</v>
      </c>
      <c r="S75" s="3" t="inlineStr"/>
      <c r="T75" s="3" t="inlineStr"/>
      <c r="U75" s="3" t="n">
        <v>0</v>
      </c>
      <c r="V75" s="3" t="inlineStr">
        <is>
          <t>masc:0.3;fem:0.5</t>
        </is>
      </c>
      <c r="W75" s="3" t="n">
        <v>0.3</v>
      </c>
      <c r="X75" s="3" t="n">
        <v>0.5</v>
      </c>
      <c r="Y75" s="3" t="inlineStr">
        <is>
          <t>COMM_Indirect</t>
        </is>
      </c>
      <c r="Z75" s="3" t="inlineStr">
        <is>
          <t>REG_Distractor</t>
        </is>
      </c>
      <c r="AA75" s="3" t="inlineStr">
        <is>
          <t>LANG_Gifts</t>
        </is>
      </c>
      <c r="AB75" s="3" t="inlineStr">
        <is>
          <t>Vulnerability_Loop</t>
        </is>
      </c>
      <c r="AC75" s="3" t="inlineStr">
        <is>
          <t>Vulnerability_Loop</t>
        </is>
      </c>
      <c r="AD75" s="3" t="inlineStr"/>
      <c r="AE75" s="3" t="n">
        <v>5</v>
      </c>
      <c r="AF75" s="3" t="inlineStr">
        <is>
          <t>image anxiety</t>
        </is>
      </c>
      <c r="AG75" s="3" t="inlineStr">
        <is>
          <t>careful performer</t>
        </is>
      </c>
      <c r="AH75" s="3" t="n">
        <v>0</v>
      </c>
      <c r="AI75" s="3" t="inlineStr">
        <is>
          <t>yes</t>
        </is>
      </c>
      <c r="AJ75" s="3" t="inlineStr">
        <is>
          <t>no</t>
        </is>
      </c>
      <c r="AK75" s="3" t="inlineStr">
        <is>
          <t>yes</t>
        </is>
      </c>
      <c r="AL75" s="3" t="inlineStr">
        <is>
          <t>yes</t>
        </is>
      </c>
      <c r="AM75" s="3" t="inlineStr"/>
      <c r="AN75" s="3" t="inlineStr"/>
      <c r="AO75" s="3" t="inlineStr"/>
      <c r="AP75" s="3" t="inlineStr">
        <is>
          <t>v3_2026-03-19</t>
        </is>
      </c>
    </row>
    <row r="76">
      <c r="A76" s="3" t="inlineStr">
        <is>
          <t>Q15_E</t>
        </is>
      </c>
      <c r="B76" s="3" t="n">
        <v>15</v>
      </c>
      <c r="C76" s="3" t="n">
        <v>15</v>
      </c>
      <c r="D76" s="3" t="inlineStr">
        <is>
          <t>Core</t>
        </is>
      </c>
      <c r="E76" s="3" t="n">
        <v>1.05</v>
      </c>
      <c r="F76" s="3" t="inlineStr">
        <is>
          <t>ConflictRepair</t>
        </is>
      </c>
      <c r="G76" s="3" t="inlineStr">
        <is>
          <t>CommunicationHealth</t>
        </is>
      </c>
      <c r="H76" s="3" t="inlineStr"/>
      <c r="I76" s="3" t="inlineStr">
        <is>
          <t>E</t>
        </is>
      </c>
      <c r="J76" s="3" t="inlineStr">
        <is>
          <t>E</t>
        </is>
      </c>
      <c r="K76" s="3" t="inlineStr">
        <is>
          <t>I match it, but I don't flood it. Feels rare, and I'm not about to fumble it with weird energy.</t>
        </is>
      </c>
      <c r="L76" s="3" t="n">
        <v>9</v>
      </c>
      <c r="M76" s="3" t="n">
        <v>9</v>
      </c>
      <c r="N76" s="3" t="n">
        <v>6</v>
      </c>
      <c r="O76" s="3" t="n">
        <v>6</v>
      </c>
      <c r="P76" s="3" t="n">
        <v>2</v>
      </c>
      <c r="Q76" s="3" t="inlineStr">
        <is>
          <t>Icebox</t>
        </is>
      </c>
      <c r="R76" s="3" t="n">
        <v>1</v>
      </c>
      <c r="S76" s="3" t="inlineStr"/>
      <c r="T76" s="3" t="inlineStr"/>
      <c r="U76" s="3" t="n">
        <v>0</v>
      </c>
      <c r="V76" s="3" t="inlineStr">
        <is>
          <t>masc:1.8;fem:-1.6</t>
        </is>
      </c>
      <c r="W76" s="3" t="n">
        <v>1.8</v>
      </c>
      <c r="X76" s="3" t="n">
        <v>-1.6</v>
      </c>
      <c r="Y76" s="3" t="inlineStr">
        <is>
          <t>COMM_Avoidant</t>
        </is>
      </c>
      <c r="Z76" s="3" t="inlineStr">
        <is>
          <t>REG_Suppressor</t>
        </is>
      </c>
      <c r="AA76" s="3" t="inlineStr">
        <is>
          <t>LANG_Time</t>
        </is>
      </c>
      <c r="AB76" s="3" t="inlineStr"/>
      <c r="AC76" s="3" t="inlineStr"/>
      <c r="AD76" s="3" t="inlineStr"/>
      <c r="AE76" s="3" t="n">
        <v>0</v>
      </c>
      <c r="AF76" s="3" t="inlineStr">
        <is>
          <t>cautious returner</t>
        </is>
      </c>
      <c r="AG76" s="3" t="inlineStr">
        <is>
          <t>balanced engager</t>
        </is>
      </c>
      <c r="AH76" s="3" t="n">
        <v>0</v>
      </c>
      <c r="AI76" s="3" t="inlineStr">
        <is>
          <t>no</t>
        </is>
      </c>
      <c r="AJ76" s="3" t="inlineStr">
        <is>
          <t>no</t>
        </is>
      </c>
      <c r="AK76" s="3" t="inlineStr">
        <is>
          <t>yes</t>
        </is>
      </c>
      <c r="AL76" s="3" t="inlineStr">
        <is>
          <t>yes</t>
        </is>
      </c>
      <c r="AM76" s="3" t="inlineStr"/>
      <c r="AN76" s="3" t="inlineStr"/>
      <c r="AO76" s="3" t="inlineStr"/>
      <c r="AP76" s="3" t="inlineStr">
        <is>
          <t>v3_2026-03-19</t>
        </is>
      </c>
    </row>
    <row r="77">
      <c r="A77" s="3" t="inlineStr">
        <is>
          <t>Q16_A</t>
        </is>
      </c>
      <c r="B77" s="3" t="n">
        <v>16</v>
      </c>
      <c r="C77" s="3" t="n">
        <v>16</v>
      </c>
      <c r="D77" s="3" t="inlineStr">
        <is>
          <t>Core</t>
        </is>
      </c>
      <c r="E77" s="3" t="n">
        <v>1.05</v>
      </c>
      <c r="F77" s="3" t="inlineStr">
        <is>
          <t>ConflictRepair</t>
        </is>
      </c>
      <c r="G77" s="3" t="inlineStr">
        <is>
          <t>CommunicationHealth</t>
        </is>
      </c>
      <c r="H77" s="3" t="inlineStr">
        <is>
          <t>They go from warm to cold out of nowhere. What's your first move?</t>
        </is>
      </c>
      <c r="I77" s="3" t="inlineStr">
        <is>
          <t>A</t>
        </is>
      </c>
      <c r="J77" s="3" t="inlineStr">
        <is>
          <t>A</t>
        </is>
      </c>
      <c r="K77" s="3" t="inlineStr">
        <is>
          <t>If you're hot and cold, I'm room temperature and gone. I'm not here to decode moods.</t>
        </is>
      </c>
      <c r="L77" s="3" t="n">
        <v>9</v>
      </c>
      <c r="M77" s="3" t="n">
        <v>9</v>
      </c>
      <c r="N77" s="3" t="n">
        <v>10</v>
      </c>
      <c r="O77" s="3" t="n">
        <v>10</v>
      </c>
      <c r="P77" s="3" t="n">
        <v>10</v>
      </c>
      <c r="Q77" s="3" t="inlineStr">
        <is>
          <t>Regulated Grown-Up</t>
        </is>
      </c>
      <c r="R77" s="3" t="n">
        <v>9</v>
      </c>
      <c r="S77" s="3" t="inlineStr"/>
      <c r="T77" s="3" t="inlineStr"/>
      <c r="U77" s="3" t="n">
        <v>0</v>
      </c>
      <c r="V77" s="3" t="inlineStr">
        <is>
          <t>masc:1.1;fem:0.9</t>
        </is>
      </c>
      <c r="W77" s="3" t="n">
        <v>1.1</v>
      </c>
      <c r="X77" s="3" t="n">
        <v>0.9</v>
      </c>
      <c r="Y77" s="3" t="inlineStr">
        <is>
          <t>COMM_Direct</t>
        </is>
      </c>
      <c r="Z77" s="3" t="inlineStr">
        <is>
          <t>REG_CoRegulator</t>
        </is>
      </c>
      <c r="AA77" s="3" t="inlineStr">
        <is>
          <t>LANG_Words</t>
        </is>
      </c>
      <c r="AB77" s="3" t="inlineStr"/>
      <c r="AC77" s="3" t="inlineStr"/>
      <c r="AD77" s="3" t="inlineStr"/>
      <c r="AE77" s="3" t="n">
        <v>0</v>
      </c>
      <c r="AF77" s="3" t="inlineStr">
        <is>
          <t>blunt detachment</t>
        </is>
      </c>
      <c r="AG77" s="3" t="inlineStr">
        <is>
          <t>immediate cutoff</t>
        </is>
      </c>
      <c r="AH77" s="3" t="n">
        <v>1.2</v>
      </c>
      <c r="AI77" s="3" t="inlineStr">
        <is>
          <t>no</t>
        </is>
      </c>
      <c r="AJ77" s="3" t="inlineStr">
        <is>
          <t>no</t>
        </is>
      </c>
      <c r="AK77" s="3" t="inlineStr">
        <is>
          <t>yes</t>
        </is>
      </c>
      <c r="AL77" s="3" t="inlineStr">
        <is>
          <t>yes</t>
        </is>
      </c>
      <c r="AM77" s="3" t="inlineStr"/>
      <c r="AN77" s="3" t="inlineStr"/>
      <c r="AO77" s="3" t="inlineStr"/>
      <c r="AP77" s="3" t="inlineStr">
        <is>
          <t>v3_2026-03-19</t>
        </is>
      </c>
    </row>
    <row r="78">
      <c r="A78" s="3" t="inlineStr">
        <is>
          <t>Q16_B</t>
        </is>
      </c>
      <c r="B78" s="3" t="n">
        <v>16</v>
      </c>
      <c r="C78" s="3" t="n">
        <v>16</v>
      </c>
      <c r="D78" s="3" t="inlineStr">
        <is>
          <t>Core</t>
        </is>
      </c>
      <c r="E78" s="3" t="n">
        <v>1.05</v>
      </c>
      <c r="F78" s="3" t="inlineStr">
        <is>
          <t>ConflictRepair</t>
        </is>
      </c>
      <c r="G78" s="3" t="inlineStr">
        <is>
          <t>CommunicationHealth</t>
        </is>
      </c>
      <c r="H78" s="3" t="inlineStr"/>
      <c r="I78" s="3" t="inlineStr">
        <is>
          <t>B</t>
        </is>
      </c>
      <c r="J78" s="3" t="inlineStr">
        <is>
          <t>B</t>
        </is>
      </c>
      <c r="K78" s="3" t="inlineStr">
        <is>
          <t>I recheck our last texts. Then I reread mine. Then I wonder if I should've said less, or more. I don't bring it up, but it definitely rewires how I respond.</t>
        </is>
      </c>
      <c r="L78" s="3" t="n">
        <v>5</v>
      </c>
      <c r="M78" s="3" t="n">
        <v>6</v>
      </c>
      <c r="N78" s="3" t="n">
        <v>4</v>
      </c>
      <c r="O78" s="3" t="n">
        <v>4</v>
      </c>
      <c r="P78" s="3" t="n">
        <v>2</v>
      </c>
      <c r="Q78" s="3" t="inlineStr">
        <is>
          <t>Analyzer</t>
        </is>
      </c>
      <c r="R78" s="3" t="n">
        <v>2</v>
      </c>
      <c r="S78" s="3" t="inlineStr"/>
      <c r="T78" s="3" t="inlineStr"/>
      <c r="U78" s="3" t="n">
        <v>0</v>
      </c>
      <c r="V78" s="3" t="inlineStr">
        <is>
          <t>masc:1.4;fem:0.1</t>
        </is>
      </c>
      <c r="W78" s="3" t="n">
        <v>1.4</v>
      </c>
      <c r="X78" s="3" t="n">
        <v>0.1</v>
      </c>
      <c r="Y78" s="3" t="inlineStr">
        <is>
          <t>COMM_Logical</t>
        </is>
      </c>
      <c r="Z78" s="3" t="inlineStr">
        <is>
          <t>REG_SelfSoother</t>
        </is>
      </c>
      <c r="AA78" s="3" t="inlineStr">
        <is>
          <t>LANG_Service</t>
        </is>
      </c>
      <c r="AB78" s="3" t="inlineStr">
        <is>
          <t>Trust_Tension</t>
        </is>
      </c>
      <c r="AC78" s="3" t="inlineStr">
        <is>
          <t>Trust_Tension</t>
        </is>
      </c>
      <c r="AD78" s="3" t="inlineStr"/>
      <c r="AE78" s="3" t="n">
        <v>6</v>
      </c>
      <c r="AF78" s="3" t="inlineStr">
        <is>
          <t>emotional spiral</t>
        </is>
      </c>
      <c r="AG78" s="3" t="inlineStr">
        <is>
          <t>overanalyzer</t>
        </is>
      </c>
      <c r="AH78" s="3" t="n">
        <v>0</v>
      </c>
      <c r="AI78" s="3" t="inlineStr">
        <is>
          <t>yes</t>
        </is>
      </c>
      <c r="AJ78" s="3" t="inlineStr">
        <is>
          <t>no</t>
        </is>
      </c>
      <c r="AK78" s="3" t="inlineStr">
        <is>
          <t>yes</t>
        </is>
      </c>
      <c r="AL78" s="3" t="inlineStr">
        <is>
          <t>yes</t>
        </is>
      </c>
      <c r="AM78" s="3" t="inlineStr"/>
      <c r="AN78" s="3" t="inlineStr"/>
      <c r="AO78" s="3" t="inlineStr"/>
      <c r="AP78" s="3" t="inlineStr">
        <is>
          <t>v3_2026-03-19</t>
        </is>
      </c>
    </row>
    <row r="79">
      <c r="A79" s="3" t="inlineStr">
        <is>
          <t>Q16_C</t>
        </is>
      </c>
      <c r="B79" s="3" t="n">
        <v>16</v>
      </c>
      <c r="C79" s="3" t="n">
        <v>16</v>
      </c>
      <c r="D79" s="3" t="inlineStr">
        <is>
          <t>Core</t>
        </is>
      </c>
      <c r="E79" s="3" t="n">
        <v>1.05</v>
      </c>
      <c r="F79" s="3" t="inlineStr">
        <is>
          <t>ConflictRepair</t>
        </is>
      </c>
      <c r="G79" s="3" t="inlineStr">
        <is>
          <t>CommunicationHealth</t>
        </is>
      </c>
      <c r="H79" s="3" t="inlineStr"/>
      <c r="I79" s="3" t="inlineStr">
        <is>
          <t>C</t>
        </is>
      </c>
      <c r="J79" s="3" t="inlineStr">
        <is>
          <t>C</t>
        </is>
      </c>
      <c r="K79" s="3" t="inlineStr">
        <is>
          <t>I back off. They'll either notice or they won't. I'm not chasing people who don't know what they want.</t>
        </is>
      </c>
      <c r="L79" s="3" t="n">
        <v>4</v>
      </c>
      <c r="M79" s="3" t="n">
        <v>5</v>
      </c>
      <c r="N79" s="3" t="n">
        <v>0</v>
      </c>
      <c r="O79" s="3" t="n">
        <v>0</v>
      </c>
      <c r="P79" s="3" t="n">
        <v>0</v>
      </c>
      <c r="Q79" s="3" t="inlineStr">
        <is>
          <t>Icebox</t>
        </is>
      </c>
      <c r="R79" s="3" t="n">
        <v>1</v>
      </c>
      <c r="S79" s="3" t="inlineStr"/>
      <c r="T79" s="3" t="inlineStr"/>
      <c r="U79" s="3" t="n">
        <v>0</v>
      </c>
      <c r="V79" s="3" t="inlineStr">
        <is>
          <t>masc:1.8;fem:-1.6</t>
        </is>
      </c>
      <c r="W79" s="3" t="n">
        <v>1.8</v>
      </c>
      <c r="X79" s="3" t="n">
        <v>-1.6</v>
      </c>
      <c r="Y79" s="3" t="inlineStr">
        <is>
          <t>COMM_Avoidant</t>
        </is>
      </c>
      <c r="Z79" s="3" t="inlineStr">
        <is>
          <t>REG_Suppressor</t>
        </is>
      </c>
      <c r="AA79" s="3" t="inlineStr">
        <is>
          <t>LANG_Time</t>
        </is>
      </c>
      <c r="AB79" s="3" t="inlineStr">
        <is>
          <t>Vulnerability_Loop</t>
        </is>
      </c>
      <c r="AC79" s="3" t="inlineStr">
        <is>
          <t>Vulnerability_Loop</t>
        </is>
      </c>
      <c r="AD79" s="3" t="inlineStr"/>
      <c r="AE79" s="3" t="n">
        <v>5</v>
      </c>
      <c r="AF79" s="3" t="inlineStr">
        <is>
          <t>quiet burn</t>
        </is>
      </c>
      <c r="AG79" s="3" t="inlineStr">
        <is>
          <t>disengaged pullback</t>
        </is>
      </c>
      <c r="AH79" s="3" t="n">
        <v>0.6</v>
      </c>
      <c r="AI79" s="3" t="inlineStr">
        <is>
          <t>yes</t>
        </is>
      </c>
      <c r="AJ79" s="3" t="inlineStr">
        <is>
          <t>no</t>
        </is>
      </c>
      <c r="AK79" s="3" t="inlineStr">
        <is>
          <t>yes</t>
        </is>
      </c>
      <c r="AL79" s="3" t="inlineStr">
        <is>
          <t>yes</t>
        </is>
      </c>
      <c r="AM79" s="3" t="inlineStr"/>
      <c r="AN79" s="3" t="inlineStr"/>
      <c r="AO79" s="3" t="inlineStr"/>
      <c r="AP79" s="3" t="inlineStr">
        <is>
          <t>v3_2026-03-19</t>
        </is>
      </c>
    </row>
    <row r="80">
      <c r="A80" s="3" t="inlineStr">
        <is>
          <t>Q16_D</t>
        </is>
      </c>
      <c r="B80" s="3" t="n">
        <v>16</v>
      </c>
      <c r="C80" s="3" t="n">
        <v>16</v>
      </c>
      <c r="D80" s="3" t="inlineStr">
        <is>
          <t>Core</t>
        </is>
      </c>
      <c r="E80" s="3" t="n">
        <v>1.05</v>
      </c>
      <c r="F80" s="3" t="inlineStr">
        <is>
          <t>ConflictRepair</t>
        </is>
      </c>
      <c r="G80" s="3" t="inlineStr">
        <is>
          <t>CommunicationHealth</t>
        </is>
      </c>
      <c r="H80" s="3" t="inlineStr"/>
      <c r="I80" s="3" t="inlineStr">
        <is>
          <t>D</t>
        </is>
      </c>
      <c r="J80" s="3" t="inlineStr">
        <is>
          <t>D</t>
        </is>
      </c>
      <c r="K80" s="3" t="inlineStr">
        <is>
          <t>I stop bringing things up. If they don't want me, I'm not going to beg to be understood. I've played that game before.</t>
        </is>
      </c>
      <c r="L80" s="3" t="n">
        <v>6</v>
      </c>
      <c r="M80" s="3" t="n">
        <v>7</v>
      </c>
      <c r="N80" s="3" t="n">
        <v>4</v>
      </c>
      <c r="O80" s="3" t="n">
        <v>4</v>
      </c>
      <c r="P80" s="3" t="n">
        <v>4</v>
      </c>
      <c r="Q80" s="3" t="inlineStr">
        <is>
          <t>Fixer</t>
        </is>
      </c>
      <c r="R80" s="3" t="n">
        <v>5</v>
      </c>
      <c r="S80" s="3" t="inlineStr"/>
      <c r="T80" s="3" t="inlineStr"/>
      <c r="U80" s="3" t="n">
        <v>0</v>
      </c>
      <c r="V80" s="3" t="inlineStr">
        <is>
          <t>masc:-0.4;fem:2.0</t>
        </is>
      </c>
      <c r="W80" s="3" t="n">
        <v>-0.4</v>
      </c>
      <c r="X80" s="3" t="n">
        <v>2</v>
      </c>
      <c r="Y80" s="3" t="inlineStr">
        <is>
          <t>COMM_Emotional</t>
        </is>
      </c>
      <c r="Z80" s="3" t="inlineStr">
        <is>
          <t>REG_CoRegulator</t>
        </is>
      </c>
      <c r="AA80" s="3" t="inlineStr">
        <is>
          <t>LANG_Service</t>
        </is>
      </c>
      <c r="AB80" s="3" t="inlineStr">
        <is>
          <t>Affection_Mismatch , Independence_Collision</t>
        </is>
      </c>
      <c r="AC80" s="3" t="inlineStr">
        <is>
          <t>Affection_Mismatch</t>
        </is>
      </c>
      <c r="AD80" s="3" t="inlineStr">
        <is>
          <t>Independence_Collision</t>
        </is>
      </c>
      <c r="AE80" s="3" t="n">
        <v>9</v>
      </c>
      <c r="AF80" s="3" t="inlineStr">
        <is>
          <t>resigned caregiver</t>
        </is>
      </c>
      <c r="AG80" s="3" t="inlineStr">
        <is>
          <t>silent surrender</t>
        </is>
      </c>
      <c r="AH80" s="3" t="n">
        <v>1.2</v>
      </c>
      <c r="AI80" s="3" t="inlineStr">
        <is>
          <t>yes</t>
        </is>
      </c>
      <c r="AJ80" s="3" t="inlineStr">
        <is>
          <t>no</t>
        </is>
      </c>
      <c r="AK80" s="3" t="inlineStr">
        <is>
          <t>yes</t>
        </is>
      </c>
      <c r="AL80" s="3" t="inlineStr">
        <is>
          <t>yes</t>
        </is>
      </c>
      <c r="AM80" s="3" t="inlineStr"/>
      <c r="AN80" s="3" t="inlineStr"/>
      <c r="AO80" s="3" t="inlineStr"/>
      <c r="AP80" s="3" t="inlineStr">
        <is>
          <t>v3_2026-03-19</t>
        </is>
      </c>
    </row>
    <row r="81">
      <c r="A81" s="3" t="inlineStr">
        <is>
          <t>Q16_E</t>
        </is>
      </c>
      <c r="B81" s="3" t="n">
        <v>16</v>
      </c>
      <c r="C81" s="3" t="n">
        <v>16</v>
      </c>
      <c r="D81" s="3" t="inlineStr">
        <is>
          <t>Core</t>
        </is>
      </c>
      <c r="E81" s="3" t="n">
        <v>1.05</v>
      </c>
      <c r="F81" s="3" t="inlineStr">
        <is>
          <t>ConflictRepair</t>
        </is>
      </c>
      <c r="G81" s="3" t="inlineStr">
        <is>
          <t>CommunicationHealth</t>
        </is>
      </c>
      <c r="H81" s="3" t="inlineStr"/>
      <c r="I81" s="3" t="inlineStr">
        <is>
          <t>E</t>
        </is>
      </c>
      <c r="J81" s="3" t="inlineStr">
        <is>
          <t>E</t>
        </is>
      </c>
      <c r="K81" s="3" t="inlineStr">
        <is>
          <t>I tell myself it's probably just stress or a bad week. I don't want to give up too early, but it's hard not to notice when it shifts.</t>
        </is>
      </c>
      <c r="L81" s="3" t="n">
        <v>7</v>
      </c>
      <c r="M81" s="3" t="n">
        <v>8</v>
      </c>
      <c r="N81" s="3" t="n">
        <v>6</v>
      </c>
      <c r="O81" s="3" t="n">
        <v>6</v>
      </c>
      <c r="P81" s="3" t="n">
        <v>4</v>
      </c>
      <c r="Q81" s="3" t="inlineStr">
        <is>
          <t>Romantic Idealist</t>
        </is>
      </c>
      <c r="R81" s="3" t="n">
        <v>6</v>
      </c>
      <c r="S81" s="3" t="inlineStr"/>
      <c r="T81" s="3" t="inlineStr"/>
      <c r="U81" s="3" t="n">
        <v>0</v>
      </c>
      <c r="V81" s="3" t="inlineStr">
        <is>
          <t>masc:-0.4;fem:1.5</t>
        </is>
      </c>
      <c r="W81" s="3" t="n">
        <v>-0.4</v>
      </c>
      <c r="X81" s="3" t="n">
        <v>1.5</v>
      </c>
      <c r="Y81" s="3" t="inlineStr">
        <is>
          <t>COMM_Emotional</t>
        </is>
      </c>
      <c r="Z81" s="3" t="inlineStr">
        <is>
          <t>REG_Distractor</t>
        </is>
      </c>
      <c r="AA81" s="3" t="inlineStr">
        <is>
          <t>LANG_Gifts</t>
        </is>
      </c>
      <c r="AB81" s="3" t="inlineStr"/>
      <c r="AC81" s="3" t="inlineStr"/>
      <c r="AD81" s="3" t="inlineStr"/>
      <c r="AE81" s="3" t="n">
        <v>0</v>
      </c>
      <c r="AF81" s="3" t="inlineStr">
        <is>
          <t>tired hope</t>
        </is>
      </c>
      <c r="AG81" s="3" t="inlineStr">
        <is>
          <t>cautious optimist</t>
        </is>
      </c>
      <c r="AH81" s="3" t="n">
        <v>0</v>
      </c>
      <c r="AI81" s="3" t="inlineStr">
        <is>
          <t>no</t>
        </is>
      </c>
      <c r="AJ81" s="3" t="inlineStr">
        <is>
          <t>no</t>
        </is>
      </c>
      <c r="AK81" s="3" t="inlineStr">
        <is>
          <t>yes</t>
        </is>
      </c>
      <c r="AL81" s="3" t="inlineStr">
        <is>
          <t>yes</t>
        </is>
      </c>
      <c r="AM81" s="3" t="inlineStr"/>
      <c r="AN81" s="3" t="inlineStr"/>
      <c r="AO81" s="3" t="inlineStr"/>
      <c r="AP81" s="3" t="inlineStr">
        <is>
          <t>v3_2026-03-19</t>
        </is>
      </c>
    </row>
    <row r="82">
      <c r="A82" s="3" t="inlineStr">
        <is>
          <t>Q17_A</t>
        </is>
      </c>
      <c r="B82" s="3" t="n">
        <v>17</v>
      </c>
      <c r="C82" s="3" t="n">
        <v>17</v>
      </c>
      <c r="D82" s="3" t="inlineStr">
        <is>
          <t>Core</t>
        </is>
      </c>
      <c r="E82" s="3" t="n">
        <v>1.1</v>
      </c>
      <c r="F82" s="3" t="inlineStr">
        <is>
          <t>EmotionalRegulation</t>
        </is>
      </c>
      <c r="G82" s="3" t="inlineStr">
        <is>
          <t>AttachmentSafety</t>
        </is>
      </c>
      <c r="H82" s="3" t="inlineStr">
        <is>
          <t>You're deep in conversation and they suddenly shut down or go quiet. What do you do next?</t>
        </is>
      </c>
      <c r="I82" s="3" t="inlineStr">
        <is>
          <t>A</t>
        </is>
      </c>
      <c r="J82" s="3" t="inlineStr">
        <is>
          <t>A</t>
        </is>
      </c>
      <c r="K82" s="3" t="inlineStr">
        <is>
          <t>I give them space. If they want to talk, they will. If not, I take the hint.</t>
        </is>
      </c>
      <c r="L82" s="3" t="n">
        <v>8</v>
      </c>
      <c r="M82" s="3" t="n">
        <v>8</v>
      </c>
      <c r="N82" s="3" t="n">
        <v>4</v>
      </c>
      <c r="O82" s="3" t="n">
        <v>4</v>
      </c>
      <c r="P82" s="3" t="n">
        <v>0</v>
      </c>
      <c r="Q82" s="3" t="inlineStr">
        <is>
          <t>Icebox</t>
        </is>
      </c>
      <c r="R82" s="3" t="n">
        <v>1</v>
      </c>
      <c r="S82" s="3" t="inlineStr"/>
      <c r="T82" s="3" t="inlineStr"/>
      <c r="U82" s="3" t="n">
        <v>0</v>
      </c>
      <c r="V82" s="3" t="inlineStr">
        <is>
          <t>masc:1.8;fem:-1.6</t>
        </is>
      </c>
      <c r="W82" s="3" t="n">
        <v>1.8</v>
      </c>
      <c r="X82" s="3" t="n">
        <v>-1.6</v>
      </c>
      <c r="Y82" s="3" t="inlineStr">
        <is>
          <t>COMM_Avoidant</t>
        </is>
      </c>
      <c r="Z82" s="3" t="inlineStr">
        <is>
          <t>REG_Suppressor</t>
        </is>
      </c>
      <c r="AA82" s="3" t="inlineStr">
        <is>
          <t>LANG_Time</t>
        </is>
      </c>
      <c r="AB82" s="3" t="inlineStr"/>
      <c r="AC82" s="3" t="inlineStr"/>
      <c r="AD82" s="3" t="inlineStr"/>
      <c r="AE82" s="3" t="n">
        <v>0</v>
      </c>
      <c r="AF82" s="3" t="inlineStr">
        <is>
          <t>detached cool</t>
        </is>
      </c>
      <c r="AG82" s="3" t="inlineStr">
        <is>
          <t>patient withdrawer</t>
        </is>
      </c>
      <c r="AH82" s="3" t="n">
        <v>1.2</v>
      </c>
      <c r="AI82" s="3" t="inlineStr">
        <is>
          <t>no</t>
        </is>
      </c>
      <c r="AJ82" s="3" t="inlineStr">
        <is>
          <t>no</t>
        </is>
      </c>
      <c r="AK82" s="3" t="inlineStr">
        <is>
          <t>yes</t>
        </is>
      </c>
      <c r="AL82" s="3" t="inlineStr">
        <is>
          <t>yes</t>
        </is>
      </c>
      <c r="AM82" s="3" t="inlineStr"/>
      <c r="AN82" s="3" t="inlineStr"/>
      <c r="AO82" s="3" t="inlineStr"/>
      <c r="AP82" s="3" t="inlineStr">
        <is>
          <t>v3_2026-03-19</t>
        </is>
      </c>
    </row>
    <row r="83">
      <c r="A83" s="3" t="inlineStr">
        <is>
          <t>Q17_B</t>
        </is>
      </c>
      <c r="B83" s="3" t="n">
        <v>17</v>
      </c>
      <c r="C83" s="3" t="n">
        <v>17</v>
      </c>
      <c r="D83" s="3" t="inlineStr">
        <is>
          <t>Core</t>
        </is>
      </c>
      <c r="E83" s="3" t="n">
        <v>1.1</v>
      </c>
      <c r="F83" s="3" t="inlineStr">
        <is>
          <t>EmotionalRegulation</t>
        </is>
      </c>
      <c r="G83" s="3" t="inlineStr">
        <is>
          <t>AttachmentSafety</t>
        </is>
      </c>
      <c r="H83" s="3" t="inlineStr"/>
      <c r="I83" s="3" t="inlineStr">
        <is>
          <t>B</t>
        </is>
      </c>
      <c r="J83" s="3" t="inlineStr">
        <is>
          <t>B</t>
        </is>
      </c>
      <c r="K83" s="3" t="inlineStr">
        <is>
          <t>I immediately think I said something wrong. I start scanning every word trying to figure out what triggered it.</t>
        </is>
      </c>
      <c r="L83" s="3" t="n">
        <v>4</v>
      </c>
      <c r="M83" s="3" t="n">
        <v>5</v>
      </c>
      <c r="N83" s="3" t="n">
        <v>2</v>
      </c>
      <c r="O83" s="3" t="n">
        <v>2</v>
      </c>
      <c r="P83" s="3" t="n">
        <v>2</v>
      </c>
      <c r="Q83" s="3" t="inlineStr">
        <is>
          <t>Analyzer</t>
        </is>
      </c>
      <c r="R83" s="3" t="n">
        <v>2</v>
      </c>
      <c r="S83" s="3" t="inlineStr"/>
      <c r="T83" s="3" t="inlineStr"/>
      <c r="U83" s="3" t="n">
        <v>0</v>
      </c>
      <c r="V83" s="3" t="inlineStr">
        <is>
          <t>masc:1.4;fem:0.1</t>
        </is>
      </c>
      <c r="W83" s="3" t="n">
        <v>1.4</v>
      </c>
      <c r="X83" s="3" t="n">
        <v>0.1</v>
      </c>
      <c r="Y83" s="3" t="inlineStr">
        <is>
          <t>COMM_Logical</t>
        </is>
      </c>
      <c r="Z83" s="3" t="inlineStr">
        <is>
          <t>REG_SelfSoother</t>
        </is>
      </c>
      <c r="AA83" s="3" t="inlineStr">
        <is>
          <t>LANG_Service</t>
        </is>
      </c>
      <c r="AB83" s="3" t="inlineStr">
        <is>
          <t>Vulnerability_Loop</t>
        </is>
      </c>
      <c r="AC83" s="3" t="inlineStr">
        <is>
          <t>Vulnerability_Loop</t>
        </is>
      </c>
      <c r="AD83" s="3" t="inlineStr"/>
      <c r="AE83" s="3" t="n">
        <v>5</v>
      </c>
      <c r="AF83" s="3" t="inlineStr">
        <is>
          <t>inner spiral</t>
        </is>
      </c>
      <c r="AG83" s="3" t="inlineStr">
        <is>
          <t>self-blamer</t>
        </is>
      </c>
      <c r="AH83" s="3" t="n">
        <v>0</v>
      </c>
      <c r="AI83" s="3" t="inlineStr">
        <is>
          <t>yes</t>
        </is>
      </c>
      <c r="AJ83" s="3" t="inlineStr">
        <is>
          <t>no</t>
        </is>
      </c>
      <c r="AK83" s="3" t="inlineStr">
        <is>
          <t>yes</t>
        </is>
      </c>
      <c r="AL83" s="3" t="inlineStr">
        <is>
          <t>yes</t>
        </is>
      </c>
      <c r="AM83" s="3" t="inlineStr"/>
      <c r="AN83" s="3" t="inlineStr"/>
      <c r="AO83" s="3" t="inlineStr"/>
      <c r="AP83" s="3" t="inlineStr">
        <is>
          <t>v3_2026-03-19</t>
        </is>
      </c>
    </row>
    <row r="84">
      <c r="A84" s="3" t="inlineStr">
        <is>
          <t>Q17_C</t>
        </is>
      </c>
      <c r="B84" s="3" t="n">
        <v>17</v>
      </c>
      <c r="C84" s="3" t="n">
        <v>17</v>
      </c>
      <c r="D84" s="3" t="inlineStr">
        <is>
          <t>Core</t>
        </is>
      </c>
      <c r="E84" s="3" t="n">
        <v>1.1</v>
      </c>
      <c r="F84" s="3" t="inlineStr">
        <is>
          <t>EmotionalRegulation</t>
        </is>
      </c>
      <c r="G84" s="3" t="inlineStr">
        <is>
          <t>AttachmentSafety</t>
        </is>
      </c>
      <c r="H84" s="3" t="inlineStr"/>
      <c r="I84" s="3" t="inlineStr">
        <is>
          <t>C</t>
        </is>
      </c>
      <c r="J84" s="3" t="inlineStr">
        <is>
          <t>C</t>
        </is>
      </c>
      <c r="K84" s="3" t="inlineStr">
        <is>
          <t>I'll ask once. If it's brushed off or ignored, I shift. I'm not the type to sit in someone else's silence for long.</t>
        </is>
      </c>
      <c r="L84" s="3" t="n">
        <v>9</v>
      </c>
      <c r="M84" s="3" t="n">
        <v>9</v>
      </c>
      <c r="N84" s="3" t="n">
        <v>10</v>
      </c>
      <c r="O84" s="3" t="n">
        <v>10</v>
      </c>
      <c r="P84" s="3" t="n">
        <v>10</v>
      </c>
      <c r="Q84" s="3" t="inlineStr">
        <is>
          <t>Regulated Grown-Up</t>
        </is>
      </c>
      <c r="R84" s="3" t="n">
        <v>9</v>
      </c>
      <c r="S84" s="3" t="inlineStr"/>
      <c r="T84" s="3" t="inlineStr"/>
      <c r="U84" s="3" t="n">
        <v>0</v>
      </c>
      <c r="V84" s="3" t="inlineStr">
        <is>
          <t>masc:1.1;fem:0.9</t>
        </is>
      </c>
      <c r="W84" s="3" t="n">
        <v>1.1</v>
      </c>
      <c r="X84" s="3" t="n">
        <v>0.9</v>
      </c>
      <c r="Y84" s="3" t="inlineStr">
        <is>
          <t>COMM_Direct</t>
        </is>
      </c>
      <c r="Z84" s="3" t="inlineStr">
        <is>
          <t>REG_CoRegulator</t>
        </is>
      </c>
      <c r="AA84" s="3" t="inlineStr">
        <is>
          <t>LANG_Words</t>
        </is>
      </c>
      <c r="AB84" s="3" t="inlineStr"/>
      <c r="AC84" s="3" t="inlineStr"/>
      <c r="AD84" s="3" t="inlineStr"/>
      <c r="AE84" s="3" t="n">
        <v>0</v>
      </c>
      <c r="AF84" s="3" t="inlineStr">
        <is>
          <t>direct with boundaries</t>
        </is>
      </c>
      <c r="AG84" s="3" t="inlineStr">
        <is>
          <t>firm line-setter</t>
        </is>
      </c>
      <c r="AH84" s="3" t="n">
        <v>0</v>
      </c>
      <c r="AI84" s="3" t="inlineStr">
        <is>
          <t>no</t>
        </is>
      </c>
      <c r="AJ84" s="3" t="inlineStr">
        <is>
          <t>no</t>
        </is>
      </c>
      <c r="AK84" s="3" t="inlineStr">
        <is>
          <t>yes</t>
        </is>
      </c>
      <c r="AL84" s="3" t="inlineStr">
        <is>
          <t>yes</t>
        </is>
      </c>
      <c r="AM84" s="3" t="inlineStr"/>
      <c r="AN84" s="3" t="inlineStr"/>
      <c r="AO84" s="3" t="inlineStr"/>
      <c r="AP84" s="3" t="inlineStr">
        <is>
          <t>v3_2026-03-19</t>
        </is>
      </c>
    </row>
    <row r="85">
      <c r="A85" s="3" t="inlineStr">
        <is>
          <t>Q17_D</t>
        </is>
      </c>
      <c r="B85" s="3" t="n">
        <v>17</v>
      </c>
      <c r="C85" s="3" t="n">
        <v>17</v>
      </c>
      <c r="D85" s="3" t="inlineStr">
        <is>
          <t>Core</t>
        </is>
      </c>
      <c r="E85" s="3" t="n">
        <v>1.1</v>
      </c>
      <c r="F85" s="3" t="inlineStr">
        <is>
          <t>EmotionalRegulation</t>
        </is>
      </c>
      <c r="G85" s="3" t="inlineStr">
        <is>
          <t>AttachmentSafety</t>
        </is>
      </c>
      <c r="H85" s="3" t="inlineStr"/>
      <c r="I85" s="3" t="inlineStr">
        <is>
          <t>D</t>
        </is>
      </c>
      <c r="J85" s="3" t="inlineStr">
        <is>
          <t>D</t>
        </is>
      </c>
      <c r="K85" s="3" t="inlineStr">
        <is>
          <t>I try to keep the mood up, shift the subject, make it feel less tense, even if I'm freaking out a little inside.</t>
        </is>
      </c>
      <c r="L85" s="3" t="n">
        <v>6</v>
      </c>
      <c r="M85" s="3" t="n">
        <v>7</v>
      </c>
      <c r="N85" s="3" t="n">
        <v>4</v>
      </c>
      <c r="O85" s="3" t="n">
        <v>4</v>
      </c>
      <c r="P85" s="3" t="n">
        <v>2</v>
      </c>
      <c r="Q85" s="3" t="inlineStr">
        <is>
          <t>Performer</t>
        </is>
      </c>
      <c r="R85" s="3" t="n">
        <v>7</v>
      </c>
      <c r="S85" s="3" t="inlineStr"/>
      <c r="T85" s="3" t="inlineStr"/>
      <c r="U85" s="3" t="n">
        <v>0</v>
      </c>
      <c r="V85" s="3" t="inlineStr">
        <is>
          <t>masc:0.3;fem:0.5</t>
        </is>
      </c>
      <c r="W85" s="3" t="n">
        <v>0.3</v>
      </c>
      <c r="X85" s="3" t="n">
        <v>0.5</v>
      </c>
      <c r="Y85" s="3" t="inlineStr">
        <is>
          <t>COMM_Indirect</t>
        </is>
      </c>
      <c r="Z85" s="3" t="inlineStr">
        <is>
          <t>REG_Distractor</t>
        </is>
      </c>
      <c r="AA85" s="3" t="inlineStr">
        <is>
          <t>LANG_Gifts</t>
        </is>
      </c>
      <c r="AB85" s="3" t="inlineStr">
        <is>
          <t>Vulnerability_Loop</t>
        </is>
      </c>
      <c r="AC85" s="3" t="inlineStr">
        <is>
          <t>Vulnerability_Loop</t>
        </is>
      </c>
      <c r="AD85" s="3" t="inlineStr"/>
      <c r="AE85" s="3" t="n">
        <v>5</v>
      </c>
      <c r="AF85" s="3" t="inlineStr">
        <is>
          <t>smooth cover-up</t>
        </is>
      </c>
      <c r="AG85" s="3" t="inlineStr">
        <is>
          <t>tension diffuser</t>
        </is>
      </c>
      <c r="AH85" s="3" t="n">
        <v>0</v>
      </c>
      <c r="AI85" s="3" t="inlineStr">
        <is>
          <t>yes</t>
        </is>
      </c>
      <c r="AJ85" s="3" t="inlineStr">
        <is>
          <t>no</t>
        </is>
      </c>
      <c r="AK85" s="3" t="inlineStr">
        <is>
          <t>yes</t>
        </is>
      </c>
      <c r="AL85" s="3" t="inlineStr">
        <is>
          <t>yes</t>
        </is>
      </c>
      <c r="AM85" s="3" t="inlineStr"/>
      <c r="AN85" s="3" t="inlineStr"/>
      <c r="AO85" s="3" t="inlineStr"/>
      <c r="AP85" s="3" t="inlineStr">
        <is>
          <t>v3_2026-03-19</t>
        </is>
      </c>
    </row>
    <row r="86">
      <c r="A86" s="3" t="inlineStr">
        <is>
          <t>Q17_E</t>
        </is>
      </c>
      <c r="B86" s="3" t="n">
        <v>17</v>
      </c>
      <c r="C86" s="3" t="n">
        <v>17</v>
      </c>
      <c r="D86" s="3" t="inlineStr">
        <is>
          <t>Core</t>
        </is>
      </c>
      <c r="E86" s="3" t="n">
        <v>1.1</v>
      </c>
      <c r="F86" s="3" t="inlineStr">
        <is>
          <t>EmotionalRegulation</t>
        </is>
      </c>
      <c r="G86" s="3" t="inlineStr">
        <is>
          <t>AttachmentSafety</t>
        </is>
      </c>
      <c r="H86" s="3" t="inlineStr"/>
      <c r="I86" s="3" t="inlineStr">
        <is>
          <t>E</t>
        </is>
      </c>
      <c r="J86" s="3" t="inlineStr">
        <is>
          <t>E</t>
        </is>
      </c>
      <c r="K86" s="3" t="inlineStr">
        <is>
          <t>I feel it, but I don't say anything. I stay present, hoping they'll come back to me on their own.</t>
        </is>
      </c>
      <c r="L86" s="3" t="n">
        <v>6</v>
      </c>
      <c r="M86" s="3" t="n">
        <v>6</v>
      </c>
      <c r="N86" s="3" t="n">
        <v>4</v>
      </c>
      <c r="O86" s="3" t="n">
        <v>4</v>
      </c>
      <c r="P86" s="3" t="n">
        <v>4</v>
      </c>
      <c r="Q86" s="3" t="inlineStr">
        <is>
          <t>Translator</t>
        </is>
      </c>
      <c r="R86" s="3" t="n">
        <v>3</v>
      </c>
      <c r="S86" s="3" t="inlineStr"/>
      <c r="T86" s="3" t="inlineStr"/>
      <c r="U86" s="3" t="n">
        <v>0</v>
      </c>
      <c r="V86" s="3" t="inlineStr">
        <is>
          <t>masc:-0.1;fem:1.6</t>
        </is>
      </c>
      <c r="W86" s="3" t="n">
        <v>-0.1</v>
      </c>
      <c r="X86" s="3" t="n">
        <v>1.6</v>
      </c>
      <c r="Y86" s="3" t="inlineStr">
        <is>
          <t>COMM_Indirect</t>
        </is>
      </c>
      <c r="Z86" s="3" t="inlineStr">
        <is>
          <t>REG_CoRegulator</t>
        </is>
      </c>
      <c r="AA86" s="3" t="inlineStr">
        <is>
          <t>LANG_Words</t>
        </is>
      </c>
      <c r="AB86" s="3" t="inlineStr">
        <is>
          <t>Vulnerability_Loop</t>
        </is>
      </c>
      <c r="AC86" s="3" t="inlineStr">
        <is>
          <t>Vulnerability_Loop</t>
        </is>
      </c>
      <c r="AD86" s="3" t="inlineStr"/>
      <c r="AE86" s="3" t="n">
        <v>5</v>
      </c>
      <c r="AF86" s="3" t="inlineStr">
        <is>
          <t>gentle waiter</t>
        </is>
      </c>
      <c r="AG86" s="3" t="inlineStr">
        <is>
          <t>silent holder</t>
        </is>
      </c>
      <c r="AH86" s="3" t="n">
        <v>0.6</v>
      </c>
      <c r="AI86" s="3" t="inlineStr">
        <is>
          <t>yes</t>
        </is>
      </c>
      <c r="AJ86" s="3" t="inlineStr">
        <is>
          <t>no</t>
        </is>
      </c>
      <c r="AK86" s="3" t="inlineStr">
        <is>
          <t>yes</t>
        </is>
      </c>
      <c r="AL86" s="3" t="inlineStr">
        <is>
          <t>yes</t>
        </is>
      </c>
      <c r="AM86" s="3" t="inlineStr"/>
      <c r="AN86" s="3" t="inlineStr"/>
      <c r="AO86" s="3" t="inlineStr"/>
      <c r="AP86" s="3" t="inlineStr">
        <is>
          <t>v3_2026-03-19</t>
        </is>
      </c>
    </row>
    <row r="87">
      <c r="A87" s="3" t="inlineStr">
        <is>
          <t>Q18_A</t>
        </is>
      </c>
      <c r="B87" s="3" t="n">
        <v>18</v>
      </c>
      <c r="C87" s="3" t="n">
        <v>18</v>
      </c>
      <c r="D87" s="3" t="inlineStr">
        <is>
          <t>Core</t>
        </is>
      </c>
      <c r="E87" s="3" t="n">
        <v>1.1</v>
      </c>
      <c r="F87" s="3" t="inlineStr">
        <is>
          <t>EmotionalRegulation</t>
        </is>
      </c>
      <c r="G87" s="3" t="inlineStr">
        <is>
          <t>AttachmentSafety</t>
        </is>
      </c>
      <c r="H87" s="3" t="inlineStr">
        <is>
          <t>They open up to you-then start pulling back. No explanation, just distance. What do you do with that shift?</t>
        </is>
      </c>
      <c r="I87" s="3" t="inlineStr">
        <is>
          <t>A</t>
        </is>
      </c>
      <c r="J87" s="3" t="inlineStr">
        <is>
          <t>A</t>
        </is>
      </c>
      <c r="K87" s="3" t="inlineStr">
        <is>
          <t>I match the energy. You pull back? I pull back faster. I've learned not to chase clarity from people who hide when it gets real.</t>
        </is>
      </c>
      <c r="L87" s="3" t="n">
        <v>7</v>
      </c>
      <c r="M87" s="3" t="n">
        <v>8</v>
      </c>
      <c r="N87" s="3" t="n">
        <v>4</v>
      </c>
      <c r="O87" s="3" t="n">
        <v>4</v>
      </c>
      <c r="P87" s="3" t="n">
        <v>0</v>
      </c>
      <c r="Q87" s="3" t="inlineStr">
        <is>
          <t>Icebox</t>
        </is>
      </c>
      <c r="R87" s="3" t="n">
        <v>1</v>
      </c>
      <c r="S87" s="3" t="inlineStr"/>
      <c r="T87" s="3" t="inlineStr"/>
      <c r="U87" s="3" t="n">
        <v>0</v>
      </c>
      <c r="V87" s="3" t="inlineStr">
        <is>
          <t>masc:1.8;fem:-1.6</t>
        </is>
      </c>
      <c r="W87" s="3" t="n">
        <v>1.8</v>
      </c>
      <c r="X87" s="3" t="n">
        <v>-1.6</v>
      </c>
      <c r="Y87" s="3" t="inlineStr">
        <is>
          <t>COMM_Avoidant</t>
        </is>
      </c>
      <c r="Z87" s="3" t="inlineStr">
        <is>
          <t>REG_Suppressor</t>
        </is>
      </c>
      <c r="AA87" s="3" t="inlineStr">
        <is>
          <t>LANG_Time</t>
        </is>
      </c>
      <c r="AB87" s="3" t="inlineStr"/>
      <c r="AC87" s="3" t="inlineStr"/>
      <c r="AD87" s="3" t="inlineStr"/>
      <c r="AE87" s="3" t="n">
        <v>0</v>
      </c>
      <c r="AF87" s="3" t="inlineStr">
        <is>
          <t>fast mirror exit</t>
        </is>
      </c>
      <c r="AG87" s="3" t="inlineStr">
        <is>
          <t>decisive mirror</t>
        </is>
      </c>
      <c r="AH87" s="3" t="n">
        <v>0.8</v>
      </c>
      <c r="AI87" s="3" t="inlineStr">
        <is>
          <t>no</t>
        </is>
      </c>
      <c r="AJ87" s="3" t="inlineStr">
        <is>
          <t>no</t>
        </is>
      </c>
      <c r="AK87" s="3" t="inlineStr">
        <is>
          <t>yes</t>
        </is>
      </c>
      <c r="AL87" s="3" t="inlineStr">
        <is>
          <t>yes</t>
        </is>
      </c>
      <c r="AM87" s="3" t="inlineStr"/>
      <c r="AN87" s="3" t="inlineStr"/>
      <c r="AO87" s="3" t="inlineStr"/>
      <c r="AP87" s="3" t="inlineStr">
        <is>
          <t>v3_2026-03-19</t>
        </is>
      </c>
    </row>
    <row r="88">
      <c r="A88" s="3" t="inlineStr">
        <is>
          <t>Q18_B</t>
        </is>
      </c>
      <c r="B88" s="3" t="n">
        <v>18</v>
      </c>
      <c r="C88" s="3" t="n">
        <v>18</v>
      </c>
      <c r="D88" s="3" t="inlineStr">
        <is>
          <t>Core</t>
        </is>
      </c>
      <c r="E88" s="3" t="n">
        <v>1.1</v>
      </c>
      <c r="F88" s="3" t="inlineStr">
        <is>
          <t>EmotionalRegulation</t>
        </is>
      </c>
      <c r="G88" s="3" t="inlineStr">
        <is>
          <t>AttachmentSafety</t>
        </is>
      </c>
      <c r="H88" s="3" t="inlineStr"/>
      <c r="I88" s="3" t="inlineStr">
        <is>
          <t>B</t>
        </is>
      </c>
      <c r="J88" s="3" t="inlineStr">
        <is>
          <t>B</t>
        </is>
      </c>
      <c r="K88" s="3" t="inlineStr">
        <is>
          <t>I start thinking I pushed too far. I replay the moment, wondering what I said that made them go quiet. It usually ends with me blaming myself.</t>
        </is>
      </c>
      <c r="L88" s="3" t="n">
        <v>4</v>
      </c>
      <c r="M88" s="3" t="n">
        <v>5</v>
      </c>
      <c r="N88" s="3" t="n">
        <v>2</v>
      </c>
      <c r="O88" s="3" t="n">
        <v>2</v>
      </c>
      <c r="P88" s="3" t="n">
        <v>2</v>
      </c>
      <c r="Q88" s="3" t="inlineStr">
        <is>
          <t>Analyzer</t>
        </is>
      </c>
      <c r="R88" s="3" t="n">
        <v>2</v>
      </c>
      <c r="S88" s="3" t="inlineStr"/>
      <c r="T88" s="3" t="inlineStr"/>
      <c r="U88" s="3" t="n">
        <v>0</v>
      </c>
      <c r="V88" s="3" t="inlineStr">
        <is>
          <t>masc:1.4;fem:0.1</t>
        </is>
      </c>
      <c r="W88" s="3" t="n">
        <v>1.4</v>
      </c>
      <c r="X88" s="3" t="n">
        <v>0.1</v>
      </c>
      <c r="Y88" s="3" t="inlineStr">
        <is>
          <t>COMM_Logical</t>
        </is>
      </c>
      <c r="Z88" s="3" t="inlineStr">
        <is>
          <t>REG_SelfSoother</t>
        </is>
      </c>
      <c r="AA88" s="3" t="inlineStr">
        <is>
          <t>LANG_Service</t>
        </is>
      </c>
      <c r="AB88" s="3" t="inlineStr">
        <is>
          <t>Vulnerability_Loop</t>
        </is>
      </c>
      <c r="AC88" s="3" t="inlineStr">
        <is>
          <t>Vulnerability_Loop</t>
        </is>
      </c>
      <c r="AD88" s="3" t="inlineStr"/>
      <c r="AE88" s="3" t="n">
        <v>5</v>
      </c>
      <c r="AF88" s="3" t="inlineStr">
        <is>
          <t>shame loop</t>
        </is>
      </c>
      <c r="AG88" s="3" t="inlineStr">
        <is>
          <t>self-blamer</t>
        </is>
      </c>
      <c r="AH88" s="3" t="n">
        <v>0</v>
      </c>
      <c r="AI88" s="3" t="inlineStr">
        <is>
          <t>yes</t>
        </is>
      </c>
      <c r="AJ88" s="3" t="inlineStr">
        <is>
          <t>no</t>
        </is>
      </c>
      <c r="AK88" s="3" t="inlineStr">
        <is>
          <t>yes</t>
        </is>
      </c>
      <c r="AL88" s="3" t="inlineStr">
        <is>
          <t>yes</t>
        </is>
      </c>
      <c r="AM88" s="3" t="inlineStr"/>
      <c r="AN88" s="3" t="inlineStr"/>
      <c r="AO88" s="3" t="inlineStr"/>
      <c r="AP88" s="3" t="inlineStr">
        <is>
          <t>v3_2026-03-19</t>
        </is>
      </c>
    </row>
    <row r="89">
      <c r="A89" s="3" t="inlineStr">
        <is>
          <t>Q18_C</t>
        </is>
      </c>
      <c r="B89" s="3" t="n">
        <v>18</v>
      </c>
      <c r="C89" s="3" t="n">
        <v>18</v>
      </c>
      <c r="D89" s="3" t="inlineStr">
        <is>
          <t>Core</t>
        </is>
      </c>
      <c r="E89" s="3" t="n">
        <v>1.1</v>
      </c>
      <c r="F89" s="3" t="inlineStr">
        <is>
          <t>EmotionalRegulation</t>
        </is>
      </c>
      <c r="G89" s="3" t="inlineStr">
        <is>
          <t>AttachmentSafety</t>
        </is>
      </c>
      <c r="H89" s="3" t="inlineStr"/>
      <c r="I89" s="3" t="inlineStr">
        <is>
          <t>C</t>
        </is>
      </c>
      <c r="J89" s="3" t="inlineStr">
        <is>
          <t>C</t>
        </is>
      </c>
      <c r="K89" s="3" t="inlineStr">
        <is>
          <t>I wait. Sometimes people get scared when they feel seen, I don't want to add pressure, but I definitely notice the change.</t>
        </is>
      </c>
      <c r="L89" s="3" t="n">
        <v>7</v>
      </c>
      <c r="M89" s="3" t="n">
        <v>8</v>
      </c>
      <c r="N89" s="3" t="n">
        <v>6</v>
      </c>
      <c r="O89" s="3" t="n">
        <v>6</v>
      </c>
      <c r="P89" s="3" t="n">
        <v>4</v>
      </c>
      <c r="Q89" s="3" t="inlineStr">
        <is>
          <t>Romantic Idealist</t>
        </is>
      </c>
      <c r="R89" s="3" t="n">
        <v>6</v>
      </c>
      <c r="S89" s="3" t="inlineStr"/>
      <c r="T89" s="3" t="inlineStr"/>
      <c r="U89" s="3" t="n">
        <v>0</v>
      </c>
      <c r="V89" s="3" t="inlineStr">
        <is>
          <t>masc:-0.4;fem:1.5</t>
        </is>
      </c>
      <c r="W89" s="3" t="n">
        <v>-0.4</v>
      </c>
      <c r="X89" s="3" t="n">
        <v>1.5</v>
      </c>
      <c r="Y89" s="3" t="inlineStr">
        <is>
          <t>COMM_Emotional</t>
        </is>
      </c>
      <c r="Z89" s="3" t="inlineStr">
        <is>
          <t>REG_Distractor</t>
        </is>
      </c>
      <c r="AA89" s="3" t="inlineStr">
        <is>
          <t>LANG_Gifts</t>
        </is>
      </c>
      <c r="AB89" s="3" t="inlineStr"/>
      <c r="AC89" s="3" t="inlineStr"/>
      <c r="AD89" s="3" t="inlineStr"/>
      <c r="AE89" s="3" t="n">
        <v>0</v>
      </c>
      <c r="AF89" s="3" t="inlineStr">
        <is>
          <t>patient rationalizer</t>
        </is>
      </c>
      <c r="AG89" s="3" t="inlineStr">
        <is>
          <t>hopeful waiter</t>
        </is>
      </c>
      <c r="AH89" s="3" t="n">
        <v>0</v>
      </c>
      <c r="AI89" s="3" t="inlineStr">
        <is>
          <t>no</t>
        </is>
      </c>
      <c r="AJ89" s="3" t="inlineStr">
        <is>
          <t>no</t>
        </is>
      </c>
      <c r="AK89" s="3" t="inlineStr">
        <is>
          <t>yes</t>
        </is>
      </c>
      <c r="AL89" s="3" t="inlineStr">
        <is>
          <t>yes</t>
        </is>
      </c>
      <c r="AM89" s="3" t="inlineStr"/>
      <c r="AN89" s="3" t="inlineStr"/>
      <c r="AO89" s="3" t="inlineStr"/>
      <c r="AP89" s="3" t="inlineStr">
        <is>
          <t>v3_2026-03-19</t>
        </is>
      </c>
    </row>
    <row r="90">
      <c r="A90" s="3" t="inlineStr">
        <is>
          <t>Q18_D</t>
        </is>
      </c>
      <c r="B90" s="3" t="n">
        <v>18</v>
      </c>
      <c r="C90" s="3" t="n">
        <v>18</v>
      </c>
      <c r="D90" s="3" t="inlineStr">
        <is>
          <t>Core</t>
        </is>
      </c>
      <c r="E90" s="3" t="n">
        <v>1.1</v>
      </c>
      <c r="F90" s="3" t="inlineStr">
        <is>
          <t>EmotionalRegulation</t>
        </is>
      </c>
      <c r="G90" s="3" t="inlineStr">
        <is>
          <t>AttachmentSafety</t>
        </is>
      </c>
      <c r="H90" s="3" t="inlineStr"/>
      <c r="I90" s="3" t="inlineStr">
        <is>
          <t>D</t>
        </is>
      </c>
      <c r="J90" s="3" t="inlineStr">
        <is>
          <t>D</t>
        </is>
      </c>
      <c r="K90" s="3" t="inlineStr">
        <is>
          <t>I go into fix-it mode. Check in more. Try to feel lighter, easier, more fun, anything to bring us back to how it felt before.</t>
        </is>
      </c>
      <c r="L90" s="3" t="n">
        <v>5</v>
      </c>
      <c r="M90" s="3" t="n">
        <v>6</v>
      </c>
      <c r="N90" s="3" t="n">
        <v>4</v>
      </c>
      <c r="O90" s="3" t="n">
        <v>4</v>
      </c>
      <c r="P90" s="3" t="n">
        <v>4</v>
      </c>
      <c r="Q90" s="3" t="inlineStr">
        <is>
          <t>Fixer</t>
        </is>
      </c>
      <c r="R90" s="3" t="n">
        <v>5</v>
      </c>
      <c r="S90" s="3" t="inlineStr"/>
      <c r="T90" s="3" t="inlineStr"/>
      <c r="U90" s="3" t="n">
        <v>0</v>
      </c>
      <c r="V90" s="3" t="inlineStr">
        <is>
          <t>masc:-0.4;fem:2.0</t>
        </is>
      </c>
      <c r="W90" s="3" t="n">
        <v>-0.4</v>
      </c>
      <c r="X90" s="3" t="n">
        <v>2</v>
      </c>
      <c r="Y90" s="3" t="inlineStr">
        <is>
          <t>COMM_Emotional</t>
        </is>
      </c>
      <c r="Z90" s="3" t="inlineStr">
        <is>
          <t>REG_CoRegulator</t>
        </is>
      </c>
      <c r="AA90" s="3" t="inlineStr">
        <is>
          <t>LANG_Service</t>
        </is>
      </c>
      <c r="AB90" s="3" t="inlineStr">
        <is>
          <t>Vulnerability_Loop</t>
        </is>
      </c>
      <c r="AC90" s="3" t="inlineStr">
        <is>
          <t>Vulnerability_Loop</t>
        </is>
      </c>
      <c r="AD90" s="3" t="inlineStr"/>
      <c r="AE90" s="3" t="n">
        <v>5</v>
      </c>
      <c r="AF90" s="3" t="inlineStr">
        <is>
          <t>emotional reset attempt</t>
        </is>
      </c>
      <c r="AG90" s="3" t="inlineStr">
        <is>
          <t>overcompensator</t>
        </is>
      </c>
      <c r="AH90" s="3" t="n">
        <v>0</v>
      </c>
      <c r="AI90" s="3" t="inlineStr">
        <is>
          <t>yes</t>
        </is>
      </c>
      <c r="AJ90" s="3" t="inlineStr">
        <is>
          <t>no</t>
        </is>
      </c>
      <c r="AK90" s="3" t="inlineStr">
        <is>
          <t>yes</t>
        </is>
      </c>
      <c r="AL90" s="3" t="inlineStr">
        <is>
          <t>yes</t>
        </is>
      </c>
      <c r="AM90" s="3" t="inlineStr"/>
      <c r="AN90" s="3" t="inlineStr"/>
      <c r="AO90" s="3" t="inlineStr"/>
      <c r="AP90" s="3" t="inlineStr">
        <is>
          <t>v3_2026-03-19</t>
        </is>
      </c>
    </row>
    <row r="91">
      <c r="A91" s="3" t="inlineStr">
        <is>
          <t>Q18_E</t>
        </is>
      </c>
      <c r="B91" s="3" t="n">
        <v>18</v>
      </c>
      <c r="C91" s="3" t="n">
        <v>18</v>
      </c>
      <c r="D91" s="3" t="inlineStr">
        <is>
          <t>Core</t>
        </is>
      </c>
      <c r="E91" s="3" t="n">
        <v>1.1</v>
      </c>
      <c r="F91" s="3" t="inlineStr">
        <is>
          <t>EmotionalRegulation</t>
        </is>
      </c>
      <c r="G91" s="3" t="inlineStr">
        <is>
          <t>AttachmentSafety</t>
        </is>
      </c>
      <c r="H91" s="3" t="inlineStr"/>
      <c r="I91" s="3" t="inlineStr">
        <is>
          <t>E</t>
        </is>
      </c>
      <c r="J91" s="3" t="inlineStr">
        <is>
          <t>E</t>
        </is>
      </c>
      <c r="K91" s="3" t="inlineStr">
        <is>
          <t>I make myself busy. I don't ask, I don't chase. But I clock it. I'll still be polite, but they won't get the same version of me again.</t>
        </is>
      </c>
      <c r="L91" s="3" t="n">
        <v>7</v>
      </c>
      <c r="M91" s="3" t="n">
        <v>8</v>
      </c>
      <c r="N91" s="3" t="n">
        <v>4</v>
      </c>
      <c r="O91" s="3" t="n">
        <v>4</v>
      </c>
      <c r="P91" s="3" t="n">
        <v>0</v>
      </c>
      <c r="Q91" s="3" t="inlineStr">
        <is>
          <t>Quiet Exit</t>
        </is>
      </c>
      <c r="R91" s="3" t="n">
        <v>4</v>
      </c>
      <c r="S91" s="3" t="inlineStr"/>
      <c r="T91" s="3" t="inlineStr"/>
      <c r="U91" s="3" t="n">
        <v>0</v>
      </c>
      <c r="V91" s="3" t="inlineStr">
        <is>
          <t>masc:1.4;fem:-1.3</t>
        </is>
      </c>
      <c r="W91" s="3" t="n">
        <v>1.4</v>
      </c>
      <c r="X91" s="3" t="n">
        <v>-1.3</v>
      </c>
      <c r="Y91" s="3" t="inlineStr">
        <is>
          <t>COMM_Avoidant</t>
        </is>
      </c>
      <c r="Z91" s="3" t="inlineStr">
        <is>
          <t>REG_Suppressor</t>
        </is>
      </c>
      <c r="AA91" s="3" t="inlineStr">
        <is>
          <t>LANG_Time</t>
        </is>
      </c>
      <c r="AB91" s="3" t="inlineStr"/>
      <c r="AC91" s="3" t="inlineStr"/>
      <c r="AD91" s="3" t="inlineStr"/>
      <c r="AE91" s="3" t="n">
        <v>0</v>
      </c>
      <c r="AF91" s="3" t="inlineStr">
        <is>
          <t>soft lockdown</t>
        </is>
      </c>
      <c r="AG91" s="3" t="inlineStr">
        <is>
          <t>guarded exit</t>
        </is>
      </c>
      <c r="AH91" s="3" t="n">
        <v>0</v>
      </c>
      <c r="AI91" s="3" t="inlineStr">
        <is>
          <t>no</t>
        </is>
      </c>
      <c r="AJ91" s="3" t="inlineStr">
        <is>
          <t>no</t>
        </is>
      </c>
      <c r="AK91" s="3" t="inlineStr">
        <is>
          <t>yes</t>
        </is>
      </c>
      <c r="AL91" s="3" t="inlineStr">
        <is>
          <t>yes</t>
        </is>
      </c>
      <c r="AM91" s="3" t="inlineStr"/>
      <c r="AN91" s="3" t="inlineStr"/>
      <c r="AO91" s="3" t="inlineStr"/>
      <c r="AP91" s="3" t="inlineStr">
        <is>
          <t>v3_2026-03-19</t>
        </is>
      </c>
    </row>
    <row r="92">
      <c r="A92" s="3" t="inlineStr">
        <is>
          <t>Q19_A</t>
        </is>
      </c>
      <c r="B92" s="3" t="n">
        <v>19</v>
      </c>
      <c r="C92" s="3" t="n">
        <v>19</v>
      </c>
      <c r="D92" s="3" t="inlineStr">
        <is>
          <t>Core</t>
        </is>
      </c>
      <c r="E92" s="3" t="n">
        <v>1.1</v>
      </c>
      <c r="F92" s="3" t="inlineStr">
        <is>
          <t>EmotionalRegulation</t>
        </is>
      </c>
      <c r="G92" s="3" t="inlineStr">
        <is>
          <t>AttachmentSafety</t>
        </is>
      </c>
      <c r="H92" s="3" t="inlineStr">
        <is>
          <t>You're starting to really like them. But they haven't asked much about you. How do you handle that imbalance?</t>
        </is>
      </c>
      <c r="I92" s="3" t="inlineStr">
        <is>
          <t>A</t>
        </is>
      </c>
      <c r="J92" s="3" t="inlineStr">
        <is>
          <t>A</t>
        </is>
      </c>
      <c r="K92" s="3" t="inlineStr">
        <is>
          <t>I clock it. If they're not curious, they're not serious. I don't make speeches, I just start pulling back and let them figure it out.</t>
        </is>
      </c>
      <c r="L92" s="3" t="n">
        <v>8</v>
      </c>
      <c r="M92" s="3" t="n">
        <v>9</v>
      </c>
      <c r="N92" s="3" t="n">
        <v>4</v>
      </c>
      <c r="O92" s="3" t="n">
        <v>6</v>
      </c>
      <c r="P92" s="3" t="n">
        <v>2</v>
      </c>
      <c r="Q92" s="3" t="inlineStr">
        <is>
          <t>Icebox</t>
        </is>
      </c>
      <c r="R92" s="3" t="n">
        <v>1</v>
      </c>
      <c r="S92" s="3" t="inlineStr"/>
      <c r="T92" s="3" t="inlineStr"/>
      <c r="U92" s="3" t="n">
        <v>0</v>
      </c>
      <c r="V92" s="3" t="inlineStr">
        <is>
          <t>masc:1.8;fem:-1.6</t>
        </is>
      </c>
      <c r="W92" s="3" t="n">
        <v>1.8</v>
      </c>
      <c r="X92" s="3" t="n">
        <v>-1.6</v>
      </c>
      <c r="Y92" s="3" t="inlineStr">
        <is>
          <t>COMM_Avoidant</t>
        </is>
      </c>
      <c r="Z92" s="3" t="inlineStr">
        <is>
          <t>REG_Suppressor</t>
        </is>
      </c>
      <c r="AA92" s="3" t="inlineStr">
        <is>
          <t>LANG_Time</t>
        </is>
      </c>
      <c r="AB92" s="3" t="inlineStr"/>
      <c r="AC92" s="3" t="inlineStr"/>
      <c r="AD92" s="3" t="inlineStr"/>
      <c r="AE92" s="3" t="n">
        <v>0</v>
      </c>
      <c r="AF92" s="3" t="inlineStr">
        <is>
          <t>quiet disengagement</t>
        </is>
      </c>
      <c r="AG92" s="3" t="inlineStr">
        <is>
          <t>measured pullback</t>
        </is>
      </c>
      <c r="AH92" s="3" t="n">
        <v>0</v>
      </c>
      <c r="AI92" s="3" t="inlineStr">
        <is>
          <t>no</t>
        </is>
      </c>
      <c r="AJ92" s="3" t="inlineStr">
        <is>
          <t>no</t>
        </is>
      </c>
      <c r="AK92" s="3" t="inlineStr">
        <is>
          <t>yes</t>
        </is>
      </c>
      <c r="AL92" s="3" t="inlineStr">
        <is>
          <t>yes</t>
        </is>
      </c>
      <c r="AM92" s="3" t="inlineStr"/>
      <c r="AN92" s="3" t="inlineStr"/>
      <c r="AO92" s="3" t="inlineStr"/>
      <c r="AP92" s="3" t="inlineStr">
        <is>
          <t>v3_2026-03-19</t>
        </is>
      </c>
    </row>
    <row r="93">
      <c r="A93" s="3" t="inlineStr">
        <is>
          <t>Q19_B</t>
        </is>
      </c>
      <c r="B93" s="3" t="n">
        <v>19</v>
      </c>
      <c r="C93" s="3" t="n">
        <v>19</v>
      </c>
      <c r="D93" s="3" t="inlineStr">
        <is>
          <t>Core</t>
        </is>
      </c>
      <c r="E93" s="3" t="n">
        <v>1.1</v>
      </c>
      <c r="F93" s="3" t="inlineStr">
        <is>
          <t>EmotionalRegulation</t>
        </is>
      </c>
      <c r="G93" s="3" t="inlineStr">
        <is>
          <t>AttachmentSafety</t>
        </is>
      </c>
      <c r="H93" s="3" t="inlineStr"/>
      <c r="I93" s="3" t="inlineStr">
        <is>
          <t>B</t>
        </is>
      </c>
      <c r="J93" s="3" t="inlineStr">
        <is>
          <t>B</t>
        </is>
      </c>
      <c r="K93" s="3" t="inlineStr">
        <is>
          <t>I start telling little stories about myself anyway, hoping they'll finally ask more. When they don't, it stings more than I let on.</t>
        </is>
      </c>
      <c r="L93" s="3" t="n">
        <v>5</v>
      </c>
      <c r="M93" s="3" t="n">
        <v>6</v>
      </c>
      <c r="N93" s="3" t="n">
        <v>2</v>
      </c>
      <c r="O93" s="3" t="n">
        <v>2</v>
      </c>
      <c r="P93" s="3" t="n">
        <v>0</v>
      </c>
      <c r="Q93" s="3" t="inlineStr">
        <is>
          <t>Phantom Seeker</t>
        </is>
      </c>
      <c r="R93" s="3" t="n">
        <v>10</v>
      </c>
      <c r="S93" s="3" t="inlineStr"/>
      <c r="T93" s="3" t="inlineStr"/>
      <c r="U93" s="3" t="n">
        <v>0</v>
      </c>
      <c r="V93" s="3" t="inlineStr">
        <is>
          <t>masc:-0.2;fem:1.5</t>
        </is>
      </c>
      <c r="W93" s="3" t="n">
        <v>-0.2</v>
      </c>
      <c r="X93" s="3" t="n">
        <v>1.5</v>
      </c>
      <c r="Y93" s="3" t="inlineStr">
        <is>
          <t>COMM_Emotional</t>
        </is>
      </c>
      <c r="Z93" s="3" t="inlineStr">
        <is>
          <t>REG_SelfSoother</t>
        </is>
      </c>
      <c r="AA93" s="3" t="inlineStr">
        <is>
          <t>LANG_Touch</t>
        </is>
      </c>
      <c r="AB93" s="3" t="inlineStr">
        <is>
          <t>Scorekeeping_Echo</t>
        </is>
      </c>
      <c r="AC93" s="3" t="inlineStr">
        <is>
          <t>Scorekeeping_Echo</t>
        </is>
      </c>
      <c r="AD93" s="3" t="inlineStr"/>
      <c r="AE93" s="3" t="n">
        <v>8</v>
      </c>
      <c r="AF93" s="3" t="inlineStr">
        <is>
          <t>indirect yearning</t>
        </is>
      </c>
      <c r="AG93" s="3" t="inlineStr">
        <is>
          <t>subtle tester</t>
        </is>
      </c>
      <c r="AH93" s="3" t="n">
        <v>0.2</v>
      </c>
      <c r="AI93" s="3" t="inlineStr">
        <is>
          <t>yes</t>
        </is>
      </c>
      <c r="AJ93" s="3" t="inlineStr">
        <is>
          <t>no</t>
        </is>
      </c>
      <c r="AK93" s="3" t="inlineStr">
        <is>
          <t>yes</t>
        </is>
      </c>
      <c r="AL93" s="3" t="inlineStr">
        <is>
          <t>yes</t>
        </is>
      </c>
      <c r="AM93" s="3" t="inlineStr"/>
      <c r="AN93" s="3" t="inlineStr"/>
      <c r="AO93" s="3" t="inlineStr"/>
      <c r="AP93" s="3" t="inlineStr">
        <is>
          <t>v3_2026-03-19</t>
        </is>
      </c>
    </row>
    <row r="94">
      <c r="A94" s="3" t="inlineStr">
        <is>
          <t>Q19_C</t>
        </is>
      </c>
      <c r="B94" s="3" t="n">
        <v>19</v>
      </c>
      <c r="C94" s="3" t="n">
        <v>19</v>
      </c>
      <c r="D94" s="3" t="inlineStr">
        <is>
          <t>Core</t>
        </is>
      </c>
      <c r="E94" s="3" t="n">
        <v>1.1</v>
      </c>
      <c r="F94" s="3" t="inlineStr">
        <is>
          <t>EmotionalRegulation</t>
        </is>
      </c>
      <c r="G94" s="3" t="inlineStr">
        <is>
          <t>AttachmentSafety</t>
        </is>
      </c>
      <c r="H94" s="3" t="inlineStr"/>
      <c r="I94" s="3" t="inlineStr">
        <is>
          <t>C</t>
        </is>
      </c>
      <c r="J94" s="3" t="inlineStr">
        <is>
          <t>C</t>
        </is>
      </c>
      <c r="K94" s="3" t="inlineStr">
        <is>
          <t>I keep the conversation going but note the pattern. If it keeps feeling one-sided, I stop investing. Curiosity should go both ways.</t>
        </is>
      </c>
      <c r="L94" s="3" t="n">
        <v>7</v>
      </c>
      <c r="M94" s="3" t="n">
        <v>8</v>
      </c>
      <c r="N94" s="3" t="n">
        <v>6</v>
      </c>
      <c r="O94" s="3" t="n">
        <v>8</v>
      </c>
      <c r="P94" s="3" t="n">
        <v>6</v>
      </c>
      <c r="Q94" s="3" t="inlineStr">
        <is>
          <t>Analyzer</t>
        </is>
      </c>
      <c r="R94" s="3" t="n">
        <v>2</v>
      </c>
      <c r="S94" s="3" t="inlineStr"/>
      <c r="T94" s="3" t="inlineStr"/>
      <c r="U94" s="3" t="n">
        <v>0</v>
      </c>
      <c r="V94" s="3" t="inlineStr">
        <is>
          <t>masc:1.4;fem:0.1</t>
        </is>
      </c>
      <c r="W94" s="3" t="n">
        <v>1.4</v>
      </c>
      <c r="X94" s="3" t="n">
        <v>0.1</v>
      </c>
      <c r="Y94" s="3" t="inlineStr">
        <is>
          <t>COMM_Logical</t>
        </is>
      </c>
      <c r="Z94" s="3" t="inlineStr">
        <is>
          <t>REG_SelfSoother</t>
        </is>
      </c>
      <c r="AA94" s="3" t="inlineStr">
        <is>
          <t>LANG_Service</t>
        </is>
      </c>
      <c r="AB94" s="3" t="inlineStr"/>
      <c r="AC94" s="3" t="inlineStr"/>
      <c r="AD94" s="3" t="inlineStr"/>
      <c r="AE94" s="3" t="n">
        <v>0</v>
      </c>
      <c r="AF94" s="3" t="inlineStr">
        <is>
          <t>measured monitoring</t>
        </is>
      </c>
      <c r="AG94" s="3" t="inlineStr">
        <is>
          <t>balanced assessor</t>
        </is>
      </c>
      <c r="AH94" s="3" t="n">
        <v>0</v>
      </c>
      <c r="AI94" s="3" t="inlineStr">
        <is>
          <t>no</t>
        </is>
      </c>
      <c r="AJ94" s="3" t="inlineStr">
        <is>
          <t>no</t>
        </is>
      </c>
      <c r="AK94" s="3" t="inlineStr">
        <is>
          <t>yes</t>
        </is>
      </c>
      <c r="AL94" s="3" t="inlineStr">
        <is>
          <t>yes</t>
        </is>
      </c>
      <c r="AM94" s="3" t="inlineStr"/>
      <c r="AN94" s="3" t="inlineStr"/>
      <c r="AO94" s="3" t="inlineStr"/>
      <c r="AP94" s="3" t="inlineStr">
        <is>
          <t>v3_2026-03-19</t>
        </is>
      </c>
    </row>
    <row r="95">
      <c r="A95" s="3" t="inlineStr">
        <is>
          <t>Q19_D</t>
        </is>
      </c>
      <c r="B95" s="3" t="n">
        <v>19</v>
      </c>
      <c r="C95" s="3" t="n">
        <v>19</v>
      </c>
      <c r="D95" s="3" t="inlineStr">
        <is>
          <t>Core</t>
        </is>
      </c>
      <c r="E95" s="3" t="n">
        <v>1.1</v>
      </c>
      <c r="F95" s="3" t="inlineStr">
        <is>
          <t>EmotionalRegulation</t>
        </is>
      </c>
      <c r="G95" s="3" t="inlineStr">
        <is>
          <t>AttachmentSafety</t>
        </is>
      </c>
      <c r="H95" s="3" t="inlineStr"/>
      <c r="I95" s="3" t="inlineStr">
        <is>
          <t>D</t>
        </is>
      </c>
      <c r="J95" s="3" t="inlineStr">
        <is>
          <t>D</t>
        </is>
      </c>
      <c r="K95" s="3" t="inlineStr">
        <is>
          <t>I assume I'm just too much or not interesting enough. So I shrink a little. Try to be easier to be around, maybe then they'll lean in.</t>
        </is>
      </c>
      <c r="L95" s="3" t="n">
        <v>4</v>
      </c>
      <c r="M95" s="3" t="n">
        <v>5</v>
      </c>
      <c r="N95" s="3" t="n">
        <v>2</v>
      </c>
      <c r="O95" s="3" t="n">
        <v>2</v>
      </c>
      <c r="P95" s="3" t="n">
        <v>2</v>
      </c>
      <c r="Q95" s="3" t="inlineStr">
        <is>
          <t>Fixer</t>
        </is>
      </c>
      <c r="R95" s="3" t="n">
        <v>5</v>
      </c>
      <c r="S95" s="3" t="inlineStr"/>
      <c r="T95" s="3" t="inlineStr"/>
      <c r="U95" s="3" t="n">
        <v>0</v>
      </c>
      <c r="V95" s="3" t="inlineStr">
        <is>
          <t>masc:-0.4;fem:2.0</t>
        </is>
      </c>
      <c r="W95" s="3" t="n">
        <v>-0.4</v>
      </c>
      <c r="X95" s="3" t="n">
        <v>2</v>
      </c>
      <c r="Y95" s="3" t="inlineStr">
        <is>
          <t>COMM_Emotional</t>
        </is>
      </c>
      <c r="Z95" s="3" t="inlineStr">
        <is>
          <t>REG_CoRegulator</t>
        </is>
      </c>
      <c r="AA95" s="3" t="inlineStr">
        <is>
          <t>LANG_Service</t>
        </is>
      </c>
      <c r="AB95" s="3" t="inlineStr">
        <is>
          <t>Commitment_Ambiguity</t>
        </is>
      </c>
      <c r="AC95" s="3" t="inlineStr">
        <is>
          <t>Commitment_Ambiguity</t>
        </is>
      </c>
      <c r="AD95" s="3" t="inlineStr"/>
      <c r="AE95" s="3" t="n">
        <v>5</v>
      </c>
      <c r="AF95" s="3" t="inlineStr">
        <is>
          <t>self-dimming</t>
        </is>
      </c>
      <c r="AG95" s="3" t="inlineStr">
        <is>
          <t>self-minimizer</t>
        </is>
      </c>
      <c r="AH95" s="3" t="n">
        <v>0</v>
      </c>
      <c r="AI95" s="3" t="inlineStr">
        <is>
          <t>yes</t>
        </is>
      </c>
      <c r="AJ95" s="3" t="inlineStr">
        <is>
          <t>no</t>
        </is>
      </c>
      <c r="AK95" s="3" t="inlineStr">
        <is>
          <t>yes</t>
        </is>
      </c>
      <c r="AL95" s="3" t="inlineStr">
        <is>
          <t>yes</t>
        </is>
      </c>
      <c r="AM95" s="3" t="inlineStr"/>
      <c r="AN95" s="3" t="inlineStr"/>
      <c r="AO95" s="3" t="inlineStr"/>
      <c r="AP95" s="3" t="inlineStr">
        <is>
          <t>v3_2026-03-19</t>
        </is>
      </c>
    </row>
    <row r="96">
      <c r="A96" s="3" t="inlineStr">
        <is>
          <t>Q19_E</t>
        </is>
      </c>
      <c r="B96" s="3" t="n">
        <v>19</v>
      </c>
      <c r="C96" s="3" t="n">
        <v>19</v>
      </c>
      <c r="D96" s="3" t="inlineStr">
        <is>
          <t>Core</t>
        </is>
      </c>
      <c r="E96" s="3" t="n">
        <v>1.1</v>
      </c>
      <c r="F96" s="3" t="inlineStr">
        <is>
          <t>EmotionalRegulation</t>
        </is>
      </c>
      <c r="G96" s="3" t="inlineStr">
        <is>
          <t>AttachmentSafety</t>
        </is>
      </c>
      <c r="H96" s="3" t="inlineStr"/>
      <c r="I96" s="3" t="inlineStr">
        <is>
          <t>E</t>
        </is>
      </c>
      <c r="J96" s="3" t="inlineStr">
        <is>
          <t>E</t>
        </is>
      </c>
      <c r="K96" s="3" t="inlineStr">
        <is>
          <t>If they're not asking, I stop sharing. It's not rejection, it's just proof they're not where I am. That tells me all I need to know.</t>
        </is>
      </c>
      <c r="L96" s="3" t="n">
        <v>9</v>
      </c>
      <c r="M96" s="3" t="n">
        <v>9</v>
      </c>
      <c r="N96" s="3" t="n">
        <v>10</v>
      </c>
      <c r="O96" s="3" t="n">
        <v>10</v>
      </c>
      <c r="P96" s="3" t="n">
        <v>10</v>
      </c>
      <c r="Q96" s="3" t="inlineStr">
        <is>
          <t>Regulated Grown-Up</t>
        </is>
      </c>
      <c r="R96" s="3" t="n">
        <v>9</v>
      </c>
      <c r="S96" s="3" t="inlineStr"/>
      <c r="T96" s="3" t="inlineStr"/>
      <c r="U96" s="3" t="n">
        <v>0</v>
      </c>
      <c r="V96" s="3" t="inlineStr">
        <is>
          <t>masc:1.1;fem:0.9</t>
        </is>
      </c>
      <c r="W96" s="3" t="n">
        <v>1.1</v>
      </c>
      <c r="X96" s="3" t="n">
        <v>0.9</v>
      </c>
      <c r="Y96" s="3" t="inlineStr">
        <is>
          <t>COMM_Direct</t>
        </is>
      </c>
      <c r="Z96" s="3" t="inlineStr">
        <is>
          <t>REG_CoRegulator</t>
        </is>
      </c>
      <c r="AA96" s="3" t="inlineStr">
        <is>
          <t>LANG_Words</t>
        </is>
      </c>
      <c r="AB96" s="3" t="inlineStr"/>
      <c r="AC96" s="3" t="inlineStr"/>
      <c r="AD96" s="3" t="inlineStr"/>
      <c r="AE96" s="3" t="n">
        <v>0</v>
      </c>
      <c r="AF96" s="3" t="inlineStr">
        <is>
          <t>blunt boundary recognition</t>
        </is>
      </c>
      <c r="AG96" s="3" t="inlineStr">
        <is>
          <t>decisive assessor</t>
        </is>
      </c>
      <c r="AH96" s="3" t="n">
        <v>0</v>
      </c>
      <c r="AI96" s="3" t="inlineStr">
        <is>
          <t>no</t>
        </is>
      </c>
      <c r="AJ96" s="3" t="inlineStr">
        <is>
          <t>no</t>
        </is>
      </c>
      <c r="AK96" s="3" t="inlineStr">
        <is>
          <t>yes</t>
        </is>
      </c>
      <c r="AL96" s="3" t="inlineStr">
        <is>
          <t>yes</t>
        </is>
      </c>
      <c r="AM96" s="3" t="inlineStr"/>
      <c r="AN96" s="3" t="inlineStr"/>
      <c r="AO96" s="3" t="inlineStr"/>
      <c r="AP96" s="3" t="inlineStr">
        <is>
          <t>v3_2026-03-19</t>
        </is>
      </c>
    </row>
    <row r="97">
      <c r="A97" s="3" t="inlineStr">
        <is>
          <t>Q20_A</t>
        </is>
      </c>
      <c r="B97" s="3" t="n">
        <v>20</v>
      </c>
      <c r="C97" s="3" t="n">
        <v>20</v>
      </c>
      <c r="D97" s="3" t="inlineStr">
        <is>
          <t>Core</t>
        </is>
      </c>
      <c r="E97" s="3" t="n">
        <v>1.1</v>
      </c>
      <c r="F97" s="3" t="inlineStr">
        <is>
          <t>EmotionalRegulation</t>
        </is>
      </c>
      <c r="G97" s="3" t="inlineStr">
        <is>
          <t>AttachmentSafety</t>
        </is>
      </c>
      <c r="H97" s="3" t="inlineStr">
        <is>
          <t>They say they're "just not ready for anything serious," but keep texting, flirting, and staying close. What do you do with that?</t>
        </is>
      </c>
      <c r="I97" s="3" t="inlineStr">
        <is>
          <t>A</t>
        </is>
      </c>
      <c r="J97" s="3" t="inlineStr">
        <is>
          <t>A</t>
        </is>
      </c>
      <c r="K97" s="3" t="inlineStr">
        <is>
          <t>I don't chase maybes. If you're not ready, I'm not holding space hoping you'll get there. I move different after that.</t>
        </is>
      </c>
      <c r="L97" s="3" t="n">
        <v>9</v>
      </c>
      <c r="M97" s="3" t="n">
        <v>9</v>
      </c>
      <c r="N97" s="3" t="n">
        <v>10</v>
      </c>
      <c r="O97" s="3" t="n">
        <v>10</v>
      </c>
      <c r="P97" s="3" t="n">
        <v>10</v>
      </c>
      <c r="Q97" s="3" t="inlineStr">
        <is>
          <t>Regulated Grown-Up</t>
        </is>
      </c>
      <c r="R97" s="3" t="n">
        <v>9</v>
      </c>
      <c r="S97" s="3" t="inlineStr"/>
      <c r="T97" s="3" t="inlineStr"/>
      <c r="U97" s="3" t="n">
        <v>0</v>
      </c>
      <c r="V97" s="3" t="inlineStr">
        <is>
          <t>masc:1.1;fem:0.9</t>
        </is>
      </c>
      <c r="W97" s="3" t="n">
        <v>1.1</v>
      </c>
      <c r="X97" s="3" t="n">
        <v>0.9</v>
      </c>
      <c r="Y97" s="3" t="inlineStr">
        <is>
          <t>COMM_Direct</t>
        </is>
      </c>
      <c r="Z97" s="3" t="inlineStr">
        <is>
          <t>REG_CoRegulator</t>
        </is>
      </c>
      <c r="AA97" s="3" t="inlineStr">
        <is>
          <t>LANG_Words</t>
        </is>
      </c>
      <c r="AB97" s="3" t="inlineStr"/>
      <c r="AC97" s="3" t="inlineStr"/>
      <c r="AD97" s="3" t="inlineStr"/>
      <c r="AE97" s="3" t="n">
        <v>0</v>
      </c>
      <c r="AF97" s="3" t="inlineStr">
        <is>
          <t>emotional detachment with clarity</t>
        </is>
      </c>
      <c r="AG97" s="3" t="inlineStr">
        <is>
          <t>clean exit</t>
        </is>
      </c>
      <c r="AH97" s="3" t="n">
        <v>0.2</v>
      </c>
      <c r="AI97" s="3" t="inlineStr">
        <is>
          <t>no</t>
        </is>
      </c>
      <c r="AJ97" s="3" t="inlineStr">
        <is>
          <t>no</t>
        </is>
      </c>
      <c r="AK97" s="3" t="inlineStr">
        <is>
          <t>yes</t>
        </is>
      </c>
      <c r="AL97" s="3" t="inlineStr">
        <is>
          <t>yes</t>
        </is>
      </c>
      <c r="AM97" s="3" t="inlineStr"/>
      <c r="AN97" s="3" t="inlineStr"/>
      <c r="AO97" s="3" t="inlineStr"/>
      <c r="AP97" s="3" t="inlineStr">
        <is>
          <t>v3_2026-03-19</t>
        </is>
      </c>
    </row>
    <row r="98">
      <c r="A98" s="3" t="inlineStr">
        <is>
          <t>Q20_B</t>
        </is>
      </c>
      <c r="B98" s="3" t="n">
        <v>20</v>
      </c>
      <c r="C98" s="3" t="n">
        <v>20</v>
      </c>
      <c r="D98" s="3" t="inlineStr">
        <is>
          <t>Core</t>
        </is>
      </c>
      <c r="E98" s="3" t="n">
        <v>1.1</v>
      </c>
      <c r="F98" s="3" t="inlineStr">
        <is>
          <t>EmotionalRegulation</t>
        </is>
      </c>
      <c r="G98" s="3" t="inlineStr">
        <is>
          <t>AttachmentSafety</t>
        </is>
      </c>
      <c r="H98" s="3" t="inlineStr"/>
      <c r="I98" s="3" t="inlineStr">
        <is>
          <t>B</t>
        </is>
      </c>
      <c r="J98" s="3" t="inlineStr">
        <is>
          <t>B</t>
        </is>
      </c>
      <c r="K98" s="3" t="inlineStr">
        <is>
          <t>I downplay what I want. I'd rather keep them close than scare them off. I tell myself maybe they'll change their mind.</t>
        </is>
      </c>
      <c r="L98" s="3" t="n">
        <v>4</v>
      </c>
      <c r="M98" s="3" t="n">
        <v>5</v>
      </c>
      <c r="N98" s="3" t="n">
        <v>0</v>
      </c>
      <c r="O98" s="3" t="n">
        <v>2</v>
      </c>
      <c r="P98" s="3" t="n">
        <v>0</v>
      </c>
      <c r="Q98" s="3" t="inlineStr">
        <is>
          <t>Phantom Seeker</t>
        </is>
      </c>
      <c r="R98" s="3" t="n">
        <v>10</v>
      </c>
      <c r="S98" s="3" t="inlineStr"/>
      <c r="T98" s="3" t="inlineStr"/>
      <c r="U98" s="3" t="n">
        <v>0</v>
      </c>
      <c r="V98" s="3" t="inlineStr">
        <is>
          <t>masc:-0.2;fem:1.5</t>
        </is>
      </c>
      <c r="W98" s="3" t="n">
        <v>-0.2</v>
      </c>
      <c r="X98" s="3" t="n">
        <v>1.5</v>
      </c>
      <c r="Y98" s="3" t="inlineStr">
        <is>
          <t>COMM_Emotional</t>
        </is>
      </c>
      <c r="Z98" s="3" t="inlineStr">
        <is>
          <t>REG_SelfSoother</t>
        </is>
      </c>
      <c r="AA98" s="3" t="inlineStr">
        <is>
          <t>LANG_Touch</t>
        </is>
      </c>
      <c r="AB98" s="3" t="inlineStr">
        <is>
          <t>Commitment_Ambiguity</t>
        </is>
      </c>
      <c r="AC98" s="3" t="inlineStr">
        <is>
          <t>Commitment_Ambiguity</t>
        </is>
      </c>
      <c r="AD98" s="3" t="inlineStr"/>
      <c r="AE98" s="3" t="n">
        <v>5</v>
      </c>
      <c r="AF98" s="3" t="inlineStr">
        <is>
          <t>self-silencing attachment</t>
        </is>
      </c>
      <c r="AG98" s="3" t="inlineStr">
        <is>
          <t>avoidant hope</t>
        </is>
      </c>
      <c r="AH98" s="3" t="n">
        <v>0.6</v>
      </c>
      <c r="AI98" s="3" t="inlineStr">
        <is>
          <t>yes</t>
        </is>
      </c>
      <c r="AJ98" s="3" t="inlineStr">
        <is>
          <t>no</t>
        </is>
      </c>
      <c r="AK98" s="3" t="inlineStr">
        <is>
          <t>yes</t>
        </is>
      </c>
      <c r="AL98" s="3" t="inlineStr">
        <is>
          <t>yes</t>
        </is>
      </c>
      <c r="AM98" s="3" t="inlineStr"/>
      <c r="AN98" s="3" t="inlineStr"/>
      <c r="AO98" s="3" t="inlineStr"/>
      <c r="AP98" s="3" t="inlineStr">
        <is>
          <t>v3_2026-03-19</t>
        </is>
      </c>
    </row>
    <row r="99">
      <c r="A99" s="3" t="inlineStr">
        <is>
          <t>Q20_C</t>
        </is>
      </c>
      <c r="B99" s="3" t="n">
        <v>20</v>
      </c>
      <c r="C99" s="3" t="n">
        <v>20</v>
      </c>
      <c r="D99" s="3" t="inlineStr">
        <is>
          <t>Core</t>
        </is>
      </c>
      <c r="E99" s="3" t="n">
        <v>1.1</v>
      </c>
      <c r="F99" s="3" t="inlineStr">
        <is>
          <t>EmotionalRegulation</t>
        </is>
      </c>
      <c r="G99" s="3" t="inlineStr">
        <is>
          <t>AttachmentSafety</t>
        </is>
      </c>
      <c r="H99" s="3" t="inlineStr"/>
      <c r="I99" s="3" t="inlineStr">
        <is>
          <t>C</t>
        </is>
      </c>
      <c r="J99" s="3" t="inlineStr">
        <is>
          <t>C</t>
        </is>
      </c>
      <c r="K99" s="3" t="inlineStr">
        <is>
          <t>I lean into the attention while it's there, but I'm already preparing for them to dip. I know how this story ends, I just don't rush it.</t>
        </is>
      </c>
      <c r="L99" s="3" t="n">
        <v>6</v>
      </c>
      <c r="M99" s="3" t="n">
        <v>7</v>
      </c>
      <c r="N99" s="3" t="n">
        <v>2</v>
      </c>
      <c r="O99" s="3" t="n">
        <v>2</v>
      </c>
      <c r="P99" s="3" t="n">
        <v>0</v>
      </c>
      <c r="Q99" s="3" t="inlineStr">
        <is>
          <t>Icebox</t>
        </is>
      </c>
      <c r="R99" s="3" t="n">
        <v>1</v>
      </c>
      <c r="S99" s="3" t="inlineStr"/>
      <c r="T99" s="3" t="inlineStr"/>
      <c r="U99" s="3" t="n">
        <v>0</v>
      </c>
      <c r="V99" s="3" t="inlineStr">
        <is>
          <t>masc:1.8;fem:-1.6</t>
        </is>
      </c>
      <c r="W99" s="3" t="n">
        <v>1.8</v>
      </c>
      <c r="X99" s="3" t="n">
        <v>-1.6</v>
      </c>
      <c r="Y99" s="3" t="inlineStr">
        <is>
          <t>COMM_Avoidant</t>
        </is>
      </c>
      <c r="Z99" s="3" t="inlineStr">
        <is>
          <t>REG_Suppressor</t>
        </is>
      </c>
      <c r="AA99" s="3" t="inlineStr">
        <is>
          <t>LANG_Time</t>
        </is>
      </c>
      <c r="AB99" s="3" t="inlineStr"/>
      <c r="AC99" s="3" t="inlineStr"/>
      <c r="AD99" s="3" t="inlineStr"/>
      <c r="AE99" s="3" t="n">
        <v>0</v>
      </c>
      <c r="AF99" s="3" t="inlineStr">
        <is>
          <t>detached indulgence</t>
        </is>
      </c>
      <c r="AG99" s="3" t="inlineStr">
        <is>
          <t>slow detacher</t>
        </is>
      </c>
      <c r="AH99" s="3" t="n">
        <v>1.2</v>
      </c>
      <c r="AI99" s="3" t="inlineStr">
        <is>
          <t>no</t>
        </is>
      </c>
      <c r="AJ99" s="3" t="inlineStr">
        <is>
          <t>no</t>
        </is>
      </c>
      <c r="AK99" s="3" t="inlineStr">
        <is>
          <t>yes</t>
        </is>
      </c>
      <c r="AL99" s="3" t="inlineStr">
        <is>
          <t>yes</t>
        </is>
      </c>
      <c r="AM99" s="3" t="inlineStr"/>
      <c r="AN99" s="3" t="inlineStr"/>
      <c r="AO99" s="3" t="inlineStr"/>
      <c r="AP99" s="3" t="inlineStr">
        <is>
          <t>v3_2026-03-19</t>
        </is>
      </c>
    </row>
    <row r="100">
      <c r="A100" s="3" t="inlineStr">
        <is>
          <t>Q20_D</t>
        </is>
      </c>
      <c r="B100" s="3" t="n">
        <v>20</v>
      </c>
      <c r="C100" s="3" t="n">
        <v>20</v>
      </c>
      <c r="D100" s="3" t="inlineStr">
        <is>
          <t>Core</t>
        </is>
      </c>
      <c r="E100" s="3" t="n">
        <v>1.1</v>
      </c>
      <c r="F100" s="3" t="inlineStr">
        <is>
          <t>EmotionalRegulation</t>
        </is>
      </c>
      <c r="G100" s="3" t="inlineStr">
        <is>
          <t>AttachmentSafety</t>
        </is>
      </c>
      <c r="H100" s="3" t="inlineStr"/>
      <c r="I100" s="3" t="inlineStr">
        <is>
          <t>D</t>
        </is>
      </c>
      <c r="J100" s="3" t="inlineStr">
        <is>
          <t>D</t>
        </is>
      </c>
      <c r="K100" s="3" t="inlineStr">
        <is>
          <t>I start fixing it in my head. Maybe if I give it time, make things feel safer, they'll realize what we have. It's not manipulation, it's belief.</t>
        </is>
      </c>
      <c r="L100" s="3" t="n">
        <v>5</v>
      </c>
      <c r="M100" s="3" t="n">
        <v>6</v>
      </c>
      <c r="N100" s="3" t="n">
        <v>4</v>
      </c>
      <c r="O100" s="3" t="n">
        <v>4</v>
      </c>
      <c r="P100" s="3" t="n">
        <v>4</v>
      </c>
      <c r="Q100" s="3" t="inlineStr">
        <is>
          <t>Fixer</t>
        </is>
      </c>
      <c r="R100" s="3" t="n">
        <v>5</v>
      </c>
      <c r="S100" s="3" t="inlineStr"/>
      <c r="T100" s="3" t="inlineStr"/>
      <c r="U100" s="3" t="n">
        <v>0</v>
      </c>
      <c r="V100" s="3" t="inlineStr">
        <is>
          <t>masc:-0.4;fem:2.0</t>
        </is>
      </c>
      <c r="W100" s="3" t="n">
        <v>-0.4</v>
      </c>
      <c r="X100" s="3" t="n">
        <v>2</v>
      </c>
      <c r="Y100" s="3" t="inlineStr">
        <is>
          <t>COMM_Emotional</t>
        </is>
      </c>
      <c r="Z100" s="3" t="inlineStr">
        <is>
          <t>REG_CoRegulator</t>
        </is>
      </c>
      <c r="AA100" s="3" t="inlineStr">
        <is>
          <t>LANG_Service</t>
        </is>
      </c>
      <c r="AB100" s="3" t="inlineStr">
        <is>
          <t>Commitment_Ambiguity</t>
        </is>
      </c>
      <c r="AC100" s="3" t="inlineStr">
        <is>
          <t>Commitment_Ambiguity</t>
        </is>
      </c>
      <c r="AD100" s="3" t="inlineStr"/>
      <c r="AE100" s="3" t="n">
        <v>5</v>
      </c>
      <c r="AF100" s="3" t="inlineStr">
        <is>
          <t>subtle persuasion loop</t>
        </is>
      </c>
      <c r="AG100" s="3" t="inlineStr">
        <is>
          <t>hopeful fixer</t>
        </is>
      </c>
      <c r="AH100" s="3" t="n">
        <v>0.2</v>
      </c>
      <c r="AI100" s="3" t="inlineStr">
        <is>
          <t>yes</t>
        </is>
      </c>
      <c r="AJ100" s="3" t="inlineStr">
        <is>
          <t>no</t>
        </is>
      </c>
      <c r="AK100" s="3" t="inlineStr">
        <is>
          <t>yes</t>
        </is>
      </c>
      <c r="AL100" s="3" t="inlineStr">
        <is>
          <t>yes</t>
        </is>
      </c>
      <c r="AM100" s="3" t="inlineStr"/>
      <c r="AN100" s="3" t="inlineStr"/>
      <c r="AO100" s="3" t="inlineStr"/>
      <c r="AP100" s="3" t="inlineStr">
        <is>
          <t>v3_2026-03-19</t>
        </is>
      </c>
    </row>
    <row r="101">
      <c r="A101" s="3" t="inlineStr">
        <is>
          <t>Q20_E</t>
        </is>
      </c>
      <c r="B101" s="3" t="n">
        <v>20</v>
      </c>
      <c r="C101" s="3" t="n">
        <v>20</v>
      </c>
      <c r="D101" s="3" t="inlineStr">
        <is>
          <t>Core</t>
        </is>
      </c>
      <c r="E101" s="3" t="n">
        <v>1.1</v>
      </c>
      <c r="F101" s="3" t="inlineStr">
        <is>
          <t>EmotionalRegulation</t>
        </is>
      </c>
      <c r="G101" s="3" t="inlineStr">
        <is>
          <t>AttachmentSafety</t>
        </is>
      </c>
      <c r="H101" s="3" t="inlineStr"/>
      <c r="I101" s="3" t="inlineStr">
        <is>
          <t>E</t>
        </is>
      </c>
      <c r="J101" s="3" t="inlineStr">
        <is>
          <t>E</t>
        </is>
      </c>
      <c r="K101" s="3" t="inlineStr">
        <is>
          <t>I mirror it. You want casual? Cool. I can do that, until I don't. Just don't get mad when I stop answering like I used to.</t>
        </is>
      </c>
      <c r="L101" s="3" t="n">
        <v>7</v>
      </c>
      <c r="M101" s="3" t="n">
        <v>8</v>
      </c>
      <c r="N101" s="3" t="n">
        <v>4</v>
      </c>
      <c r="O101" s="3" t="n">
        <v>6</v>
      </c>
      <c r="P101" s="3" t="n">
        <v>2</v>
      </c>
      <c r="Q101" s="3" t="inlineStr">
        <is>
          <t>Performer</t>
        </is>
      </c>
      <c r="R101" s="3" t="n">
        <v>7</v>
      </c>
      <c r="S101" s="3" t="inlineStr"/>
      <c r="T101" s="3" t="inlineStr"/>
      <c r="U101" s="3" t="n">
        <v>0</v>
      </c>
      <c r="V101" s="3" t="inlineStr">
        <is>
          <t>masc:0.3;fem:0.5</t>
        </is>
      </c>
      <c r="W101" s="3" t="n">
        <v>0.3</v>
      </c>
      <c r="X101" s="3" t="n">
        <v>0.5</v>
      </c>
      <c r="Y101" s="3" t="inlineStr">
        <is>
          <t>COMM_Indirect</t>
        </is>
      </c>
      <c r="Z101" s="3" t="inlineStr">
        <is>
          <t>REG_Distractor</t>
        </is>
      </c>
      <c r="AA101" s="3" t="inlineStr">
        <is>
          <t>LANG_Gifts</t>
        </is>
      </c>
      <c r="AB101" s="3" t="inlineStr"/>
      <c r="AC101" s="3" t="inlineStr"/>
      <c r="AD101" s="3" t="inlineStr"/>
      <c r="AE101" s="3" t="n">
        <v>0</v>
      </c>
      <c r="AF101" s="3" t="inlineStr">
        <is>
          <t>cool mask hot clock</t>
        </is>
      </c>
      <c r="AG101" s="3" t="inlineStr">
        <is>
          <t>casual timer</t>
        </is>
      </c>
      <c r="AH101" s="3" t="n">
        <v>0.6</v>
      </c>
      <c r="AI101" s="3" t="inlineStr">
        <is>
          <t>no</t>
        </is>
      </c>
      <c r="AJ101" s="3" t="inlineStr">
        <is>
          <t>no</t>
        </is>
      </c>
      <c r="AK101" s="3" t="inlineStr">
        <is>
          <t>yes</t>
        </is>
      </c>
      <c r="AL101" s="3" t="inlineStr">
        <is>
          <t>yes</t>
        </is>
      </c>
      <c r="AM101" s="3" t="inlineStr"/>
      <c r="AN101" s="3" t="inlineStr"/>
      <c r="AO101" s="3" t="inlineStr"/>
      <c r="AP101" s="3" t="inlineStr">
        <is>
          <t>v3_2026-03-19</t>
        </is>
      </c>
    </row>
    <row r="102">
      <c r="A102" s="3" t="inlineStr">
        <is>
          <t>Q21_A</t>
        </is>
      </c>
      <c r="B102" s="3" t="n">
        <v>21</v>
      </c>
      <c r="C102" s="3" t="n">
        <v>21</v>
      </c>
      <c r="D102" s="3" t="inlineStr">
        <is>
          <t>Core</t>
        </is>
      </c>
      <c r="E102" s="3" t="n">
        <v>1.1</v>
      </c>
      <c r="F102" s="3" t="inlineStr">
        <is>
          <t>EmotionalRegulation</t>
        </is>
      </c>
      <c r="G102" s="3" t="inlineStr">
        <is>
          <t>AttachmentSafety</t>
        </is>
      </c>
      <c r="H102" s="3" t="inlineStr">
        <is>
          <t>One day they're into you, then distant the next. How do you handle the mixed signals?</t>
        </is>
      </c>
      <c r="I102" s="3" t="inlineStr">
        <is>
          <t>A</t>
        </is>
      </c>
      <c r="J102" s="3" t="inlineStr">
        <is>
          <t>A</t>
        </is>
      </c>
      <c r="K102" s="3" t="inlineStr">
        <is>
          <t>If you're hot and cold, I'm room temperature and gone. I'm not here to decode moods.</t>
        </is>
      </c>
      <c r="L102" s="3" t="n">
        <v>9</v>
      </c>
      <c r="M102" s="3" t="n">
        <v>9</v>
      </c>
      <c r="N102" s="3" t="n">
        <v>10</v>
      </c>
      <c r="O102" s="3" t="n">
        <v>10</v>
      </c>
      <c r="P102" s="3" t="n">
        <v>10</v>
      </c>
      <c r="Q102" s="3" t="inlineStr">
        <is>
          <t>Regulated Grown-Up</t>
        </is>
      </c>
      <c r="R102" s="3" t="n">
        <v>9</v>
      </c>
      <c r="S102" s="3" t="inlineStr"/>
      <c r="T102" s="3" t="inlineStr"/>
      <c r="U102" s="3" t="n">
        <v>0</v>
      </c>
      <c r="V102" s="3" t="inlineStr">
        <is>
          <t>masc:1.1;fem:0.9</t>
        </is>
      </c>
      <c r="W102" s="3" t="n">
        <v>1.1</v>
      </c>
      <c r="X102" s="3" t="n">
        <v>0.9</v>
      </c>
      <c r="Y102" s="3" t="inlineStr">
        <is>
          <t>COMM_Direct</t>
        </is>
      </c>
      <c r="Z102" s="3" t="inlineStr">
        <is>
          <t>REG_CoRegulator</t>
        </is>
      </c>
      <c r="AA102" s="3" t="inlineStr">
        <is>
          <t>LANG_Words</t>
        </is>
      </c>
      <c r="AB102" s="3" t="inlineStr"/>
      <c r="AC102" s="3" t="inlineStr"/>
      <c r="AD102" s="3" t="inlineStr"/>
      <c r="AE102" s="3" t="n">
        <v>0</v>
      </c>
      <c r="AF102" s="3" t="inlineStr">
        <is>
          <t>blunt detachment</t>
        </is>
      </c>
      <c r="AG102" s="3" t="inlineStr">
        <is>
          <t>immediate cutoff</t>
        </is>
      </c>
      <c r="AH102" s="3" t="n">
        <v>1.2</v>
      </c>
      <c r="AI102" s="3" t="inlineStr">
        <is>
          <t>no</t>
        </is>
      </c>
      <c r="AJ102" s="3" t="inlineStr">
        <is>
          <t>no</t>
        </is>
      </c>
      <c r="AK102" s="3" t="inlineStr">
        <is>
          <t>yes</t>
        </is>
      </c>
      <c r="AL102" s="3" t="inlineStr">
        <is>
          <t>yes</t>
        </is>
      </c>
      <c r="AM102" s="3" t="inlineStr"/>
      <c r="AN102" s="3" t="inlineStr"/>
      <c r="AO102" s="3" t="inlineStr"/>
      <c r="AP102" s="3" t="inlineStr">
        <is>
          <t>v3_2026-03-19</t>
        </is>
      </c>
    </row>
    <row r="103">
      <c r="A103" s="3" t="inlineStr">
        <is>
          <t>Q21_B</t>
        </is>
      </c>
      <c r="B103" s="3" t="n">
        <v>21</v>
      </c>
      <c r="C103" s="3" t="n">
        <v>21</v>
      </c>
      <c r="D103" s="3" t="inlineStr">
        <is>
          <t>Core</t>
        </is>
      </c>
      <c r="E103" s="3" t="n">
        <v>1.1</v>
      </c>
      <c r="F103" s="3" t="inlineStr">
        <is>
          <t>EmotionalRegulation</t>
        </is>
      </c>
      <c r="G103" s="3" t="inlineStr">
        <is>
          <t>AttachmentSafety</t>
        </is>
      </c>
      <c r="H103" s="3" t="inlineStr"/>
      <c r="I103" s="3" t="inlineStr">
        <is>
          <t>B</t>
        </is>
      </c>
      <c r="J103" s="3" t="inlineStr">
        <is>
          <t>B</t>
        </is>
      </c>
      <c r="K103" s="3" t="inlineStr">
        <is>
          <t>I recheck our last texts. Then I reread mine. Then I wonder if I should've said less, or more. I don't bring it up, but it definitely rewires how I respond.</t>
        </is>
      </c>
      <c r="L103" s="3" t="n">
        <v>5</v>
      </c>
      <c r="M103" s="3" t="n">
        <v>6</v>
      </c>
      <c r="N103" s="3" t="n">
        <v>4</v>
      </c>
      <c r="O103" s="3" t="n">
        <v>4</v>
      </c>
      <c r="P103" s="3" t="n">
        <v>2</v>
      </c>
      <c r="Q103" s="3" t="inlineStr">
        <is>
          <t>Analyzer</t>
        </is>
      </c>
      <c r="R103" s="3" t="n">
        <v>2</v>
      </c>
      <c r="S103" s="3" t="inlineStr"/>
      <c r="T103" s="3" t="inlineStr"/>
      <c r="U103" s="3" t="n">
        <v>0</v>
      </c>
      <c r="V103" s="3" t="inlineStr">
        <is>
          <t>masc:1.4;fem:0.1</t>
        </is>
      </c>
      <c r="W103" s="3" t="n">
        <v>1.4</v>
      </c>
      <c r="X103" s="3" t="n">
        <v>0.1</v>
      </c>
      <c r="Y103" s="3" t="inlineStr">
        <is>
          <t>COMM_Logical</t>
        </is>
      </c>
      <c r="Z103" s="3" t="inlineStr">
        <is>
          <t>REG_SelfSoother</t>
        </is>
      </c>
      <c r="AA103" s="3" t="inlineStr">
        <is>
          <t>LANG_Service</t>
        </is>
      </c>
      <c r="AB103" s="3" t="inlineStr">
        <is>
          <t>Trust_Tension</t>
        </is>
      </c>
      <c r="AC103" s="3" t="inlineStr">
        <is>
          <t>Trust_Tension</t>
        </is>
      </c>
      <c r="AD103" s="3" t="inlineStr"/>
      <c r="AE103" s="3" t="n">
        <v>6</v>
      </c>
      <c r="AF103" s="3" t="inlineStr">
        <is>
          <t>emotional spiral</t>
        </is>
      </c>
      <c r="AG103" s="3" t="inlineStr">
        <is>
          <t>overanalyzer</t>
        </is>
      </c>
      <c r="AH103" s="3" t="n">
        <v>0</v>
      </c>
      <c r="AI103" s="3" t="inlineStr">
        <is>
          <t>yes</t>
        </is>
      </c>
      <c r="AJ103" s="3" t="inlineStr">
        <is>
          <t>no</t>
        </is>
      </c>
      <c r="AK103" s="3" t="inlineStr">
        <is>
          <t>yes</t>
        </is>
      </c>
      <c r="AL103" s="3" t="inlineStr">
        <is>
          <t>yes</t>
        </is>
      </c>
      <c r="AM103" s="3" t="inlineStr"/>
      <c r="AN103" s="3" t="inlineStr"/>
      <c r="AO103" s="3" t="inlineStr"/>
      <c r="AP103" s="3" t="inlineStr">
        <is>
          <t>v3_2026-03-19</t>
        </is>
      </c>
    </row>
    <row r="104">
      <c r="A104" s="3" t="inlineStr">
        <is>
          <t>Q21_C</t>
        </is>
      </c>
      <c r="B104" s="3" t="n">
        <v>21</v>
      </c>
      <c r="C104" s="3" t="n">
        <v>21</v>
      </c>
      <c r="D104" s="3" t="inlineStr">
        <is>
          <t>Core</t>
        </is>
      </c>
      <c r="E104" s="3" t="n">
        <v>1.1</v>
      </c>
      <c r="F104" s="3" t="inlineStr">
        <is>
          <t>EmotionalRegulation</t>
        </is>
      </c>
      <c r="G104" s="3" t="inlineStr">
        <is>
          <t>AttachmentSafety</t>
        </is>
      </c>
      <c r="H104" s="3" t="inlineStr"/>
      <c r="I104" s="3" t="inlineStr">
        <is>
          <t>C</t>
        </is>
      </c>
      <c r="J104" s="3" t="inlineStr">
        <is>
          <t>C</t>
        </is>
      </c>
      <c r="K104" s="3" t="inlineStr">
        <is>
          <t>I back off. They'll either notice or they won't. I'm not chasing people who don't know what they want.</t>
        </is>
      </c>
      <c r="L104" s="3" t="n">
        <v>4</v>
      </c>
      <c r="M104" s="3" t="n">
        <v>5</v>
      </c>
      <c r="N104" s="3" t="n">
        <v>0</v>
      </c>
      <c r="O104" s="3" t="n">
        <v>0</v>
      </c>
      <c r="P104" s="3" t="n">
        <v>0</v>
      </c>
      <c r="Q104" s="3" t="inlineStr">
        <is>
          <t>Icebox</t>
        </is>
      </c>
      <c r="R104" s="3" t="n">
        <v>1</v>
      </c>
      <c r="S104" s="3" t="inlineStr"/>
      <c r="T104" s="3" t="inlineStr"/>
      <c r="U104" s="3" t="n">
        <v>0</v>
      </c>
      <c r="V104" s="3" t="inlineStr">
        <is>
          <t>masc:1.8;fem:-1.6</t>
        </is>
      </c>
      <c r="W104" s="3" t="n">
        <v>1.8</v>
      </c>
      <c r="X104" s="3" t="n">
        <v>-1.6</v>
      </c>
      <c r="Y104" s="3" t="inlineStr">
        <is>
          <t>COMM_Avoidant</t>
        </is>
      </c>
      <c r="Z104" s="3" t="inlineStr">
        <is>
          <t>REG_Suppressor</t>
        </is>
      </c>
      <c r="AA104" s="3" t="inlineStr">
        <is>
          <t>LANG_Time</t>
        </is>
      </c>
      <c r="AB104" s="3" t="inlineStr">
        <is>
          <t>Vulnerability_Loop</t>
        </is>
      </c>
      <c r="AC104" s="3" t="inlineStr">
        <is>
          <t>Vulnerability_Loop</t>
        </is>
      </c>
      <c r="AD104" s="3" t="inlineStr"/>
      <c r="AE104" s="3" t="n">
        <v>5</v>
      </c>
      <c r="AF104" s="3" t="inlineStr">
        <is>
          <t>quiet burn</t>
        </is>
      </c>
      <c r="AG104" s="3" t="inlineStr">
        <is>
          <t>disengaged pullback</t>
        </is>
      </c>
      <c r="AH104" s="3" t="n">
        <v>0.6</v>
      </c>
      <c r="AI104" s="3" t="inlineStr">
        <is>
          <t>yes</t>
        </is>
      </c>
      <c r="AJ104" s="3" t="inlineStr">
        <is>
          <t>no</t>
        </is>
      </c>
      <c r="AK104" s="3" t="inlineStr">
        <is>
          <t>yes</t>
        </is>
      </c>
      <c r="AL104" s="3" t="inlineStr">
        <is>
          <t>yes</t>
        </is>
      </c>
      <c r="AM104" s="3" t="inlineStr"/>
      <c r="AN104" s="3" t="inlineStr"/>
      <c r="AO104" s="3" t="inlineStr"/>
      <c r="AP104" s="3" t="inlineStr">
        <is>
          <t>v3_2026-03-19</t>
        </is>
      </c>
    </row>
    <row r="105">
      <c r="A105" s="3" t="inlineStr">
        <is>
          <t>Q21_D</t>
        </is>
      </c>
      <c r="B105" s="3" t="n">
        <v>21</v>
      </c>
      <c r="C105" s="3" t="n">
        <v>21</v>
      </c>
      <c r="D105" s="3" t="inlineStr">
        <is>
          <t>Core</t>
        </is>
      </c>
      <c r="E105" s="3" t="n">
        <v>1.1</v>
      </c>
      <c r="F105" s="3" t="inlineStr">
        <is>
          <t>EmotionalRegulation</t>
        </is>
      </c>
      <c r="G105" s="3" t="inlineStr">
        <is>
          <t>AttachmentSafety</t>
        </is>
      </c>
      <c r="H105" s="3" t="inlineStr"/>
      <c r="I105" s="3" t="inlineStr">
        <is>
          <t>D</t>
        </is>
      </c>
      <c r="J105" s="3" t="inlineStr">
        <is>
          <t>D</t>
        </is>
      </c>
      <c r="K105" s="3" t="inlineStr">
        <is>
          <t>I stop bringing things up. If they don't want me, I'm not going to beg to be understood. I've played that game before.</t>
        </is>
      </c>
      <c r="L105" s="3" t="n">
        <v>6</v>
      </c>
      <c r="M105" s="3" t="n">
        <v>7</v>
      </c>
      <c r="N105" s="3" t="n">
        <v>4</v>
      </c>
      <c r="O105" s="3" t="n">
        <v>4</v>
      </c>
      <c r="P105" s="3" t="n">
        <v>4</v>
      </c>
      <c r="Q105" s="3" t="inlineStr">
        <is>
          <t>Fixer</t>
        </is>
      </c>
      <c r="R105" s="3" t="n">
        <v>5</v>
      </c>
      <c r="S105" s="3" t="inlineStr"/>
      <c r="T105" s="3" t="inlineStr"/>
      <c r="U105" s="3" t="n">
        <v>0</v>
      </c>
      <c r="V105" s="3" t="inlineStr">
        <is>
          <t>masc:-0.4;fem:2.0</t>
        </is>
      </c>
      <c r="W105" s="3" t="n">
        <v>-0.4</v>
      </c>
      <c r="X105" s="3" t="n">
        <v>2</v>
      </c>
      <c r="Y105" s="3" t="inlineStr">
        <is>
          <t>COMM_Emotional</t>
        </is>
      </c>
      <c r="Z105" s="3" t="inlineStr">
        <is>
          <t>REG_CoRegulator</t>
        </is>
      </c>
      <c r="AA105" s="3" t="inlineStr">
        <is>
          <t>LANG_Service</t>
        </is>
      </c>
      <c r="AB105" s="3" t="inlineStr">
        <is>
          <t>Affection_Mismatch , Independence_Collision</t>
        </is>
      </c>
      <c r="AC105" s="3" t="inlineStr">
        <is>
          <t>Affection_Mismatch</t>
        </is>
      </c>
      <c r="AD105" s="3" t="inlineStr">
        <is>
          <t>Independence_Collision</t>
        </is>
      </c>
      <c r="AE105" s="3" t="n">
        <v>9</v>
      </c>
      <c r="AF105" s="3" t="inlineStr">
        <is>
          <t>resigned caregiver</t>
        </is>
      </c>
      <c r="AG105" s="3" t="inlineStr">
        <is>
          <t>silent surrender</t>
        </is>
      </c>
      <c r="AH105" s="3" t="n">
        <v>1.2</v>
      </c>
      <c r="AI105" s="3" t="inlineStr">
        <is>
          <t>yes</t>
        </is>
      </c>
      <c r="AJ105" s="3" t="inlineStr">
        <is>
          <t>no</t>
        </is>
      </c>
      <c r="AK105" s="3" t="inlineStr">
        <is>
          <t>yes</t>
        </is>
      </c>
      <c r="AL105" s="3" t="inlineStr">
        <is>
          <t>yes</t>
        </is>
      </c>
      <c r="AM105" s="3" t="inlineStr"/>
      <c r="AN105" s="3" t="inlineStr"/>
      <c r="AO105" s="3" t="inlineStr"/>
      <c r="AP105" s="3" t="inlineStr">
        <is>
          <t>v3_2026-03-19</t>
        </is>
      </c>
    </row>
    <row r="106">
      <c r="A106" s="3" t="inlineStr">
        <is>
          <t>Q21_E</t>
        </is>
      </c>
      <c r="B106" s="3" t="n">
        <v>21</v>
      </c>
      <c r="C106" s="3" t="n">
        <v>21</v>
      </c>
      <c r="D106" s="3" t="inlineStr">
        <is>
          <t>Core</t>
        </is>
      </c>
      <c r="E106" s="3" t="n">
        <v>1.1</v>
      </c>
      <c r="F106" s="3" t="inlineStr">
        <is>
          <t>EmotionalRegulation</t>
        </is>
      </c>
      <c r="G106" s="3" t="inlineStr">
        <is>
          <t>AttachmentSafety</t>
        </is>
      </c>
      <c r="H106" s="3" t="inlineStr"/>
      <c r="I106" s="3" t="inlineStr">
        <is>
          <t>E</t>
        </is>
      </c>
      <c r="J106" s="3" t="inlineStr">
        <is>
          <t>E</t>
        </is>
      </c>
      <c r="K106" s="3" t="inlineStr">
        <is>
          <t>I tell myself it's probably just stress or a bad week. I don't want to give up too early, but it's hard not to notice when it shifts.</t>
        </is>
      </c>
      <c r="L106" s="3" t="n">
        <v>7</v>
      </c>
      <c r="M106" s="3" t="n">
        <v>8</v>
      </c>
      <c r="N106" s="3" t="n">
        <v>6</v>
      </c>
      <c r="O106" s="3" t="n">
        <v>6</v>
      </c>
      <c r="P106" s="3" t="n">
        <v>4</v>
      </c>
      <c r="Q106" s="3" t="inlineStr">
        <is>
          <t>Romantic Idealist</t>
        </is>
      </c>
      <c r="R106" s="3" t="n">
        <v>6</v>
      </c>
      <c r="S106" s="3" t="inlineStr"/>
      <c r="T106" s="3" t="inlineStr"/>
      <c r="U106" s="3" t="n">
        <v>0</v>
      </c>
      <c r="V106" s="3" t="inlineStr">
        <is>
          <t>masc:-0.4;fem:1.5</t>
        </is>
      </c>
      <c r="W106" s="3" t="n">
        <v>-0.4</v>
      </c>
      <c r="X106" s="3" t="n">
        <v>1.5</v>
      </c>
      <c r="Y106" s="3" t="inlineStr">
        <is>
          <t>COMM_Emotional</t>
        </is>
      </c>
      <c r="Z106" s="3" t="inlineStr">
        <is>
          <t>REG_Distractor</t>
        </is>
      </c>
      <c r="AA106" s="3" t="inlineStr">
        <is>
          <t>LANG_Gifts</t>
        </is>
      </c>
      <c r="AB106" s="3" t="inlineStr"/>
      <c r="AC106" s="3" t="inlineStr"/>
      <c r="AD106" s="3" t="inlineStr"/>
      <c r="AE106" s="3" t="n">
        <v>0</v>
      </c>
      <c r="AF106" s="3" t="inlineStr">
        <is>
          <t>tired hope</t>
        </is>
      </c>
      <c r="AG106" s="3" t="inlineStr">
        <is>
          <t>cautious optimist</t>
        </is>
      </c>
      <c r="AH106" s="3" t="n">
        <v>0</v>
      </c>
      <c r="AI106" s="3" t="inlineStr">
        <is>
          <t>no</t>
        </is>
      </c>
      <c r="AJ106" s="3" t="inlineStr">
        <is>
          <t>no</t>
        </is>
      </c>
      <c r="AK106" s="3" t="inlineStr">
        <is>
          <t>yes</t>
        </is>
      </c>
      <c r="AL106" s="3" t="inlineStr">
        <is>
          <t>yes</t>
        </is>
      </c>
      <c r="AM106" s="3" t="inlineStr"/>
      <c r="AN106" s="3" t="inlineStr"/>
      <c r="AO106" s="3" t="inlineStr"/>
      <c r="AP106" s="3" t="inlineStr">
        <is>
          <t>v3_2026-03-19</t>
        </is>
      </c>
    </row>
    <row r="107">
      <c r="A107" s="3" t="inlineStr">
        <is>
          <t>Q22_A</t>
        </is>
      </c>
      <c r="B107" s="3" t="n">
        <v>22</v>
      </c>
      <c r="C107" s="3" t="n">
        <v>22</v>
      </c>
      <c r="D107" s="3" t="inlineStr">
        <is>
          <t>Core</t>
        </is>
      </c>
      <c r="E107" s="3" t="n">
        <v>1.1</v>
      </c>
      <c r="F107" s="3" t="inlineStr">
        <is>
          <t>EmotionalRegulation</t>
        </is>
      </c>
      <c r="G107" s="3" t="inlineStr">
        <is>
          <t>AttachmentSafety</t>
        </is>
      </c>
      <c r="H107" s="3" t="inlineStr">
        <is>
          <t>You're deep in conversation and they suddenly shut down or go quiet. What do you do next?</t>
        </is>
      </c>
      <c r="I107" s="3" t="inlineStr">
        <is>
          <t>A</t>
        </is>
      </c>
      <c r="J107" s="3" t="inlineStr">
        <is>
          <t>A</t>
        </is>
      </c>
      <c r="K107" s="3" t="inlineStr">
        <is>
          <t>I give them space. If they want to talk, they will. If not, I take the hint.</t>
        </is>
      </c>
      <c r="L107" s="3" t="n">
        <v>8</v>
      </c>
      <c r="M107" s="3" t="n">
        <v>8</v>
      </c>
      <c r="N107" s="3" t="n">
        <v>4</v>
      </c>
      <c r="O107" s="3" t="n">
        <v>4</v>
      </c>
      <c r="P107" s="3" t="n">
        <v>0</v>
      </c>
      <c r="Q107" s="3" t="inlineStr">
        <is>
          <t>Icebox</t>
        </is>
      </c>
      <c r="R107" s="3" t="n">
        <v>1</v>
      </c>
      <c r="S107" s="3" t="inlineStr"/>
      <c r="T107" s="3" t="inlineStr"/>
      <c r="U107" s="3" t="n">
        <v>0</v>
      </c>
      <c r="V107" s="3" t="inlineStr">
        <is>
          <t>masc:1.8;fem:-1.6</t>
        </is>
      </c>
      <c r="W107" s="3" t="n">
        <v>1.8</v>
      </c>
      <c r="X107" s="3" t="n">
        <v>-1.6</v>
      </c>
      <c r="Y107" s="3" t="inlineStr">
        <is>
          <t>COMM_Avoidant</t>
        </is>
      </c>
      <c r="Z107" s="3" t="inlineStr">
        <is>
          <t>REG_Suppressor</t>
        </is>
      </c>
      <c r="AA107" s="3" t="inlineStr">
        <is>
          <t>LANG_Time</t>
        </is>
      </c>
      <c r="AB107" s="3" t="inlineStr"/>
      <c r="AC107" s="3" t="inlineStr"/>
      <c r="AD107" s="3" t="inlineStr"/>
      <c r="AE107" s="3" t="n">
        <v>0</v>
      </c>
      <c r="AF107" s="3" t="inlineStr">
        <is>
          <t>detached cool</t>
        </is>
      </c>
      <c r="AG107" s="3" t="inlineStr">
        <is>
          <t>patient withdrawer</t>
        </is>
      </c>
      <c r="AH107" s="3" t="n">
        <v>1.2</v>
      </c>
      <c r="AI107" s="3" t="inlineStr">
        <is>
          <t>no</t>
        </is>
      </c>
      <c r="AJ107" s="3" t="inlineStr">
        <is>
          <t>no</t>
        </is>
      </c>
      <c r="AK107" s="3" t="inlineStr">
        <is>
          <t>yes</t>
        </is>
      </c>
      <c r="AL107" s="3" t="inlineStr">
        <is>
          <t>yes</t>
        </is>
      </c>
      <c r="AM107" s="3" t="inlineStr"/>
      <c r="AN107" s="3" t="inlineStr"/>
      <c r="AO107" s="3" t="inlineStr"/>
      <c r="AP107" s="3" t="inlineStr">
        <is>
          <t>v3_2026-03-19</t>
        </is>
      </c>
    </row>
    <row r="108">
      <c r="A108" s="3" t="inlineStr">
        <is>
          <t>Q22_B</t>
        </is>
      </c>
      <c r="B108" s="3" t="n">
        <v>22</v>
      </c>
      <c r="C108" s="3" t="n">
        <v>22</v>
      </c>
      <c r="D108" s="3" t="inlineStr">
        <is>
          <t>Core</t>
        </is>
      </c>
      <c r="E108" s="3" t="n">
        <v>1.1</v>
      </c>
      <c r="F108" s="3" t="inlineStr">
        <is>
          <t>EmotionalRegulation</t>
        </is>
      </c>
      <c r="G108" s="3" t="inlineStr">
        <is>
          <t>AttachmentSafety</t>
        </is>
      </c>
      <c r="H108" s="3" t="inlineStr"/>
      <c r="I108" s="3" t="inlineStr">
        <is>
          <t>B</t>
        </is>
      </c>
      <c r="J108" s="3" t="inlineStr">
        <is>
          <t>B</t>
        </is>
      </c>
      <c r="K108" s="3" t="inlineStr">
        <is>
          <t>I immediately think I said something wrong. I start scanning every word trying to figure out what triggered it.</t>
        </is>
      </c>
      <c r="L108" s="3" t="n">
        <v>4</v>
      </c>
      <c r="M108" s="3" t="n">
        <v>5</v>
      </c>
      <c r="N108" s="3" t="n">
        <v>2</v>
      </c>
      <c r="O108" s="3" t="n">
        <v>2</v>
      </c>
      <c r="P108" s="3" t="n">
        <v>2</v>
      </c>
      <c r="Q108" s="3" t="inlineStr">
        <is>
          <t>Analyzer</t>
        </is>
      </c>
      <c r="R108" s="3" t="n">
        <v>2</v>
      </c>
      <c r="S108" s="3" t="inlineStr"/>
      <c r="T108" s="3" t="inlineStr"/>
      <c r="U108" s="3" t="n">
        <v>0</v>
      </c>
      <c r="V108" s="3" t="inlineStr">
        <is>
          <t>masc:1.4;fem:0.1</t>
        </is>
      </c>
      <c r="W108" s="3" t="n">
        <v>1.4</v>
      </c>
      <c r="X108" s="3" t="n">
        <v>0.1</v>
      </c>
      <c r="Y108" s="3" t="inlineStr">
        <is>
          <t>COMM_Logical</t>
        </is>
      </c>
      <c r="Z108" s="3" t="inlineStr">
        <is>
          <t>REG_SelfSoother</t>
        </is>
      </c>
      <c r="AA108" s="3" t="inlineStr">
        <is>
          <t>LANG_Service</t>
        </is>
      </c>
      <c r="AB108" s="3" t="inlineStr">
        <is>
          <t>Vulnerability_Loop</t>
        </is>
      </c>
      <c r="AC108" s="3" t="inlineStr">
        <is>
          <t>Vulnerability_Loop</t>
        </is>
      </c>
      <c r="AD108" s="3" t="inlineStr"/>
      <c r="AE108" s="3" t="n">
        <v>5</v>
      </c>
      <c r="AF108" s="3" t="inlineStr">
        <is>
          <t>inner spiral</t>
        </is>
      </c>
      <c r="AG108" s="3" t="inlineStr">
        <is>
          <t>self-blamer</t>
        </is>
      </c>
      <c r="AH108" s="3" t="n">
        <v>0</v>
      </c>
      <c r="AI108" s="3" t="inlineStr">
        <is>
          <t>yes</t>
        </is>
      </c>
      <c r="AJ108" s="3" t="inlineStr">
        <is>
          <t>no</t>
        </is>
      </c>
      <c r="AK108" s="3" t="inlineStr">
        <is>
          <t>yes</t>
        </is>
      </c>
      <c r="AL108" s="3" t="inlineStr">
        <is>
          <t>yes</t>
        </is>
      </c>
      <c r="AM108" s="3" t="inlineStr"/>
      <c r="AN108" s="3" t="inlineStr"/>
      <c r="AO108" s="3" t="inlineStr"/>
      <c r="AP108" s="3" t="inlineStr">
        <is>
          <t>v3_2026-03-19</t>
        </is>
      </c>
    </row>
    <row r="109">
      <c r="A109" s="3" t="inlineStr">
        <is>
          <t>Q22_C</t>
        </is>
      </c>
      <c r="B109" s="3" t="n">
        <v>22</v>
      </c>
      <c r="C109" s="3" t="n">
        <v>22</v>
      </c>
      <c r="D109" s="3" t="inlineStr">
        <is>
          <t>Core</t>
        </is>
      </c>
      <c r="E109" s="3" t="n">
        <v>1.1</v>
      </c>
      <c r="F109" s="3" t="inlineStr">
        <is>
          <t>EmotionalRegulation</t>
        </is>
      </c>
      <c r="G109" s="3" t="inlineStr">
        <is>
          <t>AttachmentSafety</t>
        </is>
      </c>
      <c r="H109" s="3" t="inlineStr"/>
      <c r="I109" s="3" t="inlineStr">
        <is>
          <t>C</t>
        </is>
      </c>
      <c r="J109" s="3" t="inlineStr">
        <is>
          <t>C</t>
        </is>
      </c>
      <c r="K109" s="3" t="inlineStr">
        <is>
          <t>I'll ask once. If it's brushed off or ignored, I shift. I'm not the type to sit in someone else's silence for long.</t>
        </is>
      </c>
      <c r="L109" s="3" t="n">
        <v>9</v>
      </c>
      <c r="M109" s="3" t="n">
        <v>9</v>
      </c>
      <c r="N109" s="3" t="n">
        <v>10</v>
      </c>
      <c r="O109" s="3" t="n">
        <v>10</v>
      </c>
      <c r="P109" s="3" t="n">
        <v>10</v>
      </c>
      <c r="Q109" s="3" t="inlineStr">
        <is>
          <t>Regulated Grown-Up</t>
        </is>
      </c>
      <c r="R109" s="3" t="n">
        <v>9</v>
      </c>
      <c r="S109" s="3" t="inlineStr"/>
      <c r="T109" s="3" t="inlineStr"/>
      <c r="U109" s="3" t="n">
        <v>0</v>
      </c>
      <c r="V109" s="3" t="inlineStr">
        <is>
          <t>masc:1.1;fem:0.9</t>
        </is>
      </c>
      <c r="W109" s="3" t="n">
        <v>1.1</v>
      </c>
      <c r="X109" s="3" t="n">
        <v>0.9</v>
      </c>
      <c r="Y109" s="3" t="inlineStr">
        <is>
          <t>COMM_Direct</t>
        </is>
      </c>
      <c r="Z109" s="3" t="inlineStr">
        <is>
          <t>REG_CoRegulator</t>
        </is>
      </c>
      <c r="AA109" s="3" t="inlineStr">
        <is>
          <t>LANG_Words</t>
        </is>
      </c>
      <c r="AB109" s="3" t="inlineStr"/>
      <c r="AC109" s="3" t="inlineStr"/>
      <c r="AD109" s="3" t="inlineStr"/>
      <c r="AE109" s="3" t="n">
        <v>0</v>
      </c>
      <c r="AF109" s="3" t="inlineStr">
        <is>
          <t>direct with boundaries</t>
        </is>
      </c>
      <c r="AG109" s="3" t="inlineStr">
        <is>
          <t>firm line-setter</t>
        </is>
      </c>
      <c r="AH109" s="3" t="n">
        <v>0</v>
      </c>
      <c r="AI109" s="3" t="inlineStr">
        <is>
          <t>no</t>
        </is>
      </c>
      <c r="AJ109" s="3" t="inlineStr">
        <is>
          <t>no</t>
        </is>
      </c>
      <c r="AK109" s="3" t="inlineStr">
        <is>
          <t>yes</t>
        </is>
      </c>
      <c r="AL109" s="3" t="inlineStr">
        <is>
          <t>yes</t>
        </is>
      </c>
      <c r="AM109" s="3" t="inlineStr"/>
      <c r="AN109" s="3" t="inlineStr"/>
      <c r="AO109" s="3" t="inlineStr"/>
      <c r="AP109" s="3" t="inlineStr">
        <is>
          <t>v3_2026-03-19</t>
        </is>
      </c>
    </row>
    <row r="110">
      <c r="A110" s="3" t="inlineStr">
        <is>
          <t>Q22_D</t>
        </is>
      </c>
      <c r="B110" s="3" t="n">
        <v>22</v>
      </c>
      <c r="C110" s="3" t="n">
        <v>22</v>
      </c>
      <c r="D110" s="3" t="inlineStr">
        <is>
          <t>Core</t>
        </is>
      </c>
      <c r="E110" s="3" t="n">
        <v>1.1</v>
      </c>
      <c r="F110" s="3" t="inlineStr">
        <is>
          <t>EmotionalRegulation</t>
        </is>
      </c>
      <c r="G110" s="3" t="inlineStr">
        <is>
          <t>AttachmentSafety</t>
        </is>
      </c>
      <c r="H110" s="3" t="inlineStr"/>
      <c r="I110" s="3" t="inlineStr">
        <is>
          <t>D</t>
        </is>
      </c>
      <c r="J110" s="3" t="inlineStr">
        <is>
          <t>D</t>
        </is>
      </c>
      <c r="K110" s="3" t="inlineStr">
        <is>
          <t>I try to keep the mood up, shift the subject, make it feel less tense,even if I'm freaking out a little inside.</t>
        </is>
      </c>
      <c r="L110" s="3" t="n">
        <v>6</v>
      </c>
      <c r="M110" s="3" t="n">
        <v>7</v>
      </c>
      <c r="N110" s="3" t="n">
        <v>4</v>
      </c>
      <c r="O110" s="3" t="n">
        <v>4</v>
      </c>
      <c r="P110" s="3" t="n">
        <v>2</v>
      </c>
      <c r="Q110" s="3" t="inlineStr">
        <is>
          <t>Performer</t>
        </is>
      </c>
      <c r="R110" s="3" t="n">
        <v>7</v>
      </c>
      <c r="S110" s="3" t="inlineStr"/>
      <c r="T110" s="3" t="inlineStr"/>
      <c r="U110" s="3" t="n">
        <v>0</v>
      </c>
      <c r="V110" s="3" t="inlineStr">
        <is>
          <t>masc:0.3;fem:0.5</t>
        </is>
      </c>
      <c r="W110" s="3" t="n">
        <v>0.3</v>
      </c>
      <c r="X110" s="3" t="n">
        <v>0.5</v>
      </c>
      <c r="Y110" s="3" t="inlineStr">
        <is>
          <t>COMM_Indirect</t>
        </is>
      </c>
      <c r="Z110" s="3" t="inlineStr">
        <is>
          <t>REG_Distractor</t>
        </is>
      </c>
      <c r="AA110" s="3" t="inlineStr">
        <is>
          <t>LANG_Gifts</t>
        </is>
      </c>
      <c r="AB110" s="3" t="inlineStr">
        <is>
          <t>Vulnerability_Loop</t>
        </is>
      </c>
      <c r="AC110" s="3" t="inlineStr">
        <is>
          <t>Vulnerability_Loop</t>
        </is>
      </c>
      <c r="AD110" s="3" t="inlineStr"/>
      <c r="AE110" s="3" t="n">
        <v>5</v>
      </c>
      <c r="AF110" s="3" t="inlineStr">
        <is>
          <t>smooth cover-up</t>
        </is>
      </c>
      <c r="AG110" s="3" t="inlineStr">
        <is>
          <t>tension diffuser</t>
        </is>
      </c>
      <c r="AH110" s="3" t="n">
        <v>0</v>
      </c>
      <c r="AI110" s="3" t="inlineStr">
        <is>
          <t>yes</t>
        </is>
      </c>
      <c r="AJ110" s="3" t="inlineStr">
        <is>
          <t>no</t>
        </is>
      </c>
      <c r="AK110" s="3" t="inlineStr">
        <is>
          <t>yes</t>
        </is>
      </c>
      <c r="AL110" s="3" t="inlineStr">
        <is>
          <t>yes</t>
        </is>
      </c>
      <c r="AM110" s="3" t="inlineStr"/>
      <c r="AN110" s="3" t="inlineStr"/>
      <c r="AO110" s="3" t="inlineStr"/>
      <c r="AP110" s="3" t="inlineStr">
        <is>
          <t>v3_2026-03-19</t>
        </is>
      </c>
    </row>
    <row r="111">
      <c r="A111" s="3" t="inlineStr">
        <is>
          <t>Q22_E</t>
        </is>
      </c>
      <c r="B111" s="3" t="n">
        <v>22</v>
      </c>
      <c r="C111" s="3" t="n">
        <v>22</v>
      </c>
      <c r="D111" s="3" t="inlineStr">
        <is>
          <t>Core</t>
        </is>
      </c>
      <c r="E111" s="3" t="n">
        <v>1.1</v>
      </c>
      <c r="F111" s="3" t="inlineStr">
        <is>
          <t>EmotionalRegulation</t>
        </is>
      </c>
      <c r="G111" s="3" t="inlineStr">
        <is>
          <t>AttachmentSafety</t>
        </is>
      </c>
      <c r="H111" s="3" t="inlineStr"/>
      <c r="I111" s="3" t="inlineStr">
        <is>
          <t>E</t>
        </is>
      </c>
      <c r="J111" s="3" t="inlineStr">
        <is>
          <t>E</t>
        </is>
      </c>
      <c r="K111" s="3" t="inlineStr">
        <is>
          <t>I feel it, but I don't say anything. I stay present, hoping they'll come back to me on their own.</t>
        </is>
      </c>
      <c r="L111" s="3" t="n">
        <v>6</v>
      </c>
      <c r="M111" s="3" t="n">
        <v>6</v>
      </c>
      <c r="N111" s="3" t="n">
        <v>4</v>
      </c>
      <c r="O111" s="3" t="n">
        <v>4</v>
      </c>
      <c r="P111" s="3" t="n">
        <v>4</v>
      </c>
      <c r="Q111" s="3" t="inlineStr">
        <is>
          <t>Translator</t>
        </is>
      </c>
      <c r="R111" s="3" t="n">
        <v>3</v>
      </c>
      <c r="S111" s="3" t="inlineStr"/>
      <c r="T111" s="3" t="inlineStr"/>
      <c r="U111" s="3" t="n">
        <v>0</v>
      </c>
      <c r="V111" s="3" t="inlineStr">
        <is>
          <t>masc:-0.1;fem:1.6</t>
        </is>
      </c>
      <c r="W111" s="3" t="n">
        <v>-0.1</v>
      </c>
      <c r="X111" s="3" t="n">
        <v>1.6</v>
      </c>
      <c r="Y111" s="3" t="inlineStr">
        <is>
          <t>COMM_Indirect</t>
        </is>
      </c>
      <c r="Z111" s="3" t="inlineStr">
        <is>
          <t>REG_CoRegulator</t>
        </is>
      </c>
      <c r="AA111" s="3" t="inlineStr">
        <is>
          <t>LANG_Words</t>
        </is>
      </c>
      <c r="AB111" s="3" t="inlineStr">
        <is>
          <t>Vulnerability_Loop</t>
        </is>
      </c>
      <c r="AC111" s="3" t="inlineStr">
        <is>
          <t>Vulnerability_Loop</t>
        </is>
      </c>
      <c r="AD111" s="3" t="inlineStr"/>
      <c r="AE111" s="3" t="n">
        <v>5</v>
      </c>
      <c r="AF111" s="3" t="inlineStr">
        <is>
          <t>gentle waiter</t>
        </is>
      </c>
      <c r="AG111" s="3" t="inlineStr">
        <is>
          <t>silent holder</t>
        </is>
      </c>
      <c r="AH111" s="3" t="n">
        <v>0.6</v>
      </c>
      <c r="AI111" s="3" t="inlineStr">
        <is>
          <t>yes</t>
        </is>
      </c>
      <c r="AJ111" s="3" t="inlineStr">
        <is>
          <t>no</t>
        </is>
      </c>
      <c r="AK111" s="3" t="inlineStr">
        <is>
          <t>yes</t>
        </is>
      </c>
      <c r="AL111" s="3" t="inlineStr">
        <is>
          <t>yes</t>
        </is>
      </c>
      <c r="AM111" s="3" t="inlineStr"/>
      <c r="AN111" s="3" t="inlineStr"/>
      <c r="AO111" s="3" t="inlineStr"/>
      <c r="AP111" s="3" t="inlineStr">
        <is>
          <t>v3_2026-03-19</t>
        </is>
      </c>
    </row>
    <row r="112">
      <c r="A112" s="3" t="inlineStr">
        <is>
          <t>Q23_A</t>
        </is>
      </c>
      <c r="B112" s="3" t="n">
        <v>23</v>
      </c>
      <c r="C112" s="3" t="n">
        <v>23</v>
      </c>
      <c r="D112" s="3" t="inlineStr">
        <is>
          <t>Core</t>
        </is>
      </c>
      <c r="E112" s="3" t="n">
        <v>1.1</v>
      </c>
      <c r="F112" s="3" t="inlineStr">
        <is>
          <t>EmotionalRegulation</t>
        </is>
      </c>
      <c r="G112" s="3" t="inlineStr">
        <is>
          <t>AttachmentSafety</t>
        </is>
      </c>
      <c r="H112" s="3" t="inlineStr">
        <is>
          <t>You realize you're the one always putting in effort. They're coasting. What do you do about it?</t>
        </is>
      </c>
      <c r="I112" s="3" t="inlineStr">
        <is>
          <t>A</t>
        </is>
      </c>
      <c r="J112" s="3" t="inlineStr">
        <is>
          <t>A</t>
        </is>
      </c>
      <c r="K112" s="3" t="inlineStr">
        <is>
          <t>I stop. No callout, no drama. If I was carrying it, then it dies when I stop moving.</t>
        </is>
      </c>
      <c r="L112" s="3" t="n">
        <v>8</v>
      </c>
      <c r="M112" s="3" t="n">
        <v>8</v>
      </c>
      <c r="N112" s="3" t="n">
        <v>4</v>
      </c>
      <c r="O112" s="3" t="n">
        <v>4</v>
      </c>
      <c r="P112" s="3" t="n">
        <v>2</v>
      </c>
      <c r="Q112" s="3" t="inlineStr">
        <is>
          <t>Quiet Exit</t>
        </is>
      </c>
      <c r="R112" s="3" t="n">
        <v>4</v>
      </c>
      <c r="S112" s="3" t="inlineStr"/>
      <c r="T112" s="3" t="inlineStr"/>
      <c r="U112" s="3" t="n">
        <v>0</v>
      </c>
      <c r="V112" s="3" t="inlineStr">
        <is>
          <t>masc:1.4;fem:-1.3</t>
        </is>
      </c>
      <c r="W112" s="3" t="n">
        <v>1.4</v>
      </c>
      <c r="X112" s="3" t="n">
        <v>-1.3</v>
      </c>
      <c r="Y112" s="3" t="inlineStr">
        <is>
          <t>COMM_Avoidant</t>
        </is>
      </c>
      <c r="Z112" s="3" t="inlineStr">
        <is>
          <t>REG_Suppressor</t>
        </is>
      </c>
      <c r="AA112" s="3" t="inlineStr">
        <is>
          <t>LANG_Time</t>
        </is>
      </c>
      <c r="AB112" s="3" t="inlineStr"/>
      <c r="AC112" s="3" t="inlineStr"/>
      <c r="AD112" s="3" t="inlineStr"/>
      <c r="AE112" s="3" t="n">
        <v>0</v>
      </c>
      <c r="AF112" s="3" t="inlineStr">
        <is>
          <t>effort withdrawal</t>
        </is>
      </c>
      <c r="AG112" s="3" t="inlineStr">
        <is>
          <t>quiet exit</t>
        </is>
      </c>
      <c r="AH112" s="3" t="n">
        <v>0.6</v>
      </c>
      <c r="AI112" s="3" t="inlineStr">
        <is>
          <t>no</t>
        </is>
      </c>
      <c r="AJ112" s="3" t="inlineStr">
        <is>
          <t>no</t>
        </is>
      </c>
      <c r="AK112" s="3" t="inlineStr">
        <is>
          <t>yes</t>
        </is>
      </c>
      <c r="AL112" s="3" t="inlineStr">
        <is>
          <t>yes</t>
        </is>
      </c>
      <c r="AM112" s="3" t="inlineStr"/>
      <c r="AN112" s="3" t="inlineStr"/>
      <c r="AO112" s="3" t="inlineStr"/>
      <c r="AP112" s="3" t="inlineStr">
        <is>
          <t>v3_2026-03-19</t>
        </is>
      </c>
    </row>
    <row r="113">
      <c r="A113" s="3" t="inlineStr">
        <is>
          <t>Q23_B</t>
        </is>
      </c>
      <c r="B113" s="3" t="n">
        <v>23</v>
      </c>
      <c r="C113" s="3" t="n">
        <v>23</v>
      </c>
      <c r="D113" s="3" t="inlineStr">
        <is>
          <t>Core</t>
        </is>
      </c>
      <c r="E113" s="3" t="n">
        <v>1.1</v>
      </c>
      <c r="F113" s="3" t="inlineStr">
        <is>
          <t>EmotionalRegulation</t>
        </is>
      </c>
      <c r="G113" s="3" t="inlineStr">
        <is>
          <t>AttachmentSafety</t>
        </is>
      </c>
      <c r="H113" s="3" t="inlineStr"/>
      <c r="I113" s="3" t="inlineStr">
        <is>
          <t>B</t>
        </is>
      </c>
      <c r="J113" s="3" t="inlineStr">
        <is>
          <t>B</t>
        </is>
      </c>
      <c r="K113" s="3" t="inlineStr">
        <is>
          <t>I try one more time, just to see if they notice. If not, I pull back hard. I need to know it wasn't just me pretending this thing was mutual.</t>
        </is>
      </c>
      <c r="L113" s="3" t="n">
        <v>5</v>
      </c>
      <c r="M113" s="3" t="n">
        <v>6</v>
      </c>
      <c r="N113" s="3" t="n">
        <v>2</v>
      </c>
      <c r="O113" s="3" t="n">
        <v>2</v>
      </c>
      <c r="P113" s="3" t="n">
        <v>0</v>
      </c>
      <c r="Q113" s="3" t="inlineStr">
        <is>
          <t>Phantom Seeker</t>
        </is>
      </c>
      <c r="R113" s="3" t="n">
        <v>10</v>
      </c>
      <c r="S113" s="3" t="inlineStr"/>
      <c r="T113" s="3" t="inlineStr"/>
      <c r="U113" s="3" t="n">
        <v>0</v>
      </c>
      <c r="V113" s="3" t="inlineStr">
        <is>
          <t>masc:-0.2;fem:1.5</t>
        </is>
      </c>
      <c r="W113" s="3" t="n">
        <v>-0.2</v>
      </c>
      <c r="X113" s="3" t="n">
        <v>1.5</v>
      </c>
      <c r="Y113" s="3" t="inlineStr">
        <is>
          <t>COMM_Emotional</t>
        </is>
      </c>
      <c r="Z113" s="3" t="inlineStr">
        <is>
          <t>REG_SelfSoother</t>
        </is>
      </c>
      <c r="AA113" s="3" t="inlineStr">
        <is>
          <t>LANG_Touch</t>
        </is>
      </c>
      <c r="AB113" s="3" t="inlineStr">
        <is>
          <t>Vulnerability_Loop , Pursuer_Distancer</t>
        </is>
      </c>
      <c r="AC113" s="3" t="inlineStr">
        <is>
          <t>Vulnerability_Loop</t>
        </is>
      </c>
      <c r="AD113" s="3" t="inlineStr">
        <is>
          <t>Pursuer_Distancer</t>
        </is>
      </c>
      <c r="AE113" s="3" t="n">
        <v>11</v>
      </c>
      <c r="AF113" s="3" t="inlineStr">
        <is>
          <t>last-ditch test</t>
        </is>
      </c>
      <c r="AG113" s="3" t="inlineStr">
        <is>
          <t>conditional engager</t>
        </is>
      </c>
      <c r="AH113" s="3" t="n">
        <v>1.2</v>
      </c>
      <c r="AI113" s="3" t="inlineStr">
        <is>
          <t>yes</t>
        </is>
      </c>
      <c r="AJ113" s="3" t="inlineStr">
        <is>
          <t>no</t>
        </is>
      </c>
      <c r="AK113" s="3" t="inlineStr">
        <is>
          <t>yes</t>
        </is>
      </c>
      <c r="AL113" s="3" t="inlineStr">
        <is>
          <t>yes</t>
        </is>
      </c>
      <c r="AM113" s="3" t="inlineStr"/>
      <c r="AN113" s="3" t="inlineStr"/>
      <c r="AO113" s="3" t="inlineStr"/>
      <c r="AP113" s="3" t="inlineStr">
        <is>
          <t>v3_2026-03-19</t>
        </is>
      </c>
    </row>
    <row r="114">
      <c r="A114" s="3" t="inlineStr">
        <is>
          <t>Q23_C</t>
        </is>
      </c>
      <c r="B114" s="3" t="n">
        <v>23</v>
      </c>
      <c r="C114" s="3" t="n">
        <v>23</v>
      </c>
      <c r="D114" s="3" t="inlineStr">
        <is>
          <t>Core</t>
        </is>
      </c>
      <c r="E114" s="3" t="n">
        <v>1.1</v>
      </c>
      <c r="F114" s="3" t="inlineStr">
        <is>
          <t>EmotionalRegulation</t>
        </is>
      </c>
      <c r="G114" s="3" t="inlineStr">
        <is>
          <t>AttachmentSafety</t>
        </is>
      </c>
      <c r="H114" s="3" t="inlineStr"/>
      <c r="I114" s="3" t="inlineStr">
        <is>
          <t>C</t>
        </is>
      </c>
      <c r="J114" s="3" t="inlineStr">
        <is>
          <t>C</t>
        </is>
      </c>
      <c r="K114" s="3" t="inlineStr">
        <is>
          <t>I ask. Not in a "what are we?" way ,I just need to know if I'm wasting my energy or building something real.</t>
        </is>
      </c>
      <c r="L114" s="3" t="n">
        <v>8</v>
      </c>
      <c r="M114" s="3" t="n">
        <v>9</v>
      </c>
      <c r="N114" s="3" t="n">
        <v>8</v>
      </c>
      <c r="O114" s="3" t="n">
        <v>8</v>
      </c>
      <c r="P114" s="3" t="n">
        <v>8</v>
      </c>
      <c r="Q114" s="3" t="inlineStr">
        <is>
          <t>Analyzer</t>
        </is>
      </c>
      <c r="R114" s="3" t="n">
        <v>2</v>
      </c>
      <c r="S114" s="3" t="inlineStr"/>
      <c r="T114" s="3" t="inlineStr"/>
      <c r="U114" s="3" t="n">
        <v>0</v>
      </c>
      <c r="V114" s="3" t="inlineStr">
        <is>
          <t>masc:1.4;fem:0.1</t>
        </is>
      </c>
      <c r="W114" s="3" t="n">
        <v>1.4</v>
      </c>
      <c r="X114" s="3" t="n">
        <v>0.1</v>
      </c>
      <c r="Y114" s="3" t="inlineStr">
        <is>
          <t>COMM_Logical</t>
        </is>
      </c>
      <c r="Z114" s="3" t="inlineStr">
        <is>
          <t>REG_SelfSoother</t>
        </is>
      </c>
      <c r="AA114" s="3" t="inlineStr">
        <is>
          <t>LANG_Service</t>
        </is>
      </c>
      <c r="AB114" s="3" t="inlineStr"/>
      <c r="AC114" s="3" t="inlineStr"/>
      <c r="AD114" s="3" t="inlineStr"/>
      <c r="AE114" s="3" t="n">
        <v>0</v>
      </c>
      <c r="AF114" s="3" t="inlineStr">
        <is>
          <t>clarity-seeking</t>
        </is>
      </c>
      <c r="AG114" s="3" t="inlineStr">
        <is>
          <t>direct assessor</t>
        </is>
      </c>
      <c r="AH114" s="3" t="n">
        <v>0</v>
      </c>
      <c r="AI114" s="3" t="inlineStr">
        <is>
          <t>no</t>
        </is>
      </c>
      <c r="AJ114" s="3" t="inlineStr">
        <is>
          <t>no</t>
        </is>
      </c>
      <c r="AK114" s="3" t="inlineStr">
        <is>
          <t>yes</t>
        </is>
      </c>
      <c r="AL114" s="3" t="inlineStr">
        <is>
          <t>yes</t>
        </is>
      </c>
      <c r="AM114" s="3" t="inlineStr"/>
      <c r="AN114" s="3" t="inlineStr"/>
      <c r="AO114" s="3" t="inlineStr"/>
      <c r="AP114" s="3" t="inlineStr">
        <is>
          <t>v3_2026-03-19</t>
        </is>
      </c>
    </row>
    <row r="115">
      <c r="A115" s="3" t="inlineStr">
        <is>
          <t>Q23_D</t>
        </is>
      </c>
      <c r="B115" s="3" t="n">
        <v>23</v>
      </c>
      <c r="C115" s="3" t="n">
        <v>23</v>
      </c>
      <c r="D115" s="3" t="inlineStr">
        <is>
          <t>Core</t>
        </is>
      </c>
      <c r="E115" s="3" t="n">
        <v>1.1</v>
      </c>
      <c r="F115" s="3" t="inlineStr">
        <is>
          <t>EmotionalRegulation</t>
        </is>
      </c>
      <c r="G115" s="3" t="inlineStr">
        <is>
          <t>AttachmentSafety</t>
        </is>
      </c>
      <c r="H115" s="3" t="inlineStr"/>
      <c r="I115" s="3" t="inlineStr">
        <is>
          <t>D</t>
        </is>
      </c>
      <c r="J115" s="3" t="inlineStr">
        <is>
          <t>D</t>
        </is>
      </c>
      <c r="K115" s="3" t="inlineStr">
        <is>
          <t>I double down. I give more, joke more, show up harder, hoping they'll finally meet me there. It's dumb, I know, but I still do it.</t>
        </is>
      </c>
      <c r="L115" s="3" t="n">
        <v>4</v>
      </c>
      <c r="M115" s="3" t="n">
        <v>5</v>
      </c>
      <c r="N115" s="3" t="n">
        <v>2</v>
      </c>
      <c r="O115" s="3" t="n">
        <v>2</v>
      </c>
      <c r="P115" s="3" t="n">
        <v>2</v>
      </c>
      <c r="Q115" s="3" t="inlineStr">
        <is>
          <t>Fixer</t>
        </is>
      </c>
      <c r="R115" s="3" t="n">
        <v>5</v>
      </c>
      <c r="S115" s="3" t="inlineStr"/>
      <c r="T115" s="3" t="inlineStr"/>
      <c r="U115" s="3" t="n">
        <v>0</v>
      </c>
      <c r="V115" s="3" t="inlineStr">
        <is>
          <t>masc:-0.4;fem:2.0</t>
        </is>
      </c>
      <c r="W115" s="3" t="n">
        <v>-0.4</v>
      </c>
      <c r="X115" s="3" t="n">
        <v>2</v>
      </c>
      <c r="Y115" s="3" t="inlineStr">
        <is>
          <t>COMM_Emotional</t>
        </is>
      </c>
      <c r="Z115" s="3" t="inlineStr">
        <is>
          <t>REG_CoRegulator</t>
        </is>
      </c>
      <c r="AA115" s="3" t="inlineStr">
        <is>
          <t>LANG_Service</t>
        </is>
      </c>
      <c r="AB115" s="3" t="inlineStr">
        <is>
          <t>Humor_Shield</t>
        </is>
      </c>
      <c r="AC115" s="3" t="inlineStr">
        <is>
          <t>Humor_Shield</t>
        </is>
      </c>
      <c r="AD115" s="3" t="inlineStr"/>
      <c r="AE115" s="3" t="n">
        <v>3</v>
      </c>
      <c r="AF115" s="3" t="inlineStr">
        <is>
          <t>effort loop</t>
        </is>
      </c>
      <c r="AG115" s="3" t="inlineStr">
        <is>
          <t>hopeful fixer</t>
        </is>
      </c>
      <c r="AH115" s="3" t="n">
        <v>0</v>
      </c>
      <c r="AI115" s="3" t="inlineStr">
        <is>
          <t>yes</t>
        </is>
      </c>
      <c r="AJ115" s="3" t="inlineStr">
        <is>
          <t>no</t>
        </is>
      </c>
      <c r="AK115" s="3" t="inlineStr">
        <is>
          <t>yes</t>
        </is>
      </c>
      <c r="AL115" s="3" t="inlineStr">
        <is>
          <t>yes</t>
        </is>
      </c>
      <c r="AM115" s="3" t="inlineStr"/>
      <c r="AN115" s="3" t="inlineStr"/>
      <c r="AO115" s="3" t="inlineStr"/>
      <c r="AP115" s="3" t="inlineStr">
        <is>
          <t>v3_2026-03-19</t>
        </is>
      </c>
    </row>
    <row r="116">
      <c r="A116" s="3" t="inlineStr">
        <is>
          <t>Q23_E</t>
        </is>
      </c>
      <c r="B116" s="3" t="n">
        <v>23</v>
      </c>
      <c r="C116" s="3" t="n">
        <v>23</v>
      </c>
      <c r="D116" s="3" t="inlineStr">
        <is>
          <t>Core</t>
        </is>
      </c>
      <c r="E116" s="3" t="n">
        <v>1.1</v>
      </c>
      <c r="F116" s="3" t="inlineStr">
        <is>
          <t>EmotionalRegulation</t>
        </is>
      </c>
      <c r="G116" s="3" t="inlineStr">
        <is>
          <t>AttachmentSafety</t>
        </is>
      </c>
      <c r="H116" s="3" t="inlineStr"/>
      <c r="I116" s="3" t="inlineStr">
        <is>
          <t>E</t>
        </is>
      </c>
      <c r="J116" s="3" t="inlineStr">
        <is>
          <t>E</t>
        </is>
      </c>
      <c r="K116" s="3" t="inlineStr">
        <is>
          <t>You didn't match my energy? I don't mention it, I just reroute mine. I'm not here to coach someone into caring.</t>
        </is>
      </c>
      <c r="L116" s="3" t="n">
        <v>8</v>
      </c>
      <c r="M116" s="3" t="n">
        <v>9</v>
      </c>
      <c r="N116" s="3" t="n">
        <v>4</v>
      </c>
      <c r="O116" s="3" t="n">
        <v>6</v>
      </c>
      <c r="P116" s="3" t="n">
        <v>2</v>
      </c>
      <c r="Q116" s="3" t="inlineStr">
        <is>
          <t>Icebox</t>
        </is>
      </c>
      <c r="R116" s="3" t="n">
        <v>1</v>
      </c>
      <c r="S116" s="3" t="inlineStr"/>
      <c r="T116" s="3" t="inlineStr"/>
      <c r="U116" s="3" t="n">
        <v>0</v>
      </c>
      <c r="V116" s="3" t="inlineStr">
        <is>
          <t>masc:1.8;fem:-1.6</t>
        </is>
      </c>
      <c r="W116" s="3" t="n">
        <v>1.8</v>
      </c>
      <c r="X116" s="3" t="n">
        <v>-1.6</v>
      </c>
      <c r="Y116" s="3" t="inlineStr">
        <is>
          <t>COMM_Avoidant</t>
        </is>
      </c>
      <c r="Z116" s="3" t="inlineStr">
        <is>
          <t>REG_Suppressor</t>
        </is>
      </c>
      <c r="AA116" s="3" t="inlineStr">
        <is>
          <t>LANG_Time</t>
        </is>
      </c>
      <c r="AB116" s="3" t="inlineStr"/>
      <c r="AC116" s="3" t="inlineStr"/>
      <c r="AD116" s="3" t="inlineStr"/>
      <c r="AE116" s="3" t="n">
        <v>0</v>
      </c>
      <c r="AF116" s="3" t="inlineStr">
        <is>
          <t>no-warning shift</t>
        </is>
      </c>
      <c r="AG116" s="3" t="inlineStr">
        <is>
          <t>decisive withdrawer</t>
        </is>
      </c>
      <c r="AH116" s="3" t="n">
        <v>0.6</v>
      </c>
      <c r="AI116" s="3" t="inlineStr">
        <is>
          <t>no</t>
        </is>
      </c>
      <c r="AJ116" s="3" t="inlineStr">
        <is>
          <t>no</t>
        </is>
      </c>
      <c r="AK116" s="3" t="inlineStr">
        <is>
          <t>yes</t>
        </is>
      </c>
      <c r="AL116" s="3" t="inlineStr">
        <is>
          <t>yes</t>
        </is>
      </c>
      <c r="AM116" s="3" t="inlineStr"/>
      <c r="AN116" s="3" t="inlineStr"/>
      <c r="AO116" s="3" t="inlineStr"/>
      <c r="AP116" s="3" t="inlineStr">
        <is>
          <t>v3_2026-03-19</t>
        </is>
      </c>
    </row>
    <row r="117">
      <c r="A117" s="3" t="inlineStr">
        <is>
          <t>Q24_A</t>
        </is>
      </c>
      <c r="B117" s="3" t="n">
        <v>24</v>
      </c>
      <c r="C117" s="3" t="n">
        <v>24</v>
      </c>
      <c r="D117" s="3" t="inlineStr">
        <is>
          <t>Core</t>
        </is>
      </c>
      <c r="E117" s="3" t="n">
        <v>1.1</v>
      </c>
      <c r="F117" s="3" t="inlineStr">
        <is>
          <t>EmotionalRegulation</t>
        </is>
      </c>
      <c r="G117" s="3" t="inlineStr">
        <is>
          <t>AttachmentSafety</t>
        </is>
      </c>
      <c r="H117" s="3" t="inlineStr">
        <is>
          <t>You go out of your way for someone... but it's clear they don't value it. What happens next?</t>
        </is>
      </c>
      <c r="I117" s="3" t="inlineStr">
        <is>
          <t>A</t>
        </is>
      </c>
      <c r="J117" s="3" t="inlineStr">
        <is>
          <t>A</t>
        </is>
      </c>
      <c r="K117" s="3" t="inlineStr">
        <is>
          <t>I note it, quietly. Next time they need something, I'm not showing up the same.</t>
        </is>
      </c>
      <c r="L117" s="3" t="n">
        <v>8</v>
      </c>
      <c r="M117" s="3" t="n">
        <v>8</v>
      </c>
      <c r="N117" s="3" t="n">
        <v>4</v>
      </c>
      <c r="O117" s="3" t="n">
        <v>4</v>
      </c>
      <c r="P117" s="3" t="n">
        <v>2</v>
      </c>
      <c r="Q117" s="3" t="inlineStr">
        <is>
          <t>Quiet Exit</t>
        </is>
      </c>
      <c r="R117" s="3" t="n">
        <v>4</v>
      </c>
      <c r="S117" s="3" t="inlineStr"/>
      <c r="T117" s="3" t="inlineStr"/>
      <c r="U117" s="3" t="n">
        <v>0</v>
      </c>
      <c r="V117" s="3" t="inlineStr">
        <is>
          <t>masc:1.4;fem:-1.3</t>
        </is>
      </c>
      <c r="W117" s="3" t="n">
        <v>1.4</v>
      </c>
      <c r="X117" s="3" t="n">
        <v>-1.3</v>
      </c>
      <c r="Y117" s="3" t="inlineStr">
        <is>
          <t>COMM_Avoidant</t>
        </is>
      </c>
      <c r="Z117" s="3" t="inlineStr">
        <is>
          <t>REG_Suppressor</t>
        </is>
      </c>
      <c r="AA117" s="3" t="inlineStr">
        <is>
          <t>LANG_Time</t>
        </is>
      </c>
      <c r="AB117" s="3" t="inlineStr"/>
      <c r="AC117" s="3" t="inlineStr"/>
      <c r="AD117" s="3" t="inlineStr"/>
      <c r="AE117" s="3" t="n">
        <v>0</v>
      </c>
      <c r="AF117" s="3" t="inlineStr">
        <is>
          <t>emotional cost accountant</t>
        </is>
      </c>
      <c r="AG117" s="3" t="inlineStr">
        <is>
          <t>boundary enforcer</t>
        </is>
      </c>
      <c r="AH117" s="3" t="n">
        <v>0</v>
      </c>
      <c r="AI117" s="3" t="inlineStr">
        <is>
          <t>no</t>
        </is>
      </c>
      <c r="AJ117" s="3" t="inlineStr">
        <is>
          <t>no</t>
        </is>
      </c>
      <c r="AK117" s="3" t="inlineStr">
        <is>
          <t>yes</t>
        </is>
      </c>
      <c r="AL117" s="3" t="inlineStr">
        <is>
          <t>yes</t>
        </is>
      </c>
      <c r="AM117" s="3" t="inlineStr"/>
      <c r="AN117" s="3" t="inlineStr"/>
      <c r="AO117" s="3" t="inlineStr"/>
      <c r="AP117" s="3" t="inlineStr">
        <is>
          <t>v3_2026-03-19</t>
        </is>
      </c>
    </row>
    <row r="118">
      <c r="A118" s="3" t="inlineStr">
        <is>
          <t>Q24_B</t>
        </is>
      </c>
      <c r="B118" s="3" t="n">
        <v>24</v>
      </c>
      <c r="C118" s="3" t="n">
        <v>24</v>
      </c>
      <c r="D118" s="3" t="inlineStr">
        <is>
          <t>Core</t>
        </is>
      </c>
      <c r="E118" s="3" t="n">
        <v>1.1</v>
      </c>
      <c r="F118" s="3" t="inlineStr">
        <is>
          <t>EmotionalRegulation</t>
        </is>
      </c>
      <c r="G118" s="3" t="inlineStr">
        <is>
          <t>AttachmentSafety</t>
        </is>
      </c>
      <c r="H118" s="3" t="inlineStr"/>
      <c r="I118" s="3" t="inlineStr">
        <is>
          <t>B</t>
        </is>
      </c>
      <c r="J118" s="3" t="inlineStr">
        <is>
          <t>B</t>
        </is>
      </c>
      <c r="K118" s="3" t="inlineStr">
        <is>
          <t>I try one more thing, one big gesture, maybe. If they still don't get it, that's on them.</t>
        </is>
      </c>
      <c r="L118" s="3" t="n">
        <v>6</v>
      </c>
      <c r="M118" s="3" t="n">
        <v>7</v>
      </c>
      <c r="N118" s="3" t="n">
        <v>4</v>
      </c>
      <c r="O118" s="3" t="n">
        <v>4</v>
      </c>
      <c r="P118" s="3" t="n">
        <v>2</v>
      </c>
      <c r="Q118" s="3" t="inlineStr">
        <is>
          <t>Romantic Idealist</t>
        </is>
      </c>
      <c r="R118" s="3" t="n">
        <v>6</v>
      </c>
      <c r="S118" s="3" t="inlineStr"/>
      <c r="T118" s="3" t="inlineStr"/>
      <c r="U118" s="3" t="n">
        <v>0</v>
      </c>
      <c r="V118" s="3" t="inlineStr">
        <is>
          <t>masc:-0.4;fem:1.5</t>
        </is>
      </c>
      <c r="W118" s="3" t="n">
        <v>-0.4</v>
      </c>
      <c r="X118" s="3" t="n">
        <v>1.5</v>
      </c>
      <c r="Y118" s="3" t="inlineStr">
        <is>
          <t>COMM_Emotional</t>
        </is>
      </c>
      <c r="Z118" s="3" t="inlineStr">
        <is>
          <t>REG_Distractor</t>
        </is>
      </c>
      <c r="AA118" s="3" t="inlineStr">
        <is>
          <t>LANG_Gifts</t>
        </is>
      </c>
      <c r="AB118" s="3" t="inlineStr">
        <is>
          <t>Commitment_Ambiguity</t>
        </is>
      </c>
      <c r="AC118" s="3" t="inlineStr">
        <is>
          <t>Commitment_Ambiguity</t>
        </is>
      </c>
      <c r="AD118" s="3" t="inlineStr"/>
      <c r="AE118" s="3" t="n">
        <v>5</v>
      </c>
      <c r="AF118" s="3" t="inlineStr">
        <is>
          <t>hopeful closer</t>
        </is>
      </c>
      <c r="AG118" s="3" t="inlineStr">
        <is>
          <t>last-chance giver</t>
        </is>
      </c>
      <c r="AH118" s="3" t="n">
        <v>0</v>
      </c>
      <c r="AI118" s="3" t="inlineStr">
        <is>
          <t>yes</t>
        </is>
      </c>
      <c r="AJ118" s="3" t="inlineStr">
        <is>
          <t>no</t>
        </is>
      </c>
      <c r="AK118" s="3" t="inlineStr">
        <is>
          <t>yes</t>
        </is>
      </c>
      <c r="AL118" s="3" t="inlineStr">
        <is>
          <t>yes</t>
        </is>
      </c>
      <c r="AM118" s="3" t="inlineStr"/>
      <c r="AN118" s="3" t="inlineStr"/>
      <c r="AO118" s="3" t="inlineStr"/>
      <c r="AP118" s="3" t="inlineStr">
        <is>
          <t>v3_2026-03-19</t>
        </is>
      </c>
    </row>
    <row r="119">
      <c r="A119" s="3" t="inlineStr">
        <is>
          <t>Q24_C</t>
        </is>
      </c>
      <c r="B119" s="3" t="n">
        <v>24</v>
      </c>
      <c r="C119" s="3" t="n">
        <v>24</v>
      </c>
      <c r="D119" s="3" t="inlineStr">
        <is>
          <t>Core</t>
        </is>
      </c>
      <c r="E119" s="3" t="n">
        <v>1.1</v>
      </c>
      <c r="F119" s="3" t="inlineStr">
        <is>
          <t>EmotionalRegulation</t>
        </is>
      </c>
      <c r="G119" s="3" t="inlineStr">
        <is>
          <t>AttachmentSafety</t>
        </is>
      </c>
      <c r="H119" s="3" t="inlineStr"/>
      <c r="I119" s="3" t="inlineStr">
        <is>
          <t>C</t>
        </is>
      </c>
      <c r="J119" s="3" t="inlineStr">
        <is>
          <t>C</t>
        </is>
      </c>
      <c r="K119" s="3" t="inlineStr">
        <is>
          <t>I say it. Not to guilt them, just so they know I noticed. Then I adjust accordingly.</t>
        </is>
      </c>
      <c r="L119" s="3" t="n">
        <v>8</v>
      </c>
      <c r="M119" s="3" t="n">
        <v>9</v>
      </c>
      <c r="N119" s="3" t="n">
        <v>8</v>
      </c>
      <c r="O119" s="3" t="n">
        <v>8</v>
      </c>
      <c r="P119" s="3" t="n">
        <v>8</v>
      </c>
      <c r="Q119" s="3" t="inlineStr">
        <is>
          <t>Analyzer</t>
        </is>
      </c>
      <c r="R119" s="3" t="n">
        <v>2</v>
      </c>
      <c r="S119" s="3" t="inlineStr"/>
      <c r="T119" s="3" t="inlineStr"/>
      <c r="U119" s="3" t="n">
        <v>0</v>
      </c>
      <c r="V119" s="3" t="inlineStr">
        <is>
          <t>masc:1.4;fem:0.1</t>
        </is>
      </c>
      <c r="W119" s="3" t="n">
        <v>1.4</v>
      </c>
      <c r="X119" s="3" t="n">
        <v>0.1</v>
      </c>
      <c r="Y119" s="3" t="inlineStr">
        <is>
          <t>COMM_Logical</t>
        </is>
      </c>
      <c r="Z119" s="3" t="inlineStr">
        <is>
          <t>REG_SelfSoother</t>
        </is>
      </c>
      <c r="AA119" s="3" t="inlineStr">
        <is>
          <t>LANG_Service</t>
        </is>
      </c>
      <c r="AB119" s="3" t="inlineStr"/>
      <c r="AC119" s="3" t="inlineStr"/>
      <c r="AD119" s="3" t="inlineStr"/>
      <c r="AE119" s="3" t="n">
        <v>0</v>
      </c>
      <c r="AF119" s="3" t="inlineStr">
        <is>
          <t>honest calibration</t>
        </is>
      </c>
      <c r="AG119" s="3" t="inlineStr">
        <is>
          <t>direct communicator</t>
        </is>
      </c>
      <c r="AH119" s="3" t="n">
        <v>0</v>
      </c>
      <c r="AI119" s="3" t="inlineStr">
        <is>
          <t>no</t>
        </is>
      </c>
      <c r="AJ119" s="3" t="inlineStr">
        <is>
          <t>no</t>
        </is>
      </c>
      <c r="AK119" s="3" t="inlineStr">
        <is>
          <t>yes</t>
        </is>
      </c>
      <c r="AL119" s="3" t="inlineStr">
        <is>
          <t>yes</t>
        </is>
      </c>
      <c r="AM119" s="3" t="inlineStr"/>
      <c r="AN119" s="3" t="inlineStr"/>
      <c r="AO119" s="3" t="inlineStr"/>
      <c r="AP119" s="3" t="inlineStr">
        <is>
          <t>v3_2026-03-19</t>
        </is>
      </c>
    </row>
    <row r="120">
      <c r="A120" s="3" t="inlineStr">
        <is>
          <t>Q24_D</t>
        </is>
      </c>
      <c r="B120" s="3" t="n">
        <v>24</v>
      </c>
      <c r="C120" s="3" t="n">
        <v>24</v>
      </c>
      <c r="D120" s="3" t="inlineStr">
        <is>
          <t>Core</t>
        </is>
      </c>
      <c r="E120" s="3" t="n">
        <v>1.1</v>
      </c>
      <c r="F120" s="3" t="inlineStr">
        <is>
          <t>EmotionalRegulation</t>
        </is>
      </c>
      <c r="G120" s="3" t="inlineStr">
        <is>
          <t>AttachmentSafety</t>
        </is>
      </c>
      <c r="H120" s="3" t="inlineStr"/>
      <c r="I120" s="3" t="inlineStr">
        <is>
          <t>D</t>
        </is>
      </c>
      <c r="J120" s="3" t="inlineStr">
        <is>
          <t>D</t>
        </is>
      </c>
      <c r="K120" s="3" t="inlineStr">
        <is>
          <t>I pretend it doesn't bother me... but then I start making sure they feel the shift. You can't keep taking from someone who stopped offering.</t>
        </is>
      </c>
      <c r="L120" s="3" t="n">
        <v>5</v>
      </c>
      <c r="M120" s="3" t="n">
        <v>6</v>
      </c>
      <c r="N120" s="3" t="n">
        <v>2</v>
      </c>
      <c r="O120" s="3" t="n">
        <v>4</v>
      </c>
      <c r="P120" s="3" t="n">
        <v>2</v>
      </c>
      <c r="Q120" s="3" t="inlineStr">
        <is>
          <t>Phantom Seeker</t>
        </is>
      </c>
      <c r="R120" s="3" t="n">
        <v>10</v>
      </c>
      <c r="S120" s="3" t="inlineStr"/>
      <c r="T120" s="3" t="inlineStr"/>
      <c r="U120" s="3" t="n">
        <v>0</v>
      </c>
      <c r="V120" s="3" t="inlineStr">
        <is>
          <t>masc:-0.2;fem:1.5</t>
        </is>
      </c>
      <c r="W120" s="3" t="n">
        <v>-0.2</v>
      </c>
      <c r="X120" s="3" t="n">
        <v>1.5</v>
      </c>
      <c r="Y120" s="3" t="inlineStr">
        <is>
          <t>COMM_Emotional</t>
        </is>
      </c>
      <c r="Z120" s="3" t="inlineStr">
        <is>
          <t>REG_SelfSoother</t>
        </is>
      </c>
      <c r="AA120" s="3" t="inlineStr">
        <is>
          <t>LANG_Touch</t>
        </is>
      </c>
      <c r="AB120" s="3" t="inlineStr">
        <is>
          <t>Vulnerability_Loop</t>
        </is>
      </c>
      <c r="AC120" s="3" t="inlineStr">
        <is>
          <t>Vulnerability_Loop</t>
        </is>
      </c>
      <c r="AD120" s="3" t="inlineStr"/>
      <c r="AE120" s="3" t="n">
        <v>5</v>
      </c>
      <c r="AF120" s="3" t="inlineStr">
        <is>
          <t>passive signal sender</t>
        </is>
      </c>
      <c r="AG120" s="3" t="inlineStr">
        <is>
          <t>indirect punisher</t>
        </is>
      </c>
      <c r="AH120" s="3" t="n">
        <v>0.2</v>
      </c>
      <c r="AI120" s="3" t="inlineStr">
        <is>
          <t>yes</t>
        </is>
      </c>
      <c r="AJ120" s="3" t="inlineStr">
        <is>
          <t>no</t>
        </is>
      </c>
      <c r="AK120" s="3" t="inlineStr">
        <is>
          <t>yes</t>
        </is>
      </c>
      <c r="AL120" s="3" t="inlineStr">
        <is>
          <t>yes</t>
        </is>
      </c>
      <c r="AM120" s="3" t="inlineStr"/>
      <c r="AN120" s="3" t="inlineStr"/>
      <c r="AO120" s="3" t="inlineStr"/>
      <c r="AP120" s="3" t="inlineStr">
        <is>
          <t>v3_2026-03-19</t>
        </is>
      </c>
    </row>
    <row r="121">
      <c r="A121" s="3" t="inlineStr">
        <is>
          <t>Q24_E</t>
        </is>
      </c>
      <c r="B121" s="3" t="n">
        <v>24</v>
      </c>
      <c r="C121" s="3" t="n">
        <v>24</v>
      </c>
      <c r="D121" s="3" t="inlineStr">
        <is>
          <t>Core</t>
        </is>
      </c>
      <c r="E121" s="3" t="n">
        <v>1.1</v>
      </c>
      <c r="F121" s="3" t="inlineStr">
        <is>
          <t>EmotionalRegulation</t>
        </is>
      </c>
      <c r="G121" s="3" t="inlineStr">
        <is>
          <t>AttachmentSafety</t>
        </is>
      </c>
      <c r="H121" s="3" t="inlineStr"/>
      <c r="I121" s="3" t="inlineStr">
        <is>
          <t>E</t>
        </is>
      </c>
      <c r="J121" s="3" t="inlineStr">
        <is>
          <t>E</t>
        </is>
      </c>
      <c r="K121" s="3" t="inlineStr">
        <is>
          <t>If it's not appreciated, it was a mistake. I never give twice where it's ignored once.</t>
        </is>
      </c>
      <c r="L121" s="3" t="n">
        <v>9</v>
      </c>
      <c r="M121" s="3" t="n">
        <v>9</v>
      </c>
      <c r="N121" s="3" t="n">
        <v>6</v>
      </c>
      <c r="O121" s="3" t="n">
        <v>6</v>
      </c>
      <c r="P121" s="3" t="n">
        <v>2</v>
      </c>
      <c r="Q121" s="3" t="inlineStr">
        <is>
          <t>Icebox</t>
        </is>
      </c>
      <c r="R121" s="3" t="n">
        <v>1</v>
      </c>
      <c r="S121" s="3" t="inlineStr"/>
      <c r="T121" s="3" t="inlineStr"/>
      <c r="U121" s="3" t="n">
        <v>0</v>
      </c>
      <c r="V121" s="3" t="inlineStr">
        <is>
          <t>masc:1.8;fem:-1.6</t>
        </is>
      </c>
      <c r="W121" s="3" t="n">
        <v>1.8</v>
      </c>
      <c r="X121" s="3" t="n">
        <v>-1.6</v>
      </c>
      <c r="Y121" s="3" t="inlineStr">
        <is>
          <t>COMM_Avoidant</t>
        </is>
      </c>
      <c r="Z121" s="3" t="inlineStr">
        <is>
          <t>REG_Suppressor</t>
        </is>
      </c>
      <c r="AA121" s="3" t="inlineStr">
        <is>
          <t>LANG_Time</t>
        </is>
      </c>
      <c r="AB121" s="3" t="inlineStr"/>
      <c r="AC121" s="3" t="inlineStr"/>
      <c r="AD121" s="3" t="inlineStr"/>
      <c r="AE121" s="3" t="n">
        <v>0</v>
      </c>
      <c r="AF121" s="3" t="inlineStr">
        <is>
          <t>cold cost-cut</t>
        </is>
      </c>
      <c r="AG121" s="3" t="inlineStr">
        <is>
          <t>clean exit</t>
        </is>
      </c>
      <c r="AH121" s="3" t="n">
        <v>0.6</v>
      </c>
      <c r="AI121" s="3" t="inlineStr">
        <is>
          <t>no</t>
        </is>
      </c>
      <c r="AJ121" s="3" t="inlineStr">
        <is>
          <t>no</t>
        </is>
      </c>
      <c r="AK121" s="3" t="inlineStr">
        <is>
          <t>yes</t>
        </is>
      </c>
      <c r="AL121" s="3" t="inlineStr">
        <is>
          <t>yes</t>
        </is>
      </c>
      <c r="AM121" s="3" t="inlineStr"/>
      <c r="AN121" s="3" t="inlineStr"/>
      <c r="AO121" s="3" t="inlineStr"/>
      <c r="AP121" s="3" t="inlineStr">
        <is>
          <t>v3_2026-03-19</t>
        </is>
      </c>
    </row>
    <row r="122">
      <c r="A122" s="3" t="inlineStr">
        <is>
          <t>Q25_A</t>
        </is>
      </c>
      <c r="B122" s="3" t="n">
        <v>25</v>
      </c>
      <c r="C122" s="3" t="n">
        <v>25</v>
      </c>
      <c r="D122" s="3" t="inlineStr">
        <is>
          <t>Core</t>
        </is>
      </c>
      <c r="E122" s="3" t="n">
        <v>1.1</v>
      </c>
      <c r="F122" s="3" t="inlineStr">
        <is>
          <t>ValuesLifestyle</t>
        </is>
      </c>
      <c r="G122" s="3" t="inlineStr">
        <is>
          <t>IntentAlignment</t>
        </is>
      </c>
      <c r="H122" s="3" t="inlineStr">
        <is>
          <t>You start falling for someone... but deep down, you don't think they feel the same. What's your next move?</t>
        </is>
      </c>
      <c r="I122" s="3" t="inlineStr">
        <is>
          <t>A</t>
        </is>
      </c>
      <c r="J122" s="3" t="inlineStr">
        <is>
          <t>A</t>
        </is>
      </c>
      <c r="K122" s="3" t="inlineStr">
        <is>
          <t>I don't say anything. I pull back before it becomes obvious. I've had enough one-sided stories in my life.</t>
        </is>
      </c>
      <c r="L122" s="3" t="n">
        <v>7</v>
      </c>
      <c r="M122" s="3" t="n">
        <v>8</v>
      </c>
      <c r="N122" s="3" t="n">
        <v>6</v>
      </c>
      <c r="O122" s="3" t="n">
        <v>8</v>
      </c>
      <c r="P122" s="3" t="n">
        <v>6</v>
      </c>
      <c r="Q122" s="3" t="inlineStr">
        <is>
          <t>Survivor</t>
        </is>
      </c>
      <c r="R122" s="3" t="n">
        <v>8</v>
      </c>
      <c r="S122" s="3" t="inlineStr"/>
      <c r="T122" s="3" t="inlineStr"/>
      <c r="U122" s="3" t="n">
        <v>0</v>
      </c>
      <c r="V122" s="3" t="inlineStr">
        <is>
          <t>masc:0.3;fem:1.3</t>
        </is>
      </c>
      <c r="W122" s="3" t="n">
        <v>0.3</v>
      </c>
      <c r="X122" s="3" t="n">
        <v>1.3</v>
      </c>
      <c r="Y122" s="3" t="inlineStr">
        <is>
          <t>COMM_Emotional</t>
        </is>
      </c>
      <c r="Z122" s="3" t="inlineStr">
        <is>
          <t>REG_SelfSoother</t>
        </is>
      </c>
      <c r="AA122" s="3" t="inlineStr">
        <is>
          <t>LANG_Service</t>
        </is>
      </c>
      <c r="AB122" s="3" t="inlineStr"/>
      <c r="AC122" s="3" t="inlineStr"/>
      <c r="AD122" s="3" t="inlineStr"/>
      <c r="AE122" s="3" t="n">
        <v>0</v>
      </c>
      <c r="AF122" s="3" t="inlineStr">
        <is>
          <t>preemptive exit</t>
        </is>
      </c>
      <c r="AG122" s="3" t="inlineStr">
        <is>
          <t>pattern recognizer</t>
        </is>
      </c>
      <c r="AH122" s="3" t="n">
        <v>0.6</v>
      </c>
      <c r="AI122" s="3" t="inlineStr">
        <is>
          <t>no</t>
        </is>
      </c>
      <c r="AJ122" s="3" t="inlineStr">
        <is>
          <t>no</t>
        </is>
      </c>
      <c r="AK122" s="3" t="inlineStr">
        <is>
          <t>no</t>
        </is>
      </c>
      <c r="AL122" s="3" t="inlineStr">
        <is>
          <t>no</t>
        </is>
      </c>
      <c r="AM122" s="3" t="inlineStr"/>
      <c r="AN122" s="3" t="inlineStr"/>
      <c r="AO122" s="3" t="inlineStr"/>
      <c r="AP122" s="3" t="inlineStr">
        <is>
          <t>v3_2026-03-19</t>
        </is>
      </c>
    </row>
    <row r="123">
      <c r="A123" s="3" t="inlineStr">
        <is>
          <t>Q25_B</t>
        </is>
      </c>
      <c r="B123" s="3" t="n">
        <v>25</v>
      </c>
      <c r="C123" s="3" t="n">
        <v>25</v>
      </c>
      <c r="D123" s="3" t="inlineStr">
        <is>
          <t>Core</t>
        </is>
      </c>
      <c r="E123" s="3" t="n">
        <v>1.1</v>
      </c>
      <c r="F123" s="3" t="inlineStr">
        <is>
          <t>ValuesLifestyle</t>
        </is>
      </c>
      <c r="G123" s="3" t="inlineStr">
        <is>
          <t>IntentAlignment</t>
        </is>
      </c>
      <c r="H123" s="3" t="inlineStr"/>
      <c r="I123" s="3" t="inlineStr">
        <is>
          <t>B</t>
        </is>
      </c>
      <c r="J123" s="3" t="inlineStr">
        <is>
          <t>B</t>
        </is>
      </c>
      <c r="K123" s="3" t="inlineStr">
        <is>
          <t>I try harder. I find reasons to stay in their orbit, hoping they eventually feel it too. It's dumb, but I get stuck in hope loops.</t>
        </is>
      </c>
      <c r="L123" s="3" t="n">
        <v>4</v>
      </c>
      <c r="M123" s="3" t="n">
        <v>5</v>
      </c>
      <c r="N123" s="3" t="n">
        <v>2</v>
      </c>
      <c r="O123" s="3" t="n">
        <v>2</v>
      </c>
      <c r="P123" s="3" t="n">
        <v>2</v>
      </c>
      <c r="Q123" s="3" t="inlineStr">
        <is>
          <t>Fixer</t>
        </is>
      </c>
      <c r="R123" s="3" t="n">
        <v>5</v>
      </c>
      <c r="S123" s="3" t="inlineStr"/>
      <c r="T123" s="3" t="inlineStr"/>
      <c r="U123" s="3" t="n">
        <v>0</v>
      </c>
      <c r="V123" s="3" t="inlineStr">
        <is>
          <t>masc:-0.4;fem:2.0</t>
        </is>
      </c>
      <c r="W123" s="3" t="n">
        <v>-0.4</v>
      </c>
      <c r="X123" s="3" t="n">
        <v>2</v>
      </c>
      <c r="Y123" s="3" t="inlineStr">
        <is>
          <t>COMM_Emotional</t>
        </is>
      </c>
      <c r="Z123" s="3" t="inlineStr">
        <is>
          <t>REG_CoRegulator</t>
        </is>
      </c>
      <c r="AA123" s="3" t="inlineStr">
        <is>
          <t>LANG_Service</t>
        </is>
      </c>
      <c r="AB123" s="3" t="inlineStr">
        <is>
          <t>Commitment_Ambiguity</t>
        </is>
      </c>
      <c r="AC123" s="3" t="inlineStr">
        <is>
          <t>Commitment_Ambiguity</t>
        </is>
      </c>
      <c r="AD123" s="3" t="inlineStr"/>
      <c r="AE123" s="3" t="n">
        <v>5</v>
      </c>
      <c r="AF123" s="3" t="inlineStr">
        <is>
          <t>persistence loop</t>
        </is>
      </c>
      <c r="AG123" s="3" t="inlineStr">
        <is>
          <t>loyal chaser</t>
        </is>
      </c>
      <c r="AH123" s="3" t="n">
        <v>0</v>
      </c>
      <c r="AI123" s="3" t="inlineStr">
        <is>
          <t>yes</t>
        </is>
      </c>
      <c r="AJ123" s="3" t="inlineStr">
        <is>
          <t>no</t>
        </is>
      </c>
      <c r="AK123" s="3" t="inlineStr">
        <is>
          <t>no</t>
        </is>
      </c>
      <c r="AL123" s="3" t="inlineStr">
        <is>
          <t>no</t>
        </is>
      </c>
      <c r="AM123" s="3" t="inlineStr"/>
      <c r="AN123" s="3" t="inlineStr"/>
      <c r="AO123" s="3" t="inlineStr"/>
      <c r="AP123" s="3" t="inlineStr">
        <is>
          <t>v3_2026-03-19</t>
        </is>
      </c>
    </row>
    <row r="124">
      <c r="A124" s="3" t="inlineStr">
        <is>
          <t>Q25_C</t>
        </is>
      </c>
      <c r="B124" s="3" t="n">
        <v>25</v>
      </c>
      <c r="C124" s="3" t="n">
        <v>25</v>
      </c>
      <c r="D124" s="3" t="inlineStr">
        <is>
          <t>Core</t>
        </is>
      </c>
      <c r="E124" s="3" t="n">
        <v>1.1</v>
      </c>
      <c r="F124" s="3" t="inlineStr">
        <is>
          <t>ValuesLifestyle</t>
        </is>
      </c>
      <c r="G124" s="3" t="inlineStr">
        <is>
          <t>IntentAlignment</t>
        </is>
      </c>
      <c r="H124" s="3" t="inlineStr"/>
      <c r="I124" s="3" t="inlineStr">
        <is>
          <t>C</t>
        </is>
      </c>
      <c r="J124" s="3" t="inlineStr">
        <is>
          <t>C</t>
        </is>
      </c>
      <c r="K124" s="3" t="inlineStr">
        <is>
          <t>I ask in roundabout ways. Not directly, but enough to get a read. If they dodge, I emotionally clock out.</t>
        </is>
      </c>
      <c r="L124" s="3" t="n">
        <v>8</v>
      </c>
      <c r="M124" s="3" t="n">
        <v>9</v>
      </c>
      <c r="N124" s="3" t="n">
        <v>8</v>
      </c>
      <c r="O124" s="3" t="n">
        <v>8</v>
      </c>
      <c r="P124" s="3" t="n">
        <v>8</v>
      </c>
      <c r="Q124" s="3" t="inlineStr">
        <is>
          <t>Analyzer</t>
        </is>
      </c>
      <c r="R124" s="3" t="n">
        <v>2</v>
      </c>
      <c r="S124" s="3" t="inlineStr"/>
      <c r="T124" s="3" t="inlineStr"/>
      <c r="U124" s="3" t="n">
        <v>0</v>
      </c>
      <c r="V124" s="3" t="inlineStr">
        <is>
          <t>masc:1.4;fem:0.1</t>
        </is>
      </c>
      <c r="W124" s="3" t="n">
        <v>1.4</v>
      </c>
      <c r="X124" s="3" t="n">
        <v>0.1</v>
      </c>
      <c r="Y124" s="3" t="inlineStr">
        <is>
          <t>COMM_Logical</t>
        </is>
      </c>
      <c r="Z124" s="3" t="inlineStr">
        <is>
          <t>REG_SelfSoother</t>
        </is>
      </c>
      <c r="AA124" s="3" t="inlineStr">
        <is>
          <t>LANG_Service</t>
        </is>
      </c>
      <c r="AB124" s="3" t="inlineStr"/>
      <c r="AC124" s="3" t="inlineStr"/>
      <c r="AD124" s="3" t="inlineStr"/>
      <c r="AE124" s="3" t="n">
        <v>0</v>
      </c>
      <c r="AF124" s="3" t="inlineStr">
        <is>
          <t>indirect clarifier</t>
        </is>
      </c>
      <c r="AG124" s="3" t="inlineStr">
        <is>
          <t>subtle assessor</t>
        </is>
      </c>
      <c r="AH124" s="3" t="n">
        <v>0</v>
      </c>
      <c r="AI124" s="3" t="inlineStr">
        <is>
          <t>no</t>
        </is>
      </c>
      <c r="AJ124" s="3" t="inlineStr">
        <is>
          <t>no</t>
        </is>
      </c>
      <c r="AK124" s="3" t="inlineStr">
        <is>
          <t>no</t>
        </is>
      </c>
      <c r="AL124" s="3" t="inlineStr">
        <is>
          <t>no</t>
        </is>
      </c>
      <c r="AM124" s="3" t="inlineStr"/>
      <c r="AN124" s="3" t="inlineStr"/>
      <c r="AO124" s="3" t="inlineStr"/>
      <c r="AP124" s="3" t="inlineStr">
        <is>
          <t>v3_2026-03-19</t>
        </is>
      </c>
    </row>
    <row r="125">
      <c r="A125" s="3" t="inlineStr">
        <is>
          <t>Q25_D</t>
        </is>
      </c>
      <c r="B125" s="3" t="n">
        <v>25</v>
      </c>
      <c r="C125" s="3" t="n">
        <v>25</v>
      </c>
      <c r="D125" s="3" t="inlineStr">
        <is>
          <t>Core</t>
        </is>
      </c>
      <c r="E125" s="3" t="n">
        <v>1.1</v>
      </c>
      <c r="F125" s="3" t="inlineStr">
        <is>
          <t>ValuesLifestyle</t>
        </is>
      </c>
      <c r="G125" s="3" t="inlineStr">
        <is>
          <t>IntentAlignment</t>
        </is>
      </c>
      <c r="H125" s="3" t="inlineStr"/>
      <c r="I125" s="3" t="inlineStr">
        <is>
          <t>D</t>
        </is>
      </c>
      <c r="J125" s="3" t="inlineStr">
        <is>
          <t>D</t>
        </is>
      </c>
      <c r="K125" s="3" t="inlineStr">
        <is>
          <t>I keep showing up, but softer. I can't fake confidence I don't feel, so I let them decide what this becomes.</t>
        </is>
      </c>
      <c r="L125" s="3" t="n">
        <v>5</v>
      </c>
      <c r="M125" s="3" t="n">
        <v>6</v>
      </c>
      <c r="N125" s="3" t="n">
        <v>2</v>
      </c>
      <c r="O125" s="3" t="n">
        <v>4</v>
      </c>
      <c r="P125" s="3" t="n">
        <v>2</v>
      </c>
      <c r="Q125" s="3" t="inlineStr">
        <is>
          <t>Phantom Seeker</t>
        </is>
      </c>
      <c r="R125" s="3" t="n">
        <v>10</v>
      </c>
      <c r="S125" s="3" t="inlineStr"/>
      <c r="T125" s="3" t="inlineStr"/>
      <c r="U125" s="3" t="n">
        <v>0</v>
      </c>
      <c r="V125" s="3" t="inlineStr">
        <is>
          <t>masc:-0.2;fem:1.5</t>
        </is>
      </c>
      <c r="W125" s="3" t="n">
        <v>-0.2</v>
      </c>
      <c r="X125" s="3" t="n">
        <v>1.5</v>
      </c>
      <c r="Y125" s="3" t="inlineStr">
        <is>
          <t>COMM_Emotional</t>
        </is>
      </c>
      <c r="Z125" s="3" t="inlineStr">
        <is>
          <t>REG_SelfSoother</t>
        </is>
      </c>
      <c r="AA125" s="3" t="inlineStr">
        <is>
          <t>LANG_Touch</t>
        </is>
      </c>
      <c r="AB125" s="3" t="inlineStr">
        <is>
          <t>Vulnerability_Loop</t>
        </is>
      </c>
      <c r="AC125" s="3" t="inlineStr">
        <is>
          <t>Vulnerability_Loop</t>
        </is>
      </c>
      <c r="AD125" s="3" t="inlineStr"/>
      <c r="AE125" s="3" t="n">
        <v>5</v>
      </c>
      <c r="AF125" s="3" t="inlineStr">
        <is>
          <t>quiet bid</t>
        </is>
      </c>
      <c r="AG125" s="3" t="inlineStr">
        <is>
          <t>reserved participant</t>
        </is>
      </c>
      <c r="AH125" s="3" t="n">
        <v>0</v>
      </c>
      <c r="AI125" s="3" t="inlineStr">
        <is>
          <t>yes</t>
        </is>
      </c>
      <c r="AJ125" s="3" t="inlineStr">
        <is>
          <t>no</t>
        </is>
      </c>
      <c r="AK125" s="3" t="inlineStr">
        <is>
          <t>no</t>
        </is>
      </c>
      <c r="AL125" s="3" t="inlineStr">
        <is>
          <t>no</t>
        </is>
      </c>
      <c r="AM125" s="3" t="inlineStr"/>
      <c r="AN125" s="3" t="inlineStr"/>
      <c r="AO125" s="3" t="inlineStr"/>
      <c r="AP125" s="3" t="inlineStr">
        <is>
          <t>v3_2026-03-19</t>
        </is>
      </c>
    </row>
    <row r="126">
      <c r="A126" s="3" t="inlineStr">
        <is>
          <t>Q25_E</t>
        </is>
      </c>
      <c r="B126" s="3" t="n">
        <v>25</v>
      </c>
      <c r="C126" s="3" t="n">
        <v>25</v>
      </c>
      <c r="D126" s="3" t="inlineStr">
        <is>
          <t>Core</t>
        </is>
      </c>
      <c r="E126" s="3" t="n">
        <v>1.1</v>
      </c>
      <c r="F126" s="3" t="inlineStr">
        <is>
          <t>ValuesLifestyle</t>
        </is>
      </c>
      <c r="G126" s="3" t="inlineStr">
        <is>
          <t>IntentAlignment</t>
        </is>
      </c>
      <c r="H126" s="3" t="inlineStr"/>
      <c r="I126" s="3" t="inlineStr">
        <is>
          <t>E</t>
        </is>
      </c>
      <c r="J126" s="3" t="inlineStr">
        <is>
          <t>E</t>
        </is>
      </c>
      <c r="K126" s="3" t="inlineStr">
        <is>
          <t>If I have to guess how you feel, I already know. I don't chase someone who wouldn't sprint for me.</t>
        </is>
      </c>
      <c r="L126" s="3" t="n">
        <v>9</v>
      </c>
      <c r="M126" s="3" t="n">
        <v>9</v>
      </c>
      <c r="N126" s="3" t="n">
        <v>6</v>
      </c>
      <c r="O126" s="3" t="n">
        <v>6</v>
      </c>
      <c r="P126" s="3" t="n">
        <v>2</v>
      </c>
      <c r="Q126" s="3" t="inlineStr">
        <is>
          <t>Icebox</t>
        </is>
      </c>
      <c r="R126" s="3" t="n">
        <v>1</v>
      </c>
      <c r="S126" s="3" t="inlineStr"/>
      <c r="T126" s="3" t="inlineStr"/>
      <c r="U126" s="3" t="n">
        <v>0</v>
      </c>
      <c r="V126" s="3" t="inlineStr">
        <is>
          <t>masc:1.8;fem:-1.6</t>
        </is>
      </c>
      <c r="W126" s="3" t="n">
        <v>1.8</v>
      </c>
      <c r="X126" s="3" t="n">
        <v>-1.6</v>
      </c>
      <c r="Y126" s="3" t="inlineStr">
        <is>
          <t>COMM_Avoidant</t>
        </is>
      </c>
      <c r="Z126" s="3" t="inlineStr">
        <is>
          <t>REG_Suppressor</t>
        </is>
      </c>
      <c r="AA126" s="3" t="inlineStr">
        <is>
          <t>LANG_Time</t>
        </is>
      </c>
      <c r="AB126" s="3" t="inlineStr"/>
      <c r="AC126" s="3" t="inlineStr"/>
      <c r="AD126" s="3" t="inlineStr"/>
      <c r="AE126" s="3" t="n">
        <v>0</v>
      </c>
      <c r="AF126" s="3" t="inlineStr">
        <is>
          <t>high-bar exit logic</t>
        </is>
      </c>
      <c r="AG126" s="3" t="inlineStr">
        <is>
          <t>non-negotiator</t>
        </is>
      </c>
      <c r="AH126" s="3" t="n">
        <v>0.6</v>
      </c>
      <c r="AI126" s="3" t="inlineStr">
        <is>
          <t>no</t>
        </is>
      </c>
      <c r="AJ126" s="3" t="inlineStr">
        <is>
          <t>no</t>
        </is>
      </c>
      <c r="AK126" s="3" t="inlineStr">
        <is>
          <t>no</t>
        </is>
      </c>
      <c r="AL126" s="3" t="inlineStr">
        <is>
          <t>no</t>
        </is>
      </c>
      <c r="AM126" s="3" t="inlineStr"/>
      <c r="AN126" s="3" t="inlineStr"/>
      <c r="AO126" s="3" t="inlineStr"/>
      <c r="AP126" s="3" t="inlineStr">
        <is>
          <t>v3_2026-03-19</t>
        </is>
      </c>
    </row>
    <row r="127">
      <c r="A127" s="3" t="inlineStr">
        <is>
          <t>Q26_A</t>
        </is>
      </c>
      <c r="B127" s="3" t="n">
        <v>26</v>
      </c>
      <c r="C127" s="3" t="n">
        <v>26</v>
      </c>
      <c r="D127" s="3" t="inlineStr">
        <is>
          <t>Core</t>
        </is>
      </c>
      <c r="E127" s="3" t="n">
        <v>1.1</v>
      </c>
      <c r="F127" s="3" t="inlineStr">
        <is>
          <t>ValuesLifestyle</t>
        </is>
      </c>
      <c r="G127" s="3" t="inlineStr">
        <is>
          <t>IntentAlignment</t>
        </is>
      </c>
      <c r="H127" s="3" t="inlineStr">
        <is>
          <t>You ask for something small-reassurance, support, a quick favor. But they brush it off or forget. What's your first thought?</t>
        </is>
      </c>
      <c r="I127" s="3" t="inlineStr">
        <is>
          <t>A</t>
        </is>
      </c>
      <c r="J127" s="3" t="inlineStr">
        <is>
          <t>A</t>
        </is>
      </c>
      <c r="K127" s="3" t="inlineStr">
        <is>
          <t>Cool. Won't ask again. I don't repeat myself when it comes to energy.</t>
        </is>
      </c>
      <c r="L127" s="3" t="n">
        <v>9</v>
      </c>
      <c r="M127" s="3" t="n">
        <v>9</v>
      </c>
      <c r="N127" s="3" t="n">
        <v>6</v>
      </c>
      <c r="O127" s="3" t="n">
        <v>6</v>
      </c>
      <c r="P127" s="3" t="n">
        <v>2</v>
      </c>
      <c r="Q127" s="3" t="inlineStr">
        <is>
          <t>Icebox</t>
        </is>
      </c>
      <c r="R127" s="3" t="n">
        <v>1</v>
      </c>
      <c r="S127" s="3" t="inlineStr"/>
      <c r="T127" s="3" t="inlineStr"/>
      <c r="U127" s="3" t="n">
        <v>0</v>
      </c>
      <c r="V127" s="3" t="inlineStr">
        <is>
          <t>masc:1.8;fem:-1.6</t>
        </is>
      </c>
      <c r="W127" s="3" t="n">
        <v>1.8</v>
      </c>
      <c r="X127" s="3" t="n">
        <v>-1.6</v>
      </c>
      <c r="Y127" s="3" t="inlineStr">
        <is>
          <t>COMM_Avoidant</t>
        </is>
      </c>
      <c r="Z127" s="3" t="inlineStr">
        <is>
          <t>REG_Suppressor</t>
        </is>
      </c>
      <c r="AA127" s="3" t="inlineStr">
        <is>
          <t>LANG_Time</t>
        </is>
      </c>
      <c r="AB127" s="3" t="inlineStr"/>
      <c r="AC127" s="3" t="inlineStr"/>
      <c r="AD127" s="3" t="inlineStr"/>
      <c r="AE127" s="3" t="n">
        <v>0</v>
      </c>
      <c r="AF127" s="3" t="inlineStr">
        <is>
          <t>cut-off switch mentality</t>
        </is>
      </c>
      <c r="AG127" s="3" t="inlineStr">
        <is>
          <t>decisive withdrawer</t>
        </is>
      </c>
      <c r="AH127" s="3" t="n">
        <v>0.6</v>
      </c>
      <c r="AI127" s="3" t="inlineStr">
        <is>
          <t>no</t>
        </is>
      </c>
      <c r="AJ127" s="3" t="inlineStr">
        <is>
          <t>no</t>
        </is>
      </c>
      <c r="AK127" s="3" t="inlineStr">
        <is>
          <t>no</t>
        </is>
      </c>
      <c r="AL127" s="3" t="inlineStr">
        <is>
          <t>no</t>
        </is>
      </c>
      <c r="AM127" s="3" t="inlineStr"/>
      <c r="AN127" s="3" t="inlineStr"/>
      <c r="AO127" s="3" t="inlineStr"/>
      <c r="AP127" s="3" t="inlineStr">
        <is>
          <t>v3_2026-03-19</t>
        </is>
      </c>
    </row>
    <row r="128">
      <c r="A128" s="3" t="inlineStr">
        <is>
          <t>Q26_B</t>
        </is>
      </c>
      <c r="B128" s="3" t="n">
        <v>26</v>
      </c>
      <c r="C128" s="3" t="n">
        <v>26</v>
      </c>
      <c r="D128" s="3" t="inlineStr">
        <is>
          <t>Core</t>
        </is>
      </c>
      <c r="E128" s="3" t="n">
        <v>1.1</v>
      </c>
      <c r="F128" s="3" t="inlineStr">
        <is>
          <t>ValuesLifestyle</t>
        </is>
      </c>
      <c r="G128" s="3" t="inlineStr">
        <is>
          <t>IntentAlignment</t>
        </is>
      </c>
      <c r="H128" s="3" t="inlineStr"/>
      <c r="I128" s="3" t="inlineStr">
        <is>
          <t>B</t>
        </is>
      </c>
      <c r="J128" s="3" t="inlineStr">
        <is>
          <t>B</t>
        </is>
      </c>
      <c r="K128" s="3" t="inlineStr">
        <is>
          <t>Maybe I was too much. I replay it in my head, wondering if I worded it wrong or came off needy.</t>
        </is>
      </c>
      <c r="L128" s="3" t="n">
        <v>4</v>
      </c>
      <c r="M128" s="3" t="n">
        <v>5</v>
      </c>
      <c r="N128" s="3" t="n">
        <v>2</v>
      </c>
      <c r="O128" s="3" t="n">
        <v>2</v>
      </c>
      <c r="P128" s="3" t="n">
        <v>0</v>
      </c>
      <c r="Q128" s="3" t="inlineStr">
        <is>
          <t>Phantom Seeker</t>
        </is>
      </c>
      <c r="R128" s="3" t="n">
        <v>10</v>
      </c>
      <c r="S128" s="3" t="inlineStr"/>
      <c r="T128" s="3" t="inlineStr"/>
      <c r="U128" s="3" t="n">
        <v>0</v>
      </c>
      <c r="V128" s="3" t="inlineStr">
        <is>
          <t>masc:-0.2;fem:1.5</t>
        </is>
      </c>
      <c r="W128" s="3" t="n">
        <v>-0.2</v>
      </c>
      <c r="X128" s="3" t="n">
        <v>1.5</v>
      </c>
      <c r="Y128" s="3" t="inlineStr">
        <is>
          <t>COMM_Emotional</t>
        </is>
      </c>
      <c r="Z128" s="3" t="inlineStr">
        <is>
          <t>REG_SelfSoother</t>
        </is>
      </c>
      <c r="AA128" s="3" t="inlineStr">
        <is>
          <t>LANG_Touch</t>
        </is>
      </c>
      <c r="AB128" s="3" t="inlineStr">
        <is>
          <t>Commitment_Ambiguity</t>
        </is>
      </c>
      <c r="AC128" s="3" t="inlineStr">
        <is>
          <t>Commitment_Ambiguity</t>
        </is>
      </c>
      <c r="AD128" s="3" t="inlineStr"/>
      <c r="AE128" s="3" t="n">
        <v>5</v>
      </c>
      <c r="AF128" s="3" t="inlineStr">
        <is>
          <t>internal shame loop</t>
        </is>
      </c>
      <c r="AG128" s="3" t="inlineStr">
        <is>
          <t>self-blamer</t>
        </is>
      </c>
      <c r="AH128" s="3" t="n">
        <v>0</v>
      </c>
      <c r="AI128" s="3" t="inlineStr">
        <is>
          <t>yes</t>
        </is>
      </c>
      <c r="AJ128" s="3" t="inlineStr">
        <is>
          <t>no</t>
        </is>
      </c>
      <c r="AK128" s="3" t="inlineStr">
        <is>
          <t>no</t>
        </is>
      </c>
      <c r="AL128" s="3" t="inlineStr">
        <is>
          <t>no</t>
        </is>
      </c>
      <c r="AM128" s="3" t="inlineStr"/>
      <c r="AN128" s="3" t="inlineStr"/>
      <c r="AO128" s="3" t="inlineStr"/>
      <c r="AP128" s="3" t="inlineStr">
        <is>
          <t>v3_2026-03-19</t>
        </is>
      </c>
    </row>
    <row r="129">
      <c r="A129" s="3" t="inlineStr">
        <is>
          <t>Q26_C</t>
        </is>
      </c>
      <c r="B129" s="3" t="n">
        <v>26</v>
      </c>
      <c r="C129" s="3" t="n">
        <v>26</v>
      </c>
      <c r="D129" s="3" t="inlineStr">
        <is>
          <t>Core</t>
        </is>
      </c>
      <c r="E129" s="3" t="n">
        <v>1.1</v>
      </c>
      <c r="F129" s="3" t="inlineStr">
        <is>
          <t>ValuesLifestyle</t>
        </is>
      </c>
      <c r="G129" s="3" t="inlineStr">
        <is>
          <t>IntentAlignment</t>
        </is>
      </c>
      <c r="H129" s="3" t="inlineStr"/>
      <c r="I129" s="3" t="inlineStr">
        <is>
          <t>C</t>
        </is>
      </c>
      <c r="J129" s="3" t="inlineStr">
        <is>
          <t>C</t>
        </is>
      </c>
      <c r="K129" s="3" t="inlineStr">
        <is>
          <t>I bring it up, but lightly, like a joke. If they care, they'll fix it. If they laugh it off again, I note it.</t>
        </is>
      </c>
      <c r="L129" s="3" t="n">
        <v>7</v>
      </c>
      <c r="M129" s="3" t="n">
        <v>8</v>
      </c>
      <c r="N129" s="3" t="n">
        <v>6</v>
      </c>
      <c r="O129" s="3" t="n">
        <v>6</v>
      </c>
      <c r="P129" s="3" t="n">
        <v>6</v>
      </c>
      <c r="Q129" s="3" t="inlineStr">
        <is>
          <t>Analyzer</t>
        </is>
      </c>
      <c r="R129" s="3" t="n">
        <v>2</v>
      </c>
      <c r="S129" s="3" t="inlineStr"/>
      <c r="T129" s="3" t="inlineStr"/>
      <c r="U129" s="3" t="n">
        <v>0</v>
      </c>
      <c r="V129" s="3" t="inlineStr">
        <is>
          <t>masc:1.4;fem:0.1</t>
        </is>
      </c>
      <c r="W129" s="3" t="n">
        <v>1.4</v>
      </c>
      <c r="X129" s="3" t="n">
        <v>0.1</v>
      </c>
      <c r="Y129" s="3" t="inlineStr">
        <is>
          <t>COMM_Logical</t>
        </is>
      </c>
      <c r="Z129" s="3" t="inlineStr">
        <is>
          <t>REG_SelfSoother</t>
        </is>
      </c>
      <c r="AA129" s="3" t="inlineStr">
        <is>
          <t>LANG_Service</t>
        </is>
      </c>
      <c r="AB129" s="3" t="inlineStr"/>
      <c r="AC129" s="3" t="inlineStr"/>
      <c r="AD129" s="3" t="inlineStr"/>
      <c r="AE129" s="3" t="n">
        <v>0</v>
      </c>
      <c r="AF129" s="3" t="inlineStr">
        <is>
          <t>test hidden in humor</t>
        </is>
      </c>
      <c r="AG129" s="3" t="inlineStr">
        <is>
          <t>subtle assessor</t>
        </is>
      </c>
      <c r="AH129" s="3" t="n">
        <v>0.6</v>
      </c>
      <c r="AI129" s="3" t="inlineStr">
        <is>
          <t>no</t>
        </is>
      </c>
      <c r="AJ129" s="3" t="inlineStr">
        <is>
          <t>no</t>
        </is>
      </c>
      <c r="AK129" s="3" t="inlineStr">
        <is>
          <t>no</t>
        </is>
      </c>
      <c r="AL129" s="3" t="inlineStr">
        <is>
          <t>no</t>
        </is>
      </c>
      <c r="AM129" s="3" t="inlineStr"/>
      <c r="AN129" s="3" t="inlineStr"/>
      <c r="AO129" s="3" t="inlineStr"/>
      <c r="AP129" s="3" t="inlineStr">
        <is>
          <t>v3_2026-03-19</t>
        </is>
      </c>
    </row>
    <row r="130">
      <c r="A130" s="3" t="inlineStr">
        <is>
          <t>Q26_D</t>
        </is>
      </c>
      <c r="B130" s="3" t="n">
        <v>26</v>
      </c>
      <c r="C130" s="3" t="n">
        <v>26</v>
      </c>
      <c r="D130" s="3" t="inlineStr">
        <is>
          <t>Core</t>
        </is>
      </c>
      <c r="E130" s="3" t="n">
        <v>1.1</v>
      </c>
      <c r="F130" s="3" t="inlineStr">
        <is>
          <t>ValuesLifestyle</t>
        </is>
      </c>
      <c r="G130" s="3" t="inlineStr">
        <is>
          <t>IntentAlignment</t>
        </is>
      </c>
      <c r="H130" s="3" t="inlineStr"/>
      <c r="I130" s="3" t="inlineStr">
        <is>
          <t>D</t>
        </is>
      </c>
      <c r="J130" s="3" t="inlineStr">
        <is>
          <t>D</t>
        </is>
      </c>
      <c r="K130" s="3" t="inlineStr">
        <is>
          <t>I end up doing it myself and tell myself it's fine. I've always handled things alone, so why expect different now?</t>
        </is>
      </c>
      <c r="L130" s="3" t="n">
        <v>6</v>
      </c>
      <c r="M130" s="3" t="n">
        <v>7</v>
      </c>
      <c r="N130" s="3" t="n">
        <v>4</v>
      </c>
      <c r="O130" s="3" t="n">
        <v>6</v>
      </c>
      <c r="P130" s="3" t="n">
        <v>4</v>
      </c>
      <c r="Q130" s="3" t="inlineStr">
        <is>
          <t>Survivor</t>
        </is>
      </c>
      <c r="R130" s="3" t="n">
        <v>8</v>
      </c>
      <c r="S130" s="3" t="inlineStr"/>
      <c r="T130" s="3" t="inlineStr"/>
      <c r="U130" s="3" t="n">
        <v>0</v>
      </c>
      <c r="V130" s="3" t="inlineStr">
        <is>
          <t>masc:0.3;fem:1.3</t>
        </is>
      </c>
      <c r="W130" s="3" t="n">
        <v>0.3</v>
      </c>
      <c r="X130" s="3" t="n">
        <v>1.3</v>
      </c>
      <c r="Y130" s="3" t="inlineStr">
        <is>
          <t>COMM_Emotional</t>
        </is>
      </c>
      <c r="Z130" s="3" t="inlineStr">
        <is>
          <t>REG_SelfSoother</t>
        </is>
      </c>
      <c r="AA130" s="3" t="inlineStr">
        <is>
          <t>LANG_Touch</t>
        </is>
      </c>
      <c r="AB130" s="3" t="inlineStr">
        <is>
          <t>Vulnerability_Loop</t>
        </is>
      </c>
      <c r="AC130" s="3" t="inlineStr">
        <is>
          <t>Vulnerability_Loop</t>
        </is>
      </c>
      <c r="AD130" s="3" t="inlineStr"/>
      <c r="AE130" s="3" t="n">
        <v>5</v>
      </c>
      <c r="AF130" s="3" t="inlineStr">
        <is>
          <t>forced self-reliance</t>
        </is>
      </c>
      <c r="AG130" s="3" t="inlineStr">
        <is>
          <t>self-sufficient pullback</t>
        </is>
      </c>
      <c r="AH130" s="3" t="n">
        <v>0</v>
      </c>
      <c r="AI130" s="3" t="inlineStr">
        <is>
          <t>yes</t>
        </is>
      </c>
      <c r="AJ130" s="3" t="inlineStr">
        <is>
          <t>no</t>
        </is>
      </c>
      <c r="AK130" s="3" t="inlineStr">
        <is>
          <t>no</t>
        </is>
      </c>
      <c r="AL130" s="3" t="inlineStr">
        <is>
          <t>no</t>
        </is>
      </c>
      <c r="AM130" s="3" t="inlineStr"/>
      <c r="AN130" s="3" t="inlineStr"/>
      <c r="AO130" s="3" t="inlineStr"/>
      <c r="AP130" s="3" t="inlineStr">
        <is>
          <t>v3_2026-03-19</t>
        </is>
      </c>
    </row>
    <row r="131">
      <c r="A131" s="3" t="inlineStr">
        <is>
          <t>Q26_E</t>
        </is>
      </c>
      <c r="B131" s="3" t="n">
        <v>26</v>
      </c>
      <c r="C131" s="3" t="n">
        <v>26</v>
      </c>
      <c r="D131" s="3" t="inlineStr">
        <is>
          <t>Core</t>
        </is>
      </c>
      <c r="E131" s="3" t="n">
        <v>1.1</v>
      </c>
      <c r="F131" s="3" t="inlineStr">
        <is>
          <t>ValuesLifestyle</t>
        </is>
      </c>
      <c r="G131" s="3" t="inlineStr">
        <is>
          <t>IntentAlignment</t>
        </is>
      </c>
      <c r="H131" s="3" t="inlineStr"/>
      <c r="I131" s="3" t="inlineStr">
        <is>
          <t>E</t>
        </is>
      </c>
      <c r="J131" s="3" t="inlineStr">
        <is>
          <t>E</t>
        </is>
      </c>
      <c r="K131" s="3" t="inlineStr">
        <is>
          <t>I give them the benefit of the doubt... for now. But next time I ask, I'm watching closely.</t>
        </is>
      </c>
      <c r="L131" s="3" t="n">
        <v>7</v>
      </c>
      <c r="M131" s="3" t="n">
        <v>8</v>
      </c>
      <c r="N131" s="3" t="n">
        <v>6</v>
      </c>
      <c r="O131" s="3" t="n">
        <v>6</v>
      </c>
      <c r="P131" s="3" t="n">
        <v>4</v>
      </c>
      <c r="Q131" s="3" t="inlineStr">
        <is>
          <t>Romantic Idealist</t>
        </is>
      </c>
      <c r="R131" s="3" t="n">
        <v>6</v>
      </c>
      <c r="S131" s="3" t="inlineStr"/>
      <c r="T131" s="3" t="inlineStr"/>
      <c r="U131" s="3" t="n">
        <v>0</v>
      </c>
      <c r="V131" s="3" t="inlineStr">
        <is>
          <t>masc:-0.4;fem:1.5</t>
        </is>
      </c>
      <c r="W131" s="3" t="n">
        <v>-0.4</v>
      </c>
      <c r="X131" s="3" t="n">
        <v>1.5</v>
      </c>
      <c r="Y131" s="3" t="inlineStr">
        <is>
          <t>COMM_Emotional</t>
        </is>
      </c>
      <c r="Z131" s="3" t="inlineStr">
        <is>
          <t>REG_Distractor</t>
        </is>
      </c>
      <c r="AA131" s="3" t="inlineStr">
        <is>
          <t>LANG_Gifts</t>
        </is>
      </c>
      <c r="AB131" s="3" t="inlineStr"/>
      <c r="AC131" s="3" t="inlineStr"/>
      <c r="AD131" s="3" t="inlineStr"/>
      <c r="AE131" s="3" t="n">
        <v>0</v>
      </c>
      <c r="AF131" s="3" t="inlineStr">
        <is>
          <t>conditional grace</t>
        </is>
      </c>
      <c r="AG131" s="3" t="inlineStr">
        <is>
          <t>hopeful monitor</t>
        </is>
      </c>
      <c r="AH131" s="3" t="n">
        <v>0</v>
      </c>
      <c r="AI131" s="3" t="inlineStr">
        <is>
          <t>no</t>
        </is>
      </c>
      <c r="AJ131" s="3" t="inlineStr">
        <is>
          <t>no</t>
        </is>
      </c>
      <c r="AK131" s="3" t="inlineStr">
        <is>
          <t>no</t>
        </is>
      </c>
      <c r="AL131" s="3" t="inlineStr">
        <is>
          <t>no</t>
        </is>
      </c>
      <c r="AM131" s="3" t="inlineStr"/>
      <c r="AN131" s="3" t="inlineStr"/>
      <c r="AO131" s="3" t="inlineStr"/>
      <c r="AP131" s="3" t="inlineStr">
        <is>
          <t>v3_2026-03-19</t>
        </is>
      </c>
    </row>
    <row r="132">
      <c r="A132" s="3" t="inlineStr">
        <is>
          <t>Q27_A</t>
        </is>
      </c>
      <c r="B132" s="3" t="n">
        <v>27</v>
      </c>
      <c r="C132" s="3" t="n">
        <v>27</v>
      </c>
      <c r="D132" s="3" t="inlineStr">
        <is>
          <t>Core</t>
        </is>
      </c>
      <c r="E132" s="3" t="n">
        <v>1.15</v>
      </c>
      <c r="F132" s="3" t="inlineStr">
        <is>
          <t>ValuesLifestyle</t>
        </is>
      </c>
      <c r="G132" s="3" t="inlineStr">
        <is>
          <t>IntentAlignment</t>
        </is>
      </c>
      <c r="H132" s="3" t="inlineStr">
        <is>
          <t>You finally open up about something that's been weighing on you. Their response feels... underwhelming. What now?</t>
        </is>
      </c>
      <c r="I132" s="3" t="inlineStr">
        <is>
          <t>A</t>
        </is>
      </c>
      <c r="J132" s="3" t="inlineStr">
        <is>
          <t>A</t>
        </is>
      </c>
      <c r="K132" s="3" t="inlineStr">
        <is>
          <t>Noted. That version of me won't show up again. I clock reactions.</t>
        </is>
      </c>
      <c r="L132" s="3" t="n">
        <v>9</v>
      </c>
      <c r="M132" s="3" t="n">
        <v>9</v>
      </c>
      <c r="N132" s="3" t="n">
        <v>6</v>
      </c>
      <c r="O132" s="3" t="n">
        <v>6</v>
      </c>
      <c r="P132" s="3" t="n">
        <v>2</v>
      </c>
      <c r="Q132" s="3" t="inlineStr">
        <is>
          <t>Icebox</t>
        </is>
      </c>
      <c r="R132" s="3" t="n">
        <v>1</v>
      </c>
      <c r="S132" s="3" t="inlineStr"/>
      <c r="T132" s="3" t="inlineStr"/>
      <c r="U132" s="3" t="n">
        <v>0</v>
      </c>
      <c r="V132" s="3" t="inlineStr">
        <is>
          <t>masc:1.8;fem:-1.6</t>
        </is>
      </c>
      <c r="W132" s="3" t="n">
        <v>1.8</v>
      </c>
      <c r="X132" s="3" t="n">
        <v>-1.6</v>
      </c>
      <c r="Y132" s="3" t="inlineStr">
        <is>
          <t>COMM_Avoidant</t>
        </is>
      </c>
      <c r="Z132" s="3" t="inlineStr">
        <is>
          <t>REG_Suppressor</t>
        </is>
      </c>
      <c r="AA132" s="3" t="inlineStr">
        <is>
          <t>LANG_Time</t>
        </is>
      </c>
      <c r="AB132" s="3" t="inlineStr"/>
      <c r="AC132" s="3" t="inlineStr"/>
      <c r="AD132" s="3" t="inlineStr"/>
      <c r="AE132" s="3" t="n">
        <v>0</v>
      </c>
      <c r="AF132" s="3" t="inlineStr">
        <is>
          <t>one-and-done disclosure</t>
        </is>
      </c>
      <c r="AG132" s="3" t="inlineStr">
        <is>
          <t>trust gatekeeper</t>
        </is>
      </c>
      <c r="AH132" s="3" t="n">
        <v>0</v>
      </c>
      <c r="AI132" s="3" t="inlineStr">
        <is>
          <t>no</t>
        </is>
      </c>
      <c r="AJ132" s="3" t="inlineStr">
        <is>
          <t>no</t>
        </is>
      </c>
      <c r="AK132" s="3" t="inlineStr">
        <is>
          <t>no</t>
        </is>
      </c>
      <c r="AL132" s="3" t="inlineStr">
        <is>
          <t>no</t>
        </is>
      </c>
      <c r="AM132" s="3" t="inlineStr"/>
      <c r="AN132" s="3" t="inlineStr"/>
      <c r="AO132" s="3" t="inlineStr"/>
      <c r="AP132" s="3" t="inlineStr">
        <is>
          <t>v3_2026-03-19</t>
        </is>
      </c>
    </row>
    <row r="133">
      <c r="A133" s="3" t="inlineStr">
        <is>
          <t>Q27_B</t>
        </is>
      </c>
      <c r="B133" s="3" t="n">
        <v>27</v>
      </c>
      <c r="C133" s="3" t="n">
        <v>27</v>
      </c>
      <c r="D133" s="3" t="inlineStr">
        <is>
          <t>Core</t>
        </is>
      </c>
      <c r="E133" s="3" t="n">
        <v>1.15</v>
      </c>
      <c r="F133" s="3" t="inlineStr">
        <is>
          <t>ValuesLifestyle</t>
        </is>
      </c>
      <c r="G133" s="3" t="inlineStr">
        <is>
          <t>IntentAlignment</t>
        </is>
      </c>
      <c r="H133" s="3" t="inlineStr"/>
      <c r="I133" s="3" t="inlineStr">
        <is>
          <t>B</t>
        </is>
      </c>
      <c r="J133" s="3" t="inlineStr">
        <is>
          <t>B</t>
        </is>
      </c>
      <c r="K133" s="3" t="inlineStr">
        <is>
          <t>I say I'm fine, but now I feel weird. I think about how I made it awkward, then wish I'd kept it in.</t>
        </is>
      </c>
      <c r="L133" s="3" t="n">
        <v>4</v>
      </c>
      <c r="M133" s="3" t="n">
        <v>5</v>
      </c>
      <c r="N133" s="3" t="n">
        <v>2</v>
      </c>
      <c r="O133" s="3" t="n">
        <v>2</v>
      </c>
      <c r="P133" s="3" t="n">
        <v>0</v>
      </c>
      <c r="Q133" s="3" t="inlineStr">
        <is>
          <t>Phantom Seeker</t>
        </is>
      </c>
      <c r="R133" s="3" t="n">
        <v>10</v>
      </c>
      <c r="S133" s="3" t="inlineStr"/>
      <c r="T133" s="3" t="inlineStr"/>
      <c r="U133" s="3" t="n">
        <v>0</v>
      </c>
      <c r="V133" s="3" t="inlineStr">
        <is>
          <t>masc:-0.2;fem:1.5</t>
        </is>
      </c>
      <c r="W133" s="3" t="n">
        <v>-0.2</v>
      </c>
      <c r="X133" s="3" t="n">
        <v>1.5</v>
      </c>
      <c r="Y133" s="3" t="inlineStr">
        <is>
          <t>COMM_Emotional</t>
        </is>
      </c>
      <c r="Z133" s="3" t="inlineStr">
        <is>
          <t>REG_SelfSoother</t>
        </is>
      </c>
      <c r="AA133" s="3" t="inlineStr">
        <is>
          <t>LANG_Touch</t>
        </is>
      </c>
      <c r="AB133" s="3" t="inlineStr">
        <is>
          <t>Vulnerability_Loop</t>
        </is>
      </c>
      <c r="AC133" s="3" t="inlineStr">
        <is>
          <t>Vulnerability_Loop</t>
        </is>
      </c>
      <c r="AD133" s="3" t="inlineStr"/>
      <c r="AE133" s="3" t="n">
        <v>5</v>
      </c>
      <c r="AF133" s="3" t="inlineStr">
        <is>
          <t>vulnerability regret spiral</t>
        </is>
      </c>
      <c r="AG133" s="3" t="inlineStr">
        <is>
          <t>internal retreater</t>
        </is>
      </c>
      <c r="AH133" s="3" t="n">
        <v>0</v>
      </c>
      <c r="AI133" s="3" t="inlineStr">
        <is>
          <t>yes</t>
        </is>
      </c>
      <c r="AJ133" s="3" t="inlineStr">
        <is>
          <t>no</t>
        </is>
      </c>
      <c r="AK133" s="3" t="inlineStr">
        <is>
          <t>no</t>
        </is>
      </c>
      <c r="AL133" s="3" t="inlineStr">
        <is>
          <t>no</t>
        </is>
      </c>
      <c r="AM133" s="3" t="inlineStr"/>
      <c r="AN133" s="3" t="inlineStr"/>
      <c r="AO133" s="3" t="inlineStr"/>
      <c r="AP133" s="3" t="inlineStr">
        <is>
          <t>v3_2026-03-19</t>
        </is>
      </c>
    </row>
    <row r="134">
      <c r="A134" s="3" t="inlineStr">
        <is>
          <t>Q27_C</t>
        </is>
      </c>
      <c r="B134" s="3" t="n">
        <v>27</v>
      </c>
      <c r="C134" s="3" t="n">
        <v>27</v>
      </c>
      <c r="D134" s="3" t="inlineStr">
        <is>
          <t>Core</t>
        </is>
      </c>
      <c r="E134" s="3" t="n">
        <v>1.15</v>
      </c>
      <c r="F134" s="3" t="inlineStr">
        <is>
          <t>ValuesLifestyle</t>
        </is>
      </c>
      <c r="G134" s="3" t="inlineStr">
        <is>
          <t>IntentAlignment</t>
        </is>
      </c>
      <c r="H134" s="3" t="inlineStr"/>
      <c r="I134" s="3" t="inlineStr">
        <is>
          <t>C</t>
        </is>
      </c>
      <c r="J134" s="3" t="inlineStr">
        <is>
          <t>C</t>
        </is>
      </c>
      <c r="K134" s="3" t="inlineStr">
        <is>
          <t>I replay their tone. Then I analyze whether they didn't care, or just didn't know how to respond.</t>
        </is>
      </c>
      <c r="L134" s="3" t="n">
        <v>7</v>
      </c>
      <c r="M134" s="3" t="n">
        <v>8</v>
      </c>
      <c r="N134" s="3" t="n">
        <v>6</v>
      </c>
      <c r="O134" s="3" t="n">
        <v>8</v>
      </c>
      <c r="P134" s="3" t="n">
        <v>6</v>
      </c>
      <c r="Q134" s="3" t="inlineStr">
        <is>
          <t>Analyzer</t>
        </is>
      </c>
      <c r="R134" s="3" t="n">
        <v>2</v>
      </c>
      <c r="S134" s="3" t="inlineStr"/>
      <c r="T134" s="3" t="inlineStr"/>
      <c r="U134" s="3" t="n">
        <v>0</v>
      </c>
      <c r="V134" s="3" t="inlineStr">
        <is>
          <t>masc:1.4;fem:0.1</t>
        </is>
      </c>
      <c r="W134" s="3" t="n">
        <v>1.4</v>
      </c>
      <c r="X134" s="3" t="n">
        <v>0.1</v>
      </c>
      <c r="Y134" s="3" t="inlineStr">
        <is>
          <t>COMM_Logical</t>
        </is>
      </c>
      <c r="Z134" s="3" t="inlineStr">
        <is>
          <t>REG_SelfSoother</t>
        </is>
      </c>
      <c r="AA134" s="3" t="inlineStr">
        <is>
          <t>LANG_Service</t>
        </is>
      </c>
      <c r="AB134" s="3" t="inlineStr"/>
      <c r="AC134" s="3" t="inlineStr"/>
      <c r="AD134" s="3" t="inlineStr"/>
      <c r="AE134" s="3" t="n">
        <v>0</v>
      </c>
      <c r="AF134" s="3" t="inlineStr">
        <is>
          <t>emotional forensics</t>
        </is>
      </c>
      <c r="AG134" s="3" t="inlineStr">
        <is>
          <t>intent decoder</t>
        </is>
      </c>
      <c r="AH134" s="3" t="n">
        <v>0</v>
      </c>
      <c r="AI134" s="3" t="inlineStr">
        <is>
          <t>no</t>
        </is>
      </c>
      <c r="AJ134" s="3" t="inlineStr">
        <is>
          <t>no</t>
        </is>
      </c>
      <c r="AK134" s="3" t="inlineStr">
        <is>
          <t>no</t>
        </is>
      </c>
      <c r="AL134" s="3" t="inlineStr">
        <is>
          <t>no</t>
        </is>
      </c>
      <c r="AM134" s="3" t="inlineStr"/>
      <c r="AN134" s="3" t="inlineStr"/>
      <c r="AO134" s="3" t="inlineStr"/>
      <c r="AP134" s="3" t="inlineStr">
        <is>
          <t>v3_2026-03-19</t>
        </is>
      </c>
    </row>
    <row r="135">
      <c r="A135" s="3" t="inlineStr">
        <is>
          <t>Q27_D</t>
        </is>
      </c>
      <c r="B135" s="3" t="n">
        <v>27</v>
      </c>
      <c r="C135" s="3" t="n">
        <v>27</v>
      </c>
      <c r="D135" s="3" t="inlineStr">
        <is>
          <t>Core</t>
        </is>
      </c>
      <c r="E135" s="3" t="n">
        <v>1.15</v>
      </c>
      <c r="F135" s="3" t="inlineStr">
        <is>
          <t>ValuesLifestyle</t>
        </is>
      </c>
      <c r="G135" s="3" t="inlineStr">
        <is>
          <t>IntentAlignment</t>
        </is>
      </c>
      <c r="H135" s="3" t="inlineStr"/>
      <c r="I135" s="3" t="inlineStr">
        <is>
          <t>D</t>
        </is>
      </c>
      <c r="J135" s="3" t="inlineStr">
        <is>
          <t>D</t>
        </is>
      </c>
      <c r="K135" s="3" t="inlineStr">
        <is>
          <t>I try to clean it up, like "Haha never mind," so they're not uncomfortable. It's easier if I'm the one holding the weight.</t>
        </is>
      </c>
      <c r="L135" s="3" t="n">
        <v>5</v>
      </c>
      <c r="M135" s="3" t="n">
        <v>6</v>
      </c>
      <c r="N135" s="3" t="n">
        <v>4</v>
      </c>
      <c r="O135" s="3" t="n">
        <v>4</v>
      </c>
      <c r="P135" s="3" t="n">
        <v>4</v>
      </c>
      <c r="Q135" s="3" t="inlineStr">
        <is>
          <t>Fixer</t>
        </is>
      </c>
      <c r="R135" s="3" t="n">
        <v>5</v>
      </c>
      <c r="S135" s="3" t="inlineStr"/>
      <c r="T135" s="3" t="inlineStr"/>
      <c r="U135" s="3" t="n">
        <v>0</v>
      </c>
      <c r="V135" s="3" t="inlineStr">
        <is>
          <t>masc:-0.4;fem:2.0</t>
        </is>
      </c>
      <c r="W135" s="3" t="n">
        <v>-0.4</v>
      </c>
      <c r="X135" s="3" t="n">
        <v>2</v>
      </c>
      <c r="Y135" s="3" t="inlineStr">
        <is>
          <t>COMM_Emotional</t>
        </is>
      </c>
      <c r="Z135" s="3" t="inlineStr">
        <is>
          <t>REG_CoRegulator</t>
        </is>
      </c>
      <c r="AA135" s="3" t="inlineStr">
        <is>
          <t>LANG_Service</t>
        </is>
      </c>
      <c r="AB135" s="3" t="inlineStr">
        <is>
          <t>Vulnerability_Loop</t>
        </is>
      </c>
      <c r="AC135" s="3" t="inlineStr">
        <is>
          <t>Vulnerability_Loop</t>
        </is>
      </c>
      <c r="AD135" s="3" t="inlineStr"/>
      <c r="AE135" s="3" t="n">
        <v>5</v>
      </c>
      <c r="AF135" s="3" t="inlineStr">
        <is>
          <t>self-erasure for harmony</t>
        </is>
      </c>
      <c r="AG135" s="3" t="inlineStr">
        <is>
          <t>over-accommodator</t>
        </is>
      </c>
      <c r="AH135" s="3" t="n">
        <v>0</v>
      </c>
      <c r="AI135" s="3" t="inlineStr">
        <is>
          <t>yes</t>
        </is>
      </c>
      <c r="AJ135" s="3" t="inlineStr">
        <is>
          <t>no</t>
        </is>
      </c>
      <c r="AK135" s="3" t="inlineStr">
        <is>
          <t>no</t>
        </is>
      </c>
      <c r="AL135" s="3" t="inlineStr">
        <is>
          <t>no</t>
        </is>
      </c>
      <c r="AM135" s="3" t="inlineStr"/>
      <c r="AN135" s="3" t="inlineStr"/>
      <c r="AO135" s="3" t="inlineStr"/>
      <c r="AP135" s="3" t="inlineStr">
        <is>
          <t>v3_2026-03-19</t>
        </is>
      </c>
    </row>
    <row r="136">
      <c r="A136" s="3" t="inlineStr">
        <is>
          <t>Q27_E</t>
        </is>
      </c>
      <c r="B136" s="3" t="n">
        <v>27</v>
      </c>
      <c r="C136" s="3" t="n">
        <v>27</v>
      </c>
      <c r="D136" s="3" t="inlineStr">
        <is>
          <t>Core</t>
        </is>
      </c>
      <c r="E136" s="3" t="n">
        <v>1.15</v>
      </c>
      <c r="F136" s="3" t="inlineStr">
        <is>
          <t>ValuesLifestyle</t>
        </is>
      </c>
      <c r="G136" s="3" t="inlineStr">
        <is>
          <t>IntentAlignment</t>
        </is>
      </c>
      <c r="H136" s="3" t="inlineStr"/>
      <c r="I136" s="3" t="inlineStr">
        <is>
          <t>E</t>
        </is>
      </c>
      <c r="J136" s="3" t="inlineStr">
        <is>
          <t>E</t>
        </is>
      </c>
      <c r="K136" s="3" t="inlineStr">
        <is>
          <t>I let it go in the moment, but the next time they open up, I mirror that same half-hearted energy back.</t>
        </is>
      </c>
      <c r="L136" s="3" t="n">
        <v>8</v>
      </c>
      <c r="M136" s="3" t="n">
        <v>8</v>
      </c>
      <c r="N136" s="3" t="n">
        <v>4</v>
      </c>
      <c r="O136" s="3" t="n">
        <v>4</v>
      </c>
      <c r="P136" s="3" t="n">
        <v>2</v>
      </c>
      <c r="Q136" s="3" t="inlineStr">
        <is>
          <t>Quiet Exit</t>
        </is>
      </c>
      <c r="R136" s="3" t="n">
        <v>4</v>
      </c>
      <c r="S136" s="3" t="inlineStr"/>
      <c r="T136" s="3" t="inlineStr"/>
      <c r="U136" s="3" t="n">
        <v>0</v>
      </c>
      <c r="V136" s="3" t="inlineStr">
        <is>
          <t>masc:1.4;fem:-1.3</t>
        </is>
      </c>
      <c r="W136" s="3" t="n">
        <v>1.4</v>
      </c>
      <c r="X136" s="3" t="n">
        <v>-1.3</v>
      </c>
      <c r="Y136" s="3" t="inlineStr">
        <is>
          <t>COMM_Avoidant</t>
        </is>
      </c>
      <c r="Z136" s="3" t="inlineStr">
        <is>
          <t>REG_Suppressor</t>
        </is>
      </c>
      <c r="AA136" s="3" t="inlineStr">
        <is>
          <t>LANG_Time</t>
        </is>
      </c>
      <c r="AB136" s="3" t="inlineStr"/>
      <c r="AC136" s="3" t="inlineStr"/>
      <c r="AD136" s="3" t="inlineStr"/>
      <c r="AE136" s="3" t="n">
        <v>0</v>
      </c>
      <c r="AF136" s="3" t="inlineStr">
        <is>
          <t>balanced withdrawal test</t>
        </is>
      </c>
      <c r="AG136" s="3" t="inlineStr">
        <is>
          <t>mirrored responder</t>
        </is>
      </c>
      <c r="AH136" s="3" t="n">
        <v>0.8</v>
      </c>
      <c r="AI136" s="3" t="inlineStr">
        <is>
          <t>no</t>
        </is>
      </c>
      <c r="AJ136" s="3" t="inlineStr">
        <is>
          <t>no</t>
        </is>
      </c>
      <c r="AK136" s="3" t="inlineStr">
        <is>
          <t>no</t>
        </is>
      </c>
      <c r="AL136" s="3" t="inlineStr">
        <is>
          <t>no</t>
        </is>
      </c>
      <c r="AM136" s="3" t="inlineStr"/>
      <c r="AN136" s="3" t="inlineStr"/>
      <c r="AO136" s="3" t="inlineStr"/>
      <c r="AP136" s="3" t="inlineStr">
        <is>
          <t>v3_2026-03-19</t>
        </is>
      </c>
    </row>
    <row r="137">
      <c r="A137" s="3" t="inlineStr">
        <is>
          <t>Q28_A</t>
        </is>
      </c>
      <c r="B137" s="3" t="n">
        <v>28</v>
      </c>
      <c r="C137" s="3" t="n">
        <v>28</v>
      </c>
      <c r="D137" s="3" t="inlineStr">
        <is>
          <t>Core</t>
        </is>
      </c>
      <c r="E137" s="3" t="n">
        <v>1.15</v>
      </c>
      <c r="F137" s="3" t="inlineStr">
        <is>
          <t>ValuesLifestyle</t>
        </is>
      </c>
      <c r="G137" s="3" t="inlineStr">
        <is>
          <t>IntentAlignment</t>
        </is>
      </c>
      <c r="H137" s="3" t="inlineStr">
        <is>
          <t>You catch them doing something shady-not cheating, but definitely questionable. They don't know you know. What's your move?</t>
        </is>
      </c>
      <c r="I137" s="3" t="inlineStr">
        <is>
          <t>A</t>
        </is>
      </c>
      <c r="J137" s="3" t="inlineStr">
        <is>
          <t>A</t>
        </is>
      </c>
      <c r="K137" s="3" t="inlineStr">
        <is>
          <t>I don't confront, I collect. I want to see if they'll admit it before I say anything.</t>
        </is>
      </c>
      <c r="L137" s="3" t="n">
        <v>7</v>
      </c>
      <c r="M137" s="3" t="n">
        <v>8</v>
      </c>
      <c r="N137" s="3" t="n">
        <v>6</v>
      </c>
      <c r="O137" s="3" t="n">
        <v>6</v>
      </c>
      <c r="P137" s="3" t="n">
        <v>6</v>
      </c>
      <c r="Q137" s="3" t="inlineStr">
        <is>
          <t>Analyzer</t>
        </is>
      </c>
      <c r="R137" s="3" t="n">
        <v>2</v>
      </c>
      <c r="S137" s="3" t="inlineStr"/>
      <c r="T137" s="3" t="inlineStr"/>
      <c r="U137" s="3" t="n">
        <v>0</v>
      </c>
      <c r="V137" s="3" t="inlineStr">
        <is>
          <t>masc:1.4;fem:0.1</t>
        </is>
      </c>
      <c r="W137" s="3" t="n">
        <v>1.4</v>
      </c>
      <c r="X137" s="3" t="n">
        <v>0.1</v>
      </c>
      <c r="Y137" s="3" t="inlineStr">
        <is>
          <t>COMM_Logical</t>
        </is>
      </c>
      <c r="Z137" s="3" t="inlineStr">
        <is>
          <t>REG_SelfSoother</t>
        </is>
      </c>
      <c r="AA137" s="3" t="inlineStr">
        <is>
          <t>LANG_Service</t>
        </is>
      </c>
      <c r="AB137" s="3" t="inlineStr"/>
      <c r="AC137" s="3" t="inlineStr"/>
      <c r="AD137" s="3" t="inlineStr"/>
      <c r="AE137" s="3" t="n">
        <v>0</v>
      </c>
      <c r="AF137" s="3" t="inlineStr">
        <is>
          <t>silent pattern tracker</t>
        </is>
      </c>
      <c r="AG137" s="3" t="inlineStr">
        <is>
          <t>quiet investigator</t>
        </is>
      </c>
      <c r="AH137" s="3" t="n">
        <v>1.2</v>
      </c>
      <c r="AI137" s="3" t="inlineStr">
        <is>
          <t>no</t>
        </is>
      </c>
      <c r="AJ137" s="3" t="inlineStr">
        <is>
          <t>no</t>
        </is>
      </c>
      <c r="AK137" s="3" t="inlineStr">
        <is>
          <t>no</t>
        </is>
      </c>
      <c r="AL137" s="3" t="inlineStr">
        <is>
          <t>no</t>
        </is>
      </c>
      <c r="AM137" s="3" t="inlineStr"/>
      <c r="AN137" s="3" t="inlineStr"/>
      <c r="AO137" s="3" t="inlineStr"/>
      <c r="AP137" s="3" t="inlineStr">
        <is>
          <t>v3_2026-03-19</t>
        </is>
      </c>
    </row>
    <row r="138">
      <c r="A138" s="3" t="inlineStr">
        <is>
          <t>Q28_B</t>
        </is>
      </c>
      <c r="B138" s="3" t="n">
        <v>28</v>
      </c>
      <c r="C138" s="3" t="n">
        <v>28</v>
      </c>
      <c r="D138" s="3" t="inlineStr">
        <is>
          <t>Core</t>
        </is>
      </c>
      <c r="E138" s="3" t="n">
        <v>1.15</v>
      </c>
      <c r="F138" s="3" t="inlineStr">
        <is>
          <t>ValuesLifestyle</t>
        </is>
      </c>
      <c r="G138" s="3" t="inlineStr">
        <is>
          <t>IntentAlignment</t>
        </is>
      </c>
      <c r="H138" s="3" t="inlineStr"/>
      <c r="I138" s="3" t="inlineStr">
        <is>
          <t>B</t>
        </is>
      </c>
      <c r="J138" s="3" t="inlineStr">
        <is>
          <t>B</t>
        </is>
      </c>
      <c r="K138" s="3" t="inlineStr">
        <is>
          <t>I act normal, but I'm already shifting. If you could do that once, you'll do it again. I don't wait for repeats.</t>
        </is>
      </c>
      <c r="L138" s="3" t="n">
        <v>8</v>
      </c>
      <c r="M138" s="3" t="n">
        <v>9</v>
      </c>
      <c r="N138" s="3" t="n">
        <v>4</v>
      </c>
      <c r="O138" s="3" t="n">
        <v>6</v>
      </c>
      <c r="P138" s="3" t="n">
        <v>2</v>
      </c>
      <c r="Q138" s="3" t="inlineStr">
        <is>
          <t>Icebox</t>
        </is>
      </c>
      <c r="R138" s="3" t="n">
        <v>1</v>
      </c>
      <c r="S138" s="3" t="inlineStr"/>
      <c r="T138" s="3" t="inlineStr"/>
      <c r="U138" s="3" t="n">
        <v>0</v>
      </c>
      <c r="V138" s="3" t="inlineStr">
        <is>
          <t>masc:1.8;fem:-1.6</t>
        </is>
      </c>
      <c r="W138" s="3" t="n">
        <v>1.8</v>
      </c>
      <c r="X138" s="3" t="n">
        <v>-1.6</v>
      </c>
      <c r="Y138" s="3" t="inlineStr">
        <is>
          <t>COMM_Avoidant</t>
        </is>
      </c>
      <c r="Z138" s="3" t="inlineStr">
        <is>
          <t>REG_Suppressor</t>
        </is>
      </c>
      <c r="AA138" s="3" t="inlineStr">
        <is>
          <t>LANG_Time</t>
        </is>
      </c>
      <c r="AB138" s="3" t="inlineStr"/>
      <c r="AC138" s="3" t="inlineStr"/>
      <c r="AD138" s="3" t="inlineStr"/>
      <c r="AE138" s="3" t="n">
        <v>0</v>
      </c>
      <c r="AF138" s="3" t="inlineStr">
        <is>
          <t>silent judgment</t>
        </is>
      </c>
      <c r="AG138" s="3" t="inlineStr">
        <is>
          <t>fast exiter</t>
        </is>
      </c>
      <c r="AH138" s="3" t="n">
        <v>0.6</v>
      </c>
      <c r="AI138" s="3" t="inlineStr">
        <is>
          <t>no</t>
        </is>
      </c>
      <c r="AJ138" s="3" t="inlineStr">
        <is>
          <t>no</t>
        </is>
      </c>
      <c r="AK138" s="3" t="inlineStr">
        <is>
          <t>no</t>
        </is>
      </c>
      <c r="AL138" s="3" t="inlineStr">
        <is>
          <t>no</t>
        </is>
      </c>
      <c r="AM138" s="3" t="inlineStr"/>
      <c r="AN138" s="3" t="inlineStr"/>
      <c r="AO138" s="3" t="inlineStr"/>
      <c r="AP138" s="3" t="inlineStr">
        <is>
          <t>v3_2026-03-19</t>
        </is>
      </c>
    </row>
    <row r="139">
      <c r="A139" s="3" t="inlineStr">
        <is>
          <t>Q28_C</t>
        </is>
      </c>
      <c r="B139" s="3" t="n">
        <v>28</v>
      </c>
      <c r="C139" s="3" t="n">
        <v>28</v>
      </c>
      <c r="D139" s="3" t="inlineStr">
        <is>
          <t>Core</t>
        </is>
      </c>
      <c r="E139" s="3" t="n">
        <v>1.15</v>
      </c>
      <c r="F139" s="3" t="inlineStr">
        <is>
          <t>ValuesLifestyle</t>
        </is>
      </c>
      <c r="G139" s="3" t="inlineStr">
        <is>
          <t>IntentAlignment</t>
        </is>
      </c>
      <c r="H139" s="3" t="inlineStr"/>
      <c r="I139" s="3" t="inlineStr">
        <is>
          <t>C</t>
        </is>
      </c>
      <c r="J139" s="3" t="inlineStr">
        <is>
          <t>C</t>
        </is>
      </c>
      <c r="K139" s="3" t="inlineStr">
        <is>
          <t>I ask directly. If you lie to my face, I'm done. I'd rather deal with a harsh truth than slow deceit.</t>
        </is>
      </c>
      <c r="L139" s="3" t="n">
        <v>10</v>
      </c>
      <c r="M139" s="3" t="n">
        <v>10</v>
      </c>
      <c r="N139" s="3" t="n">
        <v>10</v>
      </c>
      <c r="O139" s="3" t="n">
        <v>10</v>
      </c>
      <c r="P139" s="3" t="n">
        <v>10</v>
      </c>
      <c r="Q139" s="3" t="inlineStr">
        <is>
          <t>Regulated Grown-Up</t>
        </is>
      </c>
      <c r="R139" s="3" t="n">
        <v>9</v>
      </c>
      <c r="S139" s="3" t="inlineStr"/>
      <c r="T139" s="3" t="inlineStr"/>
      <c r="U139" s="3" t="n">
        <v>0</v>
      </c>
      <c r="V139" s="3" t="inlineStr">
        <is>
          <t>masc:1.1;fem:0.9</t>
        </is>
      </c>
      <c r="W139" s="3" t="n">
        <v>1.1</v>
      </c>
      <c r="X139" s="3" t="n">
        <v>0.9</v>
      </c>
      <c r="Y139" s="3" t="inlineStr">
        <is>
          <t>COMM_Direct</t>
        </is>
      </c>
      <c r="Z139" s="3" t="inlineStr">
        <is>
          <t>REG_CoRegulator</t>
        </is>
      </c>
      <c r="AA139" s="3" t="inlineStr">
        <is>
          <t>LANG_Words</t>
        </is>
      </c>
      <c r="AB139" s="3" t="inlineStr"/>
      <c r="AC139" s="3" t="inlineStr"/>
      <c r="AD139" s="3" t="inlineStr"/>
      <c r="AE139" s="3" t="n">
        <v>0</v>
      </c>
      <c r="AF139" s="3" t="inlineStr">
        <is>
          <t>boundary with teeth</t>
        </is>
      </c>
      <c r="AG139" s="3" t="inlineStr">
        <is>
          <t>direct confronter</t>
        </is>
      </c>
      <c r="AH139" s="3" t="n">
        <v>0</v>
      </c>
      <c r="AI139" s="3" t="inlineStr">
        <is>
          <t>no</t>
        </is>
      </c>
      <c r="AJ139" s="3" t="inlineStr">
        <is>
          <t>no</t>
        </is>
      </c>
      <c r="AK139" s="3" t="inlineStr">
        <is>
          <t>no</t>
        </is>
      </c>
      <c r="AL139" s="3" t="inlineStr">
        <is>
          <t>no</t>
        </is>
      </c>
      <c r="AM139" s="3" t="inlineStr"/>
      <c r="AN139" s="3" t="inlineStr"/>
      <c r="AO139" s="3" t="inlineStr"/>
      <c r="AP139" s="3" t="inlineStr">
        <is>
          <t>v3_2026-03-19</t>
        </is>
      </c>
    </row>
    <row r="140">
      <c r="A140" s="3" t="inlineStr">
        <is>
          <t>Q28_D</t>
        </is>
      </c>
      <c r="B140" s="3" t="n">
        <v>28</v>
      </c>
      <c r="C140" s="3" t="n">
        <v>28</v>
      </c>
      <c r="D140" s="3" t="inlineStr">
        <is>
          <t>Core</t>
        </is>
      </c>
      <c r="E140" s="3" t="n">
        <v>1.15</v>
      </c>
      <c r="F140" s="3" t="inlineStr">
        <is>
          <t>ValuesLifestyle</t>
        </is>
      </c>
      <c r="G140" s="3" t="inlineStr">
        <is>
          <t>IntentAlignment</t>
        </is>
      </c>
      <c r="H140" s="3" t="inlineStr"/>
      <c r="I140" s="3" t="inlineStr">
        <is>
          <t>D</t>
        </is>
      </c>
      <c r="J140" s="3" t="inlineStr">
        <is>
          <t>D</t>
        </is>
      </c>
      <c r="K140" s="3" t="inlineStr">
        <is>
          <t>I make a sarcastic comment or drop a subtle clue that I saw it, just to see how they react.</t>
        </is>
      </c>
      <c r="L140" s="3" t="n">
        <v>6</v>
      </c>
      <c r="M140" s="3" t="n">
        <v>7</v>
      </c>
      <c r="N140" s="3" t="n">
        <v>4</v>
      </c>
      <c r="O140" s="3" t="n">
        <v>4</v>
      </c>
      <c r="P140" s="3" t="n">
        <v>2</v>
      </c>
      <c r="Q140" s="3" t="inlineStr">
        <is>
          <t>Performer</t>
        </is>
      </c>
      <c r="R140" s="3" t="n">
        <v>7</v>
      </c>
      <c r="S140" s="3" t="inlineStr"/>
      <c r="T140" s="3" t="inlineStr"/>
      <c r="U140" s="3" t="n">
        <v>0</v>
      </c>
      <c r="V140" s="3" t="inlineStr">
        <is>
          <t>masc:0.2;fem:1.1</t>
        </is>
      </c>
      <c r="W140" s="3" t="n">
        <v>0.2</v>
      </c>
      <c r="X140" s="3" t="n">
        <v>1.1</v>
      </c>
      <c r="Y140" s="3" t="inlineStr">
        <is>
          <t>COMM_Indirect</t>
        </is>
      </c>
      <c r="Z140" s="3" t="inlineStr">
        <is>
          <t>REG_CoRegulator</t>
        </is>
      </c>
      <c r="AA140" s="3" t="inlineStr">
        <is>
          <t>LANG_Words</t>
        </is>
      </c>
      <c r="AB140" s="3" t="inlineStr">
        <is>
          <t>Scorekeeping_Echo</t>
        </is>
      </c>
      <c r="AC140" s="3" t="inlineStr">
        <is>
          <t>Scorekeeping_Echo</t>
        </is>
      </c>
      <c r="AD140" s="3" t="inlineStr"/>
      <c r="AE140" s="3" t="n">
        <v>8</v>
      </c>
      <c r="AF140" s="3" t="inlineStr">
        <is>
          <t>passive confrontation via humor</t>
        </is>
      </c>
      <c r="AG140" s="3" t="inlineStr">
        <is>
          <t>playful tester</t>
        </is>
      </c>
      <c r="AH140" s="3" t="n">
        <v>0.6</v>
      </c>
      <c r="AI140" s="3" t="inlineStr">
        <is>
          <t>yes</t>
        </is>
      </c>
      <c r="AJ140" s="3" t="inlineStr">
        <is>
          <t>no</t>
        </is>
      </c>
      <c r="AK140" s="3" t="inlineStr">
        <is>
          <t>no</t>
        </is>
      </c>
      <c r="AL140" s="3" t="inlineStr">
        <is>
          <t>no</t>
        </is>
      </c>
      <c r="AM140" s="3" t="inlineStr"/>
      <c r="AN140" s="3" t="inlineStr"/>
      <c r="AO140" s="3" t="inlineStr"/>
      <c r="AP140" s="3" t="inlineStr">
        <is>
          <t>v3_2026-03-19</t>
        </is>
      </c>
    </row>
    <row r="141">
      <c r="A141" s="3" t="inlineStr">
        <is>
          <t>Q28_E</t>
        </is>
      </c>
      <c r="B141" s="3" t="n">
        <v>28</v>
      </c>
      <c r="C141" s="3" t="n">
        <v>28</v>
      </c>
      <c r="D141" s="3" t="inlineStr">
        <is>
          <t>Core</t>
        </is>
      </c>
      <c r="E141" s="3" t="n">
        <v>1.15</v>
      </c>
      <c r="F141" s="3" t="inlineStr">
        <is>
          <t>ValuesLifestyle</t>
        </is>
      </c>
      <c r="G141" s="3" t="inlineStr">
        <is>
          <t>IntentAlignment</t>
        </is>
      </c>
      <c r="H141" s="3" t="inlineStr"/>
      <c r="I141" s="3" t="inlineStr">
        <is>
          <t>E</t>
        </is>
      </c>
      <c r="J141" s="3" t="inlineStr">
        <is>
          <t>E</t>
        </is>
      </c>
      <c r="K141" s="3" t="inlineStr">
        <is>
          <t>I question myself first. Maybe I misunderstood. Maybe they had a reason. I spiral before I speak.</t>
        </is>
      </c>
      <c r="L141" s="3" t="n">
        <v>5</v>
      </c>
      <c r="M141" s="3" t="n">
        <v>6</v>
      </c>
      <c r="N141" s="3" t="n">
        <v>2</v>
      </c>
      <c r="O141" s="3" t="n">
        <v>4</v>
      </c>
      <c r="P141" s="3" t="n">
        <v>2</v>
      </c>
      <c r="Q141" s="3" t="inlineStr">
        <is>
          <t>Romantic Idealist</t>
        </is>
      </c>
      <c r="R141" s="3" t="n">
        <v>6</v>
      </c>
      <c r="S141" s="3" t="inlineStr"/>
      <c r="T141" s="3" t="inlineStr"/>
      <c r="U141" s="3" t="n">
        <v>0</v>
      </c>
      <c r="V141" s="3" t="inlineStr">
        <is>
          <t>masc:-0.4;fem:1.5</t>
        </is>
      </c>
      <c r="W141" s="3" t="n">
        <v>-0.4</v>
      </c>
      <c r="X141" s="3" t="n">
        <v>1.5</v>
      </c>
      <c r="Y141" s="3" t="inlineStr">
        <is>
          <t>COMM_Emotional</t>
        </is>
      </c>
      <c r="Z141" s="3" t="inlineStr">
        <is>
          <t>REG_Distractor</t>
        </is>
      </c>
      <c r="AA141" s="3" t="inlineStr">
        <is>
          <t>LANG_Gifts</t>
        </is>
      </c>
      <c r="AB141" s="3" t="inlineStr">
        <is>
          <t>Commitment_Ambiguity</t>
        </is>
      </c>
      <c r="AC141" s="3" t="inlineStr">
        <is>
          <t>Commitment_Ambiguity</t>
        </is>
      </c>
      <c r="AD141" s="3" t="inlineStr"/>
      <c r="AE141" s="3" t="n">
        <v>5</v>
      </c>
      <c r="AF141" s="3" t="inlineStr">
        <is>
          <t>self-gaslighting</t>
        </is>
      </c>
      <c r="AG141" s="3" t="inlineStr">
        <is>
          <t>doubtful justifier</t>
        </is>
      </c>
      <c r="AH141" s="3" t="n">
        <v>0</v>
      </c>
      <c r="AI141" s="3" t="inlineStr">
        <is>
          <t>yes</t>
        </is>
      </c>
      <c r="AJ141" s="3" t="inlineStr">
        <is>
          <t>no</t>
        </is>
      </c>
      <c r="AK141" s="3" t="inlineStr">
        <is>
          <t>no</t>
        </is>
      </c>
      <c r="AL141" s="3" t="inlineStr">
        <is>
          <t>no</t>
        </is>
      </c>
      <c r="AM141" s="3" t="inlineStr"/>
      <c r="AN141" s="3" t="inlineStr"/>
      <c r="AO141" s="3" t="inlineStr"/>
      <c r="AP141" s="3" t="inlineStr">
        <is>
          <t>v3_2026-03-19</t>
        </is>
      </c>
    </row>
    <row r="142">
      <c r="A142" s="3" t="inlineStr">
        <is>
          <t>Q29_A</t>
        </is>
      </c>
      <c r="B142" s="3" t="n">
        <v>29</v>
      </c>
      <c r="C142" s="3" t="n">
        <v>29</v>
      </c>
      <c r="D142" s="3" t="inlineStr">
        <is>
          <t>Core</t>
        </is>
      </c>
      <c r="E142" s="3" t="n">
        <v>1.15</v>
      </c>
      <c r="F142" s="3" t="inlineStr">
        <is>
          <t>ValuesLifestyle</t>
        </is>
      </c>
      <c r="G142" s="3" t="inlineStr">
        <is>
          <t>IntentAlignment</t>
        </is>
      </c>
      <c r="H142" s="3" t="inlineStr">
        <is>
          <t>You start feeling like they're pulling back emotionally-but they haven't said anything. What's your instinct?</t>
        </is>
      </c>
      <c r="I142" s="3" t="inlineStr">
        <is>
          <t>A</t>
        </is>
      </c>
      <c r="J142" s="3" t="inlineStr">
        <is>
          <t>A</t>
        </is>
      </c>
      <c r="K142" s="3" t="inlineStr">
        <is>
          <t>I match the shift. You move less, I move less. I'm not here to overextend where I'm not met.</t>
        </is>
      </c>
      <c r="L142" s="3" t="n">
        <v>8</v>
      </c>
      <c r="M142" s="3" t="n">
        <v>9</v>
      </c>
      <c r="N142" s="3" t="n">
        <v>4</v>
      </c>
      <c r="O142" s="3" t="n">
        <v>6</v>
      </c>
      <c r="P142" s="3" t="n">
        <v>2</v>
      </c>
      <c r="Q142" s="3" t="inlineStr">
        <is>
          <t>Icebox</t>
        </is>
      </c>
      <c r="R142" s="3" t="n">
        <v>1</v>
      </c>
      <c r="S142" s="3" t="inlineStr"/>
      <c r="T142" s="3" t="inlineStr"/>
      <c r="U142" s="3" t="n">
        <v>0</v>
      </c>
      <c r="V142" s="3" t="inlineStr">
        <is>
          <t>masc:1.8;fem:-1.6</t>
        </is>
      </c>
      <c r="W142" s="3" t="n">
        <v>1.8</v>
      </c>
      <c r="X142" s="3" t="n">
        <v>-1.6</v>
      </c>
      <c r="Y142" s="3" t="inlineStr">
        <is>
          <t>COMM_Avoidant</t>
        </is>
      </c>
      <c r="Z142" s="3" t="inlineStr">
        <is>
          <t>REG_Suppressor</t>
        </is>
      </c>
      <c r="AA142" s="3" t="inlineStr">
        <is>
          <t>LANG_Time</t>
        </is>
      </c>
      <c r="AB142" s="3" t="inlineStr"/>
      <c r="AC142" s="3" t="inlineStr"/>
      <c r="AD142" s="3" t="inlineStr"/>
      <c r="AE142" s="3" t="n">
        <v>0</v>
      </c>
      <c r="AF142" s="3" t="inlineStr">
        <is>
          <t>energy mirror reflex</t>
        </is>
      </c>
      <c r="AG142" s="3" t="inlineStr">
        <is>
          <t>mirrored boundary</t>
        </is>
      </c>
      <c r="AH142" s="3" t="n">
        <v>0</v>
      </c>
      <c r="AI142" s="3" t="inlineStr">
        <is>
          <t>no</t>
        </is>
      </c>
      <c r="AJ142" s="3" t="inlineStr">
        <is>
          <t>no</t>
        </is>
      </c>
      <c r="AK142" s="3" t="inlineStr">
        <is>
          <t>no</t>
        </is>
      </c>
      <c r="AL142" s="3" t="inlineStr">
        <is>
          <t>no</t>
        </is>
      </c>
      <c r="AM142" s="3" t="inlineStr"/>
      <c r="AN142" s="3" t="inlineStr"/>
      <c r="AO142" s="3" t="inlineStr"/>
      <c r="AP142" s="3" t="inlineStr">
        <is>
          <t>v3_2026-03-19</t>
        </is>
      </c>
    </row>
    <row r="143">
      <c r="A143" s="3" t="inlineStr">
        <is>
          <t>Q29_B</t>
        </is>
      </c>
      <c r="B143" s="3" t="n">
        <v>29</v>
      </c>
      <c r="C143" s="3" t="n">
        <v>29</v>
      </c>
      <c r="D143" s="3" t="inlineStr">
        <is>
          <t>Core</t>
        </is>
      </c>
      <c r="E143" s="3" t="n">
        <v>1.15</v>
      </c>
      <c r="F143" s="3" t="inlineStr">
        <is>
          <t>ValuesLifestyle</t>
        </is>
      </c>
      <c r="G143" s="3" t="inlineStr">
        <is>
          <t>IntentAlignment</t>
        </is>
      </c>
      <c r="H143" s="3" t="inlineStr"/>
      <c r="I143" s="3" t="inlineStr">
        <is>
          <t>B</t>
        </is>
      </c>
      <c r="J143" s="3" t="inlineStr">
        <is>
          <t>B</t>
        </is>
      </c>
      <c r="K143" s="3" t="inlineStr">
        <is>
          <t>I keep the conversations going, but lighter. I don't want to ask directly, I'd rather just try to stay in their world a bit longer.</t>
        </is>
      </c>
      <c r="L143" s="3" t="n">
        <v>5</v>
      </c>
      <c r="M143" s="3" t="n">
        <v>6</v>
      </c>
      <c r="N143" s="3" t="n">
        <v>2</v>
      </c>
      <c r="O143" s="3" t="n">
        <v>4</v>
      </c>
      <c r="P143" s="3" t="n">
        <v>2</v>
      </c>
      <c r="Q143" s="3" t="inlineStr">
        <is>
          <t>Phantom Seeker</t>
        </is>
      </c>
      <c r="R143" s="3" t="n">
        <v>10</v>
      </c>
      <c r="S143" s="3" t="inlineStr"/>
      <c r="T143" s="3" t="inlineStr"/>
      <c r="U143" s="3" t="n">
        <v>0</v>
      </c>
      <c r="V143" s="3" t="inlineStr">
        <is>
          <t>masc:-0.2;fem:1.5</t>
        </is>
      </c>
      <c r="W143" s="3" t="n">
        <v>-0.2</v>
      </c>
      <c r="X143" s="3" t="n">
        <v>1.5</v>
      </c>
      <c r="Y143" s="3" t="inlineStr">
        <is>
          <t>COMM_Emotional</t>
        </is>
      </c>
      <c r="Z143" s="3" t="inlineStr">
        <is>
          <t>REG_SelfSoother</t>
        </is>
      </c>
      <c r="AA143" s="3" t="inlineStr">
        <is>
          <t>LANG_Touch</t>
        </is>
      </c>
      <c r="AB143" s="3" t="inlineStr">
        <is>
          <t>Vulnerability_Loop</t>
        </is>
      </c>
      <c r="AC143" s="3" t="inlineStr">
        <is>
          <t>Vulnerability_Loop</t>
        </is>
      </c>
      <c r="AD143" s="3" t="inlineStr"/>
      <c r="AE143" s="3" t="n">
        <v>5</v>
      </c>
      <c r="AF143" s="3" t="inlineStr">
        <is>
          <t>soft presence maintenance</t>
        </is>
      </c>
      <c r="AG143" s="3" t="inlineStr">
        <is>
          <t>gentle holder</t>
        </is>
      </c>
      <c r="AH143" s="3" t="n">
        <v>0</v>
      </c>
      <c r="AI143" s="3" t="inlineStr">
        <is>
          <t>yes</t>
        </is>
      </c>
      <c r="AJ143" s="3" t="inlineStr">
        <is>
          <t>no</t>
        </is>
      </c>
      <c r="AK143" s="3" t="inlineStr">
        <is>
          <t>no</t>
        </is>
      </c>
      <c r="AL143" s="3" t="inlineStr">
        <is>
          <t>no</t>
        </is>
      </c>
      <c r="AM143" s="3" t="inlineStr"/>
      <c r="AN143" s="3" t="inlineStr"/>
      <c r="AO143" s="3" t="inlineStr"/>
      <c r="AP143" s="3" t="inlineStr">
        <is>
          <t>v3_2026-03-19</t>
        </is>
      </c>
    </row>
    <row r="144">
      <c r="A144" s="3" t="inlineStr">
        <is>
          <t>Q29_C</t>
        </is>
      </c>
      <c r="B144" s="3" t="n">
        <v>29</v>
      </c>
      <c r="C144" s="3" t="n">
        <v>29</v>
      </c>
      <c r="D144" s="3" t="inlineStr">
        <is>
          <t>Core</t>
        </is>
      </c>
      <c r="E144" s="3" t="n">
        <v>1.15</v>
      </c>
      <c r="F144" s="3" t="inlineStr">
        <is>
          <t>ValuesLifestyle</t>
        </is>
      </c>
      <c r="G144" s="3" t="inlineStr">
        <is>
          <t>IntentAlignment</t>
        </is>
      </c>
      <c r="H144" s="3" t="inlineStr"/>
      <c r="I144" s="3" t="inlineStr">
        <is>
          <t>C</t>
        </is>
      </c>
      <c r="J144" s="3" t="inlineStr">
        <is>
          <t>C</t>
        </is>
      </c>
      <c r="K144" s="3" t="inlineStr">
        <is>
          <t>I bring it up. I don't like guessing games. If we're drifting, I'd rather name it than pretend it's not happening.</t>
        </is>
      </c>
      <c r="L144" s="3" t="n">
        <v>10</v>
      </c>
      <c r="M144" s="3" t="n">
        <v>10</v>
      </c>
      <c r="N144" s="3" t="n">
        <v>10</v>
      </c>
      <c r="O144" s="3" t="n">
        <v>10</v>
      </c>
      <c r="P144" s="3" t="n">
        <v>10</v>
      </c>
      <c r="Q144" s="3" t="inlineStr">
        <is>
          <t>Regulated Grown-Up</t>
        </is>
      </c>
      <c r="R144" s="3" t="n">
        <v>9</v>
      </c>
      <c r="S144" s="3" t="inlineStr"/>
      <c r="T144" s="3" t="inlineStr"/>
      <c r="U144" s="3" t="n">
        <v>0</v>
      </c>
      <c r="V144" s="3" t="inlineStr">
        <is>
          <t>masc:1.1;fem:0.9</t>
        </is>
      </c>
      <c r="W144" s="3" t="n">
        <v>1.1</v>
      </c>
      <c r="X144" s="3" t="n">
        <v>0.9</v>
      </c>
      <c r="Y144" s="3" t="inlineStr">
        <is>
          <t>COMM_Direct</t>
        </is>
      </c>
      <c r="Z144" s="3" t="inlineStr">
        <is>
          <t>REG_CoRegulator</t>
        </is>
      </c>
      <c r="AA144" s="3" t="inlineStr">
        <is>
          <t>LANG_Words</t>
        </is>
      </c>
      <c r="AB144" s="3" t="inlineStr"/>
      <c r="AC144" s="3" t="inlineStr"/>
      <c r="AD144" s="3" t="inlineStr"/>
      <c r="AE144" s="3" t="n">
        <v>0</v>
      </c>
      <c r="AF144" s="3" t="inlineStr">
        <is>
          <t>clarity seeker</t>
        </is>
      </c>
      <c r="AG144" s="3" t="inlineStr">
        <is>
          <t>direct communicator</t>
        </is>
      </c>
      <c r="AH144" s="3" t="n">
        <v>0.5</v>
      </c>
      <c r="AI144" s="3" t="inlineStr">
        <is>
          <t>no</t>
        </is>
      </c>
      <c r="AJ144" s="3" t="inlineStr">
        <is>
          <t>no</t>
        </is>
      </c>
      <c r="AK144" s="3" t="inlineStr">
        <is>
          <t>no</t>
        </is>
      </c>
      <c r="AL144" s="3" t="inlineStr">
        <is>
          <t>no</t>
        </is>
      </c>
      <c r="AM144" s="3" t="inlineStr"/>
      <c r="AN144" s="3" t="inlineStr"/>
      <c r="AO144" s="3" t="inlineStr"/>
      <c r="AP144" s="3" t="inlineStr">
        <is>
          <t>v3_2026-03-19</t>
        </is>
      </c>
    </row>
    <row r="145">
      <c r="A145" s="3" t="inlineStr">
        <is>
          <t>Q29_D</t>
        </is>
      </c>
      <c r="B145" s="3" t="n">
        <v>29</v>
      </c>
      <c r="C145" s="3" t="n">
        <v>29</v>
      </c>
      <c r="D145" s="3" t="inlineStr">
        <is>
          <t>Core</t>
        </is>
      </c>
      <c r="E145" s="3" t="n">
        <v>1.15</v>
      </c>
      <c r="F145" s="3" t="inlineStr">
        <is>
          <t>ValuesLifestyle</t>
        </is>
      </c>
      <c r="G145" s="3" t="inlineStr">
        <is>
          <t>IntentAlignment</t>
        </is>
      </c>
      <c r="H145" s="3" t="inlineStr"/>
      <c r="I145" s="3" t="inlineStr">
        <is>
          <t>D</t>
        </is>
      </c>
      <c r="J145" s="3" t="inlineStr">
        <is>
          <t>D</t>
        </is>
      </c>
      <c r="K145" s="3" t="inlineStr">
        <is>
          <t>I start mentally preparing for the end. I've seen this before, distance always comes before the goodbye.</t>
        </is>
      </c>
      <c r="L145" s="3" t="n">
        <v>6</v>
      </c>
      <c r="M145" s="3" t="n">
        <v>7</v>
      </c>
      <c r="N145" s="3" t="n">
        <v>4</v>
      </c>
      <c r="O145" s="3" t="n">
        <v>6</v>
      </c>
      <c r="P145" s="3" t="n">
        <v>4</v>
      </c>
      <c r="Q145" s="3" t="inlineStr">
        <is>
          <t>Survivor</t>
        </is>
      </c>
      <c r="R145" s="3" t="n">
        <v>8</v>
      </c>
      <c r="S145" s="3" t="inlineStr"/>
      <c r="T145" s="3" t="inlineStr"/>
      <c r="U145" s="3" t="n">
        <v>0</v>
      </c>
      <c r="V145" s="3" t="inlineStr">
        <is>
          <t>masc:0.3;fem:1.3</t>
        </is>
      </c>
      <c r="W145" s="3" t="n">
        <v>0.3</v>
      </c>
      <c r="X145" s="3" t="n">
        <v>1.3</v>
      </c>
      <c r="Y145" s="3" t="inlineStr">
        <is>
          <t>COMM_Emotional</t>
        </is>
      </c>
      <c r="Z145" s="3" t="inlineStr">
        <is>
          <t>REG_SelfSoother</t>
        </is>
      </c>
      <c r="AA145" s="3" t="inlineStr">
        <is>
          <t>LANG_Service</t>
        </is>
      </c>
      <c r="AB145" s="3" t="inlineStr">
        <is>
          <t>Vulnerability_Loop</t>
        </is>
      </c>
      <c r="AC145" s="3" t="inlineStr">
        <is>
          <t>Vulnerability_Loop</t>
        </is>
      </c>
      <c r="AD145" s="3" t="inlineStr"/>
      <c r="AE145" s="3" t="n">
        <v>5</v>
      </c>
      <c r="AF145" s="3" t="inlineStr">
        <is>
          <t>preemptive grief process</t>
        </is>
      </c>
      <c r="AG145" s="3" t="inlineStr">
        <is>
          <t>guarded planner</t>
        </is>
      </c>
      <c r="AH145" s="3" t="n">
        <v>0</v>
      </c>
      <c r="AI145" s="3" t="inlineStr">
        <is>
          <t>yes</t>
        </is>
      </c>
      <c r="AJ145" s="3" t="inlineStr">
        <is>
          <t>no</t>
        </is>
      </c>
      <c r="AK145" s="3" t="inlineStr">
        <is>
          <t>no</t>
        </is>
      </c>
      <c r="AL145" s="3" t="inlineStr">
        <is>
          <t>no</t>
        </is>
      </c>
      <c r="AM145" s="3" t="inlineStr"/>
      <c r="AN145" s="3" t="inlineStr"/>
      <c r="AO145" s="3" t="inlineStr"/>
      <c r="AP145" s="3" t="inlineStr">
        <is>
          <t>v3_2026-03-19</t>
        </is>
      </c>
    </row>
    <row r="146">
      <c r="A146" s="3" t="inlineStr">
        <is>
          <t>Q29_E</t>
        </is>
      </c>
      <c r="B146" s="3" t="n">
        <v>29</v>
      </c>
      <c r="C146" s="3" t="n">
        <v>29</v>
      </c>
      <c r="D146" s="3" t="inlineStr">
        <is>
          <t>Core</t>
        </is>
      </c>
      <c r="E146" s="3" t="n">
        <v>1.15</v>
      </c>
      <c r="F146" s="3" t="inlineStr">
        <is>
          <t>ValuesLifestyle</t>
        </is>
      </c>
      <c r="G146" s="3" t="inlineStr">
        <is>
          <t>IntentAlignment</t>
        </is>
      </c>
      <c r="H146" s="3" t="inlineStr"/>
      <c r="I146" s="3" t="inlineStr">
        <is>
          <t>E</t>
        </is>
      </c>
      <c r="J146" s="3" t="inlineStr">
        <is>
          <t>E</t>
        </is>
      </c>
      <c r="K146" s="3" t="inlineStr">
        <is>
          <t>I start monitoring everything, timing, wording, vibe. I try to pinpoint exactly when the shift started.</t>
        </is>
      </c>
      <c r="L146" s="3" t="n">
        <v>7</v>
      </c>
      <c r="M146" s="3" t="n">
        <v>8</v>
      </c>
      <c r="N146" s="3" t="n">
        <v>6</v>
      </c>
      <c r="O146" s="3" t="n">
        <v>6</v>
      </c>
      <c r="P146" s="3" t="n">
        <v>6</v>
      </c>
      <c r="Q146" s="3" t="inlineStr">
        <is>
          <t>Analyzer</t>
        </is>
      </c>
      <c r="R146" s="3" t="n">
        <v>2</v>
      </c>
      <c r="S146" s="3" t="inlineStr"/>
      <c r="T146" s="3" t="inlineStr"/>
      <c r="U146" s="3" t="n">
        <v>0</v>
      </c>
      <c r="V146" s="3" t="inlineStr">
        <is>
          <t>masc:1.4;fem:0.1</t>
        </is>
      </c>
      <c r="W146" s="3" t="n">
        <v>1.4</v>
      </c>
      <c r="X146" s="3" t="n">
        <v>0.1</v>
      </c>
      <c r="Y146" s="3" t="inlineStr">
        <is>
          <t>COMM_Logical</t>
        </is>
      </c>
      <c r="Z146" s="3" t="inlineStr">
        <is>
          <t>REG_SelfSoother</t>
        </is>
      </c>
      <c r="AA146" s="3" t="inlineStr">
        <is>
          <t>LANG_Service</t>
        </is>
      </c>
      <c r="AB146" s="3" t="inlineStr"/>
      <c r="AC146" s="3" t="inlineStr"/>
      <c r="AD146" s="3" t="inlineStr"/>
      <c r="AE146" s="3" t="n">
        <v>0</v>
      </c>
      <c r="AF146" s="3" t="inlineStr">
        <is>
          <t>pattern lockdown mode</t>
        </is>
      </c>
      <c r="AG146" s="3" t="inlineStr">
        <is>
          <t>detailed tracker</t>
        </is>
      </c>
      <c r="AH146" s="3" t="n">
        <v>0.6</v>
      </c>
      <c r="AI146" s="3" t="inlineStr">
        <is>
          <t>no</t>
        </is>
      </c>
      <c r="AJ146" s="3" t="inlineStr">
        <is>
          <t>no</t>
        </is>
      </c>
      <c r="AK146" s="3" t="inlineStr">
        <is>
          <t>no</t>
        </is>
      </c>
      <c r="AL146" s="3" t="inlineStr">
        <is>
          <t>no</t>
        </is>
      </c>
      <c r="AM146" s="3" t="inlineStr"/>
      <c r="AN146" s="3" t="inlineStr"/>
      <c r="AO146" s="3" t="inlineStr"/>
      <c r="AP146" s="3" t="inlineStr">
        <is>
          <t>v3_2026-03-19</t>
        </is>
      </c>
    </row>
    <row r="147">
      <c r="A147" s="3" t="inlineStr">
        <is>
          <t>Q30_A</t>
        </is>
      </c>
      <c r="B147" s="3" t="n">
        <v>30</v>
      </c>
      <c r="C147" s="3" t="n">
        <v>30</v>
      </c>
      <c r="D147" s="3" t="inlineStr">
        <is>
          <t>Core</t>
        </is>
      </c>
      <c r="E147" s="3" t="n">
        <v>1.15</v>
      </c>
      <c r="F147" s="3" t="inlineStr">
        <is>
          <t>ValuesLifestyle</t>
        </is>
      </c>
      <c r="G147" s="3" t="inlineStr">
        <is>
          <t>IntentAlignment</t>
        </is>
      </c>
      <c r="H147" s="3" t="inlineStr">
        <is>
          <t>You show up honest-open, maybe even a little unsure. But they respond with distance or sarcasm. What's your next move?</t>
        </is>
      </c>
      <c r="I147" s="3" t="inlineStr">
        <is>
          <t>A</t>
        </is>
      </c>
      <c r="J147" s="3" t="inlineStr">
        <is>
          <t>A</t>
        </is>
      </c>
      <c r="K147" s="3" t="inlineStr">
        <is>
          <t>I laugh it off like I wasn't being serious. Then I close that part of myself off, probably for good.</t>
        </is>
      </c>
      <c r="L147" s="3" t="n">
        <v>8</v>
      </c>
      <c r="M147" s="3" t="n">
        <v>9</v>
      </c>
      <c r="N147" s="3" t="n">
        <v>4</v>
      </c>
      <c r="O147" s="3" t="n">
        <v>6</v>
      </c>
      <c r="P147" s="3" t="n">
        <v>2</v>
      </c>
      <c r="Q147" s="3" t="inlineStr">
        <is>
          <t>Icebox</t>
        </is>
      </c>
      <c r="R147" s="3" t="n">
        <v>1</v>
      </c>
      <c r="S147" s="3" t="inlineStr"/>
      <c r="T147" s="3" t="inlineStr"/>
      <c r="U147" s="3" t="n">
        <v>0</v>
      </c>
      <c r="V147" s="3" t="inlineStr">
        <is>
          <t>masc:1.8;fem:-1.6</t>
        </is>
      </c>
      <c r="W147" s="3" t="n">
        <v>1.8</v>
      </c>
      <c r="X147" s="3" t="n">
        <v>-1.6</v>
      </c>
      <c r="Y147" s="3" t="inlineStr">
        <is>
          <t>COMM_Avoidant</t>
        </is>
      </c>
      <c r="Z147" s="3" t="inlineStr">
        <is>
          <t>REG_Suppressor</t>
        </is>
      </c>
      <c r="AA147" s="3" t="inlineStr">
        <is>
          <t>LANG_Time</t>
        </is>
      </c>
      <c r="AB147" s="3" t="inlineStr"/>
      <c r="AC147" s="3" t="inlineStr"/>
      <c r="AD147" s="3" t="inlineStr"/>
      <c r="AE147" s="3" t="n">
        <v>0</v>
      </c>
      <c r="AF147" s="3" t="inlineStr">
        <is>
          <t>emotional retraction protocol</t>
        </is>
      </c>
      <c r="AG147" s="3" t="inlineStr">
        <is>
          <t>trust closer</t>
        </is>
      </c>
      <c r="AH147" s="3" t="n">
        <v>0</v>
      </c>
      <c r="AI147" s="3" t="inlineStr">
        <is>
          <t>no</t>
        </is>
      </c>
      <c r="AJ147" s="3" t="inlineStr">
        <is>
          <t>no</t>
        </is>
      </c>
      <c r="AK147" s="3" t="inlineStr">
        <is>
          <t>no</t>
        </is>
      </c>
      <c r="AL147" s="3" t="inlineStr">
        <is>
          <t>no</t>
        </is>
      </c>
      <c r="AM147" s="3" t="inlineStr"/>
      <c r="AN147" s="3" t="inlineStr"/>
      <c r="AO147" s="3" t="inlineStr"/>
      <c r="AP147" s="3" t="inlineStr">
        <is>
          <t>v3_2026-03-19</t>
        </is>
      </c>
    </row>
    <row r="148">
      <c r="A148" s="3" t="inlineStr">
        <is>
          <t>Q30_B</t>
        </is>
      </c>
      <c r="B148" s="3" t="n">
        <v>30</v>
      </c>
      <c r="C148" s="3" t="n">
        <v>30</v>
      </c>
      <c r="D148" s="3" t="inlineStr">
        <is>
          <t>Core</t>
        </is>
      </c>
      <c r="E148" s="3" t="n">
        <v>1.15</v>
      </c>
      <c r="F148" s="3" t="inlineStr">
        <is>
          <t>ValuesLifestyle</t>
        </is>
      </c>
      <c r="G148" s="3" t="inlineStr">
        <is>
          <t>IntentAlignment</t>
        </is>
      </c>
      <c r="H148" s="3" t="inlineStr"/>
      <c r="I148" s="3" t="inlineStr">
        <is>
          <t>B</t>
        </is>
      </c>
      <c r="J148" s="3" t="inlineStr">
        <is>
          <t>B</t>
        </is>
      </c>
      <c r="K148" s="3" t="inlineStr">
        <is>
          <t>I over-explain myself. I try to make it less intense so maybe they'll lean back in. I just hate the silence.</t>
        </is>
      </c>
      <c r="L148" s="3" t="n">
        <v>4</v>
      </c>
      <c r="M148" s="3" t="n">
        <v>5</v>
      </c>
      <c r="N148" s="3" t="n">
        <v>2</v>
      </c>
      <c r="O148" s="3" t="n">
        <v>2</v>
      </c>
      <c r="P148" s="3" t="n">
        <v>0</v>
      </c>
      <c r="Q148" s="3" t="inlineStr">
        <is>
          <t>Phantom Seeker</t>
        </is>
      </c>
      <c r="R148" s="3" t="n">
        <v>10</v>
      </c>
      <c r="S148" s="3" t="inlineStr"/>
      <c r="T148" s="3" t="inlineStr"/>
      <c r="U148" s="3" t="n">
        <v>0</v>
      </c>
      <c r="V148" s="3" t="inlineStr">
        <is>
          <t>masc:-0.2;fem:1.5</t>
        </is>
      </c>
      <c r="W148" s="3" t="n">
        <v>-0.2</v>
      </c>
      <c r="X148" s="3" t="n">
        <v>1.5</v>
      </c>
      <c r="Y148" s="3" t="inlineStr">
        <is>
          <t>COMM_Emotional</t>
        </is>
      </c>
      <c r="Z148" s="3" t="inlineStr">
        <is>
          <t>REG_SelfSoother</t>
        </is>
      </c>
      <c r="AA148" s="3" t="inlineStr">
        <is>
          <t>LANG_Touch</t>
        </is>
      </c>
      <c r="AB148" s="3" t="inlineStr">
        <is>
          <t>Commitment_Ambiguity</t>
        </is>
      </c>
      <c r="AC148" s="3" t="inlineStr">
        <is>
          <t>Commitment_Ambiguity</t>
        </is>
      </c>
      <c r="AD148" s="3" t="inlineStr"/>
      <c r="AE148" s="3" t="n">
        <v>5</v>
      </c>
      <c r="AF148" s="3" t="inlineStr">
        <is>
          <t>emotional recalibration attempt</t>
        </is>
      </c>
      <c r="AG148" s="3" t="inlineStr">
        <is>
          <t>approval seeker</t>
        </is>
      </c>
      <c r="AH148" s="3" t="n">
        <v>0</v>
      </c>
      <c r="AI148" s="3" t="inlineStr">
        <is>
          <t>yes</t>
        </is>
      </c>
      <c r="AJ148" s="3" t="inlineStr">
        <is>
          <t>no</t>
        </is>
      </c>
      <c r="AK148" s="3" t="inlineStr">
        <is>
          <t>no</t>
        </is>
      </c>
      <c r="AL148" s="3" t="inlineStr">
        <is>
          <t>no</t>
        </is>
      </c>
      <c r="AM148" s="3" t="inlineStr"/>
      <c r="AN148" s="3" t="inlineStr"/>
      <c r="AO148" s="3" t="inlineStr"/>
      <c r="AP148" s="3" t="inlineStr">
        <is>
          <t>v3_2026-03-19</t>
        </is>
      </c>
    </row>
    <row r="149">
      <c r="A149" s="3" t="inlineStr">
        <is>
          <t>Q30_C</t>
        </is>
      </c>
      <c r="B149" s="3" t="n">
        <v>30</v>
      </c>
      <c r="C149" s="3" t="n">
        <v>30</v>
      </c>
      <c r="D149" s="3" t="inlineStr">
        <is>
          <t>Core</t>
        </is>
      </c>
      <c r="E149" s="3" t="n">
        <v>1.15</v>
      </c>
      <c r="F149" s="3" t="inlineStr">
        <is>
          <t>ValuesLifestyle</t>
        </is>
      </c>
      <c r="G149" s="3" t="inlineStr">
        <is>
          <t>IntentAlignment</t>
        </is>
      </c>
      <c r="H149" s="3" t="inlineStr"/>
      <c r="I149" s="3" t="inlineStr">
        <is>
          <t>C</t>
        </is>
      </c>
      <c r="J149" s="3" t="inlineStr">
        <is>
          <t>C</t>
        </is>
      </c>
      <c r="K149" s="3" t="inlineStr">
        <is>
          <t>I say something direct, "That wasn't really the moment for that." If I'm being real, I expect the same back.</t>
        </is>
      </c>
      <c r="L149" s="3" t="n">
        <v>9</v>
      </c>
      <c r="M149" s="3" t="n">
        <v>9</v>
      </c>
      <c r="N149" s="3" t="n">
        <v>10</v>
      </c>
      <c r="O149" s="3" t="n">
        <v>10</v>
      </c>
      <c r="P149" s="3" t="n">
        <v>10</v>
      </c>
      <c r="Q149" s="3" t="inlineStr">
        <is>
          <t>Regulated Grown-Up</t>
        </is>
      </c>
      <c r="R149" s="3" t="n">
        <v>9</v>
      </c>
      <c r="S149" s="3" t="inlineStr"/>
      <c r="T149" s="3" t="inlineStr"/>
      <c r="U149" s="3" t="n">
        <v>0</v>
      </c>
      <c r="V149" s="3" t="inlineStr">
        <is>
          <t>masc:1.1;fem:0.9</t>
        </is>
      </c>
      <c r="W149" s="3" t="n">
        <v>1.1</v>
      </c>
      <c r="X149" s="3" t="n">
        <v>0.9</v>
      </c>
      <c r="Y149" s="3" t="inlineStr">
        <is>
          <t>COMM_Direct</t>
        </is>
      </c>
      <c r="Z149" s="3" t="inlineStr">
        <is>
          <t>REG_CoRegulator</t>
        </is>
      </c>
      <c r="AA149" s="3" t="inlineStr">
        <is>
          <t>LANG_Words</t>
        </is>
      </c>
      <c r="AB149" s="3" t="inlineStr"/>
      <c r="AC149" s="3" t="inlineStr"/>
      <c r="AD149" s="3" t="inlineStr"/>
      <c r="AE149" s="3" t="n">
        <v>0</v>
      </c>
      <c r="AF149" s="3" t="inlineStr">
        <is>
          <t>standard of reciprocity</t>
        </is>
      </c>
      <c r="AG149" s="3" t="inlineStr">
        <is>
          <t>boundary enforcer</t>
        </is>
      </c>
      <c r="AH149" s="3" t="n">
        <v>0</v>
      </c>
      <c r="AI149" s="3" t="inlineStr">
        <is>
          <t>no</t>
        </is>
      </c>
      <c r="AJ149" s="3" t="inlineStr">
        <is>
          <t>no</t>
        </is>
      </c>
      <c r="AK149" s="3" t="inlineStr">
        <is>
          <t>no</t>
        </is>
      </c>
      <c r="AL149" s="3" t="inlineStr">
        <is>
          <t>no</t>
        </is>
      </c>
      <c r="AM149" s="3" t="inlineStr"/>
      <c r="AN149" s="3" t="inlineStr"/>
      <c r="AO149" s="3" t="inlineStr"/>
      <c r="AP149" s="3" t="inlineStr">
        <is>
          <t>v3_2026-03-19</t>
        </is>
      </c>
    </row>
    <row r="150">
      <c r="A150" s="3" t="inlineStr">
        <is>
          <t>Q30_D</t>
        </is>
      </c>
      <c r="B150" s="3" t="n">
        <v>30</v>
      </c>
      <c r="C150" s="3" t="n">
        <v>30</v>
      </c>
      <c r="D150" s="3" t="inlineStr">
        <is>
          <t>Core</t>
        </is>
      </c>
      <c r="E150" s="3" t="n">
        <v>1.15</v>
      </c>
      <c r="F150" s="3" t="inlineStr">
        <is>
          <t>ValuesLifestyle</t>
        </is>
      </c>
      <c r="G150" s="3" t="inlineStr">
        <is>
          <t>IntentAlignment</t>
        </is>
      </c>
      <c r="H150" s="3" t="inlineStr"/>
      <c r="I150" s="3" t="inlineStr">
        <is>
          <t>D</t>
        </is>
      </c>
      <c r="J150" s="3" t="inlineStr">
        <is>
          <t>D</t>
        </is>
      </c>
      <c r="K150" s="3" t="inlineStr">
        <is>
          <t>I flip the energy fast. I shift into playful or sarcastic too. It's easier to hide behind the bit than stay vulnerable alone.</t>
        </is>
      </c>
      <c r="L150" s="3" t="n">
        <v>6</v>
      </c>
      <c r="M150" s="3" t="n">
        <v>7</v>
      </c>
      <c r="N150" s="3" t="n">
        <v>2</v>
      </c>
      <c r="O150" s="3" t="n">
        <v>4</v>
      </c>
      <c r="P150" s="3" t="n">
        <v>0</v>
      </c>
      <c r="Q150" s="3" t="inlineStr">
        <is>
          <t>Performer</t>
        </is>
      </c>
      <c r="R150" s="3" t="n">
        <v>7</v>
      </c>
      <c r="S150" s="3" t="inlineStr"/>
      <c r="T150" s="3" t="inlineStr"/>
      <c r="U150" s="3" t="n">
        <v>0</v>
      </c>
      <c r="V150" s="3" t="inlineStr">
        <is>
          <t>masc:0.3;fem:0.5</t>
        </is>
      </c>
      <c r="W150" s="3" t="n">
        <v>0.3</v>
      </c>
      <c r="X150" s="3" t="n">
        <v>0.5</v>
      </c>
      <c r="Y150" s="3" t="inlineStr">
        <is>
          <t>COMM_Indirect</t>
        </is>
      </c>
      <c r="Z150" s="3" t="inlineStr">
        <is>
          <t>REG_Distractor</t>
        </is>
      </c>
      <c r="AA150" s="3" t="inlineStr">
        <is>
          <t>LANG_Gifts</t>
        </is>
      </c>
      <c r="AB150" s="3" t="inlineStr">
        <is>
          <t>Vulnerability_Loop</t>
        </is>
      </c>
      <c r="AC150" s="3" t="inlineStr">
        <is>
          <t>Vulnerability_Loop</t>
        </is>
      </c>
      <c r="AD150" s="3" t="inlineStr"/>
      <c r="AE150" s="3" t="n">
        <v>5</v>
      </c>
      <c r="AF150" s="3" t="inlineStr">
        <is>
          <t>humorous armor deployment</t>
        </is>
      </c>
      <c r="AG150" s="3" t="inlineStr">
        <is>
          <t>deflection player</t>
        </is>
      </c>
      <c r="AH150" s="3" t="n">
        <v>0.6</v>
      </c>
      <c r="AI150" s="3" t="inlineStr">
        <is>
          <t>yes</t>
        </is>
      </c>
      <c r="AJ150" s="3" t="inlineStr">
        <is>
          <t>no</t>
        </is>
      </c>
      <c r="AK150" s="3" t="inlineStr">
        <is>
          <t>no</t>
        </is>
      </c>
      <c r="AL150" s="3" t="inlineStr">
        <is>
          <t>no</t>
        </is>
      </c>
      <c r="AM150" s="3" t="inlineStr"/>
      <c r="AN150" s="3" t="inlineStr"/>
      <c r="AO150" s="3" t="inlineStr"/>
      <c r="AP150" s="3" t="inlineStr">
        <is>
          <t>v3_2026-03-19</t>
        </is>
      </c>
    </row>
    <row r="151">
      <c r="A151" s="3" t="inlineStr">
        <is>
          <t>Q30_E</t>
        </is>
      </c>
      <c r="B151" s="3" t="n">
        <v>30</v>
      </c>
      <c r="C151" s="3" t="n">
        <v>30</v>
      </c>
      <c r="D151" s="3" t="inlineStr">
        <is>
          <t>Core</t>
        </is>
      </c>
      <c r="E151" s="3" t="n">
        <v>1.15</v>
      </c>
      <c r="F151" s="3" t="inlineStr">
        <is>
          <t>ValuesLifestyle</t>
        </is>
      </c>
      <c r="G151" s="3" t="inlineStr">
        <is>
          <t>IntentAlignment</t>
        </is>
      </c>
      <c r="H151" s="3" t="inlineStr"/>
      <c r="I151" s="3" t="inlineStr">
        <is>
          <t>E</t>
        </is>
      </c>
      <c r="J151" s="3" t="inlineStr">
        <is>
          <t>E</t>
        </is>
      </c>
      <c r="K151" s="3" t="inlineStr">
        <is>
          <t>I retreat a little, but I take note. That kind of reaction stings more than I'll admit, and I don't forget it.</t>
        </is>
      </c>
      <c r="L151" s="3" t="n">
        <v>7</v>
      </c>
      <c r="M151" s="3" t="n">
        <v>8</v>
      </c>
      <c r="N151" s="3" t="n">
        <v>4</v>
      </c>
      <c r="O151" s="3" t="n">
        <v>4</v>
      </c>
      <c r="P151" s="3" t="n">
        <v>0</v>
      </c>
      <c r="Q151" s="3" t="inlineStr">
        <is>
          <t>Quiet Exit</t>
        </is>
      </c>
      <c r="R151" s="3" t="n">
        <v>4</v>
      </c>
      <c r="S151" s="3" t="inlineStr"/>
      <c r="T151" s="3" t="inlineStr"/>
      <c r="U151" s="3" t="n">
        <v>0</v>
      </c>
      <c r="V151" s="3" t="inlineStr">
        <is>
          <t>masc:1.4;fem:-1.3</t>
        </is>
      </c>
      <c r="W151" s="3" t="n">
        <v>1.4</v>
      </c>
      <c r="X151" s="3" t="n">
        <v>-1.3</v>
      </c>
      <c r="Y151" s="3" t="inlineStr">
        <is>
          <t>COMM_Avoidant</t>
        </is>
      </c>
      <c r="Z151" s="3" t="inlineStr">
        <is>
          <t>REG_Suppressor</t>
        </is>
      </c>
      <c r="AA151" s="3" t="inlineStr">
        <is>
          <t>LANG_Time</t>
        </is>
      </c>
      <c r="AB151" s="3" t="inlineStr"/>
      <c r="AC151" s="3" t="inlineStr"/>
      <c r="AD151" s="3" t="inlineStr"/>
      <c r="AE151" s="3" t="n">
        <v>0</v>
      </c>
      <c r="AF151" s="3" t="inlineStr">
        <is>
          <t>subtle hurt long memory</t>
        </is>
      </c>
      <c r="AG151" s="3" t="inlineStr">
        <is>
          <t>quiet recorder</t>
        </is>
      </c>
      <c r="AH151" s="3" t="n">
        <v>0</v>
      </c>
      <c r="AI151" s="3" t="inlineStr">
        <is>
          <t>no</t>
        </is>
      </c>
      <c r="AJ151" s="3" t="inlineStr">
        <is>
          <t>no</t>
        </is>
      </c>
      <c r="AK151" s="3" t="inlineStr">
        <is>
          <t>no</t>
        </is>
      </c>
      <c r="AL151" s="3" t="inlineStr">
        <is>
          <t>no</t>
        </is>
      </c>
      <c r="AM151" s="3" t="inlineStr"/>
      <c r="AN151" s="3" t="inlineStr"/>
      <c r="AO151" s="3" t="inlineStr"/>
      <c r="AP151" s="3" t="inlineStr">
        <is>
          <t>v3_2026-03-19</t>
        </is>
      </c>
    </row>
    <row r="152">
      <c r="A152" s="3" t="inlineStr">
        <is>
          <t>Q31_A</t>
        </is>
      </c>
      <c r="B152" s="3" t="n">
        <v>31</v>
      </c>
      <c r="C152" s="3" t="n">
        <v>31</v>
      </c>
      <c r="D152" s="3" t="inlineStr">
        <is>
          <t>Core</t>
        </is>
      </c>
      <c r="E152" s="3" t="n">
        <v>1.15</v>
      </c>
      <c r="F152" s="3" t="inlineStr">
        <is>
          <t>ValuesLifestyle</t>
        </is>
      </c>
      <c r="G152" s="3" t="inlineStr">
        <is>
          <t>IntentAlignment</t>
        </is>
      </c>
      <c r="H152" s="3" t="inlineStr">
        <is>
          <t>You realize you said or did something that might've hurt them. They haven't brought it up. How do you usually handle it?</t>
        </is>
      </c>
      <c r="I152" s="3" t="inlineStr">
        <is>
          <t>A</t>
        </is>
      </c>
      <c r="J152" s="3" t="inlineStr">
        <is>
          <t>A</t>
        </is>
      </c>
      <c r="K152" s="3" t="inlineStr">
        <is>
          <t>I let it pass. If they're not saying anything, maybe it wasn't that deep.</t>
        </is>
      </c>
      <c r="L152" s="3" t="n">
        <v>8</v>
      </c>
      <c r="M152" s="3" t="n">
        <v>8</v>
      </c>
      <c r="N152" s="3" t="n">
        <v>4</v>
      </c>
      <c r="O152" s="3" t="n">
        <v>4</v>
      </c>
      <c r="P152" s="3" t="n">
        <v>2</v>
      </c>
      <c r="Q152" s="3" t="inlineStr">
        <is>
          <t>Icebox</t>
        </is>
      </c>
      <c r="R152" s="3" t="n">
        <v>1</v>
      </c>
      <c r="S152" s="3" t="inlineStr"/>
      <c r="T152" s="3" t="inlineStr"/>
      <c r="U152" s="3" t="n">
        <v>0</v>
      </c>
      <c r="V152" s="3" t="inlineStr">
        <is>
          <t>masc:1.8;fem:-1.6</t>
        </is>
      </c>
      <c r="W152" s="3" t="n">
        <v>1.8</v>
      </c>
      <c r="X152" s="3" t="n">
        <v>-1.6</v>
      </c>
      <c r="Y152" s="3" t="inlineStr">
        <is>
          <t>COMM_Avoidant</t>
        </is>
      </c>
      <c r="Z152" s="3" t="inlineStr">
        <is>
          <t>REG_Suppressor</t>
        </is>
      </c>
      <c r="AA152" s="3" t="inlineStr">
        <is>
          <t>LANG_Time</t>
        </is>
      </c>
      <c r="AB152" s="3" t="inlineStr"/>
      <c r="AC152" s="3" t="inlineStr"/>
      <c r="AD152" s="3" t="inlineStr"/>
      <c r="AE152" s="3" t="n">
        <v>0</v>
      </c>
      <c r="AF152" s="3" t="inlineStr">
        <is>
          <t>let it die in silence</t>
        </is>
      </c>
      <c r="AG152" s="3" t="inlineStr">
        <is>
          <t>passive resolver</t>
        </is>
      </c>
      <c r="AH152" s="3" t="n">
        <v>0</v>
      </c>
      <c r="AI152" s="3" t="inlineStr">
        <is>
          <t>no</t>
        </is>
      </c>
      <c r="AJ152" s="3" t="inlineStr">
        <is>
          <t>no</t>
        </is>
      </c>
      <c r="AK152" s="3" t="inlineStr">
        <is>
          <t>no</t>
        </is>
      </c>
      <c r="AL152" s="3" t="inlineStr">
        <is>
          <t>no</t>
        </is>
      </c>
      <c r="AM152" s="3" t="inlineStr"/>
      <c r="AN152" s="3" t="inlineStr"/>
      <c r="AO152" s="3" t="inlineStr"/>
      <c r="AP152" s="3" t="inlineStr">
        <is>
          <t>v3_2026-03-19</t>
        </is>
      </c>
    </row>
    <row r="153">
      <c r="A153" s="3" t="inlineStr">
        <is>
          <t>Q31_B</t>
        </is>
      </c>
      <c r="B153" s="3" t="n">
        <v>31</v>
      </c>
      <c r="C153" s="3" t="n">
        <v>31</v>
      </c>
      <c r="D153" s="3" t="inlineStr">
        <is>
          <t>Core</t>
        </is>
      </c>
      <c r="E153" s="3" t="n">
        <v>1.15</v>
      </c>
      <c r="F153" s="3" t="inlineStr">
        <is>
          <t>ValuesLifestyle</t>
        </is>
      </c>
      <c r="G153" s="3" t="inlineStr">
        <is>
          <t>IntentAlignment</t>
        </is>
      </c>
      <c r="H153" s="3" t="inlineStr"/>
      <c r="I153" s="3" t="inlineStr">
        <is>
          <t>B</t>
        </is>
      </c>
      <c r="J153" s="3" t="inlineStr">
        <is>
          <t>B</t>
        </is>
      </c>
      <c r="K153" s="3" t="inlineStr">
        <is>
          <t>I sit with it for a while, overthinking every part. I want to apologize, but I'm scared it'll make it worse.</t>
        </is>
      </c>
      <c r="L153" s="3" t="n">
        <v>4</v>
      </c>
      <c r="M153" s="3" t="n">
        <v>5</v>
      </c>
      <c r="N153" s="3" t="n">
        <v>2</v>
      </c>
      <c r="O153" s="3" t="n">
        <v>2</v>
      </c>
      <c r="P153" s="3" t="n">
        <v>0</v>
      </c>
      <c r="Q153" s="3" t="inlineStr">
        <is>
          <t>Phantom Seeker</t>
        </is>
      </c>
      <c r="R153" s="3" t="n">
        <v>10</v>
      </c>
      <c r="S153" s="3" t="inlineStr"/>
      <c r="T153" s="3" t="inlineStr"/>
      <c r="U153" s="3" t="n">
        <v>0</v>
      </c>
      <c r="V153" s="3" t="inlineStr">
        <is>
          <t>masc:-0.2;fem:1.5</t>
        </is>
      </c>
      <c r="W153" s="3" t="n">
        <v>-0.2</v>
      </c>
      <c r="X153" s="3" t="n">
        <v>1.5</v>
      </c>
      <c r="Y153" s="3" t="inlineStr">
        <is>
          <t>COMM_Emotional</t>
        </is>
      </c>
      <c r="Z153" s="3" t="inlineStr">
        <is>
          <t>REG_SelfSoother</t>
        </is>
      </c>
      <c r="AA153" s="3" t="inlineStr">
        <is>
          <t>LANG_Touch</t>
        </is>
      </c>
      <c r="AB153" s="3" t="inlineStr">
        <is>
          <t>Vulnerability_Loop</t>
        </is>
      </c>
      <c r="AC153" s="3" t="inlineStr">
        <is>
          <t>Vulnerability_Loop</t>
        </is>
      </c>
      <c r="AD153" s="3" t="inlineStr"/>
      <c r="AE153" s="3" t="n">
        <v>5</v>
      </c>
      <c r="AF153" s="3" t="inlineStr">
        <is>
          <t>shame paralysis</t>
        </is>
      </c>
      <c r="AG153" s="3" t="inlineStr">
        <is>
          <t>anxious holder</t>
        </is>
      </c>
      <c r="AH153" s="3" t="n">
        <v>0</v>
      </c>
      <c r="AI153" s="3" t="inlineStr">
        <is>
          <t>yes</t>
        </is>
      </c>
      <c r="AJ153" s="3" t="inlineStr">
        <is>
          <t>no</t>
        </is>
      </c>
      <c r="AK153" s="3" t="inlineStr">
        <is>
          <t>no</t>
        </is>
      </c>
      <c r="AL153" s="3" t="inlineStr">
        <is>
          <t>no</t>
        </is>
      </c>
      <c r="AM153" s="3" t="inlineStr"/>
      <c r="AN153" s="3" t="inlineStr"/>
      <c r="AO153" s="3" t="inlineStr"/>
      <c r="AP153" s="3" t="inlineStr">
        <is>
          <t>v3_2026-03-19</t>
        </is>
      </c>
    </row>
    <row r="154">
      <c r="A154" s="3" t="inlineStr">
        <is>
          <t>Q31_C</t>
        </is>
      </c>
      <c r="B154" s="3" t="n">
        <v>31</v>
      </c>
      <c r="C154" s="3" t="n">
        <v>31</v>
      </c>
      <c r="D154" s="3" t="inlineStr">
        <is>
          <t>Core</t>
        </is>
      </c>
      <c r="E154" s="3" t="n">
        <v>1.15</v>
      </c>
      <c r="F154" s="3" t="inlineStr">
        <is>
          <t>ValuesLifestyle</t>
        </is>
      </c>
      <c r="G154" s="3" t="inlineStr">
        <is>
          <t>IntentAlignment</t>
        </is>
      </c>
      <c r="H154" s="3" t="inlineStr"/>
      <c r="I154" s="3" t="inlineStr">
        <is>
          <t>C</t>
        </is>
      </c>
      <c r="J154" s="3" t="inlineStr">
        <is>
          <t>C</t>
        </is>
      </c>
      <c r="K154" s="3" t="inlineStr">
        <is>
          <t>I bring it up myself. Even if they say it's fine, I want them to know I saw it.</t>
        </is>
      </c>
      <c r="L154" s="3" t="n">
        <v>9</v>
      </c>
      <c r="M154" s="3" t="n">
        <v>9</v>
      </c>
      <c r="N154" s="3" t="n">
        <v>10</v>
      </c>
      <c r="O154" s="3" t="n">
        <v>10</v>
      </c>
      <c r="P154" s="3" t="n">
        <v>10</v>
      </c>
      <c r="Q154" s="3" t="inlineStr">
        <is>
          <t>Regulated Grown-Up</t>
        </is>
      </c>
      <c r="R154" s="3" t="n">
        <v>9</v>
      </c>
      <c r="S154" s="3" t="inlineStr"/>
      <c r="T154" s="3" t="inlineStr"/>
      <c r="U154" s="3" t="n">
        <v>0</v>
      </c>
      <c r="V154" s="3" t="inlineStr">
        <is>
          <t>masc:1.1;fem:0.9</t>
        </is>
      </c>
      <c r="W154" s="3" t="n">
        <v>1.1</v>
      </c>
      <c r="X154" s="3" t="n">
        <v>0.9</v>
      </c>
      <c r="Y154" s="3" t="inlineStr">
        <is>
          <t>COMM_Direct</t>
        </is>
      </c>
      <c r="Z154" s="3" t="inlineStr">
        <is>
          <t>REG_CoRegulator</t>
        </is>
      </c>
      <c r="AA154" s="3" t="inlineStr">
        <is>
          <t>LANG_Words</t>
        </is>
      </c>
      <c r="AB154" s="3" t="inlineStr"/>
      <c r="AC154" s="3" t="inlineStr"/>
      <c r="AD154" s="3" t="inlineStr"/>
      <c r="AE154" s="3" t="n">
        <v>0</v>
      </c>
      <c r="AF154" s="3" t="inlineStr">
        <is>
          <t>proactive accountability</t>
        </is>
      </c>
      <c r="AG154" s="3" t="inlineStr">
        <is>
          <t>direct repairer</t>
        </is>
      </c>
      <c r="AH154" s="3" t="n">
        <v>0</v>
      </c>
      <c r="AI154" s="3" t="inlineStr">
        <is>
          <t>no</t>
        </is>
      </c>
      <c r="AJ154" s="3" t="inlineStr">
        <is>
          <t>no</t>
        </is>
      </c>
      <c r="AK154" s="3" t="inlineStr">
        <is>
          <t>no</t>
        </is>
      </c>
      <c r="AL154" s="3" t="inlineStr">
        <is>
          <t>no</t>
        </is>
      </c>
      <c r="AM154" s="3" t="inlineStr"/>
      <c r="AN154" s="3" t="inlineStr"/>
      <c r="AO154" s="3" t="inlineStr"/>
      <c r="AP154" s="3" t="inlineStr">
        <is>
          <t>v3_2026-03-19</t>
        </is>
      </c>
    </row>
    <row r="155">
      <c r="A155" s="3" t="inlineStr">
        <is>
          <t>Q31_D</t>
        </is>
      </c>
      <c r="B155" s="3" t="n">
        <v>31</v>
      </c>
      <c r="C155" s="3" t="n">
        <v>31</v>
      </c>
      <c r="D155" s="3" t="inlineStr">
        <is>
          <t>Core</t>
        </is>
      </c>
      <c r="E155" s="3" t="n">
        <v>1.15</v>
      </c>
      <c r="F155" s="3" t="inlineStr">
        <is>
          <t>ValuesLifestyle</t>
        </is>
      </c>
      <c r="G155" s="3" t="inlineStr">
        <is>
          <t>IntentAlignment</t>
        </is>
      </c>
      <c r="H155" s="3" t="inlineStr"/>
      <c r="I155" s="3" t="inlineStr">
        <is>
          <t>D</t>
        </is>
      </c>
      <c r="J155" s="3" t="inlineStr">
        <is>
          <t>D</t>
        </is>
      </c>
      <c r="K155" s="3" t="inlineStr">
        <is>
          <t>I drop hints that I noticed, like being extra nice or saying, "You good?" Hoping they'll give me a way back in.</t>
        </is>
      </c>
      <c r="L155" s="3" t="n">
        <v>6</v>
      </c>
      <c r="M155" s="3" t="n">
        <v>7</v>
      </c>
      <c r="N155" s="3" t="n">
        <v>4</v>
      </c>
      <c r="O155" s="3" t="n">
        <v>4</v>
      </c>
      <c r="P155" s="3" t="n">
        <v>2</v>
      </c>
      <c r="Q155" s="3" t="inlineStr">
        <is>
          <t>Performer</t>
        </is>
      </c>
      <c r="R155" s="3" t="n">
        <v>7</v>
      </c>
      <c r="S155" s="3" t="inlineStr"/>
      <c r="T155" s="3" t="inlineStr"/>
      <c r="U155" s="3" t="n">
        <v>0</v>
      </c>
      <c r="V155" s="3" t="inlineStr">
        <is>
          <t>masc:0.3;fem:0.5</t>
        </is>
      </c>
      <c r="W155" s="3" t="n">
        <v>0.3</v>
      </c>
      <c r="X155" s="3" t="n">
        <v>0.5</v>
      </c>
      <c r="Y155" s="3" t="inlineStr">
        <is>
          <t>COMM_Indirect</t>
        </is>
      </c>
      <c r="Z155" s="3" t="inlineStr">
        <is>
          <t>REG_Distractor</t>
        </is>
      </c>
      <c r="AA155" s="3" t="inlineStr">
        <is>
          <t>LANG_Gifts</t>
        </is>
      </c>
      <c r="AB155" s="3" t="inlineStr">
        <is>
          <t>Vulnerability_Loop</t>
        </is>
      </c>
      <c r="AC155" s="3" t="inlineStr">
        <is>
          <t>Vulnerability_Loop</t>
        </is>
      </c>
      <c r="AD155" s="3" t="inlineStr"/>
      <c r="AE155" s="3" t="n">
        <v>5</v>
      </c>
      <c r="AF155" s="3" t="inlineStr">
        <is>
          <t>indirect repair attempt</t>
        </is>
      </c>
      <c r="AG155" s="3" t="inlineStr">
        <is>
          <t>soft restorer</t>
        </is>
      </c>
      <c r="AH155" s="3" t="n">
        <v>0</v>
      </c>
      <c r="AI155" s="3" t="inlineStr">
        <is>
          <t>yes</t>
        </is>
      </c>
      <c r="AJ155" s="3" t="inlineStr">
        <is>
          <t>no</t>
        </is>
      </c>
      <c r="AK155" s="3" t="inlineStr">
        <is>
          <t>no</t>
        </is>
      </c>
      <c r="AL155" s="3" t="inlineStr">
        <is>
          <t>no</t>
        </is>
      </c>
      <c r="AM155" s="3" t="inlineStr"/>
      <c r="AN155" s="3" t="inlineStr"/>
      <c r="AO155" s="3" t="inlineStr"/>
      <c r="AP155" s="3" t="inlineStr">
        <is>
          <t>v3_2026-03-19</t>
        </is>
      </c>
    </row>
    <row r="156">
      <c r="A156" s="3" t="inlineStr">
        <is>
          <t>Q31_E</t>
        </is>
      </c>
      <c r="B156" s="3" t="n">
        <v>31</v>
      </c>
      <c r="C156" s="3" t="n">
        <v>31</v>
      </c>
      <c r="D156" s="3" t="inlineStr">
        <is>
          <t>Core</t>
        </is>
      </c>
      <c r="E156" s="3" t="n">
        <v>1.15</v>
      </c>
      <c r="F156" s="3" t="inlineStr">
        <is>
          <t>ValuesLifestyle</t>
        </is>
      </c>
      <c r="G156" s="3" t="inlineStr">
        <is>
          <t>IntentAlignment</t>
        </is>
      </c>
      <c r="H156" s="3" t="inlineStr"/>
      <c r="I156" s="3" t="inlineStr">
        <is>
          <t>E</t>
        </is>
      </c>
      <c r="J156" s="3" t="inlineStr">
        <is>
          <t>E</t>
        </is>
      </c>
      <c r="K156" s="3" t="inlineStr">
        <is>
          <t>I kind of punish myself internally. I tell myself this is why people pull away from me.</t>
        </is>
      </c>
      <c r="L156" s="3" t="n">
        <v>4</v>
      </c>
      <c r="M156" s="3" t="n">
        <v>5</v>
      </c>
      <c r="N156" s="3" t="n">
        <v>2</v>
      </c>
      <c r="O156" s="3" t="n">
        <v>2</v>
      </c>
      <c r="P156" s="3" t="n">
        <v>2</v>
      </c>
      <c r="Q156" s="3" t="inlineStr">
        <is>
          <t>Survivor</t>
        </is>
      </c>
      <c r="R156" s="3" t="n">
        <v>8</v>
      </c>
      <c r="S156" s="3" t="inlineStr"/>
      <c r="T156" s="3" t="inlineStr"/>
      <c r="U156" s="3" t="n">
        <v>0</v>
      </c>
      <c r="V156" s="3" t="inlineStr">
        <is>
          <t>masc:0.3;fem:1.3</t>
        </is>
      </c>
      <c r="W156" s="3" t="n">
        <v>0.3</v>
      </c>
      <c r="X156" s="3" t="n">
        <v>1.3</v>
      </c>
      <c r="Y156" s="3" t="inlineStr">
        <is>
          <t>COMM_Emotional</t>
        </is>
      </c>
      <c r="Z156" s="3" t="inlineStr">
        <is>
          <t>REG_SelfSoother</t>
        </is>
      </c>
      <c r="AA156" s="3" t="inlineStr">
        <is>
          <t>LANG_Service</t>
        </is>
      </c>
      <c r="AB156" s="3" t="inlineStr">
        <is>
          <t>Vulnerability_Loop</t>
        </is>
      </c>
      <c r="AC156" s="3" t="inlineStr">
        <is>
          <t>Vulnerability_Loop</t>
        </is>
      </c>
      <c r="AD156" s="3" t="inlineStr"/>
      <c r="AE156" s="3" t="n">
        <v>5</v>
      </c>
      <c r="AF156" s="3" t="inlineStr">
        <is>
          <t>internalized blame cycle</t>
        </is>
      </c>
      <c r="AG156" s="3" t="inlineStr">
        <is>
          <t>self-blamer</t>
        </is>
      </c>
      <c r="AH156" s="3" t="n">
        <v>0.6</v>
      </c>
      <c r="AI156" s="3" t="inlineStr">
        <is>
          <t>yes</t>
        </is>
      </c>
      <c r="AJ156" s="3" t="inlineStr">
        <is>
          <t>no</t>
        </is>
      </c>
      <c r="AK156" s="3" t="inlineStr">
        <is>
          <t>no</t>
        </is>
      </c>
      <c r="AL156" s="3" t="inlineStr">
        <is>
          <t>no</t>
        </is>
      </c>
      <c r="AM156" s="3" t="inlineStr"/>
      <c r="AN156" s="3" t="inlineStr"/>
      <c r="AO156" s="3" t="inlineStr"/>
      <c r="AP156" s="3" t="inlineStr">
        <is>
          <t>v3_2026-03-19</t>
        </is>
      </c>
    </row>
    <row r="157">
      <c r="A157" s="3" t="inlineStr">
        <is>
          <t>Q32_A</t>
        </is>
      </c>
      <c r="B157" s="3" t="n">
        <v>32</v>
      </c>
      <c r="C157" s="3" t="n">
        <v>32</v>
      </c>
      <c r="D157" s="3" t="inlineStr">
        <is>
          <t>Core</t>
        </is>
      </c>
      <c r="E157" s="3" t="n">
        <v>1.15</v>
      </c>
      <c r="F157" s="3" t="inlineStr">
        <is>
          <t>ValuesLifestyle</t>
        </is>
      </c>
      <c r="G157" s="3" t="inlineStr">
        <is>
          <t>IntentAlignment</t>
        </is>
      </c>
      <c r="H157" s="3" t="inlineStr">
        <is>
          <t>You notice you've been putting in more effort-texting first, planning things, carrying the vibe. What's your response?</t>
        </is>
      </c>
      <c r="I157" s="3" t="inlineStr">
        <is>
          <t>A</t>
        </is>
      </c>
      <c r="J157" s="3" t="inlineStr">
        <is>
          <t>A</t>
        </is>
      </c>
      <c r="K157" s="3" t="inlineStr">
        <is>
          <t>I pull back immediately. If I feel one-sided energy, I shut it down without warning.</t>
        </is>
      </c>
      <c r="L157" s="3" t="n">
        <v>9</v>
      </c>
      <c r="M157" s="3" t="n">
        <v>9</v>
      </c>
      <c r="N157" s="3" t="n">
        <v>6</v>
      </c>
      <c r="O157" s="3" t="n">
        <v>6</v>
      </c>
      <c r="P157" s="3" t="n">
        <v>2</v>
      </c>
      <c r="Q157" s="3" t="inlineStr">
        <is>
          <t>Icebox</t>
        </is>
      </c>
      <c r="R157" s="3" t="n">
        <v>1</v>
      </c>
      <c r="S157" s="3" t="inlineStr"/>
      <c r="T157" s="3" t="inlineStr"/>
      <c r="U157" s="3" t="n">
        <v>0</v>
      </c>
      <c r="V157" s="3" t="inlineStr">
        <is>
          <t>masc:1.8;fem:-1.6</t>
        </is>
      </c>
      <c r="W157" s="3" t="n">
        <v>1.8</v>
      </c>
      <c r="X157" s="3" t="n">
        <v>-1.6</v>
      </c>
      <c r="Y157" s="3" t="inlineStr">
        <is>
          <t>COMM_Avoidant</t>
        </is>
      </c>
      <c r="Z157" s="3" t="inlineStr">
        <is>
          <t>REG_Suppressor</t>
        </is>
      </c>
      <c r="AA157" s="3" t="inlineStr">
        <is>
          <t>LANG_Time</t>
        </is>
      </c>
      <c r="AB157" s="3" t="inlineStr"/>
      <c r="AC157" s="3" t="inlineStr"/>
      <c r="AD157" s="3" t="inlineStr"/>
      <c r="AE157" s="3" t="n">
        <v>0</v>
      </c>
      <c r="AF157" s="3" t="inlineStr">
        <is>
          <t>cut-the-cord reflex</t>
        </is>
      </c>
      <c r="AG157" s="3" t="inlineStr">
        <is>
          <t>decisive withdrawer</t>
        </is>
      </c>
      <c r="AH157" s="3" t="n">
        <v>1.2</v>
      </c>
      <c r="AI157" s="3" t="inlineStr">
        <is>
          <t>no</t>
        </is>
      </c>
      <c r="AJ157" s="3" t="inlineStr">
        <is>
          <t>no</t>
        </is>
      </c>
      <c r="AK157" s="3" t="inlineStr">
        <is>
          <t>no</t>
        </is>
      </c>
      <c r="AL157" s="3" t="inlineStr">
        <is>
          <t>no</t>
        </is>
      </c>
      <c r="AM157" s="3" t="inlineStr"/>
      <c r="AN157" s="3" t="inlineStr"/>
      <c r="AO157" s="3" t="inlineStr"/>
      <c r="AP157" s="3" t="inlineStr">
        <is>
          <t>v3_2026-03-19</t>
        </is>
      </c>
    </row>
    <row r="158">
      <c r="A158" s="3" t="inlineStr">
        <is>
          <t>Q32_B</t>
        </is>
      </c>
      <c r="B158" s="3" t="n">
        <v>32</v>
      </c>
      <c r="C158" s="3" t="n">
        <v>32</v>
      </c>
      <c r="D158" s="3" t="inlineStr">
        <is>
          <t>Core</t>
        </is>
      </c>
      <c r="E158" s="3" t="n">
        <v>1.15</v>
      </c>
      <c r="F158" s="3" t="inlineStr">
        <is>
          <t>ValuesLifestyle</t>
        </is>
      </c>
      <c r="G158" s="3" t="inlineStr">
        <is>
          <t>IntentAlignment</t>
        </is>
      </c>
      <c r="H158" s="3" t="inlineStr"/>
      <c r="I158" s="3" t="inlineStr">
        <is>
          <t>B</t>
        </is>
      </c>
      <c r="J158" s="3" t="inlineStr">
        <is>
          <t>B</t>
        </is>
      </c>
      <c r="K158" s="3" t="inlineStr">
        <is>
          <t>I start wondering what I did wrong. Maybe I'm overstepping, so I ease up and wait for them to miss me.</t>
        </is>
      </c>
      <c r="L158" s="3" t="n">
        <v>5</v>
      </c>
      <c r="M158" s="3" t="n">
        <v>6</v>
      </c>
      <c r="N158" s="3" t="n">
        <v>2</v>
      </c>
      <c r="O158" s="3" t="n">
        <v>2</v>
      </c>
      <c r="P158" s="3" t="n">
        <v>2</v>
      </c>
      <c r="Q158" s="3" t="inlineStr">
        <is>
          <t>Phantom Seeker</t>
        </is>
      </c>
      <c r="R158" s="3" t="n">
        <v>10</v>
      </c>
      <c r="S158" s="3" t="inlineStr"/>
      <c r="T158" s="3" t="inlineStr"/>
      <c r="U158" s="3" t="n">
        <v>0</v>
      </c>
      <c r="V158" s="3" t="inlineStr">
        <is>
          <t>masc:-0.2;fem:1.5</t>
        </is>
      </c>
      <c r="W158" s="3" t="n">
        <v>-0.2</v>
      </c>
      <c r="X158" s="3" t="n">
        <v>1.5</v>
      </c>
      <c r="Y158" s="3" t="inlineStr">
        <is>
          <t>COMM_Emotional</t>
        </is>
      </c>
      <c r="Z158" s="3" t="inlineStr">
        <is>
          <t>REG_SelfSoother</t>
        </is>
      </c>
      <c r="AA158" s="3" t="inlineStr">
        <is>
          <t>LANG_Touch</t>
        </is>
      </c>
      <c r="AB158" s="3" t="inlineStr">
        <is>
          <t>Commitment_Ambiguity</t>
        </is>
      </c>
      <c r="AC158" s="3" t="inlineStr">
        <is>
          <t>Commitment_Ambiguity</t>
        </is>
      </c>
      <c r="AD158" s="3" t="inlineStr"/>
      <c r="AE158" s="3" t="n">
        <v>5</v>
      </c>
      <c r="AF158" s="3" t="inlineStr">
        <is>
          <t>emotional retraction test</t>
        </is>
      </c>
      <c r="AG158" s="3" t="inlineStr">
        <is>
          <t>subtle distancer</t>
        </is>
      </c>
      <c r="AH158" s="3" t="n">
        <v>0.6</v>
      </c>
      <c r="AI158" s="3" t="inlineStr">
        <is>
          <t>yes</t>
        </is>
      </c>
      <c r="AJ158" s="3" t="inlineStr">
        <is>
          <t>no</t>
        </is>
      </c>
      <c r="AK158" s="3" t="inlineStr">
        <is>
          <t>no</t>
        </is>
      </c>
      <c r="AL158" s="3" t="inlineStr">
        <is>
          <t>no</t>
        </is>
      </c>
      <c r="AM158" s="3" t="inlineStr"/>
      <c r="AN158" s="3" t="inlineStr"/>
      <c r="AO158" s="3" t="inlineStr"/>
      <c r="AP158" s="3" t="inlineStr">
        <is>
          <t>v3_2026-03-19</t>
        </is>
      </c>
    </row>
    <row r="159">
      <c r="A159" s="3" t="inlineStr">
        <is>
          <t>Q32_C</t>
        </is>
      </c>
      <c r="B159" s="3" t="n">
        <v>32</v>
      </c>
      <c r="C159" s="3" t="n">
        <v>32</v>
      </c>
      <c r="D159" s="3" t="inlineStr">
        <is>
          <t>Core</t>
        </is>
      </c>
      <c r="E159" s="3" t="n">
        <v>1.15</v>
      </c>
      <c r="F159" s="3" t="inlineStr">
        <is>
          <t>ValuesLifestyle</t>
        </is>
      </c>
      <c r="G159" s="3" t="inlineStr">
        <is>
          <t>IntentAlignment</t>
        </is>
      </c>
      <c r="H159" s="3" t="inlineStr"/>
      <c r="I159" s="3" t="inlineStr">
        <is>
          <t>C</t>
        </is>
      </c>
      <c r="J159" s="3" t="inlineStr">
        <is>
          <t>C</t>
        </is>
      </c>
      <c r="K159" s="3" t="inlineStr">
        <is>
          <t>I bring it up casually "Hey, I've been doing a lot of the reaching out lately. Everything good?"</t>
        </is>
      </c>
      <c r="L159" s="3" t="n">
        <v>9</v>
      </c>
      <c r="M159" s="3" t="n">
        <v>9</v>
      </c>
      <c r="N159" s="3" t="n">
        <v>10</v>
      </c>
      <c r="O159" s="3" t="n">
        <v>10</v>
      </c>
      <c r="P159" s="3" t="n">
        <v>10</v>
      </c>
      <c r="Q159" s="3" t="inlineStr">
        <is>
          <t>Regulated Grown-Up</t>
        </is>
      </c>
      <c r="R159" s="3" t="n">
        <v>9</v>
      </c>
      <c r="S159" s="3" t="inlineStr"/>
      <c r="T159" s="3" t="inlineStr"/>
      <c r="U159" s="3" t="n">
        <v>0</v>
      </c>
      <c r="V159" s="3" t="inlineStr">
        <is>
          <t>masc:1.1;fem:0.9</t>
        </is>
      </c>
      <c r="W159" s="3" t="n">
        <v>1.1</v>
      </c>
      <c r="X159" s="3" t="n">
        <v>0.9</v>
      </c>
      <c r="Y159" s="3" t="inlineStr">
        <is>
          <t>COMM_Direct</t>
        </is>
      </c>
      <c r="Z159" s="3" t="inlineStr">
        <is>
          <t>REG_CoRegulator</t>
        </is>
      </c>
      <c r="AA159" s="3" t="inlineStr">
        <is>
          <t>LANG_Words</t>
        </is>
      </c>
      <c r="AB159" s="3" t="inlineStr"/>
      <c r="AC159" s="3" t="inlineStr"/>
      <c r="AD159" s="3" t="inlineStr"/>
      <c r="AE159" s="3" t="n">
        <v>0</v>
      </c>
      <c r="AF159" s="3" t="inlineStr">
        <is>
          <t>balance check</t>
        </is>
      </c>
      <c r="AG159" s="3" t="inlineStr">
        <is>
          <t>direct communicator</t>
        </is>
      </c>
      <c r="AH159" s="3" t="n">
        <v>0</v>
      </c>
      <c r="AI159" s="3" t="inlineStr">
        <is>
          <t>no</t>
        </is>
      </c>
      <c r="AJ159" s="3" t="inlineStr">
        <is>
          <t>no</t>
        </is>
      </c>
      <c r="AK159" s="3" t="inlineStr">
        <is>
          <t>no</t>
        </is>
      </c>
      <c r="AL159" s="3" t="inlineStr">
        <is>
          <t>no</t>
        </is>
      </c>
      <c r="AM159" s="3" t="inlineStr"/>
      <c r="AN159" s="3" t="inlineStr"/>
      <c r="AO159" s="3" t="inlineStr"/>
      <c r="AP159" s="3" t="inlineStr">
        <is>
          <t>v3_2026-03-19</t>
        </is>
      </c>
    </row>
    <row r="160">
      <c r="A160" s="3" t="inlineStr">
        <is>
          <t>Q32_D</t>
        </is>
      </c>
      <c r="B160" s="3" t="n">
        <v>32</v>
      </c>
      <c r="C160" s="3" t="n">
        <v>32</v>
      </c>
      <c r="D160" s="3" t="inlineStr">
        <is>
          <t>Core</t>
        </is>
      </c>
      <c r="E160" s="3" t="n">
        <v>1.15</v>
      </c>
      <c r="F160" s="3" t="inlineStr">
        <is>
          <t>ValuesLifestyle</t>
        </is>
      </c>
      <c r="G160" s="3" t="inlineStr">
        <is>
          <t>IntentAlignment</t>
        </is>
      </c>
      <c r="H160" s="3" t="inlineStr"/>
      <c r="I160" s="3" t="inlineStr">
        <is>
          <t>D</t>
        </is>
      </c>
      <c r="J160" s="3" t="inlineStr">
        <is>
          <t>D</t>
        </is>
      </c>
      <c r="K160" s="3" t="inlineStr">
        <is>
          <t>I keep doing it, honestly. If I care, I'd rather carry it than risk the connection falling off.</t>
        </is>
      </c>
      <c r="L160" s="3" t="n">
        <v>4</v>
      </c>
      <c r="M160" s="3" t="n">
        <v>5</v>
      </c>
      <c r="N160" s="3" t="n">
        <v>2</v>
      </c>
      <c r="O160" s="3" t="n">
        <v>2</v>
      </c>
      <c r="P160" s="3" t="n">
        <v>2</v>
      </c>
      <c r="Q160" s="3" t="inlineStr">
        <is>
          <t>Fixer</t>
        </is>
      </c>
      <c r="R160" s="3" t="n">
        <v>5</v>
      </c>
      <c r="S160" s="3" t="inlineStr"/>
      <c r="T160" s="3" t="inlineStr"/>
      <c r="U160" s="3" t="n">
        <v>0</v>
      </c>
      <c r="V160" s="3" t="inlineStr">
        <is>
          <t>masc:-0.2;fem:1.7</t>
        </is>
      </c>
      <c r="W160" s="3" t="n">
        <v>-0.2</v>
      </c>
      <c r="X160" s="3" t="n">
        <v>1.7</v>
      </c>
      <c r="Y160" s="3" t="inlineStr">
        <is>
          <t>COMM_Emotional</t>
        </is>
      </c>
      <c r="Z160" s="3" t="inlineStr">
        <is>
          <t>REG_SelfSoother</t>
        </is>
      </c>
      <c r="AA160" s="3" t="inlineStr">
        <is>
          <t>LANG_Service</t>
        </is>
      </c>
      <c r="AB160" s="3" t="inlineStr">
        <is>
          <t>Vulnerability_Loop</t>
        </is>
      </c>
      <c r="AC160" s="3" t="inlineStr">
        <is>
          <t>Vulnerability_Loop</t>
        </is>
      </c>
      <c r="AD160" s="3" t="inlineStr"/>
      <c r="AE160" s="3" t="n">
        <v>5</v>
      </c>
      <c r="AF160" s="3" t="inlineStr">
        <is>
          <t>emotional weight-lifter</t>
        </is>
      </c>
      <c r="AG160" s="3" t="inlineStr">
        <is>
          <t>overfunctioner</t>
        </is>
      </c>
      <c r="AH160" s="3" t="n">
        <v>0</v>
      </c>
      <c r="AI160" s="3" t="inlineStr">
        <is>
          <t>yes</t>
        </is>
      </c>
      <c r="AJ160" s="3" t="inlineStr">
        <is>
          <t>no</t>
        </is>
      </c>
      <c r="AK160" s="3" t="inlineStr">
        <is>
          <t>no</t>
        </is>
      </c>
      <c r="AL160" s="3" t="inlineStr">
        <is>
          <t>no</t>
        </is>
      </c>
      <c r="AM160" s="3" t="inlineStr"/>
      <c r="AN160" s="3" t="inlineStr"/>
      <c r="AO160" s="3" t="inlineStr"/>
      <c r="AP160" s="3" t="inlineStr">
        <is>
          <t>v3_2026-03-19</t>
        </is>
      </c>
    </row>
    <row r="161">
      <c r="A161" s="3" t="inlineStr">
        <is>
          <t>Q32_E</t>
        </is>
      </c>
      <c r="B161" s="3" t="n">
        <v>32</v>
      </c>
      <c r="C161" s="3" t="n">
        <v>32</v>
      </c>
      <c r="D161" s="3" t="inlineStr">
        <is>
          <t>Core</t>
        </is>
      </c>
      <c r="E161" s="3" t="n">
        <v>1.15</v>
      </c>
      <c r="F161" s="3" t="inlineStr">
        <is>
          <t>ValuesLifestyle</t>
        </is>
      </c>
      <c r="G161" s="3" t="inlineStr">
        <is>
          <t>IntentAlignment</t>
        </is>
      </c>
      <c r="H161" s="3" t="inlineStr"/>
      <c r="I161" s="3" t="inlineStr">
        <is>
          <t>E</t>
        </is>
      </c>
      <c r="J161" s="3" t="inlineStr">
        <is>
          <t>E</t>
        </is>
      </c>
      <c r="K161" s="3" t="inlineStr">
        <is>
          <t>I start getting passive-aggressive, short replies, less effort, hoping they'll notice and step up.</t>
        </is>
      </c>
      <c r="L161" s="3" t="n">
        <v>5</v>
      </c>
      <c r="M161" s="3" t="n">
        <v>6</v>
      </c>
      <c r="N161" s="3" t="n">
        <v>0</v>
      </c>
      <c r="O161" s="3" t="n">
        <v>2</v>
      </c>
      <c r="P161" s="3" t="n">
        <v>0</v>
      </c>
      <c r="Q161" s="3" t="inlineStr">
        <is>
          <t>Performer</t>
        </is>
      </c>
      <c r="R161" s="3" t="n">
        <v>7</v>
      </c>
      <c r="S161" s="3" t="inlineStr"/>
      <c r="T161" s="3" t="inlineStr"/>
      <c r="U161" s="3" t="n">
        <v>0</v>
      </c>
      <c r="V161" s="3" t="inlineStr">
        <is>
          <t>masc:0.3;fem:0.5</t>
        </is>
      </c>
      <c r="W161" s="3" t="n">
        <v>0.3</v>
      </c>
      <c r="X161" s="3" t="n">
        <v>0.5</v>
      </c>
      <c r="Y161" s="3" t="inlineStr">
        <is>
          <t>COMM_Indirect</t>
        </is>
      </c>
      <c r="Z161" s="3" t="inlineStr">
        <is>
          <t>REG_Distractor</t>
        </is>
      </c>
      <c r="AA161" s="3" t="inlineStr">
        <is>
          <t>LANG_Gifts</t>
        </is>
      </c>
      <c r="AB161" s="3" t="inlineStr">
        <is>
          <t>Scorekeeping_Echo</t>
        </is>
      </c>
      <c r="AC161" s="3" t="inlineStr">
        <is>
          <t>Scorekeeping_Echo</t>
        </is>
      </c>
      <c r="AD161" s="3" t="inlineStr"/>
      <c r="AE161" s="3" t="n">
        <v>8</v>
      </c>
      <c r="AF161" s="3" t="inlineStr">
        <is>
          <t>withdrawal performance</t>
        </is>
      </c>
      <c r="AG161" s="3" t="inlineStr">
        <is>
          <t>subtle protester</t>
        </is>
      </c>
      <c r="AH161" s="3" t="n">
        <v>1.2</v>
      </c>
      <c r="AI161" s="3" t="inlineStr">
        <is>
          <t>yes</t>
        </is>
      </c>
      <c r="AJ161" s="3" t="inlineStr">
        <is>
          <t>no</t>
        </is>
      </c>
      <c r="AK161" s="3" t="inlineStr">
        <is>
          <t>no</t>
        </is>
      </c>
      <c r="AL161" s="3" t="inlineStr">
        <is>
          <t>no</t>
        </is>
      </c>
      <c r="AM161" s="3" t="inlineStr"/>
      <c r="AN161" s="3" t="inlineStr"/>
      <c r="AO161" s="3" t="inlineStr"/>
      <c r="AP161" s="3" t="inlineStr">
        <is>
          <t>v3_2026-03-19</t>
        </is>
      </c>
    </row>
    <row r="162">
      <c r="A162" s="3" t="inlineStr">
        <is>
          <t>Q33_A</t>
        </is>
      </c>
      <c r="B162" s="3" t="n">
        <v>33</v>
      </c>
      <c r="C162" s="3" t="n">
        <v>33</v>
      </c>
      <c r="D162" s="3" t="inlineStr">
        <is>
          <t>Core</t>
        </is>
      </c>
      <c r="E162" s="3" t="n">
        <v>1.15</v>
      </c>
      <c r="F162" s="3" t="inlineStr">
        <is>
          <t>CommitmentPace</t>
        </is>
      </c>
      <c r="G162" s="3" t="inlineStr">
        <is>
          <t>IntentAlignment</t>
        </is>
      </c>
      <c r="H162" s="3" t="inlineStr">
        <is>
          <t>You realize you're not feeling it with someone-but they clearly are. How do you usually pull back?</t>
        </is>
      </c>
      <c r="I162" s="3" t="inlineStr">
        <is>
          <t>A</t>
        </is>
      </c>
      <c r="J162" s="3" t="inlineStr">
        <is>
          <t>A</t>
        </is>
      </c>
      <c r="K162" s="3" t="inlineStr">
        <is>
          <t>I slowly drift. Less texts, less talk, hoping they get the hint without me having to say it</t>
        </is>
      </c>
      <c r="L162" s="3" t="n">
        <v>8</v>
      </c>
      <c r="M162" s="3" t="n">
        <v>8</v>
      </c>
      <c r="N162" s="3" t="n">
        <v>4</v>
      </c>
      <c r="O162" s="3" t="n">
        <v>4</v>
      </c>
      <c r="P162" s="3" t="n">
        <v>2</v>
      </c>
      <c r="Q162" s="3" t="inlineStr">
        <is>
          <t>Quiet Exit</t>
        </is>
      </c>
      <c r="R162" s="3" t="n">
        <v>4</v>
      </c>
      <c r="S162" s="3" t="inlineStr"/>
      <c r="T162" s="3" t="inlineStr"/>
      <c r="U162" s="3" t="n">
        <v>0</v>
      </c>
      <c r="V162" s="3" t="inlineStr">
        <is>
          <t>masc:1.4;fem:-1.3</t>
        </is>
      </c>
      <c r="W162" s="3" t="n">
        <v>1.4</v>
      </c>
      <c r="X162" s="3" t="n">
        <v>-1.3</v>
      </c>
      <c r="Y162" s="3" t="inlineStr">
        <is>
          <t>COMM_Avoidant</t>
        </is>
      </c>
      <c r="Z162" s="3" t="inlineStr">
        <is>
          <t>REG_Suppressor</t>
        </is>
      </c>
      <c r="AA162" s="3" t="inlineStr">
        <is>
          <t>LANG_Time</t>
        </is>
      </c>
      <c r="AB162" s="3" t="inlineStr"/>
      <c r="AC162" s="3" t="inlineStr"/>
      <c r="AD162" s="3" t="inlineStr"/>
      <c r="AE162" s="3" t="n">
        <v>0</v>
      </c>
      <c r="AF162" s="3" t="inlineStr">
        <is>
          <t>emotional phase-out</t>
        </is>
      </c>
      <c r="AG162" s="3" t="inlineStr">
        <is>
          <t>quiet exiter</t>
        </is>
      </c>
      <c r="AH162" s="3" t="n">
        <v>0</v>
      </c>
      <c r="AI162" s="3" t="inlineStr">
        <is>
          <t>no</t>
        </is>
      </c>
      <c r="AJ162" s="3" t="inlineStr">
        <is>
          <t>no</t>
        </is>
      </c>
      <c r="AK162" s="3" t="inlineStr">
        <is>
          <t>yes</t>
        </is>
      </c>
      <c r="AL162" s="3" t="inlineStr">
        <is>
          <t>yes</t>
        </is>
      </c>
      <c r="AM162" s="3" t="inlineStr"/>
      <c r="AN162" s="3" t="inlineStr"/>
      <c r="AO162" s="3" t="inlineStr"/>
      <c r="AP162" s="3" t="inlineStr">
        <is>
          <t>v3_2026-03-19</t>
        </is>
      </c>
    </row>
    <row r="163">
      <c r="A163" s="3" t="inlineStr">
        <is>
          <t>Q33_B</t>
        </is>
      </c>
      <c r="B163" s="3" t="n">
        <v>33</v>
      </c>
      <c r="C163" s="3" t="n">
        <v>33</v>
      </c>
      <c r="D163" s="3" t="inlineStr">
        <is>
          <t>Core</t>
        </is>
      </c>
      <c r="E163" s="3" t="n">
        <v>1.15</v>
      </c>
      <c r="F163" s="3" t="inlineStr">
        <is>
          <t>CommitmentPace</t>
        </is>
      </c>
      <c r="G163" s="3" t="inlineStr">
        <is>
          <t>IntentAlignment</t>
        </is>
      </c>
      <c r="H163" s="3" t="inlineStr"/>
      <c r="I163" s="3" t="inlineStr">
        <is>
          <t>B</t>
        </is>
      </c>
      <c r="J163" s="3" t="inlineStr">
        <is>
          <t>B</t>
        </is>
      </c>
      <c r="K163" s="3" t="inlineStr">
        <is>
          <t>I still show up, but colder. I make it easier for them to walk away first.</t>
        </is>
      </c>
      <c r="L163" s="3" t="n">
        <v>7</v>
      </c>
      <c r="M163" s="3" t="n">
        <v>8</v>
      </c>
      <c r="N163" s="3" t="n">
        <v>4</v>
      </c>
      <c r="O163" s="3" t="n">
        <v>4</v>
      </c>
      <c r="P163" s="3" t="n">
        <v>0</v>
      </c>
      <c r="Q163" s="3" t="inlineStr">
        <is>
          <t>Icebox</t>
        </is>
      </c>
      <c r="R163" s="3" t="n">
        <v>1</v>
      </c>
      <c r="S163" s="3" t="inlineStr"/>
      <c r="T163" s="3" t="inlineStr"/>
      <c r="U163" s="3" t="n">
        <v>0</v>
      </c>
      <c r="V163" s="3" t="inlineStr">
        <is>
          <t>masc:1.8;fem:-1.6</t>
        </is>
      </c>
      <c r="W163" s="3" t="n">
        <v>1.8</v>
      </c>
      <c r="X163" s="3" t="n">
        <v>-1.6</v>
      </c>
      <c r="Y163" s="3" t="inlineStr">
        <is>
          <t>COMM_Avoidant</t>
        </is>
      </c>
      <c r="Z163" s="3" t="inlineStr">
        <is>
          <t>REG_Suppressor</t>
        </is>
      </c>
      <c r="AA163" s="3" t="inlineStr">
        <is>
          <t>LANG_Time</t>
        </is>
      </c>
      <c r="AB163" s="3" t="inlineStr"/>
      <c r="AC163" s="3" t="inlineStr"/>
      <c r="AD163" s="3" t="inlineStr"/>
      <c r="AE163" s="3" t="n">
        <v>0</v>
      </c>
      <c r="AF163" s="3" t="inlineStr">
        <is>
          <t>indirect push-away</t>
        </is>
      </c>
      <c r="AG163" s="3" t="inlineStr">
        <is>
          <t>soft detacher</t>
        </is>
      </c>
      <c r="AH163" s="3" t="n">
        <v>0.8</v>
      </c>
      <c r="AI163" s="3" t="inlineStr">
        <is>
          <t>no</t>
        </is>
      </c>
      <c r="AJ163" s="3" t="inlineStr">
        <is>
          <t>no</t>
        </is>
      </c>
      <c r="AK163" s="3" t="inlineStr">
        <is>
          <t>yes</t>
        </is>
      </c>
      <c r="AL163" s="3" t="inlineStr">
        <is>
          <t>yes</t>
        </is>
      </c>
      <c r="AM163" s="3" t="inlineStr"/>
      <c r="AN163" s="3" t="inlineStr"/>
      <c r="AO163" s="3" t="inlineStr"/>
      <c r="AP163" s="3" t="inlineStr">
        <is>
          <t>v3_2026-03-19</t>
        </is>
      </c>
    </row>
    <row r="164">
      <c r="A164" s="3" t="inlineStr">
        <is>
          <t>Q33_C</t>
        </is>
      </c>
      <c r="B164" s="3" t="n">
        <v>33</v>
      </c>
      <c r="C164" s="3" t="n">
        <v>33</v>
      </c>
      <c r="D164" s="3" t="inlineStr">
        <is>
          <t>Core</t>
        </is>
      </c>
      <c r="E164" s="3" t="n">
        <v>1.15</v>
      </c>
      <c r="F164" s="3" t="inlineStr">
        <is>
          <t>CommitmentPace</t>
        </is>
      </c>
      <c r="G164" s="3" t="inlineStr">
        <is>
          <t>IntentAlignment</t>
        </is>
      </c>
      <c r="H164" s="3" t="inlineStr"/>
      <c r="I164" s="3" t="inlineStr">
        <is>
          <t>C</t>
        </is>
      </c>
      <c r="J164" s="3" t="inlineStr">
        <is>
          <t>C</t>
        </is>
      </c>
      <c r="K164" s="3" t="inlineStr">
        <is>
          <t>I stay a little longer than I mean to. I don't want to hurt them, and part of me feels responsible for how they feel.</t>
        </is>
      </c>
      <c r="L164" s="3" t="n">
        <v>5</v>
      </c>
      <c r="M164" s="3" t="n">
        <v>6</v>
      </c>
      <c r="N164" s="3" t="n">
        <v>4</v>
      </c>
      <c r="O164" s="3" t="n">
        <v>4</v>
      </c>
      <c r="P164" s="3" t="n">
        <v>4</v>
      </c>
      <c r="Q164" s="3" t="inlineStr">
        <is>
          <t>Fixer</t>
        </is>
      </c>
      <c r="R164" s="3" t="n">
        <v>5</v>
      </c>
      <c r="S164" s="3" t="inlineStr"/>
      <c r="T164" s="3" t="inlineStr"/>
      <c r="U164" s="3" t="n">
        <v>0</v>
      </c>
      <c r="V164" s="3" t="inlineStr">
        <is>
          <t>masc:-0.4;fem:2.0</t>
        </is>
      </c>
      <c r="W164" s="3" t="n">
        <v>-0.4</v>
      </c>
      <c r="X164" s="3" t="n">
        <v>2</v>
      </c>
      <c r="Y164" s="3" t="inlineStr">
        <is>
          <t>COMM_Emotional</t>
        </is>
      </c>
      <c r="Z164" s="3" t="inlineStr">
        <is>
          <t>REG_CoRegulator</t>
        </is>
      </c>
      <c r="AA164" s="3" t="inlineStr">
        <is>
          <t>LANG_Service</t>
        </is>
      </c>
      <c r="AB164" s="3" t="inlineStr">
        <is>
          <t>Vulnerability_Loop</t>
        </is>
      </c>
      <c r="AC164" s="3" t="inlineStr">
        <is>
          <t>Vulnerability_Loop</t>
        </is>
      </c>
      <c r="AD164" s="3" t="inlineStr"/>
      <c r="AE164" s="3" t="n">
        <v>5</v>
      </c>
      <c r="AF164" s="3" t="inlineStr">
        <is>
          <t>guilt-fueled delay</t>
        </is>
      </c>
      <c r="AG164" s="3" t="inlineStr">
        <is>
          <t>hesitant leaver</t>
        </is>
      </c>
      <c r="AH164" s="3" t="n">
        <v>0.2</v>
      </c>
      <c r="AI164" s="3" t="inlineStr">
        <is>
          <t>yes</t>
        </is>
      </c>
      <c r="AJ164" s="3" t="inlineStr">
        <is>
          <t>no</t>
        </is>
      </c>
      <c r="AK164" s="3" t="inlineStr">
        <is>
          <t>yes</t>
        </is>
      </c>
      <c r="AL164" s="3" t="inlineStr">
        <is>
          <t>yes</t>
        </is>
      </c>
      <c r="AM164" s="3" t="inlineStr"/>
      <c r="AN164" s="3" t="inlineStr"/>
      <c r="AO164" s="3" t="inlineStr"/>
      <c r="AP164" s="3" t="inlineStr">
        <is>
          <t>v3_2026-03-19</t>
        </is>
      </c>
    </row>
    <row r="165">
      <c r="A165" s="3" t="inlineStr">
        <is>
          <t>Q33_D</t>
        </is>
      </c>
      <c r="B165" s="3" t="n">
        <v>33</v>
      </c>
      <c r="C165" s="3" t="n">
        <v>33</v>
      </c>
      <c r="D165" s="3" t="inlineStr">
        <is>
          <t>Core</t>
        </is>
      </c>
      <c r="E165" s="3" t="n">
        <v>1.15</v>
      </c>
      <c r="F165" s="3" t="inlineStr">
        <is>
          <t>CommitmentPace</t>
        </is>
      </c>
      <c r="G165" s="3" t="inlineStr">
        <is>
          <t>IntentAlignment</t>
        </is>
      </c>
      <c r="H165" s="3" t="inlineStr"/>
      <c r="I165" s="3" t="inlineStr">
        <is>
          <t>D</t>
        </is>
      </c>
      <c r="J165" s="3" t="inlineStr">
        <is>
          <t>D</t>
        </is>
      </c>
      <c r="K165" s="3" t="inlineStr">
        <is>
          <t>I avoid the conversation by blaming timing or saying "I'm just not in the right headspace," even if that's not the full truth.</t>
        </is>
      </c>
      <c r="L165" s="3" t="n">
        <v>5</v>
      </c>
      <c r="M165" s="3" t="n">
        <v>6</v>
      </c>
      <c r="N165" s="3" t="n">
        <v>2</v>
      </c>
      <c r="O165" s="3" t="n">
        <v>2</v>
      </c>
      <c r="P165" s="3" t="n">
        <v>0</v>
      </c>
      <c r="Q165" s="3" t="inlineStr">
        <is>
          <t>Performer</t>
        </is>
      </c>
      <c r="R165" s="3" t="n">
        <v>7</v>
      </c>
      <c r="S165" s="3" t="inlineStr"/>
      <c r="T165" s="3" t="inlineStr"/>
      <c r="U165" s="3" t="n">
        <v>0</v>
      </c>
      <c r="V165" s="3" t="inlineStr">
        <is>
          <t>masc:0.3;fem:0.5</t>
        </is>
      </c>
      <c r="W165" s="3" t="n">
        <v>0.3</v>
      </c>
      <c r="X165" s="3" t="n">
        <v>0.5</v>
      </c>
      <c r="Y165" s="3" t="inlineStr">
        <is>
          <t>COMM_Indirect</t>
        </is>
      </c>
      <c r="Z165" s="3" t="inlineStr">
        <is>
          <t>REG_Distractor</t>
        </is>
      </c>
      <c r="AA165" s="3" t="inlineStr">
        <is>
          <t>LANG_Gifts</t>
        </is>
      </c>
      <c r="AB165" s="3" t="inlineStr">
        <is>
          <t>Vulnerability_Loop</t>
        </is>
      </c>
      <c r="AC165" s="3" t="inlineStr">
        <is>
          <t>Vulnerability_Loop</t>
        </is>
      </c>
      <c r="AD165" s="3" t="inlineStr"/>
      <c r="AE165" s="3" t="n">
        <v>5</v>
      </c>
      <c r="AF165" s="3" t="inlineStr">
        <is>
          <t>exit with surface excuse</t>
        </is>
      </c>
      <c r="AG165" s="3" t="inlineStr">
        <is>
          <t>impression manager</t>
        </is>
      </c>
      <c r="AH165" s="3" t="n">
        <v>0.6</v>
      </c>
      <c r="AI165" s="3" t="inlineStr">
        <is>
          <t>yes</t>
        </is>
      </c>
      <c r="AJ165" s="3" t="inlineStr">
        <is>
          <t>no</t>
        </is>
      </c>
      <c r="AK165" s="3" t="inlineStr">
        <is>
          <t>yes</t>
        </is>
      </c>
      <c r="AL165" s="3" t="inlineStr">
        <is>
          <t>yes</t>
        </is>
      </c>
      <c r="AM165" s="3" t="inlineStr"/>
      <c r="AN165" s="3" t="inlineStr"/>
      <c r="AO165" s="3" t="inlineStr"/>
      <c r="AP165" s="3" t="inlineStr">
        <is>
          <t>v3_2026-03-19</t>
        </is>
      </c>
    </row>
    <row r="166">
      <c r="A166" s="3" t="inlineStr">
        <is>
          <t>Q33_E</t>
        </is>
      </c>
      <c r="B166" s="3" t="n">
        <v>33</v>
      </c>
      <c r="C166" s="3" t="n">
        <v>33</v>
      </c>
      <c r="D166" s="3" t="inlineStr">
        <is>
          <t>Core</t>
        </is>
      </c>
      <c r="E166" s="3" t="n">
        <v>1.15</v>
      </c>
      <c r="F166" s="3" t="inlineStr">
        <is>
          <t>CommitmentPace</t>
        </is>
      </c>
      <c r="G166" s="3" t="inlineStr">
        <is>
          <t>IntentAlignment</t>
        </is>
      </c>
      <c r="H166" s="3" t="inlineStr"/>
      <c r="I166" s="3" t="inlineStr">
        <is>
          <t>E</t>
        </is>
      </c>
      <c r="J166" s="3" t="inlineStr">
        <is>
          <t>E</t>
        </is>
      </c>
      <c r="K166" s="3" t="inlineStr">
        <is>
          <t>I act casual, like we're just vibing, but inside I'm already out. I don't like being the one to say it.</t>
        </is>
      </c>
      <c r="L166" s="3" t="n">
        <v>4</v>
      </c>
      <c r="M166" s="3" t="n">
        <v>5</v>
      </c>
      <c r="N166" s="3" t="n">
        <v>0</v>
      </c>
      <c r="O166" s="3" t="n">
        <v>2</v>
      </c>
      <c r="P166" s="3" t="n">
        <v>0</v>
      </c>
      <c r="Q166" s="3" t="inlineStr">
        <is>
          <t>Phantom Seeker</t>
        </is>
      </c>
      <c r="R166" s="3" t="n">
        <v>10</v>
      </c>
      <c r="S166" s="3" t="inlineStr"/>
      <c r="T166" s="3" t="inlineStr"/>
      <c r="U166" s="3" t="n">
        <v>0</v>
      </c>
      <c r="V166" s="3" t="inlineStr">
        <is>
          <t>masc:-0.2;fem:1.5</t>
        </is>
      </c>
      <c r="W166" s="3" t="n">
        <v>-0.2</v>
      </c>
      <c r="X166" s="3" t="n">
        <v>1.5</v>
      </c>
      <c r="Y166" s="3" t="inlineStr">
        <is>
          <t>COMM_Emotional</t>
        </is>
      </c>
      <c r="Z166" s="3" t="inlineStr">
        <is>
          <t>REG_SelfSoother</t>
        </is>
      </c>
      <c r="AA166" s="3" t="inlineStr">
        <is>
          <t>LANG_Touch</t>
        </is>
      </c>
      <c r="AB166" s="3" t="inlineStr">
        <is>
          <t>Vulnerability_Loop</t>
        </is>
      </c>
      <c r="AC166" s="3" t="inlineStr">
        <is>
          <t>Vulnerability_Loop</t>
        </is>
      </c>
      <c r="AD166" s="3" t="inlineStr"/>
      <c r="AE166" s="3" t="n">
        <v>5</v>
      </c>
      <c r="AF166" s="3" t="inlineStr">
        <is>
          <t>discomfort avoidance</t>
        </is>
      </c>
      <c r="AG166" s="3" t="inlineStr">
        <is>
          <t>quiet escape</t>
        </is>
      </c>
      <c r="AH166" s="3" t="n">
        <v>0.6</v>
      </c>
      <c r="AI166" s="3" t="inlineStr">
        <is>
          <t>yes</t>
        </is>
      </c>
      <c r="AJ166" s="3" t="inlineStr">
        <is>
          <t>no</t>
        </is>
      </c>
      <c r="AK166" s="3" t="inlineStr">
        <is>
          <t>yes</t>
        </is>
      </c>
      <c r="AL166" s="3" t="inlineStr">
        <is>
          <t>yes</t>
        </is>
      </c>
      <c r="AM166" s="3" t="inlineStr"/>
      <c r="AN166" s="3" t="inlineStr"/>
      <c r="AO166" s="3" t="inlineStr"/>
      <c r="AP166" s="3" t="inlineStr">
        <is>
          <t>v3_2026-03-19</t>
        </is>
      </c>
    </row>
    <row r="167">
      <c r="A167" s="3" t="inlineStr">
        <is>
          <t>Q34_A</t>
        </is>
      </c>
      <c r="B167" s="3" t="n">
        <v>34</v>
      </c>
      <c r="C167" s="3" t="n">
        <v>34</v>
      </c>
      <c r="D167" s="3" t="inlineStr">
        <is>
          <t>Core</t>
        </is>
      </c>
      <c r="E167" s="3" t="n">
        <v>1.15</v>
      </c>
      <c r="F167" s="3" t="inlineStr">
        <is>
          <t>CommitmentPace</t>
        </is>
      </c>
      <c r="G167" s="3" t="inlineStr">
        <is>
          <t>IntentAlignment</t>
        </is>
      </c>
      <c r="H167" s="3" t="inlineStr">
        <is>
          <t>You start noticing they only really show up when it benefits them-emotionally or otherwise. What's your instinct?</t>
        </is>
      </c>
      <c r="I167" s="3" t="inlineStr">
        <is>
          <t>A</t>
        </is>
      </c>
      <c r="J167" s="3" t="inlineStr">
        <is>
          <t>A</t>
        </is>
      </c>
      <c r="K167" s="3" t="inlineStr">
        <is>
          <t>I don't say a word. I just clock it and start shifting out. I don't play loyalty with users.</t>
        </is>
      </c>
      <c r="L167" s="3" t="n">
        <v>9</v>
      </c>
      <c r="M167" s="3" t="n">
        <v>9</v>
      </c>
      <c r="N167" s="3" t="n">
        <v>6</v>
      </c>
      <c r="O167" s="3" t="n">
        <v>6</v>
      </c>
      <c r="P167" s="3" t="n">
        <v>2</v>
      </c>
      <c r="Q167" s="3" t="inlineStr">
        <is>
          <t>Icebox</t>
        </is>
      </c>
      <c r="R167" s="3" t="n">
        <v>1</v>
      </c>
      <c r="S167" s="3" t="inlineStr"/>
      <c r="T167" s="3" t="inlineStr"/>
      <c r="U167" s="3" t="n">
        <v>0</v>
      </c>
      <c r="V167" s="3" t="inlineStr">
        <is>
          <t>masc:1.8;fem:-1.6</t>
        </is>
      </c>
      <c r="W167" s="3" t="n">
        <v>1.8</v>
      </c>
      <c r="X167" s="3" t="n">
        <v>-1.6</v>
      </c>
      <c r="Y167" s="3" t="inlineStr">
        <is>
          <t>COMM_Avoidant</t>
        </is>
      </c>
      <c r="Z167" s="3" t="inlineStr">
        <is>
          <t>REG_Suppressor</t>
        </is>
      </c>
      <c r="AA167" s="3" t="inlineStr">
        <is>
          <t>LANG_Time</t>
        </is>
      </c>
      <c r="AB167" s="3" t="inlineStr"/>
      <c r="AC167" s="3" t="inlineStr"/>
      <c r="AD167" s="3" t="inlineStr"/>
      <c r="AE167" s="3" t="n">
        <v>0</v>
      </c>
      <c r="AF167" s="3" t="inlineStr">
        <is>
          <t>silent pattern cut-off</t>
        </is>
      </c>
      <c r="AG167" s="3" t="inlineStr">
        <is>
          <t>boundary enforcer</t>
        </is>
      </c>
      <c r="AH167" s="3" t="n">
        <v>0.2</v>
      </c>
      <c r="AI167" s="3" t="inlineStr">
        <is>
          <t>no</t>
        </is>
      </c>
      <c r="AJ167" s="3" t="inlineStr">
        <is>
          <t>no</t>
        </is>
      </c>
      <c r="AK167" s="3" t="inlineStr">
        <is>
          <t>yes</t>
        </is>
      </c>
      <c r="AL167" s="3" t="inlineStr">
        <is>
          <t>yes</t>
        </is>
      </c>
      <c r="AM167" s="3" t="inlineStr"/>
      <c r="AN167" s="3" t="inlineStr"/>
      <c r="AO167" s="3" t="inlineStr"/>
      <c r="AP167" s="3" t="inlineStr">
        <is>
          <t>v3_2026-03-19</t>
        </is>
      </c>
    </row>
    <row r="168">
      <c r="A168" s="3" t="inlineStr">
        <is>
          <t>Q34_B</t>
        </is>
      </c>
      <c r="B168" s="3" t="n">
        <v>34</v>
      </c>
      <c r="C168" s="3" t="n">
        <v>34</v>
      </c>
      <c r="D168" s="3" t="inlineStr">
        <is>
          <t>Core</t>
        </is>
      </c>
      <c r="E168" s="3" t="n">
        <v>1.15</v>
      </c>
      <c r="F168" s="3" t="inlineStr">
        <is>
          <t>CommitmentPace</t>
        </is>
      </c>
      <c r="G168" s="3" t="inlineStr">
        <is>
          <t>IntentAlignment</t>
        </is>
      </c>
      <c r="H168" s="3" t="inlineStr"/>
      <c r="I168" s="3" t="inlineStr">
        <is>
          <t>B</t>
        </is>
      </c>
      <c r="J168" s="3" t="inlineStr">
        <is>
          <t>B</t>
        </is>
      </c>
      <c r="K168" s="3" t="inlineStr">
        <is>
          <t>I try to be okay with it, but it messes with my head. I keep wondering if I'm reading too much into it.</t>
        </is>
      </c>
      <c r="L168" s="3" t="n">
        <v>5</v>
      </c>
      <c r="M168" s="3" t="n">
        <v>6</v>
      </c>
      <c r="N168" s="3" t="n">
        <v>2</v>
      </c>
      <c r="O168" s="3" t="n">
        <v>4</v>
      </c>
      <c r="P168" s="3" t="n">
        <v>2</v>
      </c>
      <c r="Q168" s="3" t="inlineStr">
        <is>
          <t>Phantom Seeker</t>
        </is>
      </c>
      <c r="R168" s="3" t="n">
        <v>10</v>
      </c>
      <c r="S168" s="3" t="inlineStr"/>
      <c r="T168" s="3" t="inlineStr"/>
      <c r="U168" s="3" t="n">
        <v>0</v>
      </c>
      <c r="V168" s="3" t="inlineStr">
        <is>
          <t>masc:-0.2;fem:1.5</t>
        </is>
      </c>
      <c r="W168" s="3" t="n">
        <v>-0.2</v>
      </c>
      <c r="X168" s="3" t="n">
        <v>1.5</v>
      </c>
      <c r="Y168" s="3" t="inlineStr">
        <is>
          <t>COMM_Emotional</t>
        </is>
      </c>
      <c r="Z168" s="3" t="inlineStr">
        <is>
          <t>REG_SelfSoother</t>
        </is>
      </c>
      <c r="AA168" s="3" t="inlineStr">
        <is>
          <t>LANG_Touch</t>
        </is>
      </c>
      <c r="AB168" s="3" t="inlineStr">
        <is>
          <t>Vulnerability_Loop</t>
        </is>
      </c>
      <c r="AC168" s="3" t="inlineStr">
        <is>
          <t>Vulnerability_Loop</t>
        </is>
      </c>
      <c r="AD168" s="3" t="inlineStr"/>
      <c r="AE168" s="3" t="n">
        <v>5</v>
      </c>
      <c r="AF168" s="3" t="inlineStr">
        <is>
          <t>self-doubt spiral</t>
        </is>
      </c>
      <c r="AG168" s="3" t="inlineStr">
        <is>
          <t>uncertain assessor</t>
        </is>
      </c>
      <c r="AH168" s="3" t="n">
        <v>0</v>
      </c>
      <c r="AI168" s="3" t="inlineStr">
        <is>
          <t>yes</t>
        </is>
      </c>
      <c r="AJ168" s="3" t="inlineStr">
        <is>
          <t>no</t>
        </is>
      </c>
      <c r="AK168" s="3" t="inlineStr">
        <is>
          <t>yes</t>
        </is>
      </c>
      <c r="AL168" s="3" t="inlineStr">
        <is>
          <t>yes</t>
        </is>
      </c>
      <c r="AM168" s="3" t="inlineStr"/>
      <c r="AN168" s="3" t="inlineStr"/>
      <c r="AO168" s="3" t="inlineStr"/>
      <c r="AP168" s="3" t="inlineStr">
        <is>
          <t>v3_2026-03-19</t>
        </is>
      </c>
    </row>
    <row r="169">
      <c r="A169" s="3" t="inlineStr">
        <is>
          <t>Q34_C</t>
        </is>
      </c>
      <c r="B169" s="3" t="n">
        <v>34</v>
      </c>
      <c r="C169" s="3" t="n">
        <v>34</v>
      </c>
      <c r="D169" s="3" t="inlineStr">
        <is>
          <t>Core</t>
        </is>
      </c>
      <c r="E169" s="3" t="n">
        <v>1.15</v>
      </c>
      <c r="F169" s="3" t="inlineStr">
        <is>
          <t>CommitmentPace</t>
        </is>
      </c>
      <c r="G169" s="3" t="inlineStr">
        <is>
          <t>IntentAlignment</t>
        </is>
      </c>
      <c r="H169" s="3" t="inlineStr"/>
      <c r="I169" s="3" t="inlineStr">
        <is>
          <t>C</t>
        </is>
      </c>
      <c r="J169" s="3" t="inlineStr">
        <is>
          <t>C</t>
        </is>
      </c>
      <c r="K169" s="3" t="inlineStr">
        <is>
          <t>I adjust. If they only come around for certain things, I act like that's all I want too.</t>
        </is>
      </c>
      <c r="L169" s="3" t="n">
        <v>5</v>
      </c>
      <c r="M169" s="3" t="n">
        <v>6</v>
      </c>
      <c r="N169" s="3" t="n">
        <v>2</v>
      </c>
      <c r="O169" s="3" t="n">
        <v>2</v>
      </c>
      <c r="P169" s="3" t="n">
        <v>0</v>
      </c>
      <c r="Q169" s="3" t="inlineStr">
        <is>
          <t>Performer</t>
        </is>
      </c>
      <c r="R169" s="3" t="n">
        <v>7</v>
      </c>
      <c r="S169" s="3" t="inlineStr"/>
      <c r="T169" s="3" t="inlineStr"/>
      <c r="U169" s="3" t="n">
        <v>0</v>
      </c>
      <c r="V169" s="3" t="inlineStr">
        <is>
          <t>masc:0.3;fem:0.5</t>
        </is>
      </c>
      <c r="W169" s="3" t="n">
        <v>0.3</v>
      </c>
      <c r="X169" s="3" t="n">
        <v>0.5</v>
      </c>
      <c r="Y169" s="3" t="inlineStr">
        <is>
          <t>COMM_Indirect</t>
        </is>
      </c>
      <c r="Z169" s="3" t="inlineStr">
        <is>
          <t>REG_Distractor</t>
        </is>
      </c>
      <c r="AA169" s="3" t="inlineStr">
        <is>
          <t>LANG_Gifts</t>
        </is>
      </c>
      <c r="AB169" s="3" t="inlineStr">
        <is>
          <t>Vulnerability_Loop</t>
        </is>
      </c>
      <c r="AC169" s="3" t="inlineStr">
        <is>
          <t>Vulnerability_Loop</t>
        </is>
      </c>
      <c r="AD169" s="3" t="inlineStr"/>
      <c r="AE169" s="3" t="n">
        <v>5</v>
      </c>
      <c r="AF169" s="3" t="inlineStr">
        <is>
          <t>emotional roleplay reflex</t>
        </is>
      </c>
      <c r="AG169" s="3" t="inlineStr">
        <is>
          <t>adaptive masker</t>
        </is>
      </c>
      <c r="AH169" s="3" t="n">
        <v>0.6</v>
      </c>
      <c r="AI169" s="3" t="inlineStr">
        <is>
          <t>yes</t>
        </is>
      </c>
      <c r="AJ169" s="3" t="inlineStr">
        <is>
          <t>no</t>
        </is>
      </c>
      <c r="AK169" s="3" t="inlineStr">
        <is>
          <t>yes</t>
        </is>
      </c>
      <c r="AL169" s="3" t="inlineStr">
        <is>
          <t>yes</t>
        </is>
      </c>
      <c r="AM169" s="3" t="inlineStr"/>
      <c r="AN169" s="3" t="inlineStr"/>
      <c r="AO169" s="3" t="inlineStr"/>
      <c r="AP169" s="3" t="inlineStr">
        <is>
          <t>v3_2026-03-19</t>
        </is>
      </c>
    </row>
    <row r="170">
      <c r="A170" s="3" t="inlineStr">
        <is>
          <t>Q34_D</t>
        </is>
      </c>
      <c r="B170" s="3" t="n">
        <v>34</v>
      </c>
      <c r="C170" s="3" t="n">
        <v>34</v>
      </c>
      <c r="D170" s="3" t="inlineStr">
        <is>
          <t>Core</t>
        </is>
      </c>
      <c r="E170" s="3" t="n">
        <v>1.15</v>
      </c>
      <c r="F170" s="3" t="inlineStr">
        <is>
          <t>CommitmentPace</t>
        </is>
      </c>
      <c r="G170" s="3" t="inlineStr">
        <is>
          <t>IntentAlignment</t>
        </is>
      </c>
      <c r="H170" s="3" t="inlineStr"/>
      <c r="I170" s="3" t="inlineStr">
        <is>
          <t>D</t>
        </is>
      </c>
      <c r="J170" s="3" t="inlineStr">
        <is>
          <t>D</t>
        </is>
      </c>
      <c r="K170" s="3" t="inlineStr">
        <is>
          <t>I make excuses for them. Maybe they're going through something. Maybe they don't even realize they're doing it.</t>
        </is>
      </c>
      <c r="L170" s="3" t="n">
        <v>4</v>
      </c>
      <c r="M170" s="3" t="n">
        <v>5</v>
      </c>
      <c r="N170" s="3" t="n">
        <v>2</v>
      </c>
      <c r="O170" s="3" t="n">
        <v>2</v>
      </c>
      <c r="P170" s="3" t="n">
        <v>2</v>
      </c>
      <c r="Q170" s="3" t="inlineStr">
        <is>
          <t>Fixer</t>
        </is>
      </c>
      <c r="R170" s="3" t="n">
        <v>5</v>
      </c>
      <c r="S170" s="3" t="inlineStr"/>
      <c r="T170" s="3" t="inlineStr"/>
      <c r="U170" s="3" t="n">
        <v>0</v>
      </c>
      <c r="V170" s="3" t="inlineStr">
        <is>
          <t>masc:-0.4;fem:2.0</t>
        </is>
      </c>
      <c r="W170" s="3" t="n">
        <v>-0.4</v>
      </c>
      <c r="X170" s="3" t="n">
        <v>2</v>
      </c>
      <c r="Y170" s="3" t="inlineStr">
        <is>
          <t>COMM_Emotional</t>
        </is>
      </c>
      <c r="Z170" s="3" t="inlineStr">
        <is>
          <t>REG_CoRegulator</t>
        </is>
      </c>
      <c r="AA170" s="3" t="inlineStr">
        <is>
          <t>LANG_Service</t>
        </is>
      </c>
      <c r="AB170" s="3" t="inlineStr">
        <is>
          <t>Commitment_Ambiguity</t>
        </is>
      </c>
      <c r="AC170" s="3" t="inlineStr">
        <is>
          <t>Commitment_Ambiguity</t>
        </is>
      </c>
      <c r="AD170" s="3" t="inlineStr"/>
      <c r="AE170" s="3" t="n">
        <v>5</v>
      </c>
      <c r="AF170" s="3" t="inlineStr">
        <is>
          <t>justification loop</t>
        </is>
      </c>
      <c r="AG170" s="3" t="inlineStr">
        <is>
          <t>excuse maker</t>
        </is>
      </c>
      <c r="AH170" s="3" t="n">
        <v>0</v>
      </c>
      <c r="AI170" s="3" t="inlineStr">
        <is>
          <t>yes</t>
        </is>
      </c>
      <c r="AJ170" s="3" t="inlineStr">
        <is>
          <t>no</t>
        </is>
      </c>
      <c r="AK170" s="3" t="inlineStr">
        <is>
          <t>yes</t>
        </is>
      </c>
      <c r="AL170" s="3" t="inlineStr">
        <is>
          <t>yes</t>
        </is>
      </c>
      <c r="AM170" s="3" t="inlineStr"/>
      <c r="AN170" s="3" t="inlineStr"/>
      <c r="AO170" s="3" t="inlineStr"/>
      <c r="AP170" s="3" t="inlineStr">
        <is>
          <t>v3_2026-03-19</t>
        </is>
      </c>
    </row>
    <row r="171">
      <c r="A171" s="3" t="inlineStr">
        <is>
          <t>Q34_E</t>
        </is>
      </c>
      <c r="B171" s="3" t="n">
        <v>34</v>
      </c>
      <c r="C171" s="3" t="n">
        <v>34</v>
      </c>
      <c r="D171" s="3" t="inlineStr">
        <is>
          <t>Core</t>
        </is>
      </c>
      <c r="E171" s="3" t="n">
        <v>1.15</v>
      </c>
      <c r="F171" s="3" t="inlineStr">
        <is>
          <t>CommitmentPace</t>
        </is>
      </c>
      <c r="G171" s="3" t="inlineStr">
        <is>
          <t>IntentAlignment</t>
        </is>
      </c>
      <c r="H171" s="3" t="inlineStr"/>
      <c r="I171" s="3" t="inlineStr">
        <is>
          <t>E</t>
        </is>
      </c>
      <c r="J171" s="3" t="inlineStr">
        <is>
          <t>E</t>
        </is>
      </c>
      <c r="K171" s="3" t="inlineStr">
        <is>
          <t>I start testing it, pull back on what I give and see how long it takes for them to disappear.</t>
        </is>
      </c>
      <c r="L171" s="3" t="n">
        <v>8</v>
      </c>
      <c r="M171" s="3" t="n">
        <v>9</v>
      </c>
      <c r="N171" s="3" t="n">
        <v>8</v>
      </c>
      <c r="O171" s="3" t="n">
        <v>8</v>
      </c>
      <c r="P171" s="3" t="n">
        <v>6</v>
      </c>
      <c r="Q171" s="3" t="inlineStr">
        <is>
          <t>Analyzer</t>
        </is>
      </c>
      <c r="R171" s="3" t="n">
        <v>2</v>
      </c>
      <c r="S171" s="3" t="inlineStr"/>
      <c r="T171" s="3" t="inlineStr"/>
      <c r="U171" s="3" t="n">
        <v>0</v>
      </c>
      <c r="V171" s="3" t="inlineStr">
        <is>
          <t>masc:1.4;fem:0.1</t>
        </is>
      </c>
      <c r="W171" s="3" t="n">
        <v>1.4</v>
      </c>
      <c r="X171" s="3" t="n">
        <v>0.1</v>
      </c>
      <c r="Y171" s="3" t="inlineStr">
        <is>
          <t>COMM_Logical</t>
        </is>
      </c>
      <c r="Z171" s="3" t="inlineStr">
        <is>
          <t>REG_SelfSoother</t>
        </is>
      </c>
      <c r="AA171" s="3" t="inlineStr">
        <is>
          <t>LANG_Service</t>
        </is>
      </c>
      <c r="AB171" s="3" t="inlineStr"/>
      <c r="AC171" s="3" t="inlineStr"/>
      <c r="AD171" s="3" t="inlineStr"/>
      <c r="AE171" s="3" t="n">
        <v>0</v>
      </c>
      <c r="AF171" s="3" t="inlineStr">
        <is>
          <t>value-to-effort gauge</t>
        </is>
      </c>
      <c r="AG171" s="3" t="inlineStr">
        <is>
          <t>behavioral tester</t>
        </is>
      </c>
      <c r="AH171" s="3" t="n">
        <v>1.8</v>
      </c>
      <c r="AI171" s="3" t="inlineStr">
        <is>
          <t>no</t>
        </is>
      </c>
      <c r="AJ171" s="3" t="inlineStr">
        <is>
          <t>no</t>
        </is>
      </c>
      <c r="AK171" s="3" t="inlineStr">
        <is>
          <t>yes</t>
        </is>
      </c>
      <c r="AL171" s="3" t="inlineStr">
        <is>
          <t>yes</t>
        </is>
      </c>
      <c r="AM171" s="3" t="inlineStr"/>
      <c r="AN171" s="3" t="inlineStr"/>
      <c r="AO171" s="3" t="inlineStr"/>
      <c r="AP171" s="3" t="inlineStr">
        <is>
          <t>v3_2026-03-19</t>
        </is>
      </c>
    </row>
    <row r="172">
      <c r="A172" s="3" t="inlineStr">
        <is>
          <t>Q35_A</t>
        </is>
      </c>
      <c r="B172" s="3" t="n">
        <v>35</v>
      </c>
      <c r="C172" s="3" t="n">
        <v>35</v>
      </c>
      <c r="D172" s="3" t="inlineStr">
        <is>
          <t>Core</t>
        </is>
      </c>
      <c r="E172" s="3" t="n">
        <v>1.15</v>
      </c>
      <c r="F172" s="3" t="inlineStr">
        <is>
          <t>CommitmentPace</t>
        </is>
      </c>
      <c r="G172" s="3" t="inlineStr">
        <is>
          <t>IntentAlignment</t>
        </is>
      </c>
      <c r="H172" s="3" t="inlineStr">
        <is>
          <t>Someone calls you out-not mean, but honest. Says you hurt them or dropped the ball emotionally. What's your first reaction?</t>
        </is>
      </c>
      <c r="I172" s="3" t="inlineStr">
        <is>
          <t>A</t>
        </is>
      </c>
      <c r="J172" s="3" t="inlineStr">
        <is>
          <t>A</t>
        </is>
      </c>
      <c r="K172" s="3" t="inlineStr">
        <is>
          <t>I get quiet. My instinct is to pull away until I can think through what they said.</t>
        </is>
      </c>
      <c r="L172" s="3" t="n">
        <v>8</v>
      </c>
      <c r="M172" s="3" t="n">
        <v>8</v>
      </c>
      <c r="N172" s="3" t="n">
        <v>4</v>
      </c>
      <c r="O172" s="3" t="n">
        <v>4</v>
      </c>
      <c r="P172" s="3" t="n">
        <v>2</v>
      </c>
      <c r="Q172" s="3" t="inlineStr">
        <is>
          <t>Icebox</t>
        </is>
      </c>
      <c r="R172" s="3" t="n">
        <v>1</v>
      </c>
      <c r="S172" s="3" t="inlineStr"/>
      <c r="T172" s="3" t="inlineStr"/>
      <c r="U172" s="3" t="n">
        <v>0</v>
      </c>
      <c r="V172" s="3" t="inlineStr">
        <is>
          <t>masc:1.8;fem:-1.6</t>
        </is>
      </c>
      <c r="W172" s="3" t="n">
        <v>1.8</v>
      </c>
      <c r="X172" s="3" t="n">
        <v>-1.6</v>
      </c>
      <c r="Y172" s="3" t="inlineStr">
        <is>
          <t>COMM_Avoidant</t>
        </is>
      </c>
      <c r="Z172" s="3" t="inlineStr">
        <is>
          <t>REG_Suppressor</t>
        </is>
      </c>
      <c r="AA172" s="3" t="inlineStr">
        <is>
          <t>LANG_Time</t>
        </is>
      </c>
      <c r="AB172" s="3" t="inlineStr"/>
      <c r="AC172" s="3" t="inlineStr"/>
      <c r="AD172" s="3" t="inlineStr"/>
      <c r="AE172" s="3" t="n">
        <v>0</v>
      </c>
      <c r="AF172" s="3" t="inlineStr">
        <is>
          <t>internal processing lockdown</t>
        </is>
      </c>
      <c r="AG172" s="3" t="inlineStr">
        <is>
          <t>space taker</t>
        </is>
      </c>
      <c r="AH172" s="3" t="n">
        <v>0</v>
      </c>
      <c r="AI172" s="3" t="inlineStr">
        <is>
          <t>no</t>
        </is>
      </c>
      <c r="AJ172" s="3" t="inlineStr">
        <is>
          <t>no</t>
        </is>
      </c>
      <c r="AK172" s="3" t="inlineStr">
        <is>
          <t>yes</t>
        </is>
      </c>
      <c r="AL172" s="3" t="inlineStr">
        <is>
          <t>yes</t>
        </is>
      </c>
      <c r="AM172" s="3" t="inlineStr"/>
      <c r="AN172" s="3" t="inlineStr"/>
      <c r="AO172" s="3" t="inlineStr"/>
      <c r="AP172" s="3" t="inlineStr">
        <is>
          <t>v3_2026-03-19</t>
        </is>
      </c>
    </row>
    <row r="173">
      <c r="A173" s="3" t="inlineStr">
        <is>
          <t>Q35_B</t>
        </is>
      </c>
      <c r="B173" s="3" t="n">
        <v>35</v>
      </c>
      <c r="C173" s="3" t="n">
        <v>35</v>
      </c>
      <c r="D173" s="3" t="inlineStr">
        <is>
          <t>Core</t>
        </is>
      </c>
      <c r="E173" s="3" t="n">
        <v>1.15</v>
      </c>
      <c r="F173" s="3" t="inlineStr">
        <is>
          <t>CommitmentPace</t>
        </is>
      </c>
      <c r="G173" s="3" t="inlineStr">
        <is>
          <t>IntentAlignment</t>
        </is>
      </c>
      <c r="H173" s="3" t="inlineStr"/>
      <c r="I173" s="3" t="inlineStr">
        <is>
          <t>B</t>
        </is>
      </c>
      <c r="J173" s="3" t="inlineStr">
        <is>
          <t>B</t>
        </is>
      </c>
      <c r="K173" s="3" t="inlineStr">
        <is>
          <t>I feel awful. I start apologizing right away, even if I don't fully understand it yet.</t>
        </is>
      </c>
      <c r="L173" s="3" t="n">
        <v>6</v>
      </c>
      <c r="M173" s="3" t="n">
        <v>7</v>
      </c>
      <c r="N173" s="3" t="n">
        <v>4</v>
      </c>
      <c r="O173" s="3" t="n">
        <v>4</v>
      </c>
      <c r="P173" s="3" t="n">
        <v>2</v>
      </c>
      <c r="Q173" s="3" t="inlineStr">
        <is>
          <t>Phantom Seeker</t>
        </is>
      </c>
      <c r="R173" s="3" t="n">
        <v>10</v>
      </c>
      <c r="S173" s="3" t="inlineStr"/>
      <c r="T173" s="3" t="inlineStr"/>
      <c r="U173" s="3" t="n">
        <v>0</v>
      </c>
      <c r="V173" s="3" t="inlineStr">
        <is>
          <t>masc:-0.2;fem:1.5</t>
        </is>
      </c>
      <c r="W173" s="3" t="n">
        <v>-0.2</v>
      </c>
      <c r="X173" s="3" t="n">
        <v>1.5</v>
      </c>
      <c r="Y173" s="3" t="inlineStr">
        <is>
          <t>COMM_Emotional</t>
        </is>
      </c>
      <c r="Z173" s="3" t="inlineStr">
        <is>
          <t>REG_SelfSoother</t>
        </is>
      </c>
      <c r="AA173" s="3" t="inlineStr">
        <is>
          <t>LANG_Touch</t>
        </is>
      </c>
      <c r="AB173" s="3" t="inlineStr">
        <is>
          <t>Vulnerability_Loop</t>
        </is>
      </c>
      <c r="AC173" s="3" t="inlineStr">
        <is>
          <t>Vulnerability_Loop</t>
        </is>
      </c>
      <c r="AD173" s="3" t="inlineStr"/>
      <c r="AE173" s="3" t="n">
        <v>5</v>
      </c>
      <c r="AF173" s="3" t="inlineStr">
        <is>
          <t>guilt-fueled repair attempt</t>
        </is>
      </c>
      <c r="AG173" s="3" t="inlineStr">
        <is>
          <t>quick apologizer</t>
        </is>
      </c>
      <c r="AH173" s="3" t="n">
        <v>0.2</v>
      </c>
      <c r="AI173" s="3" t="inlineStr">
        <is>
          <t>yes</t>
        </is>
      </c>
      <c r="AJ173" s="3" t="inlineStr">
        <is>
          <t>no</t>
        </is>
      </c>
      <c r="AK173" s="3" t="inlineStr">
        <is>
          <t>yes</t>
        </is>
      </c>
      <c r="AL173" s="3" t="inlineStr">
        <is>
          <t>yes</t>
        </is>
      </c>
      <c r="AM173" s="3" t="inlineStr"/>
      <c r="AN173" s="3" t="inlineStr"/>
      <c r="AO173" s="3" t="inlineStr"/>
      <c r="AP173" s="3" t="inlineStr">
        <is>
          <t>v3_2026-03-19</t>
        </is>
      </c>
    </row>
    <row r="174">
      <c r="A174" s="3" t="inlineStr">
        <is>
          <t>Q35_C</t>
        </is>
      </c>
      <c r="B174" s="3" t="n">
        <v>35</v>
      </c>
      <c r="C174" s="3" t="n">
        <v>35</v>
      </c>
      <c r="D174" s="3" t="inlineStr">
        <is>
          <t>Core</t>
        </is>
      </c>
      <c r="E174" s="3" t="n">
        <v>1.15</v>
      </c>
      <c r="F174" s="3" t="inlineStr">
        <is>
          <t>CommitmentPace</t>
        </is>
      </c>
      <c r="G174" s="3" t="inlineStr">
        <is>
          <t>IntentAlignment</t>
        </is>
      </c>
      <c r="H174" s="3" t="inlineStr"/>
      <c r="I174" s="3" t="inlineStr">
        <is>
          <t>C</t>
        </is>
      </c>
      <c r="J174" s="3" t="inlineStr">
        <is>
          <t>C</t>
        </is>
      </c>
      <c r="K174" s="3" t="inlineStr">
        <is>
          <t>I get defensive at first. Then I think about it later, sometimes for way too long.</t>
        </is>
      </c>
      <c r="L174" s="3" t="n">
        <v>6</v>
      </c>
      <c r="M174" s="3" t="n">
        <v>7</v>
      </c>
      <c r="N174" s="3" t="n">
        <v>4</v>
      </c>
      <c r="O174" s="3" t="n">
        <v>6</v>
      </c>
      <c r="P174" s="3" t="n">
        <v>4</v>
      </c>
      <c r="Q174" s="3" t="inlineStr">
        <is>
          <t>Analyzer</t>
        </is>
      </c>
      <c r="R174" s="3" t="n">
        <v>2</v>
      </c>
      <c r="S174" s="3" t="inlineStr"/>
      <c r="T174" s="3" t="inlineStr"/>
      <c r="U174" s="3" t="n">
        <v>0</v>
      </c>
      <c r="V174" s="3" t="inlineStr">
        <is>
          <t>masc:1.4;fem:0.1</t>
        </is>
      </c>
      <c r="W174" s="3" t="n">
        <v>1.4</v>
      </c>
      <c r="X174" s="3" t="n">
        <v>0.1</v>
      </c>
      <c r="Y174" s="3" t="inlineStr">
        <is>
          <t>COMM_Logical</t>
        </is>
      </c>
      <c r="Z174" s="3" t="inlineStr">
        <is>
          <t>REG_SelfSoother</t>
        </is>
      </c>
      <c r="AA174" s="3" t="inlineStr">
        <is>
          <t>LANG_Service</t>
        </is>
      </c>
      <c r="AB174" s="3" t="inlineStr">
        <is>
          <t>Commitment_Ambiguity</t>
        </is>
      </c>
      <c r="AC174" s="3" t="inlineStr">
        <is>
          <t>Commitment_Ambiguity</t>
        </is>
      </c>
      <c r="AD174" s="3" t="inlineStr"/>
      <c r="AE174" s="3" t="n">
        <v>5</v>
      </c>
      <c r="AF174" s="3" t="inlineStr">
        <is>
          <t>delayed accountability</t>
        </is>
      </c>
      <c r="AG174" s="3" t="inlineStr">
        <is>
          <t>defensive processor</t>
        </is>
      </c>
      <c r="AH174" s="3" t="n">
        <v>0</v>
      </c>
      <c r="AI174" s="3" t="inlineStr">
        <is>
          <t>yes</t>
        </is>
      </c>
      <c r="AJ174" s="3" t="inlineStr">
        <is>
          <t>no</t>
        </is>
      </c>
      <c r="AK174" s="3" t="inlineStr">
        <is>
          <t>yes</t>
        </is>
      </c>
      <c r="AL174" s="3" t="inlineStr">
        <is>
          <t>yes</t>
        </is>
      </c>
      <c r="AM174" s="3" t="inlineStr"/>
      <c r="AN174" s="3" t="inlineStr"/>
      <c r="AO174" s="3" t="inlineStr"/>
      <c r="AP174" s="3" t="inlineStr">
        <is>
          <t>v3_2026-03-19</t>
        </is>
      </c>
    </row>
    <row r="175">
      <c r="A175" s="3" t="inlineStr">
        <is>
          <t>Q35_D</t>
        </is>
      </c>
      <c r="B175" s="3" t="n">
        <v>35</v>
      </c>
      <c r="C175" s="3" t="n">
        <v>35</v>
      </c>
      <c r="D175" s="3" t="inlineStr">
        <is>
          <t>Core</t>
        </is>
      </c>
      <c r="E175" s="3" t="n">
        <v>1.15</v>
      </c>
      <c r="F175" s="3" t="inlineStr">
        <is>
          <t>CommitmentPace</t>
        </is>
      </c>
      <c r="G175" s="3" t="inlineStr">
        <is>
          <t>IntentAlignment</t>
        </is>
      </c>
      <c r="H175" s="3" t="inlineStr"/>
      <c r="I175" s="3" t="inlineStr">
        <is>
          <t>D</t>
        </is>
      </c>
      <c r="J175" s="3" t="inlineStr">
        <is>
          <t>D</t>
        </is>
      </c>
      <c r="K175" s="3" t="inlineStr">
        <is>
          <t>I try to fix it immediately, ask what they need, how I can make it right. I don't want them sitting in pain.</t>
        </is>
      </c>
      <c r="L175" s="3" t="n">
        <v>9</v>
      </c>
      <c r="M175" s="3" t="n">
        <v>9</v>
      </c>
      <c r="N175" s="3" t="n">
        <v>10</v>
      </c>
      <c r="O175" s="3" t="n">
        <v>10</v>
      </c>
      <c r="P175" s="3" t="n">
        <v>10</v>
      </c>
      <c r="Q175" s="3" t="inlineStr">
        <is>
          <t>Fixer</t>
        </is>
      </c>
      <c r="R175" s="3" t="n">
        <v>5</v>
      </c>
      <c r="S175" s="3" t="inlineStr"/>
      <c r="T175" s="3" t="inlineStr"/>
      <c r="U175" s="3" t="n">
        <v>0</v>
      </c>
      <c r="V175" s="3" t="inlineStr">
        <is>
          <t>masc:-0.4;fem:2.0</t>
        </is>
      </c>
      <c r="W175" s="3" t="n">
        <v>-0.4</v>
      </c>
      <c r="X175" s="3" t="n">
        <v>2</v>
      </c>
      <c r="Y175" s="3" t="inlineStr">
        <is>
          <t>COMM_Emotional</t>
        </is>
      </c>
      <c r="Z175" s="3" t="inlineStr">
        <is>
          <t>REG_CoRegulator</t>
        </is>
      </c>
      <c r="AA175" s="3" t="inlineStr">
        <is>
          <t>LANG_Service</t>
        </is>
      </c>
      <c r="AB175" s="3" t="inlineStr"/>
      <c r="AC175" s="3" t="inlineStr"/>
      <c r="AD175" s="3" t="inlineStr"/>
      <c r="AE175" s="3" t="n">
        <v>0</v>
      </c>
      <c r="AF175" s="3" t="inlineStr">
        <is>
          <t>urgent repair mode</t>
        </is>
      </c>
      <c r="AG175" s="3" t="inlineStr">
        <is>
          <t>immediate fixer</t>
        </is>
      </c>
      <c r="AH175" s="3" t="n">
        <v>0</v>
      </c>
      <c r="AI175" s="3" t="inlineStr">
        <is>
          <t>no</t>
        </is>
      </c>
      <c r="AJ175" s="3" t="inlineStr">
        <is>
          <t>no</t>
        </is>
      </c>
      <c r="AK175" s="3" t="inlineStr">
        <is>
          <t>yes</t>
        </is>
      </c>
      <c r="AL175" s="3" t="inlineStr">
        <is>
          <t>yes</t>
        </is>
      </c>
      <c r="AM175" s="3" t="inlineStr"/>
      <c r="AN175" s="3" t="inlineStr"/>
      <c r="AO175" s="3" t="inlineStr"/>
      <c r="AP175" s="3" t="inlineStr">
        <is>
          <t>v3_2026-03-19</t>
        </is>
      </c>
    </row>
    <row r="176">
      <c r="A176" s="3" t="inlineStr">
        <is>
          <t>Q35_E</t>
        </is>
      </c>
      <c r="B176" s="3" t="n">
        <v>35</v>
      </c>
      <c r="C176" s="3" t="n">
        <v>35</v>
      </c>
      <c r="D176" s="3" t="inlineStr">
        <is>
          <t>Core</t>
        </is>
      </c>
      <c r="E176" s="3" t="n">
        <v>1.15</v>
      </c>
      <c r="F176" s="3" t="inlineStr">
        <is>
          <t>CommitmentPace</t>
        </is>
      </c>
      <c r="G176" s="3" t="inlineStr">
        <is>
          <t>IntentAlignment</t>
        </is>
      </c>
      <c r="H176" s="3" t="inlineStr"/>
      <c r="I176" s="3" t="inlineStr">
        <is>
          <t>E</t>
        </is>
      </c>
      <c r="J176" s="3" t="inlineStr">
        <is>
          <t>E</t>
        </is>
      </c>
      <c r="K176" s="3" t="inlineStr">
        <is>
          <t>I make a joke or shift the vibe. I hate heavy stuff, so I try to steer it back to calm</t>
        </is>
      </c>
      <c r="L176" s="3" t="n">
        <v>5</v>
      </c>
      <c r="M176" s="3" t="n">
        <v>6</v>
      </c>
      <c r="N176" s="3" t="n">
        <v>2</v>
      </c>
      <c r="O176" s="3" t="n">
        <v>2</v>
      </c>
      <c r="P176" s="3" t="n">
        <v>0</v>
      </c>
      <c r="Q176" s="3" t="inlineStr">
        <is>
          <t>Performer</t>
        </is>
      </c>
      <c r="R176" s="3" t="n">
        <v>7</v>
      </c>
      <c r="S176" s="3" t="inlineStr"/>
      <c r="T176" s="3" t="inlineStr"/>
      <c r="U176" s="3" t="n">
        <v>0</v>
      </c>
      <c r="V176" s="3" t="inlineStr">
        <is>
          <t>masc:0.3;fem:0.5</t>
        </is>
      </c>
      <c r="W176" s="3" t="n">
        <v>0.3</v>
      </c>
      <c r="X176" s="3" t="n">
        <v>0.5</v>
      </c>
      <c r="Y176" s="3" t="inlineStr">
        <is>
          <t>COMM_Indirect</t>
        </is>
      </c>
      <c r="Z176" s="3" t="inlineStr">
        <is>
          <t>REG_Distractor</t>
        </is>
      </c>
      <c r="AA176" s="3" t="inlineStr">
        <is>
          <t>LANG_Gifts</t>
        </is>
      </c>
      <c r="AB176" s="3" t="inlineStr">
        <is>
          <t>Humor_Shield</t>
        </is>
      </c>
      <c r="AC176" s="3" t="inlineStr">
        <is>
          <t>Humor_Shield</t>
        </is>
      </c>
      <c r="AD176" s="3" t="inlineStr"/>
      <c r="AE176" s="3" t="n">
        <v>3</v>
      </c>
      <c r="AF176" s="3" t="inlineStr">
        <is>
          <t>emotional re-route reflex</t>
        </is>
      </c>
      <c r="AG176" s="3" t="inlineStr">
        <is>
          <t>mood deflector</t>
        </is>
      </c>
      <c r="AH176" s="3" t="n">
        <v>0.2</v>
      </c>
      <c r="AI176" s="3" t="inlineStr">
        <is>
          <t>yes</t>
        </is>
      </c>
      <c r="AJ176" s="3" t="inlineStr">
        <is>
          <t>no</t>
        </is>
      </c>
      <c r="AK176" s="3" t="inlineStr">
        <is>
          <t>yes</t>
        </is>
      </c>
      <c r="AL176" s="3" t="inlineStr">
        <is>
          <t>yes</t>
        </is>
      </c>
      <c r="AM176" s="3" t="inlineStr"/>
      <c r="AN176" s="3" t="inlineStr"/>
      <c r="AO176" s="3" t="inlineStr"/>
      <c r="AP176" s="3" t="inlineStr">
        <is>
          <t>v3_2026-03-19</t>
        </is>
      </c>
    </row>
    <row r="177">
      <c r="A177" s="3" t="inlineStr">
        <is>
          <t>Q36_A</t>
        </is>
      </c>
      <c r="B177" s="3" t="n">
        <v>36</v>
      </c>
      <c r="C177" s="3" t="n">
        <v>36</v>
      </c>
      <c r="D177" s="3" t="inlineStr">
        <is>
          <t>Core</t>
        </is>
      </c>
      <c r="E177" s="3" t="n">
        <v>1.15</v>
      </c>
      <c r="F177" s="3" t="inlineStr">
        <is>
          <t>CommitmentPace</t>
        </is>
      </c>
      <c r="G177" s="3" t="inlineStr">
        <is>
          <t>IntentAlignment</t>
        </is>
      </c>
      <c r="H177" s="3" t="inlineStr">
        <is>
          <t>You were consistent, showed up, and stayed real-but they still chose someone else. What's your honest reaction?</t>
        </is>
      </c>
      <c r="I177" s="3" t="inlineStr">
        <is>
          <t>A</t>
        </is>
      </c>
      <c r="J177" s="3" t="inlineStr">
        <is>
          <t>A</t>
        </is>
      </c>
      <c r="K177" s="3" t="inlineStr">
        <is>
          <t>I start comparing myself to the person they picked, quietly trying to figure out what they had that I didn't.</t>
        </is>
      </c>
      <c r="L177" s="3" t="n">
        <v>5</v>
      </c>
      <c r="M177" s="3" t="n">
        <v>6</v>
      </c>
      <c r="N177" s="3" t="n">
        <v>4</v>
      </c>
      <c r="O177" s="3" t="n">
        <v>4</v>
      </c>
      <c r="P177" s="3" t="n">
        <v>2</v>
      </c>
      <c r="Q177" s="3" t="inlineStr">
        <is>
          <t>Analyzer</t>
        </is>
      </c>
      <c r="R177" s="3" t="n">
        <v>2</v>
      </c>
      <c r="S177" s="3" t="inlineStr"/>
      <c r="T177" s="3" t="inlineStr"/>
      <c r="U177" s="3" t="n">
        <v>0</v>
      </c>
      <c r="V177" s="3" t="inlineStr">
        <is>
          <t>masc:1.4;fem:0.1</t>
        </is>
      </c>
      <c r="W177" s="3" t="n">
        <v>1.4</v>
      </c>
      <c r="X177" s="3" t="n">
        <v>0.1</v>
      </c>
      <c r="Y177" s="3" t="inlineStr">
        <is>
          <t>COMM_Logical</t>
        </is>
      </c>
      <c r="Z177" s="3" t="inlineStr">
        <is>
          <t>REG_SelfSoother</t>
        </is>
      </c>
      <c r="AA177" s="3" t="inlineStr">
        <is>
          <t>LANG_Service</t>
        </is>
      </c>
      <c r="AB177" s="3" t="inlineStr">
        <is>
          <t>Vulnerability_Loop</t>
        </is>
      </c>
      <c r="AC177" s="3" t="inlineStr">
        <is>
          <t>Vulnerability_Loop</t>
        </is>
      </c>
      <c r="AD177" s="3" t="inlineStr"/>
      <c r="AE177" s="3" t="n">
        <v>5</v>
      </c>
      <c r="AF177" s="3" t="inlineStr">
        <is>
          <t>post-rejection audit</t>
        </is>
      </c>
      <c r="AG177" s="3" t="inlineStr">
        <is>
          <t>comparison seeker</t>
        </is>
      </c>
      <c r="AH177" s="3" t="n">
        <v>0</v>
      </c>
      <c r="AI177" s="3" t="inlineStr">
        <is>
          <t>yes</t>
        </is>
      </c>
      <c r="AJ177" s="3" t="inlineStr">
        <is>
          <t>no</t>
        </is>
      </c>
      <c r="AK177" s="3" t="inlineStr">
        <is>
          <t>yes</t>
        </is>
      </c>
      <c r="AL177" s="3" t="inlineStr">
        <is>
          <t>yes</t>
        </is>
      </c>
      <c r="AM177" s="3" t="inlineStr"/>
      <c r="AN177" s="3" t="inlineStr"/>
      <c r="AO177" s="3" t="inlineStr"/>
      <c r="AP177" s="3" t="inlineStr">
        <is>
          <t>v3_2026-03-19</t>
        </is>
      </c>
    </row>
    <row r="178">
      <c r="A178" s="3" t="inlineStr">
        <is>
          <t>Q36_B</t>
        </is>
      </c>
      <c r="B178" s="3" t="n">
        <v>36</v>
      </c>
      <c r="C178" s="3" t="n">
        <v>36</v>
      </c>
      <c r="D178" s="3" t="inlineStr">
        <is>
          <t>Core</t>
        </is>
      </c>
      <c r="E178" s="3" t="n">
        <v>1.15</v>
      </c>
      <c r="F178" s="3" t="inlineStr">
        <is>
          <t>CommitmentPace</t>
        </is>
      </c>
      <c r="G178" s="3" t="inlineStr">
        <is>
          <t>IntentAlignment</t>
        </is>
      </c>
      <c r="H178" s="3" t="inlineStr"/>
      <c r="I178" s="3" t="inlineStr">
        <is>
          <t>B</t>
        </is>
      </c>
      <c r="J178" s="3" t="inlineStr">
        <is>
          <t>B</t>
        </is>
      </c>
      <c r="K178" s="3" t="inlineStr">
        <is>
          <t>I shut down emotionally. If that wasn't enough, then nothing will be.</t>
        </is>
      </c>
      <c r="L178" s="3" t="n">
        <v>4</v>
      </c>
      <c r="M178" s="3" t="n">
        <v>5</v>
      </c>
      <c r="N178" s="3" t="n">
        <v>0</v>
      </c>
      <c r="O178" s="3" t="n">
        <v>0</v>
      </c>
      <c r="P178" s="3" t="n">
        <v>0</v>
      </c>
      <c r="Q178" s="3" t="inlineStr">
        <is>
          <t>Icebox</t>
        </is>
      </c>
      <c r="R178" s="3" t="n">
        <v>1</v>
      </c>
      <c r="S178" s="3" t="inlineStr"/>
      <c r="T178" s="3" t="inlineStr"/>
      <c r="U178" s="3" t="n">
        <v>0</v>
      </c>
      <c r="V178" s="3" t="inlineStr">
        <is>
          <t>masc:1.8;fem:-1.6</t>
        </is>
      </c>
      <c r="W178" s="3" t="n">
        <v>1.8</v>
      </c>
      <c r="X178" s="3" t="n">
        <v>-1.6</v>
      </c>
      <c r="Y178" s="3" t="inlineStr">
        <is>
          <t>COMM_Avoidant</t>
        </is>
      </c>
      <c r="Z178" s="3" t="inlineStr">
        <is>
          <t>REG_Suppressor</t>
        </is>
      </c>
      <c r="AA178" s="3" t="inlineStr">
        <is>
          <t>LANG_Time</t>
        </is>
      </c>
      <c r="AB178" s="3" t="inlineStr">
        <is>
          <t>Vulnerability_Loop , Pursuer_Distancer</t>
        </is>
      </c>
      <c r="AC178" s="3" t="inlineStr">
        <is>
          <t>Vulnerability_Loop</t>
        </is>
      </c>
      <c r="AD178" s="3" t="inlineStr">
        <is>
          <t>Pursuer_Distancer</t>
        </is>
      </c>
      <c r="AE178" s="3" t="n">
        <v>11</v>
      </c>
      <c r="AF178" s="3" t="inlineStr">
        <is>
          <t>proof of unlovability</t>
        </is>
      </c>
      <c r="AG178" s="3" t="inlineStr">
        <is>
          <t>emotional closer</t>
        </is>
      </c>
      <c r="AH178" s="3" t="n">
        <v>0</v>
      </c>
      <c r="AI178" s="3" t="inlineStr">
        <is>
          <t>yes</t>
        </is>
      </c>
      <c r="AJ178" s="3" t="inlineStr">
        <is>
          <t>no</t>
        </is>
      </c>
      <c r="AK178" s="3" t="inlineStr">
        <is>
          <t>yes</t>
        </is>
      </c>
      <c r="AL178" s="3" t="inlineStr">
        <is>
          <t>yes</t>
        </is>
      </c>
      <c r="AM178" s="3" t="inlineStr"/>
      <c r="AN178" s="3" t="inlineStr"/>
      <c r="AO178" s="3" t="inlineStr"/>
      <c r="AP178" s="3" t="inlineStr">
        <is>
          <t>v3_2026-03-19</t>
        </is>
      </c>
    </row>
    <row r="179">
      <c r="A179" s="3" t="inlineStr">
        <is>
          <t>Q36_C</t>
        </is>
      </c>
      <c r="B179" s="3" t="n">
        <v>36</v>
      </c>
      <c r="C179" s="3" t="n">
        <v>36</v>
      </c>
      <c r="D179" s="3" t="inlineStr">
        <is>
          <t>Core</t>
        </is>
      </c>
      <c r="E179" s="3" t="n">
        <v>1.15</v>
      </c>
      <c r="F179" s="3" t="inlineStr">
        <is>
          <t>CommitmentPace</t>
        </is>
      </c>
      <c r="G179" s="3" t="inlineStr">
        <is>
          <t>IntentAlignment</t>
        </is>
      </c>
      <c r="H179" s="3" t="inlineStr"/>
      <c r="I179" s="3" t="inlineStr">
        <is>
          <t>C</t>
        </is>
      </c>
      <c r="J179" s="3" t="inlineStr">
        <is>
          <t>C</t>
        </is>
      </c>
      <c r="K179" s="3" t="inlineStr">
        <is>
          <t>I act like I'm fine, but I replay everything. I wonder if I was too much or not enough.</t>
        </is>
      </c>
      <c r="L179" s="3" t="n">
        <v>5</v>
      </c>
      <c r="M179" s="3" t="n">
        <v>6</v>
      </c>
      <c r="N179" s="3" t="n">
        <v>2</v>
      </c>
      <c r="O179" s="3" t="n">
        <v>4</v>
      </c>
      <c r="P179" s="3" t="n">
        <v>2</v>
      </c>
      <c r="Q179" s="3" t="inlineStr">
        <is>
          <t>Phantom Seeker</t>
        </is>
      </c>
      <c r="R179" s="3" t="n">
        <v>10</v>
      </c>
      <c r="S179" s="3" t="inlineStr"/>
      <c r="T179" s="3" t="inlineStr"/>
      <c r="U179" s="3" t="n">
        <v>0</v>
      </c>
      <c r="V179" s="3" t="inlineStr">
        <is>
          <t>masc:-0.2;fem:1.5</t>
        </is>
      </c>
      <c r="W179" s="3" t="n">
        <v>-0.2</v>
      </c>
      <c r="X179" s="3" t="n">
        <v>1.5</v>
      </c>
      <c r="Y179" s="3" t="inlineStr">
        <is>
          <t>COMM_Emotional</t>
        </is>
      </c>
      <c r="Z179" s="3" t="inlineStr">
        <is>
          <t>REG_SelfSoother</t>
        </is>
      </c>
      <c r="AA179" s="3" t="inlineStr">
        <is>
          <t>LANG_Touch</t>
        </is>
      </c>
      <c r="AB179" s="3" t="inlineStr">
        <is>
          <t>Vulnerability_Loop</t>
        </is>
      </c>
      <c r="AC179" s="3" t="inlineStr">
        <is>
          <t>Vulnerability_Loop</t>
        </is>
      </c>
      <c r="AD179" s="3" t="inlineStr"/>
      <c r="AE179" s="3" t="n">
        <v>5</v>
      </c>
      <c r="AF179" s="3" t="inlineStr">
        <is>
          <t>internal replay loop</t>
        </is>
      </c>
      <c r="AG179" s="3" t="inlineStr">
        <is>
          <t>self-doubter</t>
        </is>
      </c>
      <c r="AH179" s="3" t="n">
        <v>0</v>
      </c>
      <c r="AI179" s="3" t="inlineStr">
        <is>
          <t>yes</t>
        </is>
      </c>
      <c r="AJ179" s="3" t="inlineStr">
        <is>
          <t>no</t>
        </is>
      </c>
      <c r="AK179" s="3" t="inlineStr">
        <is>
          <t>yes</t>
        </is>
      </c>
      <c r="AL179" s="3" t="inlineStr">
        <is>
          <t>yes</t>
        </is>
      </c>
      <c r="AM179" s="3" t="inlineStr"/>
      <c r="AN179" s="3" t="inlineStr"/>
      <c r="AO179" s="3" t="inlineStr"/>
      <c r="AP179" s="3" t="inlineStr">
        <is>
          <t>v3_2026-03-19</t>
        </is>
      </c>
    </row>
    <row r="180">
      <c r="A180" s="3" t="inlineStr">
        <is>
          <t>Q36_D</t>
        </is>
      </c>
      <c r="B180" s="3" t="n">
        <v>36</v>
      </c>
      <c r="C180" s="3" t="n">
        <v>36</v>
      </c>
      <c r="D180" s="3" t="inlineStr">
        <is>
          <t>Core</t>
        </is>
      </c>
      <c r="E180" s="3" t="n">
        <v>1.15</v>
      </c>
      <c r="F180" s="3" t="inlineStr">
        <is>
          <t>CommitmentPace</t>
        </is>
      </c>
      <c r="G180" s="3" t="inlineStr">
        <is>
          <t>IntentAlignment</t>
        </is>
      </c>
      <c r="H180" s="3" t="inlineStr"/>
      <c r="I180" s="3" t="inlineStr">
        <is>
          <t>D</t>
        </is>
      </c>
      <c r="J180" s="3" t="inlineStr">
        <is>
          <t>D</t>
        </is>
      </c>
      <c r="K180" s="3" t="inlineStr">
        <is>
          <t>I make a joke about it or post something slick. If I'm gonna lose, I'm losing with style</t>
        </is>
      </c>
      <c r="L180" s="3" t="n">
        <v>6</v>
      </c>
      <c r="M180" s="3" t="n">
        <v>7</v>
      </c>
      <c r="N180" s="3" t="n">
        <v>2</v>
      </c>
      <c r="O180" s="3" t="n">
        <v>4</v>
      </c>
      <c r="P180" s="3" t="n">
        <v>2</v>
      </c>
      <c r="Q180" s="3" t="inlineStr">
        <is>
          <t>Performer</t>
        </is>
      </c>
      <c r="R180" s="3" t="n">
        <v>7</v>
      </c>
      <c r="S180" s="3" t="inlineStr"/>
      <c r="T180" s="3" t="inlineStr"/>
      <c r="U180" s="3" t="n">
        <v>0</v>
      </c>
      <c r="V180" s="3" t="inlineStr">
        <is>
          <t>masc:0.3;fem:0.5</t>
        </is>
      </c>
      <c r="W180" s="3" t="n">
        <v>0.3</v>
      </c>
      <c r="X180" s="3" t="n">
        <v>0.5</v>
      </c>
      <c r="Y180" s="3" t="inlineStr">
        <is>
          <t>COMM_Indirect</t>
        </is>
      </c>
      <c r="Z180" s="3" t="inlineStr">
        <is>
          <t>REG_Distractor</t>
        </is>
      </c>
      <c r="AA180" s="3" t="inlineStr">
        <is>
          <t>LANG_Gifts</t>
        </is>
      </c>
      <c r="AB180" s="3" t="inlineStr"/>
      <c r="AC180" s="3" t="inlineStr"/>
      <c r="AD180" s="3" t="inlineStr"/>
      <c r="AE180" s="3" t="n">
        <v>0</v>
      </c>
      <c r="AF180" s="3" t="inlineStr">
        <is>
          <t>deflect with cool</t>
        </is>
      </c>
      <c r="AG180" s="3" t="inlineStr">
        <is>
          <t>image protector</t>
        </is>
      </c>
      <c r="AH180" s="3" t="n">
        <v>0.6</v>
      </c>
      <c r="AI180" s="3" t="inlineStr">
        <is>
          <t>no</t>
        </is>
      </c>
      <c r="AJ180" s="3" t="inlineStr">
        <is>
          <t>no</t>
        </is>
      </c>
      <c r="AK180" s="3" t="inlineStr">
        <is>
          <t>yes</t>
        </is>
      </c>
      <c r="AL180" s="3" t="inlineStr">
        <is>
          <t>yes</t>
        </is>
      </c>
      <c r="AM180" s="3" t="inlineStr"/>
      <c r="AN180" s="3" t="inlineStr"/>
      <c r="AO180" s="3" t="inlineStr"/>
      <c r="AP180" s="3" t="inlineStr">
        <is>
          <t>v3_2026-03-19</t>
        </is>
      </c>
    </row>
    <row r="181">
      <c r="A181" s="3" t="inlineStr">
        <is>
          <t>Q36_E</t>
        </is>
      </c>
      <c r="B181" s="3" t="n">
        <v>36</v>
      </c>
      <c r="C181" s="3" t="n">
        <v>36</v>
      </c>
      <c r="D181" s="3" t="inlineStr">
        <is>
          <t>Core</t>
        </is>
      </c>
      <c r="E181" s="3" t="n">
        <v>1.15</v>
      </c>
      <c r="F181" s="3" t="inlineStr">
        <is>
          <t>CommitmentPace</t>
        </is>
      </c>
      <c r="G181" s="3" t="inlineStr">
        <is>
          <t>IntentAlignment</t>
        </is>
      </c>
      <c r="H181" s="3" t="inlineStr"/>
      <c r="I181" s="3" t="inlineStr">
        <is>
          <t>E</t>
        </is>
      </c>
      <c r="J181" s="3" t="inlineStr">
        <is>
          <t>E</t>
        </is>
      </c>
      <c r="K181" s="3" t="inlineStr">
        <is>
          <t>I convince myself it was never real to begin with. If it was, they wouldn't have left.</t>
        </is>
      </c>
      <c r="L181" s="3" t="n">
        <v>6</v>
      </c>
      <c r="M181" s="3" t="n">
        <v>7</v>
      </c>
      <c r="N181" s="3" t="n">
        <v>4</v>
      </c>
      <c r="O181" s="3" t="n">
        <v>6</v>
      </c>
      <c r="P181" s="3" t="n">
        <v>6</v>
      </c>
      <c r="Q181" s="3" t="inlineStr">
        <is>
          <t>Survivor</t>
        </is>
      </c>
      <c r="R181" s="3" t="n">
        <v>8</v>
      </c>
      <c r="S181" s="3" t="inlineStr"/>
      <c r="T181" s="3" t="inlineStr"/>
      <c r="U181" s="3" t="n">
        <v>0</v>
      </c>
      <c r="V181" s="3" t="inlineStr">
        <is>
          <t>masc:0.3;fem:1.3</t>
        </is>
      </c>
      <c r="W181" s="3" t="n">
        <v>0.3</v>
      </c>
      <c r="X181" s="3" t="n">
        <v>1.3</v>
      </c>
      <c r="Y181" s="3" t="inlineStr">
        <is>
          <t>COMM_Emotional</t>
        </is>
      </c>
      <c r="Z181" s="3" t="inlineStr">
        <is>
          <t>REG_SelfSoother</t>
        </is>
      </c>
      <c r="AA181" s="3" t="inlineStr">
        <is>
          <t>LANG_Service</t>
        </is>
      </c>
      <c r="AB181" s="3" t="inlineStr"/>
      <c r="AC181" s="3" t="inlineStr"/>
      <c r="AD181" s="3" t="inlineStr"/>
      <c r="AE181" s="3" t="n">
        <v>0</v>
      </c>
      <c r="AF181" s="3" t="inlineStr">
        <is>
          <t>protective rewrite</t>
        </is>
      </c>
      <c r="AG181" s="3" t="inlineStr">
        <is>
          <t>narrative reframer</t>
        </is>
      </c>
      <c r="AH181" s="3" t="n">
        <v>0</v>
      </c>
      <c r="AI181" s="3" t="inlineStr">
        <is>
          <t>no</t>
        </is>
      </c>
      <c r="AJ181" s="3" t="inlineStr">
        <is>
          <t>no</t>
        </is>
      </c>
      <c r="AK181" s="3" t="inlineStr">
        <is>
          <t>yes</t>
        </is>
      </c>
      <c r="AL181" s="3" t="inlineStr">
        <is>
          <t>yes</t>
        </is>
      </c>
      <c r="AM181" s="3" t="inlineStr"/>
      <c r="AN181" s="3" t="inlineStr"/>
      <c r="AO181" s="3" t="inlineStr"/>
      <c r="AP181" s="3" t="inlineStr">
        <is>
          <t>v3_2026-03-19</t>
        </is>
      </c>
    </row>
    <row r="182">
      <c r="A182" s="3" t="inlineStr">
        <is>
          <t>Q37_A</t>
        </is>
      </c>
      <c r="B182" s="3" t="n">
        <v>37</v>
      </c>
      <c r="C182" s="3" t="n">
        <v>37</v>
      </c>
      <c r="D182" s="3" t="inlineStr">
        <is>
          <t>Core</t>
        </is>
      </c>
      <c r="E182" s="3" t="n">
        <v>1.2</v>
      </c>
      <c r="F182" s="3" t="inlineStr">
        <is>
          <t>CommitmentPace</t>
        </is>
      </c>
      <c r="G182" s="3" t="inlineStr">
        <is>
          <t>IntentAlignment</t>
        </is>
      </c>
      <c r="H182" s="3" t="inlineStr">
        <is>
          <t>You feel emotionally overloaded-something triggered you, but you don't want to show it. What usually happens next?</t>
        </is>
      </c>
      <c r="I182" s="3" t="inlineStr">
        <is>
          <t>A</t>
        </is>
      </c>
      <c r="J182" s="3" t="inlineStr">
        <is>
          <t>A</t>
        </is>
      </c>
      <c r="K182" s="3" t="inlineStr">
        <is>
          <t>I analyze it in my head, trying to figure out if I even should be this upset. I don't trust my first reaction.</t>
        </is>
      </c>
      <c r="L182" s="3" t="n">
        <v>7</v>
      </c>
      <c r="M182" s="3" t="n">
        <v>8</v>
      </c>
      <c r="N182" s="3" t="n">
        <v>6</v>
      </c>
      <c r="O182" s="3" t="n">
        <v>8</v>
      </c>
      <c r="P182" s="3" t="n">
        <v>6</v>
      </c>
      <c r="Q182" s="3" t="inlineStr">
        <is>
          <t>Analyzer</t>
        </is>
      </c>
      <c r="R182" s="3" t="n">
        <v>2</v>
      </c>
      <c r="S182" s="3" t="inlineStr"/>
      <c r="T182" s="3" t="inlineStr"/>
      <c r="U182" s="3" t="n">
        <v>0</v>
      </c>
      <c r="V182" s="3" t="inlineStr">
        <is>
          <t>masc:1.4;fem:0.1</t>
        </is>
      </c>
      <c r="W182" s="3" t="n">
        <v>1.4</v>
      </c>
      <c r="X182" s="3" t="n">
        <v>0.1</v>
      </c>
      <c r="Y182" s="3" t="inlineStr">
        <is>
          <t>COMM_Logical</t>
        </is>
      </c>
      <c r="Z182" s="3" t="inlineStr">
        <is>
          <t>REG_SelfSoother</t>
        </is>
      </c>
      <c r="AA182" s="3" t="inlineStr">
        <is>
          <t>LANG_Service</t>
        </is>
      </c>
      <c r="AB182" s="3" t="inlineStr"/>
      <c r="AC182" s="3" t="inlineStr"/>
      <c r="AD182" s="3" t="inlineStr"/>
      <c r="AE182" s="3" t="n">
        <v>0</v>
      </c>
      <c r="AF182" s="3" t="inlineStr">
        <is>
          <t>internal emotional filter</t>
        </is>
      </c>
      <c r="AG182" s="3" t="inlineStr">
        <is>
          <t>reaction assessor</t>
        </is>
      </c>
      <c r="AH182" s="3" t="n">
        <v>0</v>
      </c>
      <c r="AI182" s="3" t="inlineStr">
        <is>
          <t>no</t>
        </is>
      </c>
      <c r="AJ182" s="3" t="inlineStr">
        <is>
          <t>no</t>
        </is>
      </c>
      <c r="AK182" s="3" t="inlineStr">
        <is>
          <t>yes</t>
        </is>
      </c>
      <c r="AL182" s="3" t="inlineStr">
        <is>
          <t>yes</t>
        </is>
      </c>
      <c r="AM182" s="3" t="inlineStr"/>
      <c r="AN182" s="3" t="inlineStr"/>
      <c r="AO182" s="3" t="inlineStr"/>
      <c r="AP182" s="3" t="inlineStr">
        <is>
          <t>v3_2026-03-19</t>
        </is>
      </c>
    </row>
    <row r="183">
      <c r="A183" s="3" t="inlineStr">
        <is>
          <t>Q37_B</t>
        </is>
      </c>
      <c r="B183" s="3" t="n">
        <v>37</v>
      </c>
      <c r="C183" s="3" t="n">
        <v>37</v>
      </c>
      <c r="D183" s="3" t="inlineStr">
        <is>
          <t>Core</t>
        </is>
      </c>
      <c r="E183" s="3" t="n">
        <v>1.2</v>
      </c>
      <c r="F183" s="3" t="inlineStr">
        <is>
          <t>CommitmentPace</t>
        </is>
      </c>
      <c r="G183" s="3" t="inlineStr">
        <is>
          <t>IntentAlignment</t>
        </is>
      </c>
      <c r="H183" s="3" t="inlineStr"/>
      <c r="I183" s="3" t="inlineStr">
        <is>
          <t>B</t>
        </is>
      </c>
      <c r="J183" s="3" t="inlineStr">
        <is>
          <t>B</t>
        </is>
      </c>
      <c r="K183" s="3" t="inlineStr">
        <is>
          <t>I shift the conversation fast or start asking questions about them. I'd rather be in control of the vibe than risk them seeing me spiral.</t>
        </is>
      </c>
      <c r="L183" s="3" t="n">
        <v>6</v>
      </c>
      <c r="M183" s="3" t="n">
        <v>7</v>
      </c>
      <c r="N183" s="3" t="n">
        <v>2</v>
      </c>
      <c r="O183" s="3" t="n">
        <v>4</v>
      </c>
      <c r="P183" s="3" t="n">
        <v>0</v>
      </c>
      <c r="Q183" s="3" t="inlineStr">
        <is>
          <t>Performer</t>
        </is>
      </c>
      <c r="R183" s="3" t="n">
        <v>7</v>
      </c>
      <c r="S183" s="3" t="inlineStr"/>
      <c r="T183" s="3" t="inlineStr"/>
      <c r="U183" s="3" t="n">
        <v>0</v>
      </c>
      <c r="V183" s="3" t="inlineStr">
        <is>
          <t>masc:0.3;fem:0.5</t>
        </is>
      </c>
      <c r="W183" s="3" t="n">
        <v>0.3</v>
      </c>
      <c r="X183" s="3" t="n">
        <v>0.5</v>
      </c>
      <c r="Y183" s="3" t="inlineStr">
        <is>
          <t>COMM_Indirect</t>
        </is>
      </c>
      <c r="Z183" s="3" t="inlineStr">
        <is>
          <t>REG_Distractor</t>
        </is>
      </c>
      <c r="AA183" s="3" t="inlineStr">
        <is>
          <t>LANG_Gifts</t>
        </is>
      </c>
      <c r="AB183" s="3" t="inlineStr">
        <is>
          <t>Control_Avoidance</t>
        </is>
      </c>
      <c r="AC183" s="3" t="inlineStr">
        <is>
          <t>Control_Avoidance</t>
        </is>
      </c>
      <c r="AD183" s="3" t="inlineStr"/>
      <c r="AE183" s="3" t="n">
        <v>6</v>
      </c>
      <c r="AF183" s="3" t="inlineStr">
        <is>
          <t>vibe manager reflex</t>
        </is>
      </c>
      <c r="AG183" s="3" t="inlineStr">
        <is>
          <t>tone shifter</t>
        </is>
      </c>
      <c r="AH183" s="3" t="n">
        <v>0</v>
      </c>
      <c r="AI183" s="3" t="inlineStr">
        <is>
          <t>yes</t>
        </is>
      </c>
      <c r="AJ183" s="3" t="inlineStr">
        <is>
          <t>no</t>
        </is>
      </c>
      <c r="AK183" s="3" t="inlineStr">
        <is>
          <t>yes</t>
        </is>
      </c>
      <c r="AL183" s="3" t="inlineStr">
        <is>
          <t>yes</t>
        </is>
      </c>
      <c r="AM183" s="3" t="inlineStr"/>
      <c r="AN183" s="3" t="inlineStr"/>
      <c r="AO183" s="3" t="inlineStr"/>
      <c r="AP183" s="3" t="inlineStr">
        <is>
          <t>v3_2026-03-19</t>
        </is>
      </c>
    </row>
    <row r="184">
      <c r="A184" s="3" t="inlineStr">
        <is>
          <t>Q37_C</t>
        </is>
      </c>
      <c r="B184" s="3" t="n">
        <v>37</v>
      </c>
      <c r="C184" s="3" t="n">
        <v>37</v>
      </c>
      <c r="D184" s="3" t="inlineStr">
        <is>
          <t>Core</t>
        </is>
      </c>
      <c r="E184" s="3" t="n">
        <v>1.2</v>
      </c>
      <c r="F184" s="3" t="inlineStr">
        <is>
          <t>CommitmentPace</t>
        </is>
      </c>
      <c r="G184" s="3" t="inlineStr">
        <is>
          <t>IntentAlignment</t>
        </is>
      </c>
      <c r="H184" s="3" t="inlineStr"/>
      <c r="I184" s="3" t="inlineStr">
        <is>
          <t>C</t>
        </is>
      </c>
      <c r="J184" s="3" t="inlineStr">
        <is>
          <t>C</t>
        </is>
      </c>
      <c r="K184" s="3" t="inlineStr">
        <is>
          <t>I act extra calm or even helpful. I overcorrect so no one sees the mess I'm carrying underneath.</t>
        </is>
      </c>
      <c r="L184" s="3" t="n">
        <v>6</v>
      </c>
      <c r="M184" s="3" t="n">
        <v>7</v>
      </c>
      <c r="N184" s="3" t="n">
        <v>4</v>
      </c>
      <c r="O184" s="3" t="n">
        <v>6</v>
      </c>
      <c r="P184" s="3" t="n">
        <v>4</v>
      </c>
      <c r="Q184" s="3" t="inlineStr">
        <is>
          <t>Fixer</t>
        </is>
      </c>
      <c r="R184" s="3" t="n">
        <v>5</v>
      </c>
      <c r="S184" s="3" t="inlineStr"/>
      <c r="T184" s="3" t="inlineStr"/>
      <c r="U184" s="3" t="n">
        <v>0</v>
      </c>
      <c r="V184" s="3" t="inlineStr">
        <is>
          <t>masc:-0.4;fem:2.0</t>
        </is>
      </c>
      <c r="W184" s="3" t="n">
        <v>-0.4</v>
      </c>
      <c r="X184" s="3" t="n">
        <v>2</v>
      </c>
      <c r="Y184" s="3" t="inlineStr">
        <is>
          <t>COMM_Emotional</t>
        </is>
      </c>
      <c r="Z184" s="3" t="inlineStr">
        <is>
          <t>REG_CoRegulator</t>
        </is>
      </c>
      <c r="AA184" s="3" t="inlineStr">
        <is>
          <t>LANG_Service</t>
        </is>
      </c>
      <c r="AB184" s="3" t="inlineStr">
        <is>
          <t>Vulnerability_Loop</t>
        </is>
      </c>
      <c r="AC184" s="3" t="inlineStr">
        <is>
          <t>Vulnerability_Loop</t>
        </is>
      </c>
      <c r="AD184" s="3" t="inlineStr"/>
      <c r="AE184" s="3" t="n">
        <v>5</v>
      </c>
      <c r="AF184" s="3" t="inlineStr">
        <is>
          <t>composed but cracked</t>
        </is>
      </c>
      <c r="AG184" s="3" t="inlineStr">
        <is>
          <t>appearance keeper</t>
        </is>
      </c>
      <c r="AH184" s="3" t="n">
        <v>0</v>
      </c>
      <c r="AI184" s="3" t="inlineStr">
        <is>
          <t>yes</t>
        </is>
      </c>
      <c r="AJ184" s="3" t="inlineStr">
        <is>
          <t>no</t>
        </is>
      </c>
      <c r="AK184" s="3" t="inlineStr">
        <is>
          <t>yes</t>
        </is>
      </c>
      <c r="AL184" s="3" t="inlineStr">
        <is>
          <t>yes</t>
        </is>
      </c>
      <c r="AM184" s="3" t="inlineStr"/>
      <c r="AN184" s="3" t="inlineStr"/>
      <c r="AO184" s="3" t="inlineStr"/>
      <c r="AP184" s="3" t="inlineStr">
        <is>
          <t>v3_2026-03-19</t>
        </is>
      </c>
    </row>
    <row r="185">
      <c r="A185" s="3" t="inlineStr">
        <is>
          <t>Q37_D</t>
        </is>
      </c>
      <c r="B185" s="3" t="n">
        <v>37</v>
      </c>
      <c r="C185" s="3" t="n">
        <v>37</v>
      </c>
      <c r="D185" s="3" t="inlineStr">
        <is>
          <t>Core</t>
        </is>
      </c>
      <c r="E185" s="3" t="n">
        <v>1.2</v>
      </c>
      <c r="F185" s="3" t="inlineStr">
        <is>
          <t>CommitmentPace</t>
        </is>
      </c>
      <c r="G185" s="3" t="inlineStr">
        <is>
          <t>IntentAlignment</t>
        </is>
      </c>
      <c r="H185" s="3" t="inlineStr"/>
      <c r="I185" s="3" t="inlineStr">
        <is>
          <t>D</t>
        </is>
      </c>
      <c r="J185" s="3" t="inlineStr">
        <is>
          <t>D</t>
        </is>
      </c>
      <c r="K185" s="3" t="inlineStr">
        <is>
          <t>I pretend I'm fine, but inside I'm spiraling. I don't say anything, just shut down and let it fester.</t>
        </is>
      </c>
      <c r="L185" s="3" t="n">
        <v>4</v>
      </c>
      <c r="M185" s="3" t="n">
        <v>5</v>
      </c>
      <c r="N185" s="3" t="n">
        <v>0</v>
      </c>
      <c r="O185" s="3" t="n">
        <v>0</v>
      </c>
      <c r="P185" s="3" t="n">
        <v>0</v>
      </c>
      <c r="Q185" s="3" t="inlineStr">
        <is>
          <t>Phantom Seeker</t>
        </is>
      </c>
      <c r="R185" s="3" t="n">
        <v>10</v>
      </c>
      <c r="S185" s="3" t="inlineStr"/>
      <c r="T185" s="3" t="inlineStr"/>
      <c r="U185" s="3" t="n">
        <v>0</v>
      </c>
      <c r="V185" s="3" t="inlineStr">
        <is>
          <t>masc:-0.2;fem:1.5</t>
        </is>
      </c>
      <c r="W185" s="3" t="n">
        <v>-0.2</v>
      </c>
      <c r="X185" s="3" t="n">
        <v>1.5</v>
      </c>
      <c r="Y185" s="3" t="inlineStr">
        <is>
          <t>COMM_Emotional</t>
        </is>
      </c>
      <c r="Z185" s="3" t="inlineStr">
        <is>
          <t>REG_SelfSoother</t>
        </is>
      </c>
      <c r="AA185" s="3" t="inlineStr">
        <is>
          <t>LANG_Touch</t>
        </is>
      </c>
      <c r="AB185" s="3" t="inlineStr">
        <is>
          <t>Vulnerability_Loop , Pursuer_Distancer</t>
        </is>
      </c>
      <c r="AC185" s="3" t="inlineStr">
        <is>
          <t>Vulnerability_Loop</t>
        </is>
      </c>
      <c r="AD185" s="3" t="inlineStr">
        <is>
          <t>Pursuer_Distancer</t>
        </is>
      </c>
      <c r="AE185" s="3" t="n">
        <v>11</v>
      </c>
      <c r="AF185" s="3" t="inlineStr">
        <is>
          <t>silent sufferer reflex</t>
        </is>
      </c>
      <c r="AG185" s="3" t="inlineStr">
        <is>
          <t>internalizer</t>
        </is>
      </c>
      <c r="AH185" s="3" t="n">
        <v>0.6</v>
      </c>
      <c r="AI185" s="3" t="inlineStr">
        <is>
          <t>yes</t>
        </is>
      </c>
      <c r="AJ185" s="3" t="inlineStr">
        <is>
          <t>no</t>
        </is>
      </c>
      <c r="AK185" s="3" t="inlineStr">
        <is>
          <t>yes</t>
        </is>
      </c>
      <c r="AL185" s="3" t="inlineStr">
        <is>
          <t>yes</t>
        </is>
      </c>
      <c r="AM185" s="3" t="inlineStr"/>
      <c r="AN185" s="3" t="inlineStr"/>
      <c r="AO185" s="3" t="inlineStr"/>
      <c r="AP185" s="3" t="inlineStr">
        <is>
          <t>v3_2026-03-19</t>
        </is>
      </c>
    </row>
    <row r="186">
      <c r="A186" s="3" t="inlineStr">
        <is>
          <t>Q37_E</t>
        </is>
      </c>
      <c r="B186" s="3" t="n">
        <v>37</v>
      </c>
      <c r="C186" s="3" t="n">
        <v>37</v>
      </c>
      <c r="D186" s="3" t="inlineStr">
        <is>
          <t>Core</t>
        </is>
      </c>
      <c r="E186" s="3" t="n">
        <v>1.2</v>
      </c>
      <c r="F186" s="3" t="inlineStr">
        <is>
          <t>CommitmentPace</t>
        </is>
      </c>
      <c r="G186" s="3" t="inlineStr">
        <is>
          <t>IntentAlignment</t>
        </is>
      </c>
      <c r="H186" s="3" t="inlineStr"/>
      <c r="I186" s="3" t="inlineStr">
        <is>
          <t>E</t>
        </is>
      </c>
      <c r="J186" s="3" t="inlineStr">
        <is>
          <t>E</t>
        </is>
      </c>
      <c r="K186" s="3" t="inlineStr">
        <is>
          <t>I go cold. I don't mean to, but I get short or distant until I can reset.</t>
        </is>
      </c>
      <c r="L186" s="3" t="n">
        <v>6</v>
      </c>
      <c r="M186" s="3" t="n">
        <v>7</v>
      </c>
      <c r="N186" s="3" t="n">
        <v>2</v>
      </c>
      <c r="O186" s="3" t="n">
        <v>2</v>
      </c>
      <c r="P186" s="3" t="n">
        <v>0</v>
      </c>
      <c r="Q186" s="3" t="inlineStr">
        <is>
          <t>Icebox</t>
        </is>
      </c>
      <c r="R186" s="3" t="n">
        <v>1</v>
      </c>
      <c r="S186" s="3" t="inlineStr"/>
      <c r="T186" s="3" t="inlineStr"/>
      <c r="U186" s="3" t="n">
        <v>0</v>
      </c>
      <c r="V186" s="3" t="inlineStr">
        <is>
          <t>masc:1.8;fem:-1.6</t>
        </is>
      </c>
      <c r="W186" s="3" t="n">
        <v>1.8</v>
      </c>
      <c r="X186" s="3" t="n">
        <v>-1.6</v>
      </c>
      <c r="Y186" s="3" t="inlineStr">
        <is>
          <t>COMM_Avoidant</t>
        </is>
      </c>
      <c r="Z186" s="3" t="inlineStr">
        <is>
          <t>REG_Suppressor</t>
        </is>
      </c>
      <c r="AA186" s="3" t="inlineStr">
        <is>
          <t>LANG_Time</t>
        </is>
      </c>
      <c r="AB186" s="3" t="inlineStr">
        <is>
          <t>Vulnerability_Loop , Affection_Mismatch</t>
        </is>
      </c>
      <c r="AC186" s="3" t="inlineStr">
        <is>
          <t>Vulnerability_Loop</t>
        </is>
      </c>
      <c r="AD186" s="3" t="inlineStr">
        <is>
          <t>Affection_Mismatch</t>
        </is>
      </c>
      <c r="AE186" s="3" t="n">
        <v>9</v>
      </c>
      <c r="AF186" s="3" t="inlineStr">
        <is>
          <t>emotional lockdown</t>
        </is>
      </c>
      <c r="AG186" s="3" t="inlineStr">
        <is>
          <t>space taker</t>
        </is>
      </c>
      <c r="AH186" s="3" t="n">
        <v>0.6</v>
      </c>
      <c r="AI186" s="3" t="inlineStr">
        <is>
          <t>yes</t>
        </is>
      </c>
      <c r="AJ186" s="3" t="inlineStr">
        <is>
          <t>no</t>
        </is>
      </c>
      <c r="AK186" s="3" t="inlineStr">
        <is>
          <t>yes</t>
        </is>
      </c>
      <c r="AL186" s="3" t="inlineStr">
        <is>
          <t>yes</t>
        </is>
      </c>
      <c r="AM186" s="3" t="inlineStr"/>
      <c r="AN186" s="3" t="inlineStr"/>
      <c r="AO186" s="3" t="inlineStr"/>
      <c r="AP186" s="3" t="inlineStr">
        <is>
          <t>v3_2026-03-19</t>
        </is>
      </c>
    </row>
    <row r="187">
      <c r="A187" s="3" t="inlineStr">
        <is>
          <t>Q38_A</t>
        </is>
      </c>
      <c r="B187" s="3" t="n">
        <v>38</v>
      </c>
      <c r="C187" s="3" t="n">
        <v>38</v>
      </c>
      <c r="D187" s="3" t="inlineStr">
        <is>
          <t>Core</t>
        </is>
      </c>
      <c r="E187" s="3" t="n">
        <v>1.2</v>
      </c>
      <c r="F187" s="3" t="inlineStr">
        <is>
          <t>CommitmentPace</t>
        </is>
      </c>
      <c r="G187" s="3" t="inlineStr">
        <is>
          <t>IntentAlignment</t>
        </is>
      </c>
      <c r="H187" s="3" t="inlineStr">
        <is>
          <t>Someone starts seeing the real you-your fears, flaws, the stuff you don't usually show. What happens next?</t>
        </is>
      </c>
      <c r="I187" s="3" t="inlineStr">
        <is>
          <t>A</t>
        </is>
      </c>
      <c r="J187" s="3" t="inlineStr">
        <is>
          <t>A</t>
        </is>
      </c>
      <c r="K187" s="3" t="inlineStr">
        <is>
          <t>I act normal on the surface, but I start scanning everything they say after that, looking for proof they meant it.</t>
        </is>
      </c>
      <c r="L187" s="3" t="n">
        <v>7</v>
      </c>
      <c r="M187" s="3" t="n">
        <v>8</v>
      </c>
      <c r="N187" s="3" t="n">
        <v>6</v>
      </c>
      <c r="O187" s="3" t="n">
        <v>8</v>
      </c>
      <c r="P187" s="3" t="n">
        <v>6</v>
      </c>
      <c r="Q187" s="3" t="inlineStr">
        <is>
          <t>Analyzer</t>
        </is>
      </c>
      <c r="R187" s="3" t="n">
        <v>2</v>
      </c>
      <c r="S187" s="3" t="inlineStr"/>
      <c r="T187" s="3" t="inlineStr"/>
      <c r="U187" s="3" t="n">
        <v>0</v>
      </c>
      <c r="V187" s="3" t="inlineStr">
        <is>
          <t>masc:1.4;fem:0.1</t>
        </is>
      </c>
      <c r="W187" s="3" t="n">
        <v>1.4</v>
      </c>
      <c r="X187" s="3" t="n">
        <v>0.1</v>
      </c>
      <c r="Y187" s="3" t="inlineStr">
        <is>
          <t>COMM_Logical</t>
        </is>
      </c>
      <c r="Z187" s="3" t="inlineStr">
        <is>
          <t>REG_SelfSoother</t>
        </is>
      </c>
      <c r="AA187" s="3" t="inlineStr">
        <is>
          <t>LANG_Service</t>
        </is>
      </c>
      <c r="AB187" s="3" t="inlineStr"/>
      <c r="AC187" s="3" t="inlineStr"/>
      <c r="AD187" s="3" t="inlineStr"/>
      <c r="AE187" s="3" t="n">
        <v>0</v>
      </c>
      <c r="AF187" s="3" t="inlineStr">
        <is>
          <t>authenticity investigator</t>
        </is>
      </c>
      <c r="AG187" s="3" t="inlineStr">
        <is>
          <t>intent checker</t>
        </is>
      </c>
      <c r="AH187" s="3" t="n">
        <v>0</v>
      </c>
      <c r="AI187" s="3" t="inlineStr">
        <is>
          <t>no</t>
        </is>
      </c>
      <c r="AJ187" s="3" t="inlineStr">
        <is>
          <t>no</t>
        </is>
      </c>
      <c r="AK187" s="3" t="inlineStr">
        <is>
          <t>yes</t>
        </is>
      </c>
      <c r="AL187" s="3" t="inlineStr">
        <is>
          <t>yes</t>
        </is>
      </c>
      <c r="AM187" s="3" t="inlineStr"/>
      <c r="AN187" s="3" t="inlineStr"/>
      <c r="AO187" s="3" t="inlineStr"/>
      <c r="AP187" s="3" t="inlineStr">
        <is>
          <t>v3_2026-03-19</t>
        </is>
      </c>
    </row>
    <row r="188">
      <c r="A188" s="3" t="inlineStr">
        <is>
          <t>Q38_B</t>
        </is>
      </c>
      <c r="B188" s="3" t="n">
        <v>38</v>
      </c>
      <c r="C188" s="3" t="n">
        <v>38</v>
      </c>
      <c r="D188" s="3" t="inlineStr">
        <is>
          <t>Core</t>
        </is>
      </c>
      <c r="E188" s="3" t="n">
        <v>1.2</v>
      </c>
      <c r="F188" s="3" t="inlineStr">
        <is>
          <t>CommitmentPace</t>
        </is>
      </c>
      <c r="G188" s="3" t="inlineStr">
        <is>
          <t>IntentAlignment</t>
        </is>
      </c>
      <c r="H188" s="3" t="inlineStr"/>
      <c r="I188" s="3" t="inlineStr">
        <is>
          <t>B</t>
        </is>
      </c>
      <c r="J188" s="3" t="inlineStr">
        <is>
          <t>B</t>
        </is>
      </c>
      <c r="K188" s="3" t="inlineStr">
        <is>
          <t>I keep it light. They think they're seeing the real me, but I know what I hold back.</t>
        </is>
      </c>
      <c r="L188" s="3" t="n">
        <v>6</v>
      </c>
      <c r="M188" s="3" t="n">
        <v>7</v>
      </c>
      <c r="N188" s="3" t="n">
        <v>4</v>
      </c>
      <c r="O188" s="3" t="n">
        <v>4</v>
      </c>
      <c r="P188" s="3" t="n">
        <v>2</v>
      </c>
      <c r="Q188" s="3" t="inlineStr">
        <is>
          <t>Performer</t>
        </is>
      </c>
      <c r="R188" s="3" t="n">
        <v>7</v>
      </c>
      <c r="S188" s="3" t="inlineStr"/>
      <c r="T188" s="3" t="inlineStr"/>
      <c r="U188" s="3" t="n">
        <v>0</v>
      </c>
      <c r="V188" s="3" t="inlineStr">
        <is>
          <t>masc:0.3;fem:0.5</t>
        </is>
      </c>
      <c r="W188" s="3" t="n">
        <v>0.3</v>
      </c>
      <c r="X188" s="3" t="n">
        <v>0.5</v>
      </c>
      <c r="Y188" s="3" t="inlineStr">
        <is>
          <t>COMM_Indirect</t>
        </is>
      </c>
      <c r="Z188" s="3" t="inlineStr">
        <is>
          <t>REG_Distractor</t>
        </is>
      </c>
      <c r="AA188" s="3" t="inlineStr">
        <is>
          <t>LANG_Gifts</t>
        </is>
      </c>
      <c r="AB188" s="3" t="inlineStr">
        <is>
          <t>Conflict_Flip</t>
        </is>
      </c>
      <c r="AC188" s="3" t="inlineStr">
        <is>
          <t>Conflict_Flip</t>
        </is>
      </c>
      <c r="AD188" s="3" t="inlineStr"/>
      <c r="AE188" s="3" t="n">
        <v>4</v>
      </c>
      <c r="AF188" s="3" t="inlineStr">
        <is>
          <t>strategic revelation</t>
        </is>
      </c>
      <c r="AG188" s="3" t="inlineStr">
        <is>
          <t>controlled sharer</t>
        </is>
      </c>
      <c r="AH188" s="3" t="n">
        <v>0</v>
      </c>
      <c r="AI188" s="3" t="inlineStr">
        <is>
          <t>yes</t>
        </is>
      </c>
      <c r="AJ188" s="3" t="inlineStr">
        <is>
          <t>no</t>
        </is>
      </c>
      <c r="AK188" s="3" t="inlineStr">
        <is>
          <t>yes</t>
        </is>
      </c>
      <c r="AL188" s="3" t="inlineStr">
        <is>
          <t>yes</t>
        </is>
      </c>
      <c r="AM188" s="3" t="inlineStr"/>
      <c r="AN188" s="3" t="inlineStr"/>
      <c r="AO188" s="3" t="inlineStr"/>
      <c r="AP188" s="3" t="inlineStr">
        <is>
          <t>v3_2026-03-19</t>
        </is>
      </c>
    </row>
    <row r="189">
      <c r="A189" s="3" t="inlineStr">
        <is>
          <t>Q38_C</t>
        </is>
      </c>
      <c r="B189" s="3" t="n">
        <v>38</v>
      </c>
      <c r="C189" s="3" t="n">
        <v>38</v>
      </c>
      <c r="D189" s="3" t="inlineStr">
        <is>
          <t>Core</t>
        </is>
      </c>
      <c r="E189" s="3" t="n">
        <v>1.2</v>
      </c>
      <c r="F189" s="3" t="inlineStr">
        <is>
          <t>CommitmentPace</t>
        </is>
      </c>
      <c r="G189" s="3" t="inlineStr">
        <is>
          <t>IntentAlignment</t>
        </is>
      </c>
      <c r="H189" s="3" t="inlineStr"/>
      <c r="I189" s="3" t="inlineStr">
        <is>
          <t>C</t>
        </is>
      </c>
      <c r="J189" s="3" t="inlineStr">
        <is>
          <t>C</t>
        </is>
      </c>
      <c r="K189" s="3" t="inlineStr">
        <is>
          <t>I pull back a little. It's not that I don't want to be seen, it's that I don't trust what they'll do with it.</t>
        </is>
      </c>
      <c r="L189" s="3" t="n">
        <v>7</v>
      </c>
      <c r="M189" s="3" t="n">
        <v>8</v>
      </c>
      <c r="N189" s="3" t="n">
        <v>4</v>
      </c>
      <c r="O189" s="3" t="n">
        <v>4</v>
      </c>
      <c r="P189" s="3" t="n">
        <v>0</v>
      </c>
      <c r="Q189" s="3" t="inlineStr">
        <is>
          <t>Icebox</t>
        </is>
      </c>
      <c r="R189" s="3" t="n">
        <v>1</v>
      </c>
      <c r="S189" s="3" t="inlineStr"/>
      <c r="T189" s="3" t="inlineStr"/>
      <c r="U189" s="3" t="n">
        <v>0</v>
      </c>
      <c r="V189" s="3" t="inlineStr">
        <is>
          <t>masc:1.8;fem:-1.6</t>
        </is>
      </c>
      <c r="W189" s="3" t="n">
        <v>1.8</v>
      </c>
      <c r="X189" s="3" t="n">
        <v>-1.6</v>
      </c>
      <c r="Y189" s="3" t="inlineStr">
        <is>
          <t>COMM_Avoidant</t>
        </is>
      </c>
      <c r="Z189" s="3" t="inlineStr">
        <is>
          <t>REG_Suppressor</t>
        </is>
      </c>
      <c r="AA189" s="3" t="inlineStr">
        <is>
          <t>LANG_Time</t>
        </is>
      </c>
      <c r="AB189" s="3" t="inlineStr"/>
      <c r="AC189" s="3" t="inlineStr"/>
      <c r="AD189" s="3" t="inlineStr"/>
      <c r="AE189" s="3" t="n">
        <v>0</v>
      </c>
      <c r="AF189" s="3" t="inlineStr">
        <is>
          <t>defensive vulnerability delay</t>
        </is>
      </c>
      <c r="AG189" s="3" t="inlineStr">
        <is>
          <t>cautious opener</t>
        </is>
      </c>
      <c r="AH189" s="3" t="n">
        <v>0.6</v>
      </c>
      <c r="AI189" s="3" t="inlineStr">
        <is>
          <t>no</t>
        </is>
      </c>
      <c r="AJ189" s="3" t="inlineStr">
        <is>
          <t>no</t>
        </is>
      </c>
      <c r="AK189" s="3" t="inlineStr">
        <is>
          <t>yes</t>
        </is>
      </c>
      <c r="AL189" s="3" t="inlineStr">
        <is>
          <t>yes</t>
        </is>
      </c>
      <c r="AM189" s="3" t="inlineStr"/>
      <c r="AN189" s="3" t="inlineStr"/>
      <c r="AO189" s="3" t="inlineStr"/>
      <c r="AP189" s="3" t="inlineStr">
        <is>
          <t>v3_2026-03-19</t>
        </is>
      </c>
    </row>
    <row r="190">
      <c r="A190" s="3" t="inlineStr">
        <is>
          <t>Q38_D</t>
        </is>
      </c>
      <c r="B190" s="3" t="n">
        <v>38</v>
      </c>
      <c r="C190" s="3" t="n">
        <v>38</v>
      </c>
      <c r="D190" s="3" t="inlineStr">
        <is>
          <t>Core</t>
        </is>
      </c>
      <c r="E190" s="3" t="n">
        <v>1.2</v>
      </c>
      <c r="F190" s="3" t="inlineStr">
        <is>
          <t>CommitmentPace</t>
        </is>
      </c>
      <c r="G190" s="3" t="inlineStr">
        <is>
          <t>IntentAlignment</t>
        </is>
      </c>
      <c r="H190" s="3" t="inlineStr"/>
      <c r="I190" s="3" t="inlineStr">
        <is>
          <t>D</t>
        </is>
      </c>
      <c r="J190" s="3" t="inlineStr">
        <is>
          <t>D</t>
        </is>
      </c>
      <c r="K190" s="3" t="inlineStr">
        <is>
          <t>I start thinking it's too good to be true. I wonder how long until they get tired of the real me.</t>
        </is>
      </c>
      <c r="L190" s="3" t="n">
        <v>5</v>
      </c>
      <c r="M190" s="3" t="n">
        <v>6</v>
      </c>
      <c r="N190" s="3" t="n">
        <v>2</v>
      </c>
      <c r="O190" s="3" t="n">
        <v>4</v>
      </c>
      <c r="P190" s="3" t="n">
        <v>2</v>
      </c>
      <c r="Q190" s="3" t="inlineStr">
        <is>
          <t>Phantom Seeker</t>
        </is>
      </c>
      <c r="R190" s="3" t="n">
        <v>10</v>
      </c>
      <c r="S190" s="3" t="inlineStr"/>
      <c r="T190" s="3" t="inlineStr"/>
      <c r="U190" s="3" t="n">
        <v>0</v>
      </c>
      <c r="V190" s="3" t="inlineStr">
        <is>
          <t>masc:-0.2;fem:1.5</t>
        </is>
      </c>
      <c r="W190" s="3" t="n">
        <v>-0.2</v>
      </c>
      <c r="X190" s="3" t="n">
        <v>1.5</v>
      </c>
      <c r="Y190" s="3" t="inlineStr">
        <is>
          <t>COMM_Emotional</t>
        </is>
      </c>
      <c r="Z190" s="3" t="inlineStr">
        <is>
          <t>REG_SelfSoother</t>
        </is>
      </c>
      <c r="AA190" s="3" t="inlineStr">
        <is>
          <t>LANG_Touch</t>
        </is>
      </c>
      <c r="AB190" s="3" t="inlineStr">
        <is>
          <t>Vulnerability_Loop</t>
        </is>
      </c>
      <c r="AC190" s="3" t="inlineStr">
        <is>
          <t>Vulnerability_Loop</t>
        </is>
      </c>
      <c r="AD190" s="3" t="inlineStr"/>
      <c r="AE190" s="3" t="n">
        <v>5</v>
      </c>
      <c r="AF190" s="3" t="inlineStr">
        <is>
          <t>impostor attachment</t>
        </is>
      </c>
      <c r="AG190" s="3" t="inlineStr">
        <is>
          <t>doubtful connector</t>
        </is>
      </c>
      <c r="AH190" s="3" t="n">
        <v>0</v>
      </c>
      <c r="AI190" s="3" t="inlineStr">
        <is>
          <t>yes</t>
        </is>
      </c>
      <c r="AJ190" s="3" t="inlineStr">
        <is>
          <t>no</t>
        </is>
      </c>
      <c r="AK190" s="3" t="inlineStr">
        <is>
          <t>yes</t>
        </is>
      </c>
      <c r="AL190" s="3" t="inlineStr">
        <is>
          <t>yes</t>
        </is>
      </c>
      <c r="AM190" s="3" t="inlineStr"/>
      <c r="AN190" s="3" t="inlineStr"/>
      <c r="AO190" s="3" t="inlineStr"/>
      <c r="AP190" s="3" t="inlineStr">
        <is>
          <t>v3_2026-03-19</t>
        </is>
      </c>
    </row>
    <row r="191">
      <c r="A191" s="3" t="inlineStr">
        <is>
          <t>Q38_E</t>
        </is>
      </c>
      <c r="B191" s="3" t="n">
        <v>38</v>
      </c>
      <c r="C191" s="3" t="n">
        <v>38</v>
      </c>
      <c r="D191" s="3" t="inlineStr">
        <is>
          <t>Core</t>
        </is>
      </c>
      <c r="E191" s="3" t="n">
        <v>1.2</v>
      </c>
      <c r="F191" s="3" t="inlineStr">
        <is>
          <t>CommitmentPace</t>
        </is>
      </c>
      <c r="G191" s="3" t="inlineStr">
        <is>
          <t>IntentAlignment</t>
        </is>
      </c>
      <c r="H191" s="3" t="inlineStr"/>
      <c r="I191" s="3" t="inlineStr">
        <is>
          <t>E</t>
        </is>
      </c>
      <c r="J191" s="3" t="inlineStr">
        <is>
          <t>E</t>
        </is>
      </c>
      <c r="K191" s="3" t="inlineStr">
        <is>
          <t>I try to prove I'm worth staying for-get more helpful, more thoughtful, like I need to earn that kind of care.</t>
        </is>
      </c>
      <c r="L191" s="3" t="n">
        <v>5</v>
      </c>
      <c r="M191" s="3" t="n">
        <v>6</v>
      </c>
      <c r="N191" s="3" t="n">
        <v>4</v>
      </c>
      <c r="O191" s="3" t="n">
        <v>4</v>
      </c>
      <c r="P191" s="3" t="n">
        <v>4</v>
      </c>
      <c r="Q191" s="3" t="inlineStr">
        <is>
          <t>Fixer</t>
        </is>
      </c>
      <c r="R191" s="3" t="n">
        <v>5</v>
      </c>
      <c r="S191" s="3" t="inlineStr"/>
      <c r="T191" s="3" t="inlineStr"/>
      <c r="U191" s="3" t="n">
        <v>0</v>
      </c>
      <c r="V191" s="3" t="inlineStr">
        <is>
          <t>masc:-0.4;fem:2.0</t>
        </is>
      </c>
      <c r="W191" s="3" t="n">
        <v>-0.4</v>
      </c>
      <c r="X191" s="3" t="n">
        <v>2</v>
      </c>
      <c r="Y191" s="3" t="inlineStr">
        <is>
          <t>COMM_Emotional</t>
        </is>
      </c>
      <c r="Z191" s="3" t="inlineStr">
        <is>
          <t>REG_CoRegulator</t>
        </is>
      </c>
      <c r="AA191" s="3" t="inlineStr">
        <is>
          <t>LANG_Service</t>
        </is>
      </c>
      <c r="AB191" s="3" t="inlineStr">
        <is>
          <t>Vulnerability_Loop</t>
        </is>
      </c>
      <c r="AC191" s="3" t="inlineStr">
        <is>
          <t>Vulnerability_Loop</t>
        </is>
      </c>
      <c r="AD191" s="3" t="inlineStr"/>
      <c r="AE191" s="3" t="n">
        <v>5</v>
      </c>
      <c r="AF191" s="3" t="inlineStr">
        <is>
          <t>worth-proving reflex</t>
        </is>
      </c>
      <c r="AG191" s="3" t="inlineStr">
        <is>
          <t>service justifier</t>
        </is>
      </c>
      <c r="AH191" s="3" t="n">
        <v>0</v>
      </c>
      <c r="AI191" s="3" t="inlineStr">
        <is>
          <t>yes</t>
        </is>
      </c>
      <c r="AJ191" s="3" t="inlineStr">
        <is>
          <t>no</t>
        </is>
      </c>
      <c r="AK191" s="3" t="inlineStr">
        <is>
          <t>yes</t>
        </is>
      </c>
      <c r="AL191" s="3" t="inlineStr">
        <is>
          <t>yes</t>
        </is>
      </c>
      <c r="AM191" s="3" t="inlineStr"/>
      <c r="AN191" s="3" t="inlineStr"/>
      <c r="AO191" s="3" t="inlineStr"/>
      <c r="AP191" s="3" t="inlineStr">
        <is>
          <t>v3_2026-03-19</t>
        </is>
      </c>
    </row>
    <row r="192">
      <c r="A192" s="3" t="inlineStr">
        <is>
          <t>Q39_A</t>
        </is>
      </c>
      <c r="B192" s="3" t="n">
        <v>39</v>
      </c>
      <c r="C192" s="3" t="n">
        <v>39</v>
      </c>
      <c r="D192" s="3" t="inlineStr">
        <is>
          <t>Core</t>
        </is>
      </c>
      <c r="E192" s="3" t="n">
        <v>1.2</v>
      </c>
      <c r="F192" s="3" t="inlineStr">
        <is>
          <t>CommitmentPace</t>
        </is>
      </c>
      <c r="G192" s="3" t="inlineStr">
        <is>
          <t>IntentAlignment</t>
        </is>
      </c>
      <c r="H192" s="3" t="inlineStr">
        <is>
          <t>Someone you care about starts spiraling emotionally-maybe crying, venting, or breaking down. What's your honest first instinct?</t>
        </is>
      </c>
      <c r="I192" s="3" t="inlineStr">
        <is>
          <t>A</t>
        </is>
      </c>
      <c r="J192" s="3" t="inlineStr">
        <is>
          <t>A</t>
        </is>
      </c>
      <c r="K192" s="3" t="inlineStr">
        <is>
          <t>I freeze a little. I care, but I don't always know what to do when it gets intense.</t>
        </is>
      </c>
      <c r="L192" s="3" t="n">
        <v>6</v>
      </c>
      <c r="M192" s="3" t="n">
        <v>7</v>
      </c>
      <c r="N192" s="3" t="n">
        <v>2</v>
      </c>
      <c r="O192" s="3" t="n">
        <v>2</v>
      </c>
      <c r="P192" s="3" t="n">
        <v>0</v>
      </c>
      <c r="Q192" s="3" t="inlineStr">
        <is>
          <t>Icebox</t>
        </is>
      </c>
      <c r="R192" s="3" t="n">
        <v>1</v>
      </c>
      <c r="S192" s="3" t="inlineStr"/>
      <c r="T192" s="3" t="inlineStr"/>
      <c r="U192" s="3" t="n">
        <v>0</v>
      </c>
      <c r="V192" s="3" t="inlineStr">
        <is>
          <t>masc:1.8;fem:-1.6</t>
        </is>
      </c>
      <c r="W192" s="3" t="n">
        <v>1.8</v>
      </c>
      <c r="X192" s="3" t="n">
        <v>-1.6</v>
      </c>
      <c r="Y192" s="3" t="inlineStr">
        <is>
          <t>COMM_Avoidant</t>
        </is>
      </c>
      <c r="Z192" s="3" t="inlineStr">
        <is>
          <t>REG_Suppressor</t>
        </is>
      </c>
      <c r="AA192" s="3" t="inlineStr">
        <is>
          <t>LANG_Time</t>
        </is>
      </c>
      <c r="AB192" s="3" t="inlineStr">
        <is>
          <t>Vulnerability_Loop</t>
        </is>
      </c>
      <c r="AC192" s="3" t="inlineStr">
        <is>
          <t>Vulnerability_Loop</t>
        </is>
      </c>
      <c r="AD192" s="3" t="inlineStr"/>
      <c r="AE192" s="3" t="n">
        <v>5</v>
      </c>
      <c r="AF192" s="3" t="inlineStr">
        <is>
          <t>empathic freeze response</t>
        </is>
      </c>
      <c r="AG192" s="3" t="inlineStr">
        <is>
          <t>unsure supporter</t>
        </is>
      </c>
      <c r="AH192" s="3" t="n">
        <v>0</v>
      </c>
      <c r="AI192" s="3" t="inlineStr">
        <is>
          <t>yes</t>
        </is>
      </c>
      <c r="AJ192" s="3" t="inlineStr">
        <is>
          <t>no</t>
        </is>
      </c>
      <c r="AK192" s="3" t="inlineStr">
        <is>
          <t>yes</t>
        </is>
      </c>
      <c r="AL192" s="3" t="inlineStr">
        <is>
          <t>yes</t>
        </is>
      </c>
      <c r="AM192" s="3" t="inlineStr"/>
      <c r="AN192" s="3" t="inlineStr"/>
      <c r="AO192" s="3" t="inlineStr"/>
      <c r="AP192" s="3" t="inlineStr">
        <is>
          <t>v3_2026-03-19</t>
        </is>
      </c>
    </row>
    <row r="193">
      <c r="A193" s="3" t="inlineStr">
        <is>
          <t>Q39_B</t>
        </is>
      </c>
      <c r="B193" s="3" t="n">
        <v>39</v>
      </c>
      <c r="C193" s="3" t="n">
        <v>39</v>
      </c>
      <c r="D193" s="3" t="inlineStr">
        <is>
          <t>Core</t>
        </is>
      </c>
      <c r="E193" s="3" t="n">
        <v>1.2</v>
      </c>
      <c r="F193" s="3" t="inlineStr">
        <is>
          <t>CommitmentPace</t>
        </is>
      </c>
      <c r="G193" s="3" t="inlineStr">
        <is>
          <t>IntentAlignment</t>
        </is>
      </c>
      <c r="H193" s="3" t="inlineStr"/>
      <c r="I193" s="3" t="inlineStr">
        <is>
          <t>B</t>
        </is>
      </c>
      <c r="J193" s="3" t="inlineStr">
        <is>
          <t>B</t>
        </is>
      </c>
      <c r="K193" s="3" t="inlineStr">
        <is>
          <t>I jump into soothe mode-even if I'm overwhelmed too. I just want to make it stop for them.</t>
        </is>
      </c>
      <c r="L193" s="3" t="n">
        <v>8</v>
      </c>
      <c r="M193" s="3" t="n">
        <v>9</v>
      </c>
      <c r="N193" s="3" t="n">
        <v>8</v>
      </c>
      <c r="O193" s="3" t="n">
        <v>10</v>
      </c>
      <c r="P193" s="3" t="n">
        <v>8</v>
      </c>
      <c r="Q193" s="3" t="inlineStr">
        <is>
          <t>Fixer</t>
        </is>
      </c>
      <c r="R193" s="3" t="n">
        <v>5</v>
      </c>
      <c r="S193" s="3" t="inlineStr"/>
      <c r="T193" s="3" t="inlineStr"/>
      <c r="U193" s="3" t="n">
        <v>0</v>
      </c>
      <c r="V193" s="3" t="inlineStr">
        <is>
          <t>masc:-0.4;fem:2.0</t>
        </is>
      </c>
      <c r="W193" s="3" t="n">
        <v>-0.4</v>
      </c>
      <c r="X193" s="3" t="n">
        <v>2</v>
      </c>
      <c r="Y193" s="3" t="inlineStr">
        <is>
          <t>COMM_Emotional</t>
        </is>
      </c>
      <c r="Z193" s="3" t="inlineStr">
        <is>
          <t>REG_CoRegulator</t>
        </is>
      </c>
      <c r="AA193" s="3" t="inlineStr">
        <is>
          <t>LANG_Service</t>
        </is>
      </c>
      <c r="AB193" s="3" t="inlineStr"/>
      <c r="AC193" s="3" t="inlineStr"/>
      <c r="AD193" s="3" t="inlineStr"/>
      <c r="AE193" s="3" t="n">
        <v>0</v>
      </c>
      <c r="AF193" s="3" t="inlineStr">
        <is>
          <t>emotional rescue reflex</t>
        </is>
      </c>
      <c r="AG193" s="3" t="inlineStr">
        <is>
          <t>active comforter</t>
        </is>
      </c>
      <c r="AH193" s="3" t="n">
        <v>0</v>
      </c>
      <c r="AI193" s="3" t="inlineStr">
        <is>
          <t>no</t>
        </is>
      </c>
      <c r="AJ193" s="3" t="inlineStr">
        <is>
          <t>no</t>
        </is>
      </c>
      <c r="AK193" s="3" t="inlineStr">
        <is>
          <t>yes</t>
        </is>
      </c>
      <c r="AL193" s="3" t="inlineStr">
        <is>
          <t>yes</t>
        </is>
      </c>
      <c r="AM193" s="3" t="inlineStr"/>
      <c r="AN193" s="3" t="inlineStr"/>
      <c r="AO193" s="3" t="inlineStr"/>
      <c r="AP193" s="3" t="inlineStr">
        <is>
          <t>v3_2026-03-19</t>
        </is>
      </c>
    </row>
    <row r="194">
      <c r="A194" s="3" t="inlineStr">
        <is>
          <t>Q39_C</t>
        </is>
      </c>
      <c r="B194" s="3" t="n">
        <v>39</v>
      </c>
      <c r="C194" s="3" t="n">
        <v>39</v>
      </c>
      <c r="D194" s="3" t="inlineStr">
        <is>
          <t>Core</t>
        </is>
      </c>
      <c r="E194" s="3" t="n">
        <v>1.2</v>
      </c>
      <c r="F194" s="3" t="inlineStr">
        <is>
          <t>CommitmentPace</t>
        </is>
      </c>
      <c r="G194" s="3" t="inlineStr">
        <is>
          <t>IntentAlignment</t>
        </is>
      </c>
      <c r="H194" s="3" t="inlineStr"/>
      <c r="I194" s="3" t="inlineStr">
        <is>
          <t>C</t>
        </is>
      </c>
      <c r="J194" s="3" t="inlineStr">
        <is>
          <t>C</t>
        </is>
      </c>
      <c r="K194" s="3" t="inlineStr">
        <is>
          <t>I try to keep my face calm while scanning for the root of what triggered it. I want to understand more than react.</t>
        </is>
      </c>
      <c r="L194" s="3" t="n">
        <v>8</v>
      </c>
      <c r="M194" s="3" t="n">
        <v>9</v>
      </c>
      <c r="N194" s="3" t="n">
        <v>8</v>
      </c>
      <c r="O194" s="3" t="n">
        <v>8</v>
      </c>
      <c r="P194" s="3" t="n">
        <v>8</v>
      </c>
      <c r="Q194" s="3" t="inlineStr">
        <is>
          <t>Analyzer</t>
        </is>
      </c>
      <c r="R194" s="3" t="n">
        <v>2</v>
      </c>
      <c r="S194" s="3" t="inlineStr"/>
      <c r="T194" s="3" t="inlineStr"/>
      <c r="U194" s="3" t="n">
        <v>0</v>
      </c>
      <c r="V194" s="3" t="inlineStr">
        <is>
          <t>masc:1.4;fem:0.1</t>
        </is>
      </c>
      <c r="W194" s="3" t="n">
        <v>1.4</v>
      </c>
      <c r="X194" s="3" t="n">
        <v>0.1</v>
      </c>
      <c r="Y194" s="3" t="inlineStr">
        <is>
          <t>COMM_Logical</t>
        </is>
      </c>
      <c r="Z194" s="3" t="inlineStr">
        <is>
          <t>REG_SelfSoother</t>
        </is>
      </c>
      <c r="AA194" s="3" t="inlineStr">
        <is>
          <t>LANG_Service</t>
        </is>
      </c>
      <c r="AB194" s="3" t="inlineStr"/>
      <c r="AC194" s="3" t="inlineStr"/>
      <c r="AD194" s="3" t="inlineStr"/>
      <c r="AE194" s="3" t="n">
        <v>0</v>
      </c>
      <c r="AF194" s="3" t="inlineStr">
        <is>
          <t>real-time emotional investigator</t>
        </is>
      </c>
      <c r="AG194" s="3" t="inlineStr">
        <is>
          <t>cause finder</t>
        </is>
      </c>
      <c r="AH194" s="3" t="n">
        <v>0</v>
      </c>
      <c r="AI194" s="3" t="inlineStr">
        <is>
          <t>no</t>
        </is>
      </c>
      <c r="AJ194" s="3" t="inlineStr">
        <is>
          <t>no</t>
        </is>
      </c>
      <c r="AK194" s="3" t="inlineStr">
        <is>
          <t>yes</t>
        </is>
      </c>
      <c r="AL194" s="3" t="inlineStr">
        <is>
          <t>yes</t>
        </is>
      </c>
      <c r="AM194" s="3" t="inlineStr"/>
      <c r="AN194" s="3" t="inlineStr"/>
      <c r="AO194" s="3" t="inlineStr"/>
      <c r="AP194" s="3" t="inlineStr">
        <is>
          <t>v3_2026-03-19</t>
        </is>
      </c>
    </row>
    <row r="195">
      <c r="A195" s="3" t="inlineStr">
        <is>
          <t>Q39_D</t>
        </is>
      </c>
      <c r="B195" s="3" t="n">
        <v>39</v>
      </c>
      <c r="C195" s="3" t="n">
        <v>39</v>
      </c>
      <c r="D195" s="3" t="inlineStr">
        <is>
          <t>Core</t>
        </is>
      </c>
      <c r="E195" s="3" t="n">
        <v>1.2</v>
      </c>
      <c r="F195" s="3" t="inlineStr">
        <is>
          <t>CommitmentPace</t>
        </is>
      </c>
      <c r="G195" s="3" t="inlineStr">
        <is>
          <t>IntentAlignment</t>
        </is>
      </c>
      <c r="H195" s="3" t="inlineStr"/>
      <c r="I195" s="3" t="inlineStr">
        <is>
          <t>D</t>
        </is>
      </c>
      <c r="J195" s="3" t="inlineStr">
        <is>
          <t>D</t>
        </is>
      </c>
      <c r="K195" s="3" t="inlineStr">
        <is>
          <t>I stay with them, but I don't say much. I figure they'll talk when they're ready-I just try to hold space without pressure.</t>
        </is>
      </c>
      <c r="L195" s="3" t="n">
        <v>8</v>
      </c>
      <c r="M195" s="3" t="n">
        <v>9</v>
      </c>
      <c r="N195" s="3" t="n">
        <v>8</v>
      </c>
      <c r="O195" s="3" t="n">
        <v>8</v>
      </c>
      <c r="P195" s="3" t="n">
        <v>8</v>
      </c>
      <c r="Q195" s="3" t="inlineStr">
        <is>
          <t>Survivor</t>
        </is>
      </c>
      <c r="R195" s="3" t="n">
        <v>8</v>
      </c>
      <c r="S195" s="3" t="inlineStr"/>
      <c r="T195" s="3" t="inlineStr"/>
      <c r="U195" s="3" t="n">
        <v>0</v>
      </c>
      <c r="V195" s="3" t="inlineStr">
        <is>
          <t>masc:0.3;fem:1.3</t>
        </is>
      </c>
      <c r="W195" s="3" t="n">
        <v>0.3</v>
      </c>
      <c r="X195" s="3" t="n">
        <v>1.3</v>
      </c>
      <c r="Y195" s="3" t="inlineStr">
        <is>
          <t>COMM_Emotional</t>
        </is>
      </c>
      <c r="Z195" s="3" t="inlineStr">
        <is>
          <t>REG_SelfSoother</t>
        </is>
      </c>
      <c r="AA195" s="3" t="inlineStr">
        <is>
          <t>LANG_Service</t>
        </is>
      </c>
      <c r="AB195" s="3" t="inlineStr"/>
      <c r="AC195" s="3" t="inlineStr"/>
      <c r="AD195" s="3" t="inlineStr"/>
      <c r="AE195" s="3" t="n">
        <v>0</v>
      </c>
      <c r="AF195" s="3" t="inlineStr">
        <is>
          <t>quiet steady presence</t>
        </is>
      </c>
      <c r="AG195" s="3" t="inlineStr">
        <is>
          <t>silent anchor</t>
        </is>
      </c>
      <c r="AH195" s="3" t="n">
        <v>0.6</v>
      </c>
      <c r="AI195" s="3" t="inlineStr">
        <is>
          <t>no</t>
        </is>
      </c>
      <c r="AJ195" s="3" t="inlineStr">
        <is>
          <t>no</t>
        </is>
      </c>
      <c r="AK195" s="3" t="inlineStr">
        <is>
          <t>yes</t>
        </is>
      </c>
      <c r="AL195" s="3" t="inlineStr">
        <is>
          <t>yes</t>
        </is>
      </c>
      <c r="AM195" s="3" t="inlineStr"/>
      <c r="AN195" s="3" t="inlineStr"/>
      <c r="AO195" s="3" t="inlineStr"/>
      <c r="AP195" s="3" t="inlineStr">
        <is>
          <t>v3_2026-03-19</t>
        </is>
      </c>
    </row>
    <row r="196">
      <c r="A196" s="3" t="inlineStr">
        <is>
          <t>Q39_E</t>
        </is>
      </c>
      <c r="B196" s="3" t="n">
        <v>39</v>
      </c>
      <c r="C196" s="3" t="n">
        <v>39</v>
      </c>
      <c r="D196" s="3" t="inlineStr">
        <is>
          <t>Core</t>
        </is>
      </c>
      <c r="E196" s="3" t="n">
        <v>1.2</v>
      </c>
      <c r="F196" s="3" t="inlineStr">
        <is>
          <t>CommitmentPace</t>
        </is>
      </c>
      <c r="G196" s="3" t="inlineStr">
        <is>
          <t>IntentAlignment</t>
        </is>
      </c>
      <c r="H196" s="3" t="inlineStr"/>
      <c r="I196" s="3" t="inlineStr">
        <is>
          <t>E</t>
        </is>
      </c>
      <c r="J196" s="3" t="inlineStr">
        <is>
          <t>E</t>
        </is>
      </c>
      <c r="K196" s="3" t="inlineStr">
        <is>
          <t>I redirect. Ask if they wanna get food or watch something-anything to ground them and shift the energy.</t>
        </is>
      </c>
      <c r="L196" s="3" t="n">
        <v>6</v>
      </c>
      <c r="M196" s="3" t="n">
        <v>7</v>
      </c>
      <c r="N196" s="3" t="n">
        <v>4</v>
      </c>
      <c r="O196" s="3" t="n">
        <v>4</v>
      </c>
      <c r="P196" s="3" t="n">
        <v>2</v>
      </c>
      <c r="Q196" s="3" t="inlineStr">
        <is>
          <t>Performer</t>
        </is>
      </c>
      <c r="R196" s="3" t="n">
        <v>7</v>
      </c>
      <c r="S196" s="3" t="inlineStr"/>
      <c r="T196" s="3" t="inlineStr"/>
      <c r="U196" s="3" t="n">
        <v>0</v>
      </c>
      <c r="V196" s="3" t="inlineStr">
        <is>
          <t>masc:0.3;fem:0.5</t>
        </is>
      </c>
      <c r="W196" s="3" t="n">
        <v>0.3</v>
      </c>
      <c r="X196" s="3" t="n">
        <v>0.5</v>
      </c>
      <c r="Y196" s="3" t="inlineStr">
        <is>
          <t>COMM_Indirect</t>
        </is>
      </c>
      <c r="Z196" s="3" t="inlineStr">
        <is>
          <t>REG_Distractor</t>
        </is>
      </c>
      <c r="AA196" s="3" t="inlineStr">
        <is>
          <t>LANG_Gifts</t>
        </is>
      </c>
      <c r="AB196" s="3" t="inlineStr">
        <is>
          <t>Conflict_Flip</t>
        </is>
      </c>
      <c r="AC196" s="3" t="inlineStr">
        <is>
          <t>Conflict_Flip</t>
        </is>
      </c>
      <c r="AD196" s="3" t="inlineStr"/>
      <c r="AE196" s="3" t="n">
        <v>4</v>
      </c>
      <c r="AF196" s="3" t="inlineStr">
        <is>
          <t>soothing through distraction</t>
        </is>
      </c>
      <c r="AG196" s="3" t="inlineStr">
        <is>
          <t>light energy shifter</t>
        </is>
      </c>
      <c r="AH196" s="3" t="n">
        <v>0</v>
      </c>
      <c r="AI196" s="3" t="inlineStr">
        <is>
          <t>yes</t>
        </is>
      </c>
      <c r="AJ196" s="3" t="inlineStr">
        <is>
          <t>no</t>
        </is>
      </c>
      <c r="AK196" s="3" t="inlineStr">
        <is>
          <t>yes</t>
        </is>
      </c>
      <c r="AL196" s="3" t="inlineStr">
        <is>
          <t>yes</t>
        </is>
      </c>
      <c r="AM196" s="3" t="inlineStr"/>
      <c r="AN196" s="3" t="inlineStr"/>
      <c r="AO196" s="3" t="inlineStr"/>
      <c r="AP196" s="3" t="inlineStr">
        <is>
          <t>v3_2026-03-19</t>
        </is>
      </c>
    </row>
    <row r="197">
      <c r="A197" s="3" t="inlineStr">
        <is>
          <t>Q40_A</t>
        </is>
      </c>
      <c r="B197" s="3" t="n">
        <v>40</v>
      </c>
      <c r="C197" s="3" t="n">
        <v>40</v>
      </c>
      <c r="D197" s="3" t="inlineStr">
        <is>
          <t>Core</t>
        </is>
      </c>
      <c r="E197" s="3" t="n">
        <v>1.2</v>
      </c>
      <c r="F197" s="3" t="inlineStr">
        <is>
          <t>CommitmentPace</t>
        </is>
      </c>
      <c r="G197" s="3" t="inlineStr">
        <is>
          <t>IntentAlignment</t>
        </is>
      </c>
      <c r="H197" s="3" t="inlineStr">
        <is>
          <t>If you're being honest-what's usually the real reason you try to win someone over?</t>
        </is>
      </c>
      <c r="I197" s="3" t="inlineStr">
        <is>
          <t>A</t>
        </is>
      </c>
      <c r="J197" s="3" t="inlineStr">
        <is>
          <t>A</t>
        </is>
      </c>
      <c r="K197" s="3" t="inlineStr">
        <is>
          <t>To prove I'm wanted. If I'm chosen, it means I'm not as forgettable as I feel.</t>
        </is>
      </c>
      <c r="L197" s="3" t="n">
        <v>4</v>
      </c>
      <c r="M197" s="3" t="n">
        <v>5</v>
      </c>
      <c r="N197" s="3" t="n">
        <v>2</v>
      </c>
      <c r="O197" s="3" t="n">
        <v>2</v>
      </c>
      <c r="P197" s="3" t="n">
        <v>0</v>
      </c>
      <c r="Q197" s="3" t="inlineStr">
        <is>
          <t>Phantom Seeker</t>
        </is>
      </c>
      <c r="R197" s="3" t="n">
        <v>10</v>
      </c>
      <c r="S197" s="3" t="inlineStr"/>
      <c r="T197" s="3" t="inlineStr"/>
      <c r="U197" s="3" t="n">
        <v>0</v>
      </c>
      <c r="V197" s="3" t="inlineStr">
        <is>
          <t>masc:-0.2;fem:1.5</t>
        </is>
      </c>
      <c r="W197" s="3" t="n">
        <v>-0.2</v>
      </c>
      <c r="X197" s="3" t="n">
        <v>1.5</v>
      </c>
      <c r="Y197" s="3" t="inlineStr">
        <is>
          <t>COMM_Emotional</t>
        </is>
      </c>
      <c r="Z197" s="3" t="inlineStr">
        <is>
          <t>REG_SelfSoother</t>
        </is>
      </c>
      <c r="AA197" s="3" t="inlineStr">
        <is>
          <t>LANG_Touch</t>
        </is>
      </c>
      <c r="AB197" s="3" t="inlineStr">
        <is>
          <t>Vulnerability_Loop</t>
        </is>
      </c>
      <c r="AC197" s="3" t="inlineStr">
        <is>
          <t>Vulnerability_Loop</t>
        </is>
      </c>
      <c r="AD197" s="3" t="inlineStr"/>
      <c r="AE197" s="3" t="n">
        <v>5</v>
      </c>
      <c r="AF197" s="3" t="inlineStr">
        <is>
          <t>longing for proof</t>
        </is>
      </c>
      <c r="AG197" s="3" t="inlineStr">
        <is>
          <t>validation seeker</t>
        </is>
      </c>
      <c r="AH197" s="3" t="n">
        <v>0</v>
      </c>
      <c r="AI197" s="3" t="inlineStr">
        <is>
          <t>yes</t>
        </is>
      </c>
      <c r="AJ197" s="3" t="inlineStr">
        <is>
          <t>no</t>
        </is>
      </c>
      <c r="AK197" s="3" t="inlineStr">
        <is>
          <t>yes</t>
        </is>
      </c>
      <c r="AL197" s="3" t="inlineStr">
        <is>
          <t>yes</t>
        </is>
      </c>
      <c r="AM197" s="3" t="inlineStr"/>
      <c r="AN197" s="3" t="inlineStr"/>
      <c r="AO197" s="3" t="inlineStr"/>
      <c r="AP197" s="3" t="inlineStr">
        <is>
          <t>v3_2026-03-19</t>
        </is>
      </c>
    </row>
    <row r="198">
      <c r="A198" s="3" t="inlineStr">
        <is>
          <t>Q40_B</t>
        </is>
      </c>
      <c r="B198" s="3" t="n">
        <v>40</v>
      </c>
      <c r="C198" s="3" t="n">
        <v>40</v>
      </c>
      <c r="D198" s="3" t="inlineStr">
        <is>
          <t>Core</t>
        </is>
      </c>
      <c r="E198" s="3" t="n">
        <v>1.2</v>
      </c>
      <c r="F198" s="3" t="inlineStr">
        <is>
          <t>CommitmentPace</t>
        </is>
      </c>
      <c r="G198" s="3" t="inlineStr">
        <is>
          <t>IntentAlignment</t>
        </is>
      </c>
      <c r="H198" s="3" t="inlineStr"/>
      <c r="I198" s="3" t="inlineStr">
        <is>
          <t>B</t>
        </is>
      </c>
      <c r="J198" s="3" t="inlineStr">
        <is>
          <t>B</t>
        </is>
      </c>
      <c r="K198" s="3" t="inlineStr">
        <is>
          <t>To stay in control. If I keep the upper hand, I can leave before I get left.</t>
        </is>
      </c>
      <c r="L198" s="3" t="n">
        <v>6</v>
      </c>
      <c r="M198" s="3" t="n">
        <v>7</v>
      </c>
      <c r="N198" s="3" t="n">
        <v>2</v>
      </c>
      <c r="O198" s="3" t="n">
        <v>2</v>
      </c>
      <c r="P198" s="3" t="n">
        <v>0</v>
      </c>
      <c r="Q198" s="3" t="inlineStr">
        <is>
          <t>Icebox</t>
        </is>
      </c>
      <c r="R198" s="3" t="n">
        <v>1</v>
      </c>
      <c r="S198" s="3" t="inlineStr"/>
      <c r="T198" s="3" t="inlineStr"/>
      <c r="U198" s="3" t="n">
        <v>0</v>
      </c>
      <c r="V198" s="3" t="inlineStr">
        <is>
          <t>masc:1.8;fem:-1.6</t>
        </is>
      </c>
      <c r="W198" s="3" t="n">
        <v>1.8</v>
      </c>
      <c r="X198" s="3" t="n">
        <v>-1.6</v>
      </c>
      <c r="Y198" s="3" t="inlineStr">
        <is>
          <t>COMM_Avoidant</t>
        </is>
      </c>
      <c r="Z198" s="3" t="inlineStr">
        <is>
          <t>REG_Suppressor</t>
        </is>
      </c>
      <c r="AA198" s="3" t="inlineStr">
        <is>
          <t>LANG_Time</t>
        </is>
      </c>
      <c r="AB198" s="3" t="inlineStr">
        <is>
          <t>Control_Avoidance</t>
        </is>
      </c>
      <c r="AC198" s="3" t="inlineStr">
        <is>
          <t>Control_Avoidance</t>
        </is>
      </c>
      <c r="AD198" s="3" t="inlineStr"/>
      <c r="AE198" s="3" t="n">
        <v>6</v>
      </c>
      <c r="AF198" s="3" t="inlineStr">
        <is>
          <t>power preservation pattern</t>
        </is>
      </c>
      <c r="AG198" s="3" t="inlineStr">
        <is>
          <t>emotional guard</t>
        </is>
      </c>
      <c r="AH198" s="3" t="n">
        <v>0</v>
      </c>
      <c r="AI198" s="3" t="inlineStr">
        <is>
          <t>yes</t>
        </is>
      </c>
      <c r="AJ198" s="3" t="inlineStr">
        <is>
          <t>no</t>
        </is>
      </c>
      <c r="AK198" s="3" t="inlineStr">
        <is>
          <t>yes</t>
        </is>
      </c>
      <c r="AL198" s="3" t="inlineStr">
        <is>
          <t>yes</t>
        </is>
      </c>
      <c r="AM198" s="3" t="inlineStr"/>
      <c r="AN198" s="3" t="inlineStr"/>
      <c r="AO198" s="3" t="inlineStr"/>
      <c r="AP198" s="3" t="inlineStr">
        <is>
          <t>v3_2026-03-19</t>
        </is>
      </c>
    </row>
    <row r="199">
      <c r="A199" s="3" t="inlineStr">
        <is>
          <t>Q40_C</t>
        </is>
      </c>
      <c r="B199" s="3" t="n">
        <v>40</v>
      </c>
      <c r="C199" s="3" t="n">
        <v>40</v>
      </c>
      <c r="D199" s="3" t="inlineStr">
        <is>
          <t>Core</t>
        </is>
      </c>
      <c r="E199" s="3" t="n">
        <v>1.2</v>
      </c>
      <c r="F199" s="3" t="inlineStr">
        <is>
          <t>CommitmentPace</t>
        </is>
      </c>
      <c r="G199" s="3" t="inlineStr">
        <is>
          <t>IntentAlignment</t>
        </is>
      </c>
      <c r="H199" s="3" t="inlineStr"/>
      <c r="I199" s="3" t="inlineStr">
        <is>
          <t>C</t>
        </is>
      </c>
      <c r="J199" s="3" t="inlineStr">
        <is>
          <t>C</t>
        </is>
      </c>
      <c r="K199" s="3" t="inlineStr">
        <is>
          <t>To matter. If I'm helpful or healing, it gives me a reason to be kept around.</t>
        </is>
      </c>
      <c r="L199" s="3" t="n">
        <v>8</v>
      </c>
      <c r="M199" s="3" t="n">
        <v>9</v>
      </c>
      <c r="N199" s="3" t="n">
        <v>8</v>
      </c>
      <c r="O199" s="3" t="n">
        <v>10</v>
      </c>
      <c r="P199" s="3" t="n">
        <v>8</v>
      </c>
      <c r="Q199" s="3" t="inlineStr">
        <is>
          <t>Fixer</t>
        </is>
      </c>
      <c r="R199" s="3" t="n">
        <v>5</v>
      </c>
      <c r="S199" s="3" t="inlineStr"/>
      <c r="T199" s="3" t="inlineStr"/>
      <c r="U199" s="3" t="n">
        <v>0</v>
      </c>
      <c r="V199" s="3" t="inlineStr">
        <is>
          <t>masc:-0.4;fem:2.0</t>
        </is>
      </c>
      <c r="W199" s="3" t="n">
        <v>-0.4</v>
      </c>
      <c r="X199" s="3" t="n">
        <v>2</v>
      </c>
      <c r="Y199" s="3" t="inlineStr">
        <is>
          <t>COMM_Emotional</t>
        </is>
      </c>
      <c r="Z199" s="3" t="inlineStr">
        <is>
          <t>REG_CoRegulator</t>
        </is>
      </c>
      <c r="AA199" s="3" t="inlineStr">
        <is>
          <t>LANG_Service</t>
        </is>
      </c>
      <c r="AB199" s="3" t="inlineStr"/>
      <c r="AC199" s="3" t="inlineStr"/>
      <c r="AD199" s="3" t="inlineStr"/>
      <c r="AE199" s="3" t="n">
        <v>0</v>
      </c>
      <c r="AF199" s="3" t="inlineStr">
        <is>
          <t>value-by-function reflex</t>
        </is>
      </c>
      <c r="AG199" s="3" t="inlineStr">
        <is>
          <t>role fulfiller</t>
        </is>
      </c>
      <c r="AH199" s="3" t="n">
        <v>0</v>
      </c>
      <c r="AI199" s="3" t="inlineStr">
        <is>
          <t>no</t>
        </is>
      </c>
      <c r="AJ199" s="3" t="inlineStr">
        <is>
          <t>no</t>
        </is>
      </c>
      <c r="AK199" s="3" t="inlineStr">
        <is>
          <t>yes</t>
        </is>
      </c>
      <c r="AL199" s="3" t="inlineStr">
        <is>
          <t>yes</t>
        </is>
      </c>
      <c r="AM199" s="3" t="inlineStr"/>
      <c r="AN199" s="3" t="inlineStr"/>
      <c r="AO199" s="3" t="inlineStr"/>
      <c r="AP199" s="3" t="inlineStr">
        <is>
          <t>v3_2026-03-19</t>
        </is>
      </c>
    </row>
    <row r="200">
      <c r="A200" s="3" t="inlineStr">
        <is>
          <t>Q40_D</t>
        </is>
      </c>
      <c r="B200" s="3" t="n">
        <v>40</v>
      </c>
      <c r="C200" s="3" t="n">
        <v>40</v>
      </c>
      <c r="D200" s="3" t="inlineStr">
        <is>
          <t>Core</t>
        </is>
      </c>
      <c r="E200" s="3" t="n">
        <v>1.2</v>
      </c>
      <c r="F200" s="3" t="inlineStr">
        <is>
          <t>CommitmentPace</t>
        </is>
      </c>
      <c r="G200" s="3" t="inlineStr">
        <is>
          <t>IntentAlignment</t>
        </is>
      </c>
      <c r="H200" s="3" t="inlineStr"/>
      <c r="I200" s="3" t="inlineStr">
        <is>
          <t>D</t>
        </is>
      </c>
      <c r="J200" s="3" t="inlineStr">
        <is>
          <t>D</t>
        </is>
      </c>
      <c r="K200" s="3" t="inlineStr">
        <is>
          <t>To finally feel safe. If someone sees me fully and stays, that rewrites everything.</t>
        </is>
      </c>
      <c r="L200" s="3" t="n">
        <v>9</v>
      </c>
      <c r="M200" s="3" t="n">
        <v>9</v>
      </c>
      <c r="N200" s="3" t="n">
        <v>8</v>
      </c>
      <c r="O200" s="3" t="n">
        <v>8</v>
      </c>
      <c r="P200" s="3" t="n">
        <v>6</v>
      </c>
      <c r="Q200" s="3" t="inlineStr">
        <is>
          <t>Romantic Idealist</t>
        </is>
      </c>
      <c r="R200" s="3" t="n">
        <v>6</v>
      </c>
      <c r="S200" s="3" t="inlineStr"/>
      <c r="T200" s="3" t="inlineStr"/>
      <c r="U200" s="3" t="n">
        <v>0</v>
      </c>
      <c r="V200" s="3" t="inlineStr">
        <is>
          <t>masc:-0.4;fem:1.5</t>
        </is>
      </c>
      <c r="W200" s="3" t="n">
        <v>-0.4</v>
      </c>
      <c r="X200" s="3" t="n">
        <v>1.5</v>
      </c>
      <c r="Y200" s="3" t="inlineStr">
        <is>
          <t>COMM_Emotional</t>
        </is>
      </c>
      <c r="Z200" s="3" t="inlineStr">
        <is>
          <t>REG_Distractor</t>
        </is>
      </c>
      <c r="AA200" s="3" t="inlineStr">
        <is>
          <t>LANG_Gifts</t>
        </is>
      </c>
      <c r="AB200" s="3" t="inlineStr"/>
      <c r="AC200" s="3" t="inlineStr"/>
      <c r="AD200" s="3" t="inlineStr"/>
      <c r="AE200" s="3" t="n">
        <v>0</v>
      </c>
      <c r="AF200" s="3" t="inlineStr">
        <is>
          <t>redemption arc seeker</t>
        </is>
      </c>
      <c r="AG200" s="3" t="inlineStr">
        <is>
          <t>trust rebuilder</t>
        </is>
      </c>
      <c r="AH200" s="3" t="n">
        <v>0</v>
      </c>
      <c r="AI200" s="3" t="inlineStr">
        <is>
          <t>no</t>
        </is>
      </c>
      <c r="AJ200" s="3" t="inlineStr">
        <is>
          <t>no</t>
        </is>
      </c>
      <c r="AK200" s="3" t="inlineStr">
        <is>
          <t>yes</t>
        </is>
      </c>
      <c r="AL200" s="3" t="inlineStr">
        <is>
          <t>yes</t>
        </is>
      </c>
      <c r="AM200" s="3" t="inlineStr"/>
      <c r="AN200" s="3" t="inlineStr"/>
      <c r="AO200" s="3" t="inlineStr"/>
      <c r="AP200" s="3" t="inlineStr">
        <is>
          <t>v3_2026-03-19</t>
        </is>
      </c>
    </row>
    <row r="201">
      <c r="A201" s="3" t="inlineStr">
        <is>
          <t>Q40_E</t>
        </is>
      </c>
      <c r="B201" s="3" t="n">
        <v>40</v>
      </c>
      <c r="C201" s="3" t="n">
        <v>40</v>
      </c>
      <c r="D201" s="3" t="inlineStr">
        <is>
          <t>Core</t>
        </is>
      </c>
      <c r="E201" s="3" t="n">
        <v>1.2</v>
      </c>
      <c r="F201" s="3" t="inlineStr">
        <is>
          <t>CommitmentPace</t>
        </is>
      </c>
      <c r="G201" s="3" t="inlineStr">
        <is>
          <t>IntentAlignment</t>
        </is>
      </c>
      <c r="H201" s="3" t="inlineStr"/>
      <c r="I201" s="3" t="inlineStr">
        <is>
          <t>E</t>
        </is>
      </c>
      <c r="J201" s="3" t="inlineStr">
        <is>
          <t>E</t>
        </is>
      </c>
      <c r="K201" s="3" t="inlineStr">
        <is>
          <t>To be mirrored. If someone gets me and reflects me back clearly, that's where I feel most alive</t>
        </is>
      </c>
      <c r="L201" s="3" t="n">
        <v>9</v>
      </c>
      <c r="M201" s="3" t="n">
        <v>9</v>
      </c>
      <c r="N201" s="3" t="n">
        <v>10</v>
      </c>
      <c r="O201" s="3" t="n">
        <v>8</v>
      </c>
      <c r="P201" s="3" t="n">
        <v>8</v>
      </c>
      <c r="Q201" s="3" t="inlineStr">
        <is>
          <t>Analyzer</t>
        </is>
      </c>
      <c r="R201" s="3" t="n">
        <v>2</v>
      </c>
      <c r="S201" s="3" t="inlineStr"/>
      <c r="T201" s="3" t="inlineStr"/>
      <c r="U201" s="3" t="n">
        <v>0</v>
      </c>
      <c r="V201" s="3" t="inlineStr">
        <is>
          <t>masc:1.4;fem:0.1</t>
        </is>
      </c>
      <c r="W201" s="3" t="n">
        <v>1.4</v>
      </c>
      <c r="X201" s="3" t="n">
        <v>0.1</v>
      </c>
      <c r="Y201" s="3" t="inlineStr">
        <is>
          <t>COMM_Logical</t>
        </is>
      </c>
      <c r="Z201" s="3" t="inlineStr">
        <is>
          <t>REG_SelfSoother</t>
        </is>
      </c>
      <c r="AA201" s="3" t="inlineStr">
        <is>
          <t>LANG_Service</t>
        </is>
      </c>
      <c r="AB201" s="3" t="inlineStr"/>
      <c r="AC201" s="3" t="inlineStr"/>
      <c r="AD201" s="3" t="inlineStr"/>
      <c r="AE201" s="3" t="n">
        <v>0</v>
      </c>
      <c r="AF201" s="3" t="inlineStr">
        <is>
          <t>emotional validation logic</t>
        </is>
      </c>
      <c r="AG201" s="3" t="inlineStr">
        <is>
          <t>reflective bond seeker</t>
        </is>
      </c>
      <c r="AH201" s="3" t="n">
        <v>0</v>
      </c>
      <c r="AI201" s="3" t="inlineStr">
        <is>
          <t>no</t>
        </is>
      </c>
      <c r="AJ201" s="3" t="inlineStr">
        <is>
          <t>no</t>
        </is>
      </c>
      <c r="AK201" s="3" t="inlineStr">
        <is>
          <t>yes</t>
        </is>
      </c>
      <c r="AL201" s="3" t="inlineStr">
        <is>
          <t>yes</t>
        </is>
      </c>
      <c r="AM201" s="3" t="inlineStr"/>
      <c r="AN201" s="3" t="inlineStr"/>
      <c r="AO201" s="3" t="inlineStr"/>
      <c r="AP201" s="3" t="inlineStr">
        <is>
          <t>v3_2026-03-19</t>
        </is>
      </c>
    </row>
    <row r="202">
      <c r="A202" s="3" t="inlineStr">
        <is>
          <t>Q41_A</t>
        </is>
      </c>
      <c r="B202" s="3" t="n">
        <v>41</v>
      </c>
      <c r="C202" s="3" t="n">
        <v>41</v>
      </c>
      <c r="D202" s="3" t="inlineStr">
        <is>
          <t>Core</t>
        </is>
      </c>
      <c r="E202" s="3" t="n">
        <v>1.3</v>
      </c>
      <c r="F202" s="3" t="inlineStr">
        <is>
          <t>EmotionalNeeds</t>
        </is>
      </c>
      <c r="G202" s="3" t="inlineStr">
        <is>
          <t>IntimacyThreshold</t>
        </is>
      </c>
      <c r="H202" s="3" t="inlineStr">
        <is>
          <t>You say you want connection, but what do you actually chase without realizing it?</t>
        </is>
      </c>
      <c r="I202" s="3" t="inlineStr">
        <is>
          <t>A</t>
        </is>
      </c>
      <c r="J202" s="3" t="inlineStr">
        <is>
          <t>A</t>
        </is>
      </c>
      <c r="K202" s="3" t="inlineStr">
        <is>
          <t>People who feel just out of reach. If it's too easy, I question it.</t>
        </is>
      </c>
      <c r="L202" s="3" t="n">
        <v>5</v>
      </c>
      <c r="M202" s="3" t="n">
        <v>6</v>
      </c>
      <c r="N202" s="3" t="n">
        <v>2</v>
      </c>
      <c r="O202" s="3" t="n">
        <v>4</v>
      </c>
      <c r="P202" s="3" t="n">
        <v>2</v>
      </c>
      <c r="Q202" s="3" t="inlineStr">
        <is>
          <t>Phantom Seeker</t>
        </is>
      </c>
      <c r="R202" s="3" t="n">
        <v>10</v>
      </c>
      <c r="S202" s="3" t="inlineStr"/>
      <c r="T202" s="3" t="inlineStr"/>
      <c r="U202" s="3" t="n">
        <v>0</v>
      </c>
      <c r="V202" s="3" t="inlineStr">
        <is>
          <t>masc:-0.2;fem:1.5</t>
        </is>
      </c>
      <c r="W202" s="3" t="n">
        <v>-0.2</v>
      </c>
      <c r="X202" s="3" t="n">
        <v>1.5</v>
      </c>
      <c r="Y202" s="3" t="inlineStr">
        <is>
          <t>COMM_Emotional</t>
        </is>
      </c>
      <c r="Z202" s="3" t="inlineStr">
        <is>
          <t>REG_SelfSoother</t>
        </is>
      </c>
      <c r="AA202" s="3" t="inlineStr">
        <is>
          <t>LANG_Touch</t>
        </is>
      </c>
      <c r="AB202" s="3" t="inlineStr">
        <is>
          <t>Vulnerability_Loop</t>
        </is>
      </c>
      <c r="AC202" s="3" t="inlineStr">
        <is>
          <t>Vulnerability_Loop</t>
        </is>
      </c>
      <c r="AD202" s="3" t="inlineStr"/>
      <c r="AE202" s="3" t="n">
        <v>5</v>
      </c>
      <c r="AF202" s="3" t="inlineStr">
        <is>
          <t>familiar distance</t>
        </is>
      </c>
      <c r="AG202" s="3" t="inlineStr">
        <is>
          <t>unattainable chaser</t>
        </is>
      </c>
      <c r="AH202" s="3" t="n">
        <v>0</v>
      </c>
      <c r="AI202" s="3" t="inlineStr">
        <is>
          <t>yes</t>
        </is>
      </c>
      <c r="AJ202" s="3" t="inlineStr">
        <is>
          <t>no</t>
        </is>
      </c>
      <c r="AK202" s="3" t="inlineStr">
        <is>
          <t>no</t>
        </is>
      </c>
      <c r="AL202" s="3" t="inlineStr">
        <is>
          <t>no</t>
        </is>
      </c>
      <c r="AM202" s="3" t="inlineStr"/>
      <c r="AN202" s="3" t="inlineStr"/>
      <c r="AO202" s="3" t="inlineStr"/>
      <c r="AP202" s="3" t="inlineStr">
        <is>
          <t>v3_2026-03-19</t>
        </is>
      </c>
    </row>
    <row r="203">
      <c r="A203" s="3" t="inlineStr">
        <is>
          <t>Q41_B</t>
        </is>
      </c>
      <c r="B203" s="3" t="n">
        <v>41</v>
      </c>
      <c r="C203" s="3" t="n">
        <v>41</v>
      </c>
      <c r="D203" s="3" t="inlineStr">
        <is>
          <t>Core</t>
        </is>
      </c>
      <c r="E203" s="3" t="n">
        <v>1.3</v>
      </c>
      <c r="F203" s="3" t="inlineStr">
        <is>
          <t>EmotionalNeeds</t>
        </is>
      </c>
      <c r="G203" s="3" t="inlineStr">
        <is>
          <t>IntimacyThreshold</t>
        </is>
      </c>
      <c r="H203" s="3" t="inlineStr"/>
      <c r="I203" s="3" t="inlineStr">
        <is>
          <t>B</t>
        </is>
      </c>
      <c r="J203" s="3" t="inlineStr">
        <is>
          <t>B</t>
        </is>
      </c>
      <c r="K203" s="3" t="inlineStr">
        <is>
          <t>The ones who don't really need me. If I win them over, it means I'm finally enough.</t>
        </is>
      </c>
      <c r="L203" s="3" t="n">
        <v>6</v>
      </c>
      <c r="M203" s="3" t="n">
        <v>7</v>
      </c>
      <c r="N203" s="3" t="n">
        <v>4</v>
      </c>
      <c r="O203" s="3" t="n">
        <v>6</v>
      </c>
      <c r="P203" s="3" t="n">
        <v>4</v>
      </c>
      <c r="Q203" s="3" t="inlineStr">
        <is>
          <t>Fixer</t>
        </is>
      </c>
      <c r="R203" s="3" t="n">
        <v>5</v>
      </c>
      <c r="S203" s="3" t="inlineStr"/>
      <c r="T203" s="3" t="inlineStr"/>
      <c r="U203" s="3" t="n">
        <v>0</v>
      </c>
      <c r="V203" s="3" t="inlineStr">
        <is>
          <t>masc:-0.4;fem:2.0</t>
        </is>
      </c>
      <c r="W203" s="3" t="n">
        <v>-0.4</v>
      </c>
      <c r="X203" s="3" t="n">
        <v>2</v>
      </c>
      <c r="Y203" s="3" t="inlineStr">
        <is>
          <t>COMM_Emotional</t>
        </is>
      </c>
      <c r="Z203" s="3" t="inlineStr">
        <is>
          <t>REG_CoRegulator</t>
        </is>
      </c>
      <c r="AA203" s="3" t="inlineStr">
        <is>
          <t>LANG_Service</t>
        </is>
      </c>
      <c r="AB203" s="3" t="inlineStr">
        <is>
          <t>Vulnerability_Loop</t>
        </is>
      </c>
      <c r="AC203" s="3" t="inlineStr">
        <is>
          <t>Vulnerability_Loop</t>
        </is>
      </c>
      <c r="AD203" s="3" t="inlineStr"/>
      <c r="AE203" s="3" t="n">
        <v>5</v>
      </c>
      <c r="AF203" s="3" t="inlineStr">
        <is>
          <t>approval through resistance</t>
        </is>
      </c>
      <c r="AG203" s="3" t="inlineStr">
        <is>
          <t>fixer targeter</t>
        </is>
      </c>
      <c r="AH203" s="3" t="n">
        <v>0</v>
      </c>
      <c r="AI203" s="3" t="inlineStr">
        <is>
          <t>yes</t>
        </is>
      </c>
      <c r="AJ203" s="3" t="inlineStr">
        <is>
          <t>no</t>
        </is>
      </c>
      <c r="AK203" s="3" t="inlineStr">
        <is>
          <t>no</t>
        </is>
      </c>
      <c r="AL203" s="3" t="inlineStr">
        <is>
          <t>no</t>
        </is>
      </c>
      <c r="AM203" s="3" t="inlineStr"/>
      <c r="AN203" s="3" t="inlineStr"/>
      <c r="AO203" s="3" t="inlineStr"/>
      <c r="AP203" s="3" t="inlineStr">
        <is>
          <t>v3_2026-03-19</t>
        </is>
      </c>
    </row>
    <row r="204">
      <c r="A204" s="3" t="inlineStr">
        <is>
          <t>Q41_C</t>
        </is>
      </c>
      <c r="B204" s="3" t="n">
        <v>41</v>
      </c>
      <c r="C204" s="3" t="n">
        <v>41</v>
      </c>
      <c r="D204" s="3" t="inlineStr">
        <is>
          <t>Core</t>
        </is>
      </c>
      <c r="E204" s="3" t="n">
        <v>1.3</v>
      </c>
      <c r="F204" s="3" t="inlineStr">
        <is>
          <t>EmotionalNeeds</t>
        </is>
      </c>
      <c r="G204" s="3" t="inlineStr">
        <is>
          <t>IntimacyThreshold</t>
        </is>
      </c>
      <c r="H204" s="3" t="inlineStr"/>
      <c r="I204" s="3" t="inlineStr">
        <is>
          <t>C</t>
        </is>
      </c>
      <c r="J204" s="3" t="inlineStr">
        <is>
          <t>C</t>
        </is>
      </c>
      <c r="K204" s="3" t="inlineStr">
        <is>
          <t>People who match my energy but not my depth. It lets me stay in control.</t>
        </is>
      </c>
      <c r="L204" s="3" t="n">
        <v>5</v>
      </c>
      <c r="M204" s="3" t="n">
        <v>6</v>
      </c>
      <c r="N204" s="3" t="n">
        <v>2</v>
      </c>
      <c r="O204" s="3" t="n">
        <v>2</v>
      </c>
      <c r="P204" s="3" t="n">
        <v>0</v>
      </c>
      <c r="Q204" s="3" t="inlineStr">
        <is>
          <t>Performer</t>
        </is>
      </c>
      <c r="R204" s="3" t="n">
        <v>7</v>
      </c>
      <c r="S204" s="3" t="inlineStr"/>
      <c r="T204" s="3" t="inlineStr"/>
      <c r="U204" s="3" t="n">
        <v>0</v>
      </c>
      <c r="V204" s="3" t="inlineStr">
        <is>
          <t>masc:0.3;fem:0.5</t>
        </is>
      </c>
      <c r="W204" s="3" t="n">
        <v>0.3</v>
      </c>
      <c r="X204" s="3" t="n">
        <v>0.5</v>
      </c>
      <c r="Y204" s="3" t="inlineStr">
        <is>
          <t>COMM_Indirect</t>
        </is>
      </c>
      <c r="Z204" s="3" t="inlineStr">
        <is>
          <t>REG_Distractor</t>
        </is>
      </c>
      <c r="AA204" s="3" t="inlineStr">
        <is>
          <t>LANG_Gifts</t>
        </is>
      </c>
      <c r="AB204" s="3" t="inlineStr">
        <is>
          <t>Control_Avoidance</t>
        </is>
      </c>
      <c r="AC204" s="3" t="inlineStr">
        <is>
          <t>Control_Avoidance</t>
        </is>
      </c>
      <c r="AD204" s="3" t="inlineStr"/>
      <c r="AE204" s="3" t="n">
        <v>6</v>
      </c>
      <c r="AF204" s="3" t="inlineStr">
        <is>
          <t>surface compatibility loop</t>
        </is>
      </c>
      <c r="AG204" s="3" t="inlineStr">
        <is>
          <t>vibe manager</t>
        </is>
      </c>
      <c r="AH204" s="3" t="n">
        <v>0</v>
      </c>
      <c r="AI204" s="3" t="inlineStr">
        <is>
          <t>yes</t>
        </is>
      </c>
      <c r="AJ204" s="3" t="inlineStr">
        <is>
          <t>no</t>
        </is>
      </c>
      <c r="AK204" s="3" t="inlineStr">
        <is>
          <t>no</t>
        </is>
      </c>
      <c r="AL204" s="3" t="inlineStr">
        <is>
          <t>no</t>
        </is>
      </c>
      <c r="AM204" s="3" t="inlineStr"/>
      <c r="AN204" s="3" t="inlineStr"/>
      <c r="AO204" s="3" t="inlineStr"/>
      <c r="AP204" s="3" t="inlineStr">
        <is>
          <t>v3_2026-03-19</t>
        </is>
      </c>
    </row>
    <row r="205">
      <c r="A205" s="3" t="inlineStr">
        <is>
          <t>Q41_D</t>
        </is>
      </c>
      <c r="B205" s="3" t="n">
        <v>41</v>
      </c>
      <c r="C205" s="3" t="n">
        <v>41</v>
      </c>
      <c r="D205" s="3" t="inlineStr">
        <is>
          <t>Core</t>
        </is>
      </c>
      <c r="E205" s="3" t="n">
        <v>1.3</v>
      </c>
      <c r="F205" s="3" t="inlineStr">
        <is>
          <t>EmotionalNeeds</t>
        </is>
      </c>
      <c r="G205" s="3" t="inlineStr">
        <is>
          <t>IntimacyThreshold</t>
        </is>
      </c>
      <c r="H205" s="3" t="inlineStr"/>
      <c r="I205" s="3" t="inlineStr">
        <is>
          <t>D</t>
        </is>
      </c>
      <c r="J205" s="3" t="inlineStr">
        <is>
          <t>D</t>
        </is>
      </c>
      <c r="K205" s="3" t="inlineStr">
        <is>
          <t>Intellectual equals. If they can't meet me mentally, I lose interest, fast.</t>
        </is>
      </c>
      <c r="L205" s="3" t="n">
        <v>9</v>
      </c>
      <c r="M205" s="3" t="n">
        <v>9</v>
      </c>
      <c r="N205" s="3" t="n">
        <v>10</v>
      </c>
      <c r="O205" s="3" t="n">
        <v>8</v>
      </c>
      <c r="P205" s="3" t="n">
        <v>8</v>
      </c>
      <c r="Q205" s="3" t="inlineStr">
        <is>
          <t>Analyzer</t>
        </is>
      </c>
      <c r="R205" s="3" t="n">
        <v>2</v>
      </c>
      <c r="S205" s="3" t="inlineStr"/>
      <c r="T205" s="3" t="inlineStr"/>
      <c r="U205" s="3" t="n">
        <v>0</v>
      </c>
      <c r="V205" s="3" t="inlineStr">
        <is>
          <t>masc:1.4;fem:0.1</t>
        </is>
      </c>
      <c r="W205" s="3" t="n">
        <v>1.4</v>
      </c>
      <c r="X205" s="3" t="n">
        <v>0.1</v>
      </c>
      <c r="Y205" s="3" t="inlineStr">
        <is>
          <t>COMM_Logical</t>
        </is>
      </c>
      <c r="Z205" s="3" t="inlineStr">
        <is>
          <t>REG_SelfSoother</t>
        </is>
      </c>
      <c r="AA205" s="3" t="inlineStr">
        <is>
          <t>LANG_Service</t>
        </is>
      </c>
      <c r="AB205" s="3" t="inlineStr"/>
      <c r="AC205" s="3" t="inlineStr"/>
      <c r="AD205" s="3" t="inlineStr"/>
      <c r="AE205" s="3" t="n">
        <v>0</v>
      </c>
      <c r="AF205" s="3" t="inlineStr">
        <is>
          <t>mind-first filtering</t>
        </is>
      </c>
      <c r="AG205" s="3" t="inlineStr">
        <is>
          <t>cerebral matcher</t>
        </is>
      </c>
      <c r="AH205" s="3" t="n">
        <v>0</v>
      </c>
      <c r="AI205" s="3" t="inlineStr">
        <is>
          <t>no</t>
        </is>
      </c>
      <c r="AJ205" s="3" t="inlineStr">
        <is>
          <t>no</t>
        </is>
      </c>
      <c r="AK205" s="3" t="inlineStr">
        <is>
          <t>no</t>
        </is>
      </c>
      <c r="AL205" s="3" t="inlineStr">
        <is>
          <t>no</t>
        </is>
      </c>
      <c r="AM205" s="3" t="inlineStr"/>
      <c r="AN205" s="3" t="inlineStr"/>
      <c r="AO205" s="3" t="inlineStr"/>
      <c r="AP205" s="3" t="inlineStr">
        <is>
          <t>v3_2026-03-19</t>
        </is>
      </c>
    </row>
    <row r="206">
      <c r="A206" s="3" t="inlineStr">
        <is>
          <t>Q41_E</t>
        </is>
      </c>
      <c r="B206" s="3" t="n">
        <v>41</v>
      </c>
      <c r="C206" s="3" t="n">
        <v>41</v>
      </c>
      <c r="D206" s="3" t="inlineStr">
        <is>
          <t>Core</t>
        </is>
      </c>
      <c r="E206" s="3" t="n">
        <v>1.3</v>
      </c>
      <c r="F206" s="3" t="inlineStr">
        <is>
          <t>EmotionalNeeds</t>
        </is>
      </c>
      <c r="G206" s="3" t="inlineStr">
        <is>
          <t>IntimacyThreshold</t>
        </is>
      </c>
      <c r="H206" s="3" t="inlineStr"/>
      <c r="I206" s="3" t="inlineStr">
        <is>
          <t>E</t>
        </is>
      </c>
      <c r="J206" s="3" t="inlineStr">
        <is>
          <t>E</t>
        </is>
      </c>
      <c r="K206" s="3" t="inlineStr">
        <is>
          <t>Safe people I don't fully open up to. That way, if they leave, they never really had me.</t>
        </is>
      </c>
      <c r="L206" s="3" t="n">
        <v>8</v>
      </c>
      <c r="M206" s="3" t="n">
        <v>8</v>
      </c>
      <c r="N206" s="3" t="n">
        <v>4</v>
      </c>
      <c r="O206" s="3" t="n">
        <v>4</v>
      </c>
      <c r="P206" s="3" t="n">
        <v>2</v>
      </c>
      <c r="Q206" s="3" t="inlineStr">
        <is>
          <t>Icebox</t>
        </is>
      </c>
      <c r="R206" s="3" t="n">
        <v>1</v>
      </c>
      <c r="S206" s="3" t="inlineStr"/>
      <c r="T206" s="3" t="inlineStr"/>
      <c r="U206" s="3" t="n">
        <v>0</v>
      </c>
      <c r="V206" s="3" t="inlineStr">
        <is>
          <t>masc:1.8;fem:-1.6</t>
        </is>
      </c>
      <c r="W206" s="3" t="n">
        <v>1.8</v>
      </c>
      <c r="X206" s="3" t="n">
        <v>-1.6</v>
      </c>
      <c r="Y206" s="3" t="inlineStr">
        <is>
          <t>COMM_Avoidant</t>
        </is>
      </c>
      <c r="Z206" s="3" t="inlineStr">
        <is>
          <t>REG_Suppressor</t>
        </is>
      </c>
      <c r="AA206" s="3" t="inlineStr">
        <is>
          <t>LANG_Time</t>
        </is>
      </c>
      <c r="AB206" s="3" t="inlineStr"/>
      <c r="AC206" s="3" t="inlineStr"/>
      <c r="AD206" s="3" t="inlineStr"/>
      <c r="AE206" s="3" t="n">
        <v>0</v>
      </c>
      <c r="AF206" s="3" t="inlineStr">
        <is>
          <t>emotional exit strategy</t>
        </is>
      </c>
      <c r="AG206" s="3" t="inlineStr">
        <is>
          <t>risk avoider</t>
        </is>
      </c>
      <c r="AH206" s="3" t="n">
        <v>0.2</v>
      </c>
      <c r="AI206" s="3" t="inlineStr">
        <is>
          <t>no</t>
        </is>
      </c>
      <c r="AJ206" s="3" t="inlineStr">
        <is>
          <t>no</t>
        </is>
      </c>
      <c r="AK206" s="3" t="inlineStr">
        <is>
          <t>no</t>
        </is>
      </c>
      <c r="AL206" s="3" t="inlineStr">
        <is>
          <t>no</t>
        </is>
      </c>
      <c r="AM206" s="3" t="inlineStr"/>
      <c r="AN206" s="3" t="inlineStr"/>
      <c r="AO206" s="3" t="inlineStr"/>
      <c r="AP206" s="3" t="inlineStr">
        <is>
          <t>v3_2026-03-19</t>
        </is>
      </c>
    </row>
    <row r="207">
      <c r="A207" s="3" t="inlineStr">
        <is>
          <t>Q42_A</t>
        </is>
      </c>
      <c r="B207" s="3" t="n">
        <v>42</v>
      </c>
      <c r="C207" s="3" t="n">
        <v>42</v>
      </c>
      <c r="D207" s="3" t="inlineStr">
        <is>
          <t>Core</t>
        </is>
      </c>
      <c r="E207" s="3" t="n">
        <v>1.3</v>
      </c>
      <c r="F207" s="3" t="inlineStr">
        <is>
          <t>EmotionalNeeds</t>
        </is>
      </c>
      <c r="G207" s="3" t="inlineStr">
        <is>
          <t>IntimacyThreshold</t>
        </is>
      </c>
      <c r="H207" s="3" t="inlineStr">
        <is>
          <t>What part of your personality do you secretly think makes you harder to love?</t>
        </is>
      </c>
      <c r="I207" s="3" t="inlineStr">
        <is>
          <t>A</t>
        </is>
      </c>
      <c r="J207" s="3" t="inlineStr">
        <is>
          <t>A</t>
        </is>
      </c>
      <c r="K207" s="3" t="inlineStr">
        <is>
          <t>I don't let people in all the way. Even when I care, I keep a part of me tucked away.</t>
        </is>
      </c>
      <c r="L207" s="3" t="n">
        <v>7</v>
      </c>
      <c r="M207" s="3" t="n">
        <v>8</v>
      </c>
      <c r="N207" s="3" t="n">
        <v>4</v>
      </c>
      <c r="O207" s="3" t="n">
        <v>4</v>
      </c>
      <c r="P207" s="3" t="n">
        <v>0</v>
      </c>
      <c r="Q207" s="3" t="inlineStr">
        <is>
          <t>Icebox</t>
        </is>
      </c>
      <c r="R207" s="3" t="n">
        <v>1</v>
      </c>
      <c r="S207" s="3" t="inlineStr"/>
      <c r="T207" s="3" t="inlineStr"/>
      <c r="U207" s="3" t="n">
        <v>0</v>
      </c>
      <c r="V207" s="3" t="inlineStr">
        <is>
          <t>masc:1.8;fem:-1.6</t>
        </is>
      </c>
      <c r="W207" s="3" t="n">
        <v>1.8</v>
      </c>
      <c r="X207" s="3" t="n">
        <v>-1.6</v>
      </c>
      <c r="Y207" s="3" t="inlineStr">
        <is>
          <t>COMM_Avoidant</t>
        </is>
      </c>
      <c r="Z207" s="3" t="inlineStr">
        <is>
          <t>REG_Suppressor</t>
        </is>
      </c>
      <c r="AA207" s="3" t="inlineStr">
        <is>
          <t>LANG_Time</t>
        </is>
      </c>
      <c r="AB207" s="3" t="inlineStr"/>
      <c r="AC207" s="3" t="inlineStr"/>
      <c r="AD207" s="3" t="inlineStr"/>
      <c r="AE207" s="3" t="n">
        <v>0</v>
      </c>
      <c r="AF207" s="3" t="inlineStr">
        <is>
          <t>controlled vulnerability</t>
        </is>
      </c>
      <c r="AG207" s="3" t="inlineStr">
        <is>
          <t>emotional protector</t>
        </is>
      </c>
      <c r="AH207" s="3" t="n">
        <v>0</v>
      </c>
      <c r="AI207" s="3" t="inlineStr">
        <is>
          <t>no</t>
        </is>
      </c>
      <c r="AJ207" s="3" t="inlineStr">
        <is>
          <t>no</t>
        </is>
      </c>
      <c r="AK207" s="3" t="inlineStr">
        <is>
          <t>no</t>
        </is>
      </c>
      <c r="AL207" s="3" t="inlineStr">
        <is>
          <t>no</t>
        </is>
      </c>
      <c r="AM207" s="3" t="inlineStr"/>
      <c r="AN207" s="3" t="inlineStr"/>
      <c r="AO207" s="3" t="inlineStr"/>
      <c r="AP207" s="3" t="inlineStr">
        <is>
          <t>v3_2026-03-19</t>
        </is>
      </c>
    </row>
    <row r="208">
      <c r="A208" s="3" t="inlineStr">
        <is>
          <t>Q42_B</t>
        </is>
      </c>
      <c r="B208" s="3" t="n">
        <v>42</v>
      </c>
      <c r="C208" s="3" t="n">
        <v>42</v>
      </c>
      <c r="D208" s="3" t="inlineStr">
        <is>
          <t>Core</t>
        </is>
      </c>
      <c r="E208" s="3" t="n">
        <v>1.3</v>
      </c>
      <c r="F208" s="3" t="inlineStr">
        <is>
          <t>EmotionalNeeds</t>
        </is>
      </c>
      <c r="G208" s="3" t="inlineStr">
        <is>
          <t>IntimacyThreshold</t>
        </is>
      </c>
      <c r="H208" s="3" t="inlineStr"/>
      <c r="I208" s="3" t="inlineStr">
        <is>
          <t>B</t>
        </is>
      </c>
      <c r="J208" s="3" t="inlineStr">
        <is>
          <t>B</t>
        </is>
      </c>
      <c r="K208" s="3" t="inlineStr">
        <is>
          <t>I overthink everything. Even when things are good, my mind finds the cracks.</t>
        </is>
      </c>
      <c r="L208" s="3" t="n">
        <v>6</v>
      </c>
      <c r="M208" s="3" t="n">
        <v>7</v>
      </c>
      <c r="N208" s="3" t="n">
        <v>4</v>
      </c>
      <c r="O208" s="3" t="n">
        <v>6</v>
      </c>
      <c r="P208" s="3" t="n">
        <v>4</v>
      </c>
      <c r="Q208" s="3" t="inlineStr">
        <is>
          <t>Analyzer</t>
        </is>
      </c>
      <c r="R208" s="3" t="n">
        <v>2</v>
      </c>
      <c r="S208" s="3" t="inlineStr"/>
      <c r="T208" s="3" t="inlineStr"/>
      <c r="U208" s="3" t="n">
        <v>0</v>
      </c>
      <c r="V208" s="3" t="inlineStr">
        <is>
          <t>masc:1.4;fem:0.1</t>
        </is>
      </c>
      <c r="W208" s="3" t="n">
        <v>1.4</v>
      </c>
      <c r="X208" s="3" t="n">
        <v>0.1</v>
      </c>
      <c r="Y208" s="3" t="inlineStr">
        <is>
          <t>COMM_Logical</t>
        </is>
      </c>
      <c r="Z208" s="3" t="inlineStr">
        <is>
          <t>REG_SelfSoother</t>
        </is>
      </c>
      <c r="AA208" s="3" t="inlineStr">
        <is>
          <t>LANG_Service</t>
        </is>
      </c>
      <c r="AB208" s="3" t="inlineStr">
        <is>
          <t>Vulnerability_Loop</t>
        </is>
      </c>
      <c r="AC208" s="3" t="inlineStr">
        <is>
          <t>Vulnerability_Loop</t>
        </is>
      </c>
      <c r="AD208" s="3" t="inlineStr"/>
      <c r="AE208" s="3" t="n">
        <v>5</v>
      </c>
      <c r="AF208" s="3" t="inlineStr">
        <is>
          <t>hyper-awareness loop</t>
        </is>
      </c>
      <c r="AG208" s="3" t="inlineStr">
        <is>
          <t>doubt scanner</t>
        </is>
      </c>
      <c r="AH208" s="3" t="n">
        <v>0</v>
      </c>
      <c r="AI208" s="3" t="inlineStr">
        <is>
          <t>yes</t>
        </is>
      </c>
      <c r="AJ208" s="3" t="inlineStr">
        <is>
          <t>no</t>
        </is>
      </c>
      <c r="AK208" s="3" t="inlineStr">
        <is>
          <t>no</t>
        </is>
      </c>
      <c r="AL208" s="3" t="inlineStr">
        <is>
          <t>no</t>
        </is>
      </c>
      <c r="AM208" s="3" t="inlineStr"/>
      <c r="AN208" s="3" t="inlineStr"/>
      <c r="AO208" s="3" t="inlineStr"/>
      <c r="AP208" s="3" t="inlineStr">
        <is>
          <t>v3_2026-03-19</t>
        </is>
      </c>
    </row>
    <row r="209">
      <c r="A209" s="3" t="inlineStr">
        <is>
          <t>Q42_C</t>
        </is>
      </c>
      <c r="B209" s="3" t="n">
        <v>42</v>
      </c>
      <c r="C209" s="3" t="n">
        <v>42</v>
      </c>
      <c r="D209" s="3" t="inlineStr">
        <is>
          <t>Core</t>
        </is>
      </c>
      <c r="E209" s="3" t="n">
        <v>1.3</v>
      </c>
      <c r="F209" s="3" t="inlineStr">
        <is>
          <t>EmotionalNeeds</t>
        </is>
      </c>
      <c r="G209" s="3" t="inlineStr">
        <is>
          <t>IntimacyThreshold</t>
        </is>
      </c>
      <c r="H209" s="3" t="inlineStr"/>
      <c r="I209" s="3" t="inlineStr">
        <is>
          <t>C</t>
        </is>
      </c>
      <c r="J209" s="3" t="inlineStr">
        <is>
          <t>C</t>
        </is>
      </c>
      <c r="K209" s="3" t="inlineStr">
        <is>
          <t>I give too much. I show up too hard, too fast, and it never feels like it's enough.</t>
        </is>
      </c>
      <c r="L209" s="3" t="n">
        <v>6</v>
      </c>
      <c r="M209" s="3" t="n">
        <v>7</v>
      </c>
      <c r="N209" s="3" t="n">
        <v>4</v>
      </c>
      <c r="O209" s="3" t="n">
        <v>6</v>
      </c>
      <c r="P209" s="3" t="n">
        <v>4</v>
      </c>
      <c r="Q209" s="3" t="inlineStr">
        <is>
          <t>Fixer</t>
        </is>
      </c>
      <c r="R209" s="3" t="n">
        <v>5</v>
      </c>
      <c r="S209" s="3" t="inlineStr"/>
      <c r="T209" s="3" t="inlineStr"/>
      <c r="U209" s="3" t="n">
        <v>0</v>
      </c>
      <c r="V209" s="3" t="inlineStr">
        <is>
          <t>masc:-0.4;fem:2.0</t>
        </is>
      </c>
      <c r="W209" s="3" t="n">
        <v>-0.4</v>
      </c>
      <c r="X209" s="3" t="n">
        <v>2</v>
      </c>
      <c r="Y209" s="3" t="inlineStr">
        <is>
          <t>COMM_Emotional</t>
        </is>
      </c>
      <c r="Z209" s="3" t="inlineStr">
        <is>
          <t>REG_CoRegulator</t>
        </is>
      </c>
      <c r="AA209" s="3" t="inlineStr">
        <is>
          <t>LANG_Service</t>
        </is>
      </c>
      <c r="AB209" s="3" t="inlineStr">
        <is>
          <t>Vulnerability_Loop</t>
        </is>
      </c>
      <c r="AC209" s="3" t="inlineStr">
        <is>
          <t>Vulnerability_Loop</t>
        </is>
      </c>
      <c r="AD209" s="3" t="inlineStr"/>
      <c r="AE209" s="3" t="n">
        <v>5</v>
      </c>
      <c r="AF209" s="3" t="inlineStr">
        <is>
          <t>emotional overexertion</t>
        </is>
      </c>
      <c r="AG209" s="3" t="inlineStr">
        <is>
          <t>approval laborer</t>
        </is>
      </c>
      <c r="AH209" s="3" t="n">
        <v>0</v>
      </c>
      <c r="AI209" s="3" t="inlineStr">
        <is>
          <t>yes</t>
        </is>
      </c>
      <c r="AJ209" s="3" t="inlineStr">
        <is>
          <t>no</t>
        </is>
      </c>
      <c r="AK209" s="3" t="inlineStr">
        <is>
          <t>no</t>
        </is>
      </c>
      <c r="AL209" s="3" t="inlineStr">
        <is>
          <t>no</t>
        </is>
      </c>
      <c r="AM209" s="3" t="inlineStr"/>
      <c r="AN209" s="3" t="inlineStr"/>
      <c r="AO209" s="3" t="inlineStr"/>
      <c r="AP209" s="3" t="inlineStr">
        <is>
          <t>v3_2026-03-19</t>
        </is>
      </c>
    </row>
    <row r="210">
      <c r="A210" s="3" t="inlineStr">
        <is>
          <t>Q42_D</t>
        </is>
      </c>
      <c r="B210" s="3" t="n">
        <v>42</v>
      </c>
      <c r="C210" s="3" t="n">
        <v>42</v>
      </c>
      <c r="D210" s="3" t="inlineStr">
        <is>
          <t>Core</t>
        </is>
      </c>
      <c r="E210" s="3" t="n">
        <v>1.3</v>
      </c>
      <c r="F210" s="3" t="inlineStr">
        <is>
          <t>EmotionalNeeds</t>
        </is>
      </c>
      <c r="G210" s="3" t="inlineStr">
        <is>
          <t>IntimacyThreshold</t>
        </is>
      </c>
      <c r="H210" s="3" t="inlineStr"/>
      <c r="I210" s="3" t="inlineStr">
        <is>
          <t>D</t>
        </is>
      </c>
      <c r="J210" s="3" t="inlineStr">
        <is>
          <t>D</t>
        </is>
      </c>
      <c r="K210" s="3" t="inlineStr">
        <is>
          <t>I second-guess my worth constantly. I know I come off cool, but underneath, I'm never really sure why anyone stays.</t>
        </is>
      </c>
      <c r="L210" s="3" t="n">
        <v>5</v>
      </c>
      <c r="M210" s="3" t="n">
        <v>6</v>
      </c>
      <c r="N210" s="3" t="n">
        <v>2</v>
      </c>
      <c r="O210" s="3" t="n">
        <v>4</v>
      </c>
      <c r="P210" s="3" t="n">
        <v>2</v>
      </c>
      <c r="Q210" s="3" t="inlineStr">
        <is>
          <t>Phantom Seeker</t>
        </is>
      </c>
      <c r="R210" s="3" t="n">
        <v>10</v>
      </c>
      <c r="S210" s="3" t="inlineStr"/>
      <c r="T210" s="3" t="inlineStr"/>
      <c r="U210" s="3" t="n">
        <v>0</v>
      </c>
      <c r="V210" s="3" t="inlineStr">
        <is>
          <t>masc:-0.2;fem:1.5</t>
        </is>
      </c>
      <c r="W210" s="3" t="n">
        <v>-0.2</v>
      </c>
      <c r="X210" s="3" t="n">
        <v>1.5</v>
      </c>
      <c r="Y210" s="3" t="inlineStr">
        <is>
          <t>COMM_Emotional</t>
        </is>
      </c>
      <c r="Z210" s="3" t="inlineStr">
        <is>
          <t>REG_SelfSoother</t>
        </is>
      </c>
      <c r="AA210" s="3" t="inlineStr">
        <is>
          <t>LANG_Touch</t>
        </is>
      </c>
      <c r="AB210" s="3" t="inlineStr">
        <is>
          <t>Vulnerability_Loop</t>
        </is>
      </c>
      <c r="AC210" s="3" t="inlineStr">
        <is>
          <t>Vulnerability_Loop</t>
        </is>
      </c>
      <c r="AD210" s="3" t="inlineStr"/>
      <c r="AE210" s="3" t="n">
        <v>5</v>
      </c>
      <c r="AF210" s="3" t="inlineStr">
        <is>
          <t>insecure core</t>
        </is>
      </c>
      <c r="AG210" s="3" t="inlineStr">
        <is>
          <t>internal doubter</t>
        </is>
      </c>
      <c r="AH210" s="3" t="n">
        <v>0.2</v>
      </c>
      <c r="AI210" s="3" t="inlineStr">
        <is>
          <t>yes</t>
        </is>
      </c>
      <c r="AJ210" s="3" t="inlineStr">
        <is>
          <t>no</t>
        </is>
      </c>
      <c r="AK210" s="3" t="inlineStr">
        <is>
          <t>no</t>
        </is>
      </c>
      <c r="AL210" s="3" t="inlineStr">
        <is>
          <t>no</t>
        </is>
      </c>
      <c r="AM210" s="3" t="inlineStr"/>
      <c r="AN210" s="3" t="inlineStr"/>
      <c r="AO210" s="3" t="inlineStr"/>
      <c r="AP210" s="3" t="inlineStr">
        <is>
          <t>v3_2026-03-19</t>
        </is>
      </c>
    </row>
    <row r="211">
      <c r="A211" s="3" t="inlineStr">
        <is>
          <t>Q42_E</t>
        </is>
      </c>
      <c r="B211" s="3" t="n">
        <v>42</v>
      </c>
      <c r="C211" s="3" t="n">
        <v>42</v>
      </c>
      <c r="D211" s="3" t="inlineStr">
        <is>
          <t>Core</t>
        </is>
      </c>
      <c r="E211" s="3" t="n">
        <v>1.3</v>
      </c>
      <c r="F211" s="3" t="inlineStr">
        <is>
          <t>EmotionalNeeds</t>
        </is>
      </c>
      <c r="G211" s="3" t="inlineStr">
        <is>
          <t>IntimacyThreshold</t>
        </is>
      </c>
      <c r="H211" s="3" t="inlineStr"/>
      <c r="I211" s="3" t="inlineStr">
        <is>
          <t>E</t>
        </is>
      </c>
      <c r="J211" s="3" t="inlineStr">
        <is>
          <t>E</t>
        </is>
      </c>
      <c r="K211" s="3" t="inlineStr">
        <is>
          <t>I perform who I think they want, until I don't even know what the real version of me looks like</t>
        </is>
      </c>
      <c r="L211" s="3" t="n">
        <v>5</v>
      </c>
      <c r="M211" s="3" t="n">
        <v>6</v>
      </c>
      <c r="N211" s="3" t="n">
        <v>2</v>
      </c>
      <c r="O211" s="3" t="n">
        <v>2</v>
      </c>
      <c r="P211" s="3" t="n">
        <v>0</v>
      </c>
      <c r="Q211" s="3" t="inlineStr">
        <is>
          <t>Performer</t>
        </is>
      </c>
      <c r="R211" s="3" t="n">
        <v>7</v>
      </c>
      <c r="S211" s="3" t="inlineStr"/>
      <c r="T211" s="3" t="inlineStr"/>
      <c r="U211" s="3" t="n">
        <v>0</v>
      </c>
      <c r="V211" s="3" t="inlineStr">
        <is>
          <t>masc:0.3;fem:0.5</t>
        </is>
      </c>
      <c r="W211" s="3" t="n">
        <v>0.3</v>
      </c>
      <c r="X211" s="3" t="n">
        <v>0.5</v>
      </c>
      <c r="Y211" s="3" t="inlineStr">
        <is>
          <t>COMM_Indirect</t>
        </is>
      </c>
      <c r="Z211" s="3" t="inlineStr">
        <is>
          <t>REG_Distractor</t>
        </is>
      </c>
      <c r="AA211" s="3" t="inlineStr">
        <is>
          <t>LANG_Gifts</t>
        </is>
      </c>
      <c r="AB211" s="3" t="inlineStr">
        <is>
          <t>Vulnerability_Loop</t>
        </is>
      </c>
      <c r="AC211" s="3" t="inlineStr">
        <is>
          <t>Vulnerability_Loop</t>
        </is>
      </c>
      <c r="AD211" s="3" t="inlineStr"/>
      <c r="AE211" s="3" t="n">
        <v>5</v>
      </c>
      <c r="AF211" s="3" t="inlineStr">
        <is>
          <t>identity mirror complex</t>
        </is>
      </c>
      <c r="AG211" s="3" t="inlineStr">
        <is>
          <t>emotional mimic</t>
        </is>
      </c>
      <c r="AH211" s="3" t="n">
        <v>0</v>
      </c>
      <c r="AI211" s="3" t="inlineStr">
        <is>
          <t>yes</t>
        </is>
      </c>
      <c r="AJ211" s="3" t="inlineStr">
        <is>
          <t>no</t>
        </is>
      </c>
      <c r="AK211" s="3" t="inlineStr">
        <is>
          <t>no</t>
        </is>
      </c>
      <c r="AL211" s="3" t="inlineStr">
        <is>
          <t>no</t>
        </is>
      </c>
      <c r="AM211" s="3" t="inlineStr"/>
      <c r="AN211" s="3" t="inlineStr"/>
      <c r="AO211" s="3" t="inlineStr"/>
      <c r="AP211" s="3" t="inlineStr">
        <is>
          <t>v3_2026-03-19</t>
        </is>
      </c>
    </row>
    <row r="212">
      <c r="A212" s="3" t="inlineStr">
        <is>
          <t>Q43_A</t>
        </is>
      </c>
      <c r="B212" s="3" t="n">
        <v>43</v>
      </c>
      <c r="C212" s="3" t="n">
        <v>43</v>
      </c>
      <c r="D212" s="3" t="inlineStr">
        <is>
          <t>Core</t>
        </is>
      </c>
      <c r="E212" s="3" t="n">
        <v>1.3</v>
      </c>
      <c r="F212" s="3" t="inlineStr">
        <is>
          <t>EmotionalNeeds</t>
        </is>
      </c>
      <c r="G212" s="3" t="inlineStr">
        <is>
          <t>IntimacyThreshold</t>
        </is>
      </c>
      <c r="H212" s="3" t="inlineStr">
        <is>
          <t>When things are actually going well with someone... what's the quiet fear you don't usually admit?</t>
        </is>
      </c>
      <c r="I212" s="3" t="inlineStr">
        <is>
          <t>A</t>
        </is>
      </c>
      <c r="J212" s="3" t="inlineStr">
        <is>
          <t>A</t>
        </is>
      </c>
      <c r="K212" s="3" t="inlineStr">
        <is>
          <t>They'll lose interest once they see the parts I keep hidden.</t>
        </is>
      </c>
      <c r="L212" s="3" t="n">
        <v>6</v>
      </c>
      <c r="M212" s="3" t="n">
        <v>7</v>
      </c>
      <c r="N212" s="3" t="n">
        <v>4</v>
      </c>
      <c r="O212" s="3" t="n">
        <v>4</v>
      </c>
      <c r="P212" s="3" t="n">
        <v>2</v>
      </c>
      <c r="Q212" s="3" t="inlineStr">
        <is>
          <t>Performer</t>
        </is>
      </c>
      <c r="R212" s="3" t="n">
        <v>7</v>
      </c>
      <c r="S212" s="3" t="inlineStr"/>
      <c r="T212" s="3" t="inlineStr"/>
      <c r="U212" s="3" t="n">
        <v>0</v>
      </c>
      <c r="V212" s="3" t="inlineStr">
        <is>
          <t>masc:0.3;fem:0.5</t>
        </is>
      </c>
      <c r="W212" s="3" t="n">
        <v>0.3</v>
      </c>
      <c r="X212" s="3" t="n">
        <v>0.5</v>
      </c>
      <c r="Y212" s="3" t="inlineStr">
        <is>
          <t>COMM_Indirect</t>
        </is>
      </c>
      <c r="Z212" s="3" t="inlineStr">
        <is>
          <t>REG_Distractor</t>
        </is>
      </c>
      <c r="AA212" s="3" t="inlineStr">
        <is>
          <t>LANG_Gifts</t>
        </is>
      </c>
      <c r="AB212" s="3" t="inlineStr">
        <is>
          <t>Vulnerability_Loop</t>
        </is>
      </c>
      <c r="AC212" s="3" t="inlineStr">
        <is>
          <t>Vulnerability_Loop</t>
        </is>
      </c>
      <c r="AD212" s="3" t="inlineStr"/>
      <c r="AE212" s="3" t="n">
        <v>5</v>
      </c>
      <c r="AF212" s="3" t="inlineStr">
        <is>
          <t>impostor connection fear</t>
        </is>
      </c>
      <c r="AG212" s="3" t="inlineStr">
        <is>
          <t>self-concealer</t>
        </is>
      </c>
      <c r="AH212" s="3" t="n">
        <v>0</v>
      </c>
      <c r="AI212" s="3" t="inlineStr">
        <is>
          <t>yes</t>
        </is>
      </c>
      <c r="AJ212" s="3" t="inlineStr">
        <is>
          <t>no</t>
        </is>
      </c>
      <c r="AK212" s="3" t="inlineStr">
        <is>
          <t>no</t>
        </is>
      </c>
      <c r="AL212" s="3" t="inlineStr">
        <is>
          <t>no</t>
        </is>
      </c>
      <c r="AM212" s="3" t="inlineStr"/>
      <c r="AN212" s="3" t="inlineStr"/>
      <c r="AO212" s="3" t="inlineStr"/>
      <c r="AP212" s="3" t="inlineStr">
        <is>
          <t>v3_2026-03-19</t>
        </is>
      </c>
    </row>
    <row r="213">
      <c r="A213" s="3" t="inlineStr">
        <is>
          <t>Q43_B</t>
        </is>
      </c>
      <c r="B213" s="3" t="n">
        <v>43</v>
      </c>
      <c r="C213" s="3" t="n">
        <v>43</v>
      </c>
      <c r="D213" s="3" t="inlineStr">
        <is>
          <t>Core</t>
        </is>
      </c>
      <c r="E213" s="3" t="n">
        <v>1.3</v>
      </c>
      <c r="F213" s="3" t="inlineStr">
        <is>
          <t>EmotionalNeeds</t>
        </is>
      </c>
      <c r="G213" s="3" t="inlineStr">
        <is>
          <t>IntimacyThreshold</t>
        </is>
      </c>
      <c r="H213" s="3" t="inlineStr"/>
      <c r="I213" s="3" t="inlineStr">
        <is>
          <t>B</t>
        </is>
      </c>
      <c r="J213" s="3" t="inlineStr">
        <is>
          <t>B</t>
        </is>
      </c>
      <c r="K213" s="3" t="inlineStr">
        <is>
          <t>I'll mess it up by needing too much or being too sensitive.</t>
        </is>
      </c>
      <c r="L213" s="3" t="n">
        <v>5</v>
      </c>
      <c r="M213" s="3" t="n">
        <v>6</v>
      </c>
      <c r="N213" s="3" t="n">
        <v>2</v>
      </c>
      <c r="O213" s="3" t="n">
        <v>2</v>
      </c>
      <c r="P213" s="3" t="n">
        <v>2</v>
      </c>
      <c r="Q213" s="3" t="inlineStr">
        <is>
          <t>Phantom Seeker</t>
        </is>
      </c>
      <c r="R213" s="3" t="n">
        <v>10</v>
      </c>
      <c r="S213" s="3" t="inlineStr"/>
      <c r="T213" s="3" t="inlineStr"/>
      <c r="U213" s="3" t="n">
        <v>0</v>
      </c>
      <c r="V213" s="3" t="inlineStr">
        <is>
          <t>masc:-0.2;fem:1.5</t>
        </is>
      </c>
      <c r="W213" s="3" t="n">
        <v>-0.2</v>
      </c>
      <c r="X213" s="3" t="n">
        <v>1.5</v>
      </c>
      <c r="Y213" s="3" t="inlineStr">
        <is>
          <t>COMM_Emotional</t>
        </is>
      </c>
      <c r="Z213" s="3" t="inlineStr">
        <is>
          <t>REG_SelfSoother</t>
        </is>
      </c>
      <c r="AA213" s="3" t="inlineStr">
        <is>
          <t>LANG_Touch</t>
        </is>
      </c>
      <c r="AB213" s="3" t="inlineStr">
        <is>
          <t>Vulnerability_Loop</t>
        </is>
      </c>
      <c r="AC213" s="3" t="inlineStr">
        <is>
          <t>Vulnerability_Loop</t>
        </is>
      </c>
      <c r="AD213" s="3" t="inlineStr"/>
      <c r="AE213" s="3" t="n">
        <v>5</v>
      </c>
      <c r="AF213" s="3" t="inlineStr">
        <is>
          <t>shame-based worth doubt</t>
        </is>
      </c>
      <c r="AG213" s="3" t="inlineStr">
        <is>
          <t>emotional risk avoider</t>
        </is>
      </c>
      <c r="AH213" s="3" t="n">
        <v>0.6</v>
      </c>
      <c r="AI213" s="3" t="inlineStr">
        <is>
          <t>yes</t>
        </is>
      </c>
      <c r="AJ213" s="3" t="inlineStr">
        <is>
          <t>no</t>
        </is>
      </c>
      <c r="AK213" s="3" t="inlineStr">
        <is>
          <t>no</t>
        </is>
      </c>
      <c r="AL213" s="3" t="inlineStr">
        <is>
          <t>no</t>
        </is>
      </c>
      <c r="AM213" s="3" t="inlineStr"/>
      <c r="AN213" s="3" t="inlineStr"/>
      <c r="AO213" s="3" t="inlineStr"/>
      <c r="AP213" s="3" t="inlineStr">
        <is>
          <t>v3_2026-03-19</t>
        </is>
      </c>
    </row>
    <row r="214">
      <c r="A214" s="3" t="inlineStr">
        <is>
          <t>Q43_C</t>
        </is>
      </c>
      <c r="B214" s="3" t="n">
        <v>43</v>
      </c>
      <c r="C214" s="3" t="n">
        <v>43</v>
      </c>
      <c r="D214" s="3" t="inlineStr">
        <is>
          <t>Core</t>
        </is>
      </c>
      <c r="E214" s="3" t="n">
        <v>1.3</v>
      </c>
      <c r="F214" s="3" t="inlineStr">
        <is>
          <t>EmotionalNeeds</t>
        </is>
      </c>
      <c r="G214" s="3" t="inlineStr">
        <is>
          <t>IntimacyThreshold</t>
        </is>
      </c>
      <c r="H214" s="3" t="inlineStr"/>
      <c r="I214" s="3" t="inlineStr">
        <is>
          <t>C</t>
        </is>
      </c>
      <c r="J214" s="3" t="inlineStr">
        <is>
          <t>C</t>
        </is>
      </c>
      <c r="K214" s="3" t="inlineStr">
        <is>
          <t>They'll depend on me too much, and I'll feel trapped again.</t>
        </is>
      </c>
      <c r="L214" s="3" t="n">
        <v>6</v>
      </c>
      <c r="M214" s="3" t="n">
        <v>7</v>
      </c>
      <c r="N214" s="3" t="n">
        <v>2</v>
      </c>
      <c r="O214" s="3" t="n">
        <v>2</v>
      </c>
      <c r="P214" s="3" t="n">
        <v>0</v>
      </c>
      <c r="Q214" s="3" t="inlineStr">
        <is>
          <t>Icebox</t>
        </is>
      </c>
      <c r="R214" s="3" t="n">
        <v>1</v>
      </c>
      <c r="S214" s="3" t="inlineStr"/>
      <c r="T214" s="3" t="inlineStr"/>
      <c r="U214" s="3" t="n">
        <v>0</v>
      </c>
      <c r="V214" s="3" t="inlineStr">
        <is>
          <t>masc:1.8;fem:-1.6</t>
        </is>
      </c>
      <c r="W214" s="3" t="n">
        <v>1.8</v>
      </c>
      <c r="X214" s="3" t="n">
        <v>-1.6</v>
      </c>
      <c r="Y214" s="3" t="inlineStr">
        <is>
          <t>COMM_Avoidant</t>
        </is>
      </c>
      <c r="Z214" s="3" t="inlineStr">
        <is>
          <t>REG_Suppressor</t>
        </is>
      </c>
      <c r="AA214" s="3" t="inlineStr">
        <is>
          <t>LANG_Time</t>
        </is>
      </c>
      <c r="AB214" s="3" t="inlineStr">
        <is>
          <t>Vulnerability_Loop</t>
        </is>
      </c>
      <c r="AC214" s="3" t="inlineStr">
        <is>
          <t>Vulnerability_Loop</t>
        </is>
      </c>
      <c r="AD214" s="3" t="inlineStr"/>
      <c r="AE214" s="3" t="n">
        <v>5</v>
      </c>
      <c r="AF214" s="3" t="inlineStr">
        <is>
          <t>fear of emotional containment</t>
        </is>
      </c>
      <c r="AG214" s="3" t="inlineStr">
        <is>
          <t>closeness resistor</t>
        </is>
      </c>
      <c r="AH214" s="3" t="n">
        <v>0</v>
      </c>
      <c r="AI214" s="3" t="inlineStr">
        <is>
          <t>yes</t>
        </is>
      </c>
      <c r="AJ214" s="3" t="inlineStr">
        <is>
          <t>no</t>
        </is>
      </c>
      <c r="AK214" s="3" t="inlineStr">
        <is>
          <t>no</t>
        </is>
      </c>
      <c r="AL214" s="3" t="inlineStr">
        <is>
          <t>no</t>
        </is>
      </c>
      <c r="AM214" s="3" t="inlineStr"/>
      <c r="AN214" s="3" t="inlineStr"/>
      <c r="AO214" s="3" t="inlineStr"/>
      <c r="AP214" s="3" t="inlineStr">
        <is>
          <t>v3_2026-03-19</t>
        </is>
      </c>
    </row>
    <row r="215">
      <c r="A215" s="3" t="inlineStr">
        <is>
          <t>Q43_D</t>
        </is>
      </c>
      <c r="B215" s="3" t="n">
        <v>43</v>
      </c>
      <c r="C215" s="3" t="n">
        <v>43</v>
      </c>
      <c r="D215" s="3" t="inlineStr">
        <is>
          <t>Core</t>
        </is>
      </c>
      <c r="E215" s="3" t="n">
        <v>1.3</v>
      </c>
      <c r="F215" s="3" t="inlineStr">
        <is>
          <t>EmotionalNeeds</t>
        </is>
      </c>
      <c r="G215" s="3" t="inlineStr">
        <is>
          <t>IntimacyThreshold</t>
        </is>
      </c>
      <c r="H215" s="3" t="inlineStr"/>
      <c r="I215" s="3" t="inlineStr">
        <is>
          <t>D</t>
        </is>
      </c>
      <c r="J215" s="3" t="inlineStr">
        <is>
          <t>D</t>
        </is>
      </c>
      <c r="K215" s="3" t="inlineStr">
        <is>
          <t>It's not real. I assume it'll shift once they get comfortable. I just don't trust the early glow.</t>
        </is>
      </c>
      <c r="L215" s="3" t="n">
        <v>8</v>
      </c>
      <c r="M215" s="3" t="n">
        <v>9</v>
      </c>
      <c r="N215" s="3" t="n">
        <v>8</v>
      </c>
      <c r="O215" s="3" t="n">
        <v>8</v>
      </c>
      <c r="P215" s="3" t="n">
        <v>8</v>
      </c>
      <c r="Q215" s="3" t="inlineStr">
        <is>
          <t>Analyzer</t>
        </is>
      </c>
      <c r="R215" s="3" t="n">
        <v>2</v>
      </c>
      <c r="S215" s="3" t="inlineStr"/>
      <c r="T215" s="3" t="inlineStr"/>
      <c r="U215" s="3" t="n">
        <v>0</v>
      </c>
      <c r="V215" s="3" t="inlineStr">
        <is>
          <t>masc:1.4;fem:0.1</t>
        </is>
      </c>
      <c r="W215" s="3" t="n">
        <v>1.4</v>
      </c>
      <c r="X215" s="3" t="n">
        <v>0.1</v>
      </c>
      <c r="Y215" s="3" t="inlineStr">
        <is>
          <t>COMM_Logical</t>
        </is>
      </c>
      <c r="Z215" s="3" t="inlineStr">
        <is>
          <t>REG_SelfSoother</t>
        </is>
      </c>
      <c r="AA215" s="3" t="inlineStr">
        <is>
          <t>LANG_Service</t>
        </is>
      </c>
      <c r="AB215" s="3" t="inlineStr"/>
      <c r="AC215" s="3" t="inlineStr"/>
      <c r="AD215" s="3" t="inlineStr"/>
      <c r="AE215" s="3" t="n">
        <v>0</v>
      </c>
      <c r="AF215" s="3" t="inlineStr">
        <is>
          <t>anticipated disappointment</t>
        </is>
      </c>
      <c r="AG215" s="3" t="inlineStr">
        <is>
          <t>skepticism filter</t>
        </is>
      </c>
      <c r="AH215" s="3" t="n">
        <v>0</v>
      </c>
      <c r="AI215" s="3" t="inlineStr">
        <is>
          <t>no</t>
        </is>
      </c>
      <c r="AJ215" s="3" t="inlineStr">
        <is>
          <t>no</t>
        </is>
      </c>
      <c r="AK215" s="3" t="inlineStr">
        <is>
          <t>no</t>
        </is>
      </c>
      <c r="AL215" s="3" t="inlineStr">
        <is>
          <t>no</t>
        </is>
      </c>
      <c r="AM215" s="3" t="inlineStr"/>
      <c r="AN215" s="3" t="inlineStr"/>
      <c r="AO215" s="3" t="inlineStr"/>
      <c r="AP215" s="3" t="inlineStr">
        <is>
          <t>v3_2026-03-19</t>
        </is>
      </c>
    </row>
    <row r="216">
      <c r="A216" s="3" t="inlineStr">
        <is>
          <t>Q43_E</t>
        </is>
      </c>
      <c r="B216" s="3" t="n">
        <v>43</v>
      </c>
      <c r="C216" s="3" t="n">
        <v>43</v>
      </c>
      <c r="D216" s="3" t="inlineStr">
        <is>
          <t>Core</t>
        </is>
      </c>
      <c r="E216" s="3" t="n">
        <v>1.3</v>
      </c>
      <c r="F216" s="3" t="inlineStr">
        <is>
          <t>EmotionalNeeds</t>
        </is>
      </c>
      <c r="G216" s="3" t="inlineStr">
        <is>
          <t>IntimacyThreshold</t>
        </is>
      </c>
      <c r="H216" s="3" t="inlineStr"/>
      <c r="I216" s="3" t="inlineStr">
        <is>
          <t>E</t>
        </is>
      </c>
      <c r="J216" s="3" t="inlineStr">
        <is>
          <t>E</t>
        </is>
      </c>
      <c r="K216" s="3" t="inlineStr">
        <is>
          <t>They'll ask me to slow down, and I won't know how. I fall hard and then wonder why they didn't catch me.</t>
        </is>
      </c>
      <c r="L216" s="3" t="n">
        <v>7</v>
      </c>
      <c r="M216" s="3" t="n">
        <v>8</v>
      </c>
      <c r="N216" s="3" t="n">
        <v>6</v>
      </c>
      <c r="O216" s="3" t="n">
        <v>8</v>
      </c>
      <c r="P216" s="3" t="n">
        <v>6</v>
      </c>
      <c r="Q216" s="3" t="inlineStr">
        <is>
          <t>Fixer</t>
        </is>
      </c>
      <c r="R216" s="3" t="n">
        <v>5</v>
      </c>
      <c r="S216" s="3" t="inlineStr"/>
      <c r="T216" s="3" t="inlineStr"/>
      <c r="U216" s="3" t="n">
        <v>0</v>
      </c>
      <c r="V216" s="3" t="inlineStr">
        <is>
          <t>masc:-0.4;fem:2.0</t>
        </is>
      </c>
      <c r="W216" s="3" t="n">
        <v>-0.4</v>
      </c>
      <c r="X216" s="3" t="n">
        <v>2</v>
      </c>
      <c r="Y216" s="3" t="inlineStr">
        <is>
          <t>COMM_Emotional</t>
        </is>
      </c>
      <c r="Z216" s="3" t="inlineStr">
        <is>
          <t>REG_CoRegulator</t>
        </is>
      </c>
      <c r="AA216" s="3" t="inlineStr">
        <is>
          <t>LANG_Service</t>
        </is>
      </c>
      <c r="AB216" s="3" t="inlineStr"/>
      <c r="AC216" s="3" t="inlineStr"/>
      <c r="AD216" s="3" t="inlineStr"/>
      <c r="AE216" s="3" t="n">
        <v>0</v>
      </c>
      <c r="AF216" s="3" t="inlineStr">
        <is>
          <t>speed of love fear</t>
        </is>
      </c>
      <c r="AG216" s="3" t="inlineStr">
        <is>
          <t>fast feeler</t>
        </is>
      </c>
      <c r="AH216" s="3" t="n">
        <v>0</v>
      </c>
      <c r="AI216" s="3" t="inlineStr">
        <is>
          <t>no</t>
        </is>
      </c>
      <c r="AJ216" s="3" t="inlineStr">
        <is>
          <t>no</t>
        </is>
      </c>
      <c r="AK216" s="3" t="inlineStr">
        <is>
          <t>no</t>
        </is>
      </c>
      <c r="AL216" s="3" t="inlineStr">
        <is>
          <t>no</t>
        </is>
      </c>
      <c r="AM216" s="3" t="inlineStr"/>
      <c r="AN216" s="3" t="inlineStr"/>
      <c r="AO216" s="3" t="inlineStr"/>
      <c r="AP216" s="3" t="inlineStr">
        <is>
          <t>v3_2026-03-19</t>
        </is>
      </c>
    </row>
    <row r="217">
      <c r="A217" s="3" t="inlineStr">
        <is>
          <t>Q44_A</t>
        </is>
      </c>
      <c r="B217" s="3" t="n">
        <v>44</v>
      </c>
      <c r="C217" s="3" t="n">
        <v>44</v>
      </c>
      <c r="D217" s="3" t="inlineStr">
        <is>
          <t>Core</t>
        </is>
      </c>
      <c r="E217" s="3" t="n">
        <v>1.3</v>
      </c>
      <c r="F217" s="3" t="inlineStr">
        <is>
          <t>EmotionalNeeds</t>
        </is>
      </c>
      <c r="G217" s="3" t="inlineStr">
        <is>
          <t>IntimacyThreshold</t>
        </is>
      </c>
      <c r="H217" s="3" t="inlineStr">
        <is>
          <t>You care about someone. You're hurt by something they did. You could say something... but what usually stops you?</t>
        </is>
      </c>
      <c r="I217" s="3" t="inlineStr">
        <is>
          <t>A</t>
        </is>
      </c>
      <c r="J217" s="3" t="inlineStr">
        <is>
          <t>A</t>
        </is>
      </c>
      <c r="K217" s="3" t="inlineStr">
        <is>
          <t>I don't want to seem dramatic. I've learned silence protects me better than honesty does.</t>
        </is>
      </c>
      <c r="L217" s="3" t="n">
        <v>6</v>
      </c>
      <c r="M217" s="3" t="n">
        <v>7</v>
      </c>
      <c r="N217" s="3" t="n">
        <v>2</v>
      </c>
      <c r="O217" s="3" t="n">
        <v>2</v>
      </c>
      <c r="P217" s="3" t="n">
        <v>0</v>
      </c>
      <c r="Q217" s="3" t="inlineStr">
        <is>
          <t>Icebox</t>
        </is>
      </c>
      <c r="R217" s="3" t="n">
        <v>1</v>
      </c>
      <c r="S217" s="3" t="inlineStr"/>
      <c r="T217" s="3" t="inlineStr"/>
      <c r="U217" s="3" t="n">
        <v>0</v>
      </c>
      <c r="V217" s="3" t="inlineStr">
        <is>
          <t>masc:1.8;fem:-1.6</t>
        </is>
      </c>
      <c r="W217" s="3" t="n">
        <v>1.8</v>
      </c>
      <c r="X217" s="3" t="n">
        <v>-1.6</v>
      </c>
      <c r="Y217" s="3" t="inlineStr">
        <is>
          <t>COMM_Avoidant</t>
        </is>
      </c>
      <c r="Z217" s="3" t="inlineStr">
        <is>
          <t>REG_Suppressor</t>
        </is>
      </c>
      <c r="AA217" s="3" t="inlineStr">
        <is>
          <t>LANG_Time</t>
        </is>
      </c>
      <c r="AB217" s="3" t="inlineStr">
        <is>
          <t>Vulnerability_Loop</t>
        </is>
      </c>
      <c r="AC217" s="3" t="inlineStr">
        <is>
          <t>Vulnerability_Loop</t>
        </is>
      </c>
      <c r="AD217" s="3" t="inlineStr"/>
      <c r="AE217" s="3" t="n">
        <v>5</v>
      </c>
      <c r="AF217" s="3" t="inlineStr">
        <is>
          <t>self-protection over expression</t>
        </is>
      </c>
      <c r="AG217" s="3" t="inlineStr"/>
      <c r="AH217" s="3" t="n">
        <v>0</v>
      </c>
      <c r="AI217" s="3" t="inlineStr">
        <is>
          <t>yes</t>
        </is>
      </c>
      <c r="AJ217" s="3" t="inlineStr">
        <is>
          <t>no</t>
        </is>
      </c>
      <c r="AK217" s="3" t="inlineStr">
        <is>
          <t>no</t>
        </is>
      </c>
      <c r="AL217" s="3" t="inlineStr">
        <is>
          <t>no</t>
        </is>
      </c>
      <c r="AM217" s="3" t="inlineStr"/>
      <c r="AN217" s="3" t="inlineStr"/>
      <c r="AO217" s="3" t="inlineStr"/>
      <c r="AP217" s="3" t="inlineStr">
        <is>
          <t>v3_2026-03-19</t>
        </is>
      </c>
    </row>
    <row r="218">
      <c r="A218" s="3" t="inlineStr">
        <is>
          <t>Q44_B</t>
        </is>
      </c>
      <c r="B218" s="3" t="n">
        <v>44</v>
      </c>
      <c r="C218" s="3" t="n">
        <v>44</v>
      </c>
      <c r="D218" s="3" t="inlineStr">
        <is>
          <t>Core</t>
        </is>
      </c>
      <c r="E218" s="3" t="n">
        <v>1.3</v>
      </c>
      <c r="F218" s="3" t="inlineStr">
        <is>
          <t>EmotionalNeeds</t>
        </is>
      </c>
      <c r="G218" s="3" t="inlineStr">
        <is>
          <t>IntimacyThreshold</t>
        </is>
      </c>
      <c r="H218" s="3" t="inlineStr"/>
      <c r="I218" s="3" t="inlineStr">
        <is>
          <t>B</t>
        </is>
      </c>
      <c r="J218" s="3" t="inlineStr">
        <is>
          <t>B</t>
        </is>
      </c>
      <c r="K218" s="3" t="inlineStr">
        <is>
          <t>I'm scared they'll think I'm too much, or worse, they'll leave.</t>
        </is>
      </c>
      <c r="L218" s="3" t="n">
        <v>5</v>
      </c>
      <c r="M218" s="3" t="n">
        <v>6</v>
      </c>
      <c r="N218" s="3" t="n">
        <v>2</v>
      </c>
      <c r="O218" s="3" t="n">
        <v>4</v>
      </c>
      <c r="P218" s="3" t="n">
        <v>2</v>
      </c>
      <c r="Q218" s="3" t="inlineStr">
        <is>
          <t>Phantom Seeker</t>
        </is>
      </c>
      <c r="R218" s="3" t="n">
        <v>10</v>
      </c>
      <c r="S218" s="3" t="inlineStr"/>
      <c r="T218" s="3" t="inlineStr"/>
      <c r="U218" s="3" t="n">
        <v>0</v>
      </c>
      <c r="V218" s="3" t="inlineStr">
        <is>
          <t>masc:-0.2;fem:1.5</t>
        </is>
      </c>
      <c r="W218" s="3" t="n">
        <v>-0.2</v>
      </c>
      <c r="X218" s="3" t="n">
        <v>1.5</v>
      </c>
      <c r="Y218" s="3" t="inlineStr">
        <is>
          <t>COMM_Emotional</t>
        </is>
      </c>
      <c r="Z218" s="3" t="inlineStr">
        <is>
          <t>REG_SelfSoother</t>
        </is>
      </c>
      <c r="AA218" s="3" t="inlineStr">
        <is>
          <t>LANG_Touch</t>
        </is>
      </c>
      <c r="AB218" s="3" t="inlineStr">
        <is>
          <t>Vulnerability_Loop</t>
        </is>
      </c>
      <c r="AC218" s="3" t="inlineStr">
        <is>
          <t>Vulnerability_Loop</t>
        </is>
      </c>
      <c r="AD218" s="3" t="inlineStr"/>
      <c r="AE218" s="3" t="n">
        <v>5</v>
      </c>
      <c r="AF218" s="3" t="inlineStr">
        <is>
          <t>fear of abandonment</t>
        </is>
      </c>
      <c r="AG218" s="3" t="inlineStr">
        <is>
          <t>hesitant truther</t>
        </is>
      </c>
      <c r="AH218" s="3" t="n">
        <v>0</v>
      </c>
      <c r="AI218" s="3" t="inlineStr">
        <is>
          <t>yes</t>
        </is>
      </c>
      <c r="AJ218" s="3" t="inlineStr">
        <is>
          <t>no</t>
        </is>
      </c>
      <c r="AK218" s="3" t="inlineStr">
        <is>
          <t>no</t>
        </is>
      </c>
      <c r="AL218" s="3" t="inlineStr">
        <is>
          <t>no</t>
        </is>
      </c>
      <c r="AM218" s="3" t="inlineStr"/>
      <c r="AN218" s="3" t="inlineStr"/>
      <c r="AO218" s="3" t="inlineStr"/>
      <c r="AP218" s="3" t="inlineStr">
        <is>
          <t>v3_2026-03-19</t>
        </is>
      </c>
    </row>
    <row r="219">
      <c r="A219" s="3" t="inlineStr">
        <is>
          <t>Q44_C</t>
        </is>
      </c>
      <c r="B219" s="3" t="n">
        <v>44</v>
      </c>
      <c r="C219" s="3" t="n">
        <v>44</v>
      </c>
      <c r="D219" s="3" t="inlineStr">
        <is>
          <t>Core</t>
        </is>
      </c>
      <c r="E219" s="3" t="n">
        <v>1.3</v>
      </c>
      <c r="F219" s="3" t="inlineStr">
        <is>
          <t>EmotionalNeeds</t>
        </is>
      </c>
      <c r="G219" s="3" t="inlineStr">
        <is>
          <t>IntimacyThreshold</t>
        </is>
      </c>
      <c r="H219" s="3" t="inlineStr"/>
      <c r="I219" s="3" t="inlineStr">
        <is>
          <t>C</t>
        </is>
      </c>
      <c r="J219" s="3" t="inlineStr">
        <is>
          <t>C</t>
        </is>
      </c>
      <c r="K219" s="3" t="inlineStr">
        <is>
          <t>I can't always tell if I'm overreacting or just reacting late... so I keep it in.</t>
        </is>
      </c>
      <c r="L219" s="3" t="n">
        <v>6</v>
      </c>
      <c r="M219" s="3" t="n">
        <v>7</v>
      </c>
      <c r="N219" s="3" t="n">
        <v>4</v>
      </c>
      <c r="O219" s="3" t="n">
        <v>6</v>
      </c>
      <c r="P219" s="3" t="n">
        <v>4</v>
      </c>
      <c r="Q219" s="3" t="inlineStr">
        <is>
          <t>Analyzer</t>
        </is>
      </c>
      <c r="R219" s="3" t="n">
        <v>2</v>
      </c>
      <c r="S219" s="3" t="inlineStr"/>
      <c r="T219" s="3" t="inlineStr"/>
      <c r="U219" s="3" t="n">
        <v>0</v>
      </c>
      <c r="V219" s="3" t="inlineStr">
        <is>
          <t>masc:1.4;fem:0.1</t>
        </is>
      </c>
      <c r="W219" s="3" t="n">
        <v>1.4</v>
      </c>
      <c r="X219" s="3" t="n">
        <v>0.1</v>
      </c>
      <c r="Y219" s="3" t="inlineStr">
        <is>
          <t>COMM_Logical</t>
        </is>
      </c>
      <c r="Z219" s="3" t="inlineStr">
        <is>
          <t>REG_SelfSoother</t>
        </is>
      </c>
      <c r="AA219" s="3" t="inlineStr">
        <is>
          <t>LANG_Service</t>
        </is>
      </c>
      <c r="AB219" s="3" t="inlineStr">
        <is>
          <t>Vulnerability_Loop</t>
        </is>
      </c>
      <c r="AC219" s="3" t="inlineStr">
        <is>
          <t>Vulnerability_Loop</t>
        </is>
      </c>
      <c r="AD219" s="3" t="inlineStr"/>
      <c r="AE219" s="3" t="n">
        <v>5</v>
      </c>
      <c r="AF219" s="3" t="inlineStr">
        <is>
          <t>emotional validity confusion</t>
        </is>
      </c>
      <c r="AG219" s="3" t="inlineStr">
        <is>
          <t>suppressed responder</t>
        </is>
      </c>
      <c r="AH219" s="3" t="n">
        <v>0</v>
      </c>
      <c r="AI219" s="3" t="inlineStr">
        <is>
          <t>yes</t>
        </is>
      </c>
      <c r="AJ219" s="3" t="inlineStr">
        <is>
          <t>no</t>
        </is>
      </c>
      <c r="AK219" s="3" t="inlineStr">
        <is>
          <t>no</t>
        </is>
      </c>
      <c r="AL219" s="3" t="inlineStr">
        <is>
          <t>no</t>
        </is>
      </c>
      <c r="AM219" s="3" t="inlineStr"/>
      <c r="AN219" s="3" t="inlineStr"/>
      <c r="AO219" s="3" t="inlineStr"/>
      <c r="AP219" s="3" t="inlineStr">
        <is>
          <t>v3_2026-03-19</t>
        </is>
      </c>
    </row>
    <row r="220">
      <c r="A220" s="3" t="inlineStr">
        <is>
          <t>Q44_D</t>
        </is>
      </c>
      <c r="B220" s="3" t="n">
        <v>44</v>
      </c>
      <c r="C220" s="3" t="n">
        <v>44</v>
      </c>
      <c r="D220" s="3" t="inlineStr">
        <is>
          <t>Core</t>
        </is>
      </c>
      <c r="E220" s="3" t="n">
        <v>1.3</v>
      </c>
      <c r="F220" s="3" t="inlineStr">
        <is>
          <t>EmotionalNeeds</t>
        </is>
      </c>
      <c r="G220" s="3" t="inlineStr">
        <is>
          <t>IntimacyThreshold</t>
        </is>
      </c>
      <c r="H220" s="3" t="inlineStr"/>
      <c r="I220" s="3" t="inlineStr">
        <is>
          <t>D</t>
        </is>
      </c>
      <c r="J220" s="3" t="inlineStr">
        <is>
          <t>D</t>
        </is>
      </c>
      <c r="K220" s="3" t="inlineStr">
        <is>
          <t>I wait for the right moment to bring it up, but that moment never comes. So I smile through it and let it fester.</t>
        </is>
      </c>
      <c r="L220" s="3" t="n">
        <v>5</v>
      </c>
      <c r="M220" s="3" t="n">
        <v>6</v>
      </c>
      <c r="N220" s="3" t="n">
        <v>2</v>
      </c>
      <c r="O220" s="3" t="n">
        <v>2</v>
      </c>
      <c r="P220" s="3" t="n">
        <v>0</v>
      </c>
      <c r="Q220" s="3" t="inlineStr">
        <is>
          <t>Performer</t>
        </is>
      </c>
      <c r="R220" s="3" t="n">
        <v>7</v>
      </c>
      <c r="S220" s="3" t="inlineStr"/>
      <c r="T220" s="3" t="inlineStr"/>
      <c r="U220" s="3" t="n">
        <v>0</v>
      </c>
      <c r="V220" s="3" t="inlineStr">
        <is>
          <t>masc:0.3;fem:0.5</t>
        </is>
      </c>
      <c r="W220" s="3" t="n">
        <v>0.3</v>
      </c>
      <c r="X220" s="3" t="n">
        <v>0.5</v>
      </c>
      <c r="Y220" s="3" t="inlineStr">
        <is>
          <t>COMM_Indirect</t>
        </is>
      </c>
      <c r="Z220" s="3" t="inlineStr">
        <is>
          <t>REG_Distractor</t>
        </is>
      </c>
      <c r="AA220" s="3" t="inlineStr">
        <is>
          <t>LANG_Gifts</t>
        </is>
      </c>
      <c r="AB220" s="3" t="inlineStr">
        <is>
          <t>Vulnerability_Loop</t>
        </is>
      </c>
      <c r="AC220" s="3" t="inlineStr">
        <is>
          <t>Vulnerability_Loop</t>
        </is>
      </c>
      <c r="AD220" s="3" t="inlineStr"/>
      <c r="AE220" s="3" t="n">
        <v>5</v>
      </c>
      <c r="AF220" s="3" t="inlineStr">
        <is>
          <t>delayed conflict avoidance</t>
        </is>
      </c>
      <c r="AG220" s="3" t="inlineStr">
        <is>
          <t>festering avoider</t>
        </is>
      </c>
      <c r="AH220" s="3" t="n">
        <v>1.2</v>
      </c>
      <c r="AI220" s="3" t="inlineStr">
        <is>
          <t>yes</t>
        </is>
      </c>
      <c r="AJ220" s="3" t="inlineStr">
        <is>
          <t>no</t>
        </is>
      </c>
      <c r="AK220" s="3" t="inlineStr">
        <is>
          <t>no</t>
        </is>
      </c>
      <c r="AL220" s="3" t="inlineStr">
        <is>
          <t>no</t>
        </is>
      </c>
      <c r="AM220" s="3" t="inlineStr"/>
      <c r="AN220" s="3" t="inlineStr"/>
      <c r="AO220" s="3" t="inlineStr"/>
      <c r="AP220" s="3" t="inlineStr">
        <is>
          <t>v3_2026-03-19</t>
        </is>
      </c>
    </row>
    <row r="221">
      <c r="A221" s="3" t="inlineStr">
        <is>
          <t>Q44_E</t>
        </is>
      </c>
      <c r="B221" s="3" t="n">
        <v>44</v>
      </c>
      <c r="C221" s="3" t="n">
        <v>44</v>
      </c>
      <c r="D221" s="3" t="inlineStr">
        <is>
          <t>Core</t>
        </is>
      </c>
      <c r="E221" s="3" t="n">
        <v>1.3</v>
      </c>
      <c r="F221" s="3" t="inlineStr">
        <is>
          <t>EmotionalNeeds</t>
        </is>
      </c>
      <c r="G221" s="3" t="inlineStr">
        <is>
          <t>IntimacyThreshold</t>
        </is>
      </c>
      <c r="H221" s="3" t="inlineStr"/>
      <c r="I221" s="3" t="inlineStr">
        <is>
          <t>E</t>
        </is>
      </c>
      <c r="J221" s="3" t="inlineStr">
        <is>
          <t>E</t>
        </is>
      </c>
      <c r="K221" s="3" t="inlineStr">
        <is>
          <t>I try to fix it without saying anything. If I love you, I'd rather work around the pain than risk more of it.</t>
        </is>
      </c>
      <c r="L221" s="3" t="n">
        <v>8</v>
      </c>
      <c r="M221" s="3" t="n">
        <v>9</v>
      </c>
      <c r="N221" s="3" t="n">
        <v>8</v>
      </c>
      <c r="O221" s="3" t="n">
        <v>10</v>
      </c>
      <c r="P221" s="3" t="n">
        <v>8</v>
      </c>
      <c r="Q221" s="3" t="inlineStr">
        <is>
          <t>Fixer</t>
        </is>
      </c>
      <c r="R221" s="3" t="n">
        <v>5</v>
      </c>
      <c r="S221" s="3" t="inlineStr"/>
      <c r="T221" s="3" t="inlineStr"/>
      <c r="U221" s="3" t="n">
        <v>0</v>
      </c>
      <c r="V221" s="3" t="inlineStr">
        <is>
          <t>masc:-0.4;fem:2.0</t>
        </is>
      </c>
      <c r="W221" s="3" t="n">
        <v>-0.4</v>
      </c>
      <c r="X221" s="3" t="n">
        <v>2</v>
      </c>
      <c r="Y221" s="3" t="inlineStr">
        <is>
          <t>COMM_Emotional</t>
        </is>
      </c>
      <c r="Z221" s="3" t="inlineStr">
        <is>
          <t>REG_CoRegulator</t>
        </is>
      </c>
      <c r="AA221" s="3" t="inlineStr">
        <is>
          <t>LANG_Service</t>
        </is>
      </c>
      <c r="AB221" s="3" t="inlineStr"/>
      <c r="AC221" s="3" t="inlineStr"/>
      <c r="AD221" s="3" t="inlineStr"/>
      <c r="AE221" s="3" t="n">
        <v>0</v>
      </c>
      <c r="AF221" s="3" t="inlineStr">
        <is>
          <t>love through labor mechanism</t>
        </is>
      </c>
      <c r="AG221" s="3" t="inlineStr">
        <is>
          <t>invisible repairer</t>
        </is>
      </c>
      <c r="AH221" s="3" t="n">
        <v>0</v>
      </c>
      <c r="AI221" s="3" t="inlineStr">
        <is>
          <t>no</t>
        </is>
      </c>
      <c r="AJ221" s="3" t="inlineStr">
        <is>
          <t>no</t>
        </is>
      </c>
      <c r="AK221" s="3" t="inlineStr">
        <is>
          <t>no</t>
        </is>
      </c>
      <c r="AL221" s="3" t="inlineStr">
        <is>
          <t>no</t>
        </is>
      </c>
      <c r="AM221" s="3" t="inlineStr"/>
      <c r="AN221" s="3" t="inlineStr"/>
      <c r="AO221" s="3" t="inlineStr"/>
      <c r="AP221" s="3" t="inlineStr">
        <is>
          <t>v3_2026-03-19</t>
        </is>
      </c>
    </row>
    <row r="222">
      <c r="A222" s="3" t="inlineStr">
        <is>
          <t>Q45_A</t>
        </is>
      </c>
      <c r="B222" s="3" t="n">
        <v>45</v>
      </c>
      <c r="C222" s="3" t="n">
        <v>45</v>
      </c>
      <c r="D222" s="3" t="inlineStr">
        <is>
          <t>Core</t>
        </is>
      </c>
      <c r="E222" s="3" t="n">
        <v>1.35</v>
      </c>
      <c r="F222" s="3" t="inlineStr">
        <is>
          <t>EmotionalNeeds</t>
        </is>
      </c>
      <c r="G222" s="3" t="inlineStr">
        <is>
          <t>IntimacyThreshold</t>
        </is>
      </c>
      <c r="H222" s="3" t="inlineStr">
        <is>
          <t>The vibe is off. You're quieter. Distant. But you haven't said anything yet. What would actually make you feel safe again?</t>
        </is>
      </c>
      <c r="I222" s="3" t="inlineStr">
        <is>
          <t>A</t>
        </is>
      </c>
      <c r="J222" s="3" t="inlineStr">
        <is>
          <t>A</t>
        </is>
      </c>
      <c r="K222" s="3" t="inlineStr">
        <is>
          <t>If they noticed without me having to say anything , just read me and pulled me back in.</t>
        </is>
      </c>
      <c r="L222" s="3" t="n">
        <v>5</v>
      </c>
      <c r="M222" s="3" t="n">
        <v>6</v>
      </c>
      <c r="N222" s="3" t="n">
        <v>2</v>
      </c>
      <c r="O222" s="3" t="n">
        <v>2</v>
      </c>
      <c r="P222" s="3" t="n">
        <v>2</v>
      </c>
      <c r="Q222" s="3" t="inlineStr">
        <is>
          <t>Phantom Seeker</t>
        </is>
      </c>
      <c r="R222" s="3" t="n">
        <v>10</v>
      </c>
      <c r="S222" s="3" t="inlineStr"/>
      <c r="T222" s="3" t="inlineStr"/>
      <c r="U222" s="3" t="n">
        <v>0</v>
      </c>
      <c r="V222" s="3" t="inlineStr">
        <is>
          <t>masc:-0.2;fem:1.5</t>
        </is>
      </c>
      <c r="W222" s="3" t="n">
        <v>-0.2</v>
      </c>
      <c r="X222" s="3" t="n">
        <v>1.5</v>
      </c>
      <c r="Y222" s="3" t="inlineStr">
        <is>
          <t>COMM_Emotional</t>
        </is>
      </c>
      <c r="Z222" s="3" t="inlineStr">
        <is>
          <t>REG_SelfSoother</t>
        </is>
      </c>
      <c r="AA222" s="3" t="inlineStr">
        <is>
          <t>LANG_Touch</t>
        </is>
      </c>
      <c r="AB222" s="3" t="inlineStr">
        <is>
          <t>Vulnerability_Loop</t>
        </is>
      </c>
      <c r="AC222" s="3" t="inlineStr">
        <is>
          <t>Vulnerability_Loop</t>
        </is>
      </c>
      <c r="AD222" s="3" t="inlineStr"/>
      <c r="AE222" s="3" t="n">
        <v>5</v>
      </c>
      <c r="AF222" s="3" t="inlineStr">
        <is>
          <t>unspoken rescue desire</t>
        </is>
      </c>
      <c r="AG222" s="3" t="inlineStr">
        <is>
          <t>silent hope holder</t>
        </is>
      </c>
      <c r="AH222" s="3" t="n">
        <v>0.6</v>
      </c>
      <c r="AI222" s="3" t="inlineStr">
        <is>
          <t>yes</t>
        </is>
      </c>
      <c r="AJ222" s="3" t="inlineStr">
        <is>
          <t>no</t>
        </is>
      </c>
      <c r="AK222" s="3" t="inlineStr">
        <is>
          <t>no</t>
        </is>
      </c>
      <c r="AL222" s="3" t="inlineStr">
        <is>
          <t>no</t>
        </is>
      </c>
      <c r="AM222" s="3" t="inlineStr"/>
      <c r="AN222" s="3" t="inlineStr"/>
      <c r="AO222" s="3" t="inlineStr"/>
      <c r="AP222" s="3" t="inlineStr">
        <is>
          <t>v3_2026-03-19</t>
        </is>
      </c>
    </row>
    <row r="223">
      <c r="A223" s="3" t="inlineStr">
        <is>
          <t>Q45_B</t>
        </is>
      </c>
      <c r="B223" s="3" t="n">
        <v>45</v>
      </c>
      <c r="C223" s="3" t="n">
        <v>45</v>
      </c>
      <c r="D223" s="3" t="inlineStr">
        <is>
          <t>Core</t>
        </is>
      </c>
      <c r="E223" s="3" t="n">
        <v>1.35</v>
      </c>
      <c r="F223" s="3" t="inlineStr">
        <is>
          <t>EmotionalNeeds</t>
        </is>
      </c>
      <c r="G223" s="3" t="inlineStr">
        <is>
          <t>IntimacyThreshold</t>
        </is>
      </c>
      <c r="H223" s="3" t="inlineStr"/>
      <c r="I223" s="3" t="inlineStr">
        <is>
          <t>B</t>
        </is>
      </c>
      <c r="J223" s="3" t="inlineStr">
        <is>
          <t>B</t>
        </is>
      </c>
      <c r="K223" s="3" t="inlineStr">
        <is>
          <t>If they gave me space without making me feel guilty , just stayed steady in the background.</t>
        </is>
      </c>
      <c r="L223" s="3" t="n">
        <v>8</v>
      </c>
      <c r="M223" s="3" t="n">
        <v>9</v>
      </c>
      <c r="N223" s="3" t="n">
        <v>4</v>
      </c>
      <c r="O223" s="3" t="n">
        <v>6</v>
      </c>
      <c r="P223" s="3" t="n">
        <v>2</v>
      </c>
      <c r="Q223" s="3" t="inlineStr">
        <is>
          <t>Icebox</t>
        </is>
      </c>
      <c r="R223" s="3" t="n">
        <v>1</v>
      </c>
      <c r="S223" s="3" t="inlineStr"/>
      <c r="T223" s="3" t="inlineStr"/>
      <c r="U223" s="3" t="n">
        <v>0</v>
      </c>
      <c r="V223" s="3" t="inlineStr">
        <is>
          <t>masc:1.8;fem:-1.6</t>
        </is>
      </c>
      <c r="W223" s="3" t="n">
        <v>1.8</v>
      </c>
      <c r="X223" s="3" t="n">
        <v>-1.6</v>
      </c>
      <c r="Y223" s="3" t="inlineStr">
        <is>
          <t>COMM_Avoidant</t>
        </is>
      </c>
      <c r="Z223" s="3" t="inlineStr">
        <is>
          <t>REG_Suppressor</t>
        </is>
      </c>
      <c r="AA223" s="3" t="inlineStr">
        <is>
          <t>LANG_Time</t>
        </is>
      </c>
      <c r="AB223" s="3" t="inlineStr"/>
      <c r="AC223" s="3" t="inlineStr"/>
      <c r="AD223" s="3" t="inlineStr"/>
      <c r="AE223" s="3" t="n">
        <v>0</v>
      </c>
      <c r="AF223" s="3" t="inlineStr">
        <is>
          <t>stability without intrusion</t>
        </is>
      </c>
      <c r="AG223" s="3" t="inlineStr">
        <is>
          <t>distance-aware supporter</t>
        </is>
      </c>
      <c r="AH223" s="3" t="n">
        <v>0.6</v>
      </c>
      <c r="AI223" s="3" t="inlineStr">
        <is>
          <t>no</t>
        </is>
      </c>
      <c r="AJ223" s="3" t="inlineStr">
        <is>
          <t>no</t>
        </is>
      </c>
      <c r="AK223" s="3" t="inlineStr">
        <is>
          <t>no</t>
        </is>
      </c>
      <c r="AL223" s="3" t="inlineStr">
        <is>
          <t>no</t>
        </is>
      </c>
      <c r="AM223" s="3" t="inlineStr"/>
      <c r="AN223" s="3" t="inlineStr"/>
      <c r="AO223" s="3" t="inlineStr"/>
      <c r="AP223" s="3" t="inlineStr">
        <is>
          <t>v3_2026-03-19</t>
        </is>
      </c>
    </row>
    <row r="224">
      <c r="A224" s="3" t="inlineStr">
        <is>
          <t>Q45_C</t>
        </is>
      </c>
      <c r="B224" s="3" t="n">
        <v>45</v>
      </c>
      <c r="C224" s="3" t="n">
        <v>45</v>
      </c>
      <c r="D224" s="3" t="inlineStr">
        <is>
          <t>Core</t>
        </is>
      </c>
      <c r="E224" s="3" t="n">
        <v>1.35</v>
      </c>
      <c r="F224" s="3" t="inlineStr">
        <is>
          <t>EmotionalNeeds</t>
        </is>
      </c>
      <c r="G224" s="3" t="inlineStr">
        <is>
          <t>IntimacyThreshold</t>
        </is>
      </c>
      <c r="H224" s="3" t="inlineStr"/>
      <c r="I224" s="3" t="inlineStr">
        <is>
          <t>C</t>
        </is>
      </c>
      <c r="J224" s="3" t="inlineStr">
        <is>
          <t>C</t>
        </is>
      </c>
      <c r="K224" s="3" t="inlineStr">
        <is>
          <t>If they directly asked, "You good?" but gently , just enough to open the door.</t>
        </is>
      </c>
      <c r="L224" s="3" t="n">
        <v>9</v>
      </c>
      <c r="M224" s="3" t="n">
        <v>9</v>
      </c>
      <c r="N224" s="3" t="n">
        <v>10</v>
      </c>
      <c r="O224" s="3" t="n">
        <v>8</v>
      </c>
      <c r="P224" s="3" t="n">
        <v>8</v>
      </c>
      <c r="Q224" s="3" t="inlineStr">
        <is>
          <t>Analyzer</t>
        </is>
      </c>
      <c r="R224" s="3" t="n">
        <v>2</v>
      </c>
      <c r="S224" s="3" t="inlineStr"/>
      <c r="T224" s="3" t="inlineStr"/>
      <c r="U224" s="3" t="n">
        <v>0</v>
      </c>
      <c r="V224" s="3" t="inlineStr">
        <is>
          <t>masc:1.4;fem:0.1</t>
        </is>
      </c>
      <c r="W224" s="3" t="n">
        <v>1.4</v>
      </c>
      <c r="X224" s="3" t="n">
        <v>0.1</v>
      </c>
      <c r="Y224" s="3" t="inlineStr">
        <is>
          <t>COMM_Logical</t>
        </is>
      </c>
      <c r="Z224" s="3" t="inlineStr">
        <is>
          <t>REG_SelfSoother</t>
        </is>
      </c>
      <c r="AA224" s="3" t="inlineStr">
        <is>
          <t>LANG_Service</t>
        </is>
      </c>
      <c r="AB224" s="3" t="inlineStr"/>
      <c r="AC224" s="3" t="inlineStr"/>
      <c r="AD224" s="3" t="inlineStr"/>
      <c r="AE224" s="3" t="n">
        <v>0</v>
      </c>
      <c r="AF224" s="3" t="inlineStr">
        <is>
          <t>soft prompt, no pressure</t>
        </is>
      </c>
      <c r="AG224" s="3" t="inlineStr">
        <is>
          <t>curious empath</t>
        </is>
      </c>
      <c r="AH224" s="3" t="n">
        <v>0</v>
      </c>
      <c r="AI224" s="3" t="inlineStr">
        <is>
          <t>no</t>
        </is>
      </c>
      <c r="AJ224" s="3" t="inlineStr">
        <is>
          <t>no</t>
        </is>
      </c>
      <c r="AK224" s="3" t="inlineStr">
        <is>
          <t>no</t>
        </is>
      </c>
      <c r="AL224" s="3" t="inlineStr">
        <is>
          <t>no</t>
        </is>
      </c>
      <c r="AM224" s="3" t="inlineStr"/>
      <c r="AN224" s="3" t="inlineStr"/>
      <c r="AO224" s="3" t="inlineStr"/>
      <c r="AP224" s="3" t="inlineStr">
        <is>
          <t>v3_2026-03-19</t>
        </is>
      </c>
    </row>
    <row r="225">
      <c r="A225" s="3" t="inlineStr">
        <is>
          <t>Q45_D</t>
        </is>
      </c>
      <c r="B225" s="3" t="n">
        <v>45</v>
      </c>
      <c r="C225" s="3" t="n">
        <v>45</v>
      </c>
      <c r="D225" s="3" t="inlineStr">
        <is>
          <t>Core</t>
        </is>
      </c>
      <c r="E225" s="3" t="n">
        <v>1.35</v>
      </c>
      <c r="F225" s="3" t="inlineStr">
        <is>
          <t>EmotionalNeeds</t>
        </is>
      </c>
      <c r="G225" s="3" t="inlineStr">
        <is>
          <t>IntimacyThreshold</t>
        </is>
      </c>
      <c r="H225" s="3" t="inlineStr"/>
      <c r="I225" s="3" t="inlineStr">
        <is>
          <t>D</t>
        </is>
      </c>
      <c r="J225" s="3" t="inlineStr">
        <is>
          <t>D</t>
        </is>
      </c>
      <c r="K225" s="3" t="inlineStr">
        <is>
          <t>If they reminded me what we are , through words, effort, or energy. Something consistent.</t>
        </is>
      </c>
      <c r="L225" s="3" t="n">
        <v>9</v>
      </c>
      <c r="M225" s="3" t="n">
        <v>9</v>
      </c>
      <c r="N225" s="3" t="n">
        <v>10</v>
      </c>
      <c r="O225" s="3" t="n">
        <v>10</v>
      </c>
      <c r="P225" s="3" t="n">
        <v>10</v>
      </c>
      <c r="Q225" s="3" t="inlineStr">
        <is>
          <t>Fixer</t>
        </is>
      </c>
      <c r="R225" s="3" t="n">
        <v>5</v>
      </c>
      <c r="S225" s="3" t="inlineStr"/>
      <c r="T225" s="3" t="inlineStr"/>
      <c r="U225" s="3" t="n">
        <v>0</v>
      </c>
      <c r="V225" s="3" t="inlineStr">
        <is>
          <t>masc:-0.4;fem:2.0</t>
        </is>
      </c>
      <c r="W225" s="3" t="n">
        <v>-0.4</v>
      </c>
      <c r="X225" s="3" t="n">
        <v>2</v>
      </c>
      <c r="Y225" s="3" t="inlineStr">
        <is>
          <t>COMM_Emotional</t>
        </is>
      </c>
      <c r="Z225" s="3" t="inlineStr">
        <is>
          <t>REG_CoRegulator</t>
        </is>
      </c>
      <c r="AA225" s="3" t="inlineStr">
        <is>
          <t>LANG_Service</t>
        </is>
      </c>
      <c r="AB225" s="3" t="inlineStr"/>
      <c r="AC225" s="3" t="inlineStr"/>
      <c r="AD225" s="3" t="inlineStr"/>
      <c r="AE225" s="3" t="n">
        <v>0</v>
      </c>
      <c r="AF225" s="3" t="inlineStr">
        <is>
          <t>reassurance via reinforcement</t>
        </is>
      </c>
      <c r="AG225" s="3" t="inlineStr">
        <is>
          <t>consistent affirmer</t>
        </is>
      </c>
      <c r="AH225" s="3" t="n">
        <v>0</v>
      </c>
      <c r="AI225" s="3" t="inlineStr">
        <is>
          <t>no</t>
        </is>
      </c>
      <c r="AJ225" s="3" t="inlineStr">
        <is>
          <t>no</t>
        </is>
      </c>
      <c r="AK225" s="3" t="inlineStr">
        <is>
          <t>no</t>
        </is>
      </c>
      <c r="AL225" s="3" t="inlineStr">
        <is>
          <t>no</t>
        </is>
      </c>
      <c r="AM225" s="3" t="inlineStr"/>
      <c r="AN225" s="3" t="inlineStr"/>
      <c r="AO225" s="3" t="inlineStr"/>
      <c r="AP225" s="3" t="inlineStr">
        <is>
          <t>v3_2026-03-19</t>
        </is>
      </c>
    </row>
    <row r="226">
      <c r="A226" s="3" t="inlineStr">
        <is>
          <t>Q45_E</t>
        </is>
      </c>
      <c r="B226" s="3" t="n">
        <v>45</v>
      </c>
      <c r="C226" s="3" t="n">
        <v>45</v>
      </c>
      <c r="D226" s="3" t="inlineStr">
        <is>
          <t>Core</t>
        </is>
      </c>
      <c r="E226" s="3" t="n">
        <v>1.35</v>
      </c>
      <c r="F226" s="3" t="inlineStr">
        <is>
          <t>EmotionalNeeds</t>
        </is>
      </c>
      <c r="G226" s="3" t="inlineStr">
        <is>
          <t>IntimacyThreshold</t>
        </is>
      </c>
      <c r="H226" s="3" t="inlineStr"/>
      <c r="I226" s="3" t="inlineStr">
        <is>
          <t>E</t>
        </is>
      </c>
      <c r="J226" s="3" t="inlineStr">
        <is>
          <t>E</t>
        </is>
      </c>
      <c r="K226" s="3" t="inlineStr">
        <is>
          <t>If they didn't try to solve it , just sat with me in it. Showed me they don't need me to be okay to stay.</t>
        </is>
      </c>
      <c r="L226" s="3" t="n">
        <v>10</v>
      </c>
      <c r="M226" s="3" t="n">
        <v>10</v>
      </c>
      <c r="N226" s="3" t="n">
        <v>10</v>
      </c>
      <c r="O226" s="3" t="n">
        <v>10</v>
      </c>
      <c r="P226" s="3" t="n">
        <v>10</v>
      </c>
      <c r="Q226" s="3" t="inlineStr">
        <is>
          <t>Regulated Grown-Up</t>
        </is>
      </c>
      <c r="R226" s="3" t="n">
        <v>9</v>
      </c>
      <c r="S226" s="3" t="inlineStr"/>
      <c r="T226" s="3" t="inlineStr"/>
      <c r="U226" s="3" t="n">
        <v>0</v>
      </c>
      <c r="V226" s="3" t="inlineStr">
        <is>
          <t>masc:1.1;fem:0.9</t>
        </is>
      </c>
      <c r="W226" s="3" t="n">
        <v>1.1</v>
      </c>
      <c r="X226" s="3" t="n">
        <v>0.9</v>
      </c>
      <c r="Y226" s="3" t="inlineStr">
        <is>
          <t>COMM_Direct</t>
        </is>
      </c>
      <c r="Z226" s="3" t="inlineStr">
        <is>
          <t>REG_CoRegulator</t>
        </is>
      </c>
      <c r="AA226" s="3" t="inlineStr">
        <is>
          <t>LANG_Words</t>
        </is>
      </c>
      <c r="AB226" s="3" t="inlineStr"/>
      <c r="AC226" s="3" t="inlineStr"/>
      <c r="AD226" s="3" t="inlineStr"/>
      <c r="AE226" s="3" t="n">
        <v>0</v>
      </c>
      <c r="AF226" s="3" t="inlineStr">
        <is>
          <t>emotional co-anchor</t>
        </is>
      </c>
      <c r="AG226" s="3" t="inlineStr">
        <is>
          <t>steady attuner</t>
        </is>
      </c>
      <c r="AH226" s="3" t="n">
        <v>0</v>
      </c>
      <c r="AI226" s="3" t="inlineStr">
        <is>
          <t>no</t>
        </is>
      </c>
      <c r="AJ226" s="3" t="inlineStr">
        <is>
          <t>no</t>
        </is>
      </c>
      <c r="AK226" s="3" t="inlineStr">
        <is>
          <t>no</t>
        </is>
      </c>
      <c r="AL226" s="3" t="inlineStr">
        <is>
          <t>no</t>
        </is>
      </c>
      <c r="AM226" s="3" t="inlineStr"/>
      <c r="AN226" s="3" t="inlineStr"/>
      <c r="AO226" s="3" t="inlineStr"/>
      <c r="AP226" s="3" t="inlineStr">
        <is>
          <t>v3_2026-03-19</t>
        </is>
      </c>
    </row>
    <row r="227">
      <c r="A227" s="3" t="inlineStr">
        <is>
          <t>Q46_A</t>
        </is>
      </c>
      <c r="B227" s="3" t="n">
        <v>46</v>
      </c>
      <c r="C227" s="3" t="n">
        <v>46</v>
      </c>
      <c r="D227" s="3" t="inlineStr">
        <is>
          <t>Core</t>
        </is>
      </c>
      <c r="E227" s="3" t="n">
        <v>1.35</v>
      </c>
      <c r="F227" s="3" t="inlineStr">
        <is>
          <t>EmotionalNeeds</t>
        </is>
      </c>
      <c r="G227" s="3" t="inlineStr">
        <is>
          <t>IntimacyThreshold</t>
        </is>
      </c>
      <c r="H227" s="3" t="inlineStr">
        <is>
          <t>You've just ended something heavy , a breakup, a fallout, a disappointment. What's your first move to reset?</t>
        </is>
      </c>
      <c r="I227" s="3" t="inlineStr">
        <is>
          <t>A</t>
        </is>
      </c>
      <c r="J227" s="3" t="inlineStr">
        <is>
          <t>A</t>
        </is>
      </c>
      <c r="K227" s="3" t="inlineStr">
        <is>
          <t>I isolate. Silence helps me sort what's mine vs. what was theirs.</t>
        </is>
      </c>
      <c r="L227" s="3" t="n">
        <v>8</v>
      </c>
      <c r="M227" s="3" t="n">
        <v>8</v>
      </c>
      <c r="N227" s="3" t="n">
        <v>4</v>
      </c>
      <c r="O227" s="3" t="n">
        <v>4</v>
      </c>
      <c r="P227" s="3" t="n">
        <v>2</v>
      </c>
      <c r="Q227" s="3" t="inlineStr">
        <is>
          <t>Icebox</t>
        </is>
      </c>
      <c r="R227" s="3" t="n">
        <v>1</v>
      </c>
      <c r="S227" s="3" t="inlineStr"/>
      <c r="T227" s="3" t="inlineStr"/>
      <c r="U227" s="3" t="n">
        <v>0</v>
      </c>
      <c r="V227" s="3" t="inlineStr">
        <is>
          <t>masc:1.8;fem:-1.6</t>
        </is>
      </c>
      <c r="W227" s="3" t="n">
        <v>1.8</v>
      </c>
      <c r="X227" s="3" t="n">
        <v>-1.6</v>
      </c>
      <c r="Y227" s="3" t="inlineStr">
        <is>
          <t>COMM_Avoidant</t>
        </is>
      </c>
      <c r="Z227" s="3" t="inlineStr">
        <is>
          <t>REG_Suppressor</t>
        </is>
      </c>
      <c r="AA227" s="3" t="inlineStr">
        <is>
          <t>LANG_Time</t>
        </is>
      </c>
      <c r="AB227" s="3" t="inlineStr"/>
      <c r="AC227" s="3" t="inlineStr"/>
      <c r="AD227" s="3" t="inlineStr"/>
      <c r="AE227" s="3" t="n">
        <v>0</v>
      </c>
      <c r="AF227" s="3" t="inlineStr">
        <is>
          <t>solitary cleanse</t>
        </is>
      </c>
      <c r="AG227" s="3" t="inlineStr">
        <is>
          <t>self-resetter</t>
        </is>
      </c>
      <c r="AH227" s="3" t="n">
        <v>0</v>
      </c>
      <c r="AI227" s="3" t="inlineStr">
        <is>
          <t>no</t>
        </is>
      </c>
      <c r="AJ227" s="3" t="inlineStr">
        <is>
          <t>no</t>
        </is>
      </c>
      <c r="AK227" s="3" t="inlineStr">
        <is>
          <t>no</t>
        </is>
      </c>
      <c r="AL227" s="3" t="inlineStr">
        <is>
          <t>no</t>
        </is>
      </c>
      <c r="AM227" s="3" t="inlineStr"/>
      <c r="AN227" s="3" t="inlineStr"/>
      <c r="AO227" s="3" t="inlineStr"/>
      <c r="AP227" s="3" t="inlineStr">
        <is>
          <t>v3_2026-03-19</t>
        </is>
      </c>
    </row>
    <row r="228">
      <c r="A228" s="3" t="inlineStr">
        <is>
          <t>Q46_B</t>
        </is>
      </c>
      <c r="B228" s="3" t="n">
        <v>46</v>
      </c>
      <c r="C228" s="3" t="n">
        <v>46</v>
      </c>
      <c r="D228" s="3" t="inlineStr">
        <is>
          <t>Core</t>
        </is>
      </c>
      <c r="E228" s="3" t="n">
        <v>1.35</v>
      </c>
      <c r="F228" s="3" t="inlineStr">
        <is>
          <t>EmotionalNeeds</t>
        </is>
      </c>
      <c r="G228" s="3" t="inlineStr">
        <is>
          <t>IntimacyThreshold</t>
        </is>
      </c>
      <c r="H228" s="3" t="inlineStr"/>
      <c r="I228" s="3" t="inlineStr">
        <is>
          <t>B</t>
        </is>
      </c>
      <c r="J228" s="3" t="inlineStr">
        <is>
          <t>B</t>
        </is>
      </c>
      <c r="K228" s="3" t="inlineStr">
        <is>
          <t>I spiral a bit, replaying everything, wondering what I could've done differently.</t>
        </is>
      </c>
      <c r="L228" s="3" t="n">
        <v>4</v>
      </c>
      <c r="M228" s="3" t="n">
        <v>5</v>
      </c>
      <c r="N228" s="3" t="n">
        <v>2</v>
      </c>
      <c r="O228" s="3" t="n">
        <v>2</v>
      </c>
      <c r="P228" s="3" t="n">
        <v>0</v>
      </c>
      <c r="Q228" s="3" t="inlineStr">
        <is>
          <t>Phantom Seeker</t>
        </is>
      </c>
      <c r="R228" s="3" t="n">
        <v>10</v>
      </c>
      <c r="S228" s="3" t="inlineStr"/>
      <c r="T228" s="3" t="inlineStr"/>
      <c r="U228" s="3" t="n">
        <v>0</v>
      </c>
      <c r="V228" s="3" t="inlineStr">
        <is>
          <t>masc:-0.2;fem:1.5</t>
        </is>
      </c>
      <c r="W228" s="3" t="n">
        <v>-0.2</v>
      </c>
      <c r="X228" s="3" t="n">
        <v>1.5</v>
      </c>
      <c r="Y228" s="3" t="inlineStr">
        <is>
          <t>COMM_Emotional</t>
        </is>
      </c>
      <c r="Z228" s="3" t="inlineStr">
        <is>
          <t>REG_SelfSoother</t>
        </is>
      </c>
      <c r="AA228" s="3" t="inlineStr">
        <is>
          <t>LANG_Touch</t>
        </is>
      </c>
      <c r="AB228" s="3" t="inlineStr">
        <is>
          <t>Vulnerability_Loop</t>
        </is>
      </c>
      <c r="AC228" s="3" t="inlineStr">
        <is>
          <t>Vulnerability_Loop</t>
        </is>
      </c>
      <c r="AD228" s="3" t="inlineStr"/>
      <c r="AE228" s="3" t="n">
        <v>5</v>
      </c>
      <c r="AF228" s="3" t="inlineStr">
        <is>
          <t>regret loop recovery</t>
        </is>
      </c>
      <c r="AG228" s="3" t="inlineStr">
        <is>
          <t>self-blamer</t>
        </is>
      </c>
      <c r="AH228" s="3" t="n">
        <v>0</v>
      </c>
      <c r="AI228" s="3" t="inlineStr">
        <is>
          <t>yes</t>
        </is>
      </c>
      <c r="AJ228" s="3" t="inlineStr">
        <is>
          <t>no</t>
        </is>
      </c>
      <c r="AK228" s="3" t="inlineStr">
        <is>
          <t>no</t>
        </is>
      </c>
      <c r="AL228" s="3" t="inlineStr">
        <is>
          <t>no</t>
        </is>
      </c>
      <c r="AM228" s="3" t="inlineStr"/>
      <c r="AN228" s="3" t="inlineStr"/>
      <c r="AO228" s="3" t="inlineStr"/>
      <c r="AP228" s="3" t="inlineStr">
        <is>
          <t>v3_2026-03-19</t>
        </is>
      </c>
    </row>
    <row r="229">
      <c r="A229" s="3" t="inlineStr">
        <is>
          <t>Q46_C</t>
        </is>
      </c>
      <c r="B229" s="3" t="n">
        <v>46</v>
      </c>
      <c r="C229" s="3" t="n">
        <v>46</v>
      </c>
      <c r="D229" s="3" t="inlineStr">
        <is>
          <t>Core</t>
        </is>
      </c>
      <c r="E229" s="3" t="n">
        <v>1.35</v>
      </c>
      <c r="F229" s="3" t="inlineStr">
        <is>
          <t>EmotionalNeeds</t>
        </is>
      </c>
      <c r="G229" s="3" t="inlineStr">
        <is>
          <t>IntimacyThreshold</t>
        </is>
      </c>
      <c r="H229" s="3" t="inlineStr"/>
      <c r="I229" s="3" t="inlineStr">
        <is>
          <t>C</t>
        </is>
      </c>
      <c r="J229" s="3" t="inlineStr">
        <is>
          <t>C</t>
        </is>
      </c>
      <c r="K229" s="3" t="inlineStr">
        <is>
          <t>I try to understand the pattern. If I can decode it, maybe I won't repeat it.</t>
        </is>
      </c>
      <c r="L229" s="3" t="n">
        <v>9</v>
      </c>
      <c r="M229" s="3" t="n">
        <v>9</v>
      </c>
      <c r="N229" s="3" t="n">
        <v>10</v>
      </c>
      <c r="O229" s="3" t="n">
        <v>8</v>
      </c>
      <c r="P229" s="3" t="n">
        <v>8</v>
      </c>
      <c r="Q229" s="3" t="inlineStr">
        <is>
          <t>Analyzer</t>
        </is>
      </c>
      <c r="R229" s="3" t="n">
        <v>2</v>
      </c>
      <c r="S229" s="3" t="inlineStr"/>
      <c r="T229" s="3" t="inlineStr"/>
      <c r="U229" s="3" t="n">
        <v>0</v>
      </c>
      <c r="V229" s="3" t="inlineStr">
        <is>
          <t>masc:1.4;fem:0.1</t>
        </is>
      </c>
      <c r="W229" s="3" t="n">
        <v>1.4</v>
      </c>
      <c r="X229" s="3" t="n">
        <v>0.1</v>
      </c>
      <c r="Y229" s="3" t="inlineStr">
        <is>
          <t>COMM_Logical</t>
        </is>
      </c>
      <c r="Z229" s="3" t="inlineStr">
        <is>
          <t>REG_SelfSoother</t>
        </is>
      </c>
      <c r="AA229" s="3" t="inlineStr">
        <is>
          <t>LANG_Service</t>
        </is>
      </c>
      <c r="AB229" s="3" t="inlineStr"/>
      <c r="AC229" s="3" t="inlineStr"/>
      <c r="AD229" s="3" t="inlineStr"/>
      <c r="AE229" s="3" t="n">
        <v>0</v>
      </c>
      <c r="AF229" s="3" t="inlineStr">
        <is>
          <t>postmortem patterning</t>
        </is>
      </c>
      <c r="AG229" s="3" t="inlineStr">
        <is>
          <t>clarity seeker</t>
        </is>
      </c>
      <c r="AH229" s="3" t="n">
        <v>0</v>
      </c>
      <c r="AI229" s="3" t="inlineStr">
        <is>
          <t>no</t>
        </is>
      </c>
      <c r="AJ229" s="3" t="inlineStr">
        <is>
          <t>no</t>
        </is>
      </c>
      <c r="AK229" s="3" t="inlineStr">
        <is>
          <t>no</t>
        </is>
      </c>
      <c r="AL229" s="3" t="inlineStr">
        <is>
          <t>no</t>
        </is>
      </c>
      <c r="AM229" s="3" t="inlineStr"/>
      <c r="AN229" s="3" t="inlineStr"/>
      <c r="AO229" s="3" t="inlineStr"/>
      <c r="AP229" s="3" t="inlineStr">
        <is>
          <t>v3_2026-03-19</t>
        </is>
      </c>
    </row>
    <row r="230">
      <c r="A230" s="3" t="inlineStr">
        <is>
          <t>Q46_D</t>
        </is>
      </c>
      <c r="B230" s="3" t="n">
        <v>46</v>
      </c>
      <c r="C230" s="3" t="n">
        <v>46</v>
      </c>
      <c r="D230" s="3" t="inlineStr">
        <is>
          <t>Core</t>
        </is>
      </c>
      <c r="E230" s="3" t="n">
        <v>1.35</v>
      </c>
      <c r="F230" s="3" t="inlineStr">
        <is>
          <t>EmotionalNeeds</t>
        </is>
      </c>
      <c r="G230" s="3" t="inlineStr">
        <is>
          <t>IntimacyThreshold</t>
        </is>
      </c>
      <c r="H230" s="3" t="inlineStr"/>
      <c r="I230" s="3" t="inlineStr">
        <is>
          <t>D</t>
        </is>
      </c>
      <c r="J230" s="3" t="inlineStr">
        <is>
          <t>D</t>
        </is>
      </c>
      <c r="K230" s="3" t="inlineStr">
        <is>
          <t>I stay in motion. Work, plans, people. Anything but stillness.</t>
        </is>
      </c>
      <c r="L230" s="3" t="n">
        <v>5</v>
      </c>
      <c r="M230" s="3" t="n">
        <v>6</v>
      </c>
      <c r="N230" s="3" t="n">
        <v>2</v>
      </c>
      <c r="O230" s="3" t="n">
        <v>2</v>
      </c>
      <c r="P230" s="3" t="n">
        <v>0</v>
      </c>
      <c r="Q230" s="3" t="inlineStr">
        <is>
          <t>Performer</t>
        </is>
      </c>
      <c r="R230" s="3" t="n">
        <v>7</v>
      </c>
      <c r="S230" s="3" t="inlineStr"/>
      <c r="T230" s="3" t="inlineStr"/>
      <c r="U230" s="3" t="n">
        <v>0</v>
      </c>
      <c r="V230" s="3" t="inlineStr">
        <is>
          <t>masc:0.3;fem:0.5</t>
        </is>
      </c>
      <c r="W230" s="3" t="n">
        <v>0.3</v>
      </c>
      <c r="X230" s="3" t="n">
        <v>0.5</v>
      </c>
      <c r="Y230" s="3" t="inlineStr">
        <is>
          <t>COMM_Indirect</t>
        </is>
      </c>
      <c r="Z230" s="3" t="inlineStr">
        <is>
          <t>REG_Distractor</t>
        </is>
      </c>
      <c r="AA230" s="3" t="inlineStr">
        <is>
          <t>LANG_Gifts</t>
        </is>
      </c>
      <c r="AB230" s="3" t="inlineStr">
        <is>
          <t>Vulnerability_Loop</t>
        </is>
      </c>
      <c r="AC230" s="3" t="inlineStr">
        <is>
          <t>Vulnerability_Loop</t>
        </is>
      </c>
      <c r="AD230" s="3" t="inlineStr"/>
      <c r="AE230" s="3" t="n">
        <v>5</v>
      </c>
      <c r="AF230" s="3" t="inlineStr">
        <is>
          <t>distraction sprint</t>
        </is>
      </c>
      <c r="AG230" s="3" t="inlineStr">
        <is>
          <t>motion masker</t>
        </is>
      </c>
      <c r="AH230" s="3" t="n">
        <v>0.6</v>
      </c>
      <c r="AI230" s="3" t="inlineStr">
        <is>
          <t>yes</t>
        </is>
      </c>
      <c r="AJ230" s="3" t="inlineStr">
        <is>
          <t>no</t>
        </is>
      </c>
      <c r="AK230" s="3" t="inlineStr">
        <is>
          <t>no</t>
        </is>
      </c>
      <c r="AL230" s="3" t="inlineStr">
        <is>
          <t>no</t>
        </is>
      </c>
      <c r="AM230" s="3" t="inlineStr"/>
      <c r="AN230" s="3" t="inlineStr"/>
      <c r="AO230" s="3" t="inlineStr"/>
      <c r="AP230" s="3" t="inlineStr">
        <is>
          <t>v3_2026-03-19</t>
        </is>
      </c>
    </row>
    <row r="231">
      <c r="A231" s="3" t="inlineStr">
        <is>
          <t>Q46_E</t>
        </is>
      </c>
      <c r="B231" s="3" t="n">
        <v>46</v>
      </c>
      <c r="C231" s="3" t="n">
        <v>46</v>
      </c>
      <c r="D231" s="3" t="inlineStr">
        <is>
          <t>Core</t>
        </is>
      </c>
      <c r="E231" s="3" t="n">
        <v>1.35</v>
      </c>
      <c r="F231" s="3" t="inlineStr">
        <is>
          <t>EmotionalNeeds</t>
        </is>
      </c>
      <c r="G231" s="3" t="inlineStr">
        <is>
          <t>IntimacyThreshold</t>
        </is>
      </c>
      <c r="H231" s="3" t="inlineStr"/>
      <c r="I231" s="3" t="inlineStr">
        <is>
          <t>E</t>
        </is>
      </c>
      <c r="J231" s="3" t="inlineStr">
        <is>
          <t>E</t>
        </is>
      </c>
      <c r="K231" s="3" t="inlineStr">
        <is>
          <t>I sit with it. Write, reflect, pray. I don't rush the grief, I honor it.</t>
        </is>
      </c>
      <c r="L231" s="3" t="n">
        <v>10</v>
      </c>
      <c r="M231" s="3" t="n">
        <v>10</v>
      </c>
      <c r="N231" s="3" t="n">
        <v>10</v>
      </c>
      <c r="O231" s="3" t="n">
        <v>10</v>
      </c>
      <c r="P231" s="3" t="n">
        <v>10</v>
      </c>
      <c r="Q231" s="3" t="inlineStr">
        <is>
          <t>Regulated Grown-Up</t>
        </is>
      </c>
      <c r="R231" s="3" t="n">
        <v>9</v>
      </c>
      <c r="S231" s="3" t="inlineStr"/>
      <c r="T231" s="3" t="inlineStr"/>
      <c r="U231" s="3" t="n">
        <v>0</v>
      </c>
      <c r="V231" s="3" t="inlineStr">
        <is>
          <t>masc:1.1;fem:0.9</t>
        </is>
      </c>
      <c r="W231" s="3" t="n">
        <v>1.1</v>
      </c>
      <c r="X231" s="3" t="n">
        <v>0.9</v>
      </c>
      <c r="Y231" s="3" t="inlineStr">
        <is>
          <t>COMM_Direct</t>
        </is>
      </c>
      <c r="Z231" s="3" t="inlineStr">
        <is>
          <t>REG_CoRegulator</t>
        </is>
      </c>
      <c r="AA231" s="3" t="inlineStr">
        <is>
          <t>LANG_Words</t>
        </is>
      </c>
      <c r="AB231" s="3" t="inlineStr"/>
      <c r="AC231" s="3" t="inlineStr"/>
      <c r="AD231" s="3" t="inlineStr"/>
      <c r="AE231" s="3" t="n">
        <v>0</v>
      </c>
      <c r="AF231" s="3" t="inlineStr">
        <is>
          <t>intentional processing</t>
        </is>
      </c>
      <c r="AG231" s="3" t="inlineStr">
        <is>
          <t>mindful processor</t>
        </is>
      </c>
      <c r="AH231" s="3" t="n">
        <v>0</v>
      </c>
      <c r="AI231" s="3" t="inlineStr">
        <is>
          <t>no</t>
        </is>
      </c>
      <c r="AJ231" s="3" t="inlineStr">
        <is>
          <t>no</t>
        </is>
      </c>
      <c r="AK231" s="3" t="inlineStr">
        <is>
          <t>no</t>
        </is>
      </c>
      <c r="AL231" s="3" t="inlineStr">
        <is>
          <t>no</t>
        </is>
      </c>
      <c r="AM231" s="3" t="inlineStr"/>
      <c r="AN231" s="3" t="inlineStr"/>
      <c r="AO231" s="3" t="inlineStr"/>
      <c r="AP231" s="3" t="inlineStr">
        <is>
          <t>v3_2026-03-19</t>
        </is>
      </c>
    </row>
    <row r="232">
      <c r="A232" s="3" t="inlineStr">
        <is>
          <t>Q47_A</t>
        </is>
      </c>
      <c r="B232" s="3" t="n">
        <v>47</v>
      </c>
      <c r="C232" s="3" t="n">
        <v>47</v>
      </c>
      <c r="D232" s="3" t="inlineStr">
        <is>
          <t>Core</t>
        </is>
      </c>
      <c r="E232" s="3" t="n">
        <v>1.35</v>
      </c>
      <c r="F232" s="3" t="inlineStr">
        <is>
          <t>EmotionalNeeds</t>
        </is>
      </c>
      <c r="G232" s="3" t="inlineStr">
        <is>
          <t>IntimacyThreshold</t>
        </is>
      </c>
      <c r="H232" s="3" t="inlineStr">
        <is>
          <t>When someone shows up for you without you asking, emotionally, practically, consistently, how do you usually feel?</t>
        </is>
      </c>
      <c r="I232" s="3" t="inlineStr">
        <is>
          <t>A</t>
        </is>
      </c>
      <c r="J232" s="3" t="inlineStr">
        <is>
          <t>A</t>
        </is>
      </c>
      <c r="K232" s="3" t="inlineStr">
        <is>
          <t>Guilty. I'm not used to people giving without a reason.</t>
        </is>
      </c>
      <c r="L232" s="3" t="n">
        <v>5</v>
      </c>
      <c r="M232" s="3" t="n">
        <v>6</v>
      </c>
      <c r="N232" s="3" t="n">
        <v>4</v>
      </c>
      <c r="O232" s="3" t="n">
        <v>4</v>
      </c>
      <c r="P232" s="3" t="n">
        <v>4</v>
      </c>
      <c r="Q232" s="3" t="inlineStr">
        <is>
          <t>Fixer</t>
        </is>
      </c>
      <c r="R232" s="3" t="n">
        <v>5</v>
      </c>
      <c r="S232" s="3" t="inlineStr"/>
      <c r="T232" s="3" t="inlineStr"/>
      <c r="U232" s="3" t="n">
        <v>0</v>
      </c>
      <c r="V232" s="3" t="inlineStr">
        <is>
          <t>masc:-0.4;fem:2.0</t>
        </is>
      </c>
      <c r="W232" s="3" t="n">
        <v>-0.4</v>
      </c>
      <c r="X232" s="3" t="n">
        <v>2</v>
      </c>
      <c r="Y232" s="3" t="inlineStr">
        <is>
          <t>COMM_Emotional</t>
        </is>
      </c>
      <c r="Z232" s="3" t="inlineStr">
        <is>
          <t>REG_CoRegulator</t>
        </is>
      </c>
      <c r="AA232" s="3" t="inlineStr">
        <is>
          <t>LANG_Service</t>
        </is>
      </c>
      <c r="AB232" s="3" t="inlineStr">
        <is>
          <t>Vulnerability_Loop</t>
        </is>
      </c>
      <c r="AC232" s="3" t="inlineStr">
        <is>
          <t>Vulnerability_Loop</t>
        </is>
      </c>
      <c r="AD232" s="3" t="inlineStr"/>
      <c r="AE232" s="3" t="n">
        <v>5</v>
      </c>
      <c r="AF232" s="3" t="inlineStr">
        <is>
          <t>reciprocity anxiety</t>
        </is>
      </c>
      <c r="AG232" s="3" t="inlineStr">
        <is>
          <t>uneasy receiver</t>
        </is>
      </c>
      <c r="AH232" s="3" t="n">
        <v>0.6</v>
      </c>
      <c r="AI232" s="3" t="inlineStr">
        <is>
          <t>yes</t>
        </is>
      </c>
      <c r="AJ232" s="3" t="inlineStr">
        <is>
          <t>no</t>
        </is>
      </c>
      <c r="AK232" s="3" t="inlineStr">
        <is>
          <t>no</t>
        </is>
      </c>
      <c r="AL232" s="3" t="inlineStr">
        <is>
          <t>no</t>
        </is>
      </c>
      <c r="AM232" s="3" t="inlineStr"/>
      <c r="AN232" s="3" t="inlineStr"/>
      <c r="AO232" s="3" t="inlineStr"/>
      <c r="AP232" s="3" t="inlineStr">
        <is>
          <t>v3_2026-03-19</t>
        </is>
      </c>
    </row>
    <row r="233">
      <c r="A233" s="3" t="inlineStr">
        <is>
          <t>Q47_B</t>
        </is>
      </c>
      <c r="B233" s="3" t="n">
        <v>47</v>
      </c>
      <c r="C233" s="3" t="n">
        <v>47</v>
      </c>
      <c r="D233" s="3" t="inlineStr">
        <is>
          <t>Core</t>
        </is>
      </c>
      <c r="E233" s="3" t="n">
        <v>1.35</v>
      </c>
      <c r="F233" s="3" t="inlineStr">
        <is>
          <t>EmotionalNeeds</t>
        </is>
      </c>
      <c r="G233" s="3" t="inlineStr">
        <is>
          <t>IntimacyThreshold</t>
        </is>
      </c>
      <c r="H233" s="3" t="inlineStr"/>
      <c r="I233" s="3" t="inlineStr">
        <is>
          <t>B</t>
        </is>
      </c>
      <c r="J233" s="3" t="inlineStr">
        <is>
          <t>B</t>
        </is>
      </c>
      <c r="K233" s="3" t="inlineStr">
        <is>
          <t>Exposed. I wonder what they'll expect in return.</t>
        </is>
      </c>
      <c r="L233" s="3" t="n">
        <v>6</v>
      </c>
      <c r="M233" s="3" t="n">
        <v>7</v>
      </c>
      <c r="N233" s="3" t="n">
        <v>2</v>
      </c>
      <c r="O233" s="3" t="n">
        <v>2</v>
      </c>
      <c r="P233" s="3" t="n">
        <v>0</v>
      </c>
      <c r="Q233" s="3" t="inlineStr">
        <is>
          <t>Icebox</t>
        </is>
      </c>
      <c r="R233" s="3" t="n">
        <v>1</v>
      </c>
      <c r="S233" s="3" t="inlineStr"/>
      <c r="T233" s="3" t="inlineStr"/>
      <c r="U233" s="3" t="n">
        <v>0</v>
      </c>
      <c r="V233" s="3" t="inlineStr">
        <is>
          <t>masc:1.8;fem:-1.6</t>
        </is>
      </c>
      <c r="W233" s="3" t="n">
        <v>1.8</v>
      </c>
      <c r="X233" s="3" t="n">
        <v>-1.6</v>
      </c>
      <c r="Y233" s="3" t="inlineStr">
        <is>
          <t>COMM_Avoidant</t>
        </is>
      </c>
      <c r="Z233" s="3" t="inlineStr">
        <is>
          <t>REG_Suppressor</t>
        </is>
      </c>
      <c r="AA233" s="3" t="inlineStr">
        <is>
          <t>LANG_Time</t>
        </is>
      </c>
      <c r="AB233" s="3" t="inlineStr">
        <is>
          <t>Vulnerability_Loop</t>
        </is>
      </c>
      <c r="AC233" s="3" t="inlineStr">
        <is>
          <t>Vulnerability_Loop</t>
        </is>
      </c>
      <c r="AD233" s="3" t="inlineStr"/>
      <c r="AE233" s="3" t="n">
        <v>5</v>
      </c>
      <c r="AF233" s="3" t="inlineStr">
        <is>
          <t>transaction suspicion</t>
        </is>
      </c>
      <c r="AG233" s="3" t="inlineStr">
        <is>
          <t>guarded accepter</t>
        </is>
      </c>
      <c r="AH233" s="3" t="n">
        <v>0</v>
      </c>
      <c r="AI233" s="3" t="inlineStr">
        <is>
          <t>yes</t>
        </is>
      </c>
      <c r="AJ233" s="3" t="inlineStr">
        <is>
          <t>no</t>
        </is>
      </c>
      <c r="AK233" s="3" t="inlineStr">
        <is>
          <t>no</t>
        </is>
      </c>
      <c r="AL233" s="3" t="inlineStr">
        <is>
          <t>no</t>
        </is>
      </c>
      <c r="AM233" s="3" t="inlineStr"/>
      <c r="AN233" s="3" t="inlineStr"/>
      <c r="AO233" s="3" t="inlineStr"/>
      <c r="AP233" s="3" t="inlineStr">
        <is>
          <t>v3_2026-03-19</t>
        </is>
      </c>
    </row>
    <row r="234">
      <c r="A234" s="3" t="inlineStr">
        <is>
          <t>Q47_C</t>
        </is>
      </c>
      <c r="B234" s="3" t="n">
        <v>47</v>
      </c>
      <c r="C234" s="3" t="n">
        <v>47</v>
      </c>
      <c r="D234" s="3" t="inlineStr">
        <is>
          <t>Core</t>
        </is>
      </c>
      <c r="E234" s="3" t="n">
        <v>1.35</v>
      </c>
      <c r="F234" s="3" t="inlineStr">
        <is>
          <t>EmotionalNeeds</t>
        </is>
      </c>
      <c r="G234" s="3" t="inlineStr">
        <is>
          <t>IntimacyThreshold</t>
        </is>
      </c>
      <c r="H234" s="3" t="inlineStr"/>
      <c r="I234" s="3" t="inlineStr">
        <is>
          <t>C</t>
        </is>
      </c>
      <c r="J234" s="3" t="inlineStr">
        <is>
          <t>C</t>
        </is>
      </c>
      <c r="K234" s="3" t="inlineStr">
        <is>
          <t>Relieved. It's rare. I try not to get too used to it.</t>
        </is>
      </c>
      <c r="L234" s="3" t="n">
        <v>7</v>
      </c>
      <c r="M234" s="3" t="n">
        <v>8</v>
      </c>
      <c r="N234" s="3" t="n">
        <v>6</v>
      </c>
      <c r="O234" s="3" t="n">
        <v>8</v>
      </c>
      <c r="P234" s="3" t="n">
        <v>6</v>
      </c>
      <c r="Q234" s="3" t="inlineStr">
        <is>
          <t>Survivor</t>
        </is>
      </c>
      <c r="R234" s="3" t="n">
        <v>8</v>
      </c>
      <c r="S234" s="3" t="inlineStr"/>
      <c r="T234" s="3" t="inlineStr"/>
      <c r="U234" s="3" t="n">
        <v>0</v>
      </c>
      <c r="V234" s="3" t="inlineStr">
        <is>
          <t>masc:0.3;fem:1.3</t>
        </is>
      </c>
      <c r="W234" s="3" t="n">
        <v>0.3</v>
      </c>
      <c r="X234" s="3" t="n">
        <v>1.3</v>
      </c>
      <c r="Y234" s="3" t="inlineStr">
        <is>
          <t>COMM_Emotional</t>
        </is>
      </c>
      <c r="Z234" s="3" t="inlineStr">
        <is>
          <t>REG_SelfSoother</t>
        </is>
      </c>
      <c r="AA234" s="3" t="inlineStr">
        <is>
          <t>LANG_Service</t>
        </is>
      </c>
      <c r="AB234" s="3" t="inlineStr"/>
      <c r="AC234" s="3" t="inlineStr"/>
      <c r="AD234" s="3" t="inlineStr"/>
      <c r="AE234" s="3" t="n">
        <v>0</v>
      </c>
      <c r="AF234" s="3" t="inlineStr">
        <is>
          <t>conditional ease</t>
        </is>
      </c>
      <c r="AG234" s="3" t="inlineStr">
        <is>
          <t>cautious truster</t>
        </is>
      </c>
      <c r="AH234" s="3" t="n">
        <v>0</v>
      </c>
      <c r="AI234" s="3" t="inlineStr">
        <is>
          <t>no</t>
        </is>
      </c>
      <c r="AJ234" s="3" t="inlineStr">
        <is>
          <t>no</t>
        </is>
      </c>
      <c r="AK234" s="3" t="inlineStr">
        <is>
          <t>no</t>
        </is>
      </c>
      <c r="AL234" s="3" t="inlineStr">
        <is>
          <t>no</t>
        </is>
      </c>
      <c r="AM234" s="3" t="inlineStr"/>
      <c r="AN234" s="3" t="inlineStr"/>
      <c r="AO234" s="3" t="inlineStr"/>
      <c r="AP234" s="3" t="inlineStr">
        <is>
          <t>v3_2026-03-19</t>
        </is>
      </c>
    </row>
    <row r="235">
      <c r="A235" s="3" t="inlineStr">
        <is>
          <t>Q47_D</t>
        </is>
      </c>
      <c r="B235" s="3" t="n">
        <v>47</v>
      </c>
      <c r="C235" s="3" t="n">
        <v>47</v>
      </c>
      <c r="D235" s="3" t="inlineStr">
        <is>
          <t>Core</t>
        </is>
      </c>
      <c r="E235" s="3" t="n">
        <v>1.35</v>
      </c>
      <c r="F235" s="3" t="inlineStr">
        <is>
          <t>EmotionalNeeds</t>
        </is>
      </c>
      <c r="G235" s="3" t="inlineStr">
        <is>
          <t>IntimacyThreshold</t>
        </is>
      </c>
      <c r="H235" s="3" t="inlineStr"/>
      <c r="I235" s="3" t="inlineStr">
        <is>
          <t>D</t>
        </is>
      </c>
      <c r="J235" s="3" t="inlineStr">
        <is>
          <t>D</t>
        </is>
      </c>
      <c r="K235" s="3" t="inlineStr">
        <is>
          <t>Skeptical. I question whether it's genuine or just temporary.</t>
        </is>
      </c>
      <c r="L235" s="3" t="n">
        <v>6</v>
      </c>
      <c r="M235" s="3" t="n">
        <v>7</v>
      </c>
      <c r="N235" s="3" t="n">
        <v>4</v>
      </c>
      <c r="O235" s="3" t="n">
        <v>6</v>
      </c>
      <c r="P235" s="3" t="n">
        <v>4</v>
      </c>
      <c r="Q235" s="3" t="inlineStr">
        <is>
          <t>Analyzer</t>
        </is>
      </c>
      <c r="R235" s="3" t="n">
        <v>2</v>
      </c>
      <c r="S235" s="3" t="inlineStr"/>
      <c r="T235" s="3" t="inlineStr"/>
      <c r="U235" s="3" t="n">
        <v>0</v>
      </c>
      <c r="V235" s="3" t="inlineStr">
        <is>
          <t>masc:1.4;fem:0.1</t>
        </is>
      </c>
      <c r="W235" s="3" t="n">
        <v>1.4</v>
      </c>
      <c r="X235" s="3" t="n">
        <v>0.1</v>
      </c>
      <c r="Y235" s="3" t="inlineStr">
        <is>
          <t>COMM_Logical</t>
        </is>
      </c>
      <c r="Z235" s="3" t="inlineStr">
        <is>
          <t>REG_SelfSoother</t>
        </is>
      </c>
      <c r="AA235" s="3" t="inlineStr">
        <is>
          <t>LANG_Service</t>
        </is>
      </c>
      <c r="AB235" s="3" t="inlineStr">
        <is>
          <t>Vulnerability_Loop</t>
        </is>
      </c>
      <c r="AC235" s="3" t="inlineStr">
        <is>
          <t>Vulnerability_Loop</t>
        </is>
      </c>
      <c r="AD235" s="3" t="inlineStr"/>
      <c r="AE235" s="3" t="n">
        <v>5</v>
      </c>
      <c r="AF235" s="3" t="inlineStr">
        <is>
          <t>authenticity test mode</t>
        </is>
      </c>
      <c r="AG235" s="3" t="inlineStr">
        <is>
          <t>motive checker</t>
        </is>
      </c>
      <c r="AH235" s="3" t="n">
        <v>0.6</v>
      </c>
      <c r="AI235" s="3" t="inlineStr">
        <is>
          <t>yes</t>
        </is>
      </c>
      <c r="AJ235" s="3" t="inlineStr">
        <is>
          <t>no</t>
        </is>
      </c>
      <c r="AK235" s="3" t="inlineStr">
        <is>
          <t>no</t>
        </is>
      </c>
      <c r="AL235" s="3" t="inlineStr">
        <is>
          <t>no</t>
        </is>
      </c>
      <c r="AM235" s="3" t="inlineStr"/>
      <c r="AN235" s="3" t="inlineStr"/>
      <c r="AO235" s="3" t="inlineStr"/>
      <c r="AP235" s="3" t="inlineStr">
        <is>
          <t>v3_2026-03-19</t>
        </is>
      </c>
    </row>
    <row r="236">
      <c r="A236" s="3" t="inlineStr">
        <is>
          <t>Q47_E</t>
        </is>
      </c>
      <c r="B236" s="3" t="n">
        <v>47</v>
      </c>
      <c r="C236" s="3" t="n">
        <v>47</v>
      </c>
      <c r="D236" s="3" t="inlineStr">
        <is>
          <t>Core</t>
        </is>
      </c>
      <c r="E236" s="3" t="n">
        <v>1.35</v>
      </c>
      <c r="F236" s="3" t="inlineStr">
        <is>
          <t>EmotionalNeeds</t>
        </is>
      </c>
      <c r="G236" s="3" t="inlineStr">
        <is>
          <t>IntimacyThreshold</t>
        </is>
      </c>
      <c r="H236" s="3" t="inlineStr"/>
      <c r="I236" s="3" t="inlineStr">
        <is>
          <t>E</t>
        </is>
      </c>
      <c r="J236" s="3" t="inlineStr">
        <is>
          <t>E</t>
        </is>
      </c>
      <c r="K236" s="3" t="inlineStr">
        <is>
          <t>Grateful. It feels earned somehow, like the healing version of what I always needed.</t>
        </is>
      </c>
      <c r="L236" s="3" t="n">
        <v>9</v>
      </c>
      <c r="M236" s="3" t="n">
        <v>9</v>
      </c>
      <c r="N236" s="3" t="n">
        <v>8</v>
      </c>
      <c r="O236" s="3" t="n">
        <v>8</v>
      </c>
      <c r="P236" s="3" t="n">
        <v>6</v>
      </c>
      <c r="Q236" s="3" t="inlineStr">
        <is>
          <t>Romantic Idealist</t>
        </is>
      </c>
      <c r="R236" s="3" t="n">
        <v>6</v>
      </c>
      <c r="S236" s="3" t="inlineStr"/>
      <c r="T236" s="3" t="inlineStr"/>
      <c r="U236" s="3" t="n">
        <v>0</v>
      </c>
      <c r="V236" s="3" t="inlineStr">
        <is>
          <t>masc:-0.4;fem:1.5</t>
        </is>
      </c>
      <c r="W236" s="3" t="n">
        <v>-0.4</v>
      </c>
      <c r="X236" s="3" t="n">
        <v>1.5</v>
      </c>
      <c r="Y236" s="3" t="inlineStr">
        <is>
          <t>COMM_Emotional</t>
        </is>
      </c>
      <c r="Z236" s="3" t="inlineStr">
        <is>
          <t>REG_Distractor</t>
        </is>
      </c>
      <c r="AA236" s="3" t="inlineStr">
        <is>
          <t>LANG_Gifts</t>
        </is>
      </c>
      <c r="AB236" s="3" t="inlineStr"/>
      <c r="AC236" s="3" t="inlineStr"/>
      <c r="AD236" s="3" t="inlineStr"/>
      <c r="AE236" s="3" t="n">
        <v>0</v>
      </c>
      <c r="AF236" s="3" t="inlineStr">
        <is>
          <t>fulfilled longing</t>
        </is>
      </c>
      <c r="AG236" s="3" t="inlineStr">
        <is>
          <t>open-hearted receiver</t>
        </is>
      </c>
      <c r="AH236" s="3" t="n">
        <v>0</v>
      </c>
      <c r="AI236" s="3" t="inlineStr">
        <is>
          <t>no</t>
        </is>
      </c>
      <c r="AJ236" s="3" t="inlineStr">
        <is>
          <t>no</t>
        </is>
      </c>
      <c r="AK236" s="3" t="inlineStr">
        <is>
          <t>no</t>
        </is>
      </c>
      <c r="AL236" s="3" t="inlineStr">
        <is>
          <t>no</t>
        </is>
      </c>
      <c r="AM236" s="3" t="inlineStr"/>
      <c r="AN236" s="3" t="inlineStr"/>
      <c r="AO236" s="3" t="inlineStr"/>
      <c r="AP236" s="3" t="inlineStr">
        <is>
          <t>v3_2026-03-19</t>
        </is>
      </c>
    </row>
    <row r="237">
      <c r="A237" s="3" t="inlineStr">
        <is>
          <t>Q48_A</t>
        </is>
      </c>
      <c r="B237" s="3" t="n">
        <v>48</v>
      </c>
      <c r="C237" s="3" t="n">
        <v>48</v>
      </c>
      <c r="D237" s="3" t="inlineStr">
        <is>
          <t>Core</t>
        </is>
      </c>
      <c r="E237" s="3" t="n">
        <v>1.35</v>
      </c>
      <c r="F237" s="3" t="inlineStr">
        <is>
          <t>EmotionalNeeds</t>
        </is>
      </c>
      <c r="G237" s="3" t="inlineStr">
        <is>
          <t>IntimacyThreshold</t>
        </is>
      </c>
      <c r="H237" s="3" t="inlineStr">
        <is>
          <t>Things are going well. Emotionally steady, mutual effort, real connection. What's the moment you usually flinch?</t>
        </is>
      </c>
      <c r="I237" s="3" t="inlineStr">
        <is>
          <t>A</t>
        </is>
      </c>
      <c r="J237" s="3" t="inlineStr">
        <is>
          <t>A</t>
        </is>
      </c>
      <c r="K237" s="3" t="inlineStr">
        <is>
          <t>When they start asking deeper questions. I don't like being studied.</t>
        </is>
      </c>
      <c r="L237" s="3" t="n">
        <v>6</v>
      </c>
      <c r="M237" s="3" t="n">
        <v>7</v>
      </c>
      <c r="N237" s="3" t="n">
        <v>2</v>
      </c>
      <c r="O237" s="3" t="n">
        <v>2</v>
      </c>
      <c r="P237" s="3" t="n">
        <v>0</v>
      </c>
      <c r="Q237" s="3" t="inlineStr">
        <is>
          <t>Icebox</t>
        </is>
      </c>
      <c r="R237" s="3" t="n">
        <v>1</v>
      </c>
      <c r="S237" s="3" t="inlineStr"/>
      <c r="T237" s="3" t="inlineStr"/>
      <c r="U237" s="3" t="n">
        <v>0</v>
      </c>
      <c r="V237" s="3" t="inlineStr">
        <is>
          <t>masc:1.8;fem:-1.6</t>
        </is>
      </c>
      <c r="W237" s="3" t="n">
        <v>1.8</v>
      </c>
      <c r="X237" s="3" t="n">
        <v>-1.6</v>
      </c>
      <c r="Y237" s="3" t="inlineStr">
        <is>
          <t>COMM_Avoidant</t>
        </is>
      </c>
      <c r="Z237" s="3" t="inlineStr">
        <is>
          <t>REG_Suppressor</t>
        </is>
      </c>
      <c r="AA237" s="3" t="inlineStr">
        <is>
          <t>LANG_Time</t>
        </is>
      </c>
      <c r="AB237" s="3" t="inlineStr">
        <is>
          <t>Vulnerability_Loop</t>
        </is>
      </c>
      <c r="AC237" s="3" t="inlineStr">
        <is>
          <t>Vulnerability_Loop</t>
        </is>
      </c>
      <c r="AD237" s="3" t="inlineStr"/>
      <c r="AE237" s="3" t="n">
        <v>5</v>
      </c>
      <c r="AF237" s="3" t="inlineStr">
        <is>
          <t>intimacy evasion reflex</t>
        </is>
      </c>
      <c r="AG237" s="3" t="inlineStr">
        <is>
          <t>guarded sharer</t>
        </is>
      </c>
      <c r="AH237" s="3" t="n">
        <v>0</v>
      </c>
      <c r="AI237" s="3" t="inlineStr">
        <is>
          <t>yes</t>
        </is>
      </c>
      <c r="AJ237" s="3" t="inlineStr">
        <is>
          <t>no</t>
        </is>
      </c>
      <c r="AK237" s="3" t="inlineStr">
        <is>
          <t>no</t>
        </is>
      </c>
      <c r="AL237" s="3" t="inlineStr">
        <is>
          <t>no</t>
        </is>
      </c>
      <c r="AM237" s="3" t="inlineStr"/>
      <c r="AN237" s="3" t="inlineStr"/>
      <c r="AO237" s="3" t="inlineStr"/>
      <c r="AP237" s="3" t="inlineStr">
        <is>
          <t>v3_2026-03-19</t>
        </is>
      </c>
    </row>
    <row r="238">
      <c r="A238" s="3" t="inlineStr">
        <is>
          <t>Q48_B</t>
        </is>
      </c>
      <c r="B238" s="3" t="n">
        <v>48</v>
      </c>
      <c r="C238" s="3" t="n">
        <v>48</v>
      </c>
      <c r="D238" s="3" t="inlineStr">
        <is>
          <t>Core</t>
        </is>
      </c>
      <c r="E238" s="3" t="n">
        <v>1.35</v>
      </c>
      <c r="F238" s="3" t="inlineStr">
        <is>
          <t>EmotionalNeeds</t>
        </is>
      </c>
      <c r="G238" s="3" t="inlineStr">
        <is>
          <t>IntimacyThreshold</t>
        </is>
      </c>
      <c r="H238" s="3" t="inlineStr"/>
      <c r="I238" s="3" t="inlineStr">
        <is>
          <t>B</t>
        </is>
      </c>
      <c r="J238" s="3" t="inlineStr">
        <is>
          <t>B</t>
        </is>
      </c>
      <c r="K238" s="3" t="inlineStr">
        <is>
          <t>When I can't tell how they're really feeling. I hate guessing.</t>
        </is>
      </c>
      <c r="L238" s="3" t="n">
        <v>5</v>
      </c>
      <c r="M238" s="3" t="n">
        <v>6</v>
      </c>
      <c r="N238" s="3" t="n">
        <v>2</v>
      </c>
      <c r="O238" s="3" t="n">
        <v>4</v>
      </c>
      <c r="P238" s="3" t="n">
        <v>2</v>
      </c>
      <c r="Q238" s="3" t="inlineStr">
        <is>
          <t>Phantom Seeker</t>
        </is>
      </c>
      <c r="R238" s="3" t="n">
        <v>10</v>
      </c>
      <c r="S238" s="3" t="inlineStr"/>
      <c r="T238" s="3" t="inlineStr"/>
      <c r="U238" s="3" t="n">
        <v>0</v>
      </c>
      <c r="V238" s="3" t="inlineStr">
        <is>
          <t>masc:-0.2;fem:1.5</t>
        </is>
      </c>
      <c r="W238" s="3" t="n">
        <v>-0.2</v>
      </c>
      <c r="X238" s="3" t="n">
        <v>1.5</v>
      </c>
      <c r="Y238" s="3" t="inlineStr">
        <is>
          <t>COMM_Emotional</t>
        </is>
      </c>
      <c r="Z238" s="3" t="inlineStr">
        <is>
          <t>REG_SelfSoother</t>
        </is>
      </c>
      <c r="AA238" s="3" t="inlineStr">
        <is>
          <t>LANG_Touch</t>
        </is>
      </c>
      <c r="AB238" s="3" t="inlineStr">
        <is>
          <t>Vulnerability_Loop</t>
        </is>
      </c>
      <c r="AC238" s="3" t="inlineStr">
        <is>
          <t>Vulnerability_Loop</t>
        </is>
      </c>
      <c r="AD238" s="3" t="inlineStr"/>
      <c r="AE238" s="3" t="n">
        <v>5</v>
      </c>
      <c r="AF238" s="3" t="inlineStr">
        <is>
          <t>emotional uncertainty freeze</t>
        </is>
      </c>
      <c r="AG238" s="3" t="inlineStr">
        <is>
          <t>clarity craver</t>
        </is>
      </c>
      <c r="AH238" s="3" t="n">
        <v>0.2</v>
      </c>
      <c r="AI238" s="3" t="inlineStr">
        <is>
          <t>yes</t>
        </is>
      </c>
      <c r="AJ238" s="3" t="inlineStr">
        <is>
          <t>no</t>
        </is>
      </c>
      <c r="AK238" s="3" t="inlineStr">
        <is>
          <t>no</t>
        </is>
      </c>
      <c r="AL238" s="3" t="inlineStr">
        <is>
          <t>no</t>
        </is>
      </c>
      <c r="AM238" s="3" t="inlineStr"/>
      <c r="AN238" s="3" t="inlineStr"/>
      <c r="AO238" s="3" t="inlineStr"/>
      <c r="AP238" s="3" t="inlineStr">
        <is>
          <t>v3_2026-03-19</t>
        </is>
      </c>
    </row>
    <row r="239">
      <c r="A239" s="3" t="inlineStr">
        <is>
          <t>Q48_C</t>
        </is>
      </c>
      <c r="B239" s="3" t="n">
        <v>48</v>
      </c>
      <c r="C239" s="3" t="n">
        <v>48</v>
      </c>
      <c r="D239" s="3" t="inlineStr">
        <is>
          <t>Core</t>
        </is>
      </c>
      <c r="E239" s="3" t="n">
        <v>1.35</v>
      </c>
      <c r="F239" s="3" t="inlineStr">
        <is>
          <t>EmotionalNeeds</t>
        </is>
      </c>
      <c r="G239" s="3" t="inlineStr">
        <is>
          <t>IntimacyThreshold</t>
        </is>
      </c>
      <c r="H239" s="3" t="inlineStr"/>
      <c r="I239" s="3" t="inlineStr">
        <is>
          <t>C</t>
        </is>
      </c>
      <c r="J239" s="3" t="inlineStr">
        <is>
          <t>C</t>
        </is>
      </c>
      <c r="K239" s="3" t="inlineStr">
        <is>
          <t>When they stop doing the little things-I start wondering if I misread it all.</t>
        </is>
      </c>
      <c r="L239" s="3" t="n">
        <v>7</v>
      </c>
      <c r="M239" s="3" t="n">
        <v>8</v>
      </c>
      <c r="N239" s="3" t="n">
        <v>6</v>
      </c>
      <c r="O239" s="3" t="n">
        <v>8</v>
      </c>
      <c r="P239" s="3" t="n">
        <v>6</v>
      </c>
      <c r="Q239" s="3" t="inlineStr">
        <is>
          <t>Analyzer</t>
        </is>
      </c>
      <c r="R239" s="3" t="n">
        <v>2</v>
      </c>
      <c r="S239" s="3" t="inlineStr"/>
      <c r="T239" s="3" t="inlineStr"/>
      <c r="U239" s="3" t="n">
        <v>0</v>
      </c>
      <c r="V239" s="3" t="inlineStr">
        <is>
          <t>masc:1.4;fem:0.1</t>
        </is>
      </c>
      <c r="W239" s="3" t="n">
        <v>1.4</v>
      </c>
      <c r="X239" s="3" t="n">
        <v>0.1</v>
      </c>
      <c r="Y239" s="3" t="inlineStr">
        <is>
          <t>COMM_Logical</t>
        </is>
      </c>
      <c r="Z239" s="3" t="inlineStr">
        <is>
          <t>REG_SelfSoother</t>
        </is>
      </c>
      <c r="AA239" s="3" t="inlineStr">
        <is>
          <t>LANG_Service</t>
        </is>
      </c>
      <c r="AB239" s="3" t="inlineStr"/>
      <c r="AC239" s="3" t="inlineStr"/>
      <c r="AD239" s="3" t="inlineStr"/>
      <c r="AE239" s="3" t="n">
        <v>0</v>
      </c>
      <c r="AF239" s="3" t="inlineStr">
        <is>
          <t>micro-shift alarm system</t>
        </is>
      </c>
      <c r="AG239" s="3" t="inlineStr">
        <is>
          <t>detail watcher</t>
        </is>
      </c>
      <c r="AH239" s="3" t="n">
        <v>0</v>
      </c>
      <c r="AI239" s="3" t="inlineStr">
        <is>
          <t>no</t>
        </is>
      </c>
      <c r="AJ239" s="3" t="inlineStr">
        <is>
          <t>no</t>
        </is>
      </c>
      <c r="AK239" s="3" t="inlineStr">
        <is>
          <t>no</t>
        </is>
      </c>
      <c r="AL239" s="3" t="inlineStr">
        <is>
          <t>no</t>
        </is>
      </c>
      <c r="AM239" s="3" t="inlineStr"/>
      <c r="AN239" s="3" t="inlineStr"/>
      <c r="AO239" s="3" t="inlineStr"/>
      <c r="AP239" s="3" t="inlineStr">
        <is>
          <t>v3_2026-03-19</t>
        </is>
      </c>
    </row>
    <row r="240">
      <c r="A240" s="3" t="inlineStr">
        <is>
          <t>Q48_D</t>
        </is>
      </c>
      <c r="B240" s="3" t="n">
        <v>48</v>
      </c>
      <c r="C240" s="3" t="n">
        <v>48</v>
      </c>
      <c r="D240" s="3" t="inlineStr">
        <is>
          <t>Core</t>
        </is>
      </c>
      <c r="E240" s="3" t="n">
        <v>1.35</v>
      </c>
      <c r="F240" s="3" t="inlineStr">
        <is>
          <t>EmotionalNeeds</t>
        </is>
      </c>
      <c r="G240" s="3" t="inlineStr">
        <is>
          <t>IntimacyThreshold</t>
        </is>
      </c>
      <c r="H240" s="3" t="inlineStr"/>
      <c r="I240" s="3" t="inlineStr">
        <is>
          <t>D</t>
        </is>
      </c>
      <c r="J240" s="3" t="inlineStr">
        <is>
          <t>D</t>
        </is>
      </c>
      <c r="K240" s="3" t="inlineStr">
        <is>
          <t>When they show up too much. I get overwhelmed and start backing up.</t>
        </is>
      </c>
      <c r="L240" s="3" t="n">
        <v>5</v>
      </c>
      <c r="M240" s="3" t="n">
        <v>6</v>
      </c>
      <c r="N240" s="3" t="n">
        <v>4</v>
      </c>
      <c r="O240" s="3" t="n">
        <v>4</v>
      </c>
      <c r="P240" s="3" t="n">
        <v>4</v>
      </c>
      <c r="Q240" s="3" t="inlineStr">
        <is>
          <t>Survivor</t>
        </is>
      </c>
      <c r="R240" s="3" t="n">
        <v>8</v>
      </c>
      <c r="S240" s="3" t="inlineStr"/>
      <c r="T240" s="3" t="inlineStr"/>
      <c r="U240" s="3" t="n">
        <v>0</v>
      </c>
      <c r="V240" s="3" t="inlineStr">
        <is>
          <t>masc:0.3;fem:1.3</t>
        </is>
      </c>
      <c r="W240" s="3" t="n">
        <v>0.3</v>
      </c>
      <c r="X240" s="3" t="n">
        <v>1.3</v>
      </c>
      <c r="Y240" s="3" t="inlineStr">
        <is>
          <t>COMM_Emotional</t>
        </is>
      </c>
      <c r="Z240" s="3" t="inlineStr">
        <is>
          <t>REG_SelfSoother</t>
        </is>
      </c>
      <c r="AA240" s="3" t="inlineStr">
        <is>
          <t>LANG_Service</t>
        </is>
      </c>
      <c r="AB240" s="3" t="inlineStr">
        <is>
          <t>Vulnerability_Loop</t>
        </is>
      </c>
      <c r="AC240" s="3" t="inlineStr">
        <is>
          <t>Vulnerability_Loop</t>
        </is>
      </c>
      <c r="AD240" s="3" t="inlineStr"/>
      <c r="AE240" s="3" t="n">
        <v>5</v>
      </c>
      <c r="AF240" s="3" t="inlineStr">
        <is>
          <t>safety overload reflex</t>
        </is>
      </c>
      <c r="AG240" s="3" t="inlineStr">
        <is>
          <t>slow stepper</t>
        </is>
      </c>
      <c r="AH240" s="3" t="n">
        <v>0</v>
      </c>
      <c r="AI240" s="3" t="inlineStr">
        <is>
          <t>yes</t>
        </is>
      </c>
      <c r="AJ240" s="3" t="inlineStr">
        <is>
          <t>no</t>
        </is>
      </c>
      <c r="AK240" s="3" t="inlineStr">
        <is>
          <t>no</t>
        </is>
      </c>
      <c r="AL240" s="3" t="inlineStr">
        <is>
          <t>no</t>
        </is>
      </c>
      <c r="AM240" s="3" t="inlineStr"/>
      <c r="AN240" s="3" t="inlineStr"/>
      <c r="AO240" s="3" t="inlineStr"/>
      <c r="AP240" s="3" t="inlineStr">
        <is>
          <t>v3_2026-03-19</t>
        </is>
      </c>
    </row>
    <row r="241">
      <c r="A241" s="3" t="inlineStr">
        <is>
          <t>Q48_E</t>
        </is>
      </c>
      <c r="B241" s="3" t="n">
        <v>48</v>
      </c>
      <c r="C241" s="3" t="n">
        <v>48</v>
      </c>
      <c r="D241" s="3" t="inlineStr">
        <is>
          <t>Core</t>
        </is>
      </c>
      <c r="E241" s="3" t="n">
        <v>1.35</v>
      </c>
      <c r="F241" s="3" t="inlineStr">
        <is>
          <t>EmotionalNeeds</t>
        </is>
      </c>
      <c r="G241" s="3" t="inlineStr">
        <is>
          <t>IntimacyThreshold</t>
        </is>
      </c>
      <c r="H241" s="3" t="inlineStr"/>
      <c r="I241" s="3" t="inlineStr">
        <is>
          <t>E</t>
        </is>
      </c>
      <c r="J241" s="3" t="inlineStr">
        <is>
          <t>E</t>
        </is>
      </c>
      <c r="K241" s="3" t="inlineStr">
        <is>
          <t>When I finally exhale-and realize I don't fully trust that peace yet.</t>
        </is>
      </c>
      <c r="L241" s="3" t="n">
        <v>8</v>
      </c>
      <c r="M241" s="3" t="n">
        <v>9</v>
      </c>
      <c r="N241" s="3" t="n">
        <v>6</v>
      </c>
      <c r="O241" s="3" t="n">
        <v>8</v>
      </c>
      <c r="P241" s="3" t="n">
        <v>6</v>
      </c>
      <c r="Q241" s="3" t="inlineStr">
        <is>
          <t>Romantic Idealist</t>
        </is>
      </c>
      <c r="R241" s="3" t="n">
        <v>6</v>
      </c>
      <c r="S241" s="3" t="inlineStr"/>
      <c r="T241" s="3" t="inlineStr"/>
      <c r="U241" s="3" t="n">
        <v>0</v>
      </c>
      <c r="V241" s="3" t="inlineStr">
        <is>
          <t>masc:-0.4;fem:1.5</t>
        </is>
      </c>
      <c r="W241" s="3" t="n">
        <v>-0.4</v>
      </c>
      <c r="X241" s="3" t="n">
        <v>1.5</v>
      </c>
      <c r="Y241" s="3" t="inlineStr">
        <is>
          <t>COMM_Emotional</t>
        </is>
      </c>
      <c r="Z241" s="3" t="inlineStr">
        <is>
          <t>REG_Distractor</t>
        </is>
      </c>
      <c r="AA241" s="3" t="inlineStr">
        <is>
          <t>LANG_Gifts</t>
        </is>
      </c>
      <c r="AB241" s="3" t="inlineStr"/>
      <c r="AC241" s="3" t="inlineStr"/>
      <c r="AD241" s="3" t="inlineStr"/>
      <c r="AE241" s="3" t="n">
        <v>0</v>
      </c>
      <c r="AF241" s="3" t="inlineStr">
        <is>
          <t>joy with a flinch</t>
        </is>
      </c>
      <c r="AG241" s="3" t="inlineStr">
        <is>
          <t>wary dreamer</t>
        </is>
      </c>
      <c r="AH241" s="3" t="n">
        <v>0</v>
      </c>
      <c r="AI241" s="3" t="inlineStr">
        <is>
          <t>no</t>
        </is>
      </c>
      <c r="AJ241" s="3" t="inlineStr">
        <is>
          <t>no</t>
        </is>
      </c>
      <c r="AK241" s="3" t="inlineStr">
        <is>
          <t>no</t>
        </is>
      </c>
      <c r="AL241" s="3" t="inlineStr">
        <is>
          <t>no</t>
        </is>
      </c>
      <c r="AM241" s="3" t="inlineStr"/>
      <c r="AN241" s="3" t="inlineStr"/>
      <c r="AO241" s="3" t="inlineStr"/>
      <c r="AP241" s="3" t="inlineStr">
        <is>
          <t>v3_2026-03-19</t>
        </is>
      </c>
    </row>
    <row r="242">
      <c r="A242" s="3" t="inlineStr">
        <is>
          <t>Q49_A</t>
        </is>
      </c>
      <c r="B242" s="3" t="n">
        <v>49</v>
      </c>
      <c r="C242" s="3" t="n">
        <v>49</v>
      </c>
      <c r="D242" s="3" t="inlineStr">
        <is>
          <t>Core</t>
        </is>
      </c>
      <c r="E242" s="3" t="n">
        <v>1.4</v>
      </c>
      <c r="F242" s="3" t="inlineStr">
        <is>
          <t>EmotionalNeeds</t>
        </is>
      </c>
      <c r="G242" s="3" t="inlineStr">
        <is>
          <t>IntimacyThreshold</t>
        </is>
      </c>
      <c r="H242" s="3" t="inlineStr">
        <is>
          <t>When love starts to feel familiar... what part of your past does it usually remind you of?</t>
        </is>
      </c>
      <c r="I242" s="3" t="inlineStr">
        <is>
          <t>A</t>
        </is>
      </c>
      <c r="J242" s="3" t="inlineStr">
        <is>
          <t>A</t>
        </is>
      </c>
      <c r="K242" s="3" t="inlineStr">
        <is>
          <t>That feeling of being needed for what I could give, not for who I was.</t>
        </is>
      </c>
      <c r="L242" s="3" t="n">
        <v>5</v>
      </c>
      <c r="M242" s="3" t="n">
        <v>6</v>
      </c>
      <c r="N242" s="3" t="n">
        <v>4</v>
      </c>
      <c r="O242" s="3" t="n">
        <v>4</v>
      </c>
      <c r="P242" s="3" t="n">
        <v>4</v>
      </c>
      <c r="Q242" s="3" t="inlineStr">
        <is>
          <t>Fixer</t>
        </is>
      </c>
      <c r="R242" s="3" t="n">
        <v>5</v>
      </c>
      <c r="S242" s="3" t="inlineStr"/>
      <c r="T242" s="3" t="inlineStr"/>
      <c r="U242" s="3" t="n">
        <v>0</v>
      </c>
      <c r="V242" s="3" t="inlineStr">
        <is>
          <t>masc:-0.4;fem:2.0</t>
        </is>
      </c>
      <c r="W242" s="3" t="n">
        <v>-0.4</v>
      </c>
      <c r="X242" s="3" t="n">
        <v>2</v>
      </c>
      <c r="Y242" s="3" t="inlineStr">
        <is>
          <t>COMM_Emotional</t>
        </is>
      </c>
      <c r="Z242" s="3" t="inlineStr">
        <is>
          <t>REG_CoRegulator</t>
        </is>
      </c>
      <c r="AA242" s="3" t="inlineStr">
        <is>
          <t>LANG_Service</t>
        </is>
      </c>
      <c r="AB242" s="3" t="inlineStr">
        <is>
          <t>Vulnerability_Loop</t>
        </is>
      </c>
      <c r="AC242" s="3" t="inlineStr">
        <is>
          <t>Vulnerability_Loop</t>
        </is>
      </c>
      <c r="AD242" s="3" t="inlineStr"/>
      <c r="AE242" s="3" t="n">
        <v>5</v>
      </c>
      <c r="AF242" s="3" t="inlineStr">
        <is>
          <t>transactional love imprint</t>
        </is>
      </c>
      <c r="AG242" s="3" t="inlineStr">
        <is>
          <t>role-based connector</t>
        </is>
      </c>
      <c r="AH242" s="3" t="n">
        <v>0</v>
      </c>
      <c r="AI242" s="3" t="inlineStr">
        <is>
          <t>yes</t>
        </is>
      </c>
      <c r="AJ242" s="3" t="inlineStr">
        <is>
          <t>no</t>
        </is>
      </c>
      <c r="AK242" s="3" t="inlineStr">
        <is>
          <t>no</t>
        </is>
      </c>
      <c r="AL242" s="3" t="inlineStr">
        <is>
          <t>no</t>
        </is>
      </c>
      <c r="AM242" s="3" t="inlineStr"/>
      <c r="AN242" s="3" t="inlineStr"/>
      <c r="AO242" s="3" t="inlineStr"/>
      <c r="AP242" s="3" t="inlineStr">
        <is>
          <t>v3_2026-03-19</t>
        </is>
      </c>
    </row>
    <row r="243">
      <c r="A243" s="3" t="inlineStr">
        <is>
          <t>Q49_B</t>
        </is>
      </c>
      <c r="B243" s="3" t="n">
        <v>49</v>
      </c>
      <c r="C243" s="3" t="n">
        <v>49</v>
      </c>
      <c r="D243" s="3" t="inlineStr">
        <is>
          <t>Core</t>
        </is>
      </c>
      <c r="E243" s="3" t="n">
        <v>1.4</v>
      </c>
      <c r="F243" s="3" t="inlineStr">
        <is>
          <t>EmotionalNeeds</t>
        </is>
      </c>
      <c r="G243" s="3" t="inlineStr">
        <is>
          <t>IntimacyThreshold</t>
        </is>
      </c>
      <c r="H243" s="3" t="inlineStr"/>
      <c r="I243" s="3" t="inlineStr">
        <is>
          <t>B</t>
        </is>
      </c>
      <c r="J243" s="3" t="inlineStr">
        <is>
          <t>B</t>
        </is>
      </c>
      <c r="K243" s="3" t="inlineStr">
        <is>
          <t>The fear that if I say how I really feel, they'll leave-or worse, stay but pull away.</t>
        </is>
      </c>
      <c r="L243" s="3" t="n">
        <v>4</v>
      </c>
      <c r="M243" s="3" t="n">
        <v>5</v>
      </c>
      <c r="N243" s="3" t="n">
        <v>2</v>
      </c>
      <c r="O243" s="3" t="n">
        <v>2</v>
      </c>
      <c r="P243" s="3" t="n">
        <v>0</v>
      </c>
      <c r="Q243" s="3" t="inlineStr">
        <is>
          <t>Phantom Seeker</t>
        </is>
      </c>
      <c r="R243" s="3" t="n">
        <v>10</v>
      </c>
      <c r="S243" s="3" t="inlineStr"/>
      <c r="T243" s="3" t="inlineStr"/>
      <c r="U243" s="3" t="n">
        <v>0</v>
      </c>
      <c r="V243" s="3" t="inlineStr">
        <is>
          <t>masc:-0.2;fem:1.5</t>
        </is>
      </c>
      <c r="W243" s="3" t="n">
        <v>-0.2</v>
      </c>
      <c r="X243" s="3" t="n">
        <v>1.5</v>
      </c>
      <c r="Y243" s="3" t="inlineStr">
        <is>
          <t>COMM_Emotional</t>
        </is>
      </c>
      <c r="Z243" s="3" t="inlineStr">
        <is>
          <t>REG_SelfSoother</t>
        </is>
      </c>
      <c r="AA243" s="3" t="inlineStr">
        <is>
          <t>LANG_Touch</t>
        </is>
      </c>
      <c r="AB243" s="3" t="inlineStr">
        <is>
          <t>Vulnerability_Loop</t>
        </is>
      </c>
      <c r="AC243" s="3" t="inlineStr">
        <is>
          <t>Vulnerability_Loop</t>
        </is>
      </c>
      <c r="AD243" s="3" t="inlineStr"/>
      <c r="AE243" s="3" t="n">
        <v>5</v>
      </c>
      <c r="AF243" s="3" t="inlineStr">
        <is>
          <t>emotional abandonment echo</t>
        </is>
      </c>
      <c r="AG243" s="3" t="inlineStr">
        <is>
          <t>closeness doubter</t>
        </is>
      </c>
      <c r="AH243" s="3" t="n">
        <v>0</v>
      </c>
      <c r="AI243" s="3" t="inlineStr">
        <is>
          <t>yes</t>
        </is>
      </c>
      <c r="AJ243" s="3" t="inlineStr">
        <is>
          <t>no</t>
        </is>
      </c>
      <c r="AK243" s="3" t="inlineStr">
        <is>
          <t>no</t>
        </is>
      </c>
      <c r="AL243" s="3" t="inlineStr">
        <is>
          <t>no</t>
        </is>
      </c>
      <c r="AM243" s="3" t="inlineStr"/>
      <c r="AN243" s="3" t="inlineStr"/>
      <c r="AO243" s="3" t="inlineStr"/>
      <c r="AP243" s="3" t="inlineStr">
        <is>
          <t>v3_2026-03-19</t>
        </is>
      </c>
    </row>
    <row r="244">
      <c r="A244" s="3" t="inlineStr">
        <is>
          <t>Q49_C</t>
        </is>
      </c>
      <c r="B244" s="3" t="n">
        <v>49</v>
      </c>
      <c r="C244" s="3" t="n">
        <v>49</v>
      </c>
      <c r="D244" s="3" t="inlineStr">
        <is>
          <t>Core</t>
        </is>
      </c>
      <c r="E244" s="3" t="n">
        <v>1.4</v>
      </c>
      <c r="F244" s="3" t="inlineStr">
        <is>
          <t>EmotionalNeeds</t>
        </is>
      </c>
      <c r="G244" s="3" t="inlineStr">
        <is>
          <t>IntimacyThreshold</t>
        </is>
      </c>
      <c r="H244" s="3" t="inlineStr"/>
      <c r="I244" s="3" t="inlineStr">
        <is>
          <t>C</t>
        </is>
      </c>
      <c r="J244" s="3" t="inlineStr">
        <is>
          <t>C</t>
        </is>
      </c>
      <c r="K244" s="3" t="inlineStr">
        <is>
          <t>Those moments where I felt like the adult in the room, even as a kid.</t>
        </is>
      </c>
      <c r="L244" s="3" t="n">
        <v>7</v>
      </c>
      <c r="M244" s="3" t="n">
        <v>8</v>
      </c>
      <c r="N244" s="3" t="n">
        <v>6</v>
      </c>
      <c r="O244" s="3" t="n">
        <v>8</v>
      </c>
      <c r="P244" s="3" t="n">
        <v>6</v>
      </c>
      <c r="Q244" s="3" t="inlineStr">
        <is>
          <t>Analyzer</t>
        </is>
      </c>
      <c r="R244" s="3" t="n">
        <v>2</v>
      </c>
      <c r="S244" s="3" t="inlineStr"/>
      <c r="T244" s="3" t="inlineStr"/>
      <c r="U244" s="3" t="n">
        <v>0</v>
      </c>
      <c r="V244" s="3" t="inlineStr">
        <is>
          <t>masc:1.4;fem:0.1</t>
        </is>
      </c>
      <c r="W244" s="3" t="n">
        <v>1.4</v>
      </c>
      <c r="X244" s="3" t="n">
        <v>0.1</v>
      </c>
      <c r="Y244" s="3" t="inlineStr">
        <is>
          <t>COMM_Logical</t>
        </is>
      </c>
      <c r="Z244" s="3" t="inlineStr">
        <is>
          <t>REG_SelfSoother</t>
        </is>
      </c>
      <c r="AA244" s="3" t="inlineStr">
        <is>
          <t>LANG_Service</t>
        </is>
      </c>
      <c r="AB244" s="3" t="inlineStr"/>
      <c r="AC244" s="3" t="inlineStr"/>
      <c r="AD244" s="3" t="inlineStr"/>
      <c r="AE244" s="3" t="n">
        <v>0</v>
      </c>
      <c r="AF244" s="3" t="inlineStr">
        <is>
          <t>early emotional burden</t>
        </is>
      </c>
      <c r="AG244" s="3" t="inlineStr">
        <is>
          <t>responsibility carrier</t>
        </is>
      </c>
      <c r="AH244" s="3" t="n">
        <v>0</v>
      </c>
      <c r="AI244" s="3" t="inlineStr">
        <is>
          <t>no</t>
        </is>
      </c>
      <c r="AJ244" s="3" t="inlineStr">
        <is>
          <t>no</t>
        </is>
      </c>
      <c r="AK244" s="3" t="inlineStr">
        <is>
          <t>no</t>
        </is>
      </c>
      <c r="AL244" s="3" t="inlineStr">
        <is>
          <t>no</t>
        </is>
      </c>
      <c r="AM244" s="3" t="inlineStr"/>
      <c r="AN244" s="3" t="inlineStr"/>
      <c r="AO244" s="3" t="inlineStr"/>
      <c r="AP244" s="3" t="inlineStr">
        <is>
          <t>v3_2026-03-19</t>
        </is>
      </c>
    </row>
    <row r="245">
      <c r="A245" s="3" t="inlineStr">
        <is>
          <t>Q49_D</t>
        </is>
      </c>
      <c r="B245" s="3" t="n">
        <v>49</v>
      </c>
      <c r="C245" s="3" t="n">
        <v>49</v>
      </c>
      <c r="D245" s="3" t="inlineStr">
        <is>
          <t>Core</t>
        </is>
      </c>
      <c r="E245" s="3" t="n">
        <v>1.4</v>
      </c>
      <c r="F245" s="3" t="inlineStr">
        <is>
          <t>EmotionalNeeds</t>
        </is>
      </c>
      <c r="G245" s="3" t="inlineStr">
        <is>
          <t>IntimacyThreshold</t>
        </is>
      </c>
      <c r="H245" s="3" t="inlineStr"/>
      <c r="I245" s="3" t="inlineStr">
        <is>
          <t>D</t>
        </is>
      </c>
      <c r="J245" s="3" t="inlineStr">
        <is>
          <t>D</t>
        </is>
      </c>
      <c r="K245" s="3" t="inlineStr">
        <is>
          <t>The peace of being invisible. No demands, no chaos, just quiet.</t>
        </is>
      </c>
      <c r="L245" s="3" t="n">
        <v>8</v>
      </c>
      <c r="M245" s="3" t="n">
        <v>9</v>
      </c>
      <c r="N245" s="3" t="n">
        <v>4</v>
      </c>
      <c r="O245" s="3" t="n">
        <v>6</v>
      </c>
      <c r="P245" s="3" t="n">
        <v>2</v>
      </c>
      <c r="Q245" s="3" t="inlineStr">
        <is>
          <t>Icebox</t>
        </is>
      </c>
      <c r="R245" s="3" t="n">
        <v>1</v>
      </c>
      <c r="S245" s="3" t="inlineStr"/>
      <c r="T245" s="3" t="inlineStr"/>
      <c r="U245" s="3" t="n">
        <v>0</v>
      </c>
      <c r="V245" s="3" t="inlineStr">
        <is>
          <t>masc:1.8;fem:-1.6</t>
        </is>
      </c>
      <c r="W245" s="3" t="n">
        <v>1.8</v>
      </c>
      <c r="X245" s="3" t="n">
        <v>-1.6</v>
      </c>
      <c r="Y245" s="3" t="inlineStr">
        <is>
          <t>COMM_Avoidant</t>
        </is>
      </c>
      <c r="Z245" s="3" t="inlineStr">
        <is>
          <t>REG_Suppressor</t>
        </is>
      </c>
      <c r="AA245" s="3" t="inlineStr">
        <is>
          <t>LANG_Time</t>
        </is>
      </c>
      <c r="AB245" s="3" t="inlineStr"/>
      <c r="AC245" s="3" t="inlineStr"/>
      <c r="AD245" s="3" t="inlineStr"/>
      <c r="AE245" s="3" t="n">
        <v>0</v>
      </c>
      <c r="AF245" s="3" t="inlineStr">
        <is>
          <t>safety through distance</t>
        </is>
      </c>
      <c r="AG245" s="3" t="inlineStr">
        <is>
          <t>presence minimizer</t>
        </is>
      </c>
      <c r="AH245" s="3" t="n">
        <v>0</v>
      </c>
      <c r="AI245" s="3" t="inlineStr">
        <is>
          <t>no</t>
        </is>
      </c>
      <c r="AJ245" s="3" t="inlineStr">
        <is>
          <t>no</t>
        </is>
      </c>
      <c r="AK245" s="3" t="inlineStr">
        <is>
          <t>no</t>
        </is>
      </c>
      <c r="AL245" s="3" t="inlineStr">
        <is>
          <t>no</t>
        </is>
      </c>
      <c r="AM245" s="3" t="inlineStr"/>
      <c r="AN245" s="3" t="inlineStr"/>
      <c r="AO245" s="3" t="inlineStr"/>
      <c r="AP245" s="3" t="inlineStr">
        <is>
          <t>v3_2026-03-19</t>
        </is>
      </c>
    </row>
    <row r="246">
      <c r="A246" s="3" t="inlineStr">
        <is>
          <t>Q49_E</t>
        </is>
      </c>
      <c r="B246" s="3" t="n">
        <v>49</v>
      </c>
      <c r="C246" s="3" t="n">
        <v>49</v>
      </c>
      <c r="D246" s="3" t="inlineStr">
        <is>
          <t>Core</t>
        </is>
      </c>
      <c r="E246" s="3" t="n">
        <v>1.4</v>
      </c>
      <c r="F246" s="3" t="inlineStr">
        <is>
          <t>EmotionalNeeds</t>
        </is>
      </c>
      <c r="G246" s="3" t="inlineStr">
        <is>
          <t>IntimacyThreshold</t>
        </is>
      </c>
      <c r="H246" s="3" t="inlineStr"/>
      <c r="I246" s="3" t="inlineStr">
        <is>
          <t>E</t>
        </is>
      </c>
      <c r="J246" s="3" t="inlineStr">
        <is>
          <t>E</t>
        </is>
      </c>
      <c r="K246" s="3" t="inlineStr">
        <is>
          <t>The hope that this time, someone might actually stay long enough to prove me wrong.</t>
        </is>
      </c>
      <c r="L246" s="3" t="n">
        <v>9</v>
      </c>
      <c r="M246" s="3" t="n">
        <v>9</v>
      </c>
      <c r="N246" s="3" t="n">
        <v>8</v>
      </c>
      <c r="O246" s="3" t="n">
        <v>8</v>
      </c>
      <c r="P246" s="3" t="n">
        <v>6</v>
      </c>
      <c r="Q246" s="3" t="inlineStr">
        <is>
          <t>Romantic Idealist</t>
        </is>
      </c>
      <c r="R246" s="3" t="n">
        <v>6</v>
      </c>
      <c r="S246" s="3" t="inlineStr"/>
      <c r="T246" s="3" t="inlineStr"/>
      <c r="U246" s="3" t="n">
        <v>0</v>
      </c>
      <c r="V246" s="3" t="inlineStr">
        <is>
          <t>masc:-0.4;fem:1.5</t>
        </is>
      </c>
      <c r="W246" s="3" t="n">
        <v>-0.4</v>
      </c>
      <c r="X246" s="3" t="n">
        <v>1.5</v>
      </c>
      <c r="Y246" s="3" t="inlineStr">
        <is>
          <t>COMM_Emotional</t>
        </is>
      </c>
      <c r="Z246" s="3" t="inlineStr">
        <is>
          <t>REG_Distractor</t>
        </is>
      </c>
      <c r="AA246" s="3" t="inlineStr">
        <is>
          <t>LANG_Gifts</t>
        </is>
      </c>
      <c r="AB246" s="3" t="inlineStr"/>
      <c r="AC246" s="3" t="inlineStr"/>
      <c r="AD246" s="3" t="inlineStr"/>
      <c r="AE246" s="3" t="n">
        <v>0</v>
      </c>
      <c r="AF246" s="3" t="inlineStr">
        <is>
          <t>redemption fantasy loop</t>
        </is>
      </c>
      <c r="AG246" s="3" t="inlineStr">
        <is>
          <t>hopeful believer</t>
        </is>
      </c>
      <c r="AH246" s="3" t="n">
        <v>0</v>
      </c>
      <c r="AI246" s="3" t="inlineStr">
        <is>
          <t>no</t>
        </is>
      </c>
      <c r="AJ246" s="3" t="inlineStr">
        <is>
          <t>no</t>
        </is>
      </c>
      <c r="AK246" s="3" t="inlineStr">
        <is>
          <t>no</t>
        </is>
      </c>
      <c r="AL246" s="3" t="inlineStr">
        <is>
          <t>no</t>
        </is>
      </c>
      <c r="AM246" s="3" t="inlineStr"/>
      <c r="AN246" s="3" t="inlineStr"/>
      <c r="AO246" s="3" t="inlineStr"/>
      <c r="AP246" s="3" t="inlineStr">
        <is>
          <t>v3_2026-03-19</t>
        </is>
      </c>
    </row>
    <row r="247">
      <c r="A247" s="3" t="inlineStr">
        <is>
          <t>Q50_A</t>
        </is>
      </c>
      <c r="B247" s="3" t="n">
        <v>50</v>
      </c>
      <c r="C247" s="3" t="n">
        <v>50</v>
      </c>
      <c r="D247" s="3" t="inlineStr">
        <is>
          <t>Core</t>
        </is>
      </c>
      <c r="E247" s="3" t="n">
        <v>1.4</v>
      </c>
      <c r="F247" s="3" t="inlineStr">
        <is>
          <t>EmotionalNeeds</t>
        </is>
      </c>
      <c r="G247" s="3" t="inlineStr">
        <is>
          <t>IntimacyThreshold</t>
        </is>
      </c>
      <c r="H247" s="3" t="inlineStr">
        <is>
          <t>Someone loves you deeply. Sees your flaws. Stays anyway. What scares you most about letting that kind of love in?</t>
        </is>
      </c>
      <c r="I247" s="3" t="inlineStr">
        <is>
          <t>A</t>
        </is>
      </c>
      <c r="J247" s="3" t="inlineStr">
        <is>
          <t>A</t>
        </is>
      </c>
      <c r="K247" s="3" t="inlineStr">
        <is>
          <t>That I'll get used to it... and then lose it. I don't survive things twice.</t>
        </is>
      </c>
      <c r="L247" s="3" t="n">
        <v>6</v>
      </c>
      <c r="M247" s="3" t="n">
        <v>7</v>
      </c>
      <c r="N247" s="3" t="n">
        <v>4</v>
      </c>
      <c r="O247" s="3" t="n">
        <v>6</v>
      </c>
      <c r="P247" s="3" t="n">
        <v>4</v>
      </c>
      <c r="Q247" s="3" t="inlineStr">
        <is>
          <t>Survivor</t>
        </is>
      </c>
      <c r="R247" s="3" t="n">
        <v>1</v>
      </c>
      <c r="S247" s="3" t="inlineStr"/>
      <c r="T247" s="3" t="inlineStr"/>
      <c r="U247" s="3" t="n">
        <v>0</v>
      </c>
      <c r="V247" s="3" t="inlineStr">
        <is>
          <t>masc:0.3;fem:1.3</t>
        </is>
      </c>
      <c r="W247" s="3" t="n">
        <v>0.3</v>
      </c>
      <c r="X247" s="3" t="n">
        <v>1.3</v>
      </c>
      <c r="Y247" s="3" t="inlineStr">
        <is>
          <t>COMM_Emotional</t>
        </is>
      </c>
      <c r="Z247" s="3" t="inlineStr">
        <is>
          <t>REG_SelfSoother</t>
        </is>
      </c>
      <c r="AA247" s="3" t="inlineStr">
        <is>
          <t>LANG_Service</t>
        </is>
      </c>
      <c r="AB247" s="3" t="inlineStr">
        <is>
          <t>Vulnerability_Loop</t>
        </is>
      </c>
      <c r="AC247" s="3" t="inlineStr">
        <is>
          <t>Vulnerability_Loop</t>
        </is>
      </c>
      <c r="AD247" s="3" t="inlineStr"/>
      <c r="AE247" s="3" t="n">
        <v>5</v>
      </c>
      <c r="AF247" s="3" t="inlineStr">
        <is>
          <t>abandonment after safety</t>
        </is>
      </c>
      <c r="AG247" s="3" t="inlineStr">
        <is>
          <t>loss avoider</t>
        </is>
      </c>
      <c r="AH247" s="3" t="n">
        <v>0.2</v>
      </c>
      <c r="AI247" s="3" t="inlineStr">
        <is>
          <t>yes</t>
        </is>
      </c>
      <c r="AJ247" s="3" t="inlineStr">
        <is>
          <t>no</t>
        </is>
      </c>
      <c r="AK247" s="3" t="inlineStr">
        <is>
          <t>no</t>
        </is>
      </c>
      <c r="AL247" s="3" t="inlineStr">
        <is>
          <t>no</t>
        </is>
      </c>
      <c r="AM247" s="3" t="inlineStr"/>
      <c r="AN247" s="3" t="inlineStr"/>
      <c r="AO247" s="3" t="inlineStr"/>
      <c r="AP247" s="3" t="inlineStr">
        <is>
          <t>v3_2026-03-19</t>
        </is>
      </c>
    </row>
    <row r="248">
      <c r="A248" s="3" t="inlineStr">
        <is>
          <t>Q50_B</t>
        </is>
      </c>
      <c r="B248" s="3" t="n">
        <v>50</v>
      </c>
      <c r="C248" s="3" t="n">
        <v>50</v>
      </c>
      <c r="D248" s="3" t="inlineStr">
        <is>
          <t>Core</t>
        </is>
      </c>
      <c r="E248" s="3" t="n">
        <v>1.4</v>
      </c>
      <c r="F248" s="3" t="inlineStr">
        <is>
          <t>EmotionalNeeds</t>
        </is>
      </c>
      <c r="G248" s="3" t="inlineStr">
        <is>
          <t>IntimacyThreshold</t>
        </is>
      </c>
      <c r="H248" s="3" t="inlineStr"/>
      <c r="I248" s="3" t="inlineStr">
        <is>
          <t>B</t>
        </is>
      </c>
      <c r="J248" s="3" t="inlineStr">
        <is>
          <t>B</t>
        </is>
      </c>
      <c r="K248" s="3" t="inlineStr">
        <is>
          <t>That they'll see the real me and change their mind. I always feel like I'm on borrowed time.</t>
        </is>
      </c>
      <c r="L248" s="3" t="n">
        <v>4</v>
      </c>
      <c r="M248" s="3" t="n">
        <v>5</v>
      </c>
      <c r="N248" s="3" t="n">
        <v>2</v>
      </c>
      <c r="O248" s="3" t="n">
        <v>2</v>
      </c>
      <c r="P248" s="3" t="n">
        <v>0</v>
      </c>
      <c r="Q248" s="3" t="inlineStr">
        <is>
          <t>Phantom Seeker</t>
        </is>
      </c>
      <c r="R248" s="3" t="n">
        <v>10</v>
      </c>
      <c r="S248" s="3" t="inlineStr"/>
      <c r="T248" s="3" t="inlineStr"/>
      <c r="U248" s="3" t="n">
        <v>0</v>
      </c>
      <c r="V248" s="3" t="inlineStr">
        <is>
          <t>masc:-0.2;fem:1.5</t>
        </is>
      </c>
      <c r="W248" s="3" t="n">
        <v>-0.2</v>
      </c>
      <c r="X248" s="3" t="n">
        <v>1.5</v>
      </c>
      <c r="Y248" s="3" t="inlineStr">
        <is>
          <t>COMM_Emotional</t>
        </is>
      </c>
      <c r="Z248" s="3" t="inlineStr">
        <is>
          <t>REG_SelfSoother</t>
        </is>
      </c>
      <c r="AA248" s="3" t="inlineStr">
        <is>
          <t>LANG_Touch</t>
        </is>
      </c>
      <c r="AB248" s="3" t="inlineStr">
        <is>
          <t>Vulnerability_Loop</t>
        </is>
      </c>
      <c r="AC248" s="3" t="inlineStr">
        <is>
          <t>Vulnerability_Loop</t>
        </is>
      </c>
      <c r="AD248" s="3" t="inlineStr"/>
      <c r="AE248" s="3" t="n">
        <v>5</v>
      </c>
      <c r="AF248" s="3" t="inlineStr">
        <is>
          <t>imposter in intimacy</t>
        </is>
      </c>
      <c r="AG248" s="3" t="inlineStr">
        <is>
          <t>worth doubter</t>
        </is>
      </c>
      <c r="AH248" s="3" t="n">
        <v>0</v>
      </c>
      <c r="AI248" s="3" t="inlineStr">
        <is>
          <t>yes</t>
        </is>
      </c>
      <c r="AJ248" s="3" t="inlineStr">
        <is>
          <t>no</t>
        </is>
      </c>
      <c r="AK248" s="3" t="inlineStr">
        <is>
          <t>no</t>
        </is>
      </c>
      <c r="AL248" s="3" t="inlineStr">
        <is>
          <t>no</t>
        </is>
      </c>
      <c r="AM248" s="3" t="inlineStr"/>
      <c r="AN248" s="3" t="inlineStr"/>
      <c r="AO248" s="3" t="inlineStr"/>
      <c r="AP248" s="3" t="inlineStr">
        <is>
          <t>v3_2026-03-19</t>
        </is>
      </c>
    </row>
    <row r="249">
      <c r="A249" s="3" t="inlineStr">
        <is>
          <t>Q50_C</t>
        </is>
      </c>
      <c r="B249" s="3" t="n">
        <v>50</v>
      </c>
      <c r="C249" s="3" t="n">
        <v>50</v>
      </c>
      <c r="D249" s="3" t="inlineStr">
        <is>
          <t>Core</t>
        </is>
      </c>
      <c r="E249" s="3" t="n">
        <v>1.4</v>
      </c>
      <c r="F249" s="3" t="inlineStr">
        <is>
          <t>EmotionalNeeds</t>
        </is>
      </c>
      <c r="G249" s="3" t="inlineStr">
        <is>
          <t>IntimacyThreshold</t>
        </is>
      </c>
      <c r="H249" s="3" t="inlineStr"/>
      <c r="I249" s="3" t="inlineStr">
        <is>
          <t>C</t>
        </is>
      </c>
      <c r="J249" s="3" t="inlineStr">
        <is>
          <t>C</t>
        </is>
      </c>
      <c r="K249" s="3" t="inlineStr">
        <is>
          <t>That I'll owe them softness forever. I don't know how to stay open without feeling exposed.</t>
        </is>
      </c>
      <c r="L249" s="3" t="n">
        <v>7</v>
      </c>
      <c r="M249" s="3" t="n">
        <v>8</v>
      </c>
      <c r="N249" s="3" t="n">
        <v>4</v>
      </c>
      <c r="O249" s="3" t="n">
        <v>4</v>
      </c>
      <c r="P249" s="3" t="n">
        <v>0</v>
      </c>
      <c r="Q249" s="3" t="inlineStr">
        <is>
          <t>Icebox</t>
        </is>
      </c>
      <c r="R249" s="3" t="n">
        <v>1</v>
      </c>
      <c r="S249" s="3" t="inlineStr"/>
      <c r="T249" s="3" t="inlineStr"/>
      <c r="U249" s="3" t="n">
        <v>0</v>
      </c>
      <c r="V249" s="3" t="inlineStr">
        <is>
          <t>masc:1.8;fem:-1.6</t>
        </is>
      </c>
      <c r="W249" s="3" t="n">
        <v>1.8</v>
      </c>
      <c r="X249" s="3" t="n">
        <v>-1.6</v>
      </c>
      <c r="Y249" s="3" t="inlineStr">
        <is>
          <t>COMM_Avoidant</t>
        </is>
      </c>
      <c r="Z249" s="3" t="inlineStr">
        <is>
          <t>REG_Suppressor</t>
        </is>
      </c>
      <c r="AA249" s="3" t="inlineStr">
        <is>
          <t>LANG_Time</t>
        </is>
      </c>
      <c r="AB249" s="3" t="inlineStr"/>
      <c r="AC249" s="3" t="inlineStr"/>
      <c r="AD249" s="3" t="inlineStr"/>
      <c r="AE249" s="3" t="n">
        <v>0</v>
      </c>
      <c r="AF249" s="3" t="inlineStr">
        <is>
          <t>vulnerability debt</t>
        </is>
      </c>
      <c r="AG249" s="3" t="inlineStr">
        <is>
          <t>emotional limiter</t>
        </is>
      </c>
      <c r="AH249" s="3" t="n">
        <v>0</v>
      </c>
      <c r="AI249" s="3" t="inlineStr">
        <is>
          <t>no</t>
        </is>
      </c>
      <c r="AJ249" s="3" t="inlineStr">
        <is>
          <t>no</t>
        </is>
      </c>
      <c r="AK249" s="3" t="inlineStr">
        <is>
          <t>no</t>
        </is>
      </c>
      <c r="AL249" s="3" t="inlineStr">
        <is>
          <t>no</t>
        </is>
      </c>
      <c r="AM249" s="3" t="inlineStr"/>
      <c r="AN249" s="3" t="inlineStr"/>
      <c r="AO249" s="3" t="inlineStr"/>
      <c r="AP249" s="3" t="inlineStr">
        <is>
          <t>v3_2026-03-19</t>
        </is>
      </c>
    </row>
    <row r="250">
      <c r="A250" s="3" t="inlineStr">
        <is>
          <t>Q50_D</t>
        </is>
      </c>
      <c r="B250" s="3" t="n">
        <v>50</v>
      </c>
      <c r="C250" s="3" t="n">
        <v>50</v>
      </c>
      <c r="D250" s="3" t="inlineStr">
        <is>
          <t>Core</t>
        </is>
      </c>
      <c r="E250" s="3" t="n">
        <v>1.4</v>
      </c>
      <c r="F250" s="3" t="inlineStr">
        <is>
          <t>EmotionalNeeds</t>
        </is>
      </c>
      <c r="G250" s="3" t="inlineStr">
        <is>
          <t>IntimacyThreshold</t>
        </is>
      </c>
      <c r="H250" s="3" t="inlineStr"/>
      <c r="I250" s="3" t="inlineStr">
        <is>
          <t>D</t>
        </is>
      </c>
      <c r="J250" s="3" t="inlineStr">
        <is>
          <t>D</t>
        </is>
      </c>
      <c r="K250" s="3" t="inlineStr">
        <is>
          <t>That I'll mess it up. I take on so much, but I don't always know how to receive.</t>
        </is>
      </c>
      <c r="L250" s="3" t="n">
        <v>8</v>
      </c>
      <c r="M250" s="3" t="n">
        <v>9</v>
      </c>
      <c r="N250" s="3" t="n">
        <v>8</v>
      </c>
      <c r="O250" s="3" t="n">
        <v>10</v>
      </c>
      <c r="P250" s="3" t="n">
        <v>8</v>
      </c>
      <c r="Q250" s="3" t="inlineStr">
        <is>
          <t>Fixer</t>
        </is>
      </c>
      <c r="R250" s="3" t="n">
        <v>5</v>
      </c>
      <c r="S250" s="3" t="inlineStr"/>
      <c r="T250" s="3" t="inlineStr"/>
      <c r="U250" s="3" t="n">
        <v>0</v>
      </c>
      <c r="V250" s="3" t="inlineStr">
        <is>
          <t>masc:-0.4;fem:2.0</t>
        </is>
      </c>
      <c r="W250" s="3" t="n">
        <v>-0.4</v>
      </c>
      <c r="X250" s="3" t="n">
        <v>2</v>
      </c>
      <c r="Y250" s="3" t="inlineStr">
        <is>
          <t>COMM_Emotional</t>
        </is>
      </c>
      <c r="Z250" s="3" t="inlineStr">
        <is>
          <t>REG_CoRegulator</t>
        </is>
      </c>
      <c r="AA250" s="3" t="inlineStr">
        <is>
          <t>LANG_Service</t>
        </is>
      </c>
      <c r="AB250" s="3" t="inlineStr"/>
      <c r="AC250" s="3" t="inlineStr"/>
      <c r="AD250" s="3" t="inlineStr"/>
      <c r="AE250" s="3" t="n">
        <v>0</v>
      </c>
      <c r="AF250" s="3" t="inlineStr">
        <is>
          <t>love with no exit plan</t>
        </is>
      </c>
      <c r="AG250" s="3" t="inlineStr">
        <is>
          <t>overfunctioning partner</t>
        </is>
      </c>
      <c r="AH250" s="3" t="n">
        <v>0</v>
      </c>
      <c r="AI250" s="3" t="inlineStr">
        <is>
          <t>no</t>
        </is>
      </c>
      <c r="AJ250" s="3" t="inlineStr">
        <is>
          <t>no</t>
        </is>
      </c>
      <c r="AK250" s="3" t="inlineStr">
        <is>
          <t>no</t>
        </is>
      </c>
      <c r="AL250" s="3" t="inlineStr">
        <is>
          <t>no</t>
        </is>
      </c>
      <c r="AM250" s="3" t="inlineStr"/>
      <c r="AN250" s="3" t="inlineStr"/>
      <c r="AO250" s="3" t="inlineStr"/>
      <c r="AP250" s="3" t="inlineStr">
        <is>
          <t>v3_2026-03-19</t>
        </is>
      </c>
    </row>
    <row r="251">
      <c r="A251" s="3" t="inlineStr">
        <is>
          <t>Q50_E</t>
        </is>
      </c>
      <c r="B251" s="3" t="n">
        <v>50</v>
      </c>
      <c r="C251" s="3" t="n">
        <v>50</v>
      </c>
      <c r="D251" s="3" t="inlineStr">
        <is>
          <t>Core</t>
        </is>
      </c>
      <c r="E251" s="3" t="n">
        <v>1.4</v>
      </c>
      <c r="F251" s="3" t="inlineStr">
        <is>
          <t>EmotionalNeeds</t>
        </is>
      </c>
      <c r="G251" s="3" t="inlineStr">
        <is>
          <t>IntimacyThreshold</t>
        </is>
      </c>
      <c r="H251" s="3" t="inlineStr"/>
      <c r="I251" s="3" t="inlineStr">
        <is>
          <t>E</t>
        </is>
      </c>
      <c r="J251" s="3" t="inlineStr">
        <is>
          <t>E</t>
        </is>
      </c>
      <c r="K251" s="3" t="inlineStr">
        <is>
          <t>That it won't last. Even good things leave. Even love like that.</t>
        </is>
      </c>
      <c r="L251" s="3" t="n">
        <v>9</v>
      </c>
      <c r="M251" s="3" t="n">
        <v>9</v>
      </c>
      <c r="N251" s="3" t="n">
        <v>8</v>
      </c>
      <c r="O251" s="3" t="n">
        <v>8</v>
      </c>
      <c r="P251" s="3" t="n">
        <v>6</v>
      </c>
      <c r="Q251" s="3" t="inlineStr">
        <is>
          <t>Romantic Idealist</t>
        </is>
      </c>
      <c r="R251" s="3" t="n">
        <v>6</v>
      </c>
      <c r="S251" s="3" t="inlineStr"/>
      <c r="T251" s="3" t="inlineStr"/>
      <c r="U251" s="3" t="n">
        <v>0</v>
      </c>
      <c r="V251" s="3" t="inlineStr">
        <is>
          <t>masc:-0.4;fem:1.5</t>
        </is>
      </c>
      <c r="W251" s="3" t="n">
        <v>-0.4</v>
      </c>
      <c r="X251" s="3" t="n">
        <v>1.5</v>
      </c>
      <c r="Y251" s="3" t="inlineStr">
        <is>
          <t>COMM_Emotional</t>
        </is>
      </c>
      <c r="Z251" s="3" t="inlineStr">
        <is>
          <t>REG_Distractor</t>
        </is>
      </c>
      <c r="AA251" s="3" t="inlineStr">
        <is>
          <t>LANG_Gifts</t>
        </is>
      </c>
      <c r="AB251" s="3" t="inlineStr"/>
      <c r="AC251" s="3" t="inlineStr"/>
      <c r="AD251" s="3" t="inlineStr"/>
      <c r="AE251" s="3" t="n">
        <v>0</v>
      </c>
      <c r="AF251" s="3" t="inlineStr">
        <is>
          <t>hope tainted by history</t>
        </is>
      </c>
      <c r="AG251" s="3" t="inlineStr">
        <is>
          <t>cautious romantic</t>
        </is>
      </c>
      <c r="AH251" s="3" t="n">
        <v>0</v>
      </c>
      <c r="AI251" s="3" t="inlineStr">
        <is>
          <t>no</t>
        </is>
      </c>
      <c r="AJ251" s="3" t="inlineStr">
        <is>
          <t>no</t>
        </is>
      </c>
      <c r="AK251" s="3" t="inlineStr">
        <is>
          <t>no</t>
        </is>
      </c>
      <c r="AL251" s="3" t="inlineStr">
        <is>
          <t>no</t>
        </is>
      </c>
      <c r="AM251" s="3" t="inlineStr"/>
      <c r="AN251" s="3" t="inlineStr"/>
      <c r="AO251" s="3" t="inlineStr"/>
      <c r="AP251" s="3" t="inlineStr">
        <is>
          <t>v3_2026-03-19</t>
        </is>
      </c>
    </row>
    <row r="252">
      <c r="A252" s="3" t="inlineStr">
        <is>
          <t>Q51_A</t>
        </is>
      </c>
      <c r="B252" s="3" t="n">
        <v>51</v>
      </c>
      <c r="C252" s="3" t="n">
        <v>100</v>
      </c>
      <c r="D252" s="3" t="inlineStr">
        <is>
          <t>Shadow</t>
        </is>
      </c>
      <c r="E252" s="3" t="n">
        <v>1.3</v>
      </c>
      <c r="F252" s="3" t="inlineStr">
        <is>
          <t>ShadowPattern</t>
        </is>
      </c>
      <c r="G252" s="3" t="inlineStr">
        <is>
          <t>IntegrityRisk</t>
        </is>
      </c>
      <c r="H252" s="3" t="inlineStr">
        <is>
          <t>You realize they like you more than you like them. What do you do?</t>
        </is>
      </c>
      <c r="I252" s="3" t="inlineStr">
        <is>
          <t>A</t>
        </is>
      </c>
      <c r="J252" s="3" t="inlineStr">
        <is>
          <t>A</t>
        </is>
      </c>
      <c r="K252" s="3" t="inlineStr">
        <is>
          <t>I turn it into a game-see how far they'll go.</t>
        </is>
      </c>
      <c r="L252" s="3" t="n">
        <v>4</v>
      </c>
      <c r="M252" s="3" t="inlineStr"/>
      <c r="N252" s="3" t="n">
        <v>4</v>
      </c>
      <c r="O252" s="3" t="n">
        <v>4</v>
      </c>
      <c r="P252" s="3" t="n">
        <v>4</v>
      </c>
      <c r="Q252" s="3" t="inlineStr"/>
      <c r="R252" s="3" t="inlineStr"/>
      <c r="S252" s="3" t="inlineStr">
        <is>
          <t>Manipulator</t>
        </is>
      </c>
      <c r="T252" s="3" t="n">
        <v>1</v>
      </c>
      <c r="U252" s="3" t="n">
        <v>6</v>
      </c>
      <c r="V252" s="3" t="inlineStr">
        <is>
          <t>masc:0.0;fem:0.0</t>
        </is>
      </c>
      <c r="W252" s="3" t="n">
        <v>0</v>
      </c>
      <c r="X252" s="3" t="n">
        <v>0</v>
      </c>
      <c r="Y252" s="3" t="inlineStr"/>
      <c r="Z252" s="3" t="inlineStr"/>
      <c r="AA252" s="3" t="inlineStr"/>
      <c r="AB252" s="3" t="inlineStr"/>
      <c r="AC252" s="3" t="inlineStr"/>
      <c r="AD252" s="3" t="inlineStr"/>
      <c r="AE252" s="3" t="n">
        <v>0</v>
      </c>
      <c r="AF252" s="3" t="inlineStr"/>
      <c r="AG252" s="3" t="inlineStr"/>
      <c r="AH252" s="3" t="n">
        <v>0.6</v>
      </c>
      <c r="AI252" s="3" t="inlineStr">
        <is>
          <t>no</t>
        </is>
      </c>
      <c r="AJ252" s="3" t="inlineStr">
        <is>
          <t>yes</t>
        </is>
      </c>
      <c r="AK252" s="3" t="inlineStr">
        <is>
          <t>no</t>
        </is>
      </c>
      <c r="AL252" s="3" t="inlineStr">
        <is>
          <t>no</t>
        </is>
      </c>
      <c r="AM252" s="3" t="inlineStr"/>
      <c r="AN252" s="3" t="inlineStr"/>
      <c r="AO252" s="3" t="inlineStr"/>
      <c r="AP252" s="3" t="inlineStr">
        <is>
          <t>v3_2026-03-19</t>
        </is>
      </c>
    </row>
    <row r="253">
      <c r="A253" s="3" t="inlineStr">
        <is>
          <t>Q51_B</t>
        </is>
      </c>
      <c r="B253" s="3" t="n">
        <v>51</v>
      </c>
      <c r="C253" s="3" t="n">
        <v>100</v>
      </c>
      <c r="D253" s="3" t="inlineStr">
        <is>
          <t>Shadow</t>
        </is>
      </c>
      <c r="E253" s="3" t="n">
        <v>1.3</v>
      </c>
      <c r="F253" s="3" t="inlineStr">
        <is>
          <t>ShadowPattern</t>
        </is>
      </c>
      <c r="G253" s="3" t="inlineStr">
        <is>
          <t>IntegrityRisk</t>
        </is>
      </c>
      <c r="H253" s="3" t="inlineStr"/>
      <c r="I253" s="3" t="inlineStr">
        <is>
          <t>B</t>
        </is>
      </c>
      <c r="J253" s="3" t="inlineStr">
        <is>
          <t>B</t>
        </is>
      </c>
      <c r="K253" s="3" t="inlineStr">
        <is>
          <t>I get colder. They'll back off eventually.</t>
        </is>
      </c>
      <c r="L253" s="3" t="n">
        <v>3</v>
      </c>
      <c r="M253" s="3" t="inlineStr"/>
      <c r="N253" s="3" t="n">
        <v>6</v>
      </c>
      <c r="O253" s="3" t="n">
        <v>6</v>
      </c>
      <c r="P253" s="3" t="n">
        <v>6</v>
      </c>
      <c r="Q253" s="3" t="inlineStr"/>
      <c r="R253" s="3" t="inlineStr"/>
      <c r="S253" s="3" t="inlineStr">
        <is>
          <t>Stonewaller</t>
        </is>
      </c>
      <c r="T253" s="3" t="n">
        <v>2</v>
      </c>
      <c r="U253" s="3" t="n">
        <v>4</v>
      </c>
      <c r="V253" s="3" t="inlineStr">
        <is>
          <t>masc:0.0;fem:0.0</t>
        </is>
      </c>
      <c r="W253" s="3" t="n">
        <v>0</v>
      </c>
      <c r="X253" s="3" t="n">
        <v>0</v>
      </c>
      <c r="Y253" s="3" t="inlineStr"/>
      <c r="Z253" s="3" t="inlineStr"/>
      <c r="AA253" s="3" t="inlineStr"/>
      <c r="AB253" s="3" t="inlineStr"/>
      <c r="AC253" s="3" t="inlineStr"/>
      <c r="AD253" s="3" t="inlineStr"/>
      <c r="AE253" s="3" t="n">
        <v>0</v>
      </c>
      <c r="AF253" s="3" t="inlineStr"/>
      <c r="AG253" s="3" t="inlineStr"/>
      <c r="AH253" s="3" t="n">
        <v>1.2</v>
      </c>
      <c r="AI253" s="3" t="inlineStr">
        <is>
          <t>no</t>
        </is>
      </c>
      <c r="AJ253" s="3" t="inlineStr">
        <is>
          <t>yes</t>
        </is>
      </c>
      <c r="AK253" s="3" t="inlineStr">
        <is>
          <t>no</t>
        </is>
      </c>
      <c r="AL253" s="3" t="inlineStr">
        <is>
          <t>no</t>
        </is>
      </c>
      <c r="AM253" s="3" t="inlineStr"/>
      <c r="AN253" s="3" t="inlineStr"/>
      <c r="AO253" s="3" t="inlineStr"/>
      <c r="AP253" s="3" t="inlineStr">
        <is>
          <t>v3_2026-03-19</t>
        </is>
      </c>
    </row>
    <row r="254">
      <c r="A254" s="3" t="inlineStr">
        <is>
          <t>Q51_C</t>
        </is>
      </c>
      <c r="B254" s="3" t="n">
        <v>51</v>
      </c>
      <c r="C254" s="3" t="n">
        <v>100</v>
      </c>
      <c r="D254" s="3" t="inlineStr">
        <is>
          <t>Shadow</t>
        </is>
      </c>
      <c r="E254" s="3" t="n">
        <v>1.3</v>
      </c>
      <c r="F254" s="3" t="inlineStr">
        <is>
          <t>ShadowPattern</t>
        </is>
      </c>
      <c r="G254" s="3" t="inlineStr">
        <is>
          <t>IntegrityRisk</t>
        </is>
      </c>
      <c r="H254" s="3" t="inlineStr"/>
      <c r="I254" s="3" t="inlineStr">
        <is>
          <t>C</t>
        </is>
      </c>
      <c r="J254" s="3" t="inlineStr">
        <is>
          <t>C</t>
        </is>
      </c>
      <c r="K254" s="3" t="inlineStr">
        <is>
          <t>I say the right things... even if I don't mean them.</t>
        </is>
      </c>
      <c r="L254" s="3" t="n">
        <v>5</v>
      </c>
      <c r="M254" s="3" t="inlineStr"/>
      <c r="N254" s="3" t="n">
        <v>4</v>
      </c>
      <c r="O254" s="3" t="n">
        <v>4</v>
      </c>
      <c r="P254" s="3" t="n">
        <v>4</v>
      </c>
      <c r="Q254" s="3" t="inlineStr"/>
      <c r="R254" s="3" t="inlineStr"/>
      <c r="S254" s="3" t="inlineStr">
        <is>
          <t>Love Bomber</t>
        </is>
      </c>
      <c r="T254" s="3" t="n">
        <v>3</v>
      </c>
      <c r="U254" s="3" t="n">
        <v>6</v>
      </c>
      <c r="V254" s="3" t="inlineStr">
        <is>
          <t>masc:0.0;fem:0.0</t>
        </is>
      </c>
      <c r="W254" s="3" t="n">
        <v>0</v>
      </c>
      <c r="X254" s="3" t="n">
        <v>0</v>
      </c>
      <c r="Y254" s="3" t="inlineStr"/>
      <c r="Z254" s="3" t="inlineStr"/>
      <c r="AA254" s="3" t="inlineStr"/>
      <c r="AB254" s="3" t="inlineStr"/>
      <c r="AC254" s="3" t="inlineStr"/>
      <c r="AD254" s="3" t="inlineStr"/>
      <c r="AE254" s="3" t="n">
        <v>0</v>
      </c>
      <c r="AF254" s="3" t="inlineStr"/>
      <c r="AG254" s="3" t="inlineStr"/>
      <c r="AH254" s="3" t="n">
        <v>0</v>
      </c>
      <c r="AI254" s="3" t="inlineStr">
        <is>
          <t>no</t>
        </is>
      </c>
      <c r="AJ254" s="3" t="inlineStr">
        <is>
          <t>no</t>
        </is>
      </c>
      <c r="AK254" s="3" t="inlineStr">
        <is>
          <t>no</t>
        </is>
      </c>
      <c r="AL254" s="3" t="inlineStr">
        <is>
          <t>no</t>
        </is>
      </c>
      <c r="AM254" s="3" t="inlineStr"/>
      <c r="AN254" s="3" t="inlineStr"/>
      <c r="AO254" s="3" t="inlineStr"/>
      <c r="AP254" s="3" t="inlineStr">
        <is>
          <t>v3_2026-03-19</t>
        </is>
      </c>
    </row>
    <row r="255">
      <c r="A255" s="3" t="inlineStr">
        <is>
          <t>Q51_D</t>
        </is>
      </c>
      <c r="B255" s="3" t="n">
        <v>51</v>
      </c>
      <c r="C255" s="3" t="n">
        <v>100</v>
      </c>
      <c r="D255" s="3" t="inlineStr">
        <is>
          <t>Shadow</t>
        </is>
      </c>
      <c r="E255" s="3" t="n">
        <v>1.3</v>
      </c>
      <c r="F255" s="3" t="inlineStr">
        <is>
          <t>ShadowPattern</t>
        </is>
      </c>
      <c r="G255" s="3" t="inlineStr">
        <is>
          <t>IntegrityRisk</t>
        </is>
      </c>
      <c r="H255" s="3" t="inlineStr"/>
      <c r="I255" s="3" t="inlineStr">
        <is>
          <t>D</t>
        </is>
      </c>
      <c r="J255" s="3" t="inlineStr">
        <is>
          <t>D</t>
        </is>
      </c>
      <c r="K255" s="3" t="inlineStr">
        <is>
          <t>I shape-shift a little to match their energy.</t>
        </is>
      </c>
      <c r="L255" s="3" t="n">
        <v>6</v>
      </c>
      <c r="M255" s="3" t="inlineStr"/>
      <c r="N255" s="3" t="n">
        <v>4</v>
      </c>
      <c r="O255" s="3" t="n">
        <v>4</v>
      </c>
      <c r="P255" s="3" t="n">
        <v>4</v>
      </c>
      <c r="Q255" s="3" t="inlineStr"/>
      <c r="R255" s="3" t="inlineStr"/>
      <c r="S255" s="3" t="inlineStr">
        <is>
          <t>Chameleon</t>
        </is>
      </c>
      <c r="T255" s="3" t="n">
        <v>4</v>
      </c>
      <c r="U255" s="3" t="n">
        <v>6</v>
      </c>
      <c r="V255" s="3" t="inlineStr">
        <is>
          <t>masc:0.0;fem:0.0</t>
        </is>
      </c>
      <c r="W255" s="3" t="n">
        <v>0</v>
      </c>
      <c r="X255" s="3" t="n">
        <v>0</v>
      </c>
      <c r="Y255" s="3" t="inlineStr"/>
      <c r="Z255" s="3" t="inlineStr"/>
      <c r="AA255" s="3" t="inlineStr"/>
      <c r="AB255" s="3" t="inlineStr"/>
      <c r="AC255" s="3" t="inlineStr"/>
      <c r="AD255" s="3" t="inlineStr"/>
      <c r="AE255" s="3" t="n">
        <v>0</v>
      </c>
      <c r="AF255" s="3" t="inlineStr"/>
      <c r="AG255" s="3" t="inlineStr"/>
      <c r="AH255" s="3" t="n">
        <v>0.6</v>
      </c>
      <c r="AI255" s="3" t="inlineStr"/>
      <c r="AJ255" s="3" t="inlineStr">
        <is>
          <t>no</t>
        </is>
      </c>
      <c r="AK255" s="3" t="inlineStr">
        <is>
          <t>no</t>
        </is>
      </c>
      <c r="AL255" s="3" t="inlineStr">
        <is>
          <t>no</t>
        </is>
      </c>
      <c r="AM255" s="3" t="inlineStr"/>
      <c r="AN255" s="3" t="inlineStr"/>
      <c r="AO255" s="3" t="inlineStr"/>
      <c r="AP255" s="3" t="inlineStr">
        <is>
          <t>v3_2026-03-19</t>
        </is>
      </c>
    </row>
    <row r="256">
      <c r="A256" s="3" t="inlineStr">
        <is>
          <t>Q51_E</t>
        </is>
      </c>
      <c r="B256" s="3" t="n">
        <v>51</v>
      </c>
      <c r="C256" s="3" t="n">
        <v>100</v>
      </c>
      <c r="D256" s="3" t="inlineStr">
        <is>
          <t>Shadow</t>
        </is>
      </c>
      <c r="E256" s="3" t="n">
        <v>1.3</v>
      </c>
      <c r="F256" s="3" t="inlineStr">
        <is>
          <t>ShadowPattern</t>
        </is>
      </c>
      <c r="G256" s="3" t="inlineStr">
        <is>
          <t>IntegrityRisk</t>
        </is>
      </c>
      <c r="H256" s="3" t="inlineStr"/>
      <c r="I256" s="3" t="inlineStr">
        <is>
          <t>E</t>
        </is>
      </c>
      <c r="J256" s="3" t="inlineStr">
        <is>
          <t>E</t>
        </is>
      </c>
      <c r="K256" s="3" t="inlineStr">
        <is>
          <t>I start pulling back affection to make it feel "fair."</t>
        </is>
      </c>
      <c r="L256" s="3" t="n">
        <v>7</v>
      </c>
      <c r="M256" s="3" t="inlineStr"/>
      <c r="N256" s="3" t="n">
        <v>2</v>
      </c>
      <c r="O256" s="3" t="n">
        <v>2</v>
      </c>
      <c r="P256" s="3" t="n">
        <v>2</v>
      </c>
      <c r="Q256" s="3" t="inlineStr"/>
      <c r="R256" s="3" t="inlineStr"/>
      <c r="S256" s="3" t="inlineStr">
        <is>
          <t>Scorekeeper</t>
        </is>
      </c>
      <c r="T256" s="3" t="n">
        <v>5</v>
      </c>
      <c r="U256" s="3" t="n">
        <v>8</v>
      </c>
      <c r="V256" s="3" t="inlineStr">
        <is>
          <t>masc:0.0;fem:0.0</t>
        </is>
      </c>
      <c r="W256" s="3" t="n">
        <v>0</v>
      </c>
      <c r="X256" s="3" t="n">
        <v>0</v>
      </c>
      <c r="Y256" s="3" t="inlineStr"/>
      <c r="Z256" s="3" t="inlineStr"/>
      <c r="AA256" s="3" t="inlineStr"/>
      <c r="AB256" s="3" t="inlineStr"/>
      <c r="AC256" s="3" t="inlineStr"/>
      <c r="AD256" s="3" t="inlineStr"/>
      <c r="AE256" s="3" t="n">
        <v>0</v>
      </c>
      <c r="AF256" s="3" t="inlineStr"/>
      <c r="AG256" s="3" t="inlineStr"/>
      <c r="AH256" s="3" t="n">
        <v>0</v>
      </c>
      <c r="AI256" s="3" t="inlineStr"/>
      <c r="AJ256" s="3" t="inlineStr">
        <is>
          <t>no</t>
        </is>
      </c>
      <c r="AK256" s="3" t="inlineStr">
        <is>
          <t>no</t>
        </is>
      </c>
      <c r="AL256" s="3" t="inlineStr">
        <is>
          <t>no</t>
        </is>
      </c>
      <c r="AM256" s="3" t="inlineStr"/>
      <c r="AN256" s="3" t="inlineStr"/>
      <c r="AO256" s="3" t="inlineStr"/>
      <c r="AP256" s="3" t="inlineStr">
        <is>
          <t>v3_2026-03-19</t>
        </is>
      </c>
    </row>
    <row r="257">
      <c r="A257" s="3" t="inlineStr">
        <is>
          <t>Q51_F</t>
        </is>
      </c>
      <c r="B257" s="3" t="n">
        <v>51</v>
      </c>
      <c r="C257" s="3" t="n">
        <v>100</v>
      </c>
      <c r="D257" s="3" t="inlineStr">
        <is>
          <t>Shadow</t>
        </is>
      </c>
      <c r="E257" s="3" t="n">
        <v>1.3</v>
      </c>
      <c r="F257" s="3" t="inlineStr">
        <is>
          <t>ShadowPattern</t>
        </is>
      </c>
      <c r="G257" s="3" t="inlineStr">
        <is>
          <t>IntegrityRisk</t>
        </is>
      </c>
      <c r="H257" s="3" t="inlineStr"/>
      <c r="I257" s="3" t="inlineStr">
        <is>
          <t>F</t>
        </is>
      </c>
      <c r="J257" s="3" t="inlineStr">
        <is>
          <t>F</t>
        </is>
      </c>
      <c r="K257" s="3" t="inlineStr">
        <is>
          <t>I blame myself for not liking them more</t>
        </is>
      </c>
      <c r="L257" s="3" t="n">
        <v>8</v>
      </c>
      <c r="M257" s="3" t="inlineStr"/>
      <c r="N257" s="3" t="n">
        <v>2</v>
      </c>
      <c r="O257" s="3" t="n">
        <v>2</v>
      </c>
      <c r="P257" s="3" t="n">
        <v>2</v>
      </c>
      <c r="Q257" s="3" t="inlineStr"/>
      <c r="R257" s="3" t="inlineStr"/>
      <c r="S257" s="3" t="inlineStr">
        <is>
          <t>Self-Saboteur</t>
        </is>
      </c>
      <c r="T257" s="3" t="n">
        <v>6</v>
      </c>
      <c r="U257" s="3" t="n">
        <v>8</v>
      </c>
      <c r="V257" s="3" t="inlineStr">
        <is>
          <t>masc:0.0;fem:0.0</t>
        </is>
      </c>
      <c r="W257" s="3" t="n">
        <v>0</v>
      </c>
      <c r="X257" s="3" t="n">
        <v>0</v>
      </c>
      <c r="Y257" s="3" t="inlineStr"/>
      <c r="Z257" s="3" t="inlineStr"/>
      <c r="AA257" s="3" t="inlineStr"/>
      <c r="AB257" s="3" t="inlineStr"/>
      <c r="AC257" s="3" t="inlineStr"/>
      <c r="AD257" s="3" t="inlineStr"/>
      <c r="AE257" s="3" t="n">
        <v>0</v>
      </c>
      <c r="AF257" s="3" t="inlineStr"/>
      <c r="AG257" s="3" t="inlineStr"/>
      <c r="AH257" s="3" t="n">
        <v>0.6</v>
      </c>
      <c r="AI257" s="3" t="inlineStr"/>
      <c r="AJ257" s="3" t="inlineStr">
        <is>
          <t>no</t>
        </is>
      </c>
      <c r="AK257" s="3" t="inlineStr">
        <is>
          <t>no</t>
        </is>
      </c>
      <c r="AL257" s="3" t="inlineStr">
        <is>
          <t>no</t>
        </is>
      </c>
      <c r="AM257" s="3" t="inlineStr"/>
      <c r="AN257" s="3" t="inlineStr"/>
      <c r="AO257" s="3" t="inlineStr"/>
      <c r="AP257" s="3" t="inlineStr">
        <is>
          <t>v3_2026-03-19</t>
        </is>
      </c>
    </row>
    <row r="258">
      <c r="A258" s="3" t="inlineStr">
        <is>
          <t>Q52_A</t>
        </is>
      </c>
      <c r="B258" s="3" t="n">
        <v>52</v>
      </c>
      <c r="C258" s="3" t="n">
        <v>101</v>
      </c>
      <c r="D258" s="3" t="inlineStr">
        <is>
          <t>Shadow</t>
        </is>
      </c>
      <c r="E258" s="3" t="n">
        <v>1.3</v>
      </c>
      <c r="F258" s="3" t="inlineStr">
        <is>
          <t>ShadowPattern</t>
        </is>
      </c>
      <c r="G258" s="3" t="inlineStr">
        <is>
          <t>IntegrityRisk</t>
        </is>
      </c>
      <c r="H258" s="3" t="inlineStr">
        <is>
          <t>You get caught in a lie, but only a small one. What's your instinct?</t>
        </is>
      </c>
      <c r="I258" s="3" t="inlineStr">
        <is>
          <t>A</t>
        </is>
      </c>
      <c r="J258" s="3" t="inlineStr">
        <is>
          <t>A</t>
        </is>
      </c>
      <c r="K258" s="3" t="inlineStr">
        <is>
          <t>I flip it on them: Why were they snooping anyway?</t>
        </is>
      </c>
      <c r="L258" s="3" t="n">
        <v>4</v>
      </c>
      <c r="M258" s="3" t="inlineStr"/>
      <c r="N258" s="3" t="n">
        <v>4</v>
      </c>
      <c r="O258" s="3" t="n">
        <v>4</v>
      </c>
      <c r="P258" s="3" t="n">
        <v>4</v>
      </c>
      <c r="Q258" s="3" t="inlineStr"/>
      <c r="R258" s="3" t="inlineStr"/>
      <c r="S258" s="3" t="inlineStr">
        <is>
          <t>Manipulator</t>
        </is>
      </c>
      <c r="T258" s="3" t="n">
        <v>1</v>
      </c>
      <c r="U258" s="3" t="n">
        <v>6</v>
      </c>
      <c r="V258" s="3" t="inlineStr">
        <is>
          <t>masc:0.0;fem:0.0</t>
        </is>
      </c>
      <c r="W258" s="3" t="n">
        <v>0</v>
      </c>
      <c r="X258" s="3" t="n">
        <v>0</v>
      </c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0</v>
      </c>
      <c r="AF258" s="3" t="inlineStr"/>
      <c r="AG258" s="3" t="inlineStr"/>
      <c r="AH258" s="3" t="n">
        <v>0</v>
      </c>
      <c r="AI258" s="3" t="inlineStr"/>
      <c r="AJ258" s="3" t="inlineStr">
        <is>
          <t>yes</t>
        </is>
      </c>
      <c r="AK258" s="3" t="inlineStr">
        <is>
          <t>no</t>
        </is>
      </c>
      <c r="AL258" s="3" t="inlineStr">
        <is>
          <t>no</t>
        </is>
      </c>
      <c r="AM258" s="3" t="inlineStr"/>
      <c r="AN258" s="3" t="inlineStr"/>
      <c r="AO258" s="3" t="inlineStr"/>
      <c r="AP258" s="3" t="inlineStr">
        <is>
          <t>v3_2026-03-19</t>
        </is>
      </c>
    </row>
    <row r="259">
      <c r="A259" s="3" t="inlineStr">
        <is>
          <t>Q52_B</t>
        </is>
      </c>
      <c r="B259" s="3" t="n">
        <v>52</v>
      </c>
      <c r="C259" s="3" t="n">
        <v>101</v>
      </c>
      <c r="D259" s="3" t="inlineStr">
        <is>
          <t>Shadow</t>
        </is>
      </c>
      <c r="E259" s="3" t="n">
        <v>1.3</v>
      </c>
      <c r="F259" s="3" t="inlineStr">
        <is>
          <t>ShadowPattern</t>
        </is>
      </c>
      <c r="G259" s="3" t="inlineStr">
        <is>
          <t>IntegrityRisk</t>
        </is>
      </c>
      <c r="H259" s="3" t="inlineStr"/>
      <c r="I259" s="3" t="inlineStr">
        <is>
          <t>B</t>
        </is>
      </c>
      <c r="J259" s="3" t="inlineStr">
        <is>
          <t>B</t>
        </is>
      </c>
      <c r="K259" s="3" t="inlineStr">
        <is>
          <t>I freeze and change the subject.</t>
        </is>
      </c>
      <c r="L259" s="3" t="n">
        <v>3</v>
      </c>
      <c r="M259" s="3" t="inlineStr"/>
      <c r="N259" s="3" t="n">
        <v>6</v>
      </c>
      <c r="O259" s="3" t="n">
        <v>6</v>
      </c>
      <c r="P259" s="3" t="n">
        <v>6</v>
      </c>
      <c r="Q259" s="3" t="inlineStr"/>
      <c r="R259" s="3" t="inlineStr"/>
      <c r="S259" s="3" t="inlineStr">
        <is>
          <t>Stonewaller</t>
        </is>
      </c>
      <c r="T259" s="3" t="n">
        <v>2</v>
      </c>
      <c r="U259" s="3" t="n">
        <v>4</v>
      </c>
      <c r="V259" s="3" t="inlineStr">
        <is>
          <t>masc:0.0;fem:0.0</t>
        </is>
      </c>
      <c r="W259" s="3" t="n">
        <v>0</v>
      </c>
      <c r="X259" s="3" t="n">
        <v>0</v>
      </c>
      <c r="Y259" s="3" t="inlineStr"/>
      <c r="Z259" s="3" t="inlineStr"/>
      <c r="AA259" s="3" t="inlineStr"/>
      <c r="AB259" s="3" t="inlineStr"/>
      <c r="AC259" s="3" t="inlineStr"/>
      <c r="AD259" s="3" t="inlineStr"/>
      <c r="AE259" s="3" t="n">
        <v>0</v>
      </c>
      <c r="AF259" s="3" t="inlineStr"/>
      <c r="AG259" s="3" t="inlineStr"/>
      <c r="AH259" s="3" t="n">
        <v>0</v>
      </c>
      <c r="AI259" s="3" t="inlineStr"/>
      <c r="AJ259" s="3" t="inlineStr">
        <is>
          <t>yes</t>
        </is>
      </c>
      <c r="AK259" s="3" t="inlineStr">
        <is>
          <t>no</t>
        </is>
      </c>
      <c r="AL259" s="3" t="inlineStr">
        <is>
          <t>no</t>
        </is>
      </c>
      <c r="AM259" s="3" t="inlineStr"/>
      <c r="AN259" s="3" t="inlineStr"/>
      <c r="AO259" s="3" t="inlineStr"/>
      <c r="AP259" s="3" t="inlineStr">
        <is>
          <t>v3_2026-03-19</t>
        </is>
      </c>
    </row>
    <row r="260">
      <c r="A260" s="3" t="inlineStr">
        <is>
          <t>Q52_C</t>
        </is>
      </c>
      <c r="B260" s="3" t="n">
        <v>52</v>
      </c>
      <c r="C260" s="3" t="n">
        <v>101</v>
      </c>
      <c r="D260" s="3" t="inlineStr">
        <is>
          <t>Shadow</t>
        </is>
      </c>
      <c r="E260" s="3" t="n">
        <v>1.3</v>
      </c>
      <c r="F260" s="3" t="inlineStr">
        <is>
          <t>ShadowPattern</t>
        </is>
      </c>
      <c r="G260" s="3" t="inlineStr">
        <is>
          <t>IntegrityRisk</t>
        </is>
      </c>
      <c r="H260" s="3" t="inlineStr"/>
      <c r="I260" s="3" t="inlineStr">
        <is>
          <t>C</t>
        </is>
      </c>
      <c r="J260" s="3" t="inlineStr">
        <is>
          <t>C</t>
        </is>
      </c>
      <c r="K260" s="3" t="inlineStr">
        <is>
          <t>I charm my way out of it. It's no big deal.</t>
        </is>
      </c>
      <c r="L260" s="3" t="n">
        <v>5</v>
      </c>
      <c r="M260" s="3" t="inlineStr"/>
      <c r="N260" s="3" t="n">
        <v>4</v>
      </c>
      <c r="O260" s="3" t="n">
        <v>4</v>
      </c>
      <c r="P260" s="3" t="n">
        <v>4</v>
      </c>
      <c r="Q260" s="3" t="inlineStr"/>
      <c r="R260" s="3" t="inlineStr"/>
      <c r="S260" s="3" t="inlineStr">
        <is>
          <t>Love Bomber</t>
        </is>
      </c>
      <c r="T260" s="3" t="n">
        <v>3</v>
      </c>
      <c r="U260" s="3" t="n">
        <v>6</v>
      </c>
      <c r="V260" s="3" t="inlineStr">
        <is>
          <t>masc:0.0;fem:0.0</t>
        </is>
      </c>
      <c r="W260" s="3" t="n">
        <v>0</v>
      </c>
      <c r="X260" s="3" t="n">
        <v>0</v>
      </c>
      <c r="Y260" s="3" t="inlineStr"/>
      <c r="Z260" s="3" t="inlineStr"/>
      <c r="AA260" s="3" t="inlineStr"/>
      <c r="AB260" s="3" t="inlineStr"/>
      <c r="AC260" s="3" t="inlineStr"/>
      <c r="AD260" s="3" t="inlineStr"/>
      <c r="AE260" s="3" t="n">
        <v>0</v>
      </c>
      <c r="AF260" s="3" t="inlineStr"/>
      <c r="AG260" s="3" t="inlineStr"/>
      <c r="AH260" s="3" t="n">
        <v>0.6</v>
      </c>
      <c r="AI260" s="3" t="inlineStr"/>
      <c r="AJ260" s="3" t="inlineStr">
        <is>
          <t>no</t>
        </is>
      </c>
      <c r="AK260" s="3" t="inlineStr">
        <is>
          <t>no</t>
        </is>
      </c>
      <c r="AL260" s="3" t="inlineStr">
        <is>
          <t>no</t>
        </is>
      </c>
      <c r="AM260" s="3" t="inlineStr"/>
      <c r="AN260" s="3" t="inlineStr"/>
      <c r="AO260" s="3" t="inlineStr"/>
      <c r="AP260" s="3" t="inlineStr">
        <is>
          <t>v3_2026-03-19</t>
        </is>
      </c>
    </row>
    <row r="261">
      <c r="A261" s="3" t="inlineStr">
        <is>
          <t>Q52_D</t>
        </is>
      </c>
      <c r="B261" s="3" t="n">
        <v>52</v>
      </c>
      <c r="C261" s="3" t="n">
        <v>101</v>
      </c>
      <c r="D261" s="3" t="inlineStr">
        <is>
          <t>Shadow</t>
        </is>
      </c>
      <c r="E261" s="3" t="n">
        <v>1.3</v>
      </c>
      <c r="F261" s="3" t="inlineStr">
        <is>
          <t>ShadowPattern</t>
        </is>
      </c>
      <c r="G261" s="3" t="inlineStr">
        <is>
          <t>IntegrityRisk</t>
        </is>
      </c>
      <c r="H261" s="3" t="inlineStr"/>
      <c r="I261" s="3" t="inlineStr">
        <is>
          <t>D</t>
        </is>
      </c>
      <c r="J261" s="3" t="inlineStr">
        <is>
          <t>D</t>
        </is>
      </c>
      <c r="K261" s="3" t="inlineStr">
        <is>
          <t>I act like I forgot. I'm not even sure which version I told.</t>
        </is>
      </c>
      <c r="L261" s="3" t="n">
        <v>6</v>
      </c>
      <c r="M261" s="3" t="inlineStr"/>
      <c r="N261" s="3" t="n">
        <v>4</v>
      </c>
      <c r="O261" s="3" t="n">
        <v>4</v>
      </c>
      <c r="P261" s="3" t="n">
        <v>4</v>
      </c>
      <c r="Q261" s="3" t="inlineStr"/>
      <c r="R261" s="3" t="inlineStr"/>
      <c r="S261" s="3" t="inlineStr">
        <is>
          <t>Chameleon</t>
        </is>
      </c>
      <c r="T261" s="3" t="n">
        <v>4</v>
      </c>
      <c r="U261" s="3" t="n">
        <v>6</v>
      </c>
      <c r="V261" s="3" t="inlineStr">
        <is>
          <t>masc:0.0;fem:0.0</t>
        </is>
      </c>
      <c r="W261" s="3" t="n">
        <v>0</v>
      </c>
      <c r="X261" s="3" t="n">
        <v>0</v>
      </c>
      <c r="Y261" s="3" t="inlineStr"/>
      <c r="Z261" s="3" t="inlineStr"/>
      <c r="AA261" s="3" t="inlineStr"/>
      <c r="AB261" s="3" t="inlineStr"/>
      <c r="AC261" s="3" t="inlineStr"/>
      <c r="AD261" s="3" t="inlineStr"/>
      <c r="AE261" s="3" t="n">
        <v>0</v>
      </c>
      <c r="AF261" s="3" t="inlineStr"/>
      <c r="AG261" s="3" t="inlineStr"/>
      <c r="AH261" s="3" t="n">
        <v>0</v>
      </c>
      <c r="AI261" s="3" t="inlineStr"/>
      <c r="AJ261" s="3" t="inlineStr">
        <is>
          <t>no</t>
        </is>
      </c>
      <c r="AK261" s="3" t="inlineStr">
        <is>
          <t>no</t>
        </is>
      </c>
      <c r="AL261" s="3" t="inlineStr">
        <is>
          <t>no</t>
        </is>
      </c>
      <c r="AM261" s="3" t="inlineStr"/>
      <c r="AN261" s="3" t="inlineStr"/>
      <c r="AO261" s="3" t="inlineStr"/>
      <c r="AP261" s="3" t="inlineStr">
        <is>
          <t>v3_2026-03-19</t>
        </is>
      </c>
    </row>
    <row r="262">
      <c r="A262" s="3" t="inlineStr">
        <is>
          <t>Q52_E</t>
        </is>
      </c>
      <c r="B262" s="3" t="n">
        <v>52</v>
      </c>
      <c r="C262" s="3" t="n">
        <v>101</v>
      </c>
      <c r="D262" s="3" t="inlineStr">
        <is>
          <t>Shadow</t>
        </is>
      </c>
      <c r="E262" s="3" t="n">
        <v>1.3</v>
      </c>
      <c r="F262" s="3" t="inlineStr">
        <is>
          <t>ShadowPattern</t>
        </is>
      </c>
      <c r="G262" s="3" t="inlineStr">
        <is>
          <t>IntegrityRisk</t>
        </is>
      </c>
      <c r="H262" s="3" t="inlineStr"/>
      <c r="I262" s="3" t="inlineStr">
        <is>
          <t>E</t>
        </is>
      </c>
      <c r="J262" s="3" t="inlineStr">
        <is>
          <t>E</t>
        </is>
      </c>
      <c r="K262" s="3" t="inlineStr">
        <is>
          <t>I downplay it and bring up something they did wrong.</t>
        </is>
      </c>
      <c r="L262" s="3" t="n">
        <v>7</v>
      </c>
      <c r="M262" s="3" t="inlineStr"/>
      <c r="N262" s="3" t="n">
        <v>2</v>
      </c>
      <c r="O262" s="3" t="n">
        <v>2</v>
      </c>
      <c r="P262" s="3" t="n">
        <v>2</v>
      </c>
      <c r="Q262" s="3" t="inlineStr"/>
      <c r="R262" s="3" t="inlineStr"/>
      <c r="S262" s="3" t="inlineStr">
        <is>
          <t>Scorekeeper</t>
        </is>
      </c>
      <c r="T262" s="3" t="n">
        <v>5</v>
      </c>
      <c r="U262" s="3" t="n">
        <v>8</v>
      </c>
      <c r="V262" s="3" t="inlineStr">
        <is>
          <t>masc:0.0;fem:0.0</t>
        </is>
      </c>
      <c r="W262" s="3" t="n">
        <v>0</v>
      </c>
      <c r="X262" s="3" t="n">
        <v>0</v>
      </c>
      <c r="Y262" s="3" t="inlineStr"/>
      <c r="Z262" s="3" t="inlineStr"/>
      <c r="AA262" s="3" t="inlineStr"/>
      <c r="AB262" s="3" t="inlineStr"/>
      <c r="AC262" s="3" t="inlineStr"/>
      <c r="AD262" s="3" t="inlineStr"/>
      <c r="AE262" s="3" t="n">
        <v>0</v>
      </c>
      <c r="AF262" s="3" t="inlineStr"/>
      <c r="AG262" s="3" t="inlineStr"/>
      <c r="AH262" s="3" t="n">
        <v>0</v>
      </c>
      <c r="AI262" s="3" t="inlineStr"/>
      <c r="AJ262" s="3" t="inlineStr">
        <is>
          <t>no</t>
        </is>
      </c>
      <c r="AK262" s="3" t="inlineStr">
        <is>
          <t>no</t>
        </is>
      </c>
      <c r="AL262" s="3" t="inlineStr">
        <is>
          <t>no</t>
        </is>
      </c>
      <c r="AM262" s="3" t="inlineStr"/>
      <c r="AN262" s="3" t="inlineStr"/>
      <c r="AO262" s="3" t="inlineStr"/>
      <c r="AP262" s="3" t="inlineStr">
        <is>
          <t>v3_2026-03-19</t>
        </is>
      </c>
    </row>
    <row r="263">
      <c r="A263" s="3" t="inlineStr">
        <is>
          <t>Q52_F</t>
        </is>
      </c>
      <c r="B263" s="3" t="n">
        <v>52</v>
      </c>
      <c r="C263" s="3" t="n">
        <v>101</v>
      </c>
      <c r="D263" s="3" t="inlineStr">
        <is>
          <t>Shadow</t>
        </is>
      </c>
      <c r="E263" s="3" t="n">
        <v>1.3</v>
      </c>
      <c r="F263" s="3" t="inlineStr">
        <is>
          <t>ShadowPattern</t>
        </is>
      </c>
      <c r="G263" s="3" t="inlineStr">
        <is>
          <t>IntegrityRisk</t>
        </is>
      </c>
      <c r="H263" s="3" t="inlineStr"/>
      <c r="I263" s="3" t="inlineStr">
        <is>
          <t>F</t>
        </is>
      </c>
      <c r="J263" s="3" t="inlineStr">
        <is>
          <t>F</t>
        </is>
      </c>
      <c r="K263" s="3" t="inlineStr">
        <is>
          <t>I admit it and punish myself later.</t>
        </is>
      </c>
      <c r="L263" s="3" t="n">
        <v>8</v>
      </c>
      <c r="M263" s="3" t="inlineStr"/>
      <c r="N263" s="3" t="n">
        <v>2</v>
      </c>
      <c r="O263" s="3" t="n">
        <v>2</v>
      </c>
      <c r="P263" s="3" t="n">
        <v>2</v>
      </c>
      <c r="Q263" s="3" t="inlineStr"/>
      <c r="R263" s="3" t="inlineStr"/>
      <c r="S263" s="3" t="inlineStr">
        <is>
          <t>Self-Saboteur</t>
        </is>
      </c>
      <c r="T263" s="3" t="n">
        <v>6</v>
      </c>
      <c r="U263" s="3" t="n">
        <v>8</v>
      </c>
      <c r="V263" s="3" t="inlineStr">
        <is>
          <t>masc:0.0;fem:0.0</t>
        </is>
      </c>
      <c r="W263" s="3" t="n">
        <v>0</v>
      </c>
      <c r="X263" s="3" t="n">
        <v>0</v>
      </c>
      <c r="Y263" s="3" t="inlineStr"/>
      <c r="Z263" s="3" t="inlineStr"/>
      <c r="AA263" s="3" t="inlineStr"/>
      <c r="AB263" s="3" t="inlineStr"/>
      <c r="AC263" s="3" t="inlineStr"/>
      <c r="AD263" s="3" t="inlineStr"/>
      <c r="AE263" s="3" t="n">
        <v>0</v>
      </c>
      <c r="AF263" s="3" t="inlineStr"/>
      <c r="AG263" s="3" t="inlineStr"/>
      <c r="AH263" s="3" t="n">
        <v>0.6</v>
      </c>
      <c r="AI263" s="3" t="inlineStr"/>
      <c r="AJ263" s="3" t="inlineStr">
        <is>
          <t>no</t>
        </is>
      </c>
      <c r="AK263" s="3" t="inlineStr">
        <is>
          <t>no</t>
        </is>
      </c>
      <c r="AL263" s="3" t="inlineStr">
        <is>
          <t>no</t>
        </is>
      </c>
      <c r="AM263" s="3" t="inlineStr"/>
      <c r="AN263" s="3" t="inlineStr"/>
      <c r="AO263" s="3" t="inlineStr"/>
      <c r="AP263" s="3" t="inlineStr">
        <is>
          <t>v3_2026-03-19</t>
        </is>
      </c>
    </row>
    <row r="264">
      <c r="A264" s="3" t="inlineStr">
        <is>
          <t>Q53_A</t>
        </is>
      </c>
      <c r="B264" s="3" t="n">
        <v>53</v>
      </c>
      <c r="C264" s="3" t="n">
        <v>102</v>
      </c>
      <c r="D264" s="3" t="inlineStr">
        <is>
          <t>Shadow</t>
        </is>
      </c>
      <c r="E264" s="3" t="n">
        <v>1.3</v>
      </c>
      <c r="F264" s="3" t="inlineStr">
        <is>
          <t>ShadowPattern</t>
        </is>
      </c>
      <c r="G264" s="3" t="inlineStr">
        <is>
          <t>IntegrityRisk</t>
        </is>
      </c>
      <c r="H264" s="3" t="inlineStr">
        <is>
          <t>They disappoint you emotionally. No apology, no awareness. What happens next?</t>
        </is>
      </c>
      <c r="I264" s="3" t="inlineStr">
        <is>
          <t>A</t>
        </is>
      </c>
      <c r="J264" s="3" t="inlineStr">
        <is>
          <t>A</t>
        </is>
      </c>
      <c r="K264" s="3" t="inlineStr">
        <is>
          <t>I bring it up in a way that makes them feel guilty.</t>
        </is>
      </c>
      <c r="L264" s="3" t="n">
        <v>4</v>
      </c>
      <c r="M264" s="3" t="inlineStr"/>
      <c r="N264" s="3" t="n">
        <v>4</v>
      </c>
      <c r="O264" s="3" t="n">
        <v>4</v>
      </c>
      <c r="P264" s="3" t="n">
        <v>4</v>
      </c>
      <c r="Q264" s="3" t="inlineStr"/>
      <c r="R264" s="3" t="inlineStr"/>
      <c r="S264" s="3" t="inlineStr">
        <is>
          <t>Manipulator</t>
        </is>
      </c>
      <c r="T264" s="3" t="n">
        <v>1</v>
      </c>
      <c r="U264" s="3" t="n">
        <v>6</v>
      </c>
      <c r="V264" s="3" t="inlineStr">
        <is>
          <t>masc:0.0;fem:0.0</t>
        </is>
      </c>
      <c r="W264" s="3" t="n">
        <v>0</v>
      </c>
      <c r="X264" s="3" t="n">
        <v>0</v>
      </c>
      <c r="Y264" s="3" t="inlineStr"/>
      <c r="Z264" s="3" t="inlineStr"/>
      <c r="AA264" s="3" t="inlineStr"/>
      <c r="AB264" s="3" t="inlineStr"/>
      <c r="AC264" s="3" t="inlineStr"/>
      <c r="AD264" s="3" t="inlineStr"/>
      <c r="AE264" s="3" t="n">
        <v>0</v>
      </c>
      <c r="AF264" s="3" t="inlineStr"/>
      <c r="AG264" s="3" t="inlineStr"/>
      <c r="AH264" s="3" t="n">
        <v>0.6</v>
      </c>
      <c r="AI264" s="3" t="inlineStr"/>
      <c r="AJ264" s="3" t="inlineStr">
        <is>
          <t>yes</t>
        </is>
      </c>
      <c r="AK264" s="3" t="inlineStr">
        <is>
          <t>no</t>
        </is>
      </c>
      <c r="AL264" s="3" t="inlineStr">
        <is>
          <t>no</t>
        </is>
      </c>
      <c r="AM264" s="3" t="inlineStr"/>
      <c r="AN264" s="3" t="inlineStr"/>
      <c r="AO264" s="3" t="inlineStr"/>
      <c r="AP264" s="3" t="inlineStr">
        <is>
          <t>v3_2026-03-19</t>
        </is>
      </c>
    </row>
    <row r="265">
      <c r="A265" s="3" t="inlineStr">
        <is>
          <t>Q53_B</t>
        </is>
      </c>
      <c r="B265" s="3" t="n">
        <v>53</v>
      </c>
      <c r="C265" s="3" t="n">
        <v>102</v>
      </c>
      <c r="D265" s="3" t="inlineStr">
        <is>
          <t>Shadow</t>
        </is>
      </c>
      <c r="E265" s="3" t="n">
        <v>1.3</v>
      </c>
      <c r="F265" s="3" t="inlineStr">
        <is>
          <t>ShadowPattern</t>
        </is>
      </c>
      <c r="G265" s="3" t="inlineStr">
        <is>
          <t>IntegrityRisk</t>
        </is>
      </c>
      <c r="H265" s="3" t="inlineStr"/>
      <c r="I265" s="3" t="inlineStr">
        <is>
          <t>B</t>
        </is>
      </c>
      <c r="J265" s="3" t="inlineStr">
        <is>
          <t>B</t>
        </is>
      </c>
      <c r="K265" s="3" t="inlineStr">
        <is>
          <t>I go distant and make them guess what's wrong.</t>
        </is>
      </c>
      <c r="L265" s="3" t="n">
        <v>3</v>
      </c>
      <c r="M265" s="3" t="inlineStr"/>
      <c r="N265" s="3" t="n">
        <v>6</v>
      </c>
      <c r="O265" s="3" t="n">
        <v>6</v>
      </c>
      <c r="P265" s="3" t="n">
        <v>6</v>
      </c>
      <c r="Q265" s="3" t="inlineStr"/>
      <c r="R265" s="3" t="inlineStr"/>
      <c r="S265" s="3" t="inlineStr">
        <is>
          <t>Stonewaller</t>
        </is>
      </c>
      <c r="T265" s="3" t="n">
        <v>2</v>
      </c>
      <c r="U265" s="3" t="n">
        <v>4</v>
      </c>
      <c r="V265" s="3" t="inlineStr">
        <is>
          <t>masc:0.0;fem:0.0</t>
        </is>
      </c>
      <c r="W265" s="3" t="n">
        <v>0</v>
      </c>
      <c r="X265" s="3" t="n">
        <v>0</v>
      </c>
      <c r="Y265" s="3" t="inlineStr"/>
      <c r="Z265" s="3" t="inlineStr"/>
      <c r="AA265" s="3" t="inlineStr"/>
      <c r="AB265" s="3" t="inlineStr"/>
      <c r="AC265" s="3" t="inlineStr"/>
      <c r="AD265" s="3" t="inlineStr"/>
      <c r="AE265" s="3" t="n">
        <v>0</v>
      </c>
      <c r="AF265" s="3" t="inlineStr"/>
      <c r="AG265" s="3" t="inlineStr"/>
      <c r="AH265" s="3" t="n">
        <v>0.6</v>
      </c>
      <c r="AI265" s="3" t="inlineStr"/>
      <c r="AJ265" s="3" t="inlineStr">
        <is>
          <t>yes</t>
        </is>
      </c>
      <c r="AK265" s="3" t="inlineStr">
        <is>
          <t>no</t>
        </is>
      </c>
      <c r="AL265" s="3" t="inlineStr">
        <is>
          <t>no</t>
        </is>
      </c>
      <c r="AM265" s="3" t="inlineStr"/>
      <c r="AN265" s="3" t="inlineStr"/>
      <c r="AO265" s="3" t="inlineStr"/>
      <c r="AP265" s="3" t="inlineStr">
        <is>
          <t>v3_2026-03-19</t>
        </is>
      </c>
    </row>
    <row r="266">
      <c r="A266" s="3" t="inlineStr">
        <is>
          <t>Q53_C</t>
        </is>
      </c>
      <c r="B266" s="3" t="n">
        <v>53</v>
      </c>
      <c r="C266" s="3" t="n">
        <v>102</v>
      </c>
      <c r="D266" s="3" t="inlineStr">
        <is>
          <t>Shadow</t>
        </is>
      </c>
      <c r="E266" s="3" t="n">
        <v>1.3</v>
      </c>
      <c r="F266" s="3" t="inlineStr">
        <is>
          <t>ShadowPattern</t>
        </is>
      </c>
      <c r="G266" s="3" t="inlineStr">
        <is>
          <t>IntegrityRisk</t>
        </is>
      </c>
      <c r="H266" s="3" t="inlineStr"/>
      <c r="I266" s="3" t="inlineStr">
        <is>
          <t>C</t>
        </is>
      </c>
      <c r="J266" s="3" t="inlineStr">
        <is>
          <t>C</t>
        </is>
      </c>
      <c r="K266" s="3" t="inlineStr">
        <is>
          <t>I act like I'm over it, but hold it as ammo for later</t>
        </is>
      </c>
      <c r="L266" s="3" t="n">
        <v>5</v>
      </c>
      <c r="M266" s="3" t="inlineStr"/>
      <c r="N266" s="3" t="n">
        <v>4</v>
      </c>
      <c r="O266" s="3" t="n">
        <v>4</v>
      </c>
      <c r="P266" s="3" t="n">
        <v>4</v>
      </c>
      <c r="Q266" s="3" t="inlineStr"/>
      <c r="R266" s="3" t="inlineStr"/>
      <c r="S266" s="3" t="inlineStr">
        <is>
          <t>Love Bomber</t>
        </is>
      </c>
      <c r="T266" s="3" t="n">
        <v>3</v>
      </c>
      <c r="U266" s="3" t="n">
        <v>6</v>
      </c>
      <c r="V266" s="3" t="inlineStr">
        <is>
          <t>masc:0.0;fem:0.0</t>
        </is>
      </c>
      <c r="W266" s="3" t="n">
        <v>0</v>
      </c>
      <c r="X266" s="3" t="n">
        <v>0</v>
      </c>
      <c r="Y266" s="3" t="inlineStr"/>
      <c r="Z266" s="3" t="inlineStr"/>
      <c r="AA266" s="3" t="inlineStr"/>
      <c r="AB266" s="3" t="inlineStr"/>
      <c r="AC266" s="3" t="inlineStr"/>
      <c r="AD266" s="3" t="inlineStr"/>
      <c r="AE266" s="3" t="n">
        <v>0</v>
      </c>
      <c r="AF266" s="3" t="inlineStr"/>
      <c r="AG266" s="3" t="inlineStr"/>
      <c r="AH266" s="3" t="n">
        <v>0.6</v>
      </c>
      <c r="AI266" s="3" t="inlineStr"/>
      <c r="AJ266" s="3" t="inlineStr">
        <is>
          <t>no</t>
        </is>
      </c>
      <c r="AK266" s="3" t="inlineStr">
        <is>
          <t>no</t>
        </is>
      </c>
      <c r="AL266" s="3" t="inlineStr">
        <is>
          <t>no</t>
        </is>
      </c>
      <c r="AM266" s="3" t="inlineStr"/>
      <c r="AN266" s="3" t="inlineStr"/>
      <c r="AO266" s="3" t="inlineStr"/>
      <c r="AP266" s="3" t="inlineStr">
        <is>
          <t>v3_2026-03-19</t>
        </is>
      </c>
    </row>
    <row r="267">
      <c r="A267" s="3" t="inlineStr">
        <is>
          <t>Q53_D</t>
        </is>
      </c>
      <c r="B267" s="3" t="n">
        <v>53</v>
      </c>
      <c r="C267" s="3" t="n">
        <v>102</v>
      </c>
      <c r="D267" s="3" t="inlineStr">
        <is>
          <t>Shadow</t>
        </is>
      </c>
      <c r="E267" s="3" t="n">
        <v>1.3</v>
      </c>
      <c r="F267" s="3" t="inlineStr">
        <is>
          <t>ShadowPattern</t>
        </is>
      </c>
      <c r="G267" s="3" t="inlineStr">
        <is>
          <t>IntegrityRisk</t>
        </is>
      </c>
      <c r="H267" s="3" t="inlineStr"/>
      <c r="I267" s="3" t="inlineStr">
        <is>
          <t>D</t>
        </is>
      </c>
      <c r="J267" s="3" t="inlineStr">
        <is>
          <t>D</t>
        </is>
      </c>
      <c r="K267" s="3" t="inlineStr">
        <is>
          <t>I mirror whatever version of me they liked last time.</t>
        </is>
      </c>
      <c r="L267" s="3" t="n">
        <v>6</v>
      </c>
      <c r="M267" s="3" t="inlineStr"/>
      <c r="N267" s="3" t="n">
        <v>4</v>
      </c>
      <c r="O267" s="3" t="n">
        <v>4</v>
      </c>
      <c r="P267" s="3" t="n">
        <v>4</v>
      </c>
      <c r="Q267" s="3" t="inlineStr"/>
      <c r="R267" s="3" t="inlineStr"/>
      <c r="S267" s="3" t="inlineStr">
        <is>
          <t>Chameleon</t>
        </is>
      </c>
      <c r="T267" s="3" t="n">
        <v>4</v>
      </c>
      <c r="U267" s="3" t="n">
        <v>6</v>
      </c>
      <c r="V267" s="3" t="inlineStr">
        <is>
          <t>masc:0.0;fem:0.0</t>
        </is>
      </c>
      <c r="W267" s="3" t="n">
        <v>0</v>
      </c>
      <c r="X267" s="3" t="n">
        <v>0</v>
      </c>
      <c r="Y267" s="3" t="inlineStr"/>
      <c r="Z267" s="3" t="inlineStr"/>
      <c r="AA267" s="3" t="inlineStr"/>
      <c r="AB267" s="3" t="inlineStr"/>
      <c r="AC267" s="3" t="inlineStr"/>
      <c r="AD267" s="3" t="inlineStr"/>
      <c r="AE267" s="3" t="n">
        <v>0</v>
      </c>
      <c r="AF267" s="3" t="inlineStr"/>
      <c r="AG267" s="3" t="inlineStr"/>
      <c r="AH267" s="3" t="n">
        <v>0</v>
      </c>
      <c r="AI267" s="3" t="inlineStr"/>
      <c r="AJ267" s="3" t="inlineStr">
        <is>
          <t>no</t>
        </is>
      </c>
      <c r="AK267" s="3" t="inlineStr">
        <is>
          <t>no</t>
        </is>
      </c>
      <c r="AL267" s="3" t="inlineStr">
        <is>
          <t>no</t>
        </is>
      </c>
      <c r="AM267" s="3" t="inlineStr"/>
      <c r="AN267" s="3" t="inlineStr"/>
      <c r="AO267" s="3" t="inlineStr"/>
      <c r="AP267" s="3" t="inlineStr">
        <is>
          <t>v3_2026-03-19</t>
        </is>
      </c>
    </row>
    <row r="268">
      <c r="A268" s="3" t="inlineStr">
        <is>
          <t>Q53_E</t>
        </is>
      </c>
      <c r="B268" s="3" t="n">
        <v>53</v>
      </c>
      <c r="C268" s="3" t="n">
        <v>102</v>
      </c>
      <c r="D268" s="3" t="inlineStr">
        <is>
          <t>Shadow</t>
        </is>
      </c>
      <c r="E268" s="3" t="n">
        <v>1.3</v>
      </c>
      <c r="F268" s="3" t="inlineStr">
        <is>
          <t>ShadowPattern</t>
        </is>
      </c>
      <c r="G268" s="3" t="inlineStr">
        <is>
          <t>IntegrityRisk</t>
        </is>
      </c>
      <c r="H268" s="3" t="inlineStr"/>
      <c r="I268" s="3" t="inlineStr">
        <is>
          <t>E</t>
        </is>
      </c>
      <c r="J268" s="3" t="inlineStr">
        <is>
          <t>E</t>
        </is>
      </c>
      <c r="K268" s="3" t="inlineStr">
        <is>
          <t>I start tracking every moment they come up short.</t>
        </is>
      </c>
      <c r="L268" s="3" t="n">
        <v>7</v>
      </c>
      <c r="M268" s="3" t="inlineStr"/>
      <c r="N268" s="3" t="n">
        <v>2</v>
      </c>
      <c r="O268" s="3" t="n">
        <v>2</v>
      </c>
      <c r="P268" s="3" t="n">
        <v>2</v>
      </c>
      <c r="Q268" s="3" t="inlineStr"/>
      <c r="R268" s="3" t="inlineStr"/>
      <c r="S268" s="3" t="inlineStr">
        <is>
          <t>Scorekeeper</t>
        </is>
      </c>
      <c r="T268" s="3" t="n">
        <v>5</v>
      </c>
      <c r="U268" s="3" t="n">
        <v>8</v>
      </c>
      <c r="V268" s="3" t="inlineStr">
        <is>
          <t>masc:0.0;fem:0.0</t>
        </is>
      </c>
      <c r="W268" s="3" t="n">
        <v>0</v>
      </c>
      <c r="X268" s="3" t="n">
        <v>0</v>
      </c>
      <c r="Y268" s="3" t="inlineStr"/>
      <c r="Z268" s="3" t="inlineStr"/>
      <c r="AA268" s="3" t="inlineStr"/>
      <c r="AB268" s="3" t="inlineStr"/>
      <c r="AC268" s="3" t="inlineStr"/>
      <c r="AD268" s="3" t="inlineStr"/>
      <c r="AE268" s="3" t="n">
        <v>0</v>
      </c>
      <c r="AF268" s="3" t="inlineStr"/>
      <c r="AG268" s="3" t="inlineStr"/>
      <c r="AH268" s="3" t="n">
        <v>0</v>
      </c>
      <c r="AI268" s="3" t="inlineStr"/>
      <c r="AJ268" s="3" t="inlineStr">
        <is>
          <t>no</t>
        </is>
      </c>
      <c r="AK268" s="3" t="inlineStr">
        <is>
          <t>no</t>
        </is>
      </c>
      <c r="AL268" s="3" t="inlineStr">
        <is>
          <t>no</t>
        </is>
      </c>
      <c r="AM268" s="3" t="inlineStr"/>
      <c r="AN268" s="3" t="inlineStr"/>
      <c r="AO268" s="3" t="inlineStr"/>
      <c r="AP268" s="3" t="inlineStr">
        <is>
          <t>v3_2026-03-19</t>
        </is>
      </c>
    </row>
    <row r="269">
      <c r="A269" s="3" t="inlineStr">
        <is>
          <t>Q53_F</t>
        </is>
      </c>
      <c r="B269" s="3" t="n">
        <v>53</v>
      </c>
      <c r="C269" s="3" t="n">
        <v>102</v>
      </c>
      <c r="D269" s="3" t="inlineStr">
        <is>
          <t>Shadow</t>
        </is>
      </c>
      <c r="E269" s="3" t="n">
        <v>1.3</v>
      </c>
      <c r="F269" s="3" t="inlineStr">
        <is>
          <t>ShadowPattern</t>
        </is>
      </c>
      <c r="G269" s="3" t="inlineStr">
        <is>
          <t>IntegrityRisk</t>
        </is>
      </c>
      <c r="H269" s="3" t="inlineStr"/>
      <c r="I269" s="3" t="inlineStr">
        <is>
          <t>F</t>
        </is>
      </c>
      <c r="J269" s="3" t="inlineStr">
        <is>
          <t>F</t>
        </is>
      </c>
      <c r="K269" s="3" t="inlineStr">
        <is>
          <t>I decide it's probably my fault and try harder to earn their care.</t>
        </is>
      </c>
      <c r="L269" s="3" t="n">
        <v>8</v>
      </c>
      <c r="M269" s="3" t="inlineStr"/>
      <c r="N269" s="3" t="n">
        <v>2</v>
      </c>
      <c r="O269" s="3" t="n">
        <v>2</v>
      </c>
      <c r="P269" s="3" t="n">
        <v>2</v>
      </c>
      <c r="Q269" s="3" t="inlineStr"/>
      <c r="R269" s="3" t="inlineStr"/>
      <c r="S269" s="3" t="inlineStr">
        <is>
          <t>Self-Saboteur</t>
        </is>
      </c>
      <c r="T269" s="3" t="n">
        <v>6</v>
      </c>
      <c r="U269" s="3" t="n">
        <v>8</v>
      </c>
      <c r="V269" s="3" t="inlineStr">
        <is>
          <t>masc:0.0;fem:0.0</t>
        </is>
      </c>
      <c r="W269" s="3" t="n">
        <v>0</v>
      </c>
      <c r="X269" s="3" t="n">
        <v>0</v>
      </c>
      <c r="Y269" s="3" t="inlineStr"/>
      <c r="Z269" s="3" t="inlineStr"/>
      <c r="AA269" s="3" t="inlineStr"/>
      <c r="AB269" s="3" t="inlineStr"/>
      <c r="AC269" s="3" t="inlineStr"/>
      <c r="AD269" s="3" t="inlineStr"/>
      <c r="AE269" s="3" t="n">
        <v>0</v>
      </c>
      <c r="AF269" s="3" t="inlineStr"/>
      <c r="AG269" s="3" t="inlineStr"/>
      <c r="AH269" s="3" t="n">
        <v>0</v>
      </c>
      <c r="AI269" s="3" t="inlineStr"/>
      <c r="AJ269" s="3" t="inlineStr">
        <is>
          <t>no</t>
        </is>
      </c>
      <c r="AK269" s="3" t="inlineStr">
        <is>
          <t>no</t>
        </is>
      </c>
      <c r="AL269" s="3" t="inlineStr">
        <is>
          <t>no</t>
        </is>
      </c>
      <c r="AM269" s="3" t="inlineStr"/>
      <c r="AN269" s="3" t="inlineStr"/>
      <c r="AO269" s="3" t="inlineStr"/>
      <c r="AP269" s="3" t="inlineStr">
        <is>
          <t>v3_2026-03-19</t>
        </is>
      </c>
    </row>
    <row r="270">
      <c r="A270" s="3" t="inlineStr">
        <is>
          <t>Q54_A</t>
        </is>
      </c>
      <c r="B270" s="3" t="n">
        <v>54</v>
      </c>
      <c r="C270" s="3" t="n">
        <v>103</v>
      </c>
      <c r="D270" s="3" t="inlineStr">
        <is>
          <t>Shadow</t>
        </is>
      </c>
      <c r="E270" s="3" t="n">
        <v>1.3</v>
      </c>
      <c r="F270" s="3" t="inlineStr">
        <is>
          <t>ShadowPattern</t>
        </is>
      </c>
      <c r="G270" s="3" t="inlineStr">
        <is>
          <t>IntegrityRisk</t>
        </is>
      </c>
      <c r="H270" s="3" t="inlineStr">
        <is>
          <t>They suddenly need space. How do you respond?</t>
        </is>
      </c>
      <c r="I270" s="3" t="inlineStr">
        <is>
          <t>A</t>
        </is>
      </c>
      <c r="J270" s="3" t="inlineStr">
        <is>
          <t>A</t>
        </is>
      </c>
      <c r="K270" s="3" t="inlineStr">
        <is>
          <t>I fake my own distance so they feel what I felt.</t>
        </is>
      </c>
      <c r="L270" s="3" t="n">
        <v>4</v>
      </c>
      <c r="M270" s="3" t="inlineStr"/>
      <c r="N270" s="3" t="n">
        <v>4</v>
      </c>
      <c r="O270" s="3" t="n">
        <v>4</v>
      </c>
      <c r="P270" s="3" t="n">
        <v>4</v>
      </c>
      <c r="Q270" s="3" t="inlineStr"/>
      <c r="R270" s="3" t="inlineStr"/>
      <c r="S270" s="3" t="inlineStr">
        <is>
          <t>Manipulator</t>
        </is>
      </c>
      <c r="T270" s="3" t="n">
        <v>1</v>
      </c>
      <c r="U270" s="3" t="n">
        <v>6</v>
      </c>
      <c r="V270" s="3" t="inlineStr">
        <is>
          <t>masc:0.0;fem:0.0</t>
        </is>
      </c>
      <c r="W270" s="3" t="n">
        <v>0</v>
      </c>
      <c r="X270" s="3" t="n">
        <v>0</v>
      </c>
      <c r="Y270" s="3" t="inlineStr"/>
      <c r="Z270" s="3" t="inlineStr"/>
      <c r="AA270" s="3" t="inlineStr"/>
      <c r="AB270" s="3" t="inlineStr"/>
      <c r="AC270" s="3" t="inlineStr"/>
      <c r="AD270" s="3" t="inlineStr"/>
      <c r="AE270" s="3" t="n">
        <v>0</v>
      </c>
      <c r="AF270" s="3" t="inlineStr"/>
      <c r="AG270" s="3" t="inlineStr"/>
      <c r="AH270" s="3" t="n">
        <v>0</v>
      </c>
      <c r="AI270" s="3" t="inlineStr"/>
      <c r="AJ270" s="3" t="inlineStr">
        <is>
          <t>yes</t>
        </is>
      </c>
      <c r="AK270" s="3" t="inlineStr">
        <is>
          <t>no</t>
        </is>
      </c>
      <c r="AL270" s="3" t="inlineStr">
        <is>
          <t>no</t>
        </is>
      </c>
      <c r="AM270" s="3" t="inlineStr"/>
      <c r="AN270" s="3" t="inlineStr"/>
      <c r="AO270" s="3" t="inlineStr"/>
      <c r="AP270" s="3" t="inlineStr">
        <is>
          <t>v3_2026-03-19</t>
        </is>
      </c>
    </row>
    <row r="271">
      <c r="A271" s="3" t="inlineStr">
        <is>
          <t>Q54_B</t>
        </is>
      </c>
      <c r="B271" s="3" t="n">
        <v>54</v>
      </c>
      <c r="C271" s="3" t="n">
        <v>103</v>
      </c>
      <c r="D271" s="3" t="inlineStr">
        <is>
          <t>Shadow</t>
        </is>
      </c>
      <c r="E271" s="3" t="n">
        <v>1.3</v>
      </c>
      <c r="F271" s="3" t="inlineStr">
        <is>
          <t>ShadowPattern</t>
        </is>
      </c>
      <c r="G271" s="3" t="inlineStr">
        <is>
          <t>IntegrityRisk</t>
        </is>
      </c>
      <c r="H271" s="3" t="inlineStr"/>
      <c r="I271" s="3" t="inlineStr">
        <is>
          <t>B</t>
        </is>
      </c>
      <c r="J271" s="3" t="inlineStr">
        <is>
          <t>B</t>
        </is>
      </c>
      <c r="K271" s="3" t="inlineStr">
        <is>
          <t>I just go quiet-if they want space, they got it</t>
        </is>
      </c>
      <c r="L271" s="3" t="n">
        <v>3</v>
      </c>
      <c r="M271" s="3" t="inlineStr"/>
      <c r="N271" s="3" t="n">
        <v>6</v>
      </c>
      <c r="O271" s="3" t="n">
        <v>6</v>
      </c>
      <c r="P271" s="3" t="n">
        <v>6</v>
      </c>
      <c r="Q271" s="3" t="inlineStr"/>
      <c r="R271" s="3" t="inlineStr"/>
      <c r="S271" s="3" t="inlineStr">
        <is>
          <t>Stonewaller</t>
        </is>
      </c>
      <c r="T271" s="3" t="n">
        <v>2</v>
      </c>
      <c r="U271" s="3" t="n">
        <v>4</v>
      </c>
      <c r="V271" s="3" t="inlineStr">
        <is>
          <t>masc:0.0;fem:0.0</t>
        </is>
      </c>
      <c r="W271" s="3" t="n">
        <v>0</v>
      </c>
      <c r="X271" s="3" t="n">
        <v>0</v>
      </c>
      <c r="Y271" s="3" t="inlineStr"/>
      <c r="Z271" s="3" t="inlineStr"/>
      <c r="AA271" s="3" t="inlineStr"/>
      <c r="AB271" s="3" t="inlineStr"/>
      <c r="AC271" s="3" t="inlineStr"/>
      <c r="AD271" s="3" t="inlineStr"/>
      <c r="AE271" s="3" t="n">
        <v>0</v>
      </c>
      <c r="AF271" s="3" t="inlineStr"/>
      <c r="AG271" s="3" t="inlineStr"/>
      <c r="AH271" s="3" t="n">
        <v>0</v>
      </c>
      <c r="AI271" s="3" t="inlineStr"/>
      <c r="AJ271" s="3" t="inlineStr">
        <is>
          <t>yes</t>
        </is>
      </c>
      <c r="AK271" s="3" t="inlineStr">
        <is>
          <t>no</t>
        </is>
      </c>
      <c r="AL271" s="3" t="inlineStr">
        <is>
          <t>no</t>
        </is>
      </c>
      <c r="AM271" s="3" t="inlineStr"/>
      <c r="AN271" s="3" t="inlineStr"/>
      <c r="AO271" s="3" t="inlineStr"/>
      <c r="AP271" s="3" t="inlineStr">
        <is>
          <t>v3_2026-03-19</t>
        </is>
      </c>
    </row>
    <row r="272">
      <c r="A272" s="3" t="inlineStr">
        <is>
          <t>Q54_C</t>
        </is>
      </c>
      <c r="B272" s="3" t="n">
        <v>54</v>
      </c>
      <c r="C272" s="3" t="n">
        <v>103</v>
      </c>
      <c r="D272" s="3" t="inlineStr">
        <is>
          <t>Shadow</t>
        </is>
      </c>
      <c r="E272" s="3" t="n">
        <v>1.3</v>
      </c>
      <c r="F272" s="3" t="inlineStr">
        <is>
          <t>ShadowPattern</t>
        </is>
      </c>
      <c r="G272" s="3" t="inlineStr">
        <is>
          <t>IntegrityRisk</t>
        </is>
      </c>
      <c r="H272" s="3" t="inlineStr"/>
      <c r="I272" s="3" t="inlineStr">
        <is>
          <t>C</t>
        </is>
      </c>
      <c r="J272" s="3" t="inlineStr">
        <is>
          <t>C</t>
        </is>
      </c>
      <c r="K272" s="3" t="inlineStr">
        <is>
          <t>I throw out a casual "lol okay" then go post something spicy.</t>
        </is>
      </c>
      <c r="L272" s="3" t="n">
        <v>5</v>
      </c>
      <c r="M272" s="3" t="inlineStr"/>
      <c r="N272" s="3" t="n">
        <v>4</v>
      </c>
      <c r="O272" s="3" t="n">
        <v>4</v>
      </c>
      <c r="P272" s="3" t="n">
        <v>4</v>
      </c>
      <c r="Q272" s="3" t="inlineStr"/>
      <c r="R272" s="3" t="inlineStr"/>
      <c r="S272" s="3" t="inlineStr">
        <is>
          <t>Love Bomber</t>
        </is>
      </c>
      <c r="T272" s="3" t="n">
        <v>3</v>
      </c>
      <c r="U272" s="3" t="n">
        <v>6</v>
      </c>
      <c r="V272" s="3" t="inlineStr">
        <is>
          <t>masc:0.0;fem:0.0</t>
        </is>
      </c>
      <c r="W272" s="3" t="n">
        <v>0</v>
      </c>
      <c r="X272" s="3" t="n">
        <v>0</v>
      </c>
      <c r="Y272" s="3" t="inlineStr"/>
      <c r="Z272" s="3" t="inlineStr"/>
      <c r="AA272" s="3" t="inlineStr"/>
      <c r="AB272" s="3" t="inlineStr"/>
      <c r="AC272" s="3" t="inlineStr"/>
      <c r="AD272" s="3" t="inlineStr"/>
      <c r="AE272" s="3" t="n">
        <v>0</v>
      </c>
      <c r="AF272" s="3" t="inlineStr"/>
      <c r="AG272" s="3" t="inlineStr"/>
      <c r="AH272" s="3" t="n">
        <v>0</v>
      </c>
      <c r="AI272" s="3" t="inlineStr"/>
      <c r="AJ272" s="3" t="inlineStr">
        <is>
          <t>no</t>
        </is>
      </c>
      <c r="AK272" s="3" t="inlineStr">
        <is>
          <t>no</t>
        </is>
      </c>
      <c r="AL272" s="3" t="inlineStr">
        <is>
          <t>no</t>
        </is>
      </c>
      <c r="AM272" s="3" t="inlineStr"/>
      <c r="AN272" s="3" t="inlineStr"/>
      <c r="AO272" s="3" t="inlineStr"/>
      <c r="AP272" s="3" t="inlineStr">
        <is>
          <t>v3_2026-03-19</t>
        </is>
      </c>
    </row>
    <row r="273">
      <c r="A273" s="3" t="inlineStr">
        <is>
          <t>Q54_D</t>
        </is>
      </c>
      <c r="B273" s="3" t="n">
        <v>54</v>
      </c>
      <c r="C273" s="3" t="n">
        <v>103</v>
      </c>
      <c r="D273" s="3" t="inlineStr">
        <is>
          <t>Shadow</t>
        </is>
      </c>
      <c r="E273" s="3" t="n">
        <v>1.3</v>
      </c>
      <c r="F273" s="3" t="inlineStr">
        <is>
          <t>ShadowPattern</t>
        </is>
      </c>
      <c r="G273" s="3" t="inlineStr">
        <is>
          <t>IntegrityRisk</t>
        </is>
      </c>
      <c r="H273" s="3" t="inlineStr"/>
      <c r="I273" s="3" t="inlineStr">
        <is>
          <t>D</t>
        </is>
      </c>
      <c r="J273" s="3" t="inlineStr">
        <is>
          <t>D</t>
        </is>
      </c>
      <c r="K273" s="3" t="inlineStr">
        <is>
          <t>I change my tone and energy to whatever feels safest now.</t>
        </is>
      </c>
      <c r="L273" s="3" t="n">
        <v>6</v>
      </c>
      <c r="M273" s="3" t="inlineStr"/>
      <c r="N273" s="3" t="n">
        <v>4</v>
      </c>
      <c r="O273" s="3" t="n">
        <v>4</v>
      </c>
      <c r="P273" s="3" t="n">
        <v>4</v>
      </c>
      <c r="Q273" s="3" t="inlineStr"/>
      <c r="R273" s="3" t="inlineStr"/>
      <c r="S273" s="3" t="inlineStr">
        <is>
          <t>Chameleon</t>
        </is>
      </c>
      <c r="T273" s="3" t="n">
        <v>4</v>
      </c>
      <c r="U273" s="3" t="n">
        <v>6</v>
      </c>
      <c r="V273" s="3" t="inlineStr">
        <is>
          <t>masc:0.0;fem:0.0</t>
        </is>
      </c>
      <c r="W273" s="3" t="n">
        <v>0</v>
      </c>
      <c r="X273" s="3" t="n">
        <v>0</v>
      </c>
      <c r="Y273" s="3" t="inlineStr"/>
      <c r="Z273" s="3" t="inlineStr"/>
      <c r="AA273" s="3" t="inlineStr"/>
      <c r="AB273" s="3" t="inlineStr"/>
      <c r="AC273" s="3" t="inlineStr"/>
      <c r="AD273" s="3" t="inlineStr"/>
      <c r="AE273" s="3" t="n">
        <v>0</v>
      </c>
      <c r="AF273" s="3" t="inlineStr"/>
      <c r="AG273" s="3" t="inlineStr"/>
      <c r="AH273" s="3" t="n">
        <v>0</v>
      </c>
      <c r="AI273" s="3" t="inlineStr"/>
      <c r="AJ273" s="3" t="inlineStr">
        <is>
          <t>no</t>
        </is>
      </c>
      <c r="AK273" s="3" t="inlineStr">
        <is>
          <t>no</t>
        </is>
      </c>
      <c r="AL273" s="3" t="inlineStr">
        <is>
          <t>no</t>
        </is>
      </c>
      <c r="AM273" s="3" t="inlineStr"/>
      <c r="AN273" s="3" t="inlineStr"/>
      <c r="AO273" s="3" t="inlineStr"/>
      <c r="AP273" s="3" t="inlineStr">
        <is>
          <t>v3_2026-03-19</t>
        </is>
      </c>
    </row>
    <row r="274">
      <c r="A274" s="3" t="inlineStr">
        <is>
          <t>Q54_E</t>
        </is>
      </c>
      <c r="B274" s="3" t="n">
        <v>54</v>
      </c>
      <c r="C274" s="3" t="n">
        <v>103</v>
      </c>
      <c r="D274" s="3" t="inlineStr">
        <is>
          <t>Shadow</t>
        </is>
      </c>
      <c r="E274" s="3" t="n">
        <v>1.3</v>
      </c>
      <c r="F274" s="3" t="inlineStr">
        <is>
          <t>ShadowPattern</t>
        </is>
      </c>
      <c r="G274" s="3" t="inlineStr">
        <is>
          <t>IntegrityRisk</t>
        </is>
      </c>
      <c r="H274" s="3" t="inlineStr"/>
      <c r="I274" s="3" t="inlineStr">
        <is>
          <t>E</t>
        </is>
      </c>
      <c r="J274" s="3" t="inlineStr">
        <is>
          <t>E</t>
        </is>
      </c>
      <c r="K274" s="3" t="inlineStr">
        <is>
          <t>I mentally log it and wait to match the behavior later.</t>
        </is>
      </c>
      <c r="L274" s="3" t="n">
        <v>7</v>
      </c>
      <c r="M274" s="3" t="inlineStr"/>
      <c r="N274" s="3" t="n">
        <v>2</v>
      </c>
      <c r="O274" s="3" t="n">
        <v>2</v>
      </c>
      <c r="P274" s="3" t="n">
        <v>2</v>
      </c>
      <c r="Q274" s="3" t="inlineStr"/>
      <c r="R274" s="3" t="inlineStr"/>
      <c r="S274" s="3" t="inlineStr">
        <is>
          <t>Scorekeeper</t>
        </is>
      </c>
      <c r="T274" s="3" t="n">
        <v>5</v>
      </c>
      <c r="U274" s="3" t="n">
        <v>8</v>
      </c>
      <c r="V274" s="3" t="inlineStr">
        <is>
          <t>masc:0.0;fem:0.0</t>
        </is>
      </c>
      <c r="W274" s="3" t="n">
        <v>0</v>
      </c>
      <c r="X274" s="3" t="n">
        <v>0</v>
      </c>
      <c r="Y274" s="3" t="inlineStr"/>
      <c r="Z274" s="3" t="inlineStr"/>
      <c r="AA274" s="3" t="inlineStr"/>
      <c r="AB274" s="3" t="inlineStr"/>
      <c r="AC274" s="3" t="inlineStr"/>
      <c r="AD274" s="3" t="inlineStr"/>
      <c r="AE274" s="3" t="n">
        <v>0</v>
      </c>
      <c r="AF274" s="3" t="inlineStr"/>
      <c r="AG274" s="3" t="inlineStr"/>
      <c r="AH274" s="3" t="n">
        <v>0</v>
      </c>
      <c r="AI274" s="3" t="inlineStr"/>
      <c r="AJ274" s="3" t="inlineStr">
        <is>
          <t>no</t>
        </is>
      </c>
      <c r="AK274" s="3" t="inlineStr">
        <is>
          <t>no</t>
        </is>
      </c>
      <c r="AL274" s="3" t="inlineStr">
        <is>
          <t>no</t>
        </is>
      </c>
      <c r="AM274" s="3" t="inlineStr"/>
      <c r="AN274" s="3" t="inlineStr"/>
      <c r="AO274" s="3" t="inlineStr"/>
      <c r="AP274" s="3" t="inlineStr">
        <is>
          <t>v3_2026-03-19</t>
        </is>
      </c>
    </row>
    <row r="275">
      <c r="A275" s="3" t="inlineStr">
        <is>
          <t>Q54_F</t>
        </is>
      </c>
      <c r="B275" s="3" t="n">
        <v>54</v>
      </c>
      <c r="C275" s="3" t="n">
        <v>103</v>
      </c>
      <c r="D275" s="3" t="inlineStr">
        <is>
          <t>Shadow</t>
        </is>
      </c>
      <c r="E275" s="3" t="n">
        <v>1.3</v>
      </c>
      <c r="F275" s="3" t="inlineStr">
        <is>
          <t>ShadowPattern</t>
        </is>
      </c>
      <c r="G275" s="3" t="inlineStr">
        <is>
          <t>IntegrityRisk</t>
        </is>
      </c>
      <c r="H275" s="3" t="inlineStr"/>
      <c r="I275" s="3" t="inlineStr">
        <is>
          <t>F</t>
        </is>
      </c>
      <c r="J275" s="3" t="inlineStr">
        <is>
          <t>F</t>
        </is>
      </c>
      <c r="K275" s="3" t="inlineStr">
        <is>
          <t>I panic a little and assume I pushed them away.</t>
        </is>
      </c>
      <c r="L275" s="3" t="n">
        <v>8</v>
      </c>
      <c r="M275" s="3" t="inlineStr"/>
      <c r="N275" s="3" t="n">
        <v>2</v>
      </c>
      <c r="O275" s="3" t="n">
        <v>2</v>
      </c>
      <c r="P275" s="3" t="n">
        <v>2</v>
      </c>
      <c r="Q275" s="3" t="inlineStr"/>
      <c r="R275" s="3" t="inlineStr"/>
      <c r="S275" s="3" t="inlineStr">
        <is>
          <t>Self-Saboteur</t>
        </is>
      </c>
      <c r="T275" s="3" t="n">
        <v>6</v>
      </c>
      <c r="U275" s="3" t="n">
        <v>8</v>
      </c>
      <c r="V275" s="3" t="inlineStr">
        <is>
          <t>masc:0.0;fem:0.0</t>
        </is>
      </c>
      <c r="W275" s="3" t="n">
        <v>0</v>
      </c>
      <c r="X275" s="3" t="n">
        <v>0</v>
      </c>
      <c r="Y275" s="3" t="inlineStr"/>
      <c r="Z275" s="3" t="inlineStr"/>
      <c r="AA275" s="3" t="inlineStr"/>
      <c r="AB275" s="3" t="inlineStr"/>
      <c r="AC275" s="3" t="inlineStr"/>
      <c r="AD275" s="3" t="inlineStr"/>
      <c r="AE275" s="3" t="n">
        <v>0</v>
      </c>
      <c r="AF275" s="3" t="inlineStr"/>
      <c r="AG275" s="3" t="inlineStr"/>
      <c r="AH275" s="3" t="n">
        <v>0</v>
      </c>
      <c r="AI275" s="3" t="inlineStr"/>
      <c r="AJ275" s="3" t="inlineStr">
        <is>
          <t>no</t>
        </is>
      </c>
      <c r="AK275" s="3" t="inlineStr">
        <is>
          <t>no</t>
        </is>
      </c>
      <c r="AL275" s="3" t="inlineStr">
        <is>
          <t>no</t>
        </is>
      </c>
      <c r="AM275" s="3" t="inlineStr"/>
      <c r="AN275" s="3" t="inlineStr"/>
      <c r="AO275" s="3" t="inlineStr"/>
      <c r="AP275" s="3" t="inlineStr">
        <is>
          <t>v3_2026-03-19</t>
        </is>
      </c>
    </row>
    <row r="276">
      <c r="A276" s="3" t="inlineStr">
        <is>
          <t>Q55_A</t>
        </is>
      </c>
      <c r="B276" s="3" t="n">
        <v>55</v>
      </c>
      <c r="C276" s="3" t="n">
        <v>104</v>
      </c>
      <c r="D276" s="3" t="inlineStr">
        <is>
          <t>Shadow</t>
        </is>
      </c>
      <c r="E276" s="3" t="n">
        <v>1.35</v>
      </c>
      <c r="F276" s="3" t="inlineStr">
        <is>
          <t>ShadowPattern</t>
        </is>
      </c>
      <c r="G276" s="3" t="inlineStr">
        <is>
          <t>IntegrityRisk</t>
        </is>
      </c>
      <c r="H276" s="3" t="inlineStr">
        <is>
          <t>You open up about something hard, but they respond awkwardly. What's your reflex?</t>
        </is>
      </c>
      <c r="I276" s="3" t="inlineStr">
        <is>
          <t>A</t>
        </is>
      </c>
      <c r="J276" s="3" t="inlineStr">
        <is>
          <t>A</t>
        </is>
      </c>
      <c r="K276" s="3" t="inlineStr">
        <is>
          <t>I redirect with sarcasm or ask a deeper question about them.</t>
        </is>
      </c>
      <c r="L276" s="3" t="n">
        <v>4</v>
      </c>
      <c r="M276" s="3" t="inlineStr"/>
      <c r="N276" s="3" t="n">
        <v>4</v>
      </c>
      <c r="O276" s="3" t="n">
        <v>4</v>
      </c>
      <c r="P276" s="3" t="n">
        <v>4</v>
      </c>
      <c r="Q276" s="3" t="inlineStr"/>
      <c r="R276" s="3" t="inlineStr"/>
      <c r="S276" s="3" t="inlineStr">
        <is>
          <t>Manipulator</t>
        </is>
      </c>
      <c r="T276" s="3" t="n">
        <v>1</v>
      </c>
      <c r="U276" s="3" t="n">
        <v>6</v>
      </c>
      <c r="V276" s="3" t="inlineStr">
        <is>
          <t>masc:0.0;fem:0.0</t>
        </is>
      </c>
      <c r="W276" s="3" t="n">
        <v>0</v>
      </c>
      <c r="X276" s="3" t="n">
        <v>0</v>
      </c>
      <c r="Y276" s="3" t="inlineStr"/>
      <c r="Z276" s="3" t="inlineStr"/>
      <c r="AA276" s="3" t="inlineStr"/>
      <c r="AB276" s="3" t="inlineStr"/>
      <c r="AC276" s="3" t="inlineStr"/>
      <c r="AD276" s="3" t="inlineStr"/>
      <c r="AE276" s="3" t="n">
        <v>0</v>
      </c>
      <c r="AF276" s="3" t="inlineStr"/>
      <c r="AG276" s="3" t="inlineStr"/>
      <c r="AH276" s="3" t="n">
        <v>0</v>
      </c>
      <c r="AI276" s="3" t="inlineStr"/>
      <c r="AJ276" s="3" t="inlineStr">
        <is>
          <t>yes</t>
        </is>
      </c>
      <c r="AK276" s="3" t="inlineStr">
        <is>
          <t>no</t>
        </is>
      </c>
      <c r="AL276" s="3" t="inlineStr">
        <is>
          <t>no</t>
        </is>
      </c>
      <c r="AM276" s="3" t="inlineStr"/>
      <c r="AN276" s="3" t="inlineStr"/>
      <c r="AO276" s="3" t="inlineStr"/>
      <c r="AP276" s="3" t="inlineStr">
        <is>
          <t>v3_2026-03-19</t>
        </is>
      </c>
    </row>
    <row r="277">
      <c r="A277" s="3" t="inlineStr">
        <is>
          <t>Q55_B</t>
        </is>
      </c>
      <c r="B277" s="3" t="n">
        <v>55</v>
      </c>
      <c r="C277" s="3" t="n">
        <v>104</v>
      </c>
      <c r="D277" s="3" t="inlineStr">
        <is>
          <t>Shadow</t>
        </is>
      </c>
      <c r="E277" s="3" t="n">
        <v>1.35</v>
      </c>
      <c r="F277" s="3" t="inlineStr">
        <is>
          <t>ShadowPattern</t>
        </is>
      </c>
      <c r="G277" s="3" t="inlineStr">
        <is>
          <t>IntegrityRisk</t>
        </is>
      </c>
      <c r="H277" s="3" t="inlineStr"/>
      <c r="I277" s="3" t="inlineStr">
        <is>
          <t>B</t>
        </is>
      </c>
      <c r="J277" s="3" t="inlineStr">
        <is>
          <t>B</t>
        </is>
      </c>
      <c r="K277" s="3" t="inlineStr">
        <is>
          <t>I shut down. You'll never hear that side again.</t>
        </is>
      </c>
      <c r="L277" s="3" t="n">
        <v>3</v>
      </c>
      <c r="M277" s="3" t="inlineStr"/>
      <c r="N277" s="3" t="n">
        <v>6</v>
      </c>
      <c r="O277" s="3" t="n">
        <v>6</v>
      </c>
      <c r="P277" s="3" t="n">
        <v>6</v>
      </c>
      <c r="Q277" s="3" t="inlineStr"/>
      <c r="R277" s="3" t="inlineStr"/>
      <c r="S277" s="3" t="inlineStr">
        <is>
          <t>Stonewaller</t>
        </is>
      </c>
      <c r="T277" s="3" t="n">
        <v>2</v>
      </c>
      <c r="U277" s="3" t="n">
        <v>4</v>
      </c>
      <c r="V277" s="3" t="inlineStr">
        <is>
          <t>masc:0.0;fem:0.0</t>
        </is>
      </c>
      <c r="W277" s="3" t="n">
        <v>0</v>
      </c>
      <c r="X277" s="3" t="n">
        <v>0</v>
      </c>
      <c r="Y277" s="3" t="inlineStr"/>
      <c r="Z277" s="3" t="inlineStr"/>
      <c r="AA277" s="3" t="inlineStr"/>
      <c r="AB277" s="3" t="inlineStr"/>
      <c r="AC277" s="3" t="inlineStr"/>
      <c r="AD277" s="3" t="inlineStr"/>
      <c r="AE277" s="3" t="n">
        <v>0</v>
      </c>
      <c r="AF277" s="3" t="inlineStr"/>
      <c r="AG277" s="3" t="inlineStr"/>
      <c r="AH277" s="3" t="n">
        <v>0</v>
      </c>
      <c r="AI277" s="3" t="inlineStr"/>
      <c r="AJ277" s="3" t="inlineStr">
        <is>
          <t>yes</t>
        </is>
      </c>
      <c r="AK277" s="3" t="inlineStr">
        <is>
          <t>no</t>
        </is>
      </c>
      <c r="AL277" s="3" t="inlineStr">
        <is>
          <t>no</t>
        </is>
      </c>
      <c r="AM277" s="3" t="inlineStr"/>
      <c r="AN277" s="3" t="inlineStr"/>
      <c r="AO277" s="3" t="inlineStr"/>
      <c r="AP277" s="3" t="inlineStr">
        <is>
          <t>v3_2026-03-19</t>
        </is>
      </c>
    </row>
    <row r="278">
      <c r="A278" s="3" t="inlineStr">
        <is>
          <t>Q55_C</t>
        </is>
      </c>
      <c r="B278" s="3" t="n">
        <v>55</v>
      </c>
      <c r="C278" s="3" t="n">
        <v>104</v>
      </c>
      <c r="D278" s="3" t="inlineStr">
        <is>
          <t>Shadow</t>
        </is>
      </c>
      <c r="E278" s="3" t="n">
        <v>1.35</v>
      </c>
      <c r="F278" s="3" t="inlineStr">
        <is>
          <t>ShadowPattern</t>
        </is>
      </c>
      <c r="G278" s="3" t="inlineStr">
        <is>
          <t>IntegrityRisk</t>
        </is>
      </c>
      <c r="H278" s="3" t="inlineStr"/>
      <c r="I278" s="3" t="inlineStr">
        <is>
          <t>C</t>
        </is>
      </c>
      <c r="J278" s="3" t="inlineStr">
        <is>
          <t>C</t>
        </is>
      </c>
      <c r="K278" s="3" t="inlineStr">
        <is>
          <t>I act like I was just joking. Can't let them see too much.</t>
        </is>
      </c>
      <c r="L278" s="3" t="n">
        <v>5</v>
      </c>
      <c r="M278" s="3" t="inlineStr"/>
      <c r="N278" s="3" t="n">
        <v>4</v>
      </c>
      <c r="O278" s="3" t="n">
        <v>4</v>
      </c>
      <c r="P278" s="3" t="n">
        <v>4</v>
      </c>
      <c r="Q278" s="3" t="inlineStr"/>
      <c r="R278" s="3" t="inlineStr"/>
      <c r="S278" s="3" t="inlineStr">
        <is>
          <t>Love Bomber</t>
        </is>
      </c>
      <c r="T278" s="3" t="n">
        <v>3</v>
      </c>
      <c r="U278" s="3" t="n">
        <v>6</v>
      </c>
      <c r="V278" s="3" t="inlineStr">
        <is>
          <t>masc:0.0;fem:0.0</t>
        </is>
      </c>
      <c r="W278" s="3" t="n">
        <v>0</v>
      </c>
      <c r="X278" s="3" t="n">
        <v>0</v>
      </c>
      <c r="Y278" s="3" t="inlineStr"/>
      <c r="Z278" s="3" t="inlineStr"/>
      <c r="AA278" s="3" t="inlineStr"/>
      <c r="AB278" s="3" t="inlineStr"/>
      <c r="AC278" s="3" t="inlineStr"/>
      <c r="AD278" s="3" t="inlineStr"/>
      <c r="AE278" s="3" t="n">
        <v>0</v>
      </c>
      <c r="AF278" s="3" t="inlineStr"/>
      <c r="AG278" s="3" t="inlineStr"/>
      <c r="AH278" s="3" t="n">
        <v>0</v>
      </c>
      <c r="AI278" s="3" t="inlineStr"/>
      <c r="AJ278" s="3" t="inlineStr">
        <is>
          <t>no</t>
        </is>
      </c>
      <c r="AK278" s="3" t="inlineStr">
        <is>
          <t>no</t>
        </is>
      </c>
      <c r="AL278" s="3" t="inlineStr">
        <is>
          <t>no</t>
        </is>
      </c>
      <c r="AM278" s="3" t="inlineStr"/>
      <c r="AN278" s="3" t="inlineStr"/>
      <c r="AO278" s="3" t="inlineStr"/>
      <c r="AP278" s="3" t="inlineStr">
        <is>
          <t>v3_2026-03-19</t>
        </is>
      </c>
    </row>
    <row r="279">
      <c r="A279" s="3" t="inlineStr">
        <is>
          <t>Q55_D</t>
        </is>
      </c>
      <c r="B279" s="3" t="n">
        <v>55</v>
      </c>
      <c r="C279" s="3" t="n">
        <v>104</v>
      </c>
      <c r="D279" s="3" t="inlineStr">
        <is>
          <t>Shadow</t>
        </is>
      </c>
      <c r="E279" s="3" t="n">
        <v>1.35</v>
      </c>
      <c r="F279" s="3" t="inlineStr">
        <is>
          <t>ShadowPattern</t>
        </is>
      </c>
      <c r="G279" s="3" t="inlineStr">
        <is>
          <t>IntegrityRisk</t>
        </is>
      </c>
      <c r="H279" s="3" t="inlineStr"/>
      <c r="I279" s="3" t="inlineStr">
        <is>
          <t>D</t>
        </is>
      </c>
      <c r="J279" s="3" t="inlineStr">
        <is>
          <t>D</t>
        </is>
      </c>
      <c r="K279" s="3" t="inlineStr">
        <is>
          <t>I nod like it didn't matter. Then replay the whole convo later.</t>
        </is>
      </c>
      <c r="L279" s="3" t="n">
        <v>6</v>
      </c>
      <c r="M279" s="3" t="inlineStr"/>
      <c r="N279" s="3" t="n">
        <v>4</v>
      </c>
      <c r="O279" s="3" t="n">
        <v>4</v>
      </c>
      <c r="P279" s="3" t="n">
        <v>4</v>
      </c>
      <c r="Q279" s="3" t="inlineStr"/>
      <c r="R279" s="3" t="inlineStr"/>
      <c r="S279" s="3" t="inlineStr">
        <is>
          <t>Chameleon</t>
        </is>
      </c>
      <c r="T279" s="3" t="n">
        <v>4</v>
      </c>
      <c r="U279" s="3" t="n">
        <v>6</v>
      </c>
      <c r="V279" s="3" t="inlineStr">
        <is>
          <t>masc:0.0;fem:0.0</t>
        </is>
      </c>
      <c r="W279" s="3" t="n">
        <v>0</v>
      </c>
      <c r="X279" s="3" t="n">
        <v>0</v>
      </c>
      <c r="Y279" s="3" t="inlineStr"/>
      <c r="Z279" s="3" t="inlineStr"/>
      <c r="AA279" s="3" t="inlineStr"/>
      <c r="AB279" s="3" t="inlineStr"/>
      <c r="AC279" s="3" t="inlineStr"/>
      <c r="AD279" s="3" t="inlineStr"/>
      <c r="AE279" s="3" t="n">
        <v>0</v>
      </c>
      <c r="AF279" s="3" t="inlineStr"/>
      <c r="AG279" s="3" t="inlineStr"/>
      <c r="AH279" s="3" t="n">
        <v>0</v>
      </c>
      <c r="AI279" s="3" t="inlineStr"/>
      <c r="AJ279" s="3" t="inlineStr">
        <is>
          <t>no</t>
        </is>
      </c>
      <c r="AK279" s="3" t="inlineStr">
        <is>
          <t>no</t>
        </is>
      </c>
      <c r="AL279" s="3" t="inlineStr">
        <is>
          <t>no</t>
        </is>
      </c>
      <c r="AM279" s="3" t="inlineStr"/>
      <c r="AN279" s="3" t="inlineStr"/>
      <c r="AO279" s="3" t="inlineStr"/>
      <c r="AP279" s="3" t="inlineStr">
        <is>
          <t>v3_2026-03-19</t>
        </is>
      </c>
    </row>
    <row r="280">
      <c r="A280" s="3" t="inlineStr">
        <is>
          <t>Q55_E</t>
        </is>
      </c>
      <c r="B280" s="3" t="n">
        <v>55</v>
      </c>
      <c r="C280" s="3" t="n">
        <v>104</v>
      </c>
      <c r="D280" s="3" t="inlineStr">
        <is>
          <t>Shadow</t>
        </is>
      </c>
      <c r="E280" s="3" t="n">
        <v>1.35</v>
      </c>
      <c r="F280" s="3" t="inlineStr">
        <is>
          <t>ShadowPattern</t>
        </is>
      </c>
      <c r="G280" s="3" t="inlineStr">
        <is>
          <t>IntegrityRisk</t>
        </is>
      </c>
      <c r="H280" s="3" t="inlineStr"/>
      <c r="I280" s="3" t="inlineStr">
        <is>
          <t>E</t>
        </is>
      </c>
      <c r="J280" s="3" t="inlineStr">
        <is>
          <t>E</t>
        </is>
      </c>
      <c r="K280" s="3" t="inlineStr">
        <is>
          <t>I tell myself not to open up again until they earn it.</t>
        </is>
      </c>
      <c r="L280" s="3" t="n">
        <v>7</v>
      </c>
      <c r="M280" s="3" t="inlineStr"/>
      <c r="N280" s="3" t="n">
        <v>2</v>
      </c>
      <c r="O280" s="3" t="n">
        <v>2</v>
      </c>
      <c r="P280" s="3" t="n">
        <v>2</v>
      </c>
      <c r="Q280" s="3" t="inlineStr"/>
      <c r="R280" s="3" t="inlineStr"/>
      <c r="S280" s="3" t="inlineStr">
        <is>
          <t>Scorekeeper</t>
        </is>
      </c>
      <c r="T280" s="3" t="n">
        <v>5</v>
      </c>
      <c r="U280" s="3" t="n">
        <v>8</v>
      </c>
      <c r="V280" s="3" t="inlineStr">
        <is>
          <t>masc:0.0;fem:0.0</t>
        </is>
      </c>
      <c r="W280" s="3" t="n">
        <v>0</v>
      </c>
      <c r="X280" s="3" t="n">
        <v>0</v>
      </c>
      <c r="Y280" s="3" t="inlineStr"/>
      <c r="Z280" s="3" t="inlineStr"/>
      <c r="AA280" s="3" t="inlineStr"/>
      <c r="AB280" s="3" t="inlineStr"/>
      <c r="AC280" s="3" t="inlineStr"/>
      <c r="AD280" s="3" t="inlineStr"/>
      <c r="AE280" s="3" t="n">
        <v>0</v>
      </c>
      <c r="AF280" s="3" t="inlineStr"/>
      <c r="AG280" s="3" t="inlineStr"/>
      <c r="AH280" s="3" t="n">
        <v>0</v>
      </c>
      <c r="AI280" s="3" t="inlineStr"/>
      <c r="AJ280" s="3" t="inlineStr">
        <is>
          <t>no</t>
        </is>
      </c>
      <c r="AK280" s="3" t="inlineStr">
        <is>
          <t>no</t>
        </is>
      </c>
      <c r="AL280" s="3" t="inlineStr">
        <is>
          <t>no</t>
        </is>
      </c>
      <c r="AM280" s="3" t="inlineStr"/>
      <c r="AN280" s="3" t="inlineStr"/>
      <c r="AO280" s="3" t="inlineStr"/>
      <c r="AP280" s="3" t="inlineStr">
        <is>
          <t>v3_2026-03-19</t>
        </is>
      </c>
    </row>
    <row r="281">
      <c r="A281" s="3" t="inlineStr">
        <is>
          <t>Q55_F</t>
        </is>
      </c>
      <c r="B281" s="3" t="n">
        <v>55</v>
      </c>
      <c r="C281" s="3" t="n">
        <v>104</v>
      </c>
      <c r="D281" s="3" t="inlineStr">
        <is>
          <t>Shadow</t>
        </is>
      </c>
      <c r="E281" s="3" t="n">
        <v>1.35</v>
      </c>
      <c r="F281" s="3" t="inlineStr">
        <is>
          <t>ShadowPattern</t>
        </is>
      </c>
      <c r="G281" s="3" t="inlineStr">
        <is>
          <t>IntegrityRisk</t>
        </is>
      </c>
      <c r="H281" s="3" t="inlineStr"/>
      <c r="I281" s="3" t="inlineStr">
        <is>
          <t>F</t>
        </is>
      </c>
      <c r="J281" s="3" t="inlineStr">
        <is>
          <t>F</t>
        </is>
      </c>
      <c r="K281" s="3" t="inlineStr">
        <is>
          <t>I feel embarrassed for trying and want to disappear.</t>
        </is>
      </c>
      <c r="L281" s="3" t="n">
        <v>8</v>
      </c>
      <c r="M281" s="3" t="inlineStr"/>
      <c r="N281" s="3" t="n">
        <v>2</v>
      </c>
      <c r="O281" s="3" t="n">
        <v>2</v>
      </c>
      <c r="P281" s="3" t="n">
        <v>2</v>
      </c>
      <c r="Q281" s="3" t="inlineStr"/>
      <c r="R281" s="3" t="inlineStr"/>
      <c r="S281" s="3" t="inlineStr">
        <is>
          <t>Self-Saboteur</t>
        </is>
      </c>
      <c r="T281" s="3" t="n">
        <v>6</v>
      </c>
      <c r="U281" s="3" t="n">
        <v>8</v>
      </c>
      <c r="V281" s="3" t="inlineStr">
        <is>
          <t>masc:0.0;fem:0.0</t>
        </is>
      </c>
      <c r="W281" s="3" t="n">
        <v>0</v>
      </c>
      <c r="X281" s="3" t="n">
        <v>0</v>
      </c>
      <c r="Y281" s="3" t="inlineStr"/>
      <c r="Z281" s="3" t="inlineStr"/>
      <c r="AA281" s="3" t="inlineStr"/>
      <c r="AB281" s="3" t="inlineStr"/>
      <c r="AC281" s="3" t="inlineStr"/>
      <c r="AD281" s="3" t="inlineStr"/>
      <c r="AE281" s="3" t="n">
        <v>0</v>
      </c>
      <c r="AF281" s="3" t="inlineStr"/>
      <c r="AG281" s="3" t="inlineStr"/>
      <c r="AH281" s="3" t="n">
        <v>0</v>
      </c>
      <c r="AI281" s="3" t="inlineStr"/>
      <c r="AJ281" s="3" t="inlineStr">
        <is>
          <t>no</t>
        </is>
      </c>
      <c r="AK281" s="3" t="inlineStr">
        <is>
          <t>no</t>
        </is>
      </c>
      <c r="AL281" s="3" t="inlineStr">
        <is>
          <t>no</t>
        </is>
      </c>
      <c r="AM281" s="3" t="inlineStr"/>
      <c r="AN281" s="3" t="inlineStr"/>
      <c r="AO281" s="3" t="inlineStr"/>
      <c r="AP281" s="3" t="inlineStr">
        <is>
          <t>v3_2026-03-19</t>
        </is>
      </c>
    </row>
    <row r="282">
      <c r="A282" s="3" t="inlineStr">
        <is>
          <t>Q56_A</t>
        </is>
      </c>
      <c r="B282" s="3" t="n">
        <v>56</v>
      </c>
      <c r="C282" s="3" t="n">
        <v>105</v>
      </c>
      <c r="D282" s="3" t="inlineStr">
        <is>
          <t>Shadow</t>
        </is>
      </c>
      <c r="E282" s="3" t="n">
        <v>1.35</v>
      </c>
      <c r="F282" s="3" t="inlineStr">
        <is>
          <t>ShadowPattern</t>
        </is>
      </c>
      <c r="G282" s="3" t="inlineStr">
        <is>
          <t>IntegrityRisk</t>
        </is>
      </c>
      <c r="H282" s="3" t="inlineStr">
        <is>
          <t>They forget something important to you. What happens next?</t>
        </is>
      </c>
      <c r="I282" s="3" t="inlineStr">
        <is>
          <t>A</t>
        </is>
      </c>
      <c r="J282" s="3" t="inlineStr">
        <is>
          <t>A</t>
        </is>
      </c>
      <c r="K282" s="3" t="inlineStr">
        <is>
          <t>I bring it up in a way that sounds playful but stings a little.</t>
        </is>
      </c>
      <c r="L282" s="3" t="n">
        <v>4</v>
      </c>
      <c r="M282" s="3" t="inlineStr"/>
      <c r="N282" s="3" t="n">
        <v>4</v>
      </c>
      <c r="O282" s="3" t="n">
        <v>4</v>
      </c>
      <c r="P282" s="3" t="n">
        <v>4</v>
      </c>
      <c r="Q282" s="3" t="inlineStr"/>
      <c r="R282" s="3" t="inlineStr"/>
      <c r="S282" s="3" t="inlineStr">
        <is>
          <t>Manipulator</t>
        </is>
      </c>
      <c r="T282" s="3" t="n">
        <v>1</v>
      </c>
      <c r="U282" s="3" t="n">
        <v>6</v>
      </c>
      <c r="V282" s="3" t="inlineStr">
        <is>
          <t>masc:0.0;fem:0.0</t>
        </is>
      </c>
      <c r="W282" s="3" t="n">
        <v>0</v>
      </c>
      <c r="X282" s="3" t="n">
        <v>0</v>
      </c>
      <c r="Y282" s="3" t="inlineStr"/>
      <c r="Z282" s="3" t="inlineStr"/>
      <c r="AA282" s="3" t="inlineStr"/>
      <c r="AB282" s="3" t="inlineStr"/>
      <c r="AC282" s="3" t="inlineStr"/>
      <c r="AD282" s="3" t="inlineStr"/>
      <c r="AE282" s="3" t="n">
        <v>0</v>
      </c>
      <c r="AF282" s="3" t="inlineStr"/>
      <c r="AG282" s="3" t="inlineStr"/>
      <c r="AH282" s="3" t="n">
        <v>0</v>
      </c>
      <c r="AI282" s="3" t="inlineStr"/>
      <c r="AJ282" s="3" t="inlineStr">
        <is>
          <t>yes</t>
        </is>
      </c>
      <c r="AK282" s="3" t="inlineStr">
        <is>
          <t>no</t>
        </is>
      </c>
      <c r="AL282" s="3" t="inlineStr">
        <is>
          <t>no</t>
        </is>
      </c>
      <c r="AM282" s="3" t="inlineStr"/>
      <c r="AN282" s="3" t="inlineStr"/>
      <c r="AO282" s="3" t="inlineStr"/>
      <c r="AP282" s="3" t="inlineStr">
        <is>
          <t>v3_2026-03-19</t>
        </is>
      </c>
    </row>
    <row r="283">
      <c r="A283" s="3" t="inlineStr">
        <is>
          <t>Q56_B</t>
        </is>
      </c>
      <c r="B283" s="3" t="n">
        <v>56</v>
      </c>
      <c r="C283" s="3" t="n">
        <v>105</v>
      </c>
      <c r="D283" s="3" t="inlineStr">
        <is>
          <t>Shadow</t>
        </is>
      </c>
      <c r="E283" s="3" t="n">
        <v>1.35</v>
      </c>
      <c r="F283" s="3" t="inlineStr">
        <is>
          <t>ShadowPattern</t>
        </is>
      </c>
      <c r="G283" s="3" t="inlineStr">
        <is>
          <t>IntegrityRisk</t>
        </is>
      </c>
      <c r="H283" s="3" t="inlineStr"/>
      <c r="I283" s="3" t="inlineStr">
        <is>
          <t>B</t>
        </is>
      </c>
      <c r="J283" s="3" t="inlineStr">
        <is>
          <t>B</t>
        </is>
      </c>
      <c r="K283" s="3" t="inlineStr">
        <is>
          <t>I say it's fine, but I withdraw hard after that.</t>
        </is>
      </c>
      <c r="L283" s="3" t="n">
        <v>3</v>
      </c>
      <c r="M283" s="3" t="inlineStr"/>
      <c r="N283" s="3" t="n">
        <v>6</v>
      </c>
      <c r="O283" s="3" t="n">
        <v>6</v>
      </c>
      <c r="P283" s="3" t="n">
        <v>6</v>
      </c>
      <c r="Q283" s="3" t="inlineStr"/>
      <c r="R283" s="3" t="inlineStr"/>
      <c r="S283" s="3" t="inlineStr">
        <is>
          <t>Stonewaller</t>
        </is>
      </c>
      <c r="T283" s="3" t="n">
        <v>2</v>
      </c>
      <c r="U283" s="3" t="n">
        <v>4</v>
      </c>
      <c r="V283" s="3" t="inlineStr">
        <is>
          <t>masc:0.0;fem:0.0</t>
        </is>
      </c>
      <c r="W283" s="3" t="n">
        <v>0</v>
      </c>
      <c r="X283" s="3" t="n">
        <v>0</v>
      </c>
      <c r="Y283" s="3" t="inlineStr"/>
      <c r="Z283" s="3" t="inlineStr"/>
      <c r="AA283" s="3" t="inlineStr"/>
      <c r="AB283" s="3" t="inlineStr"/>
      <c r="AC283" s="3" t="inlineStr"/>
      <c r="AD283" s="3" t="inlineStr"/>
      <c r="AE283" s="3" t="n">
        <v>0</v>
      </c>
      <c r="AF283" s="3" t="inlineStr"/>
      <c r="AG283" s="3" t="inlineStr"/>
      <c r="AH283" s="3" t="n">
        <v>0.6</v>
      </c>
      <c r="AI283" s="3" t="inlineStr"/>
      <c r="AJ283" s="3" t="inlineStr">
        <is>
          <t>yes</t>
        </is>
      </c>
      <c r="AK283" s="3" t="inlineStr">
        <is>
          <t>no</t>
        </is>
      </c>
      <c r="AL283" s="3" t="inlineStr">
        <is>
          <t>no</t>
        </is>
      </c>
      <c r="AM283" s="3" t="inlineStr"/>
      <c r="AN283" s="3" t="inlineStr"/>
      <c r="AO283" s="3" t="inlineStr"/>
      <c r="AP283" s="3" t="inlineStr">
        <is>
          <t>v3_2026-03-19</t>
        </is>
      </c>
    </row>
    <row r="284">
      <c r="A284" s="3" t="inlineStr">
        <is>
          <t>Q56_C</t>
        </is>
      </c>
      <c r="B284" s="3" t="n">
        <v>56</v>
      </c>
      <c r="C284" s="3" t="n">
        <v>105</v>
      </c>
      <c r="D284" s="3" t="inlineStr">
        <is>
          <t>Shadow</t>
        </is>
      </c>
      <c r="E284" s="3" t="n">
        <v>1.35</v>
      </c>
      <c r="F284" s="3" t="inlineStr">
        <is>
          <t>ShadowPattern</t>
        </is>
      </c>
      <c r="G284" s="3" t="inlineStr">
        <is>
          <t>IntegrityRisk</t>
        </is>
      </c>
      <c r="H284" s="3" t="inlineStr"/>
      <c r="I284" s="3" t="inlineStr">
        <is>
          <t>C</t>
        </is>
      </c>
      <c r="J284" s="3" t="inlineStr">
        <is>
          <t>C</t>
        </is>
      </c>
      <c r="K284" s="3" t="inlineStr">
        <is>
          <t>I act like I forgot something of theirs too, balance it out.</t>
        </is>
      </c>
      <c r="L284" s="3" t="n">
        <v>5</v>
      </c>
      <c r="M284" s="3" t="inlineStr"/>
      <c r="N284" s="3" t="n">
        <v>4</v>
      </c>
      <c r="O284" s="3" t="n">
        <v>4</v>
      </c>
      <c r="P284" s="3" t="n">
        <v>4</v>
      </c>
      <c r="Q284" s="3" t="inlineStr"/>
      <c r="R284" s="3" t="inlineStr"/>
      <c r="S284" s="3" t="inlineStr">
        <is>
          <t>Love Bomber</t>
        </is>
      </c>
      <c r="T284" s="3" t="n">
        <v>3</v>
      </c>
      <c r="U284" s="3" t="n">
        <v>6</v>
      </c>
      <c r="V284" s="3" t="inlineStr">
        <is>
          <t>masc:0.0;fem:0.0</t>
        </is>
      </c>
      <c r="W284" s="3" t="n">
        <v>0</v>
      </c>
      <c r="X284" s="3" t="n">
        <v>0</v>
      </c>
      <c r="Y284" s="3" t="inlineStr"/>
      <c r="Z284" s="3" t="inlineStr"/>
      <c r="AA284" s="3" t="inlineStr"/>
      <c r="AB284" s="3" t="inlineStr"/>
      <c r="AC284" s="3" t="inlineStr"/>
      <c r="AD284" s="3" t="inlineStr"/>
      <c r="AE284" s="3" t="n">
        <v>0</v>
      </c>
      <c r="AF284" s="3" t="inlineStr"/>
      <c r="AG284" s="3" t="inlineStr"/>
      <c r="AH284" s="3" t="n">
        <v>0</v>
      </c>
      <c r="AI284" s="3" t="inlineStr"/>
      <c r="AJ284" s="3" t="inlineStr">
        <is>
          <t>no</t>
        </is>
      </c>
      <c r="AK284" s="3" t="inlineStr">
        <is>
          <t>no</t>
        </is>
      </c>
      <c r="AL284" s="3" t="inlineStr">
        <is>
          <t>no</t>
        </is>
      </c>
      <c r="AM284" s="3" t="inlineStr"/>
      <c r="AN284" s="3" t="inlineStr"/>
      <c r="AO284" s="3" t="inlineStr"/>
      <c r="AP284" s="3" t="inlineStr">
        <is>
          <t>v3_2026-03-19</t>
        </is>
      </c>
    </row>
    <row r="285">
      <c r="A285" s="3" t="inlineStr">
        <is>
          <t>Q56_D</t>
        </is>
      </c>
      <c r="B285" s="3" t="n">
        <v>56</v>
      </c>
      <c r="C285" s="3" t="n">
        <v>105</v>
      </c>
      <c r="D285" s="3" t="inlineStr">
        <is>
          <t>Shadow</t>
        </is>
      </c>
      <c r="E285" s="3" t="n">
        <v>1.35</v>
      </c>
      <c r="F285" s="3" t="inlineStr">
        <is>
          <t>ShadowPattern</t>
        </is>
      </c>
      <c r="G285" s="3" t="inlineStr">
        <is>
          <t>IntegrityRisk</t>
        </is>
      </c>
      <c r="H285" s="3" t="inlineStr"/>
      <c r="I285" s="3" t="inlineStr">
        <is>
          <t>D</t>
        </is>
      </c>
      <c r="J285" s="3" t="inlineStr">
        <is>
          <t>D</t>
        </is>
      </c>
      <c r="K285" s="3" t="inlineStr">
        <is>
          <t>I adjust my vibe, act like it didn't matter.</t>
        </is>
      </c>
      <c r="L285" s="3" t="n">
        <v>6</v>
      </c>
      <c r="M285" s="3" t="inlineStr"/>
      <c r="N285" s="3" t="n">
        <v>4</v>
      </c>
      <c r="O285" s="3" t="n">
        <v>4</v>
      </c>
      <c r="P285" s="3" t="n">
        <v>4</v>
      </c>
      <c r="Q285" s="3" t="inlineStr"/>
      <c r="R285" s="3" t="inlineStr"/>
      <c r="S285" s="3" t="inlineStr">
        <is>
          <t>Chameleon</t>
        </is>
      </c>
      <c r="T285" s="3" t="n">
        <v>4</v>
      </c>
      <c r="U285" s="3" t="n">
        <v>6</v>
      </c>
      <c r="V285" s="3" t="inlineStr">
        <is>
          <t>masc:0.0;fem:0.0</t>
        </is>
      </c>
      <c r="W285" s="3" t="n">
        <v>0</v>
      </c>
      <c r="X285" s="3" t="n">
        <v>0</v>
      </c>
      <c r="Y285" s="3" t="inlineStr"/>
      <c r="Z285" s="3" t="inlineStr"/>
      <c r="AA285" s="3" t="inlineStr"/>
      <c r="AB285" s="3" t="inlineStr"/>
      <c r="AC285" s="3" t="inlineStr"/>
      <c r="AD285" s="3" t="inlineStr"/>
      <c r="AE285" s="3" t="n">
        <v>0</v>
      </c>
      <c r="AF285" s="3" t="inlineStr"/>
      <c r="AG285" s="3" t="inlineStr"/>
      <c r="AH285" s="3" t="n">
        <v>0</v>
      </c>
      <c r="AI285" s="3" t="inlineStr"/>
      <c r="AJ285" s="3" t="inlineStr">
        <is>
          <t>no</t>
        </is>
      </c>
      <c r="AK285" s="3" t="inlineStr">
        <is>
          <t>no</t>
        </is>
      </c>
      <c r="AL285" s="3" t="inlineStr">
        <is>
          <t>no</t>
        </is>
      </c>
      <c r="AM285" s="3" t="inlineStr"/>
      <c r="AN285" s="3" t="inlineStr"/>
      <c r="AO285" s="3" t="inlineStr"/>
      <c r="AP285" s="3" t="inlineStr">
        <is>
          <t>v3_2026-03-19</t>
        </is>
      </c>
    </row>
    <row r="286">
      <c r="A286" s="3" t="inlineStr">
        <is>
          <t>Q56_E</t>
        </is>
      </c>
      <c r="B286" s="3" t="n">
        <v>56</v>
      </c>
      <c r="C286" s="3" t="n">
        <v>105</v>
      </c>
      <c r="D286" s="3" t="inlineStr">
        <is>
          <t>Shadow</t>
        </is>
      </c>
      <c r="E286" s="3" t="n">
        <v>1.35</v>
      </c>
      <c r="F286" s="3" t="inlineStr">
        <is>
          <t>ShadowPattern</t>
        </is>
      </c>
      <c r="G286" s="3" t="inlineStr">
        <is>
          <t>IntegrityRisk</t>
        </is>
      </c>
      <c r="H286" s="3" t="inlineStr"/>
      <c r="I286" s="3" t="inlineStr">
        <is>
          <t>E</t>
        </is>
      </c>
      <c r="J286" s="3" t="inlineStr">
        <is>
          <t>E</t>
        </is>
      </c>
      <c r="K286" s="3" t="inlineStr">
        <is>
          <t>I bring it up later when they mess up again, pattern proof.</t>
        </is>
      </c>
      <c r="L286" s="3" t="n">
        <v>7</v>
      </c>
      <c r="M286" s="3" t="inlineStr"/>
      <c r="N286" s="3" t="n">
        <v>2</v>
      </c>
      <c r="O286" s="3" t="n">
        <v>2</v>
      </c>
      <c r="P286" s="3" t="n">
        <v>2</v>
      </c>
      <c r="Q286" s="3" t="inlineStr"/>
      <c r="R286" s="3" t="inlineStr"/>
      <c r="S286" s="3" t="inlineStr">
        <is>
          <t>Scorekeeper</t>
        </is>
      </c>
      <c r="T286" s="3" t="n">
        <v>5</v>
      </c>
      <c r="U286" s="3" t="n">
        <v>8</v>
      </c>
      <c r="V286" s="3" t="inlineStr">
        <is>
          <t>masc:0.0;fem:0.0</t>
        </is>
      </c>
      <c r="W286" s="3" t="n">
        <v>0</v>
      </c>
      <c r="X286" s="3" t="n">
        <v>0</v>
      </c>
      <c r="Y286" s="3" t="inlineStr"/>
      <c r="Z286" s="3" t="inlineStr"/>
      <c r="AA286" s="3" t="inlineStr"/>
      <c r="AB286" s="3" t="inlineStr"/>
      <c r="AC286" s="3" t="inlineStr"/>
      <c r="AD286" s="3" t="inlineStr"/>
      <c r="AE286" s="3" t="n">
        <v>0</v>
      </c>
      <c r="AF286" s="3" t="inlineStr"/>
      <c r="AG286" s="3" t="inlineStr"/>
      <c r="AH286" s="3" t="n">
        <v>0</v>
      </c>
      <c r="AI286" s="3" t="inlineStr"/>
      <c r="AJ286" s="3" t="inlineStr">
        <is>
          <t>no</t>
        </is>
      </c>
      <c r="AK286" s="3" t="inlineStr">
        <is>
          <t>no</t>
        </is>
      </c>
      <c r="AL286" s="3" t="inlineStr">
        <is>
          <t>no</t>
        </is>
      </c>
      <c r="AM286" s="3" t="inlineStr"/>
      <c r="AN286" s="3" t="inlineStr"/>
      <c r="AO286" s="3" t="inlineStr"/>
      <c r="AP286" s="3" t="inlineStr">
        <is>
          <t>v3_2026-03-19</t>
        </is>
      </c>
    </row>
    <row r="287">
      <c r="A287" s="3" t="inlineStr">
        <is>
          <t>Q56_F</t>
        </is>
      </c>
      <c r="B287" s="3" t="n">
        <v>56</v>
      </c>
      <c r="C287" s="3" t="n">
        <v>105</v>
      </c>
      <c r="D287" s="3" t="inlineStr">
        <is>
          <t>Shadow</t>
        </is>
      </c>
      <c r="E287" s="3" t="n">
        <v>1.35</v>
      </c>
      <c r="F287" s="3" t="inlineStr">
        <is>
          <t>ShadowPattern</t>
        </is>
      </c>
      <c r="G287" s="3" t="inlineStr">
        <is>
          <t>IntegrityRisk</t>
        </is>
      </c>
      <c r="H287" s="3" t="inlineStr"/>
      <c r="I287" s="3" t="inlineStr">
        <is>
          <t>F</t>
        </is>
      </c>
      <c r="J287" s="3" t="inlineStr">
        <is>
          <t>F</t>
        </is>
      </c>
      <c r="K287" s="3" t="inlineStr">
        <is>
          <t>I wonder if I just wasn't worth remembering.</t>
        </is>
      </c>
      <c r="L287" s="3" t="n">
        <v>8</v>
      </c>
      <c r="M287" s="3" t="inlineStr"/>
      <c r="N287" s="3" t="n">
        <v>2</v>
      </c>
      <c r="O287" s="3" t="n">
        <v>2</v>
      </c>
      <c r="P287" s="3" t="n">
        <v>2</v>
      </c>
      <c r="Q287" s="3" t="inlineStr"/>
      <c r="R287" s="3" t="inlineStr"/>
      <c r="S287" s="3" t="inlineStr">
        <is>
          <t>Self-Saboteur</t>
        </is>
      </c>
      <c r="T287" s="3" t="n">
        <v>6</v>
      </c>
      <c r="U287" s="3" t="n">
        <v>8</v>
      </c>
      <c r="V287" s="3" t="inlineStr">
        <is>
          <t>masc:0.0;fem:0.0</t>
        </is>
      </c>
      <c r="W287" s="3" t="n">
        <v>0</v>
      </c>
      <c r="X287" s="3" t="n">
        <v>0</v>
      </c>
      <c r="Y287" s="3" t="inlineStr"/>
      <c r="Z287" s="3" t="inlineStr"/>
      <c r="AA287" s="3" t="inlineStr"/>
      <c r="AB287" s="3" t="inlineStr"/>
      <c r="AC287" s="3" t="inlineStr"/>
      <c r="AD287" s="3" t="inlineStr"/>
      <c r="AE287" s="3" t="n">
        <v>0</v>
      </c>
      <c r="AF287" s="3" t="inlineStr"/>
      <c r="AG287" s="3" t="inlineStr"/>
      <c r="AH287" s="3" t="n">
        <v>0</v>
      </c>
      <c r="AI287" s="3" t="inlineStr"/>
      <c r="AJ287" s="3" t="inlineStr">
        <is>
          <t>no</t>
        </is>
      </c>
      <c r="AK287" s="3" t="inlineStr">
        <is>
          <t>no</t>
        </is>
      </c>
      <c r="AL287" s="3" t="inlineStr">
        <is>
          <t>no</t>
        </is>
      </c>
      <c r="AM287" s="3" t="inlineStr"/>
      <c r="AN287" s="3" t="inlineStr"/>
      <c r="AO287" s="3" t="inlineStr"/>
      <c r="AP287" s="3" t="inlineStr">
        <is>
          <t>v3_2026-03-19</t>
        </is>
      </c>
    </row>
    <row r="288">
      <c r="A288" s="3" t="inlineStr">
        <is>
          <t>Q57_A</t>
        </is>
      </c>
      <c r="B288" s="3" t="n">
        <v>57</v>
      </c>
      <c r="C288" s="3" t="n">
        <v>106</v>
      </c>
      <c r="D288" s="3" t="inlineStr">
        <is>
          <t>Shadow</t>
        </is>
      </c>
      <c r="E288" s="3" t="n">
        <v>1.35</v>
      </c>
      <c r="F288" s="3" t="inlineStr">
        <is>
          <t>ShadowPattern</t>
        </is>
      </c>
      <c r="G288" s="3" t="inlineStr">
        <is>
          <t>IntegrityRisk</t>
        </is>
      </c>
      <c r="H288" s="3" t="inlineStr">
        <is>
          <t>You sense someone pulling away, but they haven't said anything. What's your response?</t>
        </is>
      </c>
      <c r="I288" s="3" t="inlineStr">
        <is>
          <t>A</t>
        </is>
      </c>
      <c r="J288" s="3" t="inlineStr">
        <is>
          <t>A</t>
        </is>
      </c>
      <c r="K288" s="3" t="inlineStr">
        <is>
          <t>Drop a dramatic statement or confession to pull them back in emotionally.</t>
        </is>
      </c>
      <c r="L288" s="3" t="n">
        <v>4</v>
      </c>
      <c r="M288" s="3" t="inlineStr"/>
      <c r="N288" s="3" t="n">
        <v>4</v>
      </c>
      <c r="O288" s="3" t="n">
        <v>4</v>
      </c>
      <c r="P288" s="3" t="n">
        <v>4</v>
      </c>
      <c r="Q288" s="3" t="inlineStr"/>
      <c r="R288" s="3" t="inlineStr"/>
      <c r="S288" s="3" t="inlineStr">
        <is>
          <t>Manipulator</t>
        </is>
      </c>
      <c r="T288" s="3" t="n">
        <v>1</v>
      </c>
      <c r="U288" s="3" t="n">
        <v>6</v>
      </c>
      <c r="V288" s="3" t="inlineStr">
        <is>
          <t>masc:0.0;fem:0.0</t>
        </is>
      </c>
      <c r="W288" s="3" t="n">
        <v>0</v>
      </c>
      <c r="X288" s="3" t="n">
        <v>0</v>
      </c>
      <c r="Y288" s="3" t="inlineStr"/>
      <c r="Z288" s="3" t="inlineStr"/>
      <c r="AA288" s="3" t="inlineStr"/>
      <c r="AB288" s="3" t="inlineStr"/>
      <c r="AC288" s="3" t="inlineStr"/>
      <c r="AD288" s="3" t="inlineStr"/>
      <c r="AE288" s="3" t="n">
        <v>0</v>
      </c>
      <c r="AF288" s="3" t="inlineStr"/>
      <c r="AG288" s="3" t="inlineStr"/>
      <c r="AH288" s="3" t="n">
        <v>0</v>
      </c>
      <c r="AI288" s="3" t="inlineStr"/>
      <c r="AJ288" s="3" t="inlineStr">
        <is>
          <t>yes</t>
        </is>
      </c>
      <c r="AK288" s="3" t="inlineStr">
        <is>
          <t>no</t>
        </is>
      </c>
      <c r="AL288" s="3" t="inlineStr">
        <is>
          <t>no</t>
        </is>
      </c>
      <c r="AM288" s="3" t="inlineStr"/>
      <c r="AN288" s="3" t="inlineStr"/>
      <c r="AO288" s="3" t="inlineStr"/>
      <c r="AP288" s="3" t="inlineStr">
        <is>
          <t>v3_2026-03-19</t>
        </is>
      </c>
    </row>
    <row r="289">
      <c r="A289" s="3" t="inlineStr">
        <is>
          <t>Q57_B</t>
        </is>
      </c>
      <c r="B289" s="3" t="n">
        <v>57</v>
      </c>
      <c r="C289" s="3" t="n">
        <v>106</v>
      </c>
      <c r="D289" s="3" t="inlineStr">
        <is>
          <t>Shadow</t>
        </is>
      </c>
      <c r="E289" s="3" t="n">
        <v>1.35</v>
      </c>
      <c r="F289" s="3" t="inlineStr">
        <is>
          <t>ShadowPattern</t>
        </is>
      </c>
      <c r="G289" s="3" t="inlineStr">
        <is>
          <t>IntegrityRisk</t>
        </is>
      </c>
      <c r="H289" s="3" t="inlineStr"/>
      <c r="I289" s="3" t="inlineStr">
        <is>
          <t>B</t>
        </is>
      </c>
      <c r="J289" s="3" t="inlineStr">
        <is>
          <t>B</t>
        </is>
      </c>
      <c r="K289" s="3" t="inlineStr">
        <is>
          <t>Say nothing, but make myself harder to reach. They'll notice eventually.</t>
        </is>
      </c>
      <c r="L289" s="3" t="n">
        <v>3</v>
      </c>
      <c r="M289" s="3" t="inlineStr"/>
      <c r="N289" s="3" t="n">
        <v>6</v>
      </c>
      <c r="O289" s="3" t="n">
        <v>6</v>
      </c>
      <c r="P289" s="3" t="n">
        <v>6</v>
      </c>
      <c r="Q289" s="3" t="inlineStr"/>
      <c r="R289" s="3" t="inlineStr"/>
      <c r="S289" s="3" t="inlineStr">
        <is>
          <t>Stonewaller</t>
        </is>
      </c>
      <c r="T289" s="3" t="n">
        <v>2</v>
      </c>
      <c r="U289" s="3" t="n">
        <v>4</v>
      </c>
      <c r="V289" s="3" t="inlineStr">
        <is>
          <t>masc:0.0;fem:0.0</t>
        </is>
      </c>
      <c r="W289" s="3" t="n">
        <v>0</v>
      </c>
      <c r="X289" s="3" t="n">
        <v>0</v>
      </c>
      <c r="Y289" s="3" t="inlineStr"/>
      <c r="Z289" s="3" t="inlineStr"/>
      <c r="AA289" s="3" t="inlineStr"/>
      <c r="AB289" s="3" t="inlineStr"/>
      <c r="AC289" s="3" t="inlineStr"/>
      <c r="AD289" s="3" t="inlineStr"/>
      <c r="AE289" s="3" t="n">
        <v>0</v>
      </c>
      <c r="AF289" s="3" t="inlineStr"/>
      <c r="AG289" s="3" t="inlineStr"/>
      <c r="AH289" s="3" t="n">
        <v>0</v>
      </c>
      <c r="AI289" s="3" t="inlineStr"/>
      <c r="AJ289" s="3" t="inlineStr">
        <is>
          <t>yes</t>
        </is>
      </c>
      <c r="AK289" s="3" t="inlineStr">
        <is>
          <t>no</t>
        </is>
      </c>
      <c r="AL289" s="3" t="inlineStr">
        <is>
          <t>no</t>
        </is>
      </c>
      <c r="AM289" s="3" t="inlineStr"/>
      <c r="AN289" s="3" t="inlineStr"/>
      <c r="AO289" s="3" t="inlineStr"/>
      <c r="AP289" s="3" t="inlineStr">
        <is>
          <t>v3_2026-03-19</t>
        </is>
      </c>
    </row>
    <row r="290">
      <c r="A290" s="3" t="inlineStr">
        <is>
          <t>Q57_C</t>
        </is>
      </c>
      <c r="B290" s="3" t="n">
        <v>57</v>
      </c>
      <c r="C290" s="3" t="n">
        <v>106</v>
      </c>
      <c r="D290" s="3" t="inlineStr">
        <is>
          <t>Shadow</t>
        </is>
      </c>
      <c r="E290" s="3" t="n">
        <v>1.35</v>
      </c>
      <c r="F290" s="3" t="inlineStr">
        <is>
          <t>ShadowPattern</t>
        </is>
      </c>
      <c r="G290" s="3" t="inlineStr">
        <is>
          <t>IntegrityRisk</t>
        </is>
      </c>
      <c r="H290" s="3" t="inlineStr"/>
      <c r="I290" s="3" t="inlineStr">
        <is>
          <t>C</t>
        </is>
      </c>
      <c r="J290" s="3" t="inlineStr">
        <is>
          <t>C</t>
        </is>
      </c>
      <c r="K290" s="3" t="inlineStr">
        <is>
          <t>Text more, call more-prove I'm still here. I get louder when I feel abandoned.</t>
        </is>
      </c>
      <c r="L290" s="3" t="n">
        <v>5</v>
      </c>
      <c r="M290" s="3" t="inlineStr"/>
      <c r="N290" s="3" t="n">
        <v>4</v>
      </c>
      <c r="O290" s="3" t="n">
        <v>4</v>
      </c>
      <c r="P290" s="3" t="n">
        <v>4</v>
      </c>
      <c r="Q290" s="3" t="inlineStr"/>
      <c r="R290" s="3" t="inlineStr"/>
      <c r="S290" s="3" t="inlineStr">
        <is>
          <t>Love Bomber</t>
        </is>
      </c>
      <c r="T290" s="3" t="n">
        <v>3</v>
      </c>
      <c r="U290" s="3" t="n">
        <v>6</v>
      </c>
      <c r="V290" s="3" t="inlineStr">
        <is>
          <t>masc:0.0;fem:0.0</t>
        </is>
      </c>
      <c r="W290" s="3" t="n">
        <v>0</v>
      </c>
      <c r="X290" s="3" t="n">
        <v>0</v>
      </c>
      <c r="Y290" s="3" t="inlineStr"/>
      <c r="Z290" s="3" t="inlineStr"/>
      <c r="AA290" s="3" t="inlineStr"/>
      <c r="AB290" s="3" t="inlineStr"/>
      <c r="AC290" s="3" t="inlineStr"/>
      <c r="AD290" s="3" t="inlineStr"/>
      <c r="AE290" s="3" t="n">
        <v>0</v>
      </c>
      <c r="AF290" s="3" t="inlineStr"/>
      <c r="AG290" s="3" t="inlineStr"/>
      <c r="AH290" s="3" t="n">
        <v>0</v>
      </c>
      <c r="AI290" s="3" t="inlineStr"/>
      <c r="AJ290" s="3" t="inlineStr">
        <is>
          <t>no</t>
        </is>
      </c>
      <c r="AK290" s="3" t="inlineStr">
        <is>
          <t>no</t>
        </is>
      </c>
      <c r="AL290" s="3" t="inlineStr">
        <is>
          <t>no</t>
        </is>
      </c>
      <c r="AM290" s="3" t="inlineStr"/>
      <c r="AN290" s="3" t="inlineStr"/>
      <c r="AO290" s="3" t="inlineStr"/>
      <c r="AP290" s="3" t="inlineStr">
        <is>
          <t>v3_2026-03-19</t>
        </is>
      </c>
    </row>
    <row r="291">
      <c r="A291" s="3" t="inlineStr">
        <is>
          <t>Q57_D</t>
        </is>
      </c>
      <c r="B291" s="3" t="n">
        <v>57</v>
      </c>
      <c r="C291" s="3" t="n">
        <v>106</v>
      </c>
      <c r="D291" s="3" t="inlineStr">
        <is>
          <t>Shadow</t>
        </is>
      </c>
      <c r="E291" s="3" t="n">
        <v>1.35</v>
      </c>
      <c r="F291" s="3" t="inlineStr">
        <is>
          <t>ShadowPattern</t>
        </is>
      </c>
      <c r="G291" s="3" t="inlineStr">
        <is>
          <t>IntegrityRisk</t>
        </is>
      </c>
      <c r="H291" s="3" t="inlineStr"/>
      <c r="I291" s="3" t="inlineStr">
        <is>
          <t>D</t>
        </is>
      </c>
      <c r="J291" s="3" t="inlineStr">
        <is>
          <t>D</t>
        </is>
      </c>
      <c r="K291" s="3" t="inlineStr">
        <is>
          <t>Mirror their vibe. If they're cold, I'm cooler. I adjust fast.</t>
        </is>
      </c>
      <c r="L291" s="3" t="n">
        <v>6</v>
      </c>
      <c r="M291" s="3" t="inlineStr"/>
      <c r="N291" s="3" t="n">
        <v>4</v>
      </c>
      <c r="O291" s="3" t="n">
        <v>4</v>
      </c>
      <c r="P291" s="3" t="n">
        <v>4</v>
      </c>
      <c r="Q291" s="3" t="inlineStr"/>
      <c r="R291" s="3" t="inlineStr"/>
      <c r="S291" s="3" t="inlineStr">
        <is>
          <t>Chameleon</t>
        </is>
      </c>
      <c r="T291" s="3" t="n">
        <v>4</v>
      </c>
      <c r="U291" s="3" t="n">
        <v>6</v>
      </c>
      <c r="V291" s="3" t="inlineStr">
        <is>
          <t>masc:0.0;fem:0.0</t>
        </is>
      </c>
      <c r="W291" s="3" t="n">
        <v>0</v>
      </c>
      <c r="X291" s="3" t="n">
        <v>0</v>
      </c>
      <c r="Y291" s="3" t="inlineStr"/>
      <c r="Z291" s="3" t="inlineStr"/>
      <c r="AA291" s="3" t="inlineStr"/>
      <c r="AB291" s="3" t="inlineStr"/>
      <c r="AC291" s="3" t="inlineStr"/>
      <c r="AD291" s="3" t="inlineStr"/>
      <c r="AE291" s="3" t="n">
        <v>0</v>
      </c>
      <c r="AF291" s="3" t="inlineStr"/>
      <c r="AG291" s="3" t="inlineStr"/>
      <c r="AH291" s="3" t="n">
        <v>0.6</v>
      </c>
      <c r="AI291" s="3" t="inlineStr"/>
      <c r="AJ291" s="3" t="inlineStr">
        <is>
          <t>no</t>
        </is>
      </c>
      <c r="AK291" s="3" t="inlineStr">
        <is>
          <t>no</t>
        </is>
      </c>
      <c r="AL291" s="3" t="inlineStr">
        <is>
          <t>no</t>
        </is>
      </c>
      <c r="AM291" s="3" t="inlineStr"/>
      <c r="AN291" s="3" t="inlineStr"/>
      <c r="AO291" s="3" t="inlineStr"/>
      <c r="AP291" s="3" t="inlineStr">
        <is>
          <t>v3_2026-03-19</t>
        </is>
      </c>
    </row>
    <row r="292">
      <c r="A292" s="3" t="inlineStr">
        <is>
          <t>Q57_E</t>
        </is>
      </c>
      <c r="B292" s="3" t="n">
        <v>57</v>
      </c>
      <c r="C292" s="3" t="n">
        <v>106</v>
      </c>
      <c r="D292" s="3" t="inlineStr">
        <is>
          <t>Shadow</t>
        </is>
      </c>
      <c r="E292" s="3" t="n">
        <v>1.35</v>
      </c>
      <c r="F292" s="3" t="inlineStr">
        <is>
          <t>ShadowPattern</t>
        </is>
      </c>
      <c r="G292" s="3" t="inlineStr">
        <is>
          <t>IntegrityRisk</t>
        </is>
      </c>
      <c r="H292" s="3" t="inlineStr"/>
      <c r="I292" s="3" t="inlineStr">
        <is>
          <t>E</t>
        </is>
      </c>
      <c r="J292" s="3" t="inlineStr">
        <is>
          <t>E</t>
        </is>
      </c>
      <c r="K292" s="3" t="inlineStr">
        <is>
          <t>Bring up everything I've done for them-then ask why they're acting different.</t>
        </is>
      </c>
      <c r="L292" s="3" t="n">
        <v>7</v>
      </c>
      <c r="M292" s="3" t="inlineStr"/>
      <c r="N292" s="3" t="n">
        <v>2</v>
      </c>
      <c r="O292" s="3" t="n">
        <v>2</v>
      </c>
      <c r="P292" s="3" t="n">
        <v>2</v>
      </c>
      <c r="Q292" s="3" t="inlineStr"/>
      <c r="R292" s="3" t="inlineStr"/>
      <c r="S292" s="3" t="inlineStr">
        <is>
          <t>Scorekeeper</t>
        </is>
      </c>
      <c r="T292" s="3" t="n">
        <v>5</v>
      </c>
      <c r="U292" s="3" t="n">
        <v>8</v>
      </c>
      <c r="V292" s="3" t="inlineStr">
        <is>
          <t>masc:0.0;fem:0.0</t>
        </is>
      </c>
      <c r="W292" s="3" t="n">
        <v>0</v>
      </c>
      <c r="X292" s="3" t="n">
        <v>0</v>
      </c>
      <c r="Y292" s="3" t="inlineStr"/>
      <c r="Z292" s="3" t="inlineStr"/>
      <c r="AA292" s="3" t="inlineStr"/>
      <c r="AB292" s="3" t="inlineStr"/>
      <c r="AC292" s="3" t="inlineStr"/>
      <c r="AD292" s="3" t="inlineStr"/>
      <c r="AE292" s="3" t="n">
        <v>0</v>
      </c>
      <c r="AF292" s="3" t="inlineStr"/>
      <c r="AG292" s="3" t="inlineStr"/>
      <c r="AH292" s="3" t="n">
        <v>0</v>
      </c>
      <c r="AI292" s="3" t="inlineStr"/>
      <c r="AJ292" s="3" t="inlineStr">
        <is>
          <t>no</t>
        </is>
      </c>
      <c r="AK292" s="3" t="inlineStr">
        <is>
          <t>no</t>
        </is>
      </c>
      <c r="AL292" s="3" t="inlineStr">
        <is>
          <t>no</t>
        </is>
      </c>
      <c r="AM292" s="3" t="inlineStr"/>
      <c r="AN292" s="3" t="inlineStr"/>
      <c r="AO292" s="3" t="inlineStr"/>
      <c r="AP292" s="3" t="inlineStr">
        <is>
          <t>v3_2026-03-19</t>
        </is>
      </c>
    </row>
    <row r="293">
      <c r="A293" s="3" t="inlineStr">
        <is>
          <t>Q57_F</t>
        </is>
      </c>
      <c r="B293" s="3" t="n">
        <v>57</v>
      </c>
      <c r="C293" s="3" t="n">
        <v>106</v>
      </c>
      <c r="D293" s="3" t="inlineStr">
        <is>
          <t>Shadow</t>
        </is>
      </c>
      <c r="E293" s="3" t="n">
        <v>1.35</v>
      </c>
      <c r="F293" s="3" t="inlineStr">
        <is>
          <t>ShadowPattern</t>
        </is>
      </c>
      <c r="G293" s="3" t="inlineStr">
        <is>
          <t>IntegrityRisk</t>
        </is>
      </c>
      <c r="H293" s="3" t="inlineStr"/>
      <c r="I293" s="3" t="inlineStr">
        <is>
          <t>F</t>
        </is>
      </c>
      <c r="J293" s="3" t="inlineStr">
        <is>
          <t>F</t>
        </is>
      </c>
      <c r="K293" s="3" t="inlineStr">
        <is>
          <t>Assume I did something wrong, and start pulling away before they do.</t>
        </is>
      </c>
      <c r="L293" s="3" t="n">
        <v>8</v>
      </c>
      <c r="M293" s="3" t="inlineStr"/>
      <c r="N293" s="3" t="n">
        <v>2</v>
      </c>
      <c r="O293" s="3" t="n">
        <v>2</v>
      </c>
      <c r="P293" s="3" t="n">
        <v>2</v>
      </c>
      <c r="Q293" s="3" t="inlineStr"/>
      <c r="R293" s="3" t="inlineStr"/>
      <c r="S293" s="3" t="inlineStr">
        <is>
          <t>Self-Saboteur</t>
        </is>
      </c>
      <c r="T293" s="3" t="n">
        <v>6</v>
      </c>
      <c r="U293" s="3" t="n">
        <v>8</v>
      </c>
      <c r="V293" s="3" t="inlineStr">
        <is>
          <t>masc:0.0;fem:0.0</t>
        </is>
      </c>
      <c r="W293" s="3" t="n">
        <v>0</v>
      </c>
      <c r="X293" s="3" t="n">
        <v>0</v>
      </c>
      <c r="Y293" s="3" t="inlineStr"/>
      <c r="Z293" s="3" t="inlineStr"/>
      <c r="AA293" s="3" t="inlineStr"/>
      <c r="AB293" s="3" t="inlineStr"/>
      <c r="AC293" s="3" t="inlineStr"/>
      <c r="AD293" s="3" t="inlineStr"/>
      <c r="AE293" s="3" t="n">
        <v>0</v>
      </c>
      <c r="AF293" s="3" t="inlineStr"/>
      <c r="AG293" s="3" t="inlineStr"/>
      <c r="AH293" s="3" t="n">
        <v>0</v>
      </c>
      <c r="AI293" s="3" t="inlineStr"/>
      <c r="AJ293" s="3" t="inlineStr">
        <is>
          <t>no</t>
        </is>
      </c>
      <c r="AK293" s="3" t="inlineStr">
        <is>
          <t>no</t>
        </is>
      </c>
      <c r="AL293" s="3" t="inlineStr">
        <is>
          <t>no</t>
        </is>
      </c>
      <c r="AM293" s="3" t="inlineStr"/>
      <c r="AN293" s="3" t="inlineStr"/>
      <c r="AO293" s="3" t="inlineStr"/>
      <c r="AP293" s="3" t="inlineStr">
        <is>
          <t>v3_2026-03-19</t>
        </is>
      </c>
    </row>
    <row r="294">
      <c r="A294" s="3" t="inlineStr">
        <is>
          <t>Q58_A</t>
        </is>
      </c>
      <c r="B294" s="3" t="n">
        <v>58</v>
      </c>
      <c r="C294" s="3" t="n">
        <v>107</v>
      </c>
      <c r="D294" s="3" t="inlineStr">
        <is>
          <t>Shadow</t>
        </is>
      </c>
      <c r="E294" s="3" t="n">
        <v>1.35</v>
      </c>
      <c r="F294" s="3" t="inlineStr">
        <is>
          <t>ShadowPattern</t>
        </is>
      </c>
      <c r="G294" s="3" t="inlineStr">
        <is>
          <t>IntegrityRisk</t>
        </is>
      </c>
      <c r="H294" s="3" t="inlineStr">
        <is>
          <t>You mess up-hurt someone or break a small trust. How do you usually handle it?</t>
        </is>
      </c>
      <c r="I294" s="3" t="inlineStr">
        <is>
          <t>A</t>
        </is>
      </c>
      <c r="J294" s="3" t="inlineStr">
        <is>
          <t>A</t>
        </is>
      </c>
      <c r="K294" s="3" t="inlineStr">
        <is>
          <t>Apologize in a way that makes them feel bad for making me feel bad.</t>
        </is>
      </c>
      <c r="L294" s="3" t="n">
        <v>4</v>
      </c>
      <c r="M294" s="3" t="inlineStr"/>
      <c r="N294" s="3" t="n">
        <v>4</v>
      </c>
      <c r="O294" s="3" t="n">
        <v>4</v>
      </c>
      <c r="P294" s="3" t="n">
        <v>4</v>
      </c>
      <c r="Q294" s="3" t="inlineStr"/>
      <c r="R294" s="3" t="inlineStr"/>
      <c r="S294" s="3" t="inlineStr">
        <is>
          <t>Manipulator</t>
        </is>
      </c>
      <c r="T294" s="3" t="n">
        <v>1</v>
      </c>
      <c r="U294" s="3" t="n">
        <v>6</v>
      </c>
      <c r="V294" s="3" t="inlineStr">
        <is>
          <t>masc:0.0;fem:0.0</t>
        </is>
      </c>
      <c r="W294" s="3" t="n">
        <v>0</v>
      </c>
      <c r="X294" s="3" t="n">
        <v>0</v>
      </c>
      <c r="Y294" s="3" t="inlineStr"/>
      <c r="Z294" s="3" t="inlineStr"/>
      <c r="AA294" s="3" t="inlineStr"/>
      <c r="AB294" s="3" t="inlineStr"/>
      <c r="AC294" s="3" t="inlineStr"/>
      <c r="AD294" s="3" t="inlineStr"/>
      <c r="AE294" s="3" t="n">
        <v>0</v>
      </c>
      <c r="AF294" s="3" t="inlineStr"/>
      <c r="AG294" s="3" t="inlineStr"/>
      <c r="AH294" s="3" t="n">
        <v>0</v>
      </c>
      <c r="AI294" s="3" t="inlineStr"/>
      <c r="AJ294" s="3" t="inlineStr">
        <is>
          <t>yes</t>
        </is>
      </c>
      <c r="AK294" s="3" t="inlineStr">
        <is>
          <t>no</t>
        </is>
      </c>
      <c r="AL294" s="3" t="inlineStr">
        <is>
          <t>no</t>
        </is>
      </c>
      <c r="AM294" s="3" t="inlineStr"/>
      <c r="AN294" s="3" t="inlineStr"/>
      <c r="AO294" s="3" t="inlineStr"/>
      <c r="AP294" s="3" t="inlineStr">
        <is>
          <t>v3_2026-03-19</t>
        </is>
      </c>
    </row>
    <row r="295">
      <c r="A295" s="3" t="inlineStr">
        <is>
          <t>Q58_B</t>
        </is>
      </c>
      <c r="B295" s="3" t="n">
        <v>58</v>
      </c>
      <c r="C295" s="3" t="n">
        <v>107</v>
      </c>
      <c r="D295" s="3" t="inlineStr">
        <is>
          <t>Shadow</t>
        </is>
      </c>
      <c r="E295" s="3" t="n">
        <v>1.35</v>
      </c>
      <c r="F295" s="3" t="inlineStr">
        <is>
          <t>ShadowPattern</t>
        </is>
      </c>
      <c r="G295" s="3" t="inlineStr">
        <is>
          <t>IntegrityRisk</t>
        </is>
      </c>
      <c r="H295" s="3" t="inlineStr"/>
      <c r="I295" s="3" t="inlineStr">
        <is>
          <t>B</t>
        </is>
      </c>
      <c r="J295" s="3" t="inlineStr">
        <is>
          <t>B</t>
        </is>
      </c>
      <c r="K295" s="3" t="inlineStr">
        <is>
          <t>Say nothing. If they bring it up, I'll deal with it then.</t>
        </is>
      </c>
      <c r="L295" s="3" t="n">
        <v>3</v>
      </c>
      <c r="M295" s="3" t="inlineStr"/>
      <c r="N295" s="3" t="n">
        <v>6</v>
      </c>
      <c r="O295" s="3" t="n">
        <v>6</v>
      </c>
      <c r="P295" s="3" t="n">
        <v>6</v>
      </c>
      <c r="Q295" s="3" t="inlineStr"/>
      <c r="R295" s="3" t="inlineStr"/>
      <c r="S295" s="3" t="inlineStr">
        <is>
          <t>Stonewaller</t>
        </is>
      </c>
      <c r="T295" s="3" t="n">
        <v>2</v>
      </c>
      <c r="U295" s="3" t="n">
        <v>4</v>
      </c>
      <c r="V295" s="3" t="inlineStr">
        <is>
          <t>masc:0.0;fem:0.0</t>
        </is>
      </c>
      <c r="W295" s="3" t="n">
        <v>0</v>
      </c>
      <c r="X295" s="3" t="n">
        <v>0</v>
      </c>
      <c r="Y295" s="3" t="inlineStr"/>
      <c r="Z295" s="3" t="inlineStr"/>
      <c r="AA295" s="3" t="inlineStr"/>
      <c r="AB295" s="3" t="inlineStr"/>
      <c r="AC295" s="3" t="inlineStr"/>
      <c r="AD295" s="3" t="inlineStr"/>
      <c r="AE295" s="3" t="n">
        <v>0</v>
      </c>
      <c r="AF295" s="3" t="inlineStr"/>
      <c r="AG295" s="3" t="inlineStr"/>
      <c r="AH295" s="3" t="n">
        <v>0</v>
      </c>
      <c r="AI295" s="3" t="inlineStr"/>
      <c r="AJ295" s="3" t="inlineStr">
        <is>
          <t>yes</t>
        </is>
      </c>
      <c r="AK295" s="3" t="inlineStr">
        <is>
          <t>no</t>
        </is>
      </c>
      <c r="AL295" s="3" t="inlineStr">
        <is>
          <t>no</t>
        </is>
      </c>
      <c r="AM295" s="3" t="inlineStr"/>
      <c r="AN295" s="3" t="inlineStr"/>
      <c r="AO295" s="3" t="inlineStr"/>
      <c r="AP295" s="3" t="inlineStr">
        <is>
          <t>v3_2026-03-19</t>
        </is>
      </c>
    </row>
    <row r="296">
      <c r="A296" s="3" t="inlineStr">
        <is>
          <t>Q58_C</t>
        </is>
      </c>
      <c r="B296" s="3" t="n">
        <v>58</v>
      </c>
      <c r="C296" s="3" t="n">
        <v>107</v>
      </c>
      <c r="D296" s="3" t="inlineStr">
        <is>
          <t>Shadow</t>
        </is>
      </c>
      <c r="E296" s="3" t="n">
        <v>1.35</v>
      </c>
      <c r="F296" s="3" t="inlineStr">
        <is>
          <t>ShadowPattern</t>
        </is>
      </c>
      <c r="G296" s="3" t="inlineStr">
        <is>
          <t>IntegrityRisk</t>
        </is>
      </c>
      <c r="H296" s="3" t="inlineStr"/>
      <c r="I296" s="3" t="inlineStr">
        <is>
          <t>C</t>
        </is>
      </c>
      <c r="J296" s="3" t="inlineStr">
        <is>
          <t>C</t>
        </is>
      </c>
      <c r="K296" s="3" t="inlineStr">
        <is>
          <t>Over-apologize, promise the world, and hope they feel how much I care.</t>
        </is>
      </c>
      <c r="L296" s="3" t="n">
        <v>5</v>
      </c>
      <c r="M296" s="3" t="inlineStr"/>
      <c r="N296" s="3" t="n">
        <v>4</v>
      </c>
      <c r="O296" s="3" t="n">
        <v>4</v>
      </c>
      <c r="P296" s="3" t="n">
        <v>4</v>
      </c>
      <c r="Q296" s="3" t="inlineStr"/>
      <c r="R296" s="3" t="inlineStr"/>
      <c r="S296" s="3" t="inlineStr">
        <is>
          <t>Love Bomber</t>
        </is>
      </c>
      <c r="T296" s="3" t="n">
        <v>3</v>
      </c>
      <c r="U296" s="3" t="n">
        <v>6</v>
      </c>
      <c r="V296" s="3" t="inlineStr">
        <is>
          <t>masc:0.0;fem:0.0</t>
        </is>
      </c>
      <c r="W296" s="3" t="n">
        <v>0</v>
      </c>
      <c r="X296" s="3" t="n">
        <v>0</v>
      </c>
      <c r="Y296" s="3" t="inlineStr"/>
      <c r="Z296" s="3" t="inlineStr"/>
      <c r="AA296" s="3" t="inlineStr"/>
      <c r="AB296" s="3" t="inlineStr"/>
      <c r="AC296" s="3" t="inlineStr"/>
      <c r="AD296" s="3" t="inlineStr"/>
      <c r="AE296" s="3" t="n">
        <v>0</v>
      </c>
      <c r="AF296" s="3" t="inlineStr"/>
      <c r="AG296" s="3" t="inlineStr"/>
      <c r="AH296" s="3" t="n">
        <v>0</v>
      </c>
      <c r="AI296" s="3" t="inlineStr"/>
      <c r="AJ296" s="3" t="inlineStr">
        <is>
          <t>no</t>
        </is>
      </c>
      <c r="AK296" s="3" t="inlineStr">
        <is>
          <t>no</t>
        </is>
      </c>
      <c r="AL296" s="3" t="inlineStr">
        <is>
          <t>no</t>
        </is>
      </c>
      <c r="AM296" s="3" t="inlineStr"/>
      <c r="AN296" s="3" t="inlineStr"/>
      <c r="AO296" s="3" t="inlineStr"/>
      <c r="AP296" s="3" t="inlineStr">
        <is>
          <t>v3_2026-03-19</t>
        </is>
      </c>
    </row>
    <row r="297">
      <c r="A297" s="3" t="inlineStr">
        <is>
          <t>Q58_D</t>
        </is>
      </c>
      <c r="B297" s="3" t="n">
        <v>58</v>
      </c>
      <c r="C297" s="3" t="n">
        <v>107</v>
      </c>
      <c r="D297" s="3" t="inlineStr">
        <is>
          <t>Shadow</t>
        </is>
      </c>
      <c r="E297" s="3" t="n">
        <v>1.35</v>
      </c>
      <c r="F297" s="3" t="inlineStr">
        <is>
          <t>ShadowPattern</t>
        </is>
      </c>
      <c r="G297" s="3" t="inlineStr">
        <is>
          <t>IntegrityRisk</t>
        </is>
      </c>
      <c r="H297" s="3" t="inlineStr"/>
      <c r="I297" s="3" t="inlineStr">
        <is>
          <t>D</t>
        </is>
      </c>
      <c r="J297" s="3" t="inlineStr">
        <is>
          <t>D</t>
        </is>
      </c>
      <c r="K297" s="3" t="inlineStr">
        <is>
          <t>Spin it into a joke or self-deprecating moment. Make it lighter than it feels.</t>
        </is>
      </c>
      <c r="L297" s="3" t="n">
        <v>6</v>
      </c>
      <c r="M297" s="3" t="inlineStr"/>
      <c r="N297" s="3" t="n">
        <v>4</v>
      </c>
      <c r="O297" s="3" t="n">
        <v>4</v>
      </c>
      <c r="P297" s="3" t="n">
        <v>4</v>
      </c>
      <c r="Q297" s="3" t="inlineStr"/>
      <c r="R297" s="3" t="inlineStr"/>
      <c r="S297" s="3" t="inlineStr">
        <is>
          <t>Chameleon</t>
        </is>
      </c>
      <c r="T297" s="3" t="n">
        <v>4</v>
      </c>
      <c r="U297" s="3" t="n">
        <v>6</v>
      </c>
      <c r="V297" s="3" t="inlineStr">
        <is>
          <t>masc:0.0;fem:0.0</t>
        </is>
      </c>
      <c r="W297" s="3" t="n">
        <v>0</v>
      </c>
      <c r="X297" s="3" t="n">
        <v>0</v>
      </c>
      <c r="Y297" s="3" t="inlineStr"/>
      <c r="Z297" s="3" t="inlineStr"/>
      <c r="AA297" s="3" t="inlineStr"/>
      <c r="AB297" s="3" t="inlineStr"/>
      <c r="AC297" s="3" t="inlineStr"/>
      <c r="AD297" s="3" t="inlineStr"/>
      <c r="AE297" s="3" t="n">
        <v>0</v>
      </c>
      <c r="AF297" s="3" t="inlineStr"/>
      <c r="AG297" s="3" t="inlineStr"/>
      <c r="AH297" s="3" t="n">
        <v>0</v>
      </c>
      <c r="AI297" s="3" t="inlineStr"/>
      <c r="AJ297" s="3" t="inlineStr">
        <is>
          <t>no</t>
        </is>
      </c>
      <c r="AK297" s="3" t="inlineStr">
        <is>
          <t>no</t>
        </is>
      </c>
      <c r="AL297" s="3" t="inlineStr">
        <is>
          <t>no</t>
        </is>
      </c>
      <c r="AM297" s="3" t="inlineStr"/>
      <c r="AN297" s="3" t="inlineStr"/>
      <c r="AO297" s="3" t="inlineStr"/>
      <c r="AP297" s="3" t="inlineStr">
        <is>
          <t>v3_2026-03-19</t>
        </is>
      </c>
    </row>
    <row r="298">
      <c r="A298" s="3" t="inlineStr">
        <is>
          <t>Q58_E</t>
        </is>
      </c>
      <c r="B298" s="3" t="n">
        <v>58</v>
      </c>
      <c r="C298" s="3" t="n">
        <v>107</v>
      </c>
      <c r="D298" s="3" t="inlineStr">
        <is>
          <t>Shadow</t>
        </is>
      </c>
      <c r="E298" s="3" t="n">
        <v>1.35</v>
      </c>
      <c r="F298" s="3" t="inlineStr">
        <is>
          <t>ShadowPattern</t>
        </is>
      </c>
      <c r="G298" s="3" t="inlineStr">
        <is>
          <t>IntegrityRisk</t>
        </is>
      </c>
      <c r="H298" s="3" t="inlineStr"/>
      <c r="I298" s="3" t="inlineStr">
        <is>
          <t>E</t>
        </is>
      </c>
      <c r="J298" s="3" t="inlineStr">
        <is>
          <t>E</t>
        </is>
      </c>
      <c r="K298" s="3" t="inlineStr">
        <is>
          <t>Remind them of how good I usually am. This one thing shouldn't weigh more than all I've given.</t>
        </is>
      </c>
      <c r="L298" s="3" t="n">
        <v>7</v>
      </c>
      <c r="M298" s="3" t="inlineStr"/>
      <c r="N298" s="3" t="n">
        <v>2</v>
      </c>
      <c r="O298" s="3" t="n">
        <v>2</v>
      </c>
      <c r="P298" s="3" t="n">
        <v>2</v>
      </c>
      <c r="Q298" s="3" t="inlineStr"/>
      <c r="R298" s="3" t="inlineStr"/>
      <c r="S298" s="3" t="inlineStr">
        <is>
          <t>Scorekeeper</t>
        </is>
      </c>
      <c r="T298" s="3" t="n">
        <v>5</v>
      </c>
      <c r="U298" s="3" t="n">
        <v>8</v>
      </c>
      <c r="V298" s="3" t="inlineStr">
        <is>
          <t>masc:0.0;fem:0.0</t>
        </is>
      </c>
      <c r="W298" s="3" t="n">
        <v>0</v>
      </c>
      <c r="X298" s="3" t="n">
        <v>0</v>
      </c>
      <c r="Y298" s="3" t="inlineStr"/>
      <c r="Z298" s="3" t="inlineStr"/>
      <c r="AA298" s="3" t="inlineStr"/>
      <c r="AB298" s="3" t="inlineStr"/>
      <c r="AC298" s="3" t="inlineStr"/>
      <c r="AD298" s="3" t="inlineStr"/>
      <c r="AE298" s="3" t="n">
        <v>0</v>
      </c>
      <c r="AF298" s="3" t="inlineStr"/>
      <c r="AG298" s="3" t="inlineStr"/>
      <c r="AH298" s="3" t="n">
        <v>0</v>
      </c>
      <c r="AI298" s="3" t="inlineStr"/>
      <c r="AJ298" s="3" t="inlineStr">
        <is>
          <t>no</t>
        </is>
      </c>
      <c r="AK298" s="3" t="inlineStr">
        <is>
          <t>no</t>
        </is>
      </c>
      <c r="AL298" s="3" t="inlineStr">
        <is>
          <t>no</t>
        </is>
      </c>
      <c r="AM298" s="3" t="inlineStr"/>
      <c r="AN298" s="3" t="inlineStr"/>
      <c r="AO298" s="3" t="inlineStr"/>
      <c r="AP298" s="3" t="inlineStr">
        <is>
          <t>v3_2026-03-19</t>
        </is>
      </c>
    </row>
    <row r="299">
      <c r="A299" s="3" t="inlineStr">
        <is>
          <t>Q58_F</t>
        </is>
      </c>
      <c r="B299" s="3" t="n">
        <v>58</v>
      </c>
      <c r="C299" s="3" t="n">
        <v>107</v>
      </c>
      <c r="D299" s="3" t="inlineStr">
        <is>
          <t>Shadow</t>
        </is>
      </c>
      <c r="E299" s="3" t="n">
        <v>1.35</v>
      </c>
      <c r="F299" s="3" t="inlineStr">
        <is>
          <t>ShadowPattern</t>
        </is>
      </c>
      <c r="G299" s="3" t="inlineStr">
        <is>
          <t>IntegrityRisk</t>
        </is>
      </c>
      <c r="H299" s="3" t="inlineStr"/>
      <c r="I299" s="3" t="inlineStr">
        <is>
          <t>F</t>
        </is>
      </c>
      <c r="J299" s="3" t="inlineStr">
        <is>
          <t>F</t>
        </is>
      </c>
      <c r="K299" s="3" t="inlineStr">
        <is>
          <t>Replay it in my head a hundred times, then decide they're better off without me.</t>
        </is>
      </c>
      <c r="L299" s="3" t="n">
        <v>8</v>
      </c>
      <c r="M299" s="3" t="inlineStr"/>
      <c r="N299" s="3" t="n">
        <v>2</v>
      </c>
      <c r="O299" s="3" t="n">
        <v>2</v>
      </c>
      <c r="P299" s="3" t="n">
        <v>2</v>
      </c>
      <c r="Q299" s="3" t="inlineStr"/>
      <c r="R299" s="3" t="inlineStr"/>
      <c r="S299" s="3" t="inlineStr">
        <is>
          <t>Self-Saboteur</t>
        </is>
      </c>
      <c r="T299" s="3" t="n">
        <v>6</v>
      </c>
      <c r="U299" s="3" t="n">
        <v>8</v>
      </c>
      <c r="V299" s="3" t="inlineStr">
        <is>
          <t>masc:0.0;fem:0.0</t>
        </is>
      </c>
      <c r="W299" s="3" t="n">
        <v>0</v>
      </c>
      <c r="X299" s="3" t="n">
        <v>0</v>
      </c>
      <c r="Y299" s="3" t="inlineStr"/>
      <c r="Z299" s="3" t="inlineStr"/>
      <c r="AA299" s="3" t="inlineStr"/>
      <c r="AB299" s="3" t="inlineStr"/>
      <c r="AC299" s="3" t="inlineStr"/>
      <c r="AD299" s="3" t="inlineStr"/>
      <c r="AE299" s="3" t="n">
        <v>0</v>
      </c>
      <c r="AF299" s="3" t="inlineStr"/>
      <c r="AG299" s="3" t="inlineStr"/>
      <c r="AH299" s="3" t="n">
        <v>0</v>
      </c>
      <c r="AI299" s="3" t="inlineStr"/>
      <c r="AJ299" s="3" t="inlineStr">
        <is>
          <t>no</t>
        </is>
      </c>
      <c r="AK299" s="3" t="inlineStr">
        <is>
          <t>no</t>
        </is>
      </c>
      <c r="AL299" s="3" t="inlineStr">
        <is>
          <t>no</t>
        </is>
      </c>
      <c r="AM299" s="3" t="inlineStr"/>
      <c r="AN299" s="3" t="inlineStr"/>
      <c r="AO299" s="3" t="inlineStr"/>
      <c r="AP299" s="3" t="inlineStr">
        <is>
          <t>v3_2026-03-19</t>
        </is>
      </c>
    </row>
    <row r="300">
      <c r="A300" s="3" t="inlineStr">
        <is>
          <t>Q59_A</t>
        </is>
      </c>
      <c r="B300" s="3" t="n">
        <v>59</v>
      </c>
      <c r="C300" s="3" t="n">
        <v>108</v>
      </c>
      <c r="D300" s="3" t="inlineStr">
        <is>
          <t>Shadow</t>
        </is>
      </c>
      <c r="E300" s="3" t="n">
        <v>1.4</v>
      </c>
      <c r="F300" s="3" t="inlineStr">
        <is>
          <t>ShadowPattern</t>
        </is>
      </c>
      <c r="G300" s="3" t="inlineStr">
        <is>
          <t>IntegrityRisk</t>
        </is>
      </c>
      <c r="H300" s="3" t="inlineStr">
        <is>
          <t>You're in a fight. It's heated, and you feel unseen. What comes out?</t>
        </is>
      </c>
      <c r="I300" s="3" t="inlineStr">
        <is>
          <t>A</t>
        </is>
      </c>
      <c r="J300" s="3" t="inlineStr">
        <is>
          <t>A</t>
        </is>
      </c>
      <c r="K300" s="3" t="inlineStr">
        <is>
          <t>Say something sharp that'll stick with them. They should feel what I feel.</t>
        </is>
      </c>
      <c r="L300" s="3" t="n">
        <v>4</v>
      </c>
      <c r="M300" s="3" t="inlineStr"/>
      <c r="N300" s="3" t="n">
        <v>4</v>
      </c>
      <c r="O300" s="3" t="n">
        <v>4</v>
      </c>
      <c r="P300" s="3" t="n">
        <v>4</v>
      </c>
      <c r="Q300" s="3" t="inlineStr"/>
      <c r="R300" s="3" t="inlineStr"/>
      <c r="S300" s="3" t="inlineStr">
        <is>
          <t>Manipulator</t>
        </is>
      </c>
      <c r="T300" s="3" t="n">
        <v>1</v>
      </c>
      <c r="U300" s="3" t="n">
        <v>6</v>
      </c>
      <c r="V300" s="3" t="inlineStr">
        <is>
          <t>masc:0.0;fem:0.0</t>
        </is>
      </c>
      <c r="W300" s="3" t="n">
        <v>0</v>
      </c>
      <c r="X300" s="3" t="n">
        <v>0</v>
      </c>
      <c r="Y300" s="3" t="inlineStr"/>
      <c r="Z300" s="3" t="inlineStr"/>
      <c r="AA300" s="3" t="inlineStr"/>
      <c r="AB300" s="3" t="inlineStr"/>
      <c r="AC300" s="3" t="inlineStr"/>
      <c r="AD300" s="3" t="inlineStr"/>
      <c r="AE300" s="3" t="n">
        <v>0</v>
      </c>
      <c r="AF300" s="3" t="inlineStr"/>
      <c r="AG300" s="3" t="inlineStr"/>
      <c r="AH300" s="3" t="n">
        <v>0</v>
      </c>
      <c r="AI300" s="3" t="inlineStr"/>
      <c r="AJ300" s="3" t="inlineStr">
        <is>
          <t>yes</t>
        </is>
      </c>
      <c r="AK300" s="3" t="inlineStr">
        <is>
          <t>no</t>
        </is>
      </c>
      <c r="AL300" s="3" t="inlineStr">
        <is>
          <t>no</t>
        </is>
      </c>
      <c r="AM300" s="3" t="inlineStr"/>
      <c r="AN300" s="3" t="inlineStr"/>
      <c r="AO300" s="3" t="inlineStr"/>
      <c r="AP300" s="3" t="inlineStr">
        <is>
          <t>v3_2026-03-19</t>
        </is>
      </c>
    </row>
    <row r="301">
      <c r="A301" s="3" t="inlineStr">
        <is>
          <t>Q59_B</t>
        </is>
      </c>
      <c r="B301" s="3" t="n">
        <v>59</v>
      </c>
      <c r="C301" s="3" t="n">
        <v>108</v>
      </c>
      <c r="D301" s="3" t="inlineStr">
        <is>
          <t>Shadow</t>
        </is>
      </c>
      <c r="E301" s="3" t="n">
        <v>1.4</v>
      </c>
      <c r="F301" s="3" t="inlineStr">
        <is>
          <t>ShadowPattern</t>
        </is>
      </c>
      <c r="G301" s="3" t="inlineStr">
        <is>
          <t>IntegrityRisk</t>
        </is>
      </c>
      <c r="H301" s="3" t="inlineStr"/>
      <c r="I301" s="3" t="inlineStr">
        <is>
          <t>B</t>
        </is>
      </c>
      <c r="J301" s="3" t="inlineStr">
        <is>
          <t>B</t>
        </is>
      </c>
      <c r="K301" s="3" t="inlineStr">
        <is>
          <t>Shut down completely. I won't give them more to twist.</t>
        </is>
      </c>
      <c r="L301" s="3" t="n">
        <v>3</v>
      </c>
      <c r="M301" s="3" t="inlineStr"/>
      <c r="N301" s="3" t="n">
        <v>6</v>
      </c>
      <c r="O301" s="3" t="n">
        <v>6</v>
      </c>
      <c r="P301" s="3" t="n">
        <v>6</v>
      </c>
      <c r="Q301" s="3" t="inlineStr"/>
      <c r="R301" s="3" t="inlineStr"/>
      <c r="S301" s="3" t="inlineStr">
        <is>
          <t>Stonewaller</t>
        </is>
      </c>
      <c r="T301" s="3" t="n">
        <v>2</v>
      </c>
      <c r="U301" s="3" t="n">
        <v>4</v>
      </c>
      <c r="V301" s="3" t="inlineStr">
        <is>
          <t>masc:0.0;fem:0.0</t>
        </is>
      </c>
      <c r="W301" s="3" t="n">
        <v>0</v>
      </c>
      <c r="X301" s="3" t="n">
        <v>0</v>
      </c>
      <c r="Y301" s="3" t="inlineStr"/>
      <c r="Z301" s="3" t="inlineStr"/>
      <c r="AA301" s="3" t="inlineStr"/>
      <c r="AB301" s="3" t="inlineStr"/>
      <c r="AC301" s="3" t="inlineStr"/>
      <c r="AD301" s="3" t="inlineStr"/>
      <c r="AE301" s="3" t="n">
        <v>0</v>
      </c>
      <c r="AF301" s="3" t="inlineStr"/>
      <c r="AG301" s="3" t="inlineStr"/>
      <c r="AH301" s="3" t="n">
        <v>0</v>
      </c>
      <c r="AI301" s="3" t="inlineStr"/>
      <c r="AJ301" s="3" t="inlineStr">
        <is>
          <t>yes</t>
        </is>
      </c>
      <c r="AK301" s="3" t="inlineStr">
        <is>
          <t>no</t>
        </is>
      </c>
      <c r="AL301" s="3" t="inlineStr">
        <is>
          <t>no</t>
        </is>
      </c>
      <c r="AM301" s="3" t="inlineStr"/>
      <c r="AN301" s="3" t="inlineStr"/>
      <c r="AO301" s="3" t="inlineStr"/>
      <c r="AP301" s="3" t="inlineStr">
        <is>
          <t>v3_2026-03-19</t>
        </is>
      </c>
    </row>
    <row r="302">
      <c r="A302" s="3" t="inlineStr">
        <is>
          <t>Q59_C</t>
        </is>
      </c>
      <c r="B302" s="3" t="n">
        <v>59</v>
      </c>
      <c r="C302" s="3" t="n">
        <v>108</v>
      </c>
      <c r="D302" s="3" t="inlineStr">
        <is>
          <t>Shadow</t>
        </is>
      </c>
      <c r="E302" s="3" t="n">
        <v>1.4</v>
      </c>
      <c r="F302" s="3" t="inlineStr">
        <is>
          <t>ShadowPattern</t>
        </is>
      </c>
      <c r="G302" s="3" t="inlineStr">
        <is>
          <t>IntegrityRisk</t>
        </is>
      </c>
      <c r="H302" s="3" t="inlineStr"/>
      <c r="I302" s="3" t="inlineStr">
        <is>
          <t>C</t>
        </is>
      </c>
      <c r="J302" s="3" t="inlineStr">
        <is>
          <t>C</t>
        </is>
      </c>
      <c r="K302" s="3" t="inlineStr">
        <is>
          <t>Beg, cry, confess everything, I just want them to see me.</t>
        </is>
      </c>
      <c r="L302" s="3" t="n">
        <v>5</v>
      </c>
      <c r="M302" s="3" t="inlineStr"/>
      <c r="N302" s="3" t="n">
        <v>4</v>
      </c>
      <c r="O302" s="3" t="n">
        <v>4</v>
      </c>
      <c r="P302" s="3" t="n">
        <v>4</v>
      </c>
      <c r="Q302" s="3" t="inlineStr"/>
      <c r="R302" s="3" t="inlineStr"/>
      <c r="S302" s="3" t="inlineStr">
        <is>
          <t>Love Bomber</t>
        </is>
      </c>
      <c r="T302" s="3" t="n">
        <v>3</v>
      </c>
      <c r="U302" s="3" t="n">
        <v>6</v>
      </c>
      <c r="V302" s="3" t="inlineStr">
        <is>
          <t>masc:0.0;fem:0.0</t>
        </is>
      </c>
      <c r="W302" s="3" t="n">
        <v>0</v>
      </c>
      <c r="X302" s="3" t="n">
        <v>0</v>
      </c>
      <c r="Y302" s="3" t="inlineStr"/>
      <c r="Z302" s="3" t="inlineStr"/>
      <c r="AA302" s="3" t="inlineStr"/>
      <c r="AB302" s="3" t="inlineStr"/>
      <c r="AC302" s="3" t="inlineStr"/>
      <c r="AD302" s="3" t="inlineStr"/>
      <c r="AE302" s="3" t="n">
        <v>0</v>
      </c>
      <c r="AF302" s="3" t="inlineStr"/>
      <c r="AG302" s="3" t="inlineStr"/>
      <c r="AH302" s="3" t="n">
        <v>0</v>
      </c>
      <c r="AI302" s="3" t="inlineStr"/>
      <c r="AJ302" s="3" t="inlineStr">
        <is>
          <t>no</t>
        </is>
      </c>
      <c r="AK302" s="3" t="inlineStr">
        <is>
          <t>no</t>
        </is>
      </c>
      <c r="AL302" s="3" t="inlineStr">
        <is>
          <t>no</t>
        </is>
      </c>
      <c r="AM302" s="3" t="inlineStr"/>
      <c r="AN302" s="3" t="inlineStr"/>
      <c r="AO302" s="3" t="inlineStr"/>
      <c r="AP302" s="3" t="inlineStr">
        <is>
          <t>v3_2026-03-19</t>
        </is>
      </c>
    </row>
    <row r="303">
      <c r="A303" s="3" t="inlineStr">
        <is>
          <t>Q59_D</t>
        </is>
      </c>
      <c r="B303" s="3" t="n">
        <v>59</v>
      </c>
      <c r="C303" s="3" t="n">
        <v>108</v>
      </c>
      <c r="D303" s="3" t="inlineStr">
        <is>
          <t>Shadow</t>
        </is>
      </c>
      <c r="E303" s="3" t="n">
        <v>1.4</v>
      </c>
      <c r="F303" s="3" t="inlineStr">
        <is>
          <t>ShadowPattern</t>
        </is>
      </c>
      <c r="G303" s="3" t="inlineStr">
        <is>
          <t>IntegrityRisk</t>
        </is>
      </c>
      <c r="H303" s="3" t="inlineStr"/>
      <c r="I303" s="3" t="inlineStr">
        <is>
          <t>D</t>
        </is>
      </c>
      <c r="J303" s="3" t="inlineStr">
        <is>
          <t>D</t>
        </is>
      </c>
      <c r="K303" s="3" t="inlineStr">
        <is>
          <t>Switch tones, change energy, find a way to make it stop, without fixing it.</t>
        </is>
      </c>
      <c r="L303" s="3" t="n">
        <v>6</v>
      </c>
      <c r="M303" s="3" t="inlineStr"/>
      <c r="N303" s="3" t="n">
        <v>4</v>
      </c>
      <c r="O303" s="3" t="n">
        <v>4</v>
      </c>
      <c r="P303" s="3" t="n">
        <v>4</v>
      </c>
      <c r="Q303" s="3" t="inlineStr"/>
      <c r="R303" s="3" t="inlineStr"/>
      <c r="S303" s="3" t="inlineStr">
        <is>
          <t>Chameleon</t>
        </is>
      </c>
      <c r="T303" s="3" t="n">
        <v>4</v>
      </c>
      <c r="U303" s="3" t="n">
        <v>6</v>
      </c>
      <c r="V303" s="3" t="inlineStr">
        <is>
          <t>masc:0.0;fem:0.0</t>
        </is>
      </c>
      <c r="W303" s="3" t="n">
        <v>0</v>
      </c>
      <c r="X303" s="3" t="n">
        <v>0</v>
      </c>
      <c r="Y303" s="3" t="inlineStr"/>
      <c r="Z303" s="3" t="inlineStr"/>
      <c r="AA303" s="3" t="inlineStr"/>
      <c r="AB303" s="3" t="inlineStr"/>
      <c r="AC303" s="3" t="inlineStr"/>
      <c r="AD303" s="3" t="inlineStr"/>
      <c r="AE303" s="3" t="n">
        <v>0</v>
      </c>
      <c r="AF303" s="3" t="inlineStr"/>
      <c r="AG303" s="3" t="inlineStr"/>
      <c r="AH303" s="3" t="n">
        <v>0</v>
      </c>
      <c r="AI303" s="3" t="inlineStr"/>
      <c r="AJ303" s="3" t="inlineStr">
        <is>
          <t>no</t>
        </is>
      </c>
      <c r="AK303" s="3" t="inlineStr">
        <is>
          <t>no</t>
        </is>
      </c>
      <c r="AL303" s="3" t="inlineStr">
        <is>
          <t>no</t>
        </is>
      </c>
      <c r="AM303" s="3" t="inlineStr"/>
      <c r="AN303" s="3" t="inlineStr"/>
      <c r="AO303" s="3" t="inlineStr"/>
      <c r="AP303" s="3" t="inlineStr">
        <is>
          <t>v3_2026-03-19</t>
        </is>
      </c>
    </row>
    <row r="304">
      <c r="A304" s="3" t="inlineStr">
        <is>
          <t>Q59_E</t>
        </is>
      </c>
      <c r="B304" s="3" t="n">
        <v>59</v>
      </c>
      <c r="C304" s="3" t="n">
        <v>108</v>
      </c>
      <c r="D304" s="3" t="inlineStr">
        <is>
          <t>Shadow</t>
        </is>
      </c>
      <c r="E304" s="3" t="n">
        <v>1.4</v>
      </c>
      <c r="F304" s="3" t="inlineStr">
        <is>
          <t>ShadowPattern</t>
        </is>
      </c>
      <c r="G304" s="3" t="inlineStr">
        <is>
          <t>IntegrityRisk</t>
        </is>
      </c>
      <c r="H304" s="3" t="inlineStr"/>
      <c r="I304" s="3" t="inlineStr">
        <is>
          <t>E</t>
        </is>
      </c>
      <c r="J304" s="3" t="inlineStr">
        <is>
          <t>E</t>
        </is>
      </c>
      <c r="K304" s="3" t="inlineStr">
        <is>
          <t>Bring up all the other times they've done this. It's never just about now.</t>
        </is>
      </c>
      <c r="L304" s="3" t="n">
        <v>7</v>
      </c>
      <c r="M304" s="3" t="inlineStr"/>
      <c r="N304" s="3" t="n">
        <v>2</v>
      </c>
      <c r="O304" s="3" t="n">
        <v>2</v>
      </c>
      <c r="P304" s="3" t="n">
        <v>2</v>
      </c>
      <c r="Q304" s="3" t="inlineStr"/>
      <c r="R304" s="3" t="inlineStr"/>
      <c r="S304" s="3" t="inlineStr">
        <is>
          <t>Scorekeeper</t>
        </is>
      </c>
      <c r="T304" s="3" t="n">
        <v>5</v>
      </c>
      <c r="U304" s="3" t="n">
        <v>8</v>
      </c>
      <c r="V304" s="3" t="inlineStr">
        <is>
          <t>masc:0.0;fem:0.0</t>
        </is>
      </c>
      <c r="W304" s="3" t="n">
        <v>0</v>
      </c>
      <c r="X304" s="3" t="n">
        <v>0</v>
      </c>
      <c r="Y304" s="3" t="inlineStr"/>
      <c r="Z304" s="3" t="inlineStr"/>
      <c r="AA304" s="3" t="inlineStr"/>
      <c r="AB304" s="3" t="inlineStr"/>
      <c r="AC304" s="3" t="inlineStr"/>
      <c r="AD304" s="3" t="inlineStr"/>
      <c r="AE304" s="3" t="n">
        <v>0</v>
      </c>
      <c r="AF304" s="3" t="inlineStr"/>
      <c r="AG304" s="3" t="inlineStr"/>
      <c r="AH304" s="3" t="n">
        <v>0</v>
      </c>
      <c r="AI304" s="3" t="inlineStr"/>
      <c r="AJ304" s="3" t="inlineStr">
        <is>
          <t>no</t>
        </is>
      </c>
      <c r="AK304" s="3" t="inlineStr">
        <is>
          <t>no</t>
        </is>
      </c>
      <c r="AL304" s="3" t="inlineStr">
        <is>
          <t>no</t>
        </is>
      </c>
      <c r="AM304" s="3" t="inlineStr"/>
      <c r="AN304" s="3" t="inlineStr"/>
      <c r="AO304" s="3" t="inlineStr"/>
      <c r="AP304" s="3" t="inlineStr">
        <is>
          <t>v3_2026-03-19</t>
        </is>
      </c>
    </row>
    <row r="305">
      <c r="A305" s="3" t="inlineStr">
        <is>
          <t>Q59_F</t>
        </is>
      </c>
      <c r="B305" s="3" t="n">
        <v>59</v>
      </c>
      <c r="C305" s="3" t="n">
        <v>108</v>
      </c>
      <c r="D305" s="3" t="inlineStr">
        <is>
          <t>Shadow</t>
        </is>
      </c>
      <c r="E305" s="3" t="n">
        <v>1.4</v>
      </c>
      <c r="F305" s="3" t="inlineStr">
        <is>
          <t>ShadowPattern</t>
        </is>
      </c>
      <c r="G305" s="3" t="inlineStr">
        <is>
          <t>IntegrityRisk</t>
        </is>
      </c>
      <c r="H305" s="3" t="inlineStr"/>
      <c r="I305" s="3" t="inlineStr">
        <is>
          <t>F</t>
        </is>
      </c>
      <c r="J305" s="3" t="inlineStr">
        <is>
          <t>F</t>
        </is>
      </c>
      <c r="K305" s="3" t="inlineStr">
        <is>
          <t>Tell myself I was wrong for speaking up in the first place.</t>
        </is>
      </c>
      <c r="L305" s="3" t="n">
        <v>8</v>
      </c>
      <c r="M305" s="3" t="inlineStr"/>
      <c r="N305" s="3" t="n">
        <v>2</v>
      </c>
      <c r="O305" s="3" t="n">
        <v>2</v>
      </c>
      <c r="P305" s="3" t="n">
        <v>2</v>
      </c>
      <c r="Q305" s="3" t="inlineStr"/>
      <c r="R305" s="3" t="inlineStr"/>
      <c r="S305" s="3" t="inlineStr">
        <is>
          <t>Self-Saboteur</t>
        </is>
      </c>
      <c r="T305" s="3" t="n">
        <v>6</v>
      </c>
      <c r="U305" s="3" t="n">
        <v>8</v>
      </c>
      <c r="V305" s="3" t="inlineStr">
        <is>
          <t>masc:0.0;fem:0.0</t>
        </is>
      </c>
      <c r="W305" s="3" t="n">
        <v>0</v>
      </c>
      <c r="X305" s="3" t="n">
        <v>0</v>
      </c>
      <c r="Y305" s="3" t="inlineStr"/>
      <c r="Z305" s="3" t="inlineStr"/>
      <c r="AA305" s="3" t="inlineStr"/>
      <c r="AB305" s="3" t="inlineStr"/>
      <c r="AC305" s="3" t="inlineStr"/>
      <c r="AD305" s="3" t="inlineStr"/>
      <c r="AE305" s="3" t="n">
        <v>0</v>
      </c>
      <c r="AF305" s="3" t="inlineStr"/>
      <c r="AG305" s="3" t="inlineStr"/>
      <c r="AH305" s="3" t="n">
        <v>0</v>
      </c>
      <c r="AI305" s="3" t="inlineStr"/>
      <c r="AJ305" s="3" t="inlineStr">
        <is>
          <t>no</t>
        </is>
      </c>
      <c r="AK305" s="3" t="inlineStr">
        <is>
          <t>no</t>
        </is>
      </c>
      <c r="AL305" s="3" t="inlineStr">
        <is>
          <t>no</t>
        </is>
      </c>
      <c r="AM305" s="3" t="inlineStr"/>
      <c r="AN305" s="3" t="inlineStr"/>
      <c r="AO305" s="3" t="inlineStr"/>
      <c r="AP305" s="3" t="inlineStr">
        <is>
          <t>v3_2026-03-19</t>
        </is>
      </c>
    </row>
    <row r="306">
      <c r="A306" s="3" t="inlineStr">
        <is>
          <t>Q60_A</t>
        </is>
      </c>
      <c r="B306" s="3" t="n">
        <v>60</v>
      </c>
      <c r="C306" s="3" t="n">
        <v>109</v>
      </c>
      <c r="D306" s="3" t="inlineStr">
        <is>
          <t>Shadow</t>
        </is>
      </c>
      <c r="E306" s="3" t="n">
        <v>1.4</v>
      </c>
      <c r="F306" s="3" t="inlineStr">
        <is>
          <t>ShadowPattern</t>
        </is>
      </c>
      <c r="G306" s="3" t="inlineStr">
        <is>
          <t>IntegrityRisk</t>
        </is>
      </c>
      <c r="H306" s="3" t="inlineStr">
        <is>
          <t>You feel something deeply but aren't sure if they'll understand. What do you do?</t>
        </is>
      </c>
      <c r="I306" s="3" t="inlineStr">
        <is>
          <t>A</t>
        </is>
      </c>
      <c r="J306" s="3" t="inlineStr">
        <is>
          <t>A</t>
        </is>
      </c>
      <c r="K306" s="3" t="inlineStr">
        <is>
          <t>Say it in a way that makes them feel guilty if they don't respond how I want.</t>
        </is>
      </c>
      <c r="L306" s="3" t="n">
        <v>4</v>
      </c>
      <c r="M306" s="3" t="inlineStr"/>
      <c r="N306" s="3" t="n">
        <v>4</v>
      </c>
      <c r="O306" s="3" t="n">
        <v>4</v>
      </c>
      <c r="P306" s="3" t="n">
        <v>4</v>
      </c>
      <c r="Q306" s="3" t="inlineStr"/>
      <c r="R306" s="3" t="inlineStr"/>
      <c r="S306" s="3" t="inlineStr">
        <is>
          <t>Manipulator</t>
        </is>
      </c>
      <c r="T306" s="3" t="n">
        <v>1</v>
      </c>
      <c r="U306" s="3" t="n">
        <v>6</v>
      </c>
      <c r="V306" s="3" t="inlineStr">
        <is>
          <t>masc:0.0;fem:0.0</t>
        </is>
      </c>
      <c r="W306" s="3" t="n">
        <v>0</v>
      </c>
      <c r="X306" s="3" t="n">
        <v>0</v>
      </c>
      <c r="Y306" s="3" t="inlineStr"/>
      <c r="Z306" s="3" t="inlineStr"/>
      <c r="AA306" s="3" t="inlineStr"/>
      <c r="AB306" s="3" t="inlineStr"/>
      <c r="AC306" s="3" t="inlineStr"/>
      <c r="AD306" s="3" t="inlineStr"/>
      <c r="AE306" s="3" t="n">
        <v>0</v>
      </c>
      <c r="AF306" s="3" t="inlineStr"/>
      <c r="AG306" s="3" t="inlineStr"/>
      <c r="AH306" s="3" t="n">
        <v>0.6</v>
      </c>
      <c r="AI306" s="3" t="inlineStr"/>
      <c r="AJ306" s="3" t="inlineStr">
        <is>
          <t>yes</t>
        </is>
      </c>
      <c r="AK306" s="3" t="inlineStr">
        <is>
          <t>no</t>
        </is>
      </c>
      <c r="AL306" s="3" t="inlineStr">
        <is>
          <t>no</t>
        </is>
      </c>
      <c r="AM306" s="3" t="inlineStr"/>
      <c r="AN306" s="3" t="inlineStr"/>
      <c r="AO306" s="3" t="inlineStr"/>
      <c r="AP306" s="3" t="inlineStr">
        <is>
          <t>v3_2026-03-19</t>
        </is>
      </c>
    </row>
    <row r="307">
      <c r="A307" s="3" t="inlineStr">
        <is>
          <t>Q60_B</t>
        </is>
      </c>
      <c r="B307" s="3" t="n">
        <v>60</v>
      </c>
      <c r="C307" s="3" t="n">
        <v>109</v>
      </c>
      <c r="D307" s="3" t="inlineStr">
        <is>
          <t>Shadow</t>
        </is>
      </c>
      <c r="E307" s="3" t="n">
        <v>1.4</v>
      </c>
      <c r="F307" s="3" t="inlineStr">
        <is>
          <t>ShadowPattern</t>
        </is>
      </c>
      <c r="G307" s="3" t="inlineStr">
        <is>
          <t>IntegrityRisk</t>
        </is>
      </c>
      <c r="H307" s="3" t="inlineStr"/>
      <c r="I307" s="3" t="inlineStr">
        <is>
          <t>B</t>
        </is>
      </c>
      <c r="J307" s="3" t="inlineStr">
        <is>
          <t>B</t>
        </is>
      </c>
      <c r="K307" s="3" t="inlineStr">
        <is>
          <t>Keep it in. If I say it and it's not received right, I'll never say it again</t>
        </is>
      </c>
      <c r="L307" s="3" t="n">
        <v>3</v>
      </c>
      <c r="M307" s="3" t="inlineStr"/>
      <c r="N307" s="3" t="n">
        <v>6</v>
      </c>
      <c r="O307" s="3" t="n">
        <v>6</v>
      </c>
      <c r="P307" s="3" t="n">
        <v>6</v>
      </c>
      <c r="Q307" s="3" t="inlineStr"/>
      <c r="R307" s="3" t="inlineStr"/>
      <c r="S307" s="3" t="inlineStr">
        <is>
          <t>Stonewaller</t>
        </is>
      </c>
      <c r="T307" s="3" t="n">
        <v>2</v>
      </c>
      <c r="U307" s="3" t="n">
        <v>4</v>
      </c>
      <c r="V307" s="3" t="inlineStr">
        <is>
          <t>masc:0.0;fem:0.0</t>
        </is>
      </c>
      <c r="W307" s="3" t="n">
        <v>0</v>
      </c>
      <c r="X307" s="3" t="n">
        <v>0</v>
      </c>
      <c r="Y307" s="3" t="inlineStr"/>
      <c r="Z307" s="3" t="inlineStr"/>
      <c r="AA307" s="3" t="inlineStr"/>
      <c r="AB307" s="3" t="inlineStr"/>
      <c r="AC307" s="3" t="inlineStr"/>
      <c r="AD307" s="3" t="inlineStr"/>
      <c r="AE307" s="3" t="n">
        <v>0</v>
      </c>
      <c r="AF307" s="3" t="inlineStr"/>
      <c r="AG307" s="3" t="inlineStr"/>
      <c r="AH307" s="3" t="n">
        <v>0</v>
      </c>
      <c r="AI307" s="3" t="inlineStr"/>
      <c r="AJ307" s="3" t="inlineStr">
        <is>
          <t>yes</t>
        </is>
      </c>
      <c r="AK307" s="3" t="inlineStr">
        <is>
          <t>no</t>
        </is>
      </c>
      <c r="AL307" s="3" t="inlineStr">
        <is>
          <t>no</t>
        </is>
      </c>
      <c r="AM307" s="3" t="inlineStr"/>
      <c r="AN307" s="3" t="inlineStr"/>
      <c r="AO307" s="3" t="inlineStr"/>
      <c r="AP307" s="3" t="inlineStr">
        <is>
          <t>v3_2026-03-19</t>
        </is>
      </c>
    </row>
    <row r="308">
      <c r="A308" s="3" t="inlineStr">
        <is>
          <t>Q60_C</t>
        </is>
      </c>
      <c r="B308" s="3" t="n">
        <v>60</v>
      </c>
      <c r="C308" s="3" t="n">
        <v>109</v>
      </c>
      <c r="D308" s="3" t="inlineStr">
        <is>
          <t>Shadow</t>
        </is>
      </c>
      <c r="E308" s="3" t="n">
        <v>1.4</v>
      </c>
      <c r="F308" s="3" t="inlineStr">
        <is>
          <t>ShadowPattern</t>
        </is>
      </c>
      <c r="G308" s="3" t="inlineStr">
        <is>
          <t>IntegrityRisk</t>
        </is>
      </c>
      <c r="H308" s="3" t="inlineStr"/>
      <c r="I308" s="3" t="inlineStr">
        <is>
          <t>C</t>
        </is>
      </c>
      <c r="J308" s="3" t="inlineStr">
        <is>
          <t>C</t>
        </is>
      </c>
      <c r="K308" s="3" t="inlineStr">
        <is>
          <t>Say it big and fast, love, dreams, everything. I want it all out there before I lose my nerve</t>
        </is>
      </c>
      <c r="L308" s="3" t="n">
        <v>5</v>
      </c>
      <c r="M308" s="3" t="inlineStr"/>
      <c r="N308" s="3" t="n">
        <v>4</v>
      </c>
      <c r="O308" s="3" t="n">
        <v>4</v>
      </c>
      <c r="P308" s="3" t="n">
        <v>4</v>
      </c>
      <c r="Q308" s="3" t="inlineStr"/>
      <c r="R308" s="3" t="inlineStr"/>
      <c r="S308" s="3" t="inlineStr">
        <is>
          <t>Love Bomber</t>
        </is>
      </c>
      <c r="T308" s="3" t="n">
        <v>3</v>
      </c>
      <c r="U308" s="3" t="n">
        <v>6</v>
      </c>
      <c r="V308" s="3" t="inlineStr">
        <is>
          <t>masc:0.0;fem:0.0</t>
        </is>
      </c>
      <c r="W308" s="3" t="n">
        <v>0</v>
      </c>
      <c r="X308" s="3" t="n">
        <v>0</v>
      </c>
      <c r="Y308" s="3" t="inlineStr"/>
      <c r="Z308" s="3" t="inlineStr"/>
      <c r="AA308" s="3" t="inlineStr"/>
      <c r="AB308" s="3" t="inlineStr"/>
      <c r="AC308" s="3" t="inlineStr"/>
      <c r="AD308" s="3" t="inlineStr"/>
      <c r="AE308" s="3" t="n">
        <v>0</v>
      </c>
      <c r="AF308" s="3" t="inlineStr"/>
      <c r="AG308" s="3" t="inlineStr"/>
      <c r="AH308" s="3" t="n">
        <v>0</v>
      </c>
      <c r="AI308" s="3" t="inlineStr"/>
      <c r="AJ308" s="3" t="inlineStr">
        <is>
          <t>no</t>
        </is>
      </c>
      <c r="AK308" s="3" t="inlineStr">
        <is>
          <t>no</t>
        </is>
      </c>
      <c r="AL308" s="3" t="inlineStr">
        <is>
          <t>no</t>
        </is>
      </c>
      <c r="AM308" s="3" t="inlineStr"/>
      <c r="AN308" s="3" t="inlineStr"/>
      <c r="AO308" s="3" t="inlineStr"/>
      <c r="AP308" s="3" t="inlineStr">
        <is>
          <t>v3_2026-03-19</t>
        </is>
      </c>
    </row>
    <row r="309">
      <c r="A309" s="3" t="inlineStr">
        <is>
          <t>Q60_D</t>
        </is>
      </c>
      <c r="B309" s="3" t="n">
        <v>60</v>
      </c>
      <c r="C309" s="3" t="n">
        <v>109</v>
      </c>
      <c r="D309" s="3" t="inlineStr">
        <is>
          <t>Shadow</t>
        </is>
      </c>
      <c r="E309" s="3" t="n">
        <v>1.4</v>
      </c>
      <c r="F309" s="3" t="inlineStr">
        <is>
          <t>ShadowPattern</t>
        </is>
      </c>
      <c r="G309" s="3" t="inlineStr">
        <is>
          <t>IntegrityRisk</t>
        </is>
      </c>
      <c r="H309" s="3" t="inlineStr"/>
      <c r="I309" s="3" t="inlineStr">
        <is>
          <t>D</t>
        </is>
      </c>
      <c r="J309" s="3" t="inlineStr">
        <is>
          <t>D</t>
        </is>
      </c>
      <c r="K309" s="3" t="inlineStr">
        <is>
          <t>Shift tone, play it off, hint at it. If they're paying attention, they'll get it.</t>
        </is>
      </c>
      <c r="L309" s="3" t="n">
        <v>6</v>
      </c>
      <c r="M309" s="3" t="inlineStr"/>
      <c r="N309" s="3" t="n">
        <v>4</v>
      </c>
      <c r="O309" s="3" t="n">
        <v>4</v>
      </c>
      <c r="P309" s="3" t="n">
        <v>4</v>
      </c>
      <c r="Q309" s="3" t="inlineStr"/>
      <c r="R309" s="3" t="inlineStr"/>
      <c r="S309" s="3" t="inlineStr">
        <is>
          <t>Chameleon</t>
        </is>
      </c>
      <c r="T309" s="3" t="n">
        <v>4</v>
      </c>
      <c r="U309" s="3" t="n">
        <v>6</v>
      </c>
      <c r="V309" s="3" t="inlineStr">
        <is>
          <t>masc:0.0;fem:0.0</t>
        </is>
      </c>
      <c r="W309" s="3" t="n">
        <v>0</v>
      </c>
      <c r="X309" s="3" t="n">
        <v>0</v>
      </c>
      <c r="Y309" s="3" t="inlineStr"/>
      <c r="Z309" s="3" t="inlineStr"/>
      <c r="AA309" s="3" t="inlineStr"/>
      <c r="AB309" s="3" t="inlineStr"/>
      <c r="AC309" s="3" t="inlineStr"/>
      <c r="AD309" s="3" t="inlineStr"/>
      <c r="AE309" s="3" t="n">
        <v>0</v>
      </c>
      <c r="AF309" s="3" t="inlineStr"/>
      <c r="AG309" s="3" t="inlineStr"/>
      <c r="AH309" s="3" t="n">
        <v>0</v>
      </c>
      <c r="AI309" s="3" t="inlineStr"/>
      <c r="AJ309" s="3" t="inlineStr">
        <is>
          <t>no</t>
        </is>
      </c>
      <c r="AK309" s="3" t="inlineStr">
        <is>
          <t>no</t>
        </is>
      </c>
      <c r="AL309" s="3" t="inlineStr">
        <is>
          <t>no</t>
        </is>
      </c>
      <c r="AM309" s="3" t="inlineStr"/>
      <c r="AN309" s="3" t="inlineStr"/>
      <c r="AO309" s="3" t="inlineStr"/>
      <c r="AP309" s="3" t="inlineStr">
        <is>
          <t>v3_2026-03-19</t>
        </is>
      </c>
    </row>
    <row r="310">
      <c r="A310" s="3" t="inlineStr">
        <is>
          <t>Q60_E</t>
        </is>
      </c>
      <c r="B310" s="3" t="n">
        <v>60</v>
      </c>
      <c r="C310" s="3" t="n">
        <v>109</v>
      </c>
      <c r="D310" s="3" t="inlineStr">
        <is>
          <t>Shadow</t>
        </is>
      </c>
      <c r="E310" s="3" t="n">
        <v>1.4</v>
      </c>
      <c r="F310" s="3" t="inlineStr">
        <is>
          <t>ShadowPattern</t>
        </is>
      </c>
      <c r="G310" s="3" t="inlineStr">
        <is>
          <t>IntegrityRisk</t>
        </is>
      </c>
      <c r="H310" s="3" t="inlineStr"/>
      <c r="I310" s="3" t="inlineStr">
        <is>
          <t>E</t>
        </is>
      </c>
      <c r="J310" s="3" t="inlineStr">
        <is>
          <t>E</t>
        </is>
      </c>
      <c r="K310" s="3" t="inlineStr">
        <is>
          <t>Test them. I'll bring up something emotional they did and watch how they handle it.</t>
        </is>
      </c>
      <c r="L310" s="3" t="n">
        <v>7</v>
      </c>
      <c r="M310" s="3" t="inlineStr"/>
      <c r="N310" s="3" t="n">
        <v>2</v>
      </c>
      <c r="O310" s="3" t="n">
        <v>2</v>
      </c>
      <c r="P310" s="3" t="n">
        <v>2</v>
      </c>
      <c r="Q310" s="3" t="inlineStr"/>
      <c r="R310" s="3" t="inlineStr"/>
      <c r="S310" s="3" t="inlineStr">
        <is>
          <t>Scorekeeper</t>
        </is>
      </c>
      <c r="T310" s="3" t="n">
        <v>5</v>
      </c>
      <c r="U310" s="3" t="n">
        <v>8</v>
      </c>
      <c r="V310" s="3" t="inlineStr">
        <is>
          <t>masc:0.0;fem:0.0</t>
        </is>
      </c>
      <c r="W310" s="3" t="n">
        <v>0</v>
      </c>
      <c r="X310" s="3" t="n">
        <v>0</v>
      </c>
      <c r="Y310" s="3" t="inlineStr"/>
      <c r="Z310" s="3" t="inlineStr"/>
      <c r="AA310" s="3" t="inlineStr"/>
      <c r="AB310" s="3" t="inlineStr"/>
      <c r="AC310" s="3" t="inlineStr"/>
      <c r="AD310" s="3" t="inlineStr"/>
      <c r="AE310" s="3" t="n">
        <v>0</v>
      </c>
      <c r="AF310" s="3" t="inlineStr"/>
      <c r="AG310" s="3" t="inlineStr"/>
      <c r="AH310" s="3" t="n">
        <v>0.6</v>
      </c>
      <c r="AI310" s="3" t="inlineStr"/>
      <c r="AJ310" s="3" t="inlineStr">
        <is>
          <t>no</t>
        </is>
      </c>
      <c r="AK310" s="3" t="inlineStr">
        <is>
          <t>no</t>
        </is>
      </c>
      <c r="AL310" s="3" t="inlineStr">
        <is>
          <t>no</t>
        </is>
      </c>
      <c r="AM310" s="3" t="inlineStr"/>
      <c r="AN310" s="3" t="inlineStr"/>
      <c r="AO310" s="3" t="inlineStr"/>
      <c r="AP310" s="3" t="inlineStr">
        <is>
          <t>v3_2026-03-19</t>
        </is>
      </c>
    </row>
    <row r="311">
      <c r="A311" s="3" t="inlineStr">
        <is>
          <t>Q60_F</t>
        </is>
      </c>
      <c r="B311" s="3" t="n">
        <v>60</v>
      </c>
      <c r="C311" s="3" t="n">
        <v>109</v>
      </c>
      <c r="D311" s="3" t="inlineStr">
        <is>
          <t>Shadow</t>
        </is>
      </c>
      <c r="E311" s="3" t="n">
        <v>1.4</v>
      </c>
      <c r="F311" s="3" t="inlineStr">
        <is>
          <t>ShadowPattern</t>
        </is>
      </c>
      <c r="G311" s="3" t="inlineStr">
        <is>
          <t>IntegrityRisk</t>
        </is>
      </c>
      <c r="H311" s="3" t="inlineStr"/>
      <c r="I311" s="3" t="inlineStr">
        <is>
          <t>F</t>
        </is>
      </c>
      <c r="J311" s="3" t="inlineStr">
        <is>
          <t>F</t>
        </is>
      </c>
      <c r="K311" s="3" t="inlineStr">
        <is>
          <t>Assume they won't get it... and quietly start distancing to protect myself.</t>
        </is>
      </c>
      <c r="L311" s="3" t="n">
        <v>8</v>
      </c>
      <c r="M311" s="3" t="inlineStr"/>
      <c r="N311" s="3" t="n">
        <v>2</v>
      </c>
      <c r="O311" s="3" t="n">
        <v>2</v>
      </c>
      <c r="P311" s="3" t="n">
        <v>2</v>
      </c>
      <c r="Q311" s="3" t="inlineStr"/>
      <c r="R311" s="3" t="inlineStr"/>
      <c r="S311" s="3" t="inlineStr">
        <is>
          <t>Self-Saboteur</t>
        </is>
      </c>
      <c r="T311" s="3" t="n">
        <v>6</v>
      </c>
      <c r="U311" s="3" t="n">
        <v>8</v>
      </c>
      <c r="V311" s="3" t="inlineStr">
        <is>
          <t>masc:0.0;fem:0.0</t>
        </is>
      </c>
      <c r="W311" s="3" t="n">
        <v>0</v>
      </c>
      <c r="X311" s="3" t="n">
        <v>0</v>
      </c>
      <c r="Y311" s="3" t="inlineStr"/>
      <c r="Z311" s="3" t="inlineStr"/>
      <c r="AA311" s="3" t="inlineStr"/>
      <c r="AB311" s="3" t="inlineStr"/>
      <c r="AC311" s="3" t="inlineStr"/>
      <c r="AD311" s="3" t="inlineStr"/>
      <c r="AE311" s="3" t="n">
        <v>0</v>
      </c>
      <c r="AF311" s="3" t="inlineStr"/>
      <c r="AG311" s="3" t="inlineStr"/>
      <c r="AH311" s="3" t="n">
        <v>0</v>
      </c>
      <c r="AI311" s="3" t="inlineStr"/>
      <c r="AJ311" s="3" t="inlineStr">
        <is>
          <t>no</t>
        </is>
      </c>
      <c r="AK311" s="3" t="inlineStr">
        <is>
          <t>no</t>
        </is>
      </c>
      <c r="AL311" s="3" t="inlineStr">
        <is>
          <t>no</t>
        </is>
      </c>
      <c r="AM311" s="3" t="inlineStr"/>
      <c r="AN311" s="3" t="inlineStr"/>
      <c r="AO311" s="3" t="inlineStr"/>
      <c r="AP311" s="3" t="inlineStr">
        <is>
          <t>v3_2026-03-19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.75" customWidth="1" min="3" max="3"/>
  </cols>
  <sheetData>
    <row r="1">
      <c r="A1" s="2" t="inlineStr">
        <is>
          <t>q</t>
        </is>
      </c>
      <c r="B1" s="2" t="inlineStr">
        <is>
          <t>phase</t>
        </is>
      </c>
      <c r="C1" s="2" t="inlineStr">
        <is>
          <t>question_weight</t>
        </is>
      </c>
    </row>
    <row r="2">
      <c r="A2" s="3" t="n">
        <v>1</v>
      </c>
      <c r="B2" s="3" t="inlineStr">
        <is>
          <t>Core</t>
        </is>
      </c>
      <c r="C2" s="3" t="n">
        <v>1</v>
      </c>
    </row>
    <row r="3">
      <c r="A3" s="3" t="n">
        <v>2</v>
      </c>
      <c r="B3" s="3" t="inlineStr">
        <is>
          <t>Core</t>
        </is>
      </c>
      <c r="C3" s="3" t="n">
        <v>1</v>
      </c>
    </row>
    <row r="4">
      <c r="A4" s="3" t="n">
        <v>3</v>
      </c>
      <c r="B4" s="3" t="inlineStr">
        <is>
          <t>Core</t>
        </is>
      </c>
      <c r="C4" s="3" t="n">
        <v>1</v>
      </c>
    </row>
    <row r="5">
      <c r="A5" s="3" t="n">
        <v>4</v>
      </c>
      <c r="B5" s="3" t="inlineStr">
        <is>
          <t>Core</t>
        </is>
      </c>
      <c r="C5" s="3" t="n">
        <v>1</v>
      </c>
    </row>
    <row r="6">
      <c r="A6" s="3" t="n">
        <v>5</v>
      </c>
      <c r="B6" s="3" t="inlineStr">
        <is>
          <t>Core</t>
        </is>
      </c>
      <c r="C6" s="3" t="n">
        <v>1</v>
      </c>
    </row>
    <row r="7">
      <c r="A7" s="3" t="n">
        <v>6</v>
      </c>
      <c r="B7" s="3" t="inlineStr">
        <is>
          <t>Core</t>
        </is>
      </c>
      <c r="C7" s="3" t="n">
        <v>1</v>
      </c>
    </row>
    <row r="8">
      <c r="A8" s="3" t="n">
        <v>7</v>
      </c>
      <c r="B8" s="3" t="inlineStr">
        <is>
          <t>Core</t>
        </is>
      </c>
      <c r="C8" s="3" t="n">
        <v>1</v>
      </c>
    </row>
    <row r="9">
      <c r="A9" s="3" t="n">
        <v>8</v>
      </c>
      <c r="B9" s="3" t="inlineStr">
        <is>
          <t>Core</t>
        </is>
      </c>
      <c r="C9" s="3" t="n">
        <v>1</v>
      </c>
    </row>
    <row r="10">
      <c r="A10" s="3" t="n">
        <v>9</v>
      </c>
      <c r="B10" s="3" t="inlineStr">
        <is>
          <t>Core</t>
        </is>
      </c>
      <c r="C10" s="3" t="n">
        <v>1.05</v>
      </c>
    </row>
    <row r="11">
      <c r="A11" s="3" t="n">
        <v>10</v>
      </c>
      <c r="B11" s="3" t="inlineStr">
        <is>
          <t>Core</t>
        </is>
      </c>
      <c r="C11" s="3" t="n">
        <v>1.05</v>
      </c>
    </row>
    <row r="12">
      <c r="A12" s="3" t="n">
        <v>11</v>
      </c>
      <c r="B12" s="3" t="inlineStr">
        <is>
          <t>Core</t>
        </is>
      </c>
      <c r="C12" s="3" t="n">
        <v>1.05</v>
      </c>
    </row>
    <row r="13">
      <c r="A13" s="3" t="n">
        <v>12</v>
      </c>
      <c r="B13" s="3" t="inlineStr">
        <is>
          <t>Core</t>
        </is>
      </c>
      <c r="C13" s="3" t="n">
        <v>1.05</v>
      </c>
    </row>
    <row r="14">
      <c r="A14" s="3" t="n">
        <v>13</v>
      </c>
      <c r="B14" s="3" t="inlineStr">
        <is>
          <t>Core</t>
        </is>
      </c>
      <c r="C14" s="3" t="n">
        <v>1.05</v>
      </c>
    </row>
    <row r="15">
      <c r="A15" s="3" t="n">
        <v>14</v>
      </c>
      <c r="B15" s="3" t="inlineStr">
        <is>
          <t>Core</t>
        </is>
      </c>
      <c r="C15" s="3" t="n">
        <v>1.05</v>
      </c>
    </row>
    <row r="16">
      <c r="A16" s="3" t="n">
        <v>15</v>
      </c>
      <c r="B16" s="3" t="inlineStr">
        <is>
          <t>Core</t>
        </is>
      </c>
      <c r="C16" s="3" t="n">
        <v>1.05</v>
      </c>
    </row>
    <row r="17">
      <c r="A17" s="3" t="n">
        <v>16</v>
      </c>
      <c r="B17" s="3" t="inlineStr">
        <is>
          <t>Core</t>
        </is>
      </c>
      <c r="C17" s="3" t="n">
        <v>1.05</v>
      </c>
    </row>
    <row r="18">
      <c r="A18" s="3" t="n">
        <v>17</v>
      </c>
      <c r="B18" s="3" t="inlineStr">
        <is>
          <t>Core</t>
        </is>
      </c>
      <c r="C18" s="3" t="n">
        <v>1.1</v>
      </c>
    </row>
    <row r="19">
      <c r="A19" s="3" t="n">
        <v>18</v>
      </c>
      <c r="B19" s="3" t="inlineStr">
        <is>
          <t>Core</t>
        </is>
      </c>
      <c r="C19" s="3" t="n">
        <v>1.1</v>
      </c>
    </row>
    <row r="20">
      <c r="A20" s="3" t="n">
        <v>19</v>
      </c>
      <c r="B20" s="3" t="inlineStr">
        <is>
          <t>Core</t>
        </is>
      </c>
      <c r="C20" s="3" t="n">
        <v>1.1</v>
      </c>
    </row>
    <row r="21">
      <c r="A21" s="3" t="n">
        <v>20</v>
      </c>
      <c r="B21" s="3" t="inlineStr">
        <is>
          <t>Core</t>
        </is>
      </c>
      <c r="C21" s="3" t="n">
        <v>1.1</v>
      </c>
    </row>
    <row r="22">
      <c r="A22" s="3" t="n">
        <v>21</v>
      </c>
      <c r="B22" s="3" t="inlineStr">
        <is>
          <t>Core</t>
        </is>
      </c>
      <c r="C22" s="3" t="n">
        <v>1.1</v>
      </c>
    </row>
    <row r="23">
      <c r="A23" s="3" t="n">
        <v>22</v>
      </c>
      <c r="B23" s="3" t="inlineStr">
        <is>
          <t>Core</t>
        </is>
      </c>
      <c r="C23" s="3" t="n">
        <v>1.1</v>
      </c>
    </row>
    <row r="24">
      <c r="A24" s="3" t="n">
        <v>23</v>
      </c>
      <c r="B24" s="3" t="inlineStr">
        <is>
          <t>Core</t>
        </is>
      </c>
      <c r="C24" s="3" t="n">
        <v>1.1</v>
      </c>
    </row>
    <row r="25">
      <c r="A25" s="3" t="n">
        <v>24</v>
      </c>
      <c r="B25" s="3" t="inlineStr">
        <is>
          <t>Core</t>
        </is>
      </c>
      <c r="C25" s="3" t="n">
        <v>1.1</v>
      </c>
    </row>
    <row r="26">
      <c r="A26" s="3" t="n">
        <v>25</v>
      </c>
      <c r="B26" s="3" t="inlineStr">
        <is>
          <t>Core</t>
        </is>
      </c>
      <c r="C26" s="3" t="n">
        <v>1.1</v>
      </c>
    </row>
    <row r="27">
      <c r="A27" s="3" t="n">
        <v>26</v>
      </c>
      <c r="B27" s="3" t="inlineStr">
        <is>
          <t>Core</t>
        </is>
      </c>
      <c r="C27" s="3" t="n">
        <v>1.1</v>
      </c>
    </row>
    <row r="28">
      <c r="A28" s="3" t="n">
        <v>27</v>
      </c>
      <c r="B28" s="3" t="inlineStr">
        <is>
          <t>Core</t>
        </is>
      </c>
      <c r="C28" s="3" t="n">
        <v>1.15</v>
      </c>
    </row>
    <row r="29">
      <c r="A29" s="3" t="n">
        <v>28</v>
      </c>
      <c r="B29" s="3" t="inlineStr">
        <is>
          <t>Core</t>
        </is>
      </c>
      <c r="C29" s="3" t="n">
        <v>1.15</v>
      </c>
    </row>
    <row r="30">
      <c r="A30" s="3" t="n">
        <v>29</v>
      </c>
      <c r="B30" s="3" t="inlineStr">
        <is>
          <t>Core</t>
        </is>
      </c>
      <c r="C30" s="3" t="n">
        <v>1.15</v>
      </c>
    </row>
    <row r="31">
      <c r="A31" s="3" t="n">
        <v>30</v>
      </c>
      <c r="B31" s="3" t="inlineStr">
        <is>
          <t>Core</t>
        </is>
      </c>
      <c r="C31" s="3" t="n">
        <v>1.15</v>
      </c>
    </row>
    <row r="32">
      <c r="A32" s="3" t="n">
        <v>31</v>
      </c>
      <c r="B32" s="3" t="inlineStr">
        <is>
          <t>Core</t>
        </is>
      </c>
      <c r="C32" s="3" t="n">
        <v>1.15</v>
      </c>
    </row>
    <row r="33">
      <c r="A33" s="3" t="n">
        <v>32</v>
      </c>
      <c r="B33" s="3" t="inlineStr">
        <is>
          <t>Core</t>
        </is>
      </c>
      <c r="C33" s="3" t="n">
        <v>1.15</v>
      </c>
    </row>
    <row r="34">
      <c r="A34" s="3" t="n">
        <v>33</v>
      </c>
      <c r="B34" s="3" t="inlineStr">
        <is>
          <t>Core</t>
        </is>
      </c>
      <c r="C34" s="3" t="n">
        <v>1.15</v>
      </c>
    </row>
    <row r="35">
      <c r="A35" s="3" t="n">
        <v>34</v>
      </c>
      <c r="B35" s="3" t="inlineStr">
        <is>
          <t>Core</t>
        </is>
      </c>
      <c r="C35" s="3" t="n">
        <v>1.15</v>
      </c>
    </row>
    <row r="36">
      <c r="A36" s="3" t="n">
        <v>35</v>
      </c>
      <c r="B36" s="3" t="inlineStr">
        <is>
          <t>Core</t>
        </is>
      </c>
      <c r="C36" s="3" t="n">
        <v>1.15</v>
      </c>
    </row>
    <row r="37">
      <c r="A37" s="3" t="n">
        <v>36</v>
      </c>
      <c r="B37" s="3" t="inlineStr">
        <is>
          <t>Core</t>
        </is>
      </c>
      <c r="C37" s="3" t="n">
        <v>1.15</v>
      </c>
    </row>
    <row r="38">
      <c r="A38" s="3" t="n">
        <v>37</v>
      </c>
      <c r="B38" s="3" t="inlineStr">
        <is>
          <t>Core</t>
        </is>
      </c>
      <c r="C38" s="3" t="n">
        <v>1.2</v>
      </c>
    </row>
    <row r="39">
      <c r="A39" s="3" t="n">
        <v>38</v>
      </c>
      <c r="B39" s="3" t="inlineStr">
        <is>
          <t>Core</t>
        </is>
      </c>
      <c r="C39" s="3" t="n">
        <v>1.2</v>
      </c>
    </row>
    <row r="40">
      <c r="A40" s="3" t="n">
        <v>39</v>
      </c>
      <c r="B40" s="3" t="inlineStr">
        <is>
          <t>Core</t>
        </is>
      </c>
      <c r="C40" s="3" t="n">
        <v>1.2</v>
      </c>
    </row>
    <row r="41">
      <c r="A41" s="3" t="n">
        <v>40</v>
      </c>
      <c r="B41" s="3" t="inlineStr">
        <is>
          <t>Core</t>
        </is>
      </c>
      <c r="C41" s="3" t="n">
        <v>1.2</v>
      </c>
    </row>
    <row r="42">
      <c r="A42" s="3" t="n">
        <v>41</v>
      </c>
      <c r="B42" s="3" t="inlineStr">
        <is>
          <t>Core</t>
        </is>
      </c>
      <c r="C42" s="3" t="n">
        <v>1.3</v>
      </c>
    </row>
    <row r="43">
      <c r="A43" s="3" t="n">
        <v>42</v>
      </c>
      <c r="B43" s="3" t="inlineStr">
        <is>
          <t>Core</t>
        </is>
      </c>
      <c r="C43" s="3" t="n">
        <v>1.3</v>
      </c>
    </row>
    <row r="44">
      <c r="A44" s="3" t="n">
        <v>43</v>
      </c>
      <c r="B44" s="3" t="inlineStr">
        <is>
          <t>Core</t>
        </is>
      </c>
      <c r="C44" s="3" t="n">
        <v>1.3</v>
      </c>
    </row>
    <row r="45">
      <c r="A45" s="3" t="n">
        <v>44</v>
      </c>
      <c r="B45" s="3" t="inlineStr">
        <is>
          <t>Core</t>
        </is>
      </c>
      <c r="C45" s="3" t="n">
        <v>1.3</v>
      </c>
    </row>
    <row r="46">
      <c r="A46" s="3" t="n">
        <v>45</v>
      </c>
      <c r="B46" s="3" t="inlineStr">
        <is>
          <t>Core</t>
        </is>
      </c>
      <c r="C46" s="3" t="n">
        <v>1.35</v>
      </c>
    </row>
    <row r="47">
      <c r="A47" s="3" t="n">
        <v>46</v>
      </c>
      <c r="B47" s="3" t="inlineStr">
        <is>
          <t>Core</t>
        </is>
      </c>
      <c r="C47" s="3" t="n">
        <v>1.35</v>
      </c>
    </row>
    <row r="48">
      <c r="A48" s="3" t="n">
        <v>47</v>
      </c>
      <c r="B48" s="3" t="inlineStr">
        <is>
          <t>Core</t>
        </is>
      </c>
      <c r="C48" s="3" t="n">
        <v>1.35</v>
      </c>
    </row>
    <row r="49">
      <c r="A49" s="3" t="n">
        <v>48</v>
      </c>
      <c r="B49" s="3" t="inlineStr">
        <is>
          <t>Core</t>
        </is>
      </c>
      <c r="C49" s="3" t="n">
        <v>1.35</v>
      </c>
    </row>
    <row r="50">
      <c r="A50" s="3" t="n">
        <v>49</v>
      </c>
      <c r="B50" s="3" t="inlineStr">
        <is>
          <t>Core</t>
        </is>
      </c>
      <c r="C50" s="3" t="n">
        <v>1.4</v>
      </c>
    </row>
    <row r="51">
      <c r="A51" s="3" t="n">
        <v>50</v>
      </c>
      <c r="B51" s="3" t="inlineStr">
        <is>
          <t>Core</t>
        </is>
      </c>
      <c r="C51" s="3" t="n">
        <v>1.4</v>
      </c>
    </row>
    <row r="52">
      <c r="A52" s="3" t="n">
        <v>51</v>
      </c>
      <c r="B52" s="3" t="inlineStr">
        <is>
          <t>Shadow</t>
        </is>
      </c>
      <c r="C52" s="3" t="n">
        <v>1.25</v>
      </c>
    </row>
    <row r="53">
      <c r="A53" s="3" t="n">
        <v>52</v>
      </c>
      <c r="B53" s="3" t="inlineStr">
        <is>
          <t>Shadow</t>
        </is>
      </c>
      <c r="C53" s="3" t="n">
        <v>1.25</v>
      </c>
    </row>
    <row r="54">
      <c r="A54" s="3" t="n">
        <v>53</v>
      </c>
      <c r="B54" s="3" t="inlineStr">
        <is>
          <t>Shadow</t>
        </is>
      </c>
      <c r="C54" s="3" t="n">
        <v>1.25</v>
      </c>
    </row>
    <row r="55">
      <c r="A55" s="3" t="n">
        <v>54</v>
      </c>
      <c r="B55" s="3" t="inlineStr">
        <is>
          <t>Shadow</t>
        </is>
      </c>
      <c r="C55" s="3" t="n">
        <v>1.25</v>
      </c>
    </row>
    <row r="56">
      <c r="A56" s="3" t="n">
        <v>55</v>
      </c>
      <c r="B56" s="3" t="inlineStr">
        <is>
          <t>Shadow</t>
        </is>
      </c>
      <c r="C56" s="3" t="n">
        <v>1.3</v>
      </c>
    </row>
    <row r="57">
      <c r="A57" s="3" t="n">
        <v>56</v>
      </c>
      <c r="B57" s="3" t="inlineStr">
        <is>
          <t>Shadow</t>
        </is>
      </c>
      <c r="C57" s="3" t="n">
        <v>1.3</v>
      </c>
    </row>
    <row r="58">
      <c r="A58" s="3" t="n">
        <v>57</v>
      </c>
      <c r="B58" s="3" t="inlineStr">
        <is>
          <t>Shadow</t>
        </is>
      </c>
      <c r="C58" s="3" t="n">
        <v>1.3</v>
      </c>
    </row>
    <row r="59">
      <c r="A59" s="3" t="n">
        <v>58</v>
      </c>
      <c r="B59" s="3" t="inlineStr">
        <is>
          <t>Shadow</t>
        </is>
      </c>
      <c r="C59" s="3" t="n">
        <v>1.3</v>
      </c>
    </row>
    <row r="60">
      <c r="A60" s="3" t="n">
        <v>59</v>
      </c>
      <c r="B60" s="3" t="inlineStr">
        <is>
          <t>Shadow</t>
        </is>
      </c>
      <c r="C60" s="3" t="n">
        <v>1.35</v>
      </c>
    </row>
    <row r="61">
      <c r="A61" s="3" t="n">
        <v>60</v>
      </c>
      <c r="B61" s="3" t="inlineStr">
        <is>
          <t>Shadow</t>
        </is>
      </c>
      <c r="C61" s="3" t="n">
        <v>1.35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pair_key</t>
        </is>
      </c>
      <c r="B1" s="2" t="inlineStr">
        <is>
          <t>score_2_9</t>
        </is>
      </c>
    </row>
    <row r="2">
      <c r="A2" s="3" t="inlineStr">
        <is>
          <t>ANALYZER|ANALYZER</t>
        </is>
      </c>
      <c r="B2" s="3" t="n">
        <v>7</v>
      </c>
    </row>
    <row r="3">
      <c r="A3" s="3" t="inlineStr">
        <is>
          <t>ANALYZER|FIXER</t>
        </is>
      </c>
      <c r="B3" s="3" t="n">
        <v>6</v>
      </c>
    </row>
    <row r="4">
      <c r="A4" s="3" t="inlineStr">
        <is>
          <t>ANALYZER|ICEBOX</t>
        </is>
      </c>
      <c r="B4" s="3" t="n">
        <v>5</v>
      </c>
    </row>
    <row r="5">
      <c r="A5" s="3" t="inlineStr">
        <is>
          <t>ANALYZER|PHANTOM</t>
        </is>
      </c>
      <c r="B5" s="3" t="n">
        <v>4</v>
      </c>
    </row>
    <row r="6">
      <c r="A6" s="3" t="inlineStr">
        <is>
          <t>ANALYZER|QUIETEXIT</t>
        </is>
      </c>
      <c r="B6" s="3" t="n">
        <v>6</v>
      </c>
    </row>
    <row r="7">
      <c r="A7" s="3" t="inlineStr">
        <is>
          <t>ANALYZER|REGULATED</t>
        </is>
      </c>
      <c r="B7" s="3" t="n">
        <v>8</v>
      </c>
    </row>
    <row r="8">
      <c r="A8" s="3" t="inlineStr">
        <is>
          <t>ANALYZER|ROMANTIC</t>
        </is>
      </c>
      <c r="B8" s="3" t="n">
        <v>5</v>
      </c>
    </row>
    <row r="9">
      <c r="A9" s="3" t="inlineStr">
        <is>
          <t>ANALYZER|PERFORMER</t>
        </is>
      </c>
      <c r="B9" s="3" t="n">
        <v>4</v>
      </c>
    </row>
    <row r="10">
      <c r="A10" s="3" t="inlineStr">
        <is>
          <t>ANALYZER|SURVIVOR</t>
        </is>
      </c>
      <c r="B10" s="3" t="n">
        <v>6</v>
      </c>
    </row>
    <row r="11">
      <c r="A11" s="3" t="inlineStr">
        <is>
          <t>ANALYZER|TRANSLATOR</t>
        </is>
      </c>
      <c r="B11" s="3" t="n">
        <v>7</v>
      </c>
    </row>
    <row r="12">
      <c r="A12" s="3" t="inlineStr">
        <is>
          <t>FIXER|ANALYZER</t>
        </is>
      </c>
      <c r="B12" s="3" t="n">
        <v>6</v>
      </c>
    </row>
    <row r="13">
      <c r="A13" s="3" t="inlineStr">
        <is>
          <t>FIXER|FIXER</t>
        </is>
      </c>
      <c r="B13" s="3" t="n">
        <v>7</v>
      </c>
    </row>
    <row r="14">
      <c r="A14" s="3" t="inlineStr">
        <is>
          <t>FIXER|ICEBOX</t>
        </is>
      </c>
      <c r="B14" s="3" t="n">
        <v>3</v>
      </c>
    </row>
    <row r="15">
      <c r="A15" s="3" t="inlineStr">
        <is>
          <t>FIXER|PHANTOM</t>
        </is>
      </c>
      <c r="B15" s="3" t="n">
        <v>5</v>
      </c>
    </row>
    <row r="16">
      <c r="A16" s="3" t="inlineStr">
        <is>
          <t>FIXER|QUIETEXIT</t>
        </is>
      </c>
      <c r="B16" s="3" t="n">
        <v>5</v>
      </c>
    </row>
    <row r="17">
      <c r="A17" s="3" t="inlineStr">
        <is>
          <t>FIXER|REGULATED</t>
        </is>
      </c>
      <c r="B17" s="3" t="n">
        <v>8</v>
      </c>
    </row>
    <row r="18">
      <c r="A18" s="3" t="inlineStr">
        <is>
          <t>FIXER|ROMANTIC</t>
        </is>
      </c>
      <c r="B18" s="3" t="n">
        <v>6</v>
      </c>
    </row>
    <row r="19">
      <c r="A19" s="3" t="inlineStr">
        <is>
          <t>FIXER|PERFORMER</t>
        </is>
      </c>
      <c r="B19" s="3" t="n">
        <v>5</v>
      </c>
    </row>
    <row r="20">
      <c r="A20" s="3" t="inlineStr">
        <is>
          <t>FIXER|SURVIVOR</t>
        </is>
      </c>
      <c r="B20" s="3" t="n">
        <v>6</v>
      </c>
    </row>
    <row r="21">
      <c r="A21" s="3" t="inlineStr">
        <is>
          <t>FIXER|TRANSLATOR</t>
        </is>
      </c>
      <c r="B21" s="3" t="n">
        <v>7</v>
      </c>
    </row>
    <row r="22">
      <c r="A22" s="3" t="inlineStr">
        <is>
          <t>ICEBOX|ANALYZER</t>
        </is>
      </c>
      <c r="B22" s="3" t="n">
        <v>5</v>
      </c>
    </row>
    <row r="23">
      <c r="A23" s="3" t="inlineStr">
        <is>
          <t>ICEBOX|FIXER</t>
        </is>
      </c>
      <c r="B23" s="3" t="n">
        <v>3</v>
      </c>
    </row>
    <row r="24">
      <c r="A24" s="3" t="inlineStr">
        <is>
          <t>ICEBOX|ICEBOX</t>
        </is>
      </c>
      <c r="B24" s="3" t="n">
        <v>7</v>
      </c>
    </row>
    <row r="25">
      <c r="A25" s="3" t="inlineStr">
        <is>
          <t>ICEBOX|PHANTOM</t>
        </is>
      </c>
      <c r="B25" s="3" t="n">
        <v>2</v>
      </c>
    </row>
    <row r="26">
      <c r="A26" s="3" t="inlineStr">
        <is>
          <t>ICEBOX|QUIETEXIT</t>
        </is>
      </c>
      <c r="B26" s="3" t="n">
        <v>4</v>
      </c>
    </row>
    <row r="27">
      <c r="A27" s="3" t="inlineStr">
        <is>
          <t>ICEBOX|REGULATED</t>
        </is>
      </c>
      <c r="B27" s="3" t="n">
        <v>8</v>
      </c>
    </row>
    <row r="28">
      <c r="A28" s="3" t="inlineStr">
        <is>
          <t>ICEBOX|ROMANTIC</t>
        </is>
      </c>
      <c r="B28" s="3" t="n">
        <v>4</v>
      </c>
    </row>
    <row r="29">
      <c r="A29" s="3" t="inlineStr">
        <is>
          <t>ICEBOX|PERFORMER</t>
        </is>
      </c>
      <c r="B29" s="3" t="n">
        <v>3</v>
      </c>
    </row>
    <row r="30">
      <c r="A30" s="3" t="inlineStr">
        <is>
          <t>ICEBOX|SURVIVOR</t>
        </is>
      </c>
      <c r="B30" s="3" t="n">
        <v>5</v>
      </c>
    </row>
    <row r="31">
      <c r="A31" s="3" t="inlineStr">
        <is>
          <t>ICEBOX|TRANSLATOR</t>
        </is>
      </c>
      <c r="B31" s="3" t="n">
        <v>6</v>
      </c>
    </row>
    <row r="32">
      <c r="A32" s="3" t="inlineStr">
        <is>
          <t>PHANTOM|ANALYZER</t>
        </is>
      </c>
      <c r="B32" s="3" t="n">
        <v>4</v>
      </c>
    </row>
    <row r="33">
      <c r="A33" s="3" t="inlineStr">
        <is>
          <t>PHANTOM|FIXER</t>
        </is>
      </c>
      <c r="B33" s="3" t="n">
        <v>5</v>
      </c>
    </row>
    <row r="34">
      <c r="A34" s="3" t="inlineStr">
        <is>
          <t>PHANTOM|ICEBOX</t>
        </is>
      </c>
      <c r="B34" s="3" t="n">
        <v>2</v>
      </c>
    </row>
    <row r="35">
      <c r="A35" s="3" t="inlineStr">
        <is>
          <t>PHANTOM|PHANTOM</t>
        </is>
      </c>
      <c r="B35" s="3" t="n">
        <v>7</v>
      </c>
    </row>
    <row r="36">
      <c r="A36" s="3" t="inlineStr">
        <is>
          <t>PHANTOM|QUIETEXIT</t>
        </is>
      </c>
      <c r="B36" s="3" t="n">
        <v>4</v>
      </c>
    </row>
    <row r="37">
      <c r="A37" s="3" t="inlineStr">
        <is>
          <t>PHANTOM|REGULATED</t>
        </is>
      </c>
      <c r="B37" s="3" t="n">
        <v>8</v>
      </c>
    </row>
    <row r="38">
      <c r="A38" s="3" t="inlineStr">
        <is>
          <t>PHANTOM|ROMANTIC</t>
        </is>
      </c>
      <c r="B38" s="3" t="n">
        <v>6</v>
      </c>
    </row>
    <row r="39">
      <c r="A39" s="3" t="inlineStr">
        <is>
          <t>PHANTOM|PERFORMER</t>
        </is>
      </c>
      <c r="B39" s="3" t="n">
        <v>5</v>
      </c>
    </row>
    <row r="40">
      <c r="A40" s="3" t="inlineStr">
        <is>
          <t>PHANTOM|SURVIVOR</t>
        </is>
      </c>
      <c r="B40" s="3" t="n">
        <v>5</v>
      </c>
    </row>
    <row r="41">
      <c r="A41" s="3" t="inlineStr">
        <is>
          <t>PHANTOM|TRANSLATOR</t>
        </is>
      </c>
      <c r="B41" s="3" t="n">
        <v>6</v>
      </c>
    </row>
    <row r="42">
      <c r="A42" s="3" t="inlineStr">
        <is>
          <t>QUIETEXIT|ANALYZER</t>
        </is>
      </c>
      <c r="B42" s="3" t="n">
        <v>6</v>
      </c>
    </row>
    <row r="43">
      <c r="A43" s="3" t="inlineStr">
        <is>
          <t>QUIETEXIT|FIXER</t>
        </is>
      </c>
      <c r="B43" s="3" t="n">
        <v>5</v>
      </c>
    </row>
    <row r="44">
      <c r="A44" s="3" t="inlineStr">
        <is>
          <t>QUIETEXIT|ICEBOX</t>
        </is>
      </c>
      <c r="B44" s="3" t="n">
        <v>4</v>
      </c>
    </row>
    <row r="45">
      <c r="A45" s="3" t="inlineStr">
        <is>
          <t>QUIETEXIT|PHANTOM</t>
        </is>
      </c>
      <c r="B45" s="3" t="n">
        <v>4</v>
      </c>
    </row>
    <row r="46">
      <c r="A46" s="3" t="inlineStr">
        <is>
          <t>QUIETEXIT|QUIETEXIT</t>
        </is>
      </c>
      <c r="B46" s="3" t="n">
        <v>7</v>
      </c>
    </row>
    <row r="47">
      <c r="A47" s="3" t="inlineStr">
        <is>
          <t>QUIETEXIT|REGULATED</t>
        </is>
      </c>
      <c r="B47" s="3" t="n">
        <v>7</v>
      </c>
    </row>
    <row r="48">
      <c r="A48" s="3" t="inlineStr">
        <is>
          <t>QUIETEXIT|ROMANTIC</t>
        </is>
      </c>
      <c r="B48" s="3" t="n">
        <v>5</v>
      </c>
    </row>
    <row r="49">
      <c r="A49" s="3" t="inlineStr">
        <is>
          <t>QUIETEXIT|PERFORMER</t>
        </is>
      </c>
      <c r="B49" s="3" t="n">
        <v>5</v>
      </c>
    </row>
    <row r="50">
      <c r="A50" s="3" t="inlineStr">
        <is>
          <t>QUIETEXIT|SURVIVOR</t>
        </is>
      </c>
      <c r="B50" s="3" t="n">
        <v>6</v>
      </c>
    </row>
    <row r="51">
      <c r="A51" s="3" t="inlineStr">
        <is>
          <t>QUIETEXIT|TRANSLATOR</t>
        </is>
      </c>
      <c r="B51" s="3" t="n">
        <v>7</v>
      </c>
    </row>
    <row r="52">
      <c r="A52" s="3" t="inlineStr">
        <is>
          <t>REGULATED|ANALYZER</t>
        </is>
      </c>
      <c r="B52" s="3" t="n">
        <v>8</v>
      </c>
    </row>
    <row r="53">
      <c r="A53" s="3" t="inlineStr">
        <is>
          <t>REGULATED|FIXER</t>
        </is>
      </c>
      <c r="B53" s="3" t="n">
        <v>8</v>
      </c>
    </row>
    <row r="54">
      <c r="A54" s="3" t="inlineStr">
        <is>
          <t>REGULATED|ICEBOX</t>
        </is>
      </c>
      <c r="B54" s="3" t="n">
        <v>8</v>
      </c>
    </row>
    <row r="55">
      <c r="A55" s="3" t="inlineStr">
        <is>
          <t>REGULATED|PHANTOM</t>
        </is>
      </c>
      <c r="B55" s="3" t="n">
        <v>8</v>
      </c>
    </row>
    <row r="56">
      <c r="A56" s="3" t="inlineStr">
        <is>
          <t>REGULATED|QUIETEXIT</t>
        </is>
      </c>
      <c r="B56" s="3" t="n">
        <v>7</v>
      </c>
    </row>
    <row r="57">
      <c r="A57" s="3" t="inlineStr">
        <is>
          <t>REGULATED|REGULATED</t>
        </is>
      </c>
      <c r="B57" s="3" t="n">
        <v>9</v>
      </c>
    </row>
    <row r="58">
      <c r="A58" s="3" t="inlineStr">
        <is>
          <t>REGULATED|ROMANTIC</t>
        </is>
      </c>
      <c r="B58" s="3" t="n">
        <v>8</v>
      </c>
    </row>
    <row r="59">
      <c r="A59" s="3" t="inlineStr">
        <is>
          <t>REGULATED|PERFORMER</t>
        </is>
      </c>
      <c r="B59" s="3" t="n">
        <v>7</v>
      </c>
    </row>
    <row r="60">
      <c r="A60" s="3" t="inlineStr">
        <is>
          <t>REGULATED|SURVIVOR</t>
        </is>
      </c>
      <c r="B60" s="3" t="n">
        <v>7</v>
      </c>
    </row>
    <row r="61">
      <c r="A61" s="3" t="inlineStr">
        <is>
          <t>REGULATED|TRANSLATOR</t>
        </is>
      </c>
      <c r="B61" s="3" t="n">
        <v>9</v>
      </c>
    </row>
    <row r="62">
      <c r="A62" s="3" t="inlineStr">
        <is>
          <t>ROMANTIC|ANALYZER</t>
        </is>
      </c>
      <c r="B62" s="3" t="n">
        <v>5</v>
      </c>
    </row>
    <row r="63">
      <c r="A63" s="3" t="inlineStr">
        <is>
          <t>ROMANTIC|FIXER</t>
        </is>
      </c>
      <c r="B63" s="3" t="n">
        <v>6</v>
      </c>
    </row>
    <row r="64">
      <c r="A64" s="3" t="inlineStr">
        <is>
          <t>ROMANTIC|ICEBOX</t>
        </is>
      </c>
      <c r="B64" s="3" t="n">
        <v>4</v>
      </c>
    </row>
    <row r="65">
      <c r="A65" s="3" t="inlineStr">
        <is>
          <t>ROMANTIC|PHANTOM</t>
        </is>
      </c>
      <c r="B65" s="3" t="n">
        <v>6</v>
      </c>
    </row>
    <row r="66">
      <c r="A66" s="3" t="inlineStr">
        <is>
          <t>ROMANTIC|QUIETEXIT</t>
        </is>
      </c>
      <c r="B66" s="3" t="n">
        <v>5</v>
      </c>
    </row>
    <row r="67">
      <c r="A67" s="3" t="inlineStr">
        <is>
          <t>ROMANTIC|REGULATED</t>
        </is>
      </c>
      <c r="B67" s="3" t="n">
        <v>8</v>
      </c>
    </row>
    <row r="68">
      <c r="A68" s="3" t="inlineStr">
        <is>
          <t>ROMANTIC|ROMANTIC</t>
        </is>
      </c>
      <c r="B68" s="3" t="n">
        <v>7</v>
      </c>
    </row>
    <row r="69">
      <c r="A69" s="3" t="inlineStr">
        <is>
          <t>ROMANTIC|PERFORMER</t>
        </is>
      </c>
      <c r="B69" s="3" t="n">
        <v>6</v>
      </c>
    </row>
    <row r="70">
      <c r="A70" s="3" t="inlineStr">
        <is>
          <t>ROMANTIC|SURVIVOR</t>
        </is>
      </c>
      <c r="B70" s="3" t="n">
        <v>6</v>
      </c>
    </row>
    <row r="71">
      <c r="A71" s="3" t="inlineStr">
        <is>
          <t>ROMANTIC|TRANSLATOR</t>
        </is>
      </c>
      <c r="B71" s="3" t="n">
        <v>7</v>
      </c>
    </row>
    <row r="72">
      <c r="A72" s="3" t="inlineStr">
        <is>
          <t>PERFORMER|ANALYZER</t>
        </is>
      </c>
      <c r="B72" s="3" t="n">
        <v>4</v>
      </c>
    </row>
    <row r="73">
      <c r="A73" s="3" t="inlineStr">
        <is>
          <t>PERFORMER|FIXER</t>
        </is>
      </c>
      <c r="B73" s="3" t="n">
        <v>5</v>
      </c>
    </row>
    <row r="74">
      <c r="A74" s="3" t="inlineStr">
        <is>
          <t>PERFORMER|ICEBOX</t>
        </is>
      </c>
      <c r="B74" s="3" t="n">
        <v>3</v>
      </c>
    </row>
    <row r="75">
      <c r="A75" s="3" t="inlineStr">
        <is>
          <t>PERFORMER|PHANTOM</t>
        </is>
      </c>
      <c r="B75" s="3" t="n">
        <v>5</v>
      </c>
    </row>
    <row r="76">
      <c r="A76" s="3" t="inlineStr">
        <is>
          <t>PERFORMER|QUIETEXIT</t>
        </is>
      </c>
      <c r="B76" s="3" t="n">
        <v>5</v>
      </c>
    </row>
    <row r="77">
      <c r="A77" s="3" t="inlineStr">
        <is>
          <t>PERFORMER|REGULATED</t>
        </is>
      </c>
      <c r="B77" s="3" t="n">
        <v>7</v>
      </c>
    </row>
    <row r="78">
      <c r="A78" s="3" t="inlineStr">
        <is>
          <t>PERFORMER|ROMANTIC</t>
        </is>
      </c>
      <c r="B78" s="3" t="n">
        <v>6</v>
      </c>
    </row>
    <row r="79">
      <c r="A79" s="3" t="inlineStr">
        <is>
          <t>PERFORMER|PERFORMER</t>
        </is>
      </c>
      <c r="B79" s="3" t="n">
        <v>7</v>
      </c>
    </row>
    <row r="80">
      <c r="A80" s="3" t="inlineStr">
        <is>
          <t>PERFORMER|SURVIVOR</t>
        </is>
      </c>
      <c r="B80" s="3" t="n">
        <v>5</v>
      </c>
    </row>
    <row r="81">
      <c r="A81" s="3" t="inlineStr">
        <is>
          <t>PERFORMER|TRANSLATOR</t>
        </is>
      </c>
      <c r="B81" s="3" t="n">
        <v>6</v>
      </c>
    </row>
    <row r="82">
      <c r="A82" s="3" t="inlineStr">
        <is>
          <t>SURVIVOR|ANALYZER</t>
        </is>
      </c>
      <c r="B82" s="3" t="n">
        <v>6</v>
      </c>
    </row>
    <row r="83">
      <c r="A83" s="3" t="inlineStr">
        <is>
          <t>SURVIVOR|FIXER</t>
        </is>
      </c>
      <c r="B83" s="3" t="n">
        <v>6</v>
      </c>
    </row>
    <row r="84">
      <c r="A84" s="3" t="inlineStr">
        <is>
          <t>SURVIVOR|ICEBOX</t>
        </is>
      </c>
      <c r="B84" s="3" t="n">
        <v>5</v>
      </c>
    </row>
    <row r="85">
      <c r="A85" s="3" t="inlineStr">
        <is>
          <t>SURVIVOR|PHANTOM</t>
        </is>
      </c>
      <c r="B85" s="3" t="n">
        <v>5</v>
      </c>
    </row>
    <row r="86">
      <c r="A86" s="3" t="inlineStr">
        <is>
          <t>SURVIVOR|QUIETEXIT</t>
        </is>
      </c>
      <c r="B86" s="3" t="n">
        <v>6</v>
      </c>
    </row>
    <row r="87">
      <c r="A87" s="3" t="inlineStr">
        <is>
          <t>SURVIVOR|REGULATED</t>
        </is>
      </c>
      <c r="B87" s="3" t="n">
        <v>7</v>
      </c>
    </row>
    <row r="88">
      <c r="A88" s="3" t="inlineStr">
        <is>
          <t>SURVIVOR|ROMANTIC</t>
        </is>
      </c>
      <c r="B88" s="3" t="n">
        <v>6</v>
      </c>
    </row>
    <row r="89">
      <c r="A89" s="3" t="inlineStr">
        <is>
          <t>SURVIVOR|PERFORMER</t>
        </is>
      </c>
      <c r="B89" s="3" t="n">
        <v>5</v>
      </c>
    </row>
    <row r="90">
      <c r="A90" s="3" t="inlineStr">
        <is>
          <t>SURVIVOR|SURVIVOR</t>
        </is>
      </c>
      <c r="B90" s="3" t="n">
        <v>7</v>
      </c>
    </row>
    <row r="91">
      <c r="A91" s="3" t="inlineStr">
        <is>
          <t>SURVIVOR|TRANSLATOR</t>
        </is>
      </c>
      <c r="B91" s="3" t="n">
        <v>6</v>
      </c>
    </row>
    <row r="92">
      <c r="A92" s="3" t="inlineStr">
        <is>
          <t>TRANSLATOR|ANALYZER</t>
        </is>
      </c>
      <c r="B92" s="3" t="n">
        <v>7</v>
      </c>
    </row>
    <row r="93">
      <c r="A93" s="3" t="inlineStr">
        <is>
          <t>TRANSLATOR|FIXER</t>
        </is>
      </c>
      <c r="B93" s="3" t="n">
        <v>7</v>
      </c>
    </row>
    <row r="94">
      <c r="A94" s="3" t="inlineStr">
        <is>
          <t>TRANSLATOR|ICEBOX</t>
        </is>
      </c>
      <c r="B94" s="3" t="n">
        <v>6</v>
      </c>
    </row>
    <row r="95">
      <c r="A95" s="3" t="inlineStr">
        <is>
          <t>TRANSLATOR|PHANTOM</t>
        </is>
      </c>
      <c r="B95" s="3" t="n">
        <v>6</v>
      </c>
    </row>
    <row r="96">
      <c r="A96" s="3" t="inlineStr">
        <is>
          <t>TRANSLATOR|QUIETEXIT</t>
        </is>
      </c>
      <c r="B96" s="3" t="n">
        <v>7</v>
      </c>
    </row>
    <row r="97">
      <c r="A97" s="3" t="inlineStr">
        <is>
          <t>TRANSLATOR|REGULATED</t>
        </is>
      </c>
      <c r="B97" s="3" t="n">
        <v>9</v>
      </c>
    </row>
    <row r="98">
      <c r="A98" s="3" t="inlineStr">
        <is>
          <t>TRANSLATOR|ROMANTIC</t>
        </is>
      </c>
      <c r="B98" s="3" t="n">
        <v>7</v>
      </c>
    </row>
    <row r="99">
      <c r="A99" s="3" t="inlineStr">
        <is>
          <t>TRANSLATOR|PERFORMER</t>
        </is>
      </c>
      <c r="B99" s="3" t="n">
        <v>6</v>
      </c>
    </row>
    <row r="100">
      <c r="A100" s="3" t="inlineStr">
        <is>
          <t>TRANSLATOR|SURVIVOR</t>
        </is>
      </c>
      <c r="B100" s="3" t="n">
        <v>6</v>
      </c>
    </row>
    <row r="101">
      <c r="A101" s="3" t="inlineStr">
        <is>
          <t>TRANSLATOR|TRANSLATOR</t>
        </is>
      </c>
      <c r="B101" s="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pair_key</t>
        </is>
      </c>
      <c r="B1" s="2" t="inlineStr">
        <is>
          <t>score_2_6</t>
        </is>
      </c>
    </row>
    <row r="2">
      <c r="A2" s="3" t="inlineStr">
        <is>
          <t>MANIPULATOR_MANIPULATOR</t>
        </is>
      </c>
      <c r="B2" s="3" t="n">
        <v>3</v>
      </c>
    </row>
    <row r="3">
      <c r="A3" s="3" t="inlineStr">
        <is>
          <t>MANIPULATOR_STONEWALLER</t>
        </is>
      </c>
      <c r="B3" s="3" t="n">
        <v>2</v>
      </c>
    </row>
    <row r="4">
      <c r="A4" s="3" t="inlineStr">
        <is>
          <t>LOVEBOMBER_MANIPULATOR</t>
        </is>
      </c>
      <c r="B4" s="3" t="n">
        <v>2</v>
      </c>
    </row>
    <row r="5">
      <c r="A5" s="3" t="inlineStr">
        <is>
          <t>CHAMELEON_MANIPULATOR</t>
        </is>
      </c>
      <c r="B5" s="3" t="n">
        <v>2</v>
      </c>
    </row>
    <row r="6">
      <c r="A6" s="3" t="inlineStr">
        <is>
          <t>MANIPULATOR_SCOREKEEPER</t>
        </is>
      </c>
      <c r="B6" s="3" t="n">
        <v>2</v>
      </c>
    </row>
    <row r="7">
      <c r="A7" s="3" t="inlineStr">
        <is>
          <t>MANIPULATOR_SELFSABOTEUR</t>
        </is>
      </c>
      <c r="B7" s="3" t="n">
        <v>3</v>
      </c>
    </row>
    <row r="8">
      <c r="A8" s="3" t="inlineStr">
        <is>
          <t>MANIPULATOR_STONEWALLER</t>
        </is>
      </c>
      <c r="B8" s="3" t="n">
        <v>2</v>
      </c>
    </row>
    <row r="9">
      <c r="A9" s="3" t="inlineStr">
        <is>
          <t>STONEWALLER_STONEWALLER</t>
        </is>
      </c>
      <c r="B9" s="3" t="n">
        <v>4</v>
      </c>
    </row>
    <row r="10">
      <c r="A10" s="3" t="inlineStr">
        <is>
          <t>LOVEBOMBER_STONEWALLER</t>
        </is>
      </c>
      <c r="B10" s="3" t="n">
        <v>2</v>
      </c>
    </row>
    <row r="11">
      <c r="A11" s="3" t="inlineStr">
        <is>
          <t>CHAMELEON_STONEWALLER</t>
        </is>
      </c>
      <c r="B11" s="3" t="n">
        <v>4</v>
      </c>
    </row>
    <row r="12">
      <c r="A12" s="3" t="inlineStr">
        <is>
          <t>SCOREKEEPER_STONEWALLER</t>
        </is>
      </c>
      <c r="B12" s="3" t="n">
        <v>3</v>
      </c>
    </row>
    <row r="13">
      <c r="A13" s="3" t="inlineStr">
        <is>
          <t>SELFSABOTEUR_STONEWALLER</t>
        </is>
      </c>
      <c r="B13" s="3" t="n">
        <v>3</v>
      </c>
    </row>
    <row r="14">
      <c r="A14" s="3" t="inlineStr">
        <is>
          <t>LOVEBOMBER_MANIPULATOR</t>
        </is>
      </c>
      <c r="B14" s="3" t="n">
        <v>2</v>
      </c>
    </row>
    <row r="15">
      <c r="A15" s="3" t="inlineStr">
        <is>
          <t>LOVEBOMBER_STONEWALLER</t>
        </is>
      </c>
      <c r="B15" s="3" t="n">
        <v>2</v>
      </c>
    </row>
    <row r="16">
      <c r="A16" s="3" t="inlineStr">
        <is>
          <t>LOVEBOMBER_LOVEBOMBER</t>
        </is>
      </c>
      <c r="B16" s="3" t="n">
        <v>4</v>
      </c>
    </row>
    <row r="17">
      <c r="A17" s="3" t="inlineStr">
        <is>
          <t>CHAMELEON_LOVEBOMBER</t>
        </is>
      </c>
      <c r="B17" s="3" t="n">
        <v>6</v>
      </c>
    </row>
    <row r="18">
      <c r="A18" s="3" t="inlineStr">
        <is>
          <t>LOVEBOMBER_SCOREKEEPER</t>
        </is>
      </c>
      <c r="B18" s="3" t="n">
        <v>3</v>
      </c>
    </row>
    <row r="19">
      <c r="A19" s="3" t="inlineStr">
        <is>
          <t>LOVEBOMBER_SELFSABOTEUR</t>
        </is>
      </c>
      <c r="B19" s="3" t="n">
        <v>4</v>
      </c>
    </row>
    <row r="20">
      <c r="A20" s="3" t="inlineStr">
        <is>
          <t>CHAMELEON_MANIPULATOR</t>
        </is>
      </c>
      <c r="B20" s="3" t="n">
        <v>2</v>
      </c>
    </row>
    <row r="21">
      <c r="A21" s="3" t="inlineStr">
        <is>
          <t>CHAMELEON_STONEWALLER</t>
        </is>
      </c>
      <c r="B21" s="3" t="n">
        <v>4</v>
      </c>
    </row>
    <row r="22">
      <c r="A22" s="3" t="inlineStr">
        <is>
          <t>CHAMELEON_LOVEBOMBER</t>
        </is>
      </c>
      <c r="B22" s="3" t="n">
        <v>6</v>
      </c>
    </row>
    <row r="23">
      <c r="A23" s="3" t="inlineStr">
        <is>
          <t>CHAMELEON_CHAMELEON</t>
        </is>
      </c>
      <c r="B23" s="3" t="n">
        <v>5</v>
      </c>
    </row>
    <row r="24">
      <c r="A24" s="3" t="inlineStr">
        <is>
          <t>CHAMELEON_SCOREKEEPER</t>
        </is>
      </c>
      <c r="B24" s="3" t="n">
        <v>4</v>
      </c>
    </row>
    <row r="25">
      <c r="A25" s="3" t="inlineStr">
        <is>
          <t>CHAMELEON_SELFSABOTEUR</t>
        </is>
      </c>
      <c r="B25" s="3" t="n">
        <v>5</v>
      </c>
    </row>
    <row r="26">
      <c r="A26" s="3" t="inlineStr">
        <is>
          <t>MANIPULATOR_SCOREKEEPER</t>
        </is>
      </c>
      <c r="B26" s="3" t="n">
        <v>2</v>
      </c>
    </row>
    <row r="27">
      <c r="A27" s="3" t="inlineStr">
        <is>
          <t>SCOREKEEPER_STONEWALLER</t>
        </is>
      </c>
      <c r="B27" s="3" t="n">
        <v>3</v>
      </c>
    </row>
    <row r="28">
      <c r="A28" s="3" t="inlineStr">
        <is>
          <t>LOVEBOMBER_SCOREKEEPER</t>
        </is>
      </c>
      <c r="B28" s="3" t="n">
        <v>3</v>
      </c>
    </row>
    <row r="29">
      <c r="A29" s="3" t="inlineStr">
        <is>
          <t>CHAMELEON_SCOREKEEPER</t>
        </is>
      </c>
      <c r="B29" s="3" t="n">
        <v>4</v>
      </c>
    </row>
    <row r="30">
      <c r="A30" s="3" t="inlineStr">
        <is>
          <t>SCOREKEEPER_SCOREKEEPER</t>
        </is>
      </c>
      <c r="B30" s="3" t="n">
        <v>4</v>
      </c>
    </row>
    <row r="31">
      <c r="A31" s="3" t="inlineStr">
        <is>
          <t>SCOREKEEPER_SELFSABOTEUR</t>
        </is>
      </c>
      <c r="B31" s="3" t="n">
        <v>3</v>
      </c>
    </row>
    <row r="32">
      <c r="A32" s="3" t="inlineStr">
        <is>
          <t>MANIPULATOR_SELFSABOTEUR</t>
        </is>
      </c>
      <c r="B32" s="3" t="n">
        <v>3</v>
      </c>
    </row>
    <row r="33">
      <c r="A33" s="3" t="inlineStr">
        <is>
          <t>SELFSABOTEUR_STONEWALLER</t>
        </is>
      </c>
      <c r="B33" s="3" t="n">
        <v>3</v>
      </c>
    </row>
    <row r="34">
      <c r="A34" s="3" t="inlineStr">
        <is>
          <t>LOVEBOMBER_SELFSABOTEUR</t>
        </is>
      </c>
      <c r="B34" s="3" t="n">
        <v>4</v>
      </c>
    </row>
    <row r="35">
      <c r="A35" s="3" t="inlineStr">
        <is>
          <t>CHAMELEON_SELFSABOTEUR</t>
        </is>
      </c>
      <c r="B35" s="3" t="n">
        <v>5</v>
      </c>
    </row>
    <row r="36">
      <c r="A36" s="3" t="inlineStr">
        <is>
          <t>SCOREKEEPER_SELFSABOTEUR</t>
        </is>
      </c>
      <c r="B36" s="3" t="n">
        <v>3</v>
      </c>
    </row>
    <row r="37">
      <c r="A37" s="3" t="inlineStr">
        <is>
          <t>SELFSABOTEUR_SELFSABOTEUR</t>
        </is>
      </c>
      <c r="B37" s="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pair_key</t>
        </is>
      </c>
      <c r="B1" s="2" t="inlineStr">
        <is>
          <t>score_1_10</t>
        </is>
      </c>
    </row>
    <row r="2">
      <c r="A2" s="3" t="inlineStr">
        <is>
          <t>AR_M+AR_F</t>
        </is>
      </c>
      <c r="B2" s="3" t="n">
        <v>6</v>
      </c>
    </row>
    <row r="3">
      <c r="A3" s="3" t="inlineStr">
        <is>
          <t>AR_M+LI_F</t>
        </is>
      </c>
      <c r="B3" s="3" t="n">
        <v>7</v>
      </c>
    </row>
    <row r="4">
      <c r="A4" s="3" t="inlineStr">
        <is>
          <t>AR_M+TA_F</t>
        </is>
      </c>
      <c r="B4" s="3" t="n">
        <v>7</v>
      </c>
    </row>
    <row r="5">
      <c r="A5" s="3" t="inlineStr">
        <is>
          <t>AR_M+VI_F</t>
        </is>
      </c>
      <c r="B5" s="3" t="n">
        <v>6</v>
      </c>
    </row>
    <row r="6">
      <c r="A6" s="3" t="inlineStr">
        <is>
          <t>AR_M+SC_F</t>
        </is>
      </c>
      <c r="B6" s="3" t="n">
        <v>5</v>
      </c>
    </row>
    <row r="7">
      <c r="A7" s="3" t="inlineStr">
        <is>
          <t>AR_M+CA_F</t>
        </is>
      </c>
      <c r="B7" s="3" t="n">
        <v>4</v>
      </c>
    </row>
    <row r="8">
      <c r="A8" s="3" t="inlineStr">
        <is>
          <t>AR_M+GE_F</t>
        </is>
      </c>
      <c r="B8" s="3" t="n">
        <v>5</v>
      </c>
    </row>
    <row r="9">
      <c r="A9" s="3" t="inlineStr">
        <is>
          <t>AR_M+LE_F</t>
        </is>
      </c>
      <c r="B9" s="3" t="n">
        <v>8</v>
      </c>
    </row>
    <row r="10">
      <c r="A10" s="3" t="inlineStr">
        <is>
          <t>AR_M+CP_F</t>
        </is>
      </c>
      <c r="B10" s="3" t="n">
        <v>4</v>
      </c>
    </row>
    <row r="11">
      <c r="A11" s="3" t="inlineStr">
        <is>
          <t>AR_M+SG_F</t>
        </is>
      </c>
      <c r="B11" s="3" t="n">
        <v>6</v>
      </c>
    </row>
    <row r="12">
      <c r="A12" s="3" t="inlineStr">
        <is>
          <t>TA_M+TA_F</t>
        </is>
      </c>
      <c r="B12" s="3" t="n">
        <v>6</v>
      </c>
    </row>
    <row r="13">
      <c r="A13" s="3" t="inlineStr">
        <is>
          <t>AR_M+AQ_F</t>
        </is>
      </c>
      <c r="B13" s="3" t="n">
        <v>6</v>
      </c>
    </row>
    <row r="14">
      <c r="A14" s="3" t="inlineStr">
        <is>
          <t>TA_M+SC_F</t>
        </is>
      </c>
      <c r="B14" s="3" t="n">
        <v>6</v>
      </c>
    </row>
    <row r="15">
      <c r="A15" s="3" t="inlineStr">
        <is>
          <t>TA_M+VI_F</t>
        </is>
      </c>
      <c r="B15" s="3" t="n">
        <v>8</v>
      </c>
    </row>
    <row r="16">
      <c r="A16" s="3" t="inlineStr">
        <is>
          <t>TA_M+AR_F</t>
        </is>
      </c>
      <c r="B16" s="3" t="n">
        <v>7</v>
      </c>
    </row>
    <row r="17">
      <c r="A17" s="3" t="inlineStr">
        <is>
          <t>TA_M+GE_F</t>
        </is>
      </c>
      <c r="B17" s="3" t="n">
        <v>5</v>
      </c>
    </row>
    <row r="18">
      <c r="A18" s="3" t="inlineStr">
        <is>
          <t>TA_M+LI_F</t>
        </is>
      </c>
      <c r="B18" s="3" t="n">
        <v>5</v>
      </c>
    </row>
    <row r="19">
      <c r="A19" s="3" t="inlineStr">
        <is>
          <t>TA_M+CA_F</t>
        </is>
      </c>
      <c r="B19" s="3" t="n">
        <v>7</v>
      </c>
    </row>
    <row r="20">
      <c r="A20" s="3" t="inlineStr">
        <is>
          <t>AR_M+PI_F</t>
        </is>
      </c>
      <c r="B20" s="3" t="n">
        <v>5</v>
      </c>
    </row>
    <row r="21">
      <c r="A21" s="3" t="inlineStr">
        <is>
          <t>TA_M+LE_F</t>
        </is>
      </c>
      <c r="B21" s="3" t="n">
        <v>4</v>
      </c>
    </row>
    <row r="22">
      <c r="A22" s="3" t="inlineStr">
        <is>
          <t>GE_M+AR_F</t>
        </is>
      </c>
      <c r="B22" s="3" t="n">
        <v>5</v>
      </c>
    </row>
    <row r="23">
      <c r="A23" s="3" t="inlineStr">
        <is>
          <t>GE_M+GE_F</t>
        </is>
      </c>
      <c r="B23" s="3" t="n">
        <v>6</v>
      </c>
    </row>
    <row r="24">
      <c r="A24" s="3" t="inlineStr">
        <is>
          <t>TA_M+SG_F</t>
        </is>
      </c>
      <c r="B24" s="3" t="n">
        <v>4</v>
      </c>
    </row>
    <row r="25">
      <c r="A25" s="3" t="inlineStr">
        <is>
          <t>TA_M+PI_F</t>
        </is>
      </c>
      <c r="B25" s="3" t="n">
        <v>6</v>
      </c>
    </row>
    <row r="26">
      <c r="A26" s="3" t="inlineStr">
        <is>
          <t>TA_M+CP_F</t>
        </is>
      </c>
      <c r="B26" s="3" t="n">
        <v>7</v>
      </c>
    </row>
    <row r="27">
      <c r="A27" s="3" t="inlineStr">
        <is>
          <t>GE_M+VI_F</t>
        </is>
      </c>
      <c r="B27" s="3" t="n">
        <v>4</v>
      </c>
    </row>
    <row r="28">
      <c r="A28" s="3" t="inlineStr">
        <is>
          <t>GE_M+LE_F</t>
        </is>
      </c>
      <c r="B28" s="3" t="n">
        <v>5</v>
      </c>
    </row>
    <row r="29">
      <c r="A29" s="3" t="inlineStr">
        <is>
          <t>GE_M+TA_F</t>
        </is>
      </c>
      <c r="B29" s="3" t="n">
        <v>6</v>
      </c>
    </row>
    <row r="30">
      <c r="A30" s="3" t="inlineStr">
        <is>
          <t>TA_M+AQ_F</t>
        </is>
      </c>
      <c r="B30" s="3" t="n">
        <v>5</v>
      </c>
    </row>
    <row r="31">
      <c r="A31" s="3" t="inlineStr">
        <is>
          <t>GE_M+AQ_F</t>
        </is>
      </c>
      <c r="B31" s="3" t="n">
        <v>6</v>
      </c>
    </row>
    <row r="32">
      <c r="A32" s="3" t="inlineStr">
        <is>
          <t>GE_M+CA_F</t>
        </is>
      </c>
      <c r="B32" s="3" t="n">
        <v>7</v>
      </c>
    </row>
    <row r="33">
      <c r="A33" s="3" t="inlineStr">
        <is>
          <t>GE_M+CP_F</t>
        </is>
      </c>
      <c r="B33" s="3" t="n">
        <v>5</v>
      </c>
    </row>
    <row r="34">
      <c r="A34" s="3" t="inlineStr">
        <is>
          <t>GE_M+PI_F</t>
        </is>
      </c>
      <c r="B34" s="3" t="n">
        <v>4</v>
      </c>
    </row>
    <row r="35">
      <c r="A35" s="3" t="inlineStr">
        <is>
          <t>CA_M+AR_F</t>
        </is>
      </c>
      <c r="B35" s="3" t="n">
        <v>6</v>
      </c>
    </row>
    <row r="36">
      <c r="A36" s="3" t="inlineStr">
        <is>
          <t>GE_M+LI_F</t>
        </is>
      </c>
      <c r="B36" s="3" t="n">
        <v>8</v>
      </c>
    </row>
    <row r="37">
      <c r="A37" s="3" t="inlineStr">
        <is>
          <t>CA_M+TA_F</t>
        </is>
      </c>
      <c r="B37" s="3" t="n">
        <v>5</v>
      </c>
    </row>
    <row r="38">
      <c r="A38" s="3" t="inlineStr">
        <is>
          <t>GE_M+SG_F</t>
        </is>
      </c>
      <c r="B38" s="3" t="n">
        <v>7</v>
      </c>
    </row>
    <row r="39">
      <c r="A39" s="3" t="inlineStr">
        <is>
          <t>CA_M+GE_F</t>
        </is>
      </c>
      <c r="B39" s="3" t="n">
        <v>7</v>
      </c>
    </row>
    <row r="40">
      <c r="A40" s="3" t="inlineStr">
        <is>
          <t>CA_M+CA_F</t>
        </is>
      </c>
      <c r="B40" s="3" t="n">
        <v>6</v>
      </c>
    </row>
    <row r="41">
      <c r="A41" s="3" t="inlineStr">
        <is>
          <t>GE_M+SC_F</t>
        </is>
      </c>
      <c r="B41" s="3" t="n">
        <v>6</v>
      </c>
    </row>
    <row r="42">
      <c r="A42" s="3" t="inlineStr">
        <is>
          <t>CA_M+CP_F</t>
        </is>
      </c>
      <c r="B42" s="3" t="n">
        <v>5</v>
      </c>
    </row>
    <row r="43">
      <c r="A43" s="3" t="inlineStr">
        <is>
          <t>CA_M+VI_F</t>
        </is>
      </c>
      <c r="B43" s="3" t="n">
        <v>6</v>
      </c>
    </row>
    <row r="44">
      <c r="A44" s="3" t="inlineStr">
        <is>
          <t>LE_M+TA_F</t>
        </is>
      </c>
      <c r="B44" s="3" t="n">
        <v>6</v>
      </c>
    </row>
    <row r="45">
      <c r="A45" s="3" t="inlineStr">
        <is>
          <t>CA_M+PI_F</t>
        </is>
      </c>
      <c r="B45" s="3" t="n">
        <v>6</v>
      </c>
    </row>
    <row r="46">
      <c r="A46" s="3" t="inlineStr">
        <is>
          <t>CA_M+SC_F</t>
        </is>
      </c>
      <c r="B46" s="3" t="n">
        <v>8</v>
      </c>
    </row>
    <row r="47">
      <c r="A47" s="3" t="inlineStr">
        <is>
          <t>CA_M+LI_F</t>
        </is>
      </c>
      <c r="B47" s="3" t="n">
        <v>5</v>
      </c>
    </row>
    <row r="48">
      <c r="A48" s="3" t="inlineStr">
        <is>
          <t>LE_M+AR_F</t>
        </is>
      </c>
      <c r="B48" s="3" t="n">
        <v>8</v>
      </c>
    </row>
    <row r="49">
      <c r="A49" s="3" t="inlineStr">
        <is>
          <t>CA_M+AQ_F</t>
        </is>
      </c>
      <c r="B49" s="3" t="n">
        <v>7</v>
      </c>
    </row>
    <row r="50">
      <c r="A50" s="3" t="inlineStr">
        <is>
          <t>CA_M+LE_F</t>
        </is>
      </c>
      <c r="B50" s="3" t="n">
        <v>4</v>
      </c>
    </row>
    <row r="51">
      <c r="A51" s="3" t="inlineStr">
        <is>
          <t>CA_M+SG_F</t>
        </is>
      </c>
      <c r="B51" s="3" t="n">
        <v>6</v>
      </c>
    </row>
    <row r="52">
      <c r="A52" s="3" t="inlineStr">
        <is>
          <t>LE_M+GE_F</t>
        </is>
      </c>
      <c r="B52" s="3" t="n">
        <v>5</v>
      </c>
    </row>
    <row r="53">
      <c r="A53" s="3" t="inlineStr">
        <is>
          <t>LE_M+CA_F</t>
        </is>
      </c>
      <c r="B53" s="3" t="n">
        <v>4</v>
      </c>
    </row>
    <row r="54">
      <c r="A54" s="3" t="inlineStr">
        <is>
          <t>LE_M+PI_F</t>
        </is>
      </c>
      <c r="B54" s="3" t="n">
        <v>7</v>
      </c>
    </row>
    <row r="55">
      <c r="A55" s="3" t="inlineStr">
        <is>
          <t>LE_M+LI_F</t>
        </is>
      </c>
      <c r="B55" s="3" t="n">
        <v>6</v>
      </c>
    </row>
    <row r="56">
      <c r="A56" s="3" t="inlineStr">
        <is>
          <t>LE_M+VI_F</t>
        </is>
      </c>
      <c r="B56" s="3" t="n">
        <v>5</v>
      </c>
    </row>
    <row r="57">
      <c r="A57" s="3" t="inlineStr">
        <is>
          <t>LE_M+LE_F</t>
        </is>
      </c>
      <c r="B57" s="3" t="n">
        <v>7</v>
      </c>
    </row>
    <row r="58">
      <c r="A58" s="3" t="inlineStr">
        <is>
          <t>LE_M+SC_F</t>
        </is>
      </c>
      <c r="B58" s="3" t="n">
        <v>5</v>
      </c>
    </row>
    <row r="59">
      <c r="A59" s="3" t="inlineStr">
        <is>
          <t>LE_M+AQ_F</t>
        </is>
      </c>
      <c r="B59" s="3" t="n">
        <v>4</v>
      </c>
    </row>
    <row r="60">
      <c r="A60" s="3" t="inlineStr">
        <is>
          <t>LE_M+SG_F</t>
        </is>
      </c>
      <c r="B60" s="3" t="n">
        <v>8</v>
      </c>
    </row>
    <row r="61">
      <c r="A61" s="3" t="inlineStr">
        <is>
          <t>LE_M+CP_F</t>
        </is>
      </c>
      <c r="B61" s="3" t="n">
        <v>6</v>
      </c>
    </row>
    <row r="62">
      <c r="A62" s="3" t="inlineStr">
        <is>
          <t>VI_M+TA_F</t>
        </is>
      </c>
      <c r="B62" s="3" t="n">
        <v>7</v>
      </c>
    </row>
    <row r="63">
      <c r="A63" s="3" t="inlineStr">
        <is>
          <t>VI_M+LE_F</t>
        </is>
      </c>
      <c r="B63" s="3" t="n">
        <v>4</v>
      </c>
    </row>
    <row r="64">
      <c r="A64" s="3" t="inlineStr">
        <is>
          <t>VI_M+AR_F</t>
        </is>
      </c>
      <c r="B64" s="3" t="n">
        <v>6</v>
      </c>
    </row>
    <row r="65">
      <c r="A65" s="3" t="inlineStr">
        <is>
          <t>VI_M+VI_F</t>
        </is>
      </c>
      <c r="B65" s="3" t="n">
        <v>7</v>
      </c>
    </row>
    <row r="66">
      <c r="A66" s="3" t="inlineStr">
        <is>
          <t>VI_M+GE_F</t>
        </is>
      </c>
      <c r="B66" s="3" t="n">
        <v>5</v>
      </c>
    </row>
    <row r="67">
      <c r="A67" s="3" t="inlineStr">
        <is>
          <t>VI_M+SG_F</t>
        </is>
      </c>
      <c r="B67" s="3" t="n">
        <v>4</v>
      </c>
    </row>
    <row r="68">
      <c r="A68" s="3" t="inlineStr">
        <is>
          <t>VI_M+SC_F</t>
        </is>
      </c>
      <c r="B68" s="3" t="n">
        <v>6</v>
      </c>
    </row>
    <row r="69">
      <c r="A69" s="3" t="inlineStr">
        <is>
          <t>VI_M+CP_F</t>
        </is>
      </c>
      <c r="B69" s="3" t="n">
        <v>8</v>
      </c>
    </row>
    <row r="70">
      <c r="A70" s="3" t="inlineStr">
        <is>
          <t>VI_M+CA_F</t>
        </is>
      </c>
      <c r="B70" s="3" t="n">
        <v>6</v>
      </c>
    </row>
    <row r="71">
      <c r="A71" s="3" t="inlineStr">
        <is>
          <t>VI_M+LI_F</t>
        </is>
      </c>
      <c r="B71" s="3" t="n">
        <v>5</v>
      </c>
    </row>
    <row r="72">
      <c r="A72" s="3" t="inlineStr">
        <is>
          <t>VI_M+AQ_F</t>
        </is>
      </c>
      <c r="B72" s="3" t="n">
        <v>5</v>
      </c>
    </row>
    <row r="73">
      <c r="A73" s="3" t="inlineStr">
        <is>
          <t>VI_M+PI_F</t>
        </is>
      </c>
      <c r="B73" s="3" t="n">
        <v>6</v>
      </c>
    </row>
    <row r="74">
      <c r="A74" s="3" t="inlineStr">
        <is>
          <t>LI_M+CA_F</t>
        </is>
      </c>
      <c r="B74" s="3" t="n">
        <v>4</v>
      </c>
    </row>
    <row r="75">
      <c r="A75" s="3" t="inlineStr">
        <is>
          <t>LI_M+LE_F</t>
        </is>
      </c>
      <c r="B75" s="3" t="n">
        <v>5</v>
      </c>
    </row>
    <row r="76">
      <c r="A76" s="3" t="inlineStr">
        <is>
          <t>LI_M+LI_F</t>
        </is>
      </c>
      <c r="B76" s="3" t="n">
        <v>6</v>
      </c>
    </row>
    <row r="77">
      <c r="A77" s="3" t="inlineStr">
        <is>
          <t>LI_M+GE_F</t>
        </is>
      </c>
      <c r="B77" s="3" t="n">
        <v>6</v>
      </c>
    </row>
    <row r="78">
      <c r="A78" s="3" t="inlineStr">
        <is>
          <t>LI_M+VI_F</t>
        </is>
      </c>
      <c r="B78" s="3" t="n">
        <v>6</v>
      </c>
    </row>
    <row r="79">
      <c r="A79" s="3" t="inlineStr">
        <is>
          <t>LI_M+AR_F</t>
        </is>
      </c>
      <c r="B79" s="3" t="n">
        <v>7</v>
      </c>
    </row>
    <row r="80">
      <c r="A80" s="3" t="inlineStr">
        <is>
          <t>LI_M+SC_F</t>
        </is>
      </c>
      <c r="B80" s="3" t="n">
        <v>4</v>
      </c>
    </row>
    <row r="81">
      <c r="A81" s="3" t="inlineStr">
        <is>
          <t>LI_M+TA_F</t>
        </is>
      </c>
      <c r="B81" s="3" t="n">
        <v>5</v>
      </c>
    </row>
    <row r="82">
      <c r="A82" s="3" t="inlineStr">
        <is>
          <t>LI_M+AQ_F</t>
        </is>
      </c>
      <c r="B82" s="3" t="n">
        <v>8</v>
      </c>
    </row>
    <row r="83">
      <c r="A83" s="3" t="inlineStr">
        <is>
          <t>LI_M+CP_F</t>
        </is>
      </c>
      <c r="B83" s="3" t="n">
        <v>5</v>
      </c>
    </row>
    <row r="84">
      <c r="A84" s="3" t="inlineStr">
        <is>
          <t>LI_M+PI_F</t>
        </is>
      </c>
      <c r="B84" s="3" t="n">
        <v>6</v>
      </c>
    </row>
    <row r="85">
      <c r="A85" s="3" t="inlineStr">
        <is>
          <t>SC_M+LE_F</t>
        </is>
      </c>
      <c r="B85" s="3" t="n">
        <v>6</v>
      </c>
    </row>
    <row r="86">
      <c r="A86" s="3" t="inlineStr">
        <is>
          <t>SC_M+TA_F</t>
        </is>
      </c>
      <c r="B86" s="3" t="n">
        <v>6</v>
      </c>
    </row>
    <row r="87">
      <c r="A87" s="3" t="inlineStr">
        <is>
          <t>SC_M+AR_F</t>
        </is>
      </c>
      <c r="B87" s="3" t="n">
        <v>5</v>
      </c>
    </row>
    <row r="88">
      <c r="A88" s="3" t="inlineStr">
        <is>
          <t>SC_M+VI_F</t>
        </is>
      </c>
      <c r="B88" s="3" t="n">
        <v>4</v>
      </c>
    </row>
    <row r="89">
      <c r="A89" s="3" t="inlineStr">
        <is>
          <t>SC_M+CA_F</t>
        </is>
      </c>
      <c r="B89" s="3" t="n">
        <v>5</v>
      </c>
    </row>
    <row r="90">
      <c r="A90" s="3" t="inlineStr">
        <is>
          <t>SC_M+GE_F</t>
        </is>
      </c>
      <c r="B90" s="3" t="n">
        <v>7</v>
      </c>
    </row>
    <row r="91">
      <c r="A91" s="3" t="inlineStr">
        <is>
          <t>LI_M+SG_F</t>
        </is>
      </c>
      <c r="B91" s="3" t="n">
        <v>7</v>
      </c>
    </row>
    <row r="92">
      <c r="A92" s="3" t="inlineStr">
        <is>
          <t>SC_M+SG_F</t>
        </is>
      </c>
      <c r="B92" s="3" t="n">
        <v>6</v>
      </c>
    </row>
    <row r="93">
      <c r="A93" s="3" t="inlineStr">
        <is>
          <t>SC_M+AQ_F</t>
        </is>
      </c>
      <c r="B93" s="3" t="n">
        <v>4</v>
      </c>
    </row>
    <row r="94">
      <c r="A94" s="3" t="inlineStr">
        <is>
          <t>SG_M+GE_F</t>
        </is>
      </c>
      <c r="B94" s="3" t="n">
        <v>5</v>
      </c>
    </row>
    <row r="95">
      <c r="A95" s="3" t="inlineStr">
        <is>
          <t>SC_M+LI_F</t>
        </is>
      </c>
      <c r="B95" s="3" t="n">
        <v>5</v>
      </c>
    </row>
    <row r="96">
      <c r="A96" s="3" t="inlineStr">
        <is>
          <t>SG_M+AR_F</t>
        </is>
      </c>
      <c r="B96" s="3" t="n">
        <v>6</v>
      </c>
    </row>
    <row r="97">
      <c r="A97" s="3" t="inlineStr">
        <is>
          <t>SC_M+CP_F</t>
        </is>
      </c>
      <c r="B97" s="3" t="n">
        <v>5</v>
      </c>
    </row>
    <row r="98">
      <c r="A98" s="3" t="inlineStr">
        <is>
          <t>SC_M+PI_F</t>
        </is>
      </c>
      <c r="B98" s="3" t="n">
        <v>8</v>
      </c>
    </row>
    <row r="99">
      <c r="A99" s="3" t="inlineStr">
        <is>
          <t>SC_M+SC_F</t>
        </is>
      </c>
      <c r="B99" s="3" t="n">
        <v>7</v>
      </c>
    </row>
    <row r="100">
      <c r="A100" s="3" t="inlineStr">
        <is>
          <t>SG_M+TA_F</t>
        </is>
      </c>
      <c r="B100" s="3" t="n">
        <v>4</v>
      </c>
    </row>
    <row r="101">
      <c r="A101" s="3" t="inlineStr">
        <is>
          <t>SG_M+CA_F</t>
        </is>
      </c>
      <c r="B101" s="3" t="n">
        <v>6</v>
      </c>
    </row>
    <row r="102">
      <c r="A102" s="3" t="inlineStr">
        <is>
          <t>SG_M+VI_F</t>
        </is>
      </c>
      <c r="B102" s="3" t="n">
        <v>5</v>
      </c>
    </row>
    <row r="103">
      <c r="A103" s="3" t="inlineStr">
        <is>
          <t>SG_M+CP_F</t>
        </is>
      </c>
      <c r="B103" s="3" t="n">
        <v>4</v>
      </c>
    </row>
    <row r="104">
      <c r="A104" s="3" t="inlineStr">
        <is>
          <t>SG_M+LE_F</t>
        </is>
      </c>
      <c r="B104" s="3" t="n">
        <v>8</v>
      </c>
    </row>
    <row r="105">
      <c r="A105" s="3" t="inlineStr">
        <is>
          <t>SG_M+LI_F</t>
        </is>
      </c>
      <c r="B105" s="3" t="n">
        <v>7</v>
      </c>
    </row>
    <row r="106">
      <c r="A106" s="3" t="inlineStr">
        <is>
          <t>CP_M+TA_F</t>
        </is>
      </c>
      <c r="B106" s="3" t="n">
        <v>7</v>
      </c>
    </row>
    <row r="107">
      <c r="A107" s="3" t="inlineStr">
        <is>
          <t>SG_M+PI_F</t>
        </is>
      </c>
      <c r="B107" s="3" t="n">
        <v>5</v>
      </c>
    </row>
    <row r="108">
      <c r="A108" s="3" t="inlineStr">
        <is>
          <t>SG_M+SG_F</t>
        </is>
      </c>
      <c r="B108" s="3" t="n">
        <v>6</v>
      </c>
    </row>
    <row r="109">
      <c r="A109" s="3" t="inlineStr">
        <is>
          <t>SG_M+AQ_F</t>
        </is>
      </c>
      <c r="B109" s="3" t="n">
        <v>6</v>
      </c>
    </row>
    <row r="110">
      <c r="A110" s="3" t="inlineStr">
        <is>
          <t>SG_M+SC_F</t>
        </is>
      </c>
      <c r="B110" s="3" t="n">
        <v>5</v>
      </c>
    </row>
    <row r="111">
      <c r="A111" s="3" t="inlineStr">
        <is>
          <t>CP_M+AR_F</t>
        </is>
      </c>
      <c r="B111" s="3" t="n">
        <v>4</v>
      </c>
    </row>
    <row r="112">
      <c r="A112" s="3" t="inlineStr">
        <is>
          <t>CP_M+AQ_F</t>
        </is>
      </c>
      <c r="B112" s="3" t="n">
        <v>5</v>
      </c>
    </row>
    <row r="113">
      <c r="A113" s="3" t="inlineStr">
        <is>
          <t>CP_M+LE_F</t>
        </is>
      </c>
      <c r="B113" s="3" t="n">
        <v>5</v>
      </c>
    </row>
    <row r="114">
      <c r="A114" s="3" t="inlineStr">
        <is>
          <t>CP_M+CP_F</t>
        </is>
      </c>
      <c r="B114" s="3" t="n">
        <v>7</v>
      </c>
    </row>
    <row r="115">
      <c r="A115" s="3" t="inlineStr">
        <is>
          <t>CP_M+PI_F</t>
        </is>
      </c>
      <c r="B115" s="3" t="n">
        <v>6</v>
      </c>
    </row>
    <row r="116">
      <c r="A116" s="3" t="inlineStr">
        <is>
          <t>CP_M+SG_F</t>
        </is>
      </c>
      <c r="B116" s="3" t="n">
        <v>4</v>
      </c>
    </row>
    <row r="117">
      <c r="A117" s="3" t="inlineStr">
        <is>
          <t>CP_M+LI_F</t>
        </is>
      </c>
      <c r="B117" s="3" t="n">
        <v>6</v>
      </c>
    </row>
    <row r="118">
      <c r="A118" s="3" t="inlineStr">
        <is>
          <t>CP_M+SC_F</t>
        </is>
      </c>
      <c r="B118" s="3" t="n">
        <v>5</v>
      </c>
    </row>
    <row r="119">
      <c r="A119" s="3" t="inlineStr">
        <is>
          <t>CP_M+GE_F</t>
        </is>
      </c>
      <c r="B119" s="3" t="n">
        <v>5</v>
      </c>
    </row>
    <row r="120">
      <c r="A120" s="3" t="inlineStr">
        <is>
          <t>CP_M+VI_F</t>
        </is>
      </c>
      <c r="B120" s="3" t="n">
        <v>8</v>
      </c>
    </row>
    <row r="121">
      <c r="A121" s="3" t="inlineStr">
        <is>
          <t>CP_M+CA_F</t>
        </is>
      </c>
      <c r="B121" s="3" t="n">
        <v>6</v>
      </c>
    </row>
    <row r="122">
      <c r="A122" s="3" t="inlineStr">
        <is>
          <t>AQ_M+VI_F</t>
        </is>
      </c>
      <c r="B122" s="3" t="n">
        <v>5</v>
      </c>
    </row>
    <row r="123">
      <c r="A123" s="3" t="inlineStr">
        <is>
          <t>AQ_M+CA_F</t>
        </is>
      </c>
      <c r="B123" s="3" t="n">
        <v>7</v>
      </c>
    </row>
    <row r="124">
      <c r="A124" s="3" t="inlineStr">
        <is>
          <t>AQ_M+GE_F</t>
        </is>
      </c>
      <c r="B124" s="3" t="n">
        <v>6</v>
      </c>
    </row>
    <row r="125">
      <c r="A125" s="3" t="inlineStr">
        <is>
          <t>AQ_M+SC_F</t>
        </is>
      </c>
      <c r="B125" s="3" t="n">
        <v>4</v>
      </c>
    </row>
    <row r="126">
      <c r="A126" s="3" t="inlineStr">
        <is>
          <t>AQ_M+AR_F</t>
        </is>
      </c>
      <c r="B126" s="3" t="n">
        <v>6</v>
      </c>
    </row>
    <row r="127">
      <c r="A127" s="3" t="inlineStr">
        <is>
          <t>AQ_M+SG_F</t>
        </is>
      </c>
      <c r="B127" s="3" t="n">
        <v>6</v>
      </c>
    </row>
    <row r="128">
      <c r="A128" s="3" t="inlineStr">
        <is>
          <t>AQ_M+LE_F</t>
        </is>
      </c>
      <c r="B128" s="3" t="n">
        <v>4</v>
      </c>
    </row>
    <row r="129">
      <c r="A129" s="3" t="inlineStr">
        <is>
          <t>AQ_M+CP_F</t>
        </is>
      </c>
      <c r="B129" s="3" t="n">
        <v>5</v>
      </c>
    </row>
    <row r="130">
      <c r="A130" s="3" t="inlineStr">
        <is>
          <t>AQ_M+TA_F</t>
        </is>
      </c>
      <c r="B130" s="3" t="n">
        <v>5</v>
      </c>
    </row>
    <row r="131">
      <c r="A131" s="3" t="inlineStr">
        <is>
          <t>AQ_M+LI_F</t>
        </is>
      </c>
      <c r="B131" s="3" t="n">
        <v>8</v>
      </c>
    </row>
    <row r="132">
      <c r="A132" s="3" t="inlineStr">
        <is>
          <t>PI_M+TA_F</t>
        </is>
      </c>
      <c r="B132" s="3" t="n">
        <v>6</v>
      </c>
    </row>
    <row r="133">
      <c r="A133" s="3" t="inlineStr">
        <is>
          <t>PI_M+AR_F</t>
        </is>
      </c>
      <c r="B133" s="3" t="n">
        <v>5</v>
      </c>
    </row>
    <row r="134">
      <c r="A134" s="3" t="inlineStr">
        <is>
          <t>PI_M+CA_F</t>
        </is>
      </c>
      <c r="B134" s="3" t="n">
        <v>6</v>
      </c>
    </row>
    <row r="135">
      <c r="A135" s="3" t="inlineStr">
        <is>
          <t>AQ_M+AQ_F</t>
        </is>
      </c>
      <c r="B135" s="3" t="n">
        <v>6</v>
      </c>
    </row>
    <row r="136">
      <c r="A136" s="3" t="inlineStr">
        <is>
          <t>AQ_M+PI_F</t>
        </is>
      </c>
      <c r="B136" s="3" t="n">
        <v>7</v>
      </c>
    </row>
    <row r="137">
      <c r="A137" s="3" t="inlineStr">
        <is>
          <t>PI_M+GE_F</t>
        </is>
      </c>
      <c r="B137" s="3" t="n">
        <v>4</v>
      </c>
    </row>
    <row r="138">
      <c r="A138" s="3" t="inlineStr">
        <is>
          <t>PI_M+LI_F</t>
        </is>
      </c>
      <c r="B138" s="3" t="n">
        <v>6</v>
      </c>
    </row>
    <row r="139">
      <c r="A139" s="3" t="inlineStr">
        <is>
          <t>PI_M+SC_F</t>
        </is>
      </c>
      <c r="B139" s="3" t="n">
        <v>8</v>
      </c>
    </row>
    <row r="140">
      <c r="A140" s="3" t="inlineStr">
        <is>
          <t>PI_M+LE_F</t>
        </is>
      </c>
      <c r="B140" s="3" t="n">
        <v>7</v>
      </c>
    </row>
    <row r="141">
      <c r="A141" s="3" t="inlineStr">
        <is>
          <t>PI_M+VI_F</t>
        </is>
      </c>
      <c r="B141" s="3" t="n">
        <v>5</v>
      </c>
    </row>
    <row r="142">
      <c r="A142" s="3" t="inlineStr">
        <is>
          <t>PI_M+AQ_F</t>
        </is>
      </c>
      <c r="B142" s="3" t="n">
        <v>7</v>
      </c>
    </row>
    <row r="143">
      <c r="A143" s="3" t="inlineStr">
        <is>
          <t>PI_M+CP_F</t>
        </is>
      </c>
      <c r="B143" s="3" t="n">
        <v>6</v>
      </c>
    </row>
    <row r="144">
      <c r="A144" s="3" t="inlineStr">
        <is>
          <t>VI_F+AR_M</t>
        </is>
      </c>
      <c r="B144" s="3" t="n">
        <v>6</v>
      </c>
    </row>
    <row r="145">
      <c r="A145" s="3" t="inlineStr">
        <is>
          <t>AR_F+AR_M</t>
        </is>
      </c>
      <c r="B145" s="3" t="n">
        <v>6</v>
      </c>
    </row>
    <row r="146">
      <c r="A146" s="3" t="inlineStr">
        <is>
          <t>LE_F+AR_M</t>
        </is>
      </c>
      <c r="B146" s="3" t="n">
        <v>8</v>
      </c>
    </row>
    <row r="147">
      <c r="A147" s="3" t="inlineStr">
        <is>
          <t>GE_F+AR_M</t>
        </is>
      </c>
      <c r="B147" s="3" t="n">
        <v>5</v>
      </c>
    </row>
    <row r="148">
      <c r="A148" s="3" t="inlineStr">
        <is>
          <t>TA_F+AR_M</t>
        </is>
      </c>
      <c r="B148" s="3" t="n">
        <v>7</v>
      </c>
    </row>
    <row r="149">
      <c r="A149" s="3" t="inlineStr">
        <is>
          <t>PI_M+PI_F</t>
        </is>
      </c>
      <c r="B149" s="3" t="n">
        <v>6</v>
      </c>
    </row>
    <row r="150">
      <c r="A150" s="3" t="inlineStr">
        <is>
          <t>LI_F+AR_M</t>
        </is>
      </c>
      <c r="B150" s="3" t="n">
        <v>7</v>
      </c>
    </row>
    <row r="151">
      <c r="A151" s="3" t="inlineStr">
        <is>
          <t>PI_M+SG_F</t>
        </is>
      </c>
      <c r="B151" s="3" t="n">
        <v>5</v>
      </c>
    </row>
    <row r="152">
      <c r="A152" s="3" t="inlineStr">
        <is>
          <t>SC_F+AR_M</t>
        </is>
      </c>
      <c r="B152" s="3" t="n">
        <v>5</v>
      </c>
    </row>
    <row r="153">
      <c r="A153" s="3" t="inlineStr">
        <is>
          <t>SG_F+AR_M</t>
        </is>
      </c>
      <c r="B153" s="3" t="n">
        <v>6</v>
      </c>
    </row>
    <row r="154">
      <c r="A154" s="3" t="inlineStr">
        <is>
          <t>CA_F+AR_M</t>
        </is>
      </c>
      <c r="B154" s="3" t="n">
        <v>6</v>
      </c>
    </row>
    <row r="155">
      <c r="A155" s="3" t="inlineStr">
        <is>
          <t>TA_F+TA_M</t>
        </is>
      </c>
      <c r="B155" s="3" t="n">
        <v>6</v>
      </c>
    </row>
    <row r="156">
      <c r="A156" s="3" t="inlineStr">
        <is>
          <t>CP_F+AR_M</t>
        </is>
      </c>
      <c r="B156" s="3" t="n">
        <v>4</v>
      </c>
    </row>
    <row r="157">
      <c r="A157" s="3" t="inlineStr">
        <is>
          <t>AR_F+TA_M</t>
        </is>
      </c>
      <c r="B157" s="3" t="n">
        <v>7</v>
      </c>
    </row>
    <row r="158">
      <c r="A158" s="3" t="inlineStr">
        <is>
          <t>LE_F+TA_M</t>
        </is>
      </c>
      <c r="B158" s="3" t="n">
        <v>6</v>
      </c>
    </row>
    <row r="159">
      <c r="A159" s="3" t="inlineStr">
        <is>
          <t>GE_F+TA_M</t>
        </is>
      </c>
      <c r="B159" s="3" t="n">
        <v>6</v>
      </c>
    </row>
    <row r="160">
      <c r="A160" s="3" t="inlineStr">
        <is>
          <t>CA_F+TA_M</t>
        </is>
      </c>
      <c r="B160" s="3" t="n">
        <v>5</v>
      </c>
    </row>
    <row r="161">
      <c r="A161" s="3" t="inlineStr">
        <is>
          <t>AQ_F+AR_M</t>
        </is>
      </c>
      <c r="B161" s="3" t="n">
        <v>6</v>
      </c>
    </row>
    <row r="162">
      <c r="A162" s="3" t="inlineStr">
        <is>
          <t>TA_F+GE_M</t>
        </is>
      </c>
      <c r="B162" s="3" t="n">
        <v>5</v>
      </c>
    </row>
    <row r="163">
      <c r="A163" s="3" t="inlineStr">
        <is>
          <t>LI_F+TA_M</t>
        </is>
      </c>
      <c r="B163" s="3" t="n">
        <v>5</v>
      </c>
    </row>
    <row r="164">
      <c r="A164" s="3" t="inlineStr">
        <is>
          <t>PI_F+AR_M</t>
        </is>
      </c>
      <c r="B164" s="3" t="n">
        <v>5</v>
      </c>
    </row>
    <row r="165">
      <c r="A165" s="3" t="inlineStr">
        <is>
          <t>VI_F+TA_M</t>
        </is>
      </c>
      <c r="B165" s="3" t="n">
        <v>7</v>
      </c>
    </row>
    <row r="166">
      <c r="A166" s="3" t="inlineStr">
        <is>
          <t>GE_F+GE_M</t>
        </is>
      </c>
      <c r="B166" s="3" t="n">
        <v>6</v>
      </c>
    </row>
    <row r="167">
      <c r="A167" s="3" t="inlineStr">
        <is>
          <t>SG_F+TA_M</t>
        </is>
      </c>
      <c r="B167" s="3" t="n">
        <v>4</v>
      </c>
    </row>
    <row r="168">
      <c r="A168" s="3" t="inlineStr">
        <is>
          <t>CA_F+GE_M</t>
        </is>
      </c>
      <c r="B168" s="3" t="n">
        <v>7</v>
      </c>
    </row>
    <row r="169">
      <c r="A169" s="3" t="inlineStr">
        <is>
          <t>SC_F+TA_M</t>
        </is>
      </c>
      <c r="B169" s="3" t="n">
        <v>6</v>
      </c>
    </row>
    <row r="170">
      <c r="A170" s="3" t="inlineStr">
        <is>
          <t>LE_F+GE_M</t>
        </is>
      </c>
      <c r="B170" s="3" t="n">
        <v>5</v>
      </c>
    </row>
    <row r="171">
      <c r="A171" s="3" t="inlineStr">
        <is>
          <t>CP_F+TA_M</t>
        </is>
      </c>
      <c r="B171" s="3" t="n">
        <v>7</v>
      </c>
    </row>
    <row r="172">
      <c r="A172" s="3" t="inlineStr">
        <is>
          <t>VI_F+GE_M</t>
        </is>
      </c>
      <c r="B172" s="3" t="n">
        <v>5</v>
      </c>
    </row>
    <row r="173">
      <c r="A173" s="3" t="inlineStr">
        <is>
          <t>SC_F+GE_M</t>
        </is>
      </c>
      <c r="B173" s="3" t="n">
        <v>7</v>
      </c>
    </row>
    <row r="174">
      <c r="A174" s="3" t="inlineStr">
        <is>
          <t>LI_F+GE_M</t>
        </is>
      </c>
      <c r="B174" s="3" t="n">
        <v>6</v>
      </c>
    </row>
    <row r="175">
      <c r="A175" s="3" t="inlineStr">
        <is>
          <t>CP_F+GE_M</t>
        </is>
      </c>
      <c r="B175" s="3" t="n">
        <v>5</v>
      </c>
    </row>
    <row r="176">
      <c r="A176" s="3" t="inlineStr">
        <is>
          <t>AQ_F+TA_M</t>
        </is>
      </c>
      <c r="B176" s="3" t="n">
        <v>5</v>
      </c>
    </row>
    <row r="177">
      <c r="A177" s="3" t="inlineStr">
        <is>
          <t>PI_F+TA_M</t>
        </is>
      </c>
      <c r="B177" s="3" t="n">
        <v>6</v>
      </c>
    </row>
    <row r="178">
      <c r="A178" s="3" t="inlineStr">
        <is>
          <t>AR_F+GE_M</t>
        </is>
      </c>
      <c r="B178" s="3" t="n">
        <v>5</v>
      </c>
    </row>
    <row r="179">
      <c r="A179" s="3" t="inlineStr">
        <is>
          <t>CA_F+CA_M</t>
        </is>
      </c>
      <c r="B179" s="3" t="n">
        <v>6</v>
      </c>
    </row>
    <row r="180">
      <c r="A180" s="3" t="inlineStr">
        <is>
          <t>SG_F+GE_M</t>
        </is>
      </c>
      <c r="B180" s="3" t="n">
        <v>5</v>
      </c>
    </row>
    <row r="181">
      <c r="A181" s="3" t="inlineStr">
        <is>
          <t>GE_F+CA_M</t>
        </is>
      </c>
      <c r="B181" s="3" t="n">
        <v>7</v>
      </c>
    </row>
    <row r="182">
      <c r="A182" s="3" t="inlineStr">
        <is>
          <t>CP_F+CA_M</t>
        </is>
      </c>
      <c r="B182" s="3" t="n">
        <v>6</v>
      </c>
    </row>
    <row r="183">
      <c r="A183" s="3" t="inlineStr">
        <is>
          <t>VI_F+CA_M</t>
        </is>
      </c>
      <c r="B183" s="3" t="n">
        <v>6</v>
      </c>
    </row>
    <row r="184">
      <c r="A184" s="3" t="inlineStr">
        <is>
          <t>AQ_F+GE_M</t>
        </is>
      </c>
      <c r="B184" s="3" t="n">
        <v>6</v>
      </c>
    </row>
    <row r="185">
      <c r="A185" s="3" t="inlineStr">
        <is>
          <t>TA_F+CA_M</t>
        </is>
      </c>
      <c r="B185" s="3" t="n">
        <v>7</v>
      </c>
    </row>
    <row r="186">
      <c r="A186" s="3" t="inlineStr">
        <is>
          <t>SG_F+CA_M</t>
        </is>
      </c>
      <c r="B186" s="3" t="n">
        <v>6</v>
      </c>
    </row>
    <row r="187">
      <c r="A187" s="3" t="inlineStr">
        <is>
          <t>AR_F+CA_M</t>
        </is>
      </c>
      <c r="B187" s="3" t="n">
        <v>4</v>
      </c>
    </row>
    <row r="188">
      <c r="A188" s="3" t="inlineStr">
        <is>
          <t>SC_F+CA_M</t>
        </is>
      </c>
      <c r="B188" s="3" t="n">
        <v>5</v>
      </c>
    </row>
    <row r="189">
      <c r="A189" s="3" t="inlineStr">
        <is>
          <t>PI_F+GE_M</t>
        </is>
      </c>
      <c r="B189" s="3" t="n">
        <v>4</v>
      </c>
    </row>
    <row r="190">
      <c r="A190" s="3" t="inlineStr">
        <is>
          <t>LE_F+CA_M</t>
        </is>
      </c>
      <c r="B190" s="3" t="n">
        <v>4</v>
      </c>
    </row>
    <row r="191">
      <c r="A191" s="3" t="inlineStr">
        <is>
          <t>AQ_F+CA_M</t>
        </is>
      </c>
      <c r="B191" s="3" t="n">
        <v>7</v>
      </c>
    </row>
    <row r="192">
      <c r="A192" s="3" t="inlineStr">
        <is>
          <t>PI_F+CA_M</t>
        </is>
      </c>
      <c r="B192" s="3" t="n">
        <v>6</v>
      </c>
    </row>
    <row r="193">
      <c r="A193" s="3" t="inlineStr">
        <is>
          <t>AQ_F+LE_M</t>
        </is>
      </c>
      <c r="B193" s="3" t="n">
        <v>4</v>
      </c>
    </row>
    <row r="194">
      <c r="A194" s="3" t="inlineStr">
        <is>
          <t>LI_F+CA_M</t>
        </is>
      </c>
      <c r="B194" s="3" t="n">
        <v>4</v>
      </c>
    </row>
    <row r="195">
      <c r="A195" s="3" t="inlineStr">
        <is>
          <t>AR_F+LE_M</t>
        </is>
      </c>
      <c r="B195" s="3" t="n">
        <v>8</v>
      </c>
    </row>
    <row r="196">
      <c r="A196" s="3" t="inlineStr">
        <is>
          <t>GE_F+LE_M</t>
        </is>
      </c>
      <c r="B196" s="3" t="n">
        <v>5</v>
      </c>
    </row>
    <row r="197">
      <c r="A197" s="3" t="inlineStr">
        <is>
          <t>TA_F+LE_M</t>
        </is>
      </c>
      <c r="B197" s="3" t="n">
        <v>4</v>
      </c>
    </row>
    <row r="198">
      <c r="A198" s="3" t="inlineStr">
        <is>
          <t>LI_F+LE_M</t>
        </is>
      </c>
      <c r="B198" s="3" t="n">
        <v>5</v>
      </c>
    </row>
    <row r="199">
      <c r="A199" s="3" t="inlineStr">
        <is>
          <t>CP_F+LE_M</t>
        </is>
      </c>
      <c r="B199" s="3" t="n">
        <v>5</v>
      </c>
    </row>
    <row r="200">
      <c r="A200" s="3" t="inlineStr">
        <is>
          <t>VI_F+LE_M</t>
        </is>
      </c>
      <c r="B200" s="3" t="n">
        <v>4</v>
      </c>
    </row>
    <row r="201">
      <c r="A201" s="3" t="inlineStr">
        <is>
          <t>LE_F+LE_M</t>
        </is>
      </c>
      <c r="B201" s="3" t="n">
        <v>7</v>
      </c>
    </row>
    <row r="202">
      <c r="A202" s="3" t="inlineStr">
        <is>
          <t>SC_F+LE_M</t>
        </is>
      </c>
      <c r="B202" s="3" t="n">
        <v>6</v>
      </c>
    </row>
    <row r="203">
      <c r="A203" s="3" t="inlineStr">
        <is>
          <t>PI_F+LE_M</t>
        </is>
      </c>
      <c r="B203" s="3" t="n">
        <v>7</v>
      </c>
    </row>
    <row r="204">
      <c r="A204" s="3" t="inlineStr">
        <is>
          <t>CA_F+VI_M</t>
        </is>
      </c>
      <c r="B204" s="3" t="n">
        <v>6</v>
      </c>
    </row>
    <row r="205">
      <c r="A205" s="3" t="inlineStr">
        <is>
          <t>SG_F+LE_M</t>
        </is>
      </c>
      <c r="B205" s="3" t="n">
        <v>8</v>
      </c>
    </row>
    <row r="206">
      <c r="A206" s="3" t="inlineStr">
        <is>
          <t>TA_F+VI_M</t>
        </is>
      </c>
      <c r="B206" s="3" t="n">
        <v>8</v>
      </c>
    </row>
    <row r="207">
      <c r="A207" s="3" t="inlineStr">
        <is>
          <t>CA_F+LE_M</t>
        </is>
      </c>
      <c r="B207" s="3" t="n">
        <v>4</v>
      </c>
    </row>
    <row r="208">
      <c r="A208" s="3" t="inlineStr">
        <is>
          <t>GE_F+VI_M</t>
        </is>
      </c>
      <c r="B208" s="3" t="n">
        <v>4</v>
      </c>
    </row>
    <row r="209">
      <c r="A209" s="3" t="inlineStr">
        <is>
          <t>AR_F+VI_M</t>
        </is>
      </c>
      <c r="B209" s="3" t="n">
        <v>6</v>
      </c>
    </row>
    <row r="210">
      <c r="A210" s="3" t="inlineStr">
        <is>
          <t>VI_F+VI_M</t>
        </is>
      </c>
      <c r="B210" s="3" t="n">
        <v>7</v>
      </c>
    </row>
    <row r="211">
      <c r="A211" s="3" t="inlineStr">
        <is>
          <t>LE_F+VI_M</t>
        </is>
      </c>
      <c r="B211" s="3" t="n">
        <v>5</v>
      </c>
    </row>
    <row r="212">
      <c r="A212" s="3" t="inlineStr">
        <is>
          <t>SC_F+VI_M</t>
        </is>
      </c>
      <c r="B212" s="3" t="n">
        <v>4</v>
      </c>
    </row>
    <row r="213">
      <c r="A213" s="3" t="inlineStr">
        <is>
          <t>SG_F+VI_M</t>
        </is>
      </c>
      <c r="B213" s="3" t="n">
        <v>5</v>
      </c>
    </row>
    <row r="214">
      <c r="A214" s="3" t="inlineStr">
        <is>
          <t>CP_F+VI_M</t>
        </is>
      </c>
      <c r="B214" s="3" t="n">
        <v>8</v>
      </c>
    </row>
    <row r="215">
      <c r="A215" s="3" t="inlineStr">
        <is>
          <t>LI_F+VI_M</t>
        </is>
      </c>
      <c r="B215" s="3" t="n">
        <v>6</v>
      </c>
    </row>
    <row r="216">
      <c r="A216" s="3" t="inlineStr">
        <is>
          <t>VI_F+LI_M</t>
        </is>
      </c>
      <c r="B216" s="3" t="n">
        <v>5</v>
      </c>
    </row>
    <row r="217">
      <c r="A217" s="3" t="inlineStr">
        <is>
          <t>AQ_F+VI_M</t>
        </is>
      </c>
      <c r="B217" s="3" t="n">
        <v>5</v>
      </c>
    </row>
    <row r="218">
      <c r="A218" s="3" t="inlineStr">
        <is>
          <t>PI_F+VI_M</t>
        </is>
      </c>
      <c r="B218" s="3" t="n">
        <v>5</v>
      </c>
    </row>
    <row r="219">
      <c r="A219" s="3" t="inlineStr">
        <is>
          <t>LI_F+LI_M</t>
        </is>
      </c>
      <c r="B219" s="3" t="n">
        <v>6</v>
      </c>
    </row>
    <row r="220">
      <c r="A220" s="3" t="inlineStr">
        <is>
          <t>AR_F+LI_M</t>
        </is>
      </c>
      <c r="B220" s="3" t="n">
        <v>7</v>
      </c>
    </row>
    <row r="221">
      <c r="A221" s="3" t="inlineStr">
        <is>
          <t>CA_F+LI_M</t>
        </is>
      </c>
      <c r="B221" s="3" t="n">
        <v>5</v>
      </c>
    </row>
    <row r="222">
      <c r="A222" s="3" t="inlineStr">
        <is>
          <t>CA_F+SC_M</t>
        </is>
      </c>
      <c r="B222" s="3" t="n">
        <v>8</v>
      </c>
    </row>
    <row r="223">
      <c r="A223" s="3" t="inlineStr">
        <is>
          <t>TA_F+LI_M</t>
        </is>
      </c>
      <c r="B223" s="3" t="n">
        <v>5</v>
      </c>
    </row>
    <row r="224">
      <c r="A224" s="3" t="inlineStr">
        <is>
          <t>CP_F+LI_M</t>
        </is>
      </c>
      <c r="B224" s="3" t="n">
        <v>6</v>
      </c>
    </row>
    <row r="225">
      <c r="A225" s="3" t="inlineStr">
        <is>
          <t>GE_F+LI_M</t>
        </is>
      </c>
      <c r="B225" s="3" t="n">
        <v>8</v>
      </c>
    </row>
    <row r="226">
      <c r="A226" s="3" t="inlineStr">
        <is>
          <t>SC_F+LI_M</t>
        </is>
      </c>
      <c r="B226" s="3" t="n">
        <v>5</v>
      </c>
    </row>
    <row r="227">
      <c r="A227" s="3" t="inlineStr">
        <is>
          <t>LE_F+LI_M</t>
        </is>
      </c>
      <c r="B227" s="3" t="n">
        <v>6</v>
      </c>
    </row>
    <row r="228">
      <c r="A228" s="3" t="inlineStr">
        <is>
          <t>PI_F+LI_M</t>
        </is>
      </c>
      <c r="B228" s="3" t="n">
        <v>6</v>
      </c>
    </row>
    <row r="229">
      <c r="A229" s="3" t="inlineStr">
        <is>
          <t>AQ_F+LI_M</t>
        </is>
      </c>
      <c r="B229" s="3" t="n">
        <v>8</v>
      </c>
    </row>
    <row r="230">
      <c r="A230" s="3" t="inlineStr">
        <is>
          <t>TA_F+SC_M</t>
        </is>
      </c>
      <c r="B230" s="3" t="n">
        <v>6</v>
      </c>
    </row>
    <row r="231">
      <c r="A231" s="3" t="inlineStr">
        <is>
          <t>LE_F+SC_M</t>
        </is>
      </c>
      <c r="B231" s="3" t="n">
        <v>5</v>
      </c>
    </row>
    <row r="232">
      <c r="A232" s="3" t="inlineStr">
        <is>
          <t>VI_F+SC_M</t>
        </is>
      </c>
      <c r="B232" s="3" t="n">
        <v>6</v>
      </c>
    </row>
    <row r="233">
      <c r="A233" s="3" t="inlineStr">
        <is>
          <t>GE_F+SC_M</t>
        </is>
      </c>
      <c r="B233" s="3" t="n">
        <v>6</v>
      </c>
    </row>
    <row r="234">
      <c r="A234" s="3" t="inlineStr">
        <is>
          <t>AR_F+SC_M</t>
        </is>
      </c>
      <c r="B234" s="3" t="n">
        <v>5</v>
      </c>
    </row>
    <row r="235">
      <c r="A235" s="3" t="inlineStr">
        <is>
          <t>PI_F+SC_M</t>
        </is>
      </c>
      <c r="B235" s="3" t="n">
        <v>8</v>
      </c>
    </row>
    <row r="236">
      <c r="A236" s="3" t="inlineStr">
        <is>
          <t>CP_F+SC_M</t>
        </is>
      </c>
      <c r="B236" s="3" t="n">
        <v>5</v>
      </c>
    </row>
    <row r="237">
      <c r="A237" s="3" t="inlineStr">
        <is>
          <t>SG_F+SC_M</t>
        </is>
      </c>
      <c r="B237" s="3" t="n">
        <v>5</v>
      </c>
    </row>
    <row r="238">
      <c r="A238" s="3" t="inlineStr">
        <is>
          <t>SG_F+LI_M</t>
        </is>
      </c>
      <c r="B238" s="3" t="n">
        <v>7</v>
      </c>
    </row>
    <row r="239">
      <c r="A239" s="3" t="inlineStr">
        <is>
          <t>SC_F+SC_M</t>
        </is>
      </c>
      <c r="B239" s="3" t="n">
        <v>7</v>
      </c>
    </row>
    <row r="240">
      <c r="A240" s="3" t="inlineStr">
        <is>
          <t>AR_F+SG_M</t>
        </is>
      </c>
      <c r="B240" s="3" t="n">
        <v>6</v>
      </c>
    </row>
    <row r="241">
      <c r="A241" s="3" t="inlineStr">
        <is>
          <t>AQ_F+SC_M</t>
        </is>
      </c>
      <c r="B241" s="3" t="n">
        <v>4</v>
      </c>
    </row>
    <row r="242">
      <c r="A242" s="3" t="inlineStr">
        <is>
          <t>TA_F+SG_M</t>
        </is>
      </c>
      <c r="B242" s="3" t="n">
        <v>4</v>
      </c>
    </row>
    <row r="243">
      <c r="A243" s="3" t="inlineStr">
        <is>
          <t>LI_F+SG_M</t>
        </is>
      </c>
      <c r="B243" s="3" t="n">
        <v>7</v>
      </c>
    </row>
    <row r="244">
      <c r="A244" s="3" t="inlineStr">
        <is>
          <t>CA_F+SG_M</t>
        </is>
      </c>
      <c r="B244" s="3" t="n">
        <v>6</v>
      </c>
    </row>
    <row r="245">
      <c r="A245" s="3" t="inlineStr">
        <is>
          <t>LI_F+SC_M</t>
        </is>
      </c>
      <c r="B245" s="3" t="n">
        <v>4</v>
      </c>
    </row>
    <row r="246">
      <c r="A246" s="3" t="inlineStr">
        <is>
          <t>PI_F+SG_M</t>
        </is>
      </c>
      <c r="B246" s="3" t="n">
        <v>5</v>
      </c>
    </row>
    <row r="247">
      <c r="A247" s="3" t="inlineStr">
        <is>
          <t>VI_F+SG_M</t>
        </is>
      </c>
      <c r="B247" s="3" t="n">
        <v>4</v>
      </c>
    </row>
    <row r="248">
      <c r="A248" s="3" t="inlineStr">
        <is>
          <t>LE_F+SG_M</t>
        </is>
      </c>
      <c r="B248" s="3" t="n">
        <v>8</v>
      </c>
    </row>
    <row r="249">
      <c r="A249" s="3" t="inlineStr">
        <is>
          <t>CP_F+SG_M</t>
        </is>
      </c>
      <c r="B249" s="3" t="n">
        <v>4</v>
      </c>
    </row>
    <row r="250">
      <c r="A250" s="3" t="inlineStr">
        <is>
          <t>AQ_F+SG_M</t>
        </is>
      </c>
      <c r="B250" s="3" t="n">
        <v>6</v>
      </c>
    </row>
    <row r="251">
      <c r="A251" s="3" t="inlineStr">
        <is>
          <t>SG_F+SG_M</t>
        </is>
      </c>
      <c r="B251" s="3" t="n">
        <v>6</v>
      </c>
    </row>
    <row r="252">
      <c r="A252" s="3" t="inlineStr">
        <is>
          <t>SC_F+SG_M</t>
        </is>
      </c>
      <c r="B252" s="3" t="n">
        <v>6</v>
      </c>
    </row>
    <row r="253">
      <c r="A253" s="3" t="inlineStr">
        <is>
          <t>GE_F+CP_M</t>
        </is>
      </c>
      <c r="B253" s="3" t="n">
        <v>5</v>
      </c>
    </row>
    <row r="254">
      <c r="A254" s="3" t="inlineStr">
        <is>
          <t>CA_F+CP_M</t>
        </is>
      </c>
      <c r="B254" s="3" t="n">
        <v>5</v>
      </c>
    </row>
    <row r="255">
      <c r="A255" s="3" t="inlineStr">
        <is>
          <t>LE_F+CP_M</t>
        </is>
      </c>
      <c r="B255" s="3" t="n">
        <v>6</v>
      </c>
    </row>
    <row r="256">
      <c r="A256" s="3" t="inlineStr">
        <is>
          <t>AR_F+CP_M</t>
        </is>
      </c>
      <c r="B256" s="3" t="n">
        <v>4</v>
      </c>
    </row>
    <row r="257">
      <c r="A257" s="3" t="inlineStr">
        <is>
          <t>TA_F+CP_M</t>
        </is>
      </c>
      <c r="B257" s="3" t="n">
        <v>7</v>
      </c>
    </row>
    <row r="258">
      <c r="A258" s="3" t="inlineStr">
        <is>
          <t>SC_F+CP_M</t>
        </is>
      </c>
      <c r="B258" s="3" t="n">
        <v>5</v>
      </c>
    </row>
    <row r="259">
      <c r="A259" s="3" t="inlineStr">
        <is>
          <t>VI_F+CP_M</t>
        </is>
      </c>
      <c r="B259" s="3" t="n">
        <v>8</v>
      </c>
    </row>
    <row r="260">
      <c r="A260" s="3" t="inlineStr">
        <is>
          <t>GE_F+SG_M</t>
        </is>
      </c>
      <c r="B260" s="3" t="n">
        <v>7</v>
      </c>
    </row>
    <row r="261">
      <c r="A261" s="3" t="inlineStr">
        <is>
          <t>LI_F+CP_M</t>
        </is>
      </c>
      <c r="B261" s="3" t="n">
        <v>5</v>
      </c>
    </row>
    <row r="262">
      <c r="A262" s="3" t="inlineStr">
        <is>
          <t>PI_F+CP_M</t>
        </is>
      </c>
      <c r="B262" s="3" t="n">
        <v>6</v>
      </c>
    </row>
    <row r="263">
      <c r="A263" s="3" t="inlineStr">
        <is>
          <t>AQ_F+CP_M</t>
        </is>
      </c>
      <c r="B263" s="3" t="n">
        <v>5</v>
      </c>
    </row>
    <row r="264">
      <c r="A264" s="3" t="inlineStr">
        <is>
          <t>SG_F+CP_M</t>
        </is>
      </c>
      <c r="B264" s="3" t="n">
        <v>4</v>
      </c>
    </row>
    <row r="265">
      <c r="A265" s="3" t="inlineStr">
        <is>
          <t>LE_F+AQ_M</t>
        </is>
      </c>
      <c r="B265" s="3" t="n">
        <v>4</v>
      </c>
    </row>
    <row r="266">
      <c r="A266" s="3" t="inlineStr">
        <is>
          <t>AR_F+AQ_M</t>
        </is>
      </c>
      <c r="B266" s="3" t="n">
        <v>6</v>
      </c>
    </row>
    <row r="267">
      <c r="A267" s="3" t="inlineStr">
        <is>
          <t>GE_F+AQ_M</t>
        </is>
      </c>
      <c r="B267" s="3" t="n">
        <v>6</v>
      </c>
    </row>
    <row r="268">
      <c r="A268" s="3" t="inlineStr">
        <is>
          <t>CP_F+CP_M</t>
        </is>
      </c>
      <c r="B268" s="3" t="n">
        <v>7</v>
      </c>
    </row>
    <row r="269">
      <c r="A269" s="3" t="inlineStr">
        <is>
          <t>LI_F+AQ_M</t>
        </is>
      </c>
      <c r="B269" s="3" t="n">
        <v>8</v>
      </c>
    </row>
    <row r="270">
      <c r="A270" s="3" t="inlineStr">
        <is>
          <t>TA_F+AQ_M</t>
        </is>
      </c>
      <c r="B270" s="3" t="n">
        <v>5</v>
      </c>
    </row>
    <row r="271">
      <c r="A271" s="3" t="inlineStr">
        <is>
          <t>VI_F+AQ_M</t>
        </is>
      </c>
      <c r="B271" s="3" t="n">
        <v>5</v>
      </c>
    </row>
    <row r="272">
      <c r="A272" s="3" t="inlineStr">
        <is>
          <t>GE_F+PI_M</t>
        </is>
      </c>
      <c r="B272" s="3" t="n">
        <v>4</v>
      </c>
    </row>
    <row r="273">
      <c r="A273" s="3" t="inlineStr">
        <is>
          <t>CP_F+AQ_M</t>
        </is>
      </c>
      <c r="B273" s="3" t="n">
        <v>5</v>
      </c>
    </row>
    <row r="274">
      <c r="A274" s="3" t="inlineStr">
        <is>
          <t>SC_F+AQ_M</t>
        </is>
      </c>
      <c r="B274" s="3" t="n">
        <v>4</v>
      </c>
    </row>
    <row r="275">
      <c r="A275" s="3" t="inlineStr">
        <is>
          <t>CA_F+AQ_M</t>
        </is>
      </c>
      <c r="B275" s="3" t="n">
        <v>7</v>
      </c>
    </row>
    <row r="276">
      <c r="A276" s="3" t="inlineStr">
        <is>
          <t>SG_F+AQ_M</t>
        </is>
      </c>
      <c r="B276" s="3" t="n">
        <v>6</v>
      </c>
    </row>
    <row r="277">
      <c r="A277" s="3" t="inlineStr">
        <is>
          <t>AR_F+PI_M</t>
        </is>
      </c>
      <c r="B277" s="3" t="n">
        <v>5</v>
      </c>
    </row>
    <row r="278">
      <c r="A278" s="3" t="inlineStr">
        <is>
          <t>AQ_F+AQ_M</t>
        </is>
      </c>
      <c r="B278" s="3" t="n">
        <v>6</v>
      </c>
    </row>
    <row r="279">
      <c r="A279" s="3" t="inlineStr">
        <is>
          <t>SC_F+PI_M</t>
        </is>
      </c>
      <c r="B279" s="3" t="n">
        <v>8</v>
      </c>
    </row>
    <row r="280">
      <c r="A280" s="3" t="inlineStr">
        <is>
          <t>TA_F+PI_M</t>
        </is>
      </c>
      <c r="B280" s="3" t="n">
        <v>6</v>
      </c>
    </row>
    <row r="281">
      <c r="A281" s="3" t="inlineStr">
        <is>
          <t>CA_F+PI_M</t>
        </is>
      </c>
      <c r="B281" s="3" t="n">
        <v>6</v>
      </c>
    </row>
    <row r="282">
      <c r="A282" s="3" t="inlineStr">
        <is>
          <t>PI_F+AQ_M</t>
        </is>
      </c>
      <c r="B282" s="3" t="n">
        <v>7</v>
      </c>
    </row>
    <row r="283">
      <c r="A283" s="3" t="inlineStr">
        <is>
          <t>AQ_F+PI_M</t>
        </is>
      </c>
      <c r="B283" s="3" t="n">
        <v>7</v>
      </c>
    </row>
    <row r="284">
      <c r="A284" s="3" t="inlineStr">
        <is>
          <t>AR_M+TA_M</t>
        </is>
      </c>
      <c r="B284" s="3" t="n">
        <v>7</v>
      </c>
    </row>
    <row r="285">
      <c r="A285" s="3" t="inlineStr">
        <is>
          <t>AR_M+LE_M</t>
        </is>
      </c>
      <c r="B285" s="3" t="n">
        <v>8</v>
      </c>
    </row>
    <row r="286">
      <c r="A286" s="3" t="inlineStr">
        <is>
          <t>VI_F+PI_M</t>
        </is>
      </c>
      <c r="B286" s="3" t="n">
        <v>6</v>
      </c>
    </row>
    <row r="287">
      <c r="A287" s="3" t="inlineStr">
        <is>
          <t>CP_F+PI_M</t>
        </is>
      </c>
      <c r="B287" s="3" t="n">
        <v>6</v>
      </c>
    </row>
    <row r="288">
      <c r="A288" s="3" t="inlineStr">
        <is>
          <t>LE_F+PI_M</t>
        </is>
      </c>
      <c r="B288" s="3" t="n">
        <v>7</v>
      </c>
    </row>
    <row r="289">
      <c r="A289" s="3" t="inlineStr">
        <is>
          <t>LI_F+PI_M</t>
        </is>
      </c>
      <c r="B289" s="3" t="n">
        <v>6</v>
      </c>
    </row>
    <row r="290">
      <c r="A290" s="3" t="inlineStr">
        <is>
          <t>PI_F+PI_M</t>
        </is>
      </c>
      <c r="B290" s="3" t="n">
        <v>6</v>
      </c>
    </row>
    <row r="291">
      <c r="A291" s="3" t="inlineStr">
        <is>
          <t>SG_F+PI_M</t>
        </is>
      </c>
      <c r="B291" s="3" t="n">
        <v>5</v>
      </c>
    </row>
    <row r="292">
      <c r="A292" s="3" t="inlineStr">
        <is>
          <t>AR_M+AR_M</t>
        </is>
      </c>
      <c r="B292" s="3" t="n">
        <v>6</v>
      </c>
    </row>
    <row r="293">
      <c r="A293" s="3" t="inlineStr">
        <is>
          <t>AR_M+CA_M</t>
        </is>
      </c>
      <c r="B293" s="3" t="n">
        <v>4</v>
      </c>
    </row>
    <row r="294">
      <c r="A294" s="3" t="inlineStr">
        <is>
          <t>AR_M+GE_M</t>
        </is>
      </c>
      <c r="B294" s="3" t="n">
        <v>5</v>
      </c>
    </row>
    <row r="295">
      <c r="A295" s="3" t="inlineStr">
        <is>
          <t>AR_M+SC_M</t>
        </is>
      </c>
      <c r="B295" s="3" t="n">
        <v>5</v>
      </c>
    </row>
    <row r="296">
      <c r="A296" s="3" t="inlineStr">
        <is>
          <t>TA_M+GE_M</t>
        </is>
      </c>
      <c r="B296" s="3" t="n">
        <v>5</v>
      </c>
    </row>
    <row r="297">
      <c r="A297" s="3" t="inlineStr">
        <is>
          <t>AR_M+LI_M</t>
        </is>
      </c>
      <c r="B297" s="3" t="n">
        <v>7</v>
      </c>
    </row>
    <row r="298">
      <c r="A298" s="3" t="inlineStr">
        <is>
          <t>AR_M+VI_M</t>
        </is>
      </c>
      <c r="B298" s="3" t="n">
        <v>6</v>
      </c>
    </row>
    <row r="299">
      <c r="A299" s="3" t="inlineStr">
        <is>
          <t>AR_M+CP_M</t>
        </is>
      </c>
      <c r="B299" s="3" t="n">
        <v>4</v>
      </c>
    </row>
    <row r="300">
      <c r="A300" s="3" t="inlineStr">
        <is>
          <t>TA_M+AR_M</t>
        </is>
      </c>
      <c r="B300" s="3" t="n">
        <v>7</v>
      </c>
    </row>
    <row r="301">
      <c r="A301" s="3" t="inlineStr">
        <is>
          <t>AR_M+SG_M</t>
        </is>
      </c>
      <c r="B301" s="3" t="n">
        <v>6</v>
      </c>
    </row>
    <row r="302">
      <c r="A302" s="3" t="inlineStr">
        <is>
          <t>TA_M+LE_M</t>
        </is>
      </c>
      <c r="B302" s="3" t="n">
        <v>4</v>
      </c>
    </row>
    <row r="303">
      <c r="A303" s="3" t="inlineStr">
        <is>
          <t>TA_M+TA_M</t>
        </is>
      </c>
      <c r="B303" s="3" t="n">
        <v>6</v>
      </c>
    </row>
    <row r="304">
      <c r="A304" s="3" t="inlineStr">
        <is>
          <t>AR_M+AQ_M</t>
        </is>
      </c>
      <c r="B304" s="3" t="n">
        <v>6</v>
      </c>
    </row>
    <row r="305">
      <c r="A305" s="3" t="inlineStr">
        <is>
          <t>AR_M+PI_M</t>
        </is>
      </c>
      <c r="B305" s="3" t="n">
        <v>5</v>
      </c>
    </row>
    <row r="306">
      <c r="A306" s="3" t="inlineStr">
        <is>
          <t>TA_M+VI_M</t>
        </is>
      </c>
      <c r="B306" s="3" t="n">
        <v>8</v>
      </c>
    </row>
    <row r="307">
      <c r="A307" s="3" t="inlineStr">
        <is>
          <t>TA_M+SC_M</t>
        </is>
      </c>
      <c r="B307" s="3" t="n">
        <v>6</v>
      </c>
    </row>
    <row r="308">
      <c r="A308" s="3" t="inlineStr">
        <is>
          <t>TA_M+CA_M</t>
        </is>
      </c>
      <c r="B308" s="3" t="n">
        <v>7</v>
      </c>
    </row>
    <row r="309">
      <c r="A309" s="3" t="inlineStr">
        <is>
          <t>GE_M+AR_M</t>
        </is>
      </c>
      <c r="B309" s="3" t="n">
        <v>5</v>
      </c>
    </row>
    <row r="310">
      <c r="A310" s="3" t="inlineStr">
        <is>
          <t>TA_M+AQ_M</t>
        </is>
      </c>
      <c r="B310" s="3" t="n">
        <v>5</v>
      </c>
    </row>
    <row r="311">
      <c r="A311" s="3" t="inlineStr">
        <is>
          <t>TA_M+LI_M</t>
        </is>
      </c>
      <c r="B311" s="3" t="n">
        <v>5</v>
      </c>
    </row>
    <row r="312">
      <c r="A312" s="3" t="inlineStr">
        <is>
          <t>GE_M+TA_M</t>
        </is>
      </c>
      <c r="B312" s="3" t="n">
        <v>6</v>
      </c>
    </row>
    <row r="313">
      <c r="A313" s="3" t="inlineStr">
        <is>
          <t>GE_M+LE_M</t>
        </is>
      </c>
      <c r="B313" s="3" t="n">
        <v>5</v>
      </c>
    </row>
    <row r="314">
      <c r="A314" s="3" t="inlineStr">
        <is>
          <t>TA_M+SG_M</t>
        </is>
      </c>
      <c r="B314" s="3" t="n">
        <v>4</v>
      </c>
    </row>
    <row r="315">
      <c r="A315" s="3" t="inlineStr">
        <is>
          <t>TA_M+CP_M</t>
        </is>
      </c>
      <c r="B315" s="3" t="n">
        <v>7</v>
      </c>
    </row>
    <row r="316">
      <c r="A316" s="3" t="inlineStr">
        <is>
          <t>GE_M+AQ_M</t>
        </is>
      </c>
      <c r="B316" s="3" t="n">
        <v>6</v>
      </c>
    </row>
    <row r="317">
      <c r="A317" s="3" t="inlineStr">
        <is>
          <t>TA_M+PI_M</t>
        </is>
      </c>
      <c r="B317" s="3" t="n">
        <v>6</v>
      </c>
    </row>
    <row r="318">
      <c r="A318" s="3" t="inlineStr">
        <is>
          <t>CA_M+TA_M</t>
        </is>
      </c>
      <c r="B318" s="3" t="n">
        <v>5</v>
      </c>
    </row>
    <row r="319">
      <c r="A319" s="3" t="inlineStr">
        <is>
          <t>GE_M+GE_M</t>
        </is>
      </c>
      <c r="B319" s="3" t="n">
        <v>6</v>
      </c>
    </row>
    <row r="320">
      <c r="A320" s="3" t="inlineStr">
        <is>
          <t>GE_M+VI_M</t>
        </is>
      </c>
      <c r="B320" s="3" t="n">
        <v>4</v>
      </c>
    </row>
    <row r="321">
      <c r="A321" s="3" t="inlineStr">
        <is>
          <t>GE_M+CA_M</t>
        </is>
      </c>
      <c r="B321" s="3" t="n">
        <v>7</v>
      </c>
    </row>
    <row r="322">
      <c r="A322" s="3" t="inlineStr">
        <is>
          <t>GE_M+LI_M</t>
        </is>
      </c>
      <c r="B322" s="3" t="n">
        <v>8</v>
      </c>
    </row>
    <row r="323">
      <c r="A323" s="3" t="inlineStr">
        <is>
          <t>GE_M+PI_M</t>
        </is>
      </c>
      <c r="B323" s="3" t="n">
        <v>4</v>
      </c>
    </row>
    <row r="324">
      <c r="A324" s="3" t="inlineStr">
        <is>
          <t>CA_M+GE_M</t>
        </is>
      </c>
      <c r="B324" s="3" t="n">
        <v>7</v>
      </c>
    </row>
    <row r="325">
      <c r="A325" s="3" t="inlineStr">
        <is>
          <t>GE_M+SC_M</t>
        </is>
      </c>
      <c r="B325" s="3" t="n">
        <v>6</v>
      </c>
    </row>
    <row r="326">
      <c r="A326" s="3" t="inlineStr">
        <is>
          <t>GE_M+SG_M</t>
        </is>
      </c>
      <c r="B326" s="3" t="n">
        <v>7</v>
      </c>
    </row>
    <row r="327">
      <c r="A327" s="3" t="inlineStr">
        <is>
          <t>GE_M+CP_M</t>
        </is>
      </c>
      <c r="B327" s="3" t="n">
        <v>5</v>
      </c>
    </row>
    <row r="328">
      <c r="A328" s="3" t="inlineStr">
        <is>
          <t>CA_M+SC_M</t>
        </is>
      </c>
      <c r="B328" s="3" t="n">
        <v>8</v>
      </c>
    </row>
    <row r="329">
      <c r="A329" s="3" t="inlineStr">
        <is>
          <t>CA_M+LI_M</t>
        </is>
      </c>
      <c r="B329" s="3" t="n">
        <v>5</v>
      </c>
    </row>
    <row r="330">
      <c r="A330" s="3" t="inlineStr">
        <is>
          <t>CA_M+AR_M</t>
        </is>
      </c>
      <c r="B330" s="3" t="n">
        <v>6</v>
      </c>
    </row>
    <row r="331">
      <c r="A331" s="3" t="inlineStr">
        <is>
          <t>CA_M+CA_M</t>
        </is>
      </c>
      <c r="B331" s="3" t="n">
        <v>6</v>
      </c>
    </row>
    <row r="332">
      <c r="A332" s="3" t="inlineStr">
        <is>
          <t>CA_M+PI_M</t>
        </is>
      </c>
      <c r="B332" s="3" t="n">
        <v>6</v>
      </c>
    </row>
    <row r="333">
      <c r="A333" s="3" t="inlineStr">
        <is>
          <t>CA_M+SG_M</t>
        </is>
      </c>
      <c r="B333" s="3" t="n">
        <v>6</v>
      </c>
    </row>
    <row r="334">
      <c r="A334" s="3" t="inlineStr">
        <is>
          <t>CA_M+VI_M</t>
        </is>
      </c>
      <c r="B334" s="3" t="n">
        <v>6</v>
      </c>
    </row>
    <row r="335">
      <c r="A335" s="3" t="inlineStr">
        <is>
          <t>CA_M+AQ_M</t>
        </is>
      </c>
      <c r="B335" s="3" t="n">
        <v>7</v>
      </c>
    </row>
    <row r="336">
      <c r="A336" s="3" t="inlineStr">
        <is>
          <t>CA_M+LE_M</t>
        </is>
      </c>
      <c r="B336" s="3" t="n">
        <v>4</v>
      </c>
    </row>
    <row r="337">
      <c r="A337" s="3" t="inlineStr">
        <is>
          <t>LE_M+AR_M</t>
        </is>
      </c>
      <c r="B337" s="3" t="n">
        <v>8</v>
      </c>
    </row>
    <row r="338">
      <c r="A338" s="3" t="inlineStr">
        <is>
          <t>LE_M+GE_M</t>
        </is>
      </c>
      <c r="B338" s="3" t="n">
        <v>5</v>
      </c>
    </row>
    <row r="339">
      <c r="A339" s="3" t="inlineStr">
        <is>
          <t>CA_M+CP_M</t>
        </is>
      </c>
      <c r="B339" s="3" t="n">
        <v>5</v>
      </c>
    </row>
    <row r="340">
      <c r="A340" s="3" t="inlineStr">
        <is>
          <t>LE_M+TA_M</t>
        </is>
      </c>
      <c r="B340" s="3" t="n">
        <v>6</v>
      </c>
    </row>
    <row r="341">
      <c r="A341" s="3" t="inlineStr">
        <is>
          <t>LE_M+VI_M</t>
        </is>
      </c>
      <c r="B341" s="3" t="n">
        <v>5</v>
      </c>
    </row>
    <row r="342">
      <c r="A342" s="3" t="inlineStr">
        <is>
          <t>LE_M+SC_M</t>
        </is>
      </c>
      <c r="B342" s="3" t="n">
        <v>5</v>
      </c>
    </row>
    <row r="343">
      <c r="A343" s="3" t="inlineStr">
        <is>
          <t>LE_M+SG_M</t>
        </is>
      </c>
      <c r="B343" s="3" t="n">
        <v>8</v>
      </c>
    </row>
    <row r="344">
      <c r="A344" s="3" t="inlineStr">
        <is>
          <t>LE_M+CA_M</t>
        </is>
      </c>
      <c r="B344" s="3" t="n">
        <v>4</v>
      </c>
    </row>
    <row r="345">
      <c r="A345" s="3" t="inlineStr">
        <is>
          <t>LE_M+LI_M</t>
        </is>
      </c>
      <c r="B345" s="3" t="n">
        <v>6</v>
      </c>
    </row>
    <row r="346">
      <c r="A346" s="3" t="inlineStr">
        <is>
          <t>LE_M+AQ_M</t>
        </is>
      </c>
      <c r="B346" s="3" t="n">
        <v>4</v>
      </c>
    </row>
    <row r="347">
      <c r="A347" s="3" t="inlineStr">
        <is>
          <t>LE_M+PI_M</t>
        </is>
      </c>
      <c r="B347" s="3" t="n">
        <v>7</v>
      </c>
    </row>
    <row r="348">
      <c r="A348" s="3" t="inlineStr">
        <is>
          <t>VI_M+GE_M</t>
        </is>
      </c>
      <c r="B348" s="3" t="n">
        <v>5</v>
      </c>
    </row>
    <row r="349">
      <c r="A349" s="3" t="inlineStr">
        <is>
          <t>VI_M+AR_M</t>
        </is>
      </c>
      <c r="B349" s="3" t="n">
        <v>6</v>
      </c>
    </row>
    <row r="350">
      <c r="A350" s="3" t="inlineStr">
        <is>
          <t>LE_M+CP_M</t>
        </is>
      </c>
      <c r="B350" s="3" t="n">
        <v>6</v>
      </c>
    </row>
    <row r="351">
      <c r="A351" s="3" t="inlineStr">
        <is>
          <t>LE_M+LE_M</t>
        </is>
      </c>
      <c r="B351" s="3" t="n">
        <v>7</v>
      </c>
    </row>
    <row r="352">
      <c r="A352" s="3" t="inlineStr">
        <is>
          <t>VI_M+SC_M</t>
        </is>
      </c>
      <c r="B352" s="3" t="n">
        <v>6</v>
      </c>
    </row>
    <row r="353">
      <c r="A353" s="3" t="inlineStr">
        <is>
          <t>VI_M+LI_M</t>
        </is>
      </c>
      <c r="B353" s="3" t="n">
        <v>5</v>
      </c>
    </row>
    <row r="354">
      <c r="A354" s="3" t="inlineStr">
        <is>
          <t>VI_M+LE_M</t>
        </is>
      </c>
      <c r="B354" s="3" t="n">
        <v>4</v>
      </c>
    </row>
    <row r="355">
      <c r="A355" s="3" t="inlineStr">
        <is>
          <t>VI_M+CP_M</t>
        </is>
      </c>
      <c r="B355" s="3" t="n">
        <v>8</v>
      </c>
    </row>
    <row r="356">
      <c r="A356" s="3" t="inlineStr">
        <is>
          <t>VI_M+VI_M</t>
        </is>
      </c>
      <c r="B356" s="3" t="n">
        <v>7</v>
      </c>
    </row>
    <row r="357">
      <c r="A357" s="3" t="inlineStr">
        <is>
          <t>VI_M+SG_M</t>
        </is>
      </c>
      <c r="B357" s="3" t="n">
        <v>4</v>
      </c>
    </row>
    <row r="358">
      <c r="A358" s="3" t="inlineStr">
        <is>
          <t>VI_M+TA_M</t>
        </is>
      </c>
      <c r="B358" s="3" t="n">
        <v>7</v>
      </c>
    </row>
    <row r="359">
      <c r="A359" s="3" t="inlineStr">
        <is>
          <t>VI_M+CA_M</t>
        </is>
      </c>
      <c r="B359" s="3" t="n">
        <v>6</v>
      </c>
    </row>
    <row r="360">
      <c r="A360" s="3" t="inlineStr">
        <is>
          <t>LI_M+TA_M</t>
        </is>
      </c>
      <c r="B360" s="3" t="n">
        <v>5</v>
      </c>
    </row>
    <row r="361">
      <c r="A361" s="3" t="inlineStr">
        <is>
          <t>VI_M+PI_M</t>
        </is>
      </c>
      <c r="B361" s="3" t="n">
        <v>6</v>
      </c>
    </row>
    <row r="362">
      <c r="A362" s="3" t="inlineStr">
        <is>
          <t>LI_M+AR_M</t>
        </is>
      </c>
      <c r="B362" s="3" t="n">
        <v>7</v>
      </c>
    </row>
    <row r="363">
      <c r="A363" s="3" t="inlineStr">
        <is>
          <t>VI_M+AQ_M</t>
        </is>
      </c>
      <c r="B363" s="3" t="n">
        <v>5</v>
      </c>
    </row>
    <row r="364">
      <c r="A364" s="3" t="inlineStr">
        <is>
          <t>LI_M+SC_M</t>
        </is>
      </c>
      <c r="B364" s="3" t="n">
        <v>4</v>
      </c>
    </row>
    <row r="365">
      <c r="A365" s="3" t="inlineStr">
        <is>
          <t>LI_M+CA_M</t>
        </is>
      </c>
      <c r="B365" s="3" t="n">
        <v>4</v>
      </c>
    </row>
    <row r="366">
      <c r="A366" s="3" t="inlineStr">
        <is>
          <t>LI_M+LE_M</t>
        </is>
      </c>
      <c r="B366" s="3" t="n">
        <v>5</v>
      </c>
    </row>
    <row r="367">
      <c r="A367" s="3" t="inlineStr">
        <is>
          <t>LI_M+GE_M</t>
        </is>
      </c>
      <c r="B367" s="3" t="n">
        <v>6</v>
      </c>
    </row>
    <row r="368">
      <c r="A368" s="3" t="inlineStr">
        <is>
          <t>LI_M+AQ_M</t>
        </is>
      </c>
      <c r="B368" s="3" t="n">
        <v>8</v>
      </c>
    </row>
    <row r="369">
      <c r="A369" s="3" t="inlineStr">
        <is>
          <t>LI_M+VI_M</t>
        </is>
      </c>
      <c r="B369" s="3" t="n">
        <v>6</v>
      </c>
    </row>
    <row r="370">
      <c r="A370" s="3" t="inlineStr">
        <is>
          <t>LI_M+PI_M</t>
        </is>
      </c>
      <c r="B370" s="3" t="n">
        <v>6</v>
      </c>
    </row>
    <row r="371">
      <c r="A371" s="3" t="inlineStr">
        <is>
          <t>LI_M+LI_M</t>
        </is>
      </c>
      <c r="B371" s="3" t="n">
        <v>6</v>
      </c>
    </row>
    <row r="372">
      <c r="A372" s="3" t="inlineStr">
        <is>
          <t>LI_M+CP_M</t>
        </is>
      </c>
      <c r="B372" s="3" t="n">
        <v>5</v>
      </c>
    </row>
    <row r="373">
      <c r="A373" s="3" t="inlineStr">
        <is>
          <t>SC_M+GE_M</t>
        </is>
      </c>
      <c r="B373" s="3" t="n">
        <v>7</v>
      </c>
    </row>
    <row r="374">
      <c r="A374" s="3" t="inlineStr">
        <is>
          <t>SC_M+TA_M</t>
        </is>
      </c>
      <c r="B374" s="3" t="n">
        <v>6</v>
      </c>
    </row>
    <row r="375">
      <c r="A375" s="3" t="inlineStr">
        <is>
          <t>LI_M+SG_M</t>
        </is>
      </c>
      <c r="B375" s="3" t="n">
        <v>7</v>
      </c>
    </row>
    <row r="376">
      <c r="A376" s="3" t="inlineStr">
        <is>
          <t>SC_M+LI_M</t>
        </is>
      </c>
      <c r="B376" s="3" t="n">
        <v>5</v>
      </c>
    </row>
    <row r="377">
      <c r="A377" s="3" t="inlineStr">
        <is>
          <t>SC_M+AR_M</t>
        </is>
      </c>
      <c r="B377" s="3" t="n">
        <v>5</v>
      </c>
    </row>
    <row r="378">
      <c r="A378" s="3" t="inlineStr">
        <is>
          <t>SC_M+VI_M</t>
        </is>
      </c>
      <c r="B378" s="3" t="n">
        <v>4</v>
      </c>
    </row>
    <row r="379">
      <c r="A379" s="3" t="inlineStr">
        <is>
          <t>SC_M+LE_M</t>
        </is>
      </c>
      <c r="B379" s="3" t="n">
        <v>6</v>
      </c>
    </row>
    <row r="380">
      <c r="A380" s="3" t="inlineStr">
        <is>
          <t>SC_M+PI_M</t>
        </is>
      </c>
      <c r="B380" s="3" t="n">
        <v>8</v>
      </c>
    </row>
    <row r="381">
      <c r="A381" s="3" t="inlineStr">
        <is>
          <t>SC_M+CA_M</t>
        </is>
      </c>
      <c r="B381" s="3" t="n">
        <v>5</v>
      </c>
    </row>
    <row r="382">
      <c r="A382" s="3" t="inlineStr">
        <is>
          <t>SG_M+GE_M</t>
        </is>
      </c>
      <c r="B382" s="3" t="n">
        <v>5</v>
      </c>
    </row>
    <row r="383">
      <c r="A383" s="3" t="inlineStr">
        <is>
          <t>SC_M+SC_M</t>
        </is>
      </c>
      <c r="B383" s="3" t="n">
        <v>7</v>
      </c>
    </row>
    <row r="384">
      <c r="A384" s="3" t="inlineStr">
        <is>
          <t>SC_M+SG_M</t>
        </is>
      </c>
      <c r="B384" s="3" t="n">
        <v>6</v>
      </c>
    </row>
    <row r="385">
      <c r="A385" s="3" t="inlineStr">
        <is>
          <t>SG_M+TA_M</t>
        </is>
      </c>
      <c r="B385" s="3" t="n">
        <v>4</v>
      </c>
    </row>
    <row r="386">
      <c r="A386" s="3" t="inlineStr">
        <is>
          <t>SG_M+LE_M</t>
        </is>
      </c>
      <c r="B386" s="3" t="n">
        <v>8</v>
      </c>
    </row>
    <row r="387">
      <c r="A387" s="3" t="inlineStr">
        <is>
          <t>CP_M+AR_M</t>
        </is>
      </c>
      <c r="B387" s="3" t="n">
        <v>4</v>
      </c>
    </row>
    <row r="388">
      <c r="A388" s="3" t="inlineStr">
        <is>
          <t>SG_M+CA_M</t>
        </is>
      </c>
      <c r="B388" s="3" t="n">
        <v>6</v>
      </c>
    </row>
    <row r="389">
      <c r="A389" s="3" t="inlineStr">
        <is>
          <t>SC_M+CP_M</t>
        </is>
      </c>
      <c r="B389" s="3" t="n">
        <v>5</v>
      </c>
    </row>
    <row r="390">
      <c r="A390" s="3" t="inlineStr">
        <is>
          <t>SC_M+AQ_M</t>
        </is>
      </c>
      <c r="B390" s="3" t="n">
        <v>4</v>
      </c>
    </row>
    <row r="391">
      <c r="A391" s="3" t="inlineStr">
        <is>
          <t>SG_M+AR_M</t>
        </is>
      </c>
      <c r="B391" s="3" t="n">
        <v>6</v>
      </c>
    </row>
    <row r="392">
      <c r="A392" s="3" t="inlineStr">
        <is>
          <t>SG_M+AQ_M</t>
        </is>
      </c>
      <c r="B392" s="3" t="n">
        <v>6</v>
      </c>
    </row>
    <row r="393">
      <c r="A393" s="3" t="inlineStr">
        <is>
          <t>SG_M+VI_M</t>
        </is>
      </c>
      <c r="B393" s="3" t="n">
        <v>5</v>
      </c>
    </row>
    <row r="394">
      <c r="A394" s="3" t="inlineStr">
        <is>
          <t>SG_M+SC_M</t>
        </is>
      </c>
      <c r="B394" s="3" t="n">
        <v>5</v>
      </c>
    </row>
    <row r="395">
      <c r="A395" s="3" t="inlineStr">
        <is>
          <t>SG_M+PI_M</t>
        </is>
      </c>
      <c r="B395" s="3" t="n">
        <v>5</v>
      </c>
    </row>
    <row r="396">
      <c r="A396" s="3" t="inlineStr">
        <is>
          <t>SG_M+LI_M</t>
        </is>
      </c>
      <c r="B396" s="3" t="n">
        <v>7</v>
      </c>
    </row>
    <row r="397">
      <c r="A397" s="3" t="inlineStr">
        <is>
          <t>SG_M+SG_M</t>
        </is>
      </c>
      <c r="B397" s="3" t="n">
        <v>6</v>
      </c>
    </row>
    <row r="398">
      <c r="A398" s="3" t="inlineStr">
        <is>
          <t>CP_M+TA_M</t>
        </is>
      </c>
      <c r="B398" s="3" t="n">
        <v>7</v>
      </c>
    </row>
    <row r="399">
      <c r="A399" s="3" t="inlineStr">
        <is>
          <t>SG_M+CP_M</t>
        </is>
      </c>
      <c r="B399" s="3" t="n">
        <v>4</v>
      </c>
    </row>
    <row r="400">
      <c r="A400" s="3" t="inlineStr">
        <is>
          <t>CP_M+GE_M</t>
        </is>
      </c>
      <c r="B400" s="3" t="n">
        <v>5</v>
      </c>
    </row>
    <row r="401">
      <c r="A401" s="3" t="inlineStr">
        <is>
          <t>CP_M+CA_M</t>
        </is>
      </c>
      <c r="B401" s="3" t="n">
        <v>6</v>
      </c>
    </row>
    <row r="402">
      <c r="A402" s="3" t="inlineStr">
        <is>
          <t>CP_M+VI_M</t>
        </is>
      </c>
      <c r="B402" s="3" t="n">
        <v>8</v>
      </c>
    </row>
    <row r="403">
      <c r="A403" s="3" t="inlineStr">
        <is>
          <t>CP_M+SC_M</t>
        </is>
      </c>
      <c r="B403" s="3" t="n">
        <v>5</v>
      </c>
    </row>
    <row r="404">
      <c r="A404" s="3" t="inlineStr">
        <is>
          <t>CP_M+LE_M</t>
        </is>
      </c>
      <c r="B404" s="3" t="n">
        <v>5</v>
      </c>
    </row>
    <row r="405">
      <c r="A405" s="3" t="inlineStr">
        <is>
          <t>CP_M+SG_M</t>
        </is>
      </c>
      <c r="B405" s="3" t="n">
        <v>4</v>
      </c>
    </row>
    <row r="406">
      <c r="A406" s="3" t="inlineStr">
        <is>
          <t>AQ_M+VI_M</t>
        </is>
      </c>
      <c r="B406" s="3" t="n">
        <v>5</v>
      </c>
    </row>
    <row r="407">
      <c r="A407" s="3" t="inlineStr">
        <is>
          <t>AQ_M+GE_M</t>
        </is>
      </c>
      <c r="B407" s="3" t="n">
        <v>6</v>
      </c>
    </row>
    <row r="408">
      <c r="A408" s="3" t="inlineStr">
        <is>
          <t>CP_M+LI_M</t>
        </is>
      </c>
      <c r="B408" s="3" t="n">
        <v>6</v>
      </c>
    </row>
    <row r="409">
      <c r="A409" s="3" t="inlineStr">
        <is>
          <t>CP_M+CP_M</t>
        </is>
      </c>
      <c r="B409" s="3" t="n">
        <v>7</v>
      </c>
    </row>
    <row r="410">
      <c r="A410" s="3" t="inlineStr">
        <is>
          <t>CP_M+PI_M</t>
        </is>
      </c>
      <c r="B410" s="3" t="n">
        <v>6</v>
      </c>
    </row>
    <row r="411">
      <c r="A411" s="3" t="inlineStr">
        <is>
          <t>CP_M+AQ_M</t>
        </is>
      </c>
      <c r="B411" s="3" t="n">
        <v>5</v>
      </c>
    </row>
    <row r="412">
      <c r="A412" s="3" t="inlineStr">
        <is>
          <t>AQ_M+TA_M</t>
        </is>
      </c>
      <c r="B412" s="3" t="n">
        <v>5</v>
      </c>
    </row>
    <row r="413">
      <c r="A413" s="3" t="inlineStr">
        <is>
          <t>AQ_M+AR_M</t>
        </is>
      </c>
      <c r="B413" s="3" t="n">
        <v>6</v>
      </c>
    </row>
    <row r="414">
      <c r="A414" s="3" t="inlineStr">
        <is>
          <t>AQ_M+LE_M</t>
        </is>
      </c>
      <c r="B414" s="3" t="n">
        <v>4</v>
      </c>
    </row>
    <row r="415">
      <c r="A415" s="3" t="inlineStr">
        <is>
          <t>AQ_M+AQ_M</t>
        </is>
      </c>
      <c r="B415" s="3" t="n">
        <v>6</v>
      </c>
    </row>
    <row r="416">
      <c r="A416" s="3" t="inlineStr">
        <is>
          <t>AQ_M+SC_M</t>
        </is>
      </c>
      <c r="B416" s="3" t="n">
        <v>4</v>
      </c>
    </row>
    <row r="417">
      <c r="A417" s="3" t="inlineStr">
        <is>
          <t>AQ_M+CP_M</t>
        </is>
      </c>
      <c r="B417" s="3" t="n">
        <v>5</v>
      </c>
    </row>
    <row r="418">
      <c r="A418" s="3" t="inlineStr">
        <is>
          <t>AQ_M+SG_M</t>
        </is>
      </c>
      <c r="B418" s="3" t="n">
        <v>6</v>
      </c>
    </row>
    <row r="419">
      <c r="A419" s="3" t="inlineStr">
        <is>
          <t>PI_M+VI_M</t>
        </is>
      </c>
      <c r="B419" s="3" t="n">
        <v>5</v>
      </c>
    </row>
    <row r="420">
      <c r="A420" s="3" t="inlineStr">
        <is>
          <t>AQ_M+LI_M</t>
        </is>
      </c>
      <c r="B420" s="3" t="n">
        <v>8</v>
      </c>
    </row>
    <row r="421">
      <c r="A421" s="3" t="inlineStr">
        <is>
          <t>AQ_M+CA_M</t>
        </is>
      </c>
      <c r="B421" s="3" t="n">
        <v>7</v>
      </c>
    </row>
    <row r="422">
      <c r="A422" s="3" t="inlineStr">
        <is>
          <t>PI_M+AQ_M</t>
        </is>
      </c>
      <c r="B422" s="3" t="n">
        <v>7</v>
      </c>
    </row>
    <row r="423">
      <c r="A423" s="3" t="inlineStr">
        <is>
          <t>PI_M+SC_M</t>
        </is>
      </c>
      <c r="B423" s="3" t="n">
        <v>8</v>
      </c>
    </row>
    <row r="424">
      <c r="A424" s="3" t="inlineStr">
        <is>
          <t>PI_M+AR_M</t>
        </is>
      </c>
      <c r="B424" s="3" t="n">
        <v>5</v>
      </c>
    </row>
    <row r="425">
      <c r="A425" s="3" t="inlineStr">
        <is>
          <t>PI_M+TA_M</t>
        </is>
      </c>
      <c r="B425" s="3" t="n">
        <v>6</v>
      </c>
    </row>
    <row r="426">
      <c r="A426" s="3" t="inlineStr">
        <is>
          <t>AQ_M+PI_M</t>
        </is>
      </c>
      <c r="B426" s="3" t="n">
        <v>7</v>
      </c>
    </row>
    <row r="427">
      <c r="A427" s="3" t="inlineStr">
        <is>
          <t>PI_M+GE_M</t>
        </is>
      </c>
      <c r="B427" s="3" t="n">
        <v>4</v>
      </c>
    </row>
    <row r="428">
      <c r="A428" s="3" t="inlineStr">
        <is>
          <t>PI_M+SG_M</t>
        </is>
      </c>
      <c r="B428" s="3" t="n">
        <v>5</v>
      </c>
    </row>
    <row r="429">
      <c r="A429" s="3" t="inlineStr">
        <is>
          <t>PI_M+CA_M</t>
        </is>
      </c>
      <c r="B429" s="3" t="n">
        <v>6</v>
      </c>
    </row>
    <row r="430">
      <c r="A430" s="3" t="inlineStr">
        <is>
          <t>PI_M+LI_M</t>
        </is>
      </c>
      <c r="B430" s="3" t="n">
        <v>6</v>
      </c>
    </row>
    <row r="431">
      <c r="A431" s="3" t="inlineStr">
        <is>
          <t>PI_M+LE_M</t>
        </is>
      </c>
      <c r="B431" s="3" t="n">
        <v>7</v>
      </c>
    </row>
    <row r="432">
      <c r="A432" s="3" t="inlineStr">
        <is>
          <t>AR_F+AR_F</t>
        </is>
      </c>
      <c r="B432" s="3" t="n">
        <v>6</v>
      </c>
    </row>
    <row r="433">
      <c r="A433" s="3" t="inlineStr">
        <is>
          <t>AR_F+VI_F</t>
        </is>
      </c>
      <c r="B433" s="3" t="n">
        <v>6</v>
      </c>
    </row>
    <row r="434">
      <c r="A434" s="3" t="inlineStr">
        <is>
          <t>PI_M+PI_M</t>
        </is>
      </c>
      <c r="B434" s="3" t="n">
        <v>6</v>
      </c>
    </row>
    <row r="435">
      <c r="A435" s="3" t="inlineStr">
        <is>
          <t>AR_F+SC_F</t>
        </is>
      </c>
      <c r="B435" s="3" t="n">
        <v>5</v>
      </c>
    </row>
    <row r="436">
      <c r="A436" s="3" t="inlineStr">
        <is>
          <t>AR_F+CP_F</t>
        </is>
      </c>
      <c r="B436" s="3" t="n">
        <v>4</v>
      </c>
    </row>
    <row r="437">
      <c r="A437" s="3" t="inlineStr">
        <is>
          <t>AR_F+TA_F</t>
        </is>
      </c>
      <c r="B437" s="3" t="n">
        <v>7</v>
      </c>
    </row>
    <row r="438">
      <c r="A438" s="3" t="inlineStr">
        <is>
          <t>AR_F+CA_F</t>
        </is>
      </c>
      <c r="B438" s="3" t="n">
        <v>4</v>
      </c>
    </row>
    <row r="439">
      <c r="A439" s="3" t="inlineStr">
        <is>
          <t>AR_F+GE_F</t>
        </is>
      </c>
      <c r="B439" s="3" t="n">
        <v>5</v>
      </c>
    </row>
    <row r="440">
      <c r="A440" s="3" t="inlineStr">
        <is>
          <t>AR_F+LE_F</t>
        </is>
      </c>
      <c r="B440" s="3" t="n">
        <v>8</v>
      </c>
    </row>
    <row r="441">
      <c r="A441" s="3" t="inlineStr">
        <is>
          <t>PI_M+CP_M</t>
        </is>
      </c>
      <c r="B441" s="3" t="n">
        <v>6</v>
      </c>
    </row>
    <row r="442">
      <c r="A442" s="3" t="inlineStr">
        <is>
          <t>TA_F+TA_F</t>
        </is>
      </c>
      <c r="B442" s="3" t="n">
        <v>6</v>
      </c>
    </row>
    <row r="443">
      <c r="A443" s="3" t="inlineStr">
        <is>
          <t>AR_F+AQ_F</t>
        </is>
      </c>
      <c r="B443" s="3" t="n">
        <v>6</v>
      </c>
    </row>
    <row r="444">
      <c r="A444" s="3" t="inlineStr">
        <is>
          <t>AR_F+PI_F</t>
        </is>
      </c>
      <c r="B444" s="3" t="n">
        <v>5</v>
      </c>
    </row>
    <row r="445">
      <c r="A445" s="3" t="inlineStr">
        <is>
          <t>AR_F+LI_F</t>
        </is>
      </c>
      <c r="B445" s="3" t="n">
        <v>7</v>
      </c>
    </row>
    <row r="446">
      <c r="A446" s="3" t="inlineStr">
        <is>
          <t>AR_F+SG_F</t>
        </is>
      </c>
      <c r="B446" s="3" t="n">
        <v>6</v>
      </c>
    </row>
    <row r="447">
      <c r="A447" s="3" t="inlineStr">
        <is>
          <t>TA_F+AR_F</t>
        </is>
      </c>
      <c r="B447" s="3" t="n">
        <v>7</v>
      </c>
    </row>
    <row r="448">
      <c r="A448" s="3" t="inlineStr">
        <is>
          <t>TA_F+LE_F</t>
        </is>
      </c>
      <c r="B448" s="3" t="n">
        <v>4</v>
      </c>
    </row>
    <row r="449">
      <c r="A449" s="3" t="inlineStr">
        <is>
          <t>TA_F+LI_F</t>
        </is>
      </c>
      <c r="B449" s="3" t="n">
        <v>5</v>
      </c>
    </row>
    <row r="450">
      <c r="A450" s="3" t="inlineStr">
        <is>
          <t>GE_F+TA_F</t>
        </is>
      </c>
      <c r="B450" s="3" t="n">
        <v>6</v>
      </c>
    </row>
    <row r="451">
      <c r="A451" s="3" t="inlineStr">
        <is>
          <t>TA_F+VI_F</t>
        </is>
      </c>
      <c r="B451" s="3" t="n">
        <v>8</v>
      </c>
    </row>
    <row r="452">
      <c r="A452" s="3" t="inlineStr">
        <is>
          <t>TA_F+SC_F</t>
        </is>
      </c>
      <c r="B452" s="3" t="n">
        <v>6</v>
      </c>
    </row>
    <row r="453">
      <c r="A453" s="3" t="inlineStr">
        <is>
          <t>TA_F+CA_F</t>
        </is>
      </c>
      <c r="B453" s="3" t="n">
        <v>7</v>
      </c>
    </row>
    <row r="454">
      <c r="A454" s="3" t="inlineStr">
        <is>
          <t>GE_F+VI_F</t>
        </is>
      </c>
      <c r="B454" s="3" t="n">
        <v>4</v>
      </c>
    </row>
    <row r="455">
      <c r="A455" s="3" t="inlineStr">
        <is>
          <t>TA_F+CP_F</t>
        </is>
      </c>
      <c r="B455" s="3" t="n">
        <v>7</v>
      </c>
    </row>
    <row r="456">
      <c r="A456" s="3" t="inlineStr">
        <is>
          <t>GE_F+CA_F</t>
        </is>
      </c>
      <c r="B456" s="3" t="n">
        <v>7</v>
      </c>
    </row>
    <row r="457">
      <c r="A457" s="3" t="inlineStr">
        <is>
          <t>TA_F+SG_F</t>
        </is>
      </c>
      <c r="B457" s="3" t="n">
        <v>4</v>
      </c>
    </row>
    <row r="458">
      <c r="A458" s="3" t="inlineStr">
        <is>
          <t>GE_F+GE_F</t>
        </is>
      </c>
      <c r="B458" s="3" t="n">
        <v>6</v>
      </c>
    </row>
    <row r="459">
      <c r="A459" s="3" t="inlineStr">
        <is>
          <t>TA_F+GE_F</t>
        </is>
      </c>
      <c r="B459" s="3" t="n">
        <v>5</v>
      </c>
    </row>
    <row r="460">
      <c r="A460" s="3" t="inlineStr">
        <is>
          <t>TA_F+AQ_F</t>
        </is>
      </c>
      <c r="B460" s="3" t="n">
        <v>5</v>
      </c>
    </row>
    <row r="461">
      <c r="A461" s="3" t="inlineStr">
        <is>
          <t>TA_F+PI_F</t>
        </is>
      </c>
      <c r="B461" s="3" t="n">
        <v>6</v>
      </c>
    </row>
    <row r="462">
      <c r="A462" s="3" t="inlineStr">
        <is>
          <t>GE_F+LE_F</t>
        </is>
      </c>
      <c r="B462" s="3" t="n">
        <v>5</v>
      </c>
    </row>
    <row r="463">
      <c r="A463" s="3" t="inlineStr">
        <is>
          <t>CA_F+GE_F</t>
        </is>
      </c>
      <c r="B463" s="3" t="n">
        <v>7</v>
      </c>
    </row>
    <row r="464">
      <c r="A464" s="3" t="inlineStr">
        <is>
          <t>GE_F+SG_F</t>
        </is>
      </c>
      <c r="B464" s="3" t="n">
        <v>7</v>
      </c>
    </row>
    <row r="465">
      <c r="A465" s="3" t="inlineStr">
        <is>
          <t>CA_F+AR_F</t>
        </is>
      </c>
      <c r="B465" s="3" t="n">
        <v>6</v>
      </c>
    </row>
    <row r="466">
      <c r="A466" s="3" t="inlineStr">
        <is>
          <t>GE_F+LI_F</t>
        </is>
      </c>
      <c r="B466" s="3" t="n">
        <v>8</v>
      </c>
    </row>
    <row r="467">
      <c r="A467" s="3" t="inlineStr">
        <is>
          <t>GE_F+AR_F</t>
        </is>
      </c>
      <c r="B467" s="3" t="n">
        <v>5</v>
      </c>
    </row>
    <row r="468">
      <c r="A468" s="3" t="inlineStr">
        <is>
          <t>GE_F+PI_F</t>
        </is>
      </c>
      <c r="B468" s="3" t="n">
        <v>4</v>
      </c>
    </row>
    <row r="469">
      <c r="A469" s="3" t="inlineStr">
        <is>
          <t>GE_F+CP_F</t>
        </is>
      </c>
      <c r="B469" s="3" t="n">
        <v>5</v>
      </c>
    </row>
    <row r="470">
      <c r="A470" s="3" t="inlineStr">
        <is>
          <t>CA_F+CA_F</t>
        </is>
      </c>
      <c r="B470" s="3" t="n">
        <v>6</v>
      </c>
    </row>
    <row r="471">
      <c r="A471" s="3" t="inlineStr">
        <is>
          <t>CA_F+TA_F</t>
        </is>
      </c>
      <c r="B471" s="3" t="n">
        <v>5</v>
      </c>
    </row>
    <row r="472">
      <c r="A472" s="3" t="inlineStr">
        <is>
          <t>CA_F+LI_F</t>
        </is>
      </c>
      <c r="B472" s="3" t="n">
        <v>5</v>
      </c>
    </row>
    <row r="473">
      <c r="A473" s="3" t="inlineStr">
        <is>
          <t>CA_F+PI_F</t>
        </is>
      </c>
      <c r="B473" s="3" t="n">
        <v>6</v>
      </c>
    </row>
    <row r="474">
      <c r="A474" s="3" t="inlineStr">
        <is>
          <t>CA_F+AQ_F</t>
        </is>
      </c>
      <c r="B474" s="3" t="n">
        <v>7</v>
      </c>
    </row>
    <row r="475">
      <c r="A475" s="3" t="inlineStr">
        <is>
          <t>CA_F+SG_F</t>
        </is>
      </c>
      <c r="B475" s="3" t="n">
        <v>6</v>
      </c>
    </row>
    <row r="476">
      <c r="A476" s="3" t="inlineStr">
        <is>
          <t>GE_F+SC_F</t>
        </is>
      </c>
      <c r="B476" s="3" t="n">
        <v>6</v>
      </c>
    </row>
    <row r="477">
      <c r="A477" s="3" t="inlineStr">
        <is>
          <t>CA_F+VI_F</t>
        </is>
      </c>
      <c r="B477" s="3" t="n">
        <v>6</v>
      </c>
    </row>
    <row r="478">
      <c r="A478" s="3" t="inlineStr">
        <is>
          <t>GE_F+AQ_F</t>
        </is>
      </c>
      <c r="B478" s="3" t="n">
        <v>6</v>
      </c>
    </row>
    <row r="479">
      <c r="A479" s="3" t="inlineStr">
        <is>
          <t>LE_F+AR_F</t>
        </is>
      </c>
      <c r="B479" s="3" t="n">
        <v>8</v>
      </c>
    </row>
    <row r="480">
      <c r="A480" s="3" t="inlineStr">
        <is>
          <t>CA_F+LE_F</t>
        </is>
      </c>
      <c r="B480" s="3" t="n">
        <v>4</v>
      </c>
    </row>
    <row r="481">
      <c r="A481" s="3" t="inlineStr">
        <is>
          <t>CA_F+CP_F</t>
        </is>
      </c>
      <c r="B481" s="3" t="n">
        <v>5</v>
      </c>
    </row>
    <row r="482">
      <c r="A482" s="3" t="inlineStr">
        <is>
          <t>CA_F+SC_F</t>
        </is>
      </c>
      <c r="B482" s="3" t="n">
        <v>8</v>
      </c>
    </row>
    <row r="483">
      <c r="A483" s="3" t="inlineStr">
        <is>
          <t>LE_F+VI_F</t>
        </is>
      </c>
      <c r="B483" s="3" t="n">
        <v>5</v>
      </c>
    </row>
    <row r="484">
      <c r="A484" s="3" t="inlineStr">
        <is>
          <t>LE_F+SC_F</t>
        </is>
      </c>
      <c r="B484" s="3" t="n">
        <v>5</v>
      </c>
    </row>
    <row r="485">
      <c r="A485" s="3" t="inlineStr">
        <is>
          <t>LE_F+TA_F</t>
        </is>
      </c>
      <c r="B485" s="3" t="n">
        <v>6</v>
      </c>
    </row>
    <row r="486">
      <c r="A486" s="3" t="inlineStr">
        <is>
          <t>LE_F+AQ_F</t>
        </is>
      </c>
      <c r="B486" s="3" t="n">
        <v>4</v>
      </c>
    </row>
    <row r="487">
      <c r="A487" s="3" t="inlineStr">
        <is>
          <t>LE_F+LE_F</t>
        </is>
      </c>
      <c r="B487" s="3" t="n">
        <v>7</v>
      </c>
    </row>
    <row r="488">
      <c r="A488" s="3" t="inlineStr">
        <is>
          <t>LE_F+PI_F</t>
        </is>
      </c>
      <c r="B488" s="3" t="n">
        <v>7</v>
      </c>
    </row>
    <row r="489">
      <c r="A489" s="3" t="inlineStr">
        <is>
          <t>LE_F+LI_F</t>
        </is>
      </c>
      <c r="B489" s="3" t="n">
        <v>6</v>
      </c>
    </row>
    <row r="490">
      <c r="A490" s="3" t="inlineStr">
        <is>
          <t>LE_F+GE_F</t>
        </is>
      </c>
      <c r="B490" s="3" t="n">
        <v>5</v>
      </c>
    </row>
    <row r="491">
      <c r="A491" s="3" t="inlineStr">
        <is>
          <t>LE_F+CP_F</t>
        </is>
      </c>
      <c r="B491" s="3" t="n">
        <v>6</v>
      </c>
    </row>
    <row r="492">
      <c r="A492" s="3" t="inlineStr">
        <is>
          <t>VI_F+SC_F</t>
        </is>
      </c>
      <c r="B492" s="3" t="n">
        <v>6</v>
      </c>
    </row>
    <row r="493">
      <c r="A493" s="3" t="inlineStr">
        <is>
          <t>LE_F+SG_F</t>
        </is>
      </c>
      <c r="B493" s="3" t="n">
        <v>8</v>
      </c>
    </row>
    <row r="494">
      <c r="A494" s="3" t="inlineStr">
        <is>
          <t>VI_F+LE_F</t>
        </is>
      </c>
      <c r="B494" s="3" t="n">
        <v>4</v>
      </c>
    </row>
    <row r="495">
      <c r="A495" s="3" t="inlineStr">
        <is>
          <t>VI_F+VI_F</t>
        </is>
      </c>
      <c r="B495" s="3" t="n">
        <v>7</v>
      </c>
    </row>
    <row r="496">
      <c r="A496" s="3" t="inlineStr">
        <is>
          <t>VI_F+CA_F</t>
        </is>
      </c>
      <c r="B496" s="3" t="n">
        <v>6</v>
      </c>
    </row>
    <row r="497">
      <c r="A497" s="3" t="inlineStr">
        <is>
          <t>LE_F+CA_F</t>
        </is>
      </c>
      <c r="B497" s="3" t="n">
        <v>4</v>
      </c>
    </row>
    <row r="498">
      <c r="A498" s="3" t="inlineStr">
        <is>
          <t>VI_F+AR_F</t>
        </is>
      </c>
      <c r="B498" s="3" t="n">
        <v>6</v>
      </c>
    </row>
    <row r="499">
      <c r="A499" s="3" t="inlineStr">
        <is>
          <t>VI_F+TA_F</t>
        </is>
      </c>
      <c r="B499" s="3" t="n">
        <v>7</v>
      </c>
    </row>
    <row r="500">
      <c r="A500" s="3" t="inlineStr">
        <is>
          <t>VI_F+GE_F</t>
        </is>
      </c>
      <c r="B500" s="3" t="n">
        <v>5</v>
      </c>
    </row>
    <row r="501">
      <c r="A501" s="3" t="inlineStr">
        <is>
          <t>VI_F+SG_F</t>
        </is>
      </c>
      <c r="B501" s="3" t="n">
        <v>4</v>
      </c>
    </row>
    <row r="502">
      <c r="A502" s="3" t="inlineStr">
        <is>
          <t>VI_F+CP_F</t>
        </is>
      </c>
      <c r="B502" s="3" t="n">
        <v>8</v>
      </c>
    </row>
    <row r="503">
      <c r="A503" s="3" t="inlineStr">
        <is>
          <t>LI_F+GE_F</t>
        </is>
      </c>
      <c r="B503" s="3" t="n">
        <v>6</v>
      </c>
    </row>
    <row r="504">
      <c r="A504" s="3" t="inlineStr">
        <is>
          <t>VI_F+LI_F</t>
        </is>
      </c>
      <c r="B504" s="3" t="n">
        <v>5</v>
      </c>
    </row>
    <row r="505">
      <c r="A505" s="3" t="inlineStr">
        <is>
          <t>LI_F+LI_F</t>
        </is>
      </c>
      <c r="B505" s="3" t="n">
        <v>6</v>
      </c>
    </row>
    <row r="506">
      <c r="A506" s="3" t="inlineStr">
        <is>
          <t>LI_F+TA_F</t>
        </is>
      </c>
      <c r="B506" s="3" t="n">
        <v>5</v>
      </c>
    </row>
    <row r="507">
      <c r="A507" s="3" t="inlineStr">
        <is>
          <t>LI_F+SC_F</t>
        </is>
      </c>
      <c r="B507" s="3" t="n">
        <v>4</v>
      </c>
    </row>
    <row r="508">
      <c r="A508" s="3" t="inlineStr">
        <is>
          <t>VI_F+AQ_F</t>
        </is>
      </c>
      <c r="B508" s="3" t="n">
        <v>5</v>
      </c>
    </row>
    <row r="509">
      <c r="A509" s="3" t="inlineStr">
        <is>
          <t>VI_F+PI_F</t>
        </is>
      </c>
      <c r="B509" s="3" t="n">
        <v>6</v>
      </c>
    </row>
    <row r="510">
      <c r="A510" s="3" t="inlineStr">
        <is>
          <t>LI_F+CA_F</t>
        </is>
      </c>
      <c r="B510" s="3" t="n">
        <v>4</v>
      </c>
    </row>
    <row r="511">
      <c r="A511" s="3" t="inlineStr">
        <is>
          <t>LI_F+LE_F</t>
        </is>
      </c>
      <c r="B511" s="3" t="n">
        <v>5</v>
      </c>
    </row>
    <row r="512">
      <c r="A512" s="3" t="inlineStr">
        <is>
          <t>SC_F+TA_F</t>
        </is>
      </c>
      <c r="B512" s="3" t="n">
        <v>6</v>
      </c>
    </row>
    <row r="513">
      <c r="A513" s="3" t="inlineStr">
        <is>
          <t>LI_F+VI_F</t>
        </is>
      </c>
      <c r="B513" s="3" t="n">
        <v>6</v>
      </c>
    </row>
    <row r="514">
      <c r="A514" s="3" t="inlineStr">
        <is>
          <t>LI_F+PI_F</t>
        </is>
      </c>
      <c r="B514" s="3" t="n">
        <v>6</v>
      </c>
    </row>
    <row r="515">
      <c r="A515" s="3" t="inlineStr">
        <is>
          <t>LI_F+AQ_F</t>
        </is>
      </c>
      <c r="B515" s="3" t="n">
        <v>8</v>
      </c>
    </row>
    <row r="516">
      <c r="A516" s="3" t="inlineStr">
        <is>
          <t>LI_F+CP_F</t>
        </is>
      </c>
      <c r="B516" s="3" t="n">
        <v>5</v>
      </c>
    </row>
    <row r="517">
      <c r="A517" s="3" t="inlineStr">
        <is>
          <t>LI_F+SG_F</t>
        </is>
      </c>
      <c r="B517" s="3" t="n">
        <v>7</v>
      </c>
    </row>
    <row r="518">
      <c r="A518" s="3" t="inlineStr">
        <is>
          <t>SC_F+AR_F</t>
        </is>
      </c>
      <c r="B518" s="3" t="n">
        <v>5</v>
      </c>
    </row>
    <row r="519">
      <c r="A519" s="3" t="inlineStr">
        <is>
          <t>LI_F+AR_F</t>
        </is>
      </c>
      <c r="B519" s="3" t="n">
        <v>7</v>
      </c>
    </row>
    <row r="520">
      <c r="A520" s="3" t="inlineStr">
        <is>
          <t>SC_F+GE_F</t>
        </is>
      </c>
      <c r="B520" s="3" t="n">
        <v>7</v>
      </c>
    </row>
    <row r="521">
      <c r="A521" s="3" t="inlineStr">
        <is>
          <t>SC_F+CA_F</t>
        </is>
      </c>
      <c r="B521" s="3" t="n">
        <v>5</v>
      </c>
    </row>
    <row r="522">
      <c r="A522" s="3" t="inlineStr">
        <is>
          <t>SC_F+VI_F</t>
        </is>
      </c>
      <c r="B522" s="3" t="n">
        <v>4</v>
      </c>
    </row>
    <row r="523">
      <c r="A523" s="3" t="inlineStr">
        <is>
          <t>SC_F+SG_F</t>
        </is>
      </c>
      <c r="B523" s="3" t="n">
        <v>6</v>
      </c>
    </row>
    <row r="524">
      <c r="A524" s="3" t="inlineStr">
        <is>
          <t>SC_F+CP_F</t>
        </is>
      </c>
      <c r="B524" s="3" t="n">
        <v>5</v>
      </c>
    </row>
    <row r="525">
      <c r="A525" s="3" t="inlineStr">
        <is>
          <t>SC_F+LE_F</t>
        </is>
      </c>
      <c r="B525" s="3" t="n">
        <v>6</v>
      </c>
    </row>
    <row r="526">
      <c r="A526" s="3" t="inlineStr">
        <is>
          <t>SC_F+SC_F</t>
        </is>
      </c>
      <c r="B526" s="3" t="n">
        <v>7</v>
      </c>
    </row>
    <row r="527">
      <c r="A527" s="3" t="inlineStr">
        <is>
          <t>SG_F+CA_F</t>
        </is>
      </c>
      <c r="B527" s="3" t="n">
        <v>6</v>
      </c>
    </row>
    <row r="528">
      <c r="A528" s="3" t="inlineStr">
        <is>
          <t>SC_F+LI_F</t>
        </is>
      </c>
      <c r="B528" s="3" t="n">
        <v>5</v>
      </c>
    </row>
    <row r="529">
      <c r="A529" s="3" t="inlineStr">
        <is>
          <t>SC_F+AQ_F</t>
        </is>
      </c>
      <c r="B529" s="3" t="n">
        <v>4</v>
      </c>
    </row>
    <row r="530">
      <c r="A530" s="3" t="inlineStr">
        <is>
          <t>SG_F+GE_F</t>
        </is>
      </c>
      <c r="B530" s="3" t="n">
        <v>5</v>
      </c>
    </row>
    <row r="531">
      <c r="A531" s="3" t="inlineStr">
        <is>
          <t>SG_F+TA_F</t>
        </is>
      </c>
      <c r="B531" s="3" t="n">
        <v>4</v>
      </c>
    </row>
    <row r="532">
      <c r="A532" s="3" t="inlineStr">
        <is>
          <t>SC_F+PI_F</t>
        </is>
      </c>
      <c r="B532" s="3" t="n">
        <v>8</v>
      </c>
    </row>
    <row r="533">
      <c r="A533" s="3" t="inlineStr">
        <is>
          <t>SG_F+AR_F</t>
        </is>
      </c>
      <c r="B533" s="3" t="n">
        <v>6</v>
      </c>
    </row>
    <row r="534">
      <c r="A534" s="3" t="inlineStr">
        <is>
          <t>SG_F+SC_F</t>
        </is>
      </c>
      <c r="B534" s="3" t="n">
        <v>5</v>
      </c>
    </row>
    <row r="535">
      <c r="A535" s="3" t="inlineStr">
        <is>
          <t>SG_F+SG_F</t>
        </is>
      </c>
      <c r="B535" s="3" t="n">
        <v>6</v>
      </c>
    </row>
    <row r="536">
      <c r="A536" s="3" t="inlineStr">
        <is>
          <t>SG_F+LI_F</t>
        </is>
      </c>
      <c r="B536" s="3" t="n">
        <v>7</v>
      </c>
    </row>
    <row r="537">
      <c r="A537" s="3" t="inlineStr">
        <is>
          <t>CP_F+TA_F</t>
        </is>
      </c>
      <c r="B537" s="3" t="n">
        <v>7</v>
      </c>
    </row>
    <row r="538">
      <c r="A538" s="3" t="inlineStr">
        <is>
          <t>SG_F+LE_F</t>
        </is>
      </c>
      <c r="B538" s="3" t="n">
        <v>8</v>
      </c>
    </row>
    <row r="539">
      <c r="A539" s="3" t="inlineStr">
        <is>
          <t>SG_F+AQ_F</t>
        </is>
      </c>
      <c r="B539" s="3" t="n">
        <v>6</v>
      </c>
    </row>
    <row r="540">
      <c r="A540" s="3" t="inlineStr">
        <is>
          <t>SG_F+CP_F</t>
        </is>
      </c>
      <c r="B540" s="3" t="n">
        <v>4</v>
      </c>
    </row>
    <row r="541">
      <c r="A541" s="3" t="inlineStr">
        <is>
          <t>CP_F+AR_F</t>
        </is>
      </c>
      <c r="B541" s="3" t="n">
        <v>4</v>
      </c>
    </row>
    <row r="542">
      <c r="A542" s="3" t="inlineStr">
        <is>
          <t>SG_F+VI_F</t>
        </is>
      </c>
      <c r="B542" s="3" t="n">
        <v>5</v>
      </c>
    </row>
    <row r="543">
      <c r="A543" s="3" t="inlineStr">
        <is>
          <t>CP_F+CA_F</t>
        </is>
      </c>
      <c r="B543" s="3" t="n">
        <v>6</v>
      </c>
    </row>
    <row r="544">
      <c r="A544" s="3" t="inlineStr">
        <is>
          <t>CP_F+LE_F</t>
        </is>
      </c>
      <c r="B544" s="3" t="n">
        <v>5</v>
      </c>
    </row>
    <row r="545">
      <c r="A545" s="3" t="inlineStr">
        <is>
          <t>CP_F+GE_F</t>
        </is>
      </c>
      <c r="B545" s="3" t="n">
        <v>5</v>
      </c>
    </row>
    <row r="546">
      <c r="A546" s="3" t="inlineStr">
        <is>
          <t>CP_F+SG_F</t>
        </is>
      </c>
      <c r="B546" s="3" t="n">
        <v>4</v>
      </c>
    </row>
    <row r="547">
      <c r="A547" s="3" t="inlineStr">
        <is>
          <t>CP_F+LI_F</t>
        </is>
      </c>
      <c r="B547" s="3" t="n">
        <v>6</v>
      </c>
    </row>
    <row r="548">
      <c r="A548" s="3" t="inlineStr">
        <is>
          <t>CP_F+SC_F</t>
        </is>
      </c>
      <c r="B548" s="3" t="n">
        <v>5</v>
      </c>
    </row>
    <row r="549">
      <c r="A549" s="3" t="inlineStr">
        <is>
          <t>CP_F+CP_F</t>
        </is>
      </c>
      <c r="B549" s="3" t="n">
        <v>7</v>
      </c>
    </row>
    <row r="550">
      <c r="A550" s="3" t="inlineStr">
        <is>
          <t>SG_F+PI_F</t>
        </is>
      </c>
      <c r="B550" s="3" t="n">
        <v>5</v>
      </c>
    </row>
    <row r="551">
      <c r="A551" s="3" t="inlineStr">
        <is>
          <t>CP_F+PI_F</t>
        </is>
      </c>
      <c r="B551" s="3" t="n">
        <v>6</v>
      </c>
    </row>
    <row r="552">
      <c r="A552" s="3" t="inlineStr">
        <is>
          <t>AQ_F+TA_F</t>
        </is>
      </c>
      <c r="B552" s="3" t="n">
        <v>5</v>
      </c>
    </row>
    <row r="553">
      <c r="A553" s="3" t="inlineStr">
        <is>
          <t>AQ_F+GE_F</t>
        </is>
      </c>
      <c r="B553" s="3" t="n">
        <v>6</v>
      </c>
    </row>
    <row r="554">
      <c r="A554" s="3" t="inlineStr">
        <is>
          <t>AQ_F+VI_F</t>
        </is>
      </c>
      <c r="B554" s="3" t="n">
        <v>5</v>
      </c>
    </row>
    <row r="555">
      <c r="A555" s="3" t="inlineStr">
        <is>
          <t>AQ_F+LE_F</t>
        </is>
      </c>
      <c r="B555" s="3" t="n">
        <v>4</v>
      </c>
    </row>
    <row r="556">
      <c r="A556" s="3" t="inlineStr">
        <is>
          <t>CP_F+AQ_F</t>
        </is>
      </c>
      <c r="B556" s="3" t="n">
        <v>5</v>
      </c>
    </row>
    <row r="557">
      <c r="A557" s="3" t="inlineStr">
        <is>
          <t>AQ_F+CA_F</t>
        </is>
      </c>
      <c r="B557" s="3" t="n">
        <v>7</v>
      </c>
    </row>
    <row r="558">
      <c r="A558" s="3" t="inlineStr">
        <is>
          <t>CP_F+VI_F</t>
        </is>
      </c>
      <c r="B558" s="3" t="n">
        <v>8</v>
      </c>
    </row>
    <row r="559">
      <c r="A559" s="3" t="inlineStr">
        <is>
          <t>AQ_F+SC_F</t>
        </is>
      </c>
      <c r="B559" s="3" t="n">
        <v>4</v>
      </c>
    </row>
    <row r="560">
      <c r="A560" s="3" t="inlineStr">
        <is>
          <t>AQ_F+LI_F</t>
        </is>
      </c>
      <c r="B560" s="3" t="n">
        <v>8</v>
      </c>
    </row>
    <row r="561">
      <c r="A561" s="3" t="inlineStr">
        <is>
          <t>AQ_F+AR_F</t>
        </is>
      </c>
      <c r="B561" s="3" t="n">
        <v>6</v>
      </c>
    </row>
    <row r="562">
      <c r="A562" s="3" t="inlineStr">
        <is>
          <t>AQ_F+AQ_F</t>
        </is>
      </c>
      <c r="B562" s="3" t="n">
        <v>6</v>
      </c>
    </row>
    <row r="563">
      <c r="A563" s="3" t="inlineStr">
        <is>
          <t>PI_F+AR_F</t>
        </is>
      </c>
      <c r="B563" s="3" t="n">
        <v>5</v>
      </c>
    </row>
    <row r="564">
      <c r="A564" s="3" t="inlineStr">
        <is>
          <t>PI_F+LI_F</t>
        </is>
      </c>
      <c r="B564" s="3" t="n">
        <v>6</v>
      </c>
    </row>
    <row r="565">
      <c r="A565" s="3" t="inlineStr">
        <is>
          <t>AQ_F+CP_F</t>
        </is>
      </c>
      <c r="B565" s="3" t="n">
        <v>5</v>
      </c>
    </row>
    <row r="566">
      <c r="A566" s="3" t="inlineStr">
        <is>
          <t>AQ_F+PI_F</t>
        </is>
      </c>
      <c r="B566" s="3" t="n">
        <v>7</v>
      </c>
    </row>
    <row r="567">
      <c r="A567" s="3" t="inlineStr">
        <is>
          <t>AQ_F+SG_F</t>
        </is>
      </c>
      <c r="B567" s="3" t="n">
        <v>6</v>
      </c>
    </row>
    <row r="568">
      <c r="A568" s="3" t="inlineStr">
        <is>
          <t>PI_F+LE_F</t>
        </is>
      </c>
      <c r="B568" s="3" t="n">
        <v>7</v>
      </c>
    </row>
    <row r="569">
      <c r="A569" s="3" t="inlineStr">
        <is>
          <t>PI_F+VI_F</t>
        </is>
      </c>
      <c r="B569" s="3" t="n">
        <v>5</v>
      </c>
    </row>
    <row r="570">
      <c r="A570" s="3" t="inlineStr">
        <is>
          <t>PI_F+TA_F</t>
        </is>
      </c>
      <c r="B570" s="3" t="n">
        <v>6</v>
      </c>
    </row>
    <row r="571">
      <c r="A571" s="3" t="inlineStr">
        <is>
          <t>PI_F+SC_F</t>
        </is>
      </c>
      <c r="B571" s="3" t="n">
        <v>8</v>
      </c>
    </row>
    <row r="572">
      <c r="A572" s="3" t="inlineStr">
        <is>
          <t>PI_F+SG_F</t>
        </is>
      </c>
      <c r="B572" s="3" t="n">
        <v>5</v>
      </c>
    </row>
    <row r="573">
      <c r="A573" s="3" t="inlineStr">
        <is>
          <t>PI_F+GE_F</t>
        </is>
      </c>
      <c r="B573" s="3" t="n">
        <v>4</v>
      </c>
    </row>
    <row r="574">
      <c r="A574" s="3" t="inlineStr">
        <is>
          <t>PI_F+AQ_F</t>
        </is>
      </c>
      <c r="B574" s="3" t="n">
        <v>7</v>
      </c>
    </row>
    <row r="575">
      <c r="A575" s="3" t="inlineStr">
        <is>
          <t>PI_F+PI_F</t>
        </is>
      </c>
      <c r="B575" s="3" t="n">
        <v>6</v>
      </c>
    </row>
    <row r="576">
      <c r="A576" s="3" t="inlineStr">
        <is>
          <t>PI_F+CP_F</t>
        </is>
      </c>
      <c r="B576" s="3" t="n">
        <v>6</v>
      </c>
    </row>
    <row r="577">
      <c r="A577" s="3" t="inlineStr">
        <is>
          <t>PI_F+CA_F</t>
        </is>
      </c>
      <c r="B577" s="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.65" customWidth="1" min="3" max="3"/>
  </cols>
  <sheetData>
    <row r="1">
      <c r="A1" s="2" t="inlineStr">
        <is>
          <t>pair_key</t>
        </is>
      </c>
      <c r="B1" s="2" t="inlineStr">
        <is>
          <t>score_1_10</t>
        </is>
      </c>
      <c r="C1" s="2" t="inlineStr">
        <is>
          <t>weight_points</t>
        </is>
      </c>
    </row>
    <row r="2">
      <c r="A2" s="3" t="inlineStr">
        <is>
          <t>1+2</t>
        </is>
      </c>
      <c r="B2" s="3" t="n">
        <v>6</v>
      </c>
      <c r="C2" s="3" t="n">
        <v>30</v>
      </c>
    </row>
    <row r="3">
      <c r="A3" s="3" t="inlineStr">
        <is>
          <t>1+1</t>
        </is>
      </c>
      <c r="B3" s="3" t="n">
        <v>7</v>
      </c>
      <c r="C3" s="3" t="n">
        <v>30</v>
      </c>
    </row>
    <row r="4">
      <c r="A4" s="3" t="inlineStr">
        <is>
          <t>1+5</t>
        </is>
      </c>
      <c r="B4" s="3" t="n">
        <v>9</v>
      </c>
      <c r="C4" s="3" t="n">
        <v>30</v>
      </c>
    </row>
    <row r="5">
      <c r="A5" s="3" t="inlineStr">
        <is>
          <t>1+3</t>
        </is>
      </c>
      <c r="B5" s="3" t="n">
        <v>6</v>
      </c>
      <c r="C5" s="3" t="n">
        <v>30</v>
      </c>
    </row>
    <row r="6">
      <c r="A6" s="3" t="inlineStr">
        <is>
          <t>1+8</t>
        </is>
      </c>
      <c r="B6" s="3" t="n">
        <v>6</v>
      </c>
      <c r="C6" s="3" t="n">
        <v>30</v>
      </c>
    </row>
    <row r="7">
      <c r="A7" s="3" t="inlineStr">
        <is>
          <t>1+11</t>
        </is>
      </c>
      <c r="B7" s="3" t="n">
        <v>6</v>
      </c>
      <c r="C7" s="3" t="n">
        <v>30</v>
      </c>
    </row>
    <row r="8">
      <c r="A8" s="3" t="inlineStr">
        <is>
          <t>1+6</t>
        </is>
      </c>
      <c r="B8" s="3" t="n">
        <v>6</v>
      </c>
      <c r="C8" s="3" t="n">
        <v>30</v>
      </c>
    </row>
    <row r="9">
      <c r="A9" s="3" t="inlineStr">
        <is>
          <t>1+7</t>
        </is>
      </c>
      <c r="B9" s="3" t="n">
        <v>8</v>
      </c>
      <c r="C9" s="3" t="n">
        <v>30</v>
      </c>
    </row>
    <row r="10">
      <c r="A10" s="3" t="inlineStr">
        <is>
          <t>1+4</t>
        </is>
      </c>
      <c r="B10" s="3" t="n">
        <v>6</v>
      </c>
      <c r="C10" s="3" t="n">
        <v>30</v>
      </c>
    </row>
    <row r="11">
      <c r="A11" s="3" t="inlineStr">
        <is>
          <t>1+9</t>
        </is>
      </c>
      <c r="B11" s="3" t="n">
        <v>8</v>
      </c>
      <c r="C11" s="3" t="n">
        <v>30</v>
      </c>
    </row>
    <row r="12">
      <c r="A12" s="3" t="inlineStr">
        <is>
          <t>2+3</t>
        </is>
      </c>
      <c r="B12" s="3" t="n">
        <v>6</v>
      </c>
      <c r="C12" s="3" t="n">
        <v>30</v>
      </c>
    </row>
    <row r="13">
      <c r="A13" s="3" t="inlineStr">
        <is>
          <t>2+2</t>
        </is>
      </c>
      <c r="B13" s="3" t="n">
        <v>7</v>
      </c>
      <c r="C13" s="3" t="n">
        <v>30</v>
      </c>
    </row>
    <row r="14">
      <c r="A14" s="3" t="inlineStr">
        <is>
          <t>2+7</t>
        </is>
      </c>
      <c r="B14" s="3" t="n">
        <v>8</v>
      </c>
      <c r="C14" s="3" t="n">
        <v>30</v>
      </c>
    </row>
    <row r="15">
      <c r="A15" s="3" t="inlineStr">
        <is>
          <t>2+6</t>
        </is>
      </c>
      <c r="B15" s="3" t="n">
        <v>10</v>
      </c>
      <c r="C15" s="3" t="n">
        <v>30</v>
      </c>
    </row>
    <row r="16">
      <c r="A16" s="3" t="inlineStr">
        <is>
          <t>2+8</t>
        </is>
      </c>
      <c r="B16" s="3" t="n">
        <v>6</v>
      </c>
      <c r="C16" s="3" t="n">
        <v>30</v>
      </c>
    </row>
    <row r="17">
      <c r="A17" s="3" t="inlineStr">
        <is>
          <t>2+5</t>
        </is>
      </c>
      <c r="B17" s="3" t="n">
        <v>6</v>
      </c>
      <c r="C17" s="3" t="n">
        <v>30</v>
      </c>
    </row>
    <row r="18">
      <c r="A18" s="3" t="inlineStr">
        <is>
          <t>1+22</t>
        </is>
      </c>
      <c r="B18" s="3" t="n">
        <v>6</v>
      </c>
      <c r="C18" s="3" t="n">
        <v>30</v>
      </c>
    </row>
    <row r="19">
      <c r="A19" s="3" t="inlineStr">
        <is>
          <t>2+4</t>
        </is>
      </c>
      <c r="B19" s="3" t="n">
        <v>6</v>
      </c>
      <c r="C19" s="3" t="n">
        <v>30</v>
      </c>
    </row>
    <row r="20">
      <c r="A20" s="3" t="inlineStr">
        <is>
          <t>2+11</t>
        </is>
      </c>
      <c r="B20" s="3" t="n">
        <v>9</v>
      </c>
      <c r="C20" s="3" t="n">
        <v>30</v>
      </c>
    </row>
    <row r="21">
      <c r="A21" s="3" t="inlineStr">
        <is>
          <t>2+9</t>
        </is>
      </c>
      <c r="B21" s="3" t="n">
        <v>8</v>
      </c>
      <c r="C21" s="3" t="n">
        <v>30</v>
      </c>
    </row>
    <row r="22">
      <c r="A22" s="3" t="inlineStr">
        <is>
          <t>3+11</t>
        </is>
      </c>
      <c r="B22" s="3" t="n">
        <v>6</v>
      </c>
      <c r="C22" s="3" t="n">
        <v>30</v>
      </c>
    </row>
    <row r="23">
      <c r="A23" s="3" t="inlineStr">
        <is>
          <t>3+22</t>
        </is>
      </c>
      <c r="B23" s="3" t="n">
        <v>6</v>
      </c>
      <c r="C23" s="3" t="n">
        <v>30</v>
      </c>
    </row>
    <row r="24">
      <c r="A24" s="3" t="inlineStr">
        <is>
          <t>3+9</t>
        </is>
      </c>
      <c r="B24" s="3" t="n">
        <v>8</v>
      </c>
      <c r="C24" s="3" t="n">
        <v>30</v>
      </c>
    </row>
    <row r="25">
      <c r="A25" s="3" t="inlineStr">
        <is>
          <t>3+3</t>
        </is>
      </c>
      <c r="B25" s="3" t="n">
        <v>7</v>
      </c>
      <c r="C25" s="3" t="n">
        <v>30</v>
      </c>
    </row>
    <row r="26">
      <c r="A26" s="3" t="inlineStr">
        <is>
          <t>3+8</t>
        </is>
      </c>
      <c r="B26" s="3" t="n">
        <v>6</v>
      </c>
      <c r="C26" s="3" t="n">
        <v>30</v>
      </c>
    </row>
    <row r="27">
      <c r="A27" s="3" t="inlineStr">
        <is>
          <t>3+7</t>
        </is>
      </c>
      <c r="B27" s="3" t="n">
        <v>8</v>
      </c>
      <c r="C27" s="3" t="n">
        <v>30</v>
      </c>
    </row>
    <row r="28">
      <c r="A28" s="3" t="inlineStr">
        <is>
          <t>3+5</t>
        </is>
      </c>
      <c r="B28" s="3" t="n">
        <v>6</v>
      </c>
      <c r="C28" s="3" t="n">
        <v>30</v>
      </c>
    </row>
    <row r="29">
      <c r="A29" s="3" t="inlineStr">
        <is>
          <t>2+22</t>
        </is>
      </c>
      <c r="B29" s="3" t="n">
        <v>6</v>
      </c>
      <c r="C29" s="3" t="n">
        <v>30</v>
      </c>
    </row>
    <row r="30">
      <c r="A30" s="3" t="inlineStr">
        <is>
          <t>3+4</t>
        </is>
      </c>
      <c r="B30" s="3" t="n">
        <v>6</v>
      </c>
      <c r="C30" s="3" t="n">
        <v>30</v>
      </c>
    </row>
    <row r="31">
      <c r="A31" s="3" t="inlineStr">
        <is>
          <t>3+6</t>
        </is>
      </c>
      <c r="B31" s="3" t="n">
        <v>9</v>
      </c>
      <c r="C31" s="3" t="n">
        <v>30</v>
      </c>
    </row>
    <row r="32">
      <c r="A32" s="3" t="inlineStr">
        <is>
          <t>4+6</t>
        </is>
      </c>
      <c r="B32" s="3" t="n">
        <v>6</v>
      </c>
      <c r="C32" s="3" t="n">
        <v>30</v>
      </c>
    </row>
    <row r="33">
      <c r="A33" s="3" t="inlineStr">
        <is>
          <t>4+7</t>
        </is>
      </c>
      <c r="B33" s="3" t="n">
        <v>6</v>
      </c>
      <c r="C33" s="3" t="n">
        <v>30</v>
      </c>
    </row>
    <row r="34">
      <c r="A34" s="3" t="inlineStr">
        <is>
          <t>4+5</t>
        </is>
      </c>
      <c r="B34" s="3" t="n">
        <v>3</v>
      </c>
      <c r="C34" s="3" t="n">
        <v>30</v>
      </c>
    </row>
    <row r="35">
      <c r="A35" s="3" t="inlineStr">
        <is>
          <t>4+4</t>
        </is>
      </c>
      <c r="B35" s="3" t="n">
        <v>7</v>
      </c>
      <c r="C35" s="3" t="n">
        <v>30</v>
      </c>
    </row>
    <row r="36">
      <c r="A36" s="3" t="inlineStr">
        <is>
          <t>4+8</t>
        </is>
      </c>
      <c r="B36" s="3" t="n">
        <v>9</v>
      </c>
      <c r="C36" s="3" t="n">
        <v>30</v>
      </c>
    </row>
    <row r="37">
      <c r="A37" s="3" t="inlineStr">
        <is>
          <t>4+9</t>
        </is>
      </c>
      <c r="B37" s="3" t="n">
        <v>6</v>
      </c>
      <c r="C37" s="3" t="n">
        <v>30</v>
      </c>
    </row>
    <row r="38">
      <c r="A38" s="3" t="inlineStr">
        <is>
          <t>5+5</t>
        </is>
      </c>
      <c r="B38" s="3" t="n">
        <v>7</v>
      </c>
      <c r="C38" s="3" t="n">
        <v>30</v>
      </c>
    </row>
    <row r="39">
      <c r="A39" s="3" t="inlineStr">
        <is>
          <t>5+6</t>
        </is>
      </c>
      <c r="B39" s="3" t="n">
        <v>6</v>
      </c>
      <c r="C39" s="3" t="n">
        <v>30</v>
      </c>
    </row>
    <row r="40">
      <c r="A40" s="3" t="inlineStr">
        <is>
          <t>4+11</t>
        </is>
      </c>
      <c r="B40" s="3" t="n">
        <v>6</v>
      </c>
      <c r="C40" s="3" t="n">
        <v>30</v>
      </c>
    </row>
    <row r="41">
      <c r="A41" s="3" t="inlineStr">
        <is>
          <t>4+22</t>
        </is>
      </c>
      <c r="B41" s="3" t="n">
        <v>9</v>
      </c>
      <c r="C41" s="3" t="n">
        <v>30</v>
      </c>
    </row>
    <row r="42">
      <c r="A42" s="3" t="inlineStr">
        <is>
          <t>5+8</t>
        </is>
      </c>
      <c r="B42" s="3" t="n">
        <v>3</v>
      </c>
      <c r="C42" s="3" t="n">
        <v>30</v>
      </c>
    </row>
    <row r="43">
      <c r="A43" s="3" t="inlineStr">
        <is>
          <t>5+22</t>
        </is>
      </c>
      <c r="B43" s="3" t="n">
        <v>6</v>
      </c>
      <c r="C43" s="3" t="n">
        <v>30</v>
      </c>
    </row>
    <row r="44">
      <c r="A44" s="3" t="inlineStr">
        <is>
          <t>6+9</t>
        </is>
      </c>
      <c r="B44" s="3" t="n">
        <v>6</v>
      </c>
      <c r="C44" s="3" t="n">
        <v>30</v>
      </c>
    </row>
    <row r="45">
      <c r="A45" s="3" t="inlineStr">
        <is>
          <t>6+7</t>
        </is>
      </c>
      <c r="B45" s="3" t="n">
        <v>6</v>
      </c>
      <c r="C45" s="3" t="n">
        <v>30</v>
      </c>
    </row>
    <row r="46">
      <c r="A46" s="3" t="inlineStr">
        <is>
          <t>6+6</t>
        </is>
      </c>
      <c r="B46" s="3" t="n">
        <v>7</v>
      </c>
      <c r="C46" s="3" t="n">
        <v>30</v>
      </c>
    </row>
    <row r="47">
      <c r="A47" s="3" t="inlineStr">
        <is>
          <t>5+7</t>
        </is>
      </c>
      <c r="B47" s="3" t="n">
        <v>3</v>
      </c>
      <c r="C47" s="3" t="n">
        <v>30</v>
      </c>
    </row>
    <row r="48">
      <c r="A48" s="3" t="inlineStr">
        <is>
          <t>6+8</t>
        </is>
      </c>
      <c r="B48" s="3" t="n">
        <v>6</v>
      </c>
      <c r="C48" s="3" t="n">
        <v>30</v>
      </c>
    </row>
    <row r="49">
      <c r="A49" s="3" t="inlineStr">
        <is>
          <t>5+11</t>
        </is>
      </c>
      <c r="B49" s="3" t="n">
        <v>6</v>
      </c>
      <c r="C49" s="3" t="n">
        <v>30</v>
      </c>
    </row>
    <row r="50">
      <c r="A50" s="3" t="inlineStr">
        <is>
          <t>5+9</t>
        </is>
      </c>
      <c r="B50" s="3" t="n">
        <v>8</v>
      </c>
      <c r="C50" s="3" t="n">
        <v>30</v>
      </c>
    </row>
    <row r="51">
      <c r="A51" s="3" t="inlineStr">
        <is>
          <t>6+11</t>
        </is>
      </c>
      <c r="B51" s="3" t="n">
        <v>6</v>
      </c>
      <c r="C51" s="3" t="n">
        <v>30</v>
      </c>
    </row>
    <row r="52">
      <c r="A52" s="3" t="inlineStr">
        <is>
          <t>8+8</t>
        </is>
      </c>
      <c r="B52" s="3" t="n">
        <v>7</v>
      </c>
      <c r="C52" s="3" t="n">
        <v>30</v>
      </c>
    </row>
    <row r="53">
      <c r="A53" s="3" t="inlineStr">
        <is>
          <t>7+22</t>
        </is>
      </c>
      <c r="B53" s="3" t="n">
        <v>6</v>
      </c>
      <c r="C53" s="3" t="n">
        <v>30</v>
      </c>
    </row>
    <row r="54">
      <c r="A54" s="3" t="inlineStr">
        <is>
          <t>7+7</t>
        </is>
      </c>
      <c r="B54" s="3" t="n">
        <v>7</v>
      </c>
      <c r="C54" s="3" t="n">
        <v>30</v>
      </c>
    </row>
    <row r="55">
      <c r="A55" s="3" t="inlineStr">
        <is>
          <t>7+9</t>
        </is>
      </c>
      <c r="B55" s="3" t="n">
        <v>9</v>
      </c>
      <c r="C55" s="3" t="n">
        <v>30</v>
      </c>
    </row>
    <row r="56">
      <c r="A56" s="3" t="inlineStr">
        <is>
          <t>6+22</t>
        </is>
      </c>
      <c r="B56" s="3" t="n">
        <v>6</v>
      </c>
      <c r="C56" s="3" t="n">
        <v>30</v>
      </c>
    </row>
    <row r="57">
      <c r="A57" s="3" t="inlineStr">
        <is>
          <t>7+11</t>
        </is>
      </c>
      <c r="B57" s="3" t="n">
        <v>10</v>
      </c>
      <c r="C57" s="3" t="n">
        <v>30</v>
      </c>
    </row>
    <row r="58">
      <c r="A58" s="3" t="inlineStr">
        <is>
          <t>7+8</t>
        </is>
      </c>
      <c r="B58" s="3" t="n">
        <v>6</v>
      </c>
      <c r="C58" s="3" t="n">
        <v>30</v>
      </c>
    </row>
    <row r="59">
      <c r="A59" s="3" t="inlineStr">
        <is>
          <t>8+11</t>
        </is>
      </c>
      <c r="B59" s="3" t="n">
        <v>6</v>
      </c>
      <c r="C59" s="3" t="n">
        <v>30</v>
      </c>
    </row>
    <row r="60">
      <c r="A60" s="3" t="inlineStr">
        <is>
          <t>8+9</t>
        </is>
      </c>
      <c r="B60" s="3" t="n">
        <v>6</v>
      </c>
      <c r="C60" s="3" t="n">
        <v>30</v>
      </c>
    </row>
    <row r="61">
      <c r="A61" s="3" t="inlineStr">
        <is>
          <t>8+22</t>
        </is>
      </c>
      <c r="B61" s="3" t="n">
        <v>9</v>
      </c>
      <c r="C61" s="3" t="n">
        <v>30</v>
      </c>
    </row>
    <row r="62">
      <c r="A62" s="3" t="inlineStr">
        <is>
          <t>9+9</t>
        </is>
      </c>
      <c r="B62" s="3" t="n">
        <v>7</v>
      </c>
      <c r="C62" s="3" t="n">
        <v>30</v>
      </c>
    </row>
    <row r="63">
      <c r="A63" s="3" t="inlineStr">
        <is>
          <t>22+22</t>
        </is>
      </c>
      <c r="B63" s="3" t="n">
        <v>7</v>
      </c>
      <c r="C63" s="3" t="n">
        <v>30</v>
      </c>
    </row>
    <row r="64">
      <c r="A64" s="3" t="inlineStr">
        <is>
          <t>9+11</t>
        </is>
      </c>
      <c r="B64" s="3" t="n">
        <v>6</v>
      </c>
      <c r="C64" s="3" t="n">
        <v>30</v>
      </c>
    </row>
    <row r="65">
      <c r="A65" s="3" t="inlineStr">
        <is>
          <t>11+11</t>
        </is>
      </c>
      <c r="B65" s="3" t="n">
        <v>7</v>
      </c>
      <c r="C65" s="3" t="n">
        <v>30</v>
      </c>
    </row>
    <row r="66">
      <c r="A66" s="3" t="inlineStr">
        <is>
          <t>11+22</t>
        </is>
      </c>
      <c r="B66" s="3" t="n">
        <v>3</v>
      </c>
      <c r="C66" s="3" t="n">
        <v>30</v>
      </c>
    </row>
    <row r="67">
      <c r="A67" s="3" t="inlineStr">
        <is>
          <t>9+22</t>
        </is>
      </c>
      <c r="B67" s="3" t="n">
        <v>10</v>
      </c>
      <c r="C67" s="3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pair_key</t>
        </is>
      </c>
      <c r="B1" s="2" t="inlineStr">
        <is>
          <t>score_1_10</t>
        </is>
      </c>
    </row>
    <row r="2">
      <c r="A2" s="3" t="inlineStr">
        <is>
          <t>COMM_Avoidant+COMM_Direct</t>
        </is>
      </c>
      <c r="B2" s="3" t="n">
        <v>3</v>
      </c>
    </row>
    <row r="3">
      <c r="A3" s="3" t="inlineStr">
        <is>
          <t>COMM_Direct+COMM_Emotional</t>
        </is>
      </c>
      <c r="B3" s="3" t="n">
        <v>6</v>
      </c>
    </row>
    <row r="4">
      <c r="A4" s="3" t="inlineStr">
        <is>
          <t>COMM_Direct+COMM_Direct</t>
        </is>
      </c>
      <c r="B4" s="3" t="n">
        <v>8</v>
      </c>
    </row>
    <row r="5">
      <c r="A5" s="3" t="inlineStr">
        <is>
          <t>COMM_Avoidant+COMM_Emotional</t>
        </is>
      </c>
      <c r="B5" s="3" t="n">
        <v>5</v>
      </c>
    </row>
    <row r="6">
      <c r="A6" s="3" t="inlineStr">
        <is>
          <t>COMM_Avoidant+COMM_Avoidant</t>
        </is>
      </c>
      <c r="B6" s="3" t="n">
        <v>2</v>
      </c>
    </row>
    <row r="7">
      <c r="A7" s="3" t="inlineStr">
        <is>
          <t>COMM_Avoidant+COMM_Indirect</t>
        </is>
      </c>
      <c r="B7" s="3" t="n">
        <v>7</v>
      </c>
    </row>
    <row r="8">
      <c r="A8" s="3" t="inlineStr">
        <is>
          <t>COMM_Direct+COMM_Indirect</t>
        </is>
      </c>
      <c r="B8" s="3" t="n">
        <v>4</v>
      </c>
    </row>
    <row r="9">
      <c r="A9" s="3" t="inlineStr">
        <is>
          <t>COMM_Avoidant+COMM_Logical</t>
        </is>
      </c>
      <c r="B9" s="3" t="n">
        <v>6</v>
      </c>
    </row>
    <row r="10">
      <c r="A10" s="3" t="inlineStr">
        <is>
          <t>COMM_Direct+COMM_Logical</t>
        </is>
      </c>
      <c r="B10" s="3" t="n">
        <v>9</v>
      </c>
    </row>
    <row r="11">
      <c r="A11" s="3" t="inlineStr">
        <is>
          <t>COMM_Emotional+COMM_Emotional</t>
        </is>
      </c>
      <c r="B11" s="3" t="n">
        <v>7</v>
      </c>
    </row>
    <row r="12">
      <c r="A12" s="3" t="inlineStr">
        <is>
          <t>COMM_Emotional+COMM_Indirect</t>
        </is>
      </c>
      <c r="B12" s="3" t="n">
        <v>6</v>
      </c>
    </row>
    <row r="13">
      <c r="A13" s="3" t="inlineStr">
        <is>
          <t>COMM_Indirect+COMM_Logical</t>
        </is>
      </c>
      <c r="B13" s="3" t="n">
        <v>6</v>
      </c>
    </row>
    <row r="14">
      <c r="A14" s="3" t="inlineStr">
        <is>
          <t>COMM_Emotional+COMM_Logical</t>
        </is>
      </c>
      <c r="B14" s="3" t="n">
        <v>8</v>
      </c>
    </row>
    <row r="15">
      <c r="A15" s="3" t="inlineStr">
        <is>
          <t>COMM_Logical+COMM_Logical</t>
        </is>
      </c>
      <c r="B15" s="3" t="n">
        <v>9</v>
      </c>
    </row>
    <row r="16">
      <c r="A16" s="3" t="inlineStr">
        <is>
          <t>COMM_Indirect+COMM_Indirect</t>
        </is>
      </c>
      <c r="B16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pair_key</t>
        </is>
      </c>
      <c r="B1" s="2" t="inlineStr">
        <is>
          <t>score_1_10</t>
        </is>
      </c>
    </row>
    <row r="2">
      <c r="A2" s="3" t="inlineStr">
        <is>
          <t>REG_CoRegulator+REG_SelfSoother</t>
        </is>
      </c>
      <c r="B2" s="3" t="n">
        <v>10</v>
      </c>
    </row>
    <row r="3">
      <c r="A3" s="3" t="inlineStr">
        <is>
          <t>REG_Distractor+REG_SelfSoother</t>
        </is>
      </c>
      <c r="B3" s="3" t="n">
        <v>7</v>
      </c>
    </row>
    <row r="4">
      <c r="A4" s="3" t="inlineStr">
        <is>
          <t>REG_SelfSoother+REG_SelfSoother</t>
        </is>
      </c>
      <c r="B4" s="3" t="n">
        <v>8</v>
      </c>
    </row>
    <row r="5">
      <c r="A5" s="3" t="inlineStr">
        <is>
          <t>REG_Suppressor+REG_Suppressor</t>
        </is>
      </c>
      <c r="B5" s="3" t="n">
        <v>3</v>
      </c>
    </row>
    <row r="6">
      <c r="A6" s="3" t="inlineStr">
        <is>
          <t>REG_CoRegulator+REG_Distractor</t>
        </is>
      </c>
      <c r="B6" s="3" t="n">
        <v>6</v>
      </c>
    </row>
    <row r="7">
      <c r="A7" s="3" t="inlineStr">
        <is>
          <t>REG_Distractor+REG_Suppressor</t>
        </is>
      </c>
      <c r="B7" s="3" t="n">
        <v>4</v>
      </c>
    </row>
    <row r="8">
      <c r="A8" s="3" t="inlineStr">
        <is>
          <t>REG_CoRegulator+REG_CoRegulator</t>
        </is>
      </c>
      <c r="B8" s="3" t="n">
        <v>9</v>
      </c>
    </row>
    <row r="9">
      <c r="A9" s="3" t="inlineStr">
        <is>
          <t>REG_Distractor+REG_Distractor</t>
        </is>
      </c>
      <c r="B9" s="3" t="n">
        <v>7</v>
      </c>
    </row>
    <row r="10">
      <c r="A10" s="3" t="inlineStr">
        <is>
          <t>REG_SelfSoother+REG_Suppressor</t>
        </is>
      </c>
      <c r="B10" s="3" t="n">
        <v>6</v>
      </c>
    </row>
    <row r="11">
      <c r="A11" s="3" t="inlineStr">
        <is>
          <t>REG_CoRegulator+REG_Suppressor</t>
        </is>
      </c>
      <c r="B11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pair_key</t>
        </is>
      </c>
      <c r="B1" s="2" t="inlineStr">
        <is>
          <t>score_1_10</t>
        </is>
      </c>
    </row>
    <row r="2">
      <c r="A2" s="3" t="inlineStr">
        <is>
          <t>LANG_Time+LANG_Touch</t>
        </is>
      </c>
      <c r="B2" s="3" t="n">
        <v>8</v>
      </c>
    </row>
    <row r="3">
      <c r="A3" s="3" t="inlineStr">
        <is>
          <t>LANG_Gifts+LANG_Words</t>
        </is>
      </c>
      <c r="B3" s="3" t="n">
        <v>6</v>
      </c>
    </row>
    <row r="4">
      <c r="A4" s="3" t="inlineStr">
        <is>
          <t>LANG_Time+LANG_Words</t>
        </is>
      </c>
      <c r="B4" s="3" t="n">
        <v>8</v>
      </c>
    </row>
    <row r="5">
      <c r="A5" s="3" t="inlineStr">
        <is>
          <t>LANG_Words+LANG_Words</t>
        </is>
      </c>
      <c r="B5" s="3" t="n">
        <v>9</v>
      </c>
    </row>
    <row r="6">
      <c r="A6" s="3" t="inlineStr">
        <is>
          <t>LANG_Gifts+LANG_Time</t>
        </is>
      </c>
      <c r="B6" s="3" t="n">
        <v>6</v>
      </c>
    </row>
    <row r="7">
      <c r="A7" s="3" t="inlineStr">
        <is>
          <t>LANG_Service+LANG_Time</t>
        </is>
      </c>
      <c r="B7" s="3" t="n">
        <v>9</v>
      </c>
    </row>
    <row r="8">
      <c r="A8" s="3" t="inlineStr">
        <is>
          <t>LANG_Touch+LANG_Words</t>
        </is>
      </c>
      <c r="B8" s="3" t="n">
        <v>7</v>
      </c>
    </row>
    <row r="9">
      <c r="A9" s="3" t="inlineStr">
        <is>
          <t>LANG_Gifts+LANG_Gifts</t>
        </is>
      </c>
      <c r="B9" s="3" t="n">
        <v>7</v>
      </c>
    </row>
    <row r="10">
      <c r="A10" s="3" t="inlineStr">
        <is>
          <t>LANG_Time+LANG_Time</t>
        </is>
      </c>
      <c r="B10" s="3" t="n">
        <v>10</v>
      </c>
    </row>
    <row r="11">
      <c r="A11" s="3" t="inlineStr">
        <is>
          <t>LANG_Service+LANG_Words</t>
        </is>
      </c>
      <c r="B11" s="3" t="n">
        <v>7</v>
      </c>
    </row>
    <row r="12">
      <c r="A12" s="3" t="inlineStr">
        <is>
          <t>LANG_Touch+LANG_Touch</t>
        </is>
      </c>
      <c r="B12" s="3" t="n">
        <v>9</v>
      </c>
    </row>
    <row r="13">
      <c r="A13" s="3" t="inlineStr">
        <is>
          <t>LANG_Gifts+LANG_Service</t>
        </is>
      </c>
      <c r="B13" s="3" t="n">
        <v>5</v>
      </c>
    </row>
    <row r="14">
      <c r="A14" s="3" t="inlineStr">
        <is>
          <t>LANG_Service+LANG_Touch</t>
        </is>
      </c>
      <c r="B14" s="3" t="n">
        <v>8</v>
      </c>
    </row>
    <row r="15">
      <c r="A15" s="3" t="inlineStr">
        <is>
          <t>LANG_Gifts+LANG_Touch</t>
        </is>
      </c>
      <c r="B15" s="3" t="n">
        <v>6</v>
      </c>
    </row>
    <row r="16">
      <c r="A16" s="3" t="inlineStr">
        <is>
          <t>LANG_Service+LANG_Service</t>
        </is>
      </c>
      <c r="B16" s="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.6" customWidth="1" min="3" max="3"/>
    <col width="12" customWidth="1" min="4" max="4"/>
    <col width="12.6" customWidth="1" min="5" max="5"/>
    <col width="12" customWidth="1" min="6" max="6"/>
    <col width="23.1" customWidth="1" min="7" max="7"/>
    <col width="17.85" customWidth="1" min="8" max="8"/>
    <col width="12" customWidth="1" min="9" max="9"/>
  </cols>
  <sheetData>
    <row r="1">
      <c r="A1" s="2" t="inlineStr">
        <is>
          <t>rule_id</t>
        </is>
      </c>
      <c r="B1" s="2" t="inlineStr">
        <is>
          <t>source_type</t>
        </is>
      </c>
      <c r="C1" s="2" t="inlineStr">
        <is>
          <t>source_value</t>
        </is>
      </c>
      <c r="D1" s="2" t="inlineStr">
        <is>
          <t>target_type</t>
        </is>
      </c>
      <c r="E1" s="2" t="inlineStr">
        <is>
          <t>target_value</t>
        </is>
      </c>
      <c r="F1" s="2" t="inlineStr">
        <is>
          <t>pair_effect</t>
        </is>
      </c>
      <c r="G1" s="2" t="inlineStr">
        <is>
          <t>compatibility_modifier</t>
        </is>
      </c>
      <c r="H1" s="2" t="inlineStr">
        <is>
          <t>forecast_modifier</t>
        </is>
      </c>
      <c r="I1" s="2" t="inlineStr">
        <is>
          <t>source</t>
        </is>
      </c>
    </row>
    <row r="2">
      <c r="A2" s="3" t="inlineStr">
        <is>
          <t>R1</t>
        </is>
      </c>
      <c r="B2" s="3" t="inlineStr">
        <is>
          <t>archetype</t>
        </is>
      </c>
      <c r="C2" s="3" t="inlineStr">
        <is>
          <t>Analyzer</t>
        </is>
      </c>
      <c r="D2" s="3" t="inlineStr">
        <is>
          <t>shadow</t>
        </is>
      </c>
      <c r="E2" s="3" t="inlineStr">
        <is>
          <t>Stonewaller</t>
        </is>
      </c>
      <c r="F2" s="3" t="inlineStr">
        <is>
          <t>clarity pursuit meets withholding -&gt; escalation</t>
        </is>
      </c>
      <c r="G2" s="3" t="n">
        <v>-18</v>
      </c>
      <c r="H2" s="3" t="n">
        <v>-12</v>
      </c>
      <c r="I2" s="3" t="inlineStr">
        <is>
          <t>Blueprint example</t>
        </is>
      </c>
    </row>
    <row r="3">
      <c r="A3" s="3" t="inlineStr">
        <is>
          <t>R2</t>
        </is>
      </c>
      <c r="B3" s="3" t="inlineStr">
        <is>
          <t>archetype</t>
        </is>
      </c>
      <c r="C3" s="3" t="inlineStr">
        <is>
          <t>Fixer</t>
        </is>
      </c>
      <c r="D3" s="3" t="inlineStr">
        <is>
          <t>archetype</t>
        </is>
      </c>
      <c r="E3" s="3" t="inlineStr">
        <is>
          <t>Survivor</t>
        </is>
      </c>
      <c r="F3" s="3" t="inlineStr">
        <is>
          <t>caretaker-protection dynamic; healing but imbalance risk</t>
        </is>
      </c>
      <c r="G3" s="3" t="n">
        <v>10</v>
      </c>
      <c r="H3" s="3" t="n">
        <v>-4</v>
      </c>
      <c r="I3" s="3" t="inlineStr">
        <is>
          <t>Blueprint example</t>
        </is>
      </c>
    </row>
    <row r="4">
      <c r="A4" s="3" t="inlineStr">
        <is>
          <t>R3</t>
        </is>
      </c>
      <c r="B4" s="3" t="inlineStr">
        <is>
          <t>archetype</t>
        </is>
      </c>
      <c r="C4" s="3" t="inlineStr">
        <is>
          <t>Romantic Idealist</t>
        </is>
      </c>
      <c r="D4" s="3" t="inlineStr">
        <is>
          <t>archetype</t>
        </is>
      </c>
      <c r="E4" s="3" t="inlineStr">
        <is>
          <t>Performer</t>
        </is>
      </c>
      <c r="F4" s="3" t="inlineStr">
        <is>
          <t>spark + affirmation loop; fantasy amplification</t>
        </is>
      </c>
      <c r="G4" s="3" t="n">
        <v>12</v>
      </c>
      <c r="H4" s="3" t="n">
        <v>-10</v>
      </c>
      <c r="I4" s="3" t="inlineStr">
        <is>
          <t>Blueprint example</t>
        </is>
      </c>
    </row>
    <row r="5">
      <c r="A5" s="3" t="inlineStr">
        <is>
          <t>R4</t>
        </is>
      </c>
      <c r="B5" s="3" t="inlineStr">
        <is>
          <t>archetype</t>
        </is>
      </c>
      <c r="C5" s="3" t="inlineStr">
        <is>
          <t>Translator</t>
        </is>
      </c>
      <c r="D5" s="3" t="inlineStr">
        <is>
          <t>archetype</t>
        </is>
      </c>
      <c r="E5" s="3" t="inlineStr">
        <is>
          <t>Regulated Grown-Up</t>
        </is>
      </c>
      <c r="F5" s="3" t="inlineStr">
        <is>
          <t>strong repair capacity + emotional translation</t>
        </is>
      </c>
      <c r="G5" s="3" t="n">
        <v>18</v>
      </c>
      <c r="H5" s="3" t="n">
        <v>12</v>
      </c>
      <c r="I5" s="3" t="inlineStr">
        <is>
          <t>Blueprint example</t>
        </is>
      </c>
    </row>
    <row r="6">
      <c r="A6" s="3" t="inlineStr">
        <is>
          <t>R5</t>
        </is>
      </c>
      <c r="B6" s="3" t="inlineStr"/>
      <c r="C6" s="3" t="inlineStr"/>
      <c r="D6" s="3" t="inlineStr"/>
      <c r="E6" s="3" t="inlineStr"/>
      <c r="F6" s="3" t="inlineStr">
        <is>
          <t>(add rules here)</t>
        </is>
      </c>
      <c r="G6" s="3" t="n">
        <v>0</v>
      </c>
      <c r="H6" s="3" t="n">
        <v>0</v>
      </c>
      <c r="I6" s="3" t="inlineStr">
        <is>
          <t>Editable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sun_sign</t>
        </is>
      </c>
      <c r="B1" s="2" t="inlineStr">
        <is>
          <t>abbr</t>
        </is>
      </c>
    </row>
    <row r="2">
      <c r="A2" s="3" t="inlineStr">
        <is>
          <t>aries</t>
        </is>
      </c>
      <c r="B2" s="3" t="inlineStr">
        <is>
          <t>AR</t>
        </is>
      </c>
    </row>
    <row r="3">
      <c r="A3" s="3" t="inlineStr">
        <is>
          <t>taurus</t>
        </is>
      </c>
      <c r="B3" s="3" t="inlineStr">
        <is>
          <t>TA</t>
        </is>
      </c>
    </row>
    <row r="4">
      <c r="A4" s="3" t="inlineStr">
        <is>
          <t>gemini</t>
        </is>
      </c>
      <c r="B4" s="3" t="inlineStr">
        <is>
          <t>GE</t>
        </is>
      </c>
    </row>
    <row r="5">
      <c r="A5" s="3" t="inlineStr">
        <is>
          <t>cancer</t>
        </is>
      </c>
      <c r="B5" s="3" t="inlineStr">
        <is>
          <t>CA</t>
        </is>
      </c>
    </row>
    <row r="6">
      <c r="A6" s="3" t="inlineStr">
        <is>
          <t>leo</t>
        </is>
      </c>
      <c r="B6" s="3" t="inlineStr">
        <is>
          <t>LE</t>
        </is>
      </c>
    </row>
    <row r="7">
      <c r="A7" s="3" t="inlineStr">
        <is>
          <t>virgo</t>
        </is>
      </c>
      <c r="B7" s="3" t="inlineStr">
        <is>
          <t>VI</t>
        </is>
      </c>
    </row>
    <row r="8">
      <c r="A8" s="3" t="inlineStr">
        <is>
          <t>libra</t>
        </is>
      </c>
      <c r="B8" s="3" t="inlineStr">
        <is>
          <t>LI</t>
        </is>
      </c>
    </row>
    <row r="9">
      <c r="A9" s="3" t="inlineStr">
        <is>
          <t>scorpio</t>
        </is>
      </c>
      <c r="B9" s="3" t="inlineStr">
        <is>
          <t>SC</t>
        </is>
      </c>
    </row>
    <row r="10">
      <c r="A10" s="3" t="inlineStr">
        <is>
          <t>sagittarius</t>
        </is>
      </c>
      <c r="B10" s="3" t="inlineStr">
        <is>
          <t>SG</t>
        </is>
      </c>
    </row>
    <row r="11">
      <c r="A11" s="3" t="inlineStr">
        <is>
          <t>capricorn</t>
        </is>
      </c>
      <c r="B11" s="3" t="inlineStr">
        <is>
          <t>CP</t>
        </is>
      </c>
    </row>
    <row r="12">
      <c r="A12" s="3" t="inlineStr">
        <is>
          <t>aquarius</t>
        </is>
      </c>
      <c r="B12" s="3" t="inlineStr">
        <is>
          <t>AQ</t>
        </is>
      </c>
    </row>
    <row r="13">
      <c r="A13" s="3" t="inlineStr">
        <is>
          <t>pisces</t>
        </is>
      </c>
      <c r="B13" s="3" t="inlineStr">
        <is>
          <t>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Test Harness (enter answer_id for each question)</t>
        </is>
      </c>
    </row>
    <row r="2"/>
    <row r="3">
      <c r="A3" s="4" t="inlineStr">
        <is>
          <t>User A</t>
        </is>
      </c>
      <c r="F3" s="4" t="inlineStr">
        <is>
          <t>User B</t>
        </is>
      </c>
    </row>
    <row r="4">
      <c r="A4" s="4" t="inlineStr">
        <is>
          <t>Gender (M/F)</t>
        </is>
      </c>
      <c r="B4" t="inlineStr">
        <is>
          <t>M</t>
        </is>
      </c>
      <c r="F4" s="4" t="inlineStr">
        <is>
          <t>Gender (M/F)</t>
        </is>
      </c>
      <c r="G4" t="inlineStr">
        <is>
          <t>F</t>
        </is>
      </c>
    </row>
    <row r="5">
      <c r="A5" s="4" t="inlineStr">
        <is>
          <t>Sun sign (lowercase)</t>
        </is>
      </c>
      <c r="B5" t="inlineStr">
        <is>
          <t>aries</t>
        </is>
      </c>
      <c r="F5" s="4" t="inlineStr">
        <is>
          <t>Sun sign (lowercase)</t>
        </is>
      </c>
      <c r="G5" t="inlineStr">
        <is>
          <t>libra</t>
        </is>
      </c>
    </row>
    <row r="6">
      <c r="A6" s="4" t="inlineStr">
        <is>
          <t>Life Path</t>
        </is>
      </c>
      <c r="B6" t="n">
        <v>1</v>
      </c>
      <c r="F6" s="4" t="inlineStr">
        <is>
          <t>Life Path</t>
        </is>
      </c>
      <c r="G6" t="n">
        <v>6</v>
      </c>
    </row>
    <row r="7"/>
    <row r="8"/>
    <row r="9">
      <c r="A9" s="5" t="inlineStr">
        <is>
          <t>q</t>
        </is>
      </c>
      <c r="B9" s="5" t="inlineStr">
        <is>
          <t>w_q</t>
        </is>
      </c>
      <c r="C9" s="5" t="inlineStr">
        <is>
          <t>dimension</t>
        </is>
      </c>
      <c r="D9" s="5" t="inlineStr">
        <is>
          <t>answer_id_A</t>
        </is>
      </c>
      <c r="E9" s="5" t="inlineStr">
        <is>
          <t>answer_id_B</t>
        </is>
      </c>
      <c r="F9" s="5" t="inlineStr">
        <is>
          <t>cA</t>
        </is>
      </c>
      <c r="G9" s="5" t="inlineStr">
        <is>
          <t>rA</t>
        </is>
      </c>
      <c r="H9" s="5" t="inlineStr">
        <is>
          <t>fA</t>
        </is>
      </c>
      <c r="I9" s="5" t="inlineStr">
        <is>
          <t>cpA</t>
        </is>
      </c>
      <c r="J9" s="5" t="inlineStr">
        <is>
          <t>cB</t>
        </is>
      </c>
      <c r="K9" s="5" t="inlineStr">
        <is>
          <t>rB</t>
        </is>
      </c>
      <c r="L9" s="5" t="inlineStr">
        <is>
          <t>fB</t>
        </is>
      </c>
      <c r="M9" s="5" t="inlineStr">
        <is>
          <t>cpB</t>
        </is>
      </c>
      <c r="N9" s="5" t="inlineStr">
        <is>
          <t>match</t>
        </is>
      </c>
      <c r="O9" s="5" t="inlineStr">
        <is>
          <t>quality</t>
        </is>
      </c>
      <c r="P9" s="5" t="inlineStr">
        <is>
          <t>pair_q</t>
        </is>
      </c>
      <c r="Q9" s="5" t="inlineStr">
        <is>
          <t>readinessContrA</t>
        </is>
      </c>
      <c r="R9" s="5" t="inlineStr">
        <is>
          <t>readinessContrB</t>
        </is>
      </c>
      <c r="S9" s="5" t="inlineStr">
        <is>
          <t>clusterA</t>
        </is>
      </c>
      <c r="T9" s="5" t="inlineStr">
        <is>
          <t>clusterB</t>
        </is>
      </c>
    </row>
    <row r="10">
      <c r="A10" t="n">
        <v>1</v>
      </c>
      <c r="B10">
        <f>VLOOKUP(A10,QuestionWeights_v4!$A$2:$C$61,3,FALSE)</f>
        <v/>
      </c>
      <c r="C10">
        <f>IFERROR(VLOOKUP(D10,AnswerBank_v5!$A$2:$AP$311,6,FALSE),"")</f>
        <v/>
      </c>
      <c r="F10">
        <f>IFERROR(VLOOKUP(D10,AnswerBank_v5!$A$2:$AP$311,15,FALSE)/10,"")</f>
        <v/>
      </c>
      <c r="G10">
        <f>IFERROR(VLOOKUP(D10,AnswerBank_v5!$A$2:$AP$311,14,FALSE)/10,"")</f>
        <v/>
      </c>
      <c r="H10">
        <f>IFERROR(VLOOKUP(D10,AnswerBank_v5!$A$2:$AP$311,16,FALSE)/10,"")</f>
        <v/>
      </c>
      <c r="I10">
        <f>IFERROR(VLOOKUP(D10,AnswerBank_v5!$A$2:$AP$311,31,FALSE),0)</f>
        <v/>
      </c>
      <c r="J10">
        <f>IFERROR(VLOOKUP(E10,AnswerBank_v5!$A$2:$AP$311,15,FALSE)/10,"")</f>
        <v/>
      </c>
      <c r="K10">
        <f>IFERROR(VLOOKUP(E10,AnswerBank_v5!$A$2:$AP$311,14,FALSE)/10,"")</f>
        <v/>
      </c>
      <c r="L10">
        <f>IFERROR(VLOOKUP(E10,AnswerBank_v5!$A$2:$AP$311,16,FALSE)/10,"")</f>
        <v/>
      </c>
      <c r="M10">
        <f>IFERROR(VLOOKUP(E10,AnswerBank_v5!$A$2:$AP$311,31,FALSE),0)</f>
        <v/>
      </c>
      <c r="N10">
        <f>IF(OR(F10="",J10=""),"",1-ABS(F10-J10))</f>
        <v/>
      </c>
      <c r="O10">
        <f>IF(OR(G10="",K10="",H10="",L10=""),"",0.60+0.20*((G10+K10)/2)+0.20*((H10+L10)/2))</f>
        <v/>
      </c>
      <c r="P10">
        <f>IF(OR(B10="",N10="",O10=""),"",B10*N10*O10)</f>
        <v/>
      </c>
      <c r="Q10">
        <f>IF(B10="", "", B10*(0.50*G10+0.20*H10+0.20*F10+0.10*(1-I10/25)))</f>
        <v/>
      </c>
      <c r="R10">
        <f>IF(B10="", "", B10*(0.50*K10+0.20*L10+0.20*J10+0.10*(1-M10/25)))</f>
        <v/>
      </c>
      <c r="S10">
        <f>IFERROR(VLOOKUP(D10,AnswerBank_v5!$A$2:$AP$311,29,FALSE),"")</f>
        <v/>
      </c>
      <c r="T10">
        <f>IFERROR(VLOOKUP(E10,AnswerBank_v5!$A$2:$AP$311,29,FALSE),"")</f>
        <v/>
      </c>
    </row>
    <row r="11">
      <c r="A11" t="n">
        <v>2</v>
      </c>
      <c r="B11">
        <f>VLOOKUP(A11,QuestionWeights_v4!$A$2:$C$61,3,FALSE)</f>
        <v/>
      </c>
      <c r="C11">
        <f>IFERROR(VLOOKUP(D11,AnswerBank_v5!$A$2:$AP$311,6,FALSE),"")</f>
        <v/>
      </c>
      <c r="F11">
        <f>IFERROR(VLOOKUP(D11,AnswerBank_v5!$A$2:$AP$311,15,FALSE)/10,"")</f>
        <v/>
      </c>
      <c r="G11">
        <f>IFERROR(VLOOKUP(D11,AnswerBank_v5!$A$2:$AP$311,14,FALSE)/10,"")</f>
        <v/>
      </c>
      <c r="H11">
        <f>IFERROR(VLOOKUP(D11,AnswerBank_v5!$A$2:$AP$311,16,FALSE)/10,"")</f>
        <v/>
      </c>
      <c r="I11">
        <f>IFERROR(VLOOKUP(D11,AnswerBank_v5!$A$2:$AP$311,31,FALSE),0)</f>
        <v/>
      </c>
      <c r="J11">
        <f>IFERROR(VLOOKUP(E11,AnswerBank_v5!$A$2:$AP$311,15,FALSE)/10,"")</f>
        <v/>
      </c>
      <c r="K11">
        <f>IFERROR(VLOOKUP(E11,AnswerBank_v5!$A$2:$AP$311,14,FALSE)/10,"")</f>
        <v/>
      </c>
      <c r="L11">
        <f>IFERROR(VLOOKUP(E11,AnswerBank_v5!$A$2:$AP$311,16,FALSE)/10,"")</f>
        <v/>
      </c>
      <c r="M11">
        <f>IFERROR(VLOOKUP(E11,AnswerBank_v5!$A$2:$AP$311,31,FALSE),0)</f>
        <v/>
      </c>
      <c r="N11">
        <f>IF(OR(F11="",J11=""),"",1-ABS(F11-J11))</f>
        <v/>
      </c>
      <c r="O11">
        <f>IF(OR(G11="",K11="",H11="",L11=""),"",0.60+0.20*((G11+K11)/2)+0.20*((H11+L11)/2))</f>
        <v/>
      </c>
      <c r="P11">
        <f>IF(OR(B11="",N11="",O11=""),"",B11*N11*O11)</f>
        <v/>
      </c>
      <c r="Q11">
        <f>IF(B11="", "", B11*(0.50*G11+0.20*H11+0.20*F11+0.10*(1-I11/25)))</f>
        <v/>
      </c>
      <c r="R11">
        <f>IF(B11="", "", B11*(0.50*K11+0.20*L11+0.20*J11+0.10*(1-M11/25)))</f>
        <v/>
      </c>
      <c r="S11">
        <f>IFERROR(VLOOKUP(D11,AnswerBank_v5!$A$2:$AP$311,29,FALSE),"")</f>
        <v/>
      </c>
      <c r="T11">
        <f>IFERROR(VLOOKUP(E11,AnswerBank_v5!$A$2:$AP$311,29,FALSE),"")</f>
        <v/>
      </c>
    </row>
    <row r="12">
      <c r="A12" t="n">
        <v>3</v>
      </c>
      <c r="B12">
        <f>VLOOKUP(A12,QuestionWeights_v4!$A$2:$C$61,3,FALSE)</f>
        <v/>
      </c>
      <c r="C12">
        <f>IFERROR(VLOOKUP(D12,AnswerBank_v5!$A$2:$AP$311,6,FALSE),"")</f>
        <v/>
      </c>
      <c r="F12">
        <f>IFERROR(VLOOKUP(D12,AnswerBank_v5!$A$2:$AP$311,15,FALSE)/10,"")</f>
        <v/>
      </c>
      <c r="G12">
        <f>IFERROR(VLOOKUP(D12,AnswerBank_v5!$A$2:$AP$311,14,FALSE)/10,"")</f>
        <v/>
      </c>
      <c r="H12">
        <f>IFERROR(VLOOKUP(D12,AnswerBank_v5!$A$2:$AP$311,16,FALSE)/10,"")</f>
        <v/>
      </c>
      <c r="I12">
        <f>IFERROR(VLOOKUP(D12,AnswerBank_v5!$A$2:$AP$311,31,FALSE),0)</f>
        <v/>
      </c>
      <c r="J12">
        <f>IFERROR(VLOOKUP(E12,AnswerBank_v5!$A$2:$AP$311,15,FALSE)/10,"")</f>
        <v/>
      </c>
      <c r="K12">
        <f>IFERROR(VLOOKUP(E12,AnswerBank_v5!$A$2:$AP$311,14,FALSE)/10,"")</f>
        <v/>
      </c>
      <c r="L12">
        <f>IFERROR(VLOOKUP(E12,AnswerBank_v5!$A$2:$AP$311,16,FALSE)/10,"")</f>
        <v/>
      </c>
      <c r="M12">
        <f>IFERROR(VLOOKUP(E12,AnswerBank_v5!$A$2:$AP$311,31,FALSE),0)</f>
        <v/>
      </c>
      <c r="N12">
        <f>IF(OR(F12="",J12=""),"",1-ABS(F12-J12))</f>
        <v/>
      </c>
      <c r="O12">
        <f>IF(OR(G12="",K12="",H12="",L12=""),"",0.60+0.20*((G12+K12)/2)+0.20*((H12+L12)/2))</f>
        <v/>
      </c>
      <c r="P12">
        <f>IF(OR(B12="",N12="",O12=""),"",B12*N12*O12)</f>
        <v/>
      </c>
      <c r="Q12">
        <f>IF(B12="", "", B12*(0.50*G12+0.20*H12+0.20*F12+0.10*(1-I12/25)))</f>
        <v/>
      </c>
      <c r="R12">
        <f>IF(B12="", "", B12*(0.50*K12+0.20*L12+0.20*J12+0.10*(1-M12/25)))</f>
        <v/>
      </c>
      <c r="S12">
        <f>IFERROR(VLOOKUP(D12,AnswerBank_v5!$A$2:$AP$311,29,FALSE),"")</f>
        <v/>
      </c>
      <c r="T12">
        <f>IFERROR(VLOOKUP(E12,AnswerBank_v5!$A$2:$AP$311,29,FALSE),"")</f>
        <v/>
      </c>
    </row>
    <row r="13">
      <c r="A13" t="n">
        <v>4</v>
      </c>
      <c r="B13">
        <f>VLOOKUP(A13,QuestionWeights_v4!$A$2:$C$61,3,FALSE)</f>
        <v/>
      </c>
      <c r="C13">
        <f>IFERROR(VLOOKUP(D13,AnswerBank_v5!$A$2:$AP$311,6,FALSE),"")</f>
        <v/>
      </c>
      <c r="F13">
        <f>IFERROR(VLOOKUP(D13,AnswerBank_v5!$A$2:$AP$311,15,FALSE)/10,"")</f>
        <v/>
      </c>
      <c r="G13">
        <f>IFERROR(VLOOKUP(D13,AnswerBank_v5!$A$2:$AP$311,14,FALSE)/10,"")</f>
        <v/>
      </c>
      <c r="H13">
        <f>IFERROR(VLOOKUP(D13,AnswerBank_v5!$A$2:$AP$311,16,FALSE)/10,"")</f>
        <v/>
      </c>
      <c r="I13">
        <f>IFERROR(VLOOKUP(D13,AnswerBank_v5!$A$2:$AP$311,31,FALSE),0)</f>
        <v/>
      </c>
      <c r="J13">
        <f>IFERROR(VLOOKUP(E13,AnswerBank_v5!$A$2:$AP$311,15,FALSE)/10,"")</f>
        <v/>
      </c>
      <c r="K13">
        <f>IFERROR(VLOOKUP(E13,AnswerBank_v5!$A$2:$AP$311,14,FALSE)/10,"")</f>
        <v/>
      </c>
      <c r="L13">
        <f>IFERROR(VLOOKUP(E13,AnswerBank_v5!$A$2:$AP$311,16,FALSE)/10,"")</f>
        <v/>
      </c>
      <c r="M13">
        <f>IFERROR(VLOOKUP(E13,AnswerBank_v5!$A$2:$AP$311,31,FALSE),0)</f>
        <v/>
      </c>
      <c r="N13">
        <f>IF(OR(F13="",J13=""),"",1-ABS(F13-J13))</f>
        <v/>
      </c>
      <c r="O13">
        <f>IF(OR(G13="",K13="",H13="",L13=""),"",0.60+0.20*((G13+K13)/2)+0.20*((H13+L13)/2))</f>
        <v/>
      </c>
      <c r="P13">
        <f>IF(OR(B13="",N13="",O13=""),"",B13*N13*O13)</f>
        <v/>
      </c>
      <c r="Q13">
        <f>IF(B13="", "", B13*(0.50*G13+0.20*H13+0.20*F13+0.10*(1-I13/25)))</f>
        <v/>
      </c>
      <c r="R13">
        <f>IF(B13="", "", B13*(0.50*K13+0.20*L13+0.20*J13+0.10*(1-M13/25)))</f>
        <v/>
      </c>
      <c r="S13">
        <f>IFERROR(VLOOKUP(D13,AnswerBank_v5!$A$2:$AP$311,29,FALSE),"")</f>
        <v/>
      </c>
      <c r="T13">
        <f>IFERROR(VLOOKUP(E13,AnswerBank_v5!$A$2:$AP$311,29,FALSE),"")</f>
        <v/>
      </c>
    </row>
    <row r="14">
      <c r="A14" t="n">
        <v>5</v>
      </c>
      <c r="B14">
        <f>VLOOKUP(A14,QuestionWeights_v4!$A$2:$C$61,3,FALSE)</f>
        <v/>
      </c>
      <c r="C14">
        <f>IFERROR(VLOOKUP(D14,AnswerBank_v5!$A$2:$AP$311,6,FALSE),"")</f>
        <v/>
      </c>
      <c r="F14">
        <f>IFERROR(VLOOKUP(D14,AnswerBank_v5!$A$2:$AP$311,15,FALSE)/10,"")</f>
        <v/>
      </c>
      <c r="G14">
        <f>IFERROR(VLOOKUP(D14,AnswerBank_v5!$A$2:$AP$311,14,FALSE)/10,"")</f>
        <v/>
      </c>
      <c r="H14">
        <f>IFERROR(VLOOKUP(D14,AnswerBank_v5!$A$2:$AP$311,16,FALSE)/10,"")</f>
        <v/>
      </c>
      <c r="I14">
        <f>IFERROR(VLOOKUP(D14,AnswerBank_v5!$A$2:$AP$311,31,FALSE),0)</f>
        <v/>
      </c>
      <c r="J14">
        <f>IFERROR(VLOOKUP(E14,AnswerBank_v5!$A$2:$AP$311,15,FALSE)/10,"")</f>
        <v/>
      </c>
      <c r="K14">
        <f>IFERROR(VLOOKUP(E14,AnswerBank_v5!$A$2:$AP$311,14,FALSE)/10,"")</f>
        <v/>
      </c>
      <c r="L14">
        <f>IFERROR(VLOOKUP(E14,AnswerBank_v5!$A$2:$AP$311,16,FALSE)/10,"")</f>
        <v/>
      </c>
      <c r="M14">
        <f>IFERROR(VLOOKUP(E14,AnswerBank_v5!$A$2:$AP$311,31,FALSE),0)</f>
        <v/>
      </c>
      <c r="N14">
        <f>IF(OR(F14="",J14=""),"",1-ABS(F14-J14))</f>
        <v/>
      </c>
      <c r="O14">
        <f>IF(OR(G14="",K14="",H14="",L14=""),"",0.60+0.20*((G14+K14)/2)+0.20*((H14+L14)/2))</f>
        <v/>
      </c>
      <c r="P14">
        <f>IF(OR(B14="",N14="",O14=""),"",B14*N14*O14)</f>
        <v/>
      </c>
      <c r="Q14">
        <f>IF(B14="", "", B14*(0.50*G14+0.20*H14+0.20*F14+0.10*(1-I14/25)))</f>
        <v/>
      </c>
      <c r="R14">
        <f>IF(B14="", "", B14*(0.50*K14+0.20*L14+0.20*J14+0.10*(1-M14/25)))</f>
        <v/>
      </c>
      <c r="S14">
        <f>IFERROR(VLOOKUP(D14,AnswerBank_v5!$A$2:$AP$311,29,FALSE),"")</f>
        <v/>
      </c>
      <c r="T14">
        <f>IFERROR(VLOOKUP(E14,AnswerBank_v5!$A$2:$AP$311,29,FALSE),"")</f>
        <v/>
      </c>
    </row>
    <row r="15">
      <c r="A15" t="n">
        <v>6</v>
      </c>
      <c r="B15">
        <f>VLOOKUP(A15,QuestionWeights_v4!$A$2:$C$61,3,FALSE)</f>
        <v/>
      </c>
      <c r="C15">
        <f>IFERROR(VLOOKUP(D15,AnswerBank_v5!$A$2:$AP$311,6,FALSE),"")</f>
        <v/>
      </c>
      <c r="F15">
        <f>IFERROR(VLOOKUP(D15,AnswerBank_v5!$A$2:$AP$311,15,FALSE)/10,"")</f>
        <v/>
      </c>
      <c r="G15">
        <f>IFERROR(VLOOKUP(D15,AnswerBank_v5!$A$2:$AP$311,14,FALSE)/10,"")</f>
        <v/>
      </c>
      <c r="H15">
        <f>IFERROR(VLOOKUP(D15,AnswerBank_v5!$A$2:$AP$311,16,FALSE)/10,"")</f>
        <v/>
      </c>
      <c r="I15">
        <f>IFERROR(VLOOKUP(D15,AnswerBank_v5!$A$2:$AP$311,31,FALSE),0)</f>
        <v/>
      </c>
      <c r="J15">
        <f>IFERROR(VLOOKUP(E15,AnswerBank_v5!$A$2:$AP$311,15,FALSE)/10,"")</f>
        <v/>
      </c>
      <c r="K15">
        <f>IFERROR(VLOOKUP(E15,AnswerBank_v5!$A$2:$AP$311,14,FALSE)/10,"")</f>
        <v/>
      </c>
      <c r="L15">
        <f>IFERROR(VLOOKUP(E15,AnswerBank_v5!$A$2:$AP$311,16,FALSE)/10,"")</f>
        <v/>
      </c>
      <c r="M15">
        <f>IFERROR(VLOOKUP(E15,AnswerBank_v5!$A$2:$AP$311,31,FALSE),0)</f>
        <v/>
      </c>
      <c r="N15">
        <f>IF(OR(F15="",J15=""),"",1-ABS(F15-J15))</f>
        <v/>
      </c>
      <c r="O15">
        <f>IF(OR(G15="",K15="",H15="",L15=""),"",0.60+0.20*((G15+K15)/2)+0.20*((H15+L15)/2))</f>
        <v/>
      </c>
      <c r="P15">
        <f>IF(OR(B15="",N15="",O15=""),"",B15*N15*O15)</f>
        <v/>
      </c>
      <c r="Q15">
        <f>IF(B15="", "", B15*(0.50*G15+0.20*H15+0.20*F15+0.10*(1-I15/25)))</f>
        <v/>
      </c>
      <c r="R15">
        <f>IF(B15="", "", B15*(0.50*K15+0.20*L15+0.20*J15+0.10*(1-M15/25)))</f>
        <v/>
      </c>
      <c r="S15">
        <f>IFERROR(VLOOKUP(D15,AnswerBank_v5!$A$2:$AP$311,29,FALSE),"")</f>
        <v/>
      </c>
      <c r="T15">
        <f>IFERROR(VLOOKUP(E15,AnswerBank_v5!$A$2:$AP$311,29,FALSE),"")</f>
        <v/>
      </c>
    </row>
    <row r="16">
      <c r="A16" t="n">
        <v>7</v>
      </c>
      <c r="B16">
        <f>VLOOKUP(A16,QuestionWeights_v4!$A$2:$C$61,3,FALSE)</f>
        <v/>
      </c>
      <c r="C16">
        <f>IFERROR(VLOOKUP(D16,AnswerBank_v5!$A$2:$AP$311,6,FALSE),"")</f>
        <v/>
      </c>
      <c r="F16">
        <f>IFERROR(VLOOKUP(D16,AnswerBank_v5!$A$2:$AP$311,15,FALSE)/10,"")</f>
        <v/>
      </c>
      <c r="G16">
        <f>IFERROR(VLOOKUP(D16,AnswerBank_v5!$A$2:$AP$311,14,FALSE)/10,"")</f>
        <v/>
      </c>
      <c r="H16">
        <f>IFERROR(VLOOKUP(D16,AnswerBank_v5!$A$2:$AP$311,16,FALSE)/10,"")</f>
        <v/>
      </c>
      <c r="I16">
        <f>IFERROR(VLOOKUP(D16,AnswerBank_v5!$A$2:$AP$311,31,FALSE),0)</f>
        <v/>
      </c>
      <c r="J16">
        <f>IFERROR(VLOOKUP(E16,AnswerBank_v5!$A$2:$AP$311,15,FALSE)/10,"")</f>
        <v/>
      </c>
      <c r="K16">
        <f>IFERROR(VLOOKUP(E16,AnswerBank_v5!$A$2:$AP$311,14,FALSE)/10,"")</f>
        <v/>
      </c>
      <c r="L16">
        <f>IFERROR(VLOOKUP(E16,AnswerBank_v5!$A$2:$AP$311,16,FALSE)/10,"")</f>
        <v/>
      </c>
      <c r="M16">
        <f>IFERROR(VLOOKUP(E16,AnswerBank_v5!$A$2:$AP$311,31,FALSE),0)</f>
        <v/>
      </c>
      <c r="N16">
        <f>IF(OR(F16="",J16=""),"",1-ABS(F16-J16))</f>
        <v/>
      </c>
      <c r="O16">
        <f>IF(OR(G16="",K16="",H16="",L16=""),"",0.60+0.20*((G16+K16)/2)+0.20*((H16+L16)/2))</f>
        <v/>
      </c>
      <c r="P16">
        <f>IF(OR(B16="",N16="",O16=""),"",B16*N16*O16)</f>
        <v/>
      </c>
      <c r="Q16">
        <f>IF(B16="", "", B16*(0.50*G16+0.20*H16+0.20*F16+0.10*(1-I16/25)))</f>
        <v/>
      </c>
      <c r="R16">
        <f>IF(B16="", "", B16*(0.50*K16+0.20*L16+0.20*J16+0.10*(1-M16/25)))</f>
        <v/>
      </c>
      <c r="S16">
        <f>IFERROR(VLOOKUP(D16,AnswerBank_v5!$A$2:$AP$311,29,FALSE),"")</f>
        <v/>
      </c>
      <c r="T16">
        <f>IFERROR(VLOOKUP(E16,AnswerBank_v5!$A$2:$AP$311,29,FALSE),"")</f>
        <v/>
      </c>
    </row>
    <row r="17">
      <c r="A17" t="n">
        <v>8</v>
      </c>
      <c r="B17">
        <f>VLOOKUP(A17,QuestionWeights_v4!$A$2:$C$61,3,FALSE)</f>
        <v/>
      </c>
      <c r="C17">
        <f>IFERROR(VLOOKUP(D17,AnswerBank_v5!$A$2:$AP$311,6,FALSE),"")</f>
        <v/>
      </c>
      <c r="F17">
        <f>IFERROR(VLOOKUP(D17,AnswerBank_v5!$A$2:$AP$311,15,FALSE)/10,"")</f>
        <v/>
      </c>
      <c r="G17">
        <f>IFERROR(VLOOKUP(D17,AnswerBank_v5!$A$2:$AP$311,14,FALSE)/10,"")</f>
        <v/>
      </c>
      <c r="H17">
        <f>IFERROR(VLOOKUP(D17,AnswerBank_v5!$A$2:$AP$311,16,FALSE)/10,"")</f>
        <v/>
      </c>
      <c r="I17">
        <f>IFERROR(VLOOKUP(D17,AnswerBank_v5!$A$2:$AP$311,31,FALSE),0)</f>
        <v/>
      </c>
      <c r="J17">
        <f>IFERROR(VLOOKUP(E17,AnswerBank_v5!$A$2:$AP$311,15,FALSE)/10,"")</f>
        <v/>
      </c>
      <c r="K17">
        <f>IFERROR(VLOOKUP(E17,AnswerBank_v5!$A$2:$AP$311,14,FALSE)/10,"")</f>
        <v/>
      </c>
      <c r="L17">
        <f>IFERROR(VLOOKUP(E17,AnswerBank_v5!$A$2:$AP$311,16,FALSE)/10,"")</f>
        <v/>
      </c>
      <c r="M17">
        <f>IFERROR(VLOOKUP(E17,AnswerBank_v5!$A$2:$AP$311,31,FALSE),0)</f>
        <v/>
      </c>
      <c r="N17">
        <f>IF(OR(F17="",J17=""),"",1-ABS(F17-J17))</f>
        <v/>
      </c>
      <c r="O17">
        <f>IF(OR(G17="",K17="",H17="",L17=""),"",0.60+0.20*((G17+K17)/2)+0.20*((H17+L17)/2))</f>
        <v/>
      </c>
      <c r="P17">
        <f>IF(OR(B17="",N17="",O17=""),"",B17*N17*O17)</f>
        <v/>
      </c>
      <c r="Q17">
        <f>IF(B17="", "", B17*(0.50*G17+0.20*H17+0.20*F17+0.10*(1-I17/25)))</f>
        <v/>
      </c>
      <c r="R17">
        <f>IF(B17="", "", B17*(0.50*K17+0.20*L17+0.20*J17+0.10*(1-M17/25)))</f>
        <v/>
      </c>
      <c r="S17">
        <f>IFERROR(VLOOKUP(D17,AnswerBank_v5!$A$2:$AP$311,29,FALSE),"")</f>
        <v/>
      </c>
      <c r="T17">
        <f>IFERROR(VLOOKUP(E17,AnswerBank_v5!$A$2:$AP$311,29,FALSE),"")</f>
        <v/>
      </c>
    </row>
    <row r="18">
      <c r="A18" t="n">
        <v>9</v>
      </c>
      <c r="B18">
        <f>VLOOKUP(A18,QuestionWeights_v4!$A$2:$C$61,3,FALSE)</f>
        <v/>
      </c>
      <c r="C18">
        <f>IFERROR(VLOOKUP(D18,AnswerBank_v5!$A$2:$AP$311,6,FALSE),"")</f>
        <v/>
      </c>
      <c r="F18">
        <f>IFERROR(VLOOKUP(D18,AnswerBank_v5!$A$2:$AP$311,15,FALSE)/10,"")</f>
        <v/>
      </c>
      <c r="G18">
        <f>IFERROR(VLOOKUP(D18,AnswerBank_v5!$A$2:$AP$311,14,FALSE)/10,"")</f>
        <v/>
      </c>
      <c r="H18">
        <f>IFERROR(VLOOKUP(D18,AnswerBank_v5!$A$2:$AP$311,16,FALSE)/10,"")</f>
        <v/>
      </c>
      <c r="I18">
        <f>IFERROR(VLOOKUP(D18,AnswerBank_v5!$A$2:$AP$311,31,FALSE),0)</f>
        <v/>
      </c>
      <c r="J18">
        <f>IFERROR(VLOOKUP(E18,AnswerBank_v5!$A$2:$AP$311,15,FALSE)/10,"")</f>
        <v/>
      </c>
      <c r="K18">
        <f>IFERROR(VLOOKUP(E18,AnswerBank_v5!$A$2:$AP$311,14,FALSE)/10,"")</f>
        <v/>
      </c>
      <c r="L18">
        <f>IFERROR(VLOOKUP(E18,AnswerBank_v5!$A$2:$AP$311,16,FALSE)/10,"")</f>
        <v/>
      </c>
      <c r="M18">
        <f>IFERROR(VLOOKUP(E18,AnswerBank_v5!$A$2:$AP$311,31,FALSE),0)</f>
        <v/>
      </c>
      <c r="N18">
        <f>IF(OR(F18="",J18=""),"",1-ABS(F18-J18))</f>
        <v/>
      </c>
      <c r="O18">
        <f>IF(OR(G18="",K18="",H18="",L18=""),"",0.60+0.20*((G18+K18)/2)+0.20*((H18+L18)/2))</f>
        <v/>
      </c>
      <c r="P18">
        <f>IF(OR(B18="",N18="",O18=""),"",B18*N18*O18)</f>
        <v/>
      </c>
      <c r="Q18">
        <f>IF(B18="", "", B18*(0.50*G18+0.20*H18+0.20*F18+0.10*(1-I18/25)))</f>
        <v/>
      </c>
      <c r="R18">
        <f>IF(B18="", "", B18*(0.50*K18+0.20*L18+0.20*J18+0.10*(1-M18/25)))</f>
        <v/>
      </c>
      <c r="S18">
        <f>IFERROR(VLOOKUP(D18,AnswerBank_v5!$A$2:$AP$311,29,FALSE),"")</f>
        <v/>
      </c>
      <c r="T18">
        <f>IFERROR(VLOOKUP(E18,AnswerBank_v5!$A$2:$AP$311,29,FALSE),"")</f>
        <v/>
      </c>
    </row>
    <row r="19">
      <c r="A19" t="n">
        <v>10</v>
      </c>
      <c r="B19">
        <f>VLOOKUP(A19,QuestionWeights_v4!$A$2:$C$61,3,FALSE)</f>
        <v/>
      </c>
      <c r="C19">
        <f>IFERROR(VLOOKUP(D19,AnswerBank_v5!$A$2:$AP$311,6,FALSE),"")</f>
        <v/>
      </c>
      <c r="F19">
        <f>IFERROR(VLOOKUP(D19,AnswerBank_v5!$A$2:$AP$311,15,FALSE)/10,"")</f>
        <v/>
      </c>
      <c r="G19">
        <f>IFERROR(VLOOKUP(D19,AnswerBank_v5!$A$2:$AP$311,14,FALSE)/10,"")</f>
        <v/>
      </c>
      <c r="H19">
        <f>IFERROR(VLOOKUP(D19,AnswerBank_v5!$A$2:$AP$311,16,FALSE)/10,"")</f>
        <v/>
      </c>
      <c r="I19">
        <f>IFERROR(VLOOKUP(D19,AnswerBank_v5!$A$2:$AP$311,31,FALSE),0)</f>
        <v/>
      </c>
      <c r="J19">
        <f>IFERROR(VLOOKUP(E19,AnswerBank_v5!$A$2:$AP$311,15,FALSE)/10,"")</f>
        <v/>
      </c>
      <c r="K19">
        <f>IFERROR(VLOOKUP(E19,AnswerBank_v5!$A$2:$AP$311,14,FALSE)/10,"")</f>
        <v/>
      </c>
      <c r="L19">
        <f>IFERROR(VLOOKUP(E19,AnswerBank_v5!$A$2:$AP$311,16,FALSE)/10,"")</f>
        <v/>
      </c>
      <c r="M19">
        <f>IFERROR(VLOOKUP(E19,AnswerBank_v5!$A$2:$AP$311,31,FALSE),0)</f>
        <v/>
      </c>
      <c r="N19">
        <f>IF(OR(F19="",J19=""),"",1-ABS(F19-J19))</f>
        <v/>
      </c>
      <c r="O19">
        <f>IF(OR(G19="",K19="",H19="",L19=""),"",0.60+0.20*((G19+K19)/2)+0.20*((H19+L19)/2))</f>
        <v/>
      </c>
      <c r="P19">
        <f>IF(OR(B19="",N19="",O19=""),"",B19*N19*O19)</f>
        <v/>
      </c>
      <c r="Q19">
        <f>IF(B19="", "", B19*(0.50*G19+0.20*H19+0.20*F19+0.10*(1-I19/25)))</f>
        <v/>
      </c>
      <c r="R19">
        <f>IF(B19="", "", B19*(0.50*K19+0.20*L19+0.20*J19+0.10*(1-M19/25)))</f>
        <v/>
      </c>
      <c r="S19">
        <f>IFERROR(VLOOKUP(D19,AnswerBank_v5!$A$2:$AP$311,29,FALSE),"")</f>
        <v/>
      </c>
      <c r="T19">
        <f>IFERROR(VLOOKUP(E19,AnswerBank_v5!$A$2:$AP$311,29,FALSE),"")</f>
        <v/>
      </c>
    </row>
    <row r="20">
      <c r="A20" t="n">
        <v>11</v>
      </c>
      <c r="B20">
        <f>VLOOKUP(A20,QuestionWeights_v4!$A$2:$C$61,3,FALSE)</f>
        <v/>
      </c>
      <c r="C20">
        <f>IFERROR(VLOOKUP(D20,AnswerBank_v5!$A$2:$AP$311,6,FALSE),"")</f>
        <v/>
      </c>
      <c r="F20">
        <f>IFERROR(VLOOKUP(D20,AnswerBank_v5!$A$2:$AP$311,15,FALSE)/10,"")</f>
        <v/>
      </c>
      <c r="G20">
        <f>IFERROR(VLOOKUP(D20,AnswerBank_v5!$A$2:$AP$311,14,FALSE)/10,"")</f>
        <v/>
      </c>
      <c r="H20">
        <f>IFERROR(VLOOKUP(D20,AnswerBank_v5!$A$2:$AP$311,16,FALSE)/10,"")</f>
        <v/>
      </c>
      <c r="I20">
        <f>IFERROR(VLOOKUP(D20,AnswerBank_v5!$A$2:$AP$311,31,FALSE),0)</f>
        <v/>
      </c>
      <c r="J20">
        <f>IFERROR(VLOOKUP(E20,AnswerBank_v5!$A$2:$AP$311,15,FALSE)/10,"")</f>
        <v/>
      </c>
      <c r="K20">
        <f>IFERROR(VLOOKUP(E20,AnswerBank_v5!$A$2:$AP$311,14,FALSE)/10,"")</f>
        <v/>
      </c>
      <c r="L20">
        <f>IFERROR(VLOOKUP(E20,AnswerBank_v5!$A$2:$AP$311,16,FALSE)/10,"")</f>
        <v/>
      </c>
      <c r="M20">
        <f>IFERROR(VLOOKUP(E20,AnswerBank_v5!$A$2:$AP$311,31,FALSE),0)</f>
        <v/>
      </c>
      <c r="N20">
        <f>IF(OR(F20="",J20=""),"",1-ABS(F20-J20))</f>
        <v/>
      </c>
      <c r="O20">
        <f>IF(OR(G20="",K20="",H20="",L20=""),"",0.60+0.20*((G20+K20)/2)+0.20*((H20+L20)/2))</f>
        <v/>
      </c>
      <c r="P20">
        <f>IF(OR(B20="",N20="",O20=""),"",B20*N20*O20)</f>
        <v/>
      </c>
      <c r="Q20">
        <f>IF(B20="", "", B20*(0.50*G20+0.20*H20+0.20*F20+0.10*(1-I20/25)))</f>
        <v/>
      </c>
      <c r="R20">
        <f>IF(B20="", "", B20*(0.50*K20+0.20*L20+0.20*J20+0.10*(1-M20/25)))</f>
        <v/>
      </c>
      <c r="S20">
        <f>IFERROR(VLOOKUP(D20,AnswerBank_v5!$A$2:$AP$311,29,FALSE),"")</f>
        <v/>
      </c>
      <c r="T20">
        <f>IFERROR(VLOOKUP(E20,AnswerBank_v5!$A$2:$AP$311,29,FALSE),"")</f>
        <v/>
      </c>
    </row>
    <row r="21">
      <c r="A21" t="n">
        <v>12</v>
      </c>
      <c r="B21">
        <f>VLOOKUP(A21,QuestionWeights_v4!$A$2:$C$61,3,FALSE)</f>
        <v/>
      </c>
      <c r="C21">
        <f>IFERROR(VLOOKUP(D21,AnswerBank_v5!$A$2:$AP$311,6,FALSE),"")</f>
        <v/>
      </c>
      <c r="F21">
        <f>IFERROR(VLOOKUP(D21,AnswerBank_v5!$A$2:$AP$311,15,FALSE)/10,"")</f>
        <v/>
      </c>
      <c r="G21">
        <f>IFERROR(VLOOKUP(D21,AnswerBank_v5!$A$2:$AP$311,14,FALSE)/10,"")</f>
        <v/>
      </c>
      <c r="H21">
        <f>IFERROR(VLOOKUP(D21,AnswerBank_v5!$A$2:$AP$311,16,FALSE)/10,"")</f>
        <v/>
      </c>
      <c r="I21">
        <f>IFERROR(VLOOKUP(D21,AnswerBank_v5!$A$2:$AP$311,31,FALSE),0)</f>
        <v/>
      </c>
      <c r="J21">
        <f>IFERROR(VLOOKUP(E21,AnswerBank_v5!$A$2:$AP$311,15,FALSE)/10,"")</f>
        <v/>
      </c>
      <c r="K21">
        <f>IFERROR(VLOOKUP(E21,AnswerBank_v5!$A$2:$AP$311,14,FALSE)/10,"")</f>
        <v/>
      </c>
      <c r="L21">
        <f>IFERROR(VLOOKUP(E21,AnswerBank_v5!$A$2:$AP$311,16,FALSE)/10,"")</f>
        <v/>
      </c>
      <c r="M21">
        <f>IFERROR(VLOOKUP(E21,AnswerBank_v5!$A$2:$AP$311,31,FALSE),0)</f>
        <v/>
      </c>
      <c r="N21">
        <f>IF(OR(F21="",J21=""),"",1-ABS(F21-J21))</f>
        <v/>
      </c>
      <c r="O21">
        <f>IF(OR(G21="",K21="",H21="",L21=""),"",0.60+0.20*((G21+K21)/2)+0.20*((H21+L21)/2))</f>
        <v/>
      </c>
      <c r="P21">
        <f>IF(OR(B21="",N21="",O21=""),"",B21*N21*O21)</f>
        <v/>
      </c>
      <c r="Q21">
        <f>IF(B21="", "", B21*(0.50*G21+0.20*H21+0.20*F21+0.10*(1-I21/25)))</f>
        <v/>
      </c>
      <c r="R21">
        <f>IF(B21="", "", B21*(0.50*K21+0.20*L21+0.20*J21+0.10*(1-M21/25)))</f>
        <v/>
      </c>
      <c r="S21">
        <f>IFERROR(VLOOKUP(D21,AnswerBank_v5!$A$2:$AP$311,29,FALSE),"")</f>
        <v/>
      </c>
      <c r="T21">
        <f>IFERROR(VLOOKUP(E21,AnswerBank_v5!$A$2:$AP$311,29,FALSE),"")</f>
        <v/>
      </c>
    </row>
    <row r="22">
      <c r="A22" t="n">
        <v>13</v>
      </c>
      <c r="B22">
        <f>VLOOKUP(A22,QuestionWeights_v4!$A$2:$C$61,3,FALSE)</f>
        <v/>
      </c>
      <c r="C22">
        <f>IFERROR(VLOOKUP(D22,AnswerBank_v5!$A$2:$AP$311,6,FALSE),"")</f>
        <v/>
      </c>
      <c r="F22">
        <f>IFERROR(VLOOKUP(D22,AnswerBank_v5!$A$2:$AP$311,15,FALSE)/10,"")</f>
        <v/>
      </c>
      <c r="G22">
        <f>IFERROR(VLOOKUP(D22,AnswerBank_v5!$A$2:$AP$311,14,FALSE)/10,"")</f>
        <v/>
      </c>
      <c r="H22">
        <f>IFERROR(VLOOKUP(D22,AnswerBank_v5!$A$2:$AP$311,16,FALSE)/10,"")</f>
        <v/>
      </c>
      <c r="I22">
        <f>IFERROR(VLOOKUP(D22,AnswerBank_v5!$A$2:$AP$311,31,FALSE),0)</f>
        <v/>
      </c>
      <c r="J22">
        <f>IFERROR(VLOOKUP(E22,AnswerBank_v5!$A$2:$AP$311,15,FALSE)/10,"")</f>
        <v/>
      </c>
      <c r="K22">
        <f>IFERROR(VLOOKUP(E22,AnswerBank_v5!$A$2:$AP$311,14,FALSE)/10,"")</f>
        <v/>
      </c>
      <c r="L22">
        <f>IFERROR(VLOOKUP(E22,AnswerBank_v5!$A$2:$AP$311,16,FALSE)/10,"")</f>
        <v/>
      </c>
      <c r="M22">
        <f>IFERROR(VLOOKUP(E22,AnswerBank_v5!$A$2:$AP$311,31,FALSE),0)</f>
        <v/>
      </c>
      <c r="N22">
        <f>IF(OR(F22="",J22=""),"",1-ABS(F22-J22))</f>
        <v/>
      </c>
      <c r="O22">
        <f>IF(OR(G22="",K22="",H22="",L22=""),"",0.60+0.20*((G22+K22)/2)+0.20*((H22+L22)/2))</f>
        <v/>
      </c>
      <c r="P22">
        <f>IF(OR(B22="",N22="",O22=""),"",B22*N22*O22)</f>
        <v/>
      </c>
      <c r="Q22">
        <f>IF(B22="", "", B22*(0.50*G22+0.20*H22+0.20*F22+0.10*(1-I22/25)))</f>
        <v/>
      </c>
      <c r="R22">
        <f>IF(B22="", "", B22*(0.50*K22+0.20*L22+0.20*J22+0.10*(1-M22/25)))</f>
        <v/>
      </c>
      <c r="S22">
        <f>IFERROR(VLOOKUP(D22,AnswerBank_v5!$A$2:$AP$311,29,FALSE),"")</f>
        <v/>
      </c>
      <c r="T22">
        <f>IFERROR(VLOOKUP(E22,AnswerBank_v5!$A$2:$AP$311,29,FALSE),"")</f>
        <v/>
      </c>
    </row>
    <row r="23">
      <c r="A23" t="n">
        <v>14</v>
      </c>
      <c r="B23">
        <f>VLOOKUP(A23,QuestionWeights_v4!$A$2:$C$61,3,FALSE)</f>
        <v/>
      </c>
      <c r="C23">
        <f>IFERROR(VLOOKUP(D23,AnswerBank_v5!$A$2:$AP$311,6,FALSE),"")</f>
        <v/>
      </c>
      <c r="F23">
        <f>IFERROR(VLOOKUP(D23,AnswerBank_v5!$A$2:$AP$311,15,FALSE)/10,"")</f>
        <v/>
      </c>
      <c r="G23">
        <f>IFERROR(VLOOKUP(D23,AnswerBank_v5!$A$2:$AP$311,14,FALSE)/10,"")</f>
        <v/>
      </c>
      <c r="H23">
        <f>IFERROR(VLOOKUP(D23,AnswerBank_v5!$A$2:$AP$311,16,FALSE)/10,"")</f>
        <v/>
      </c>
      <c r="I23">
        <f>IFERROR(VLOOKUP(D23,AnswerBank_v5!$A$2:$AP$311,31,FALSE),0)</f>
        <v/>
      </c>
      <c r="J23">
        <f>IFERROR(VLOOKUP(E23,AnswerBank_v5!$A$2:$AP$311,15,FALSE)/10,"")</f>
        <v/>
      </c>
      <c r="K23">
        <f>IFERROR(VLOOKUP(E23,AnswerBank_v5!$A$2:$AP$311,14,FALSE)/10,"")</f>
        <v/>
      </c>
      <c r="L23">
        <f>IFERROR(VLOOKUP(E23,AnswerBank_v5!$A$2:$AP$311,16,FALSE)/10,"")</f>
        <v/>
      </c>
      <c r="M23">
        <f>IFERROR(VLOOKUP(E23,AnswerBank_v5!$A$2:$AP$311,31,FALSE),0)</f>
        <v/>
      </c>
      <c r="N23">
        <f>IF(OR(F23="",J23=""),"",1-ABS(F23-J23))</f>
        <v/>
      </c>
      <c r="O23">
        <f>IF(OR(G23="",K23="",H23="",L23=""),"",0.60+0.20*((G23+K23)/2)+0.20*((H23+L23)/2))</f>
        <v/>
      </c>
      <c r="P23">
        <f>IF(OR(B23="",N23="",O23=""),"",B23*N23*O23)</f>
        <v/>
      </c>
      <c r="Q23">
        <f>IF(B23="", "", B23*(0.50*G23+0.20*H23+0.20*F23+0.10*(1-I23/25)))</f>
        <v/>
      </c>
      <c r="R23">
        <f>IF(B23="", "", B23*(0.50*K23+0.20*L23+0.20*J23+0.10*(1-M23/25)))</f>
        <v/>
      </c>
      <c r="S23">
        <f>IFERROR(VLOOKUP(D23,AnswerBank_v5!$A$2:$AP$311,29,FALSE),"")</f>
        <v/>
      </c>
      <c r="T23">
        <f>IFERROR(VLOOKUP(E23,AnswerBank_v5!$A$2:$AP$311,29,FALSE),"")</f>
        <v/>
      </c>
    </row>
    <row r="24">
      <c r="A24" t="n">
        <v>15</v>
      </c>
      <c r="B24">
        <f>VLOOKUP(A24,QuestionWeights_v4!$A$2:$C$61,3,FALSE)</f>
        <v/>
      </c>
      <c r="C24">
        <f>IFERROR(VLOOKUP(D24,AnswerBank_v5!$A$2:$AP$311,6,FALSE),"")</f>
        <v/>
      </c>
      <c r="F24">
        <f>IFERROR(VLOOKUP(D24,AnswerBank_v5!$A$2:$AP$311,15,FALSE)/10,"")</f>
        <v/>
      </c>
      <c r="G24">
        <f>IFERROR(VLOOKUP(D24,AnswerBank_v5!$A$2:$AP$311,14,FALSE)/10,"")</f>
        <v/>
      </c>
      <c r="H24">
        <f>IFERROR(VLOOKUP(D24,AnswerBank_v5!$A$2:$AP$311,16,FALSE)/10,"")</f>
        <v/>
      </c>
      <c r="I24">
        <f>IFERROR(VLOOKUP(D24,AnswerBank_v5!$A$2:$AP$311,31,FALSE),0)</f>
        <v/>
      </c>
      <c r="J24">
        <f>IFERROR(VLOOKUP(E24,AnswerBank_v5!$A$2:$AP$311,15,FALSE)/10,"")</f>
        <v/>
      </c>
      <c r="K24">
        <f>IFERROR(VLOOKUP(E24,AnswerBank_v5!$A$2:$AP$311,14,FALSE)/10,"")</f>
        <v/>
      </c>
      <c r="L24">
        <f>IFERROR(VLOOKUP(E24,AnswerBank_v5!$A$2:$AP$311,16,FALSE)/10,"")</f>
        <v/>
      </c>
      <c r="M24">
        <f>IFERROR(VLOOKUP(E24,AnswerBank_v5!$A$2:$AP$311,31,FALSE),0)</f>
        <v/>
      </c>
      <c r="N24">
        <f>IF(OR(F24="",J24=""),"",1-ABS(F24-J24))</f>
        <v/>
      </c>
      <c r="O24">
        <f>IF(OR(G24="",K24="",H24="",L24=""),"",0.60+0.20*((G24+K24)/2)+0.20*((H24+L24)/2))</f>
        <v/>
      </c>
      <c r="P24">
        <f>IF(OR(B24="",N24="",O24=""),"",B24*N24*O24)</f>
        <v/>
      </c>
      <c r="Q24">
        <f>IF(B24="", "", B24*(0.50*G24+0.20*H24+0.20*F24+0.10*(1-I24/25)))</f>
        <v/>
      </c>
      <c r="R24">
        <f>IF(B24="", "", B24*(0.50*K24+0.20*L24+0.20*J24+0.10*(1-M24/25)))</f>
        <v/>
      </c>
      <c r="S24">
        <f>IFERROR(VLOOKUP(D24,AnswerBank_v5!$A$2:$AP$311,29,FALSE),"")</f>
        <v/>
      </c>
      <c r="T24">
        <f>IFERROR(VLOOKUP(E24,AnswerBank_v5!$A$2:$AP$311,29,FALSE),"")</f>
        <v/>
      </c>
    </row>
    <row r="25">
      <c r="A25" t="n">
        <v>16</v>
      </c>
      <c r="B25">
        <f>VLOOKUP(A25,QuestionWeights_v4!$A$2:$C$61,3,FALSE)</f>
        <v/>
      </c>
      <c r="C25">
        <f>IFERROR(VLOOKUP(D25,AnswerBank_v5!$A$2:$AP$311,6,FALSE),"")</f>
        <v/>
      </c>
      <c r="F25">
        <f>IFERROR(VLOOKUP(D25,AnswerBank_v5!$A$2:$AP$311,15,FALSE)/10,"")</f>
        <v/>
      </c>
      <c r="G25">
        <f>IFERROR(VLOOKUP(D25,AnswerBank_v5!$A$2:$AP$311,14,FALSE)/10,"")</f>
        <v/>
      </c>
      <c r="H25">
        <f>IFERROR(VLOOKUP(D25,AnswerBank_v5!$A$2:$AP$311,16,FALSE)/10,"")</f>
        <v/>
      </c>
      <c r="I25">
        <f>IFERROR(VLOOKUP(D25,AnswerBank_v5!$A$2:$AP$311,31,FALSE),0)</f>
        <v/>
      </c>
      <c r="J25">
        <f>IFERROR(VLOOKUP(E25,AnswerBank_v5!$A$2:$AP$311,15,FALSE)/10,"")</f>
        <v/>
      </c>
      <c r="K25">
        <f>IFERROR(VLOOKUP(E25,AnswerBank_v5!$A$2:$AP$311,14,FALSE)/10,"")</f>
        <v/>
      </c>
      <c r="L25">
        <f>IFERROR(VLOOKUP(E25,AnswerBank_v5!$A$2:$AP$311,16,FALSE)/10,"")</f>
        <v/>
      </c>
      <c r="M25">
        <f>IFERROR(VLOOKUP(E25,AnswerBank_v5!$A$2:$AP$311,31,FALSE),0)</f>
        <v/>
      </c>
      <c r="N25">
        <f>IF(OR(F25="",J25=""),"",1-ABS(F25-J25))</f>
        <v/>
      </c>
      <c r="O25">
        <f>IF(OR(G25="",K25="",H25="",L25=""),"",0.60+0.20*((G25+K25)/2)+0.20*((H25+L25)/2))</f>
        <v/>
      </c>
      <c r="P25">
        <f>IF(OR(B25="",N25="",O25=""),"",B25*N25*O25)</f>
        <v/>
      </c>
      <c r="Q25">
        <f>IF(B25="", "", B25*(0.50*G25+0.20*H25+0.20*F25+0.10*(1-I25/25)))</f>
        <v/>
      </c>
      <c r="R25">
        <f>IF(B25="", "", B25*(0.50*K25+0.20*L25+0.20*J25+0.10*(1-M25/25)))</f>
        <v/>
      </c>
      <c r="S25">
        <f>IFERROR(VLOOKUP(D25,AnswerBank_v5!$A$2:$AP$311,29,FALSE),"")</f>
        <v/>
      </c>
      <c r="T25">
        <f>IFERROR(VLOOKUP(E25,AnswerBank_v5!$A$2:$AP$311,29,FALSE),"")</f>
        <v/>
      </c>
    </row>
    <row r="26">
      <c r="A26" t="n">
        <v>17</v>
      </c>
      <c r="B26">
        <f>VLOOKUP(A26,QuestionWeights_v4!$A$2:$C$61,3,FALSE)</f>
        <v/>
      </c>
      <c r="C26">
        <f>IFERROR(VLOOKUP(D26,AnswerBank_v5!$A$2:$AP$311,6,FALSE),"")</f>
        <v/>
      </c>
      <c r="F26">
        <f>IFERROR(VLOOKUP(D26,AnswerBank_v5!$A$2:$AP$311,15,FALSE)/10,"")</f>
        <v/>
      </c>
      <c r="G26">
        <f>IFERROR(VLOOKUP(D26,AnswerBank_v5!$A$2:$AP$311,14,FALSE)/10,"")</f>
        <v/>
      </c>
      <c r="H26">
        <f>IFERROR(VLOOKUP(D26,AnswerBank_v5!$A$2:$AP$311,16,FALSE)/10,"")</f>
        <v/>
      </c>
      <c r="I26">
        <f>IFERROR(VLOOKUP(D26,AnswerBank_v5!$A$2:$AP$311,31,FALSE),0)</f>
        <v/>
      </c>
      <c r="J26">
        <f>IFERROR(VLOOKUP(E26,AnswerBank_v5!$A$2:$AP$311,15,FALSE)/10,"")</f>
        <v/>
      </c>
      <c r="K26">
        <f>IFERROR(VLOOKUP(E26,AnswerBank_v5!$A$2:$AP$311,14,FALSE)/10,"")</f>
        <v/>
      </c>
      <c r="L26">
        <f>IFERROR(VLOOKUP(E26,AnswerBank_v5!$A$2:$AP$311,16,FALSE)/10,"")</f>
        <v/>
      </c>
      <c r="M26">
        <f>IFERROR(VLOOKUP(E26,AnswerBank_v5!$A$2:$AP$311,31,FALSE),0)</f>
        <v/>
      </c>
      <c r="N26">
        <f>IF(OR(F26="",J26=""),"",1-ABS(F26-J26))</f>
        <v/>
      </c>
      <c r="O26">
        <f>IF(OR(G26="",K26="",H26="",L26=""),"",0.60+0.20*((G26+K26)/2)+0.20*((H26+L26)/2))</f>
        <v/>
      </c>
      <c r="P26">
        <f>IF(OR(B26="",N26="",O26=""),"",B26*N26*O26)</f>
        <v/>
      </c>
      <c r="Q26">
        <f>IF(B26="", "", B26*(0.50*G26+0.20*H26+0.20*F26+0.10*(1-I26/25)))</f>
        <v/>
      </c>
      <c r="R26">
        <f>IF(B26="", "", B26*(0.50*K26+0.20*L26+0.20*J26+0.10*(1-M26/25)))</f>
        <v/>
      </c>
      <c r="S26">
        <f>IFERROR(VLOOKUP(D26,AnswerBank_v5!$A$2:$AP$311,29,FALSE),"")</f>
        <v/>
      </c>
      <c r="T26">
        <f>IFERROR(VLOOKUP(E26,AnswerBank_v5!$A$2:$AP$311,29,FALSE),"")</f>
        <v/>
      </c>
    </row>
    <row r="27">
      <c r="A27" t="n">
        <v>18</v>
      </c>
      <c r="B27">
        <f>VLOOKUP(A27,QuestionWeights_v4!$A$2:$C$61,3,FALSE)</f>
        <v/>
      </c>
      <c r="C27">
        <f>IFERROR(VLOOKUP(D27,AnswerBank_v5!$A$2:$AP$311,6,FALSE),"")</f>
        <v/>
      </c>
      <c r="F27">
        <f>IFERROR(VLOOKUP(D27,AnswerBank_v5!$A$2:$AP$311,15,FALSE)/10,"")</f>
        <v/>
      </c>
      <c r="G27">
        <f>IFERROR(VLOOKUP(D27,AnswerBank_v5!$A$2:$AP$311,14,FALSE)/10,"")</f>
        <v/>
      </c>
      <c r="H27">
        <f>IFERROR(VLOOKUP(D27,AnswerBank_v5!$A$2:$AP$311,16,FALSE)/10,"")</f>
        <v/>
      </c>
      <c r="I27">
        <f>IFERROR(VLOOKUP(D27,AnswerBank_v5!$A$2:$AP$311,31,FALSE),0)</f>
        <v/>
      </c>
      <c r="J27">
        <f>IFERROR(VLOOKUP(E27,AnswerBank_v5!$A$2:$AP$311,15,FALSE)/10,"")</f>
        <v/>
      </c>
      <c r="K27">
        <f>IFERROR(VLOOKUP(E27,AnswerBank_v5!$A$2:$AP$311,14,FALSE)/10,"")</f>
        <v/>
      </c>
      <c r="L27">
        <f>IFERROR(VLOOKUP(E27,AnswerBank_v5!$A$2:$AP$311,16,FALSE)/10,"")</f>
        <v/>
      </c>
      <c r="M27">
        <f>IFERROR(VLOOKUP(E27,AnswerBank_v5!$A$2:$AP$311,31,FALSE),0)</f>
        <v/>
      </c>
      <c r="N27">
        <f>IF(OR(F27="",J27=""),"",1-ABS(F27-J27))</f>
        <v/>
      </c>
      <c r="O27">
        <f>IF(OR(G27="",K27="",H27="",L27=""),"",0.60+0.20*((G27+K27)/2)+0.20*((H27+L27)/2))</f>
        <v/>
      </c>
      <c r="P27">
        <f>IF(OR(B27="",N27="",O27=""),"",B27*N27*O27)</f>
        <v/>
      </c>
      <c r="Q27">
        <f>IF(B27="", "", B27*(0.50*G27+0.20*H27+0.20*F27+0.10*(1-I27/25)))</f>
        <v/>
      </c>
      <c r="R27">
        <f>IF(B27="", "", B27*(0.50*K27+0.20*L27+0.20*J27+0.10*(1-M27/25)))</f>
        <v/>
      </c>
      <c r="S27">
        <f>IFERROR(VLOOKUP(D27,AnswerBank_v5!$A$2:$AP$311,29,FALSE),"")</f>
        <v/>
      </c>
      <c r="T27">
        <f>IFERROR(VLOOKUP(E27,AnswerBank_v5!$A$2:$AP$311,29,FALSE),"")</f>
        <v/>
      </c>
    </row>
    <row r="28">
      <c r="A28" t="n">
        <v>19</v>
      </c>
      <c r="B28">
        <f>VLOOKUP(A28,QuestionWeights_v4!$A$2:$C$61,3,FALSE)</f>
        <v/>
      </c>
      <c r="C28">
        <f>IFERROR(VLOOKUP(D28,AnswerBank_v5!$A$2:$AP$311,6,FALSE),"")</f>
        <v/>
      </c>
      <c r="F28">
        <f>IFERROR(VLOOKUP(D28,AnswerBank_v5!$A$2:$AP$311,15,FALSE)/10,"")</f>
        <v/>
      </c>
      <c r="G28">
        <f>IFERROR(VLOOKUP(D28,AnswerBank_v5!$A$2:$AP$311,14,FALSE)/10,"")</f>
        <v/>
      </c>
      <c r="H28">
        <f>IFERROR(VLOOKUP(D28,AnswerBank_v5!$A$2:$AP$311,16,FALSE)/10,"")</f>
        <v/>
      </c>
      <c r="I28">
        <f>IFERROR(VLOOKUP(D28,AnswerBank_v5!$A$2:$AP$311,31,FALSE),0)</f>
        <v/>
      </c>
      <c r="J28">
        <f>IFERROR(VLOOKUP(E28,AnswerBank_v5!$A$2:$AP$311,15,FALSE)/10,"")</f>
        <v/>
      </c>
      <c r="K28">
        <f>IFERROR(VLOOKUP(E28,AnswerBank_v5!$A$2:$AP$311,14,FALSE)/10,"")</f>
        <v/>
      </c>
      <c r="L28">
        <f>IFERROR(VLOOKUP(E28,AnswerBank_v5!$A$2:$AP$311,16,FALSE)/10,"")</f>
        <v/>
      </c>
      <c r="M28">
        <f>IFERROR(VLOOKUP(E28,AnswerBank_v5!$A$2:$AP$311,31,FALSE),0)</f>
        <v/>
      </c>
      <c r="N28">
        <f>IF(OR(F28="",J28=""),"",1-ABS(F28-J28))</f>
        <v/>
      </c>
      <c r="O28">
        <f>IF(OR(G28="",K28="",H28="",L28=""),"",0.60+0.20*((G28+K28)/2)+0.20*((H28+L28)/2))</f>
        <v/>
      </c>
      <c r="P28">
        <f>IF(OR(B28="",N28="",O28=""),"",B28*N28*O28)</f>
        <v/>
      </c>
      <c r="Q28">
        <f>IF(B28="", "", B28*(0.50*G28+0.20*H28+0.20*F28+0.10*(1-I28/25)))</f>
        <v/>
      </c>
      <c r="R28">
        <f>IF(B28="", "", B28*(0.50*K28+0.20*L28+0.20*J28+0.10*(1-M28/25)))</f>
        <v/>
      </c>
      <c r="S28">
        <f>IFERROR(VLOOKUP(D28,AnswerBank_v5!$A$2:$AP$311,29,FALSE),"")</f>
        <v/>
      </c>
      <c r="T28">
        <f>IFERROR(VLOOKUP(E28,AnswerBank_v5!$A$2:$AP$311,29,FALSE),"")</f>
        <v/>
      </c>
    </row>
    <row r="29">
      <c r="A29" t="n">
        <v>20</v>
      </c>
      <c r="B29">
        <f>VLOOKUP(A29,QuestionWeights_v4!$A$2:$C$61,3,FALSE)</f>
        <v/>
      </c>
      <c r="C29">
        <f>IFERROR(VLOOKUP(D29,AnswerBank_v5!$A$2:$AP$311,6,FALSE),"")</f>
        <v/>
      </c>
      <c r="F29">
        <f>IFERROR(VLOOKUP(D29,AnswerBank_v5!$A$2:$AP$311,15,FALSE)/10,"")</f>
        <v/>
      </c>
      <c r="G29">
        <f>IFERROR(VLOOKUP(D29,AnswerBank_v5!$A$2:$AP$311,14,FALSE)/10,"")</f>
        <v/>
      </c>
      <c r="H29">
        <f>IFERROR(VLOOKUP(D29,AnswerBank_v5!$A$2:$AP$311,16,FALSE)/10,"")</f>
        <v/>
      </c>
      <c r="I29">
        <f>IFERROR(VLOOKUP(D29,AnswerBank_v5!$A$2:$AP$311,31,FALSE),0)</f>
        <v/>
      </c>
      <c r="J29">
        <f>IFERROR(VLOOKUP(E29,AnswerBank_v5!$A$2:$AP$311,15,FALSE)/10,"")</f>
        <v/>
      </c>
      <c r="K29">
        <f>IFERROR(VLOOKUP(E29,AnswerBank_v5!$A$2:$AP$311,14,FALSE)/10,"")</f>
        <v/>
      </c>
      <c r="L29">
        <f>IFERROR(VLOOKUP(E29,AnswerBank_v5!$A$2:$AP$311,16,FALSE)/10,"")</f>
        <v/>
      </c>
      <c r="M29">
        <f>IFERROR(VLOOKUP(E29,AnswerBank_v5!$A$2:$AP$311,31,FALSE),0)</f>
        <v/>
      </c>
      <c r="N29">
        <f>IF(OR(F29="",J29=""),"",1-ABS(F29-J29))</f>
        <v/>
      </c>
      <c r="O29">
        <f>IF(OR(G29="",K29="",H29="",L29=""),"",0.60+0.20*((G29+K29)/2)+0.20*((H29+L29)/2))</f>
        <v/>
      </c>
      <c r="P29">
        <f>IF(OR(B29="",N29="",O29=""),"",B29*N29*O29)</f>
        <v/>
      </c>
      <c r="Q29">
        <f>IF(B29="", "", B29*(0.50*G29+0.20*H29+0.20*F29+0.10*(1-I29/25)))</f>
        <v/>
      </c>
      <c r="R29">
        <f>IF(B29="", "", B29*(0.50*K29+0.20*L29+0.20*J29+0.10*(1-M29/25)))</f>
        <v/>
      </c>
      <c r="S29">
        <f>IFERROR(VLOOKUP(D29,AnswerBank_v5!$A$2:$AP$311,29,FALSE),"")</f>
        <v/>
      </c>
      <c r="T29">
        <f>IFERROR(VLOOKUP(E29,AnswerBank_v5!$A$2:$AP$311,29,FALSE),"")</f>
        <v/>
      </c>
    </row>
    <row r="30">
      <c r="A30" t="n">
        <v>21</v>
      </c>
      <c r="B30">
        <f>VLOOKUP(A30,QuestionWeights_v4!$A$2:$C$61,3,FALSE)</f>
        <v/>
      </c>
      <c r="C30">
        <f>IFERROR(VLOOKUP(D30,AnswerBank_v5!$A$2:$AP$311,6,FALSE),"")</f>
        <v/>
      </c>
      <c r="F30">
        <f>IFERROR(VLOOKUP(D30,AnswerBank_v5!$A$2:$AP$311,15,FALSE)/10,"")</f>
        <v/>
      </c>
      <c r="G30">
        <f>IFERROR(VLOOKUP(D30,AnswerBank_v5!$A$2:$AP$311,14,FALSE)/10,"")</f>
        <v/>
      </c>
      <c r="H30">
        <f>IFERROR(VLOOKUP(D30,AnswerBank_v5!$A$2:$AP$311,16,FALSE)/10,"")</f>
        <v/>
      </c>
      <c r="I30">
        <f>IFERROR(VLOOKUP(D30,AnswerBank_v5!$A$2:$AP$311,31,FALSE),0)</f>
        <v/>
      </c>
      <c r="J30">
        <f>IFERROR(VLOOKUP(E30,AnswerBank_v5!$A$2:$AP$311,15,FALSE)/10,"")</f>
        <v/>
      </c>
      <c r="K30">
        <f>IFERROR(VLOOKUP(E30,AnswerBank_v5!$A$2:$AP$311,14,FALSE)/10,"")</f>
        <v/>
      </c>
      <c r="L30">
        <f>IFERROR(VLOOKUP(E30,AnswerBank_v5!$A$2:$AP$311,16,FALSE)/10,"")</f>
        <v/>
      </c>
      <c r="M30">
        <f>IFERROR(VLOOKUP(E30,AnswerBank_v5!$A$2:$AP$311,31,FALSE),0)</f>
        <v/>
      </c>
      <c r="N30">
        <f>IF(OR(F30="",J30=""),"",1-ABS(F30-J30))</f>
        <v/>
      </c>
      <c r="O30">
        <f>IF(OR(G30="",K30="",H30="",L30=""),"",0.60+0.20*((G30+K30)/2)+0.20*((H30+L30)/2))</f>
        <v/>
      </c>
      <c r="P30">
        <f>IF(OR(B30="",N30="",O30=""),"",B30*N30*O30)</f>
        <v/>
      </c>
      <c r="Q30">
        <f>IF(B30="", "", B30*(0.50*G30+0.20*H30+0.20*F30+0.10*(1-I30/25)))</f>
        <v/>
      </c>
      <c r="R30">
        <f>IF(B30="", "", B30*(0.50*K30+0.20*L30+0.20*J30+0.10*(1-M30/25)))</f>
        <v/>
      </c>
      <c r="S30">
        <f>IFERROR(VLOOKUP(D30,AnswerBank_v5!$A$2:$AP$311,29,FALSE),"")</f>
        <v/>
      </c>
      <c r="T30">
        <f>IFERROR(VLOOKUP(E30,AnswerBank_v5!$A$2:$AP$311,29,FALSE),"")</f>
        <v/>
      </c>
    </row>
    <row r="31">
      <c r="A31" t="n">
        <v>22</v>
      </c>
      <c r="B31">
        <f>VLOOKUP(A31,QuestionWeights_v4!$A$2:$C$61,3,FALSE)</f>
        <v/>
      </c>
      <c r="C31">
        <f>IFERROR(VLOOKUP(D31,AnswerBank_v5!$A$2:$AP$311,6,FALSE),"")</f>
        <v/>
      </c>
      <c r="F31">
        <f>IFERROR(VLOOKUP(D31,AnswerBank_v5!$A$2:$AP$311,15,FALSE)/10,"")</f>
        <v/>
      </c>
      <c r="G31">
        <f>IFERROR(VLOOKUP(D31,AnswerBank_v5!$A$2:$AP$311,14,FALSE)/10,"")</f>
        <v/>
      </c>
      <c r="H31">
        <f>IFERROR(VLOOKUP(D31,AnswerBank_v5!$A$2:$AP$311,16,FALSE)/10,"")</f>
        <v/>
      </c>
      <c r="I31">
        <f>IFERROR(VLOOKUP(D31,AnswerBank_v5!$A$2:$AP$311,31,FALSE),0)</f>
        <v/>
      </c>
      <c r="J31">
        <f>IFERROR(VLOOKUP(E31,AnswerBank_v5!$A$2:$AP$311,15,FALSE)/10,"")</f>
        <v/>
      </c>
      <c r="K31">
        <f>IFERROR(VLOOKUP(E31,AnswerBank_v5!$A$2:$AP$311,14,FALSE)/10,"")</f>
        <v/>
      </c>
      <c r="L31">
        <f>IFERROR(VLOOKUP(E31,AnswerBank_v5!$A$2:$AP$311,16,FALSE)/10,"")</f>
        <v/>
      </c>
      <c r="M31">
        <f>IFERROR(VLOOKUP(E31,AnswerBank_v5!$A$2:$AP$311,31,FALSE),0)</f>
        <v/>
      </c>
      <c r="N31">
        <f>IF(OR(F31="",J31=""),"",1-ABS(F31-J31))</f>
        <v/>
      </c>
      <c r="O31">
        <f>IF(OR(G31="",K31="",H31="",L31=""),"",0.60+0.20*((G31+K31)/2)+0.20*((H31+L31)/2))</f>
        <v/>
      </c>
      <c r="P31">
        <f>IF(OR(B31="",N31="",O31=""),"",B31*N31*O31)</f>
        <v/>
      </c>
      <c r="Q31">
        <f>IF(B31="", "", B31*(0.50*G31+0.20*H31+0.20*F31+0.10*(1-I31/25)))</f>
        <v/>
      </c>
      <c r="R31">
        <f>IF(B31="", "", B31*(0.50*K31+0.20*L31+0.20*J31+0.10*(1-M31/25)))</f>
        <v/>
      </c>
      <c r="S31">
        <f>IFERROR(VLOOKUP(D31,AnswerBank_v5!$A$2:$AP$311,29,FALSE),"")</f>
        <v/>
      </c>
      <c r="T31">
        <f>IFERROR(VLOOKUP(E31,AnswerBank_v5!$A$2:$AP$311,29,FALSE),"")</f>
        <v/>
      </c>
    </row>
    <row r="32">
      <c r="A32" t="n">
        <v>23</v>
      </c>
      <c r="B32">
        <f>VLOOKUP(A32,QuestionWeights_v4!$A$2:$C$61,3,FALSE)</f>
        <v/>
      </c>
      <c r="C32">
        <f>IFERROR(VLOOKUP(D32,AnswerBank_v5!$A$2:$AP$311,6,FALSE),"")</f>
        <v/>
      </c>
      <c r="F32">
        <f>IFERROR(VLOOKUP(D32,AnswerBank_v5!$A$2:$AP$311,15,FALSE)/10,"")</f>
        <v/>
      </c>
      <c r="G32">
        <f>IFERROR(VLOOKUP(D32,AnswerBank_v5!$A$2:$AP$311,14,FALSE)/10,"")</f>
        <v/>
      </c>
      <c r="H32">
        <f>IFERROR(VLOOKUP(D32,AnswerBank_v5!$A$2:$AP$311,16,FALSE)/10,"")</f>
        <v/>
      </c>
      <c r="I32">
        <f>IFERROR(VLOOKUP(D32,AnswerBank_v5!$A$2:$AP$311,31,FALSE),0)</f>
        <v/>
      </c>
      <c r="J32">
        <f>IFERROR(VLOOKUP(E32,AnswerBank_v5!$A$2:$AP$311,15,FALSE)/10,"")</f>
        <v/>
      </c>
      <c r="K32">
        <f>IFERROR(VLOOKUP(E32,AnswerBank_v5!$A$2:$AP$311,14,FALSE)/10,"")</f>
        <v/>
      </c>
      <c r="L32">
        <f>IFERROR(VLOOKUP(E32,AnswerBank_v5!$A$2:$AP$311,16,FALSE)/10,"")</f>
        <v/>
      </c>
      <c r="M32">
        <f>IFERROR(VLOOKUP(E32,AnswerBank_v5!$A$2:$AP$311,31,FALSE),0)</f>
        <v/>
      </c>
      <c r="N32">
        <f>IF(OR(F32="",J32=""),"",1-ABS(F32-J32))</f>
        <v/>
      </c>
      <c r="O32">
        <f>IF(OR(G32="",K32="",H32="",L32=""),"",0.60+0.20*((G32+K32)/2)+0.20*((H32+L32)/2))</f>
        <v/>
      </c>
      <c r="P32">
        <f>IF(OR(B32="",N32="",O32=""),"",B32*N32*O32)</f>
        <v/>
      </c>
      <c r="Q32">
        <f>IF(B32="", "", B32*(0.50*G32+0.20*H32+0.20*F32+0.10*(1-I32/25)))</f>
        <v/>
      </c>
      <c r="R32">
        <f>IF(B32="", "", B32*(0.50*K32+0.20*L32+0.20*J32+0.10*(1-M32/25)))</f>
        <v/>
      </c>
      <c r="S32">
        <f>IFERROR(VLOOKUP(D32,AnswerBank_v5!$A$2:$AP$311,29,FALSE),"")</f>
        <v/>
      </c>
      <c r="T32">
        <f>IFERROR(VLOOKUP(E32,AnswerBank_v5!$A$2:$AP$311,29,FALSE),"")</f>
        <v/>
      </c>
    </row>
    <row r="33">
      <c r="A33" t="n">
        <v>24</v>
      </c>
      <c r="B33">
        <f>VLOOKUP(A33,QuestionWeights_v4!$A$2:$C$61,3,FALSE)</f>
        <v/>
      </c>
      <c r="C33">
        <f>IFERROR(VLOOKUP(D33,AnswerBank_v5!$A$2:$AP$311,6,FALSE),"")</f>
        <v/>
      </c>
      <c r="F33">
        <f>IFERROR(VLOOKUP(D33,AnswerBank_v5!$A$2:$AP$311,15,FALSE)/10,"")</f>
        <v/>
      </c>
      <c r="G33">
        <f>IFERROR(VLOOKUP(D33,AnswerBank_v5!$A$2:$AP$311,14,FALSE)/10,"")</f>
        <v/>
      </c>
      <c r="H33">
        <f>IFERROR(VLOOKUP(D33,AnswerBank_v5!$A$2:$AP$311,16,FALSE)/10,"")</f>
        <v/>
      </c>
      <c r="I33">
        <f>IFERROR(VLOOKUP(D33,AnswerBank_v5!$A$2:$AP$311,31,FALSE),0)</f>
        <v/>
      </c>
      <c r="J33">
        <f>IFERROR(VLOOKUP(E33,AnswerBank_v5!$A$2:$AP$311,15,FALSE)/10,"")</f>
        <v/>
      </c>
      <c r="K33">
        <f>IFERROR(VLOOKUP(E33,AnswerBank_v5!$A$2:$AP$311,14,FALSE)/10,"")</f>
        <v/>
      </c>
      <c r="L33">
        <f>IFERROR(VLOOKUP(E33,AnswerBank_v5!$A$2:$AP$311,16,FALSE)/10,"")</f>
        <v/>
      </c>
      <c r="M33">
        <f>IFERROR(VLOOKUP(E33,AnswerBank_v5!$A$2:$AP$311,31,FALSE),0)</f>
        <v/>
      </c>
      <c r="N33">
        <f>IF(OR(F33="",J33=""),"",1-ABS(F33-J33))</f>
        <v/>
      </c>
      <c r="O33">
        <f>IF(OR(G33="",K33="",H33="",L33=""),"",0.60+0.20*((G33+K33)/2)+0.20*((H33+L33)/2))</f>
        <v/>
      </c>
      <c r="P33">
        <f>IF(OR(B33="",N33="",O33=""),"",B33*N33*O33)</f>
        <v/>
      </c>
      <c r="Q33">
        <f>IF(B33="", "", B33*(0.50*G33+0.20*H33+0.20*F33+0.10*(1-I33/25)))</f>
        <v/>
      </c>
      <c r="R33">
        <f>IF(B33="", "", B33*(0.50*K33+0.20*L33+0.20*J33+0.10*(1-M33/25)))</f>
        <v/>
      </c>
      <c r="S33">
        <f>IFERROR(VLOOKUP(D33,AnswerBank_v5!$A$2:$AP$311,29,FALSE),"")</f>
        <v/>
      </c>
      <c r="T33">
        <f>IFERROR(VLOOKUP(E33,AnswerBank_v5!$A$2:$AP$311,29,FALSE),"")</f>
        <v/>
      </c>
    </row>
    <row r="34">
      <c r="A34" t="n">
        <v>25</v>
      </c>
      <c r="B34">
        <f>VLOOKUP(A34,QuestionWeights_v4!$A$2:$C$61,3,FALSE)</f>
        <v/>
      </c>
      <c r="C34">
        <f>IFERROR(VLOOKUP(D34,AnswerBank_v5!$A$2:$AP$311,6,FALSE),"")</f>
        <v/>
      </c>
      <c r="F34">
        <f>IFERROR(VLOOKUP(D34,AnswerBank_v5!$A$2:$AP$311,15,FALSE)/10,"")</f>
        <v/>
      </c>
      <c r="G34">
        <f>IFERROR(VLOOKUP(D34,AnswerBank_v5!$A$2:$AP$311,14,FALSE)/10,"")</f>
        <v/>
      </c>
      <c r="H34">
        <f>IFERROR(VLOOKUP(D34,AnswerBank_v5!$A$2:$AP$311,16,FALSE)/10,"")</f>
        <v/>
      </c>
      <c r="I34">
        <f>IFERROR(VLOOKUP(D34,AnswerBank_v5!$A$2:$AP$311,31,FALSE),0)</f>
        <v/>
      </c>
      <c r="J34">
        <f>IFERROR(VLOOKUP(E34,AnswerBank_v5!$A$2:$AP$311,15,FALSE)/10,"")</f>
        <v/>
      </c>
      <c r="K34">
        <f>IFERROR(VLOOKUP(E34,AnswerBank_v5!$A$2:$AP$311,14,FALSE)/10,"")</f>
        <v/>
      </c>
      <c r="L34">
        <f>IFERROR(VLOOKUP(E34,AnswerBank_v5!$A$2:$AP$311,16,FALSE)/10,"")</f>
        <v/>
      </c>
      <c r="M34">
        <f>IFERROR(VLOOKUP(E34,AnswerBank_v5!$A$2:$AP$311,31,FALSE),0)</f>
        <v/>
      </c>
      <c r="N34">
        <f>IF(OR(F34="",J34=""),"",1-ABS(F34-J34))</f>
        <v/>
      </c>
      <c r="O34">
        <f>IF(OR(G34="",K34="",H34="",L34=""),"",0.60+0.20*((G34+K34)/2)+0.20*((H34+L34)/2))</f>
        <v/>
      </c>
      <c r="P34">
        <f>IF(OR(B34="",N34="",O34=""),"",B34*N34*O34)</f>
        <v/>
      </c>
      <c r="Q34">
        <f>IF(B34="", "", B34*(0.50*G34+0.20*H34+0.20*F34+0.10*(1-I34/25)))</f>
        <v/>
      </c>
      <c r="R34">
        <f>IF(B34="", "", B34*(0.50*K34+0.20*L34+0.20*J34+0.10*(1-M34/25)))</f>
        <v/>
      </c>
      <c r="S34">
        <f>IFERROR(VLOOKUP(D34,AnswerBank_v5!$A$2:$AP$311,29,FALSE),"")</f>
        <v/>
      </c>
      <c r="T34">
        <f>IFERROR(VLOOKUP(E34,AnswerBank_v5!$A$2:$AP$311,29,FALSE),"")</f>
        <v/>
      </c>
    </row>
    <row r="35">
      <c r="A35" t="n">
        <v>26</v>
      </c>
      <c r="B35">
        <f>VLOOKUP(A35,QuestionWeights_v4!$A$2:$C$61,3,FALSE)</f>
        <v/>
      </c>
      <c r="C35">
        <f>IFERROR(VLOOKUP(D35,AnswerBank_v5!$A$2:$AP$311,6,FALSE),"")</f>
        <v/>
      </c>
      <c r="F35">
        <f>IFERROR(VLOOKUP(D35,AnswerBank_v5!$A$2:$AP$311,15,FALSE)/10,"")</f>
        <v/>
      </c>
      <c r="G35">
        <f>IFERROR(VLOOKUP(D35,AnswerBank_v5!$A$2:$AP$311,14,FALSE)/10,"")</f>
        <v/>
      </c>
      <c r="H35">
        <f>IFERROR(VLOOKUP(D35,AnswerBank_v5!$A$2:$AP$311,16,FALSE)/10,"")</f>
        <v/>
      </c>
      <c r="I35">
        <f>IFERROR(VLOOKUP(D35,AnswerBank_v5!$A$2:$AP$311,31,FALSE),0)</f>
        <v/>
      </c>
      <c r="J35">
        <f>IFERROR(VLOOKUP(E35,AnswerBank_v5!$A$2:$AP$311,15,FALSE)/10,"")</f>
        <v/>
      </c>
      <c r="K35">
        <f>IFERROR(VLOOKUP(E35,AnswerBank_v5!$A$2:$AP$311,14,FALSE)/10,"")</f>
        <v/>
      </c>
      <c r="L35">
        <f>IFERROR(VLOOKUP(E35,AnswerBank_v5!$A$2:$AP$311,16,FALSE)/10,"")</f>
        <v/>
      </c>
      <c r="M35">
        <f>IFERROR(VLOOKUP(E35,AnswerBank_v5!$A$2:$AP$311,31,FALSE),0)</f>
        <v/>
      </c>
      <c r="N35">
        <f>IF(OR(F35="",J35=""),"",1-ABS(F35-J35))</f>
        <v/>
      </c>
      <c r="O35">
        <f>IF(OR(G35="",K35="",H35="",L35=""),"",0.60+0.20*((G35+K35)/2)+0.20*((H35+L35)/2))</f>
        <v/>
      </c>
      <c r="P35">
        <f>IF(OR(B35="",N35="",O35=""),"",B35*N35*O35)</f>
        <v/>
      </c>
      <c r="Q35">
        <f>IF(B35="", "", B35*(0.50*G35+0.20*H35+0.20*F35+0.10*(1-I35/25)))</f>
        <v/>
      </c>
      <c r="R35">
        <f>IF(B35="", "", B35*(0.50*K35+0.20*L35+0.20*J35+0.10*(1-M35/25)))</f>
        <v/>
      </c>
      <c r="S35">
        <f>IFERROR(VLOOKUP(D35,AnswerBank_v5!$A$2:$AP$311,29,FALSE),"")</f>
        <v/>
      </c>
      <c r="T35">
        <f>IFERROR(VLOOKUP(E35,AnswerBank_v5!$A$2:$AP$311,29,FALSE),"")</f>
        <v/>
      </c>
    </row>
    <row r="36">
      <c r="A36" t="n">
        <v>27</v>
      </c>
      <c r="B36">
        <f>VLOOKUP(A36,QuestionWeights_v4!$A$2:$C$61,3,FALSE)</f>
        <v/>
      </c>
      <c r="C36">
        <f>IFERROR(VLOOKUP(D36,AnswerBank_v5!$A$2:$AP$311,6,FALSE),"")</f>
        <v/>
      </c>
      <c r="F36">
        <f>IFERROR(VLOOKUP(D36,AnswerBank_v5!$A$2:$AP$311,15,FALSE)/10,"")</f>
        <v/>
      </c>
      <c r="G36">
        <f>IFERROR(VLOOKUP(D36,AnswerBank_v5!$A$2:$AP$311,14,FALSE)/10,"")</f>
        <v/>
      </c>
      <c r="H36">
        <f>IFERROR(VLOOKUP(D36,AnswerBank_v5!$A$2:$AP$311,16,FALSE)/10,"")</f>
        <v/>
      </c>
      <c r="I36">
        <f>IFERROR(VLOOKUP(D36,AnswerBank_v5!$A$2:$AP$311,31,FALSE),0)</f>
        <v/>
      </c>
      <c r="J36">
        <f>IFERROR(VLOOKUP(E36,AnswerBank_v5!$A$2:$AP$311,15,FALSE)/10,"")</f>
        <v/>
      </c>
      <c r="K36">
        <f>IFERROR(VLOOKUP(E36,AnswerBank_v5!$A$2:$AP$311,14,FALSE)/10,"")</f>
        <v/>
      </c>
      <c r="L36">
        <f>IFERROR(VLOOKUP(E36,AnswerBank_v5!$A$2:$AP$311,16,FALSE)/10,"")</f>
        <v/>
      </c>
      <c r="M36">
        <f>IFERROR(VLOOKUP(E36,AnswerBank_v5!$A$2:$AP$311,31,FALSE),0)</f>
        <v/>
      </c>
      <c r="N36">
        <f>IF(OR(F36="",J36=""),"",1-ABS(F36-J36))</f>
        <v/>
      </c>
      <c r="O36">
        <f>IF(OR(G36="",K36="",H36="",L36=""),"",0.60+0.20*((G36+K36)/2)+0.20*((H36+L36)/2))</f>
        <v/>
      </c>
      <c r="P36">
        <f>IF(OR(B36="",N36="",O36=""),"",B36*N36*O36)</f>
        <v/>
      </c>
      <c r="Q36">
        <f>IF(B36="", "", B36*(0.50*G36+0.20*H36+0.20*F36+0.10*(1-I36/25)))</f>
        <v/>
      </c>
      <c r="R36">
        <f>IF(B36="", "", B36*(0.50*K36+0.20*L36+0.20*J36+0.10*(1-M36/25)))</f>
        <v/>
      </c>
      <c r="S36">
        <f>IFERROR(VLOOKUP(D36,AnswerBank_v5!$A$2:$AP$311,29,FALSE),"")</f>
        <v/>
      </c>
      <c r="T36">
        <f>IFERROR(VLOOKUP(E36,AnswerBank_v5!$A$2:$AP$311,29,FALSE),"")</f>
        <v/>
      </c>
    </row>
    <row r="37">
      <c r="A37" t="n">
        <v>28</v>
      </c>
      <c r="B37">
        <f>VLOOKUP(A37,QuestionWeights_v4!$A$2:$C$61,3,FALSE)</f>
        <v/>
      </c>
      <c r="C37">
        <f>IFERROR(VLOOKUP(D37,AnswerBank_v5!$A$2:$AP$311,6,FALSE),"")</f>
        <v/>
      </c>
      <c r="F37">
        <f>IFERROR(VLOOKUP(D37,AnswerBank_v5!$A$2:$AP$311,15,FALSE)/10,"")</f>
        <v/>
      </c>
      <c r="G37">
        <f>IFERROR(VLOOKUP(D37,AnswerBank_v5!$A$2:$AP$311,14,FALSE)/10,"")</f>
        <v/>
      </c>
      <c r="H37">
        <f>IFERROR(VLOOKUP(D37,AnswerBank_v5!$A$2:$AP$311,16,FALSE)/10,"")</f>
        <v/>
      </c>
      <c r="I37">
        <f>IFERROR(VLOOKUP(D37,AnswerBank_v5!$A$2:$AP$311,31,FALSE),0)</f>
        <v/>
      </c>
      <c r="J37">
        <f>IFERROR(VLOOKUP(E37,AnswerBank_v5!$A$2:$AP$311,15,FALSE)/10,"")</f>
        <v/>
      </c>
      <c r="K37">
        <f>IFERROR(VLOOKUP(E37,AnswerBank_v5!$A$2:$AP$311,14,FALSE)/10,"")</f>
        <v/>
      </c>
      <c r="L37">
        <f>IFERROR(VLOOKUP(E37,AnswerBank_v5!$A$2:$AP$311,16,FALSE)/10,"")</f>
        <v/>
      </c>
      <c r="M37">
        <f>IFERROR(VLOOKUP(E37,AnswerBank_v5!$A$2:$AP$311,31,FALSE),0)</f>
        <v/>
      </c>
      <c r="N37">
        <f>IF(OR(F37="",J37=""),"",1-ABS(F37-J37))</f>
        <v/>
      </c>
      <c r="O37">
        <f>IF(OR(G37="",K37="",H37="",L37=""),"",0.60+0.20*((G37+K37)/2)+0.20*((H37+L37)/2))</f>
        <v/>
      </c>
      <c r="P37">
        <f>IF(OR(B37="",N37="",O37=""),"",B37*N37*O37)</f>
        <v/>
      </c>
      <c r="Q37">
        <f>IF(B37="", "", B37*(0.50*G37+0.20*H37+0.20*F37+0.10*(1-I37/25)))</f>
        <v/>
      </c>
      <c r="R37">
        <f>IF(B37="", "", B37*(0.50*K37+0.20*L37+0.20*J37+0.10*(1-M37/25)))</f>
        <v/>
      </c>
      <c r="S37">
        <f>IFERROR(VLOOKUP(D37,AnswerBank_v5!$A$2:$AP$311,29,FALSE),"")</f>
        <v/>
      </c>
      <c r="T37">
        <f>IFERROR(VLOOKUP(E37,AnswerBank_v5!$A$2:$AP$311,29,FALSE),"")</f>
        <v/>
      </c>
    </row>
    <row r="38">
      <c r="A38" t="n">
        <v>29</v>
      </c>
      <c r="B38">
        <f>VLOOKUP(A38,QuestionWeights_v4!$A$2:$C$61,3,FALSE)</f>
        <v/>
      </c>
      <c r="C38">
        <f>IFERROR(VLOOKUP(D38,AnswerBank_v5!$A$2:$AP$311,6,FALSE),"")</f>
        <v/>
      </c>
      <c r="F38">
        <f>IFERROR(VLOOKUP(D38,AnswerBank_v5!$A$2:$AP$311,15,FALSE)/10,"")</f>
        <v/>
      </c>
      <c r="G38">
        <f>IFERROR(VLOOKUP(D38,AnswerBank_v5!$A$2:$AP$311,14,FALSE)/10,"")</f>
        <v/>
      </c>
      <c r="H38">
        <f>IFERROR(VLOOKUP(D38,AnswerBank_v5!$A$2:$AP$311,16,FALSE)/10,"")</f>
        <v/>
      </c>
      <c r="I38">
        <f>IFERROR(VLOOKUP(D38,AnswerBank_v5!$A$2:$AP$311,31,FALSE),0)</f>
        <v/>
      </c>
      <c r="J38">
        <f>IFERROR(VLOOKUP(E38,AnswerBank_v5!$A$2:$AP$311,15,FALSE)/10,"")</f>
        <v/>
      </c>
      <c r="K38">
        <f>IFERROR(VLOOKUP(E38,AnswerBank_v5!$A$2:$AP$311,14,FALSE)/10,"")</f>
        <v/>
      </c>
      <c r="L38">
        <f>IFERROR(VLOOKUP(E38,AnswerBank_v5!$A$2:$AP$311,16,FALSE)/10,"")</f>
        <v/>
      </c>
      <c r="M38">
        <f>IFERROR(VLOOKUP(E38,AnswerBank_v5!$A$2:$AP$311,31,FALSE),0)</f>
        <v/>
      </c>
      <c r="N38">
        <f>IF(OR(F38="",J38=""),"",1-ABS(F38-J38))</f>
        <v/>
      </c>
      <c r="O38">
        <f>IF(OR(G38="",K38="",H38="",L38=""),"",0.60+0.20*((G38+K38)/2)+0.20*((H38+L38)/2))</f>
        <v/>
      </c>
      <c r="P38">
        <f>IF(OR(B38="",N38="",O38=""),"",B38*N38*O38)</f>
        <v/>
      </c>
      <c r="Q38">
        <f>IF(B38="", "", B38*(0.50*G38+0.20*H38+0.20*F38+0.10*(1-I38/25)))</f>
        <v/>
      </c>
      <c r="R38">
        <f>IF(B38="", "", B38*(0.50*K38+0.20*L38+0.20*J38+0.10*(1-M38/25)))</f>
        <v/>
      </c>
      <c r="S38">
        <f>IFERROR(VLOOKUP(D38,AnswerBank_v5!$A$2:$AP$311,29,FALSE),"")</f>
        <v/>
      </c>
      <c r="T38">
        <f>IFERROR(VLOOKUP(E38,AnswerBank_v5!$A$2:$AP$311,29,FALSE),"")</f>
        <v/>
      </c>
    </row>
    <row r="39">
      <c r="A39" t="n">
        <v>30</v>
      </c>
      <c r="B39">
        <f>VLOOKUP(A39,QuestionWeights_v4!$A$2:$C$61,3,FALSE)</f>
        <v/>
      </c>
      <c r="C39">
        <f>IFERROR(VLOOKUP(D39,AnswerBank_v5!$A$2:$AP$311,6,FALSE),"")</f>
        <v/>
      </c>
      <c r="F39">
        <f>IFERROR(VLOOKUP(D39,AnswerBank_v5!$A$2:$AP$311,15,FALSE)/10,"")</f>
        <v/>
      </c>
      <c r="G39">
        <f>IFERROR(VLOOKUP(D39,AnswerBank_v5!$A$2:$AP$311,14,FALSE)/10,"")</f>
        <v/>
      </c>
      <c r="H39">
        <f>IFERROR(VLOOKUP(D39,AnswerBank_v5!$A$2:$AP$311,16,FALSE)/10,"")</f>
        <v/>
      </c>
      <c r="I39">
        <f>IFERROR(VLOOKUP(D39,AnswerBank_v5!$A$2:$AP$311,31,FALSE),0)</f>
        <v/>
      </c>
      <c r="J39">
        <f>IFERROR(VLOOKUP(E39,AnswerBank_v5!$A$2:$AP$311,15,FALSE)/10,"")</f>
        <v/>
      </c>
      <c r="K39">
        <f>IFERROR(VLOOKUP(E39,AnswerBank_v5!$A$2:$AP$311,14,FALSE)/10,"")</f>
        <v/>
      </c>
      <c r="L39">
        <f>IFERROR(VLOOKUP(E39,AnswerBank_v5!$A$2:$AP$311,16,FALSE)/10,"")</f>
        <v/>
      </c>
      <c r="M39">
        <f>IFERROR(VLOOKUP(E39,AnswerBank_v5!$A$2:$AP$311,31,FALSE),0)</f>
        <v/>
      </c>
      <c r="N39">
        <f>IF(OR(F39="",J39=""),"",1-ABS(F39-J39))</f>
        <v/>
      </c>
      <c r="O39">
        <f>IF(OR(G39="",K39="",H39="",L39=""),"",0.60+0.20*((G39+K39)/2)+0.20*((H39+L39)/2))</f>
        <v/>
      </c>
      <c r="P39">
        <f>IF(OR(B39="",N39="",O39=""),"",B39*N39*O39)</f>
        <v/>
      </c>
      <c r="Q39">
        <f>IF(B39="", "", B39*(0.50*G39+0.20*H39+0.20*F39+0.10*(1-I39/25)))</f>
        <v/>
      </c>
      <c r="R39">
        <f>IF(B39="", "", B39*(0.50*K39+0.20*L39+0.20*J39+0.10*(1-M39/25)))</f>
        <v/>
      </c>
      <c r="S39">
        <f>IFERROR(VLOOKUP(D39,AnswerBank_v5!$A$2:$AP$311,29,FALSE),"")</f>
        <v/>
      </c>
      <c r="T39">
        <f>IFERROR(VLOOKUP(E39,AnswerBank_v5!$A$2:$AP$311,29,FALSE),"")</f>
        <v/>
      </c>
    </row>
    <row r="40">
      <c r="A40" t="n">
        <v>31</v>
      </c>
      <c r="B40">
        <f>VLOOKUP(A40,QuestionWeights_v4!$A$2:$C$61,3,FALSE)</f>
        <v/>
      </c>
      <c r="C40">
        <f>IFERROR(VLOOKUP(D40,AnswerBank_v5!$A$2:$AP$311,6,FALSE),"")</f>
        <v/>
      </c>
      <c r="F40">
        <f>IFERROR(VLOOKUP(D40,AnswerBank_v5!$A$2:$AP$311,15,FALSE)/10,"")</f>
        <v/>
      </c>
      <c r="G40">
        <f>IFERROR(VLOOKUP(D40,AnswerBank_v5!$A$2:$AP$311,14,FALSE)/10,"")</f>
        <v/>
      </c>
      <c r="H40">
        <f>IFERROR(VLOOKUP(D40,AnswerBank_v5!$A$2:$AP$311,16,FALSE)/10,"")</f>
        <v/>
      </c>
      <c r="I40">
        <f>IFERROR(VLOOKUP(D40,AnswerBank_v5!$A$2:$AP$311,31,FALSE),0)</f>
        <v/>
      </c>
      <c r="J40">
        <f>IFERROR(VLOOKUP(E40,AnswerBank_v5!$A$2:$AP$311,15,FALSE)/10,"")</f>
        <v/>
      </c>
      <c r="K40">
        <f>IFERROR(VLOOKUP(E40,AnswerBank_v5!$A$2:$AP$311,14,FALSE)/10,"")</f>
        <v/>
      </c>
      <c r="L40">
        <f>IFERROR(VLOOKUP(E40,AnswerBank_v5!$A$2:$AP$311,16,FALSE)/10,"")</f>
        <v/>
      </c>
      <c r="M40">
        <f>IFERROR(VLOOKUP(E40,AnswerBank_v5!$A$2:$AP$311,31,FALSE),0)</f>
        <v/>
      </c>
      <c r="N40">
        <f>IF(OR(F40="",J40=""),"",1-ABS(F40-J40))</f>
        <v/>
      </c>
      <c r="O40">
        <f>IF(OR(G40="",K40="",H40="",L40=""),"",0.60+0.20*((G40+K40)/2)+0.20*((H40+L40)/2))</f>
        <v/>
      </c>
      <c r="P40">
        <f>IF(OR(B40="",N40="",O40=""),"",B40*N40*O40)</f>
        <v/>
      </c>
      <c r="Q40">
        <f>IF(B40="", "", B40*(0.50*G40+0.20*H40+0.20*F40+0.10*(1-I40/25)))</f>
        <v/>
      </c>
      <c r="R40">
        <f>IF(B40="", "", B40*(0.50*K40+0.20*L40+0.20*J40+0.10*(1-M40/25)))</f>
        <v/>
      </c>
      <c r="S40">
        <f>IFERROR(VLOOKUP(D40,AnswerBank_v5!$A$2:$AP$311,29,FALSE),"")</f>
        <v/>
      </c>
      <c r="T40">
        <f>IFERROR(VLOOKUP(E40,AnswerBank_v5!$A$2:$AP$311,29,FALSE),"")</f>
        <v/>
      </c>
    </row>
    <row r="41">
      <c r="A41" t="n">
        <v>32</v>
      </c>
      <c r="B41">
        <f>VLOOKUP(A41,QuestionWeights_v4!$A$2:$C$61,3,FALSE)</f>
        <v/>
      </c>
      <c r="C41">
        <f>IFERROR(VLOOKUP(D41,AnswerBank_v5!$A$2:$AP$311,6,FALSE),"")</f>
        <v/>
      </c>
      <c r="F41">
        <f>IFERROR(VLOOKUP(D41,AnswerBank_v5!$A$2:$AP$311,15,FALSE)/10,"")</f>
        <v/>
      </c>
      <c r="G41">
        <f>IFERROR(VLOOKUP(D41,AnswerBank_v5!$A$2:$AP$311,14,FALSE)/10,"")</f>
        <v/>
      </c>
      <c r="H41">
        <f>IFERROR(VLOOKUP(D41,AnswerBank_v5!$A$2:$AP$311,16,FALSE)/10,"")</f>
        <v/>
      </c>
      <c r="I41">
        <f>IFERROR(VLOOKUP(D41,AnswerBank_v5!$A$2:$AP$311,31,FALSE),0)</f>
        <v/>
      </c>
      <c r="J41">
        <f>IFERROR(VLOOKUP(E41,AnswerBank_v5!$A$2:$AP$311,15,FALSE)/10,"")</f>
        <v/>
      </c>
      <c r="K41">
        <f>IFERROR(VLOOKUP(E41,AnswerBank_v5!$A$2:$AP$311,14,FALSE)/10,"")</f>
        <v/>
      </c>
      <c r="L41">
        <f>IFERROR(VLOOKUP(E41,AnswerBank_v5!$A$2:$AP$311,16,FALSE)/10,"")</f>
        <v/>
      </c>
      <c r="M41">
        <f>IFERROR(VLOOKUP(E41,AnswerBank_v5!$A$2:$AP$311,31,FALSE),0)</f>
        <v/>
      </c>
      <c r="N41">
        <f>IF(OR(F41="",J41=""),"",1-ABS(F41-J41))</f>
        <v/>
      </c>
      <c r="O41">
        <f>IF(OR(G41="",K41="",H41="",L41=""),"",0.60+0.20*((G41+K41)/2)+0.20*((H41+L41)/2))</f>
        <v/>
      </c>
      <c r="P41">
        <f>IF(OR(B41="",N41="",O41=""),"",B41*N41*O41)</f>
        <v/>
      </c>
      <c r="Q41">
        <f>IF(B41="", "", B41*(0.50*G41+0.20*H41+0.20*F41+0.10*(1-I41/25)))</f>
        <v/>
      </c>
      <c r="R41">
        <f>IF(B41="", "", B41*(0.50*K41+0.20*L41+0.20*J41+0.10*(1-M41/25)))</f>
        <v/>
      </c>
      <c r="S41">
        <f>IFERROR(VLOOKUP(D41,AnswerBank_v5!$A$2:$AP$311,29,FALSE),"")</f>
        <v/>
      </c>
      <c r="T41">
        <f>IFERROR(VLOOKUP(E41,AnswerBank_v5!$A$2:$AP$311,29,FALSE),"")</f>
        <v/>
      </c>
    </row>
    <row r="42">
      <c r="A42" t="n">
        <v>33</v>
      </c>
      <c r="B42">
        <f>VLOOKUP(A42,QuestionWeights_v4!$A$2:$C$61,3,FALSE)</f>
        <v/>
      </c>
      <c r="C42">
        <f>IFERROR(VLOOKUP(D42,AnswerBank_v5!$A$2:$AP$311,6,FALSE),"")</f>
        <v/>
      </c>
      <c r="F42">
        <f>IFERROR(VLOOKUP(D42,AnswerBank_v5!$A$2:$AP$311,15,FALSE)/10,"")</f>
        <v/>
      </c>
      <c r="G42">
        <f>IFERROR(VLOOKUP(D42,AnswerBank_v5!$A$2:$AP$311,14,FALSE)/10,"")</f>
        <v/>
      </c>
      <c r="H42">
        <f>IFERROR(VLOOKUP(D42,AnswerBank_v5!$A$2:$AP$311,16,FALSE)/10,"")</f>
        <v/>
      </c>
      <c r="I42">
        <f>IFERROR(VLOOKUP(D42,AnswerBank_v5!$A$2:$AP$311,31,FALSE),0)</f>
        <v/>
      </c>
      <c r="J42">
        <f>IFERROR(VLOOKUP(E42,AnswerBank_v5!$A$2:$AP$311,15,FALSE)/10,"")</f>
        <v/>
      </c>
      <c r="K42">
        <f>IFERROR(VLOOKUP(E42,AnswerBank_v5!$A$2:$AP$311,14,FALSE)/10,"")</f>
        <v/>
      </c>
      <c r="L42">
        <f>IFERROR(VLOOKUP(E42,AnswerBank_v5!$A$2:$AP$311,16,FALSE)/10,"")</f>
        <v/>
      </c>
      <c r="M42">
        <f>IFERROR(VLOOKUP(E42,AnswerBank_v5!$A$2:$AP$311,31,FALSE),0)</f>
        <v/>
      </c>
      <c r="N42">
        <f>IF(OR(F42="",J42=""),"",1-ABS(F42-J42))</f>
        <v/>
      </c>
      <c r="O42">
        <f>IF(OR(G42="",K42="",H42="",L42=""),"",0.60+0.20*((G42+K42)/2)+0.20*((H42+L42)/2))</f>
        <v/>
      </c>
      <c r="P42">
        <f>IF(OR(B42="",N42="",O42=""),"",B42*N42*O42)</f>
        <v/>
      </c>
      <c r="Q42">
        <f>IF(B42="", "", B42*(0.50*G42+0.20*H42+0.20*F42+0.10*(1-I42/25)))</f>
        <v/>
      </c>
      <c r="R42">
        <f>IF(B42="", "", B42*(0.50*K42+0.20*L42+0.20*J42+0.10*(1-M42/25)))</f>
        <v/>
      </c>
      <c r="S42">
        <f>IFERROR(VLOOKUP(D42,AnswerBank_v5!$A$2:$AP$311,29,FALSE),"")</f>
        <v/>
      </c>
      <c r="T42">
        <f>IFERROR(VLOOKUP(E42,AnswerBank_v5!$A$2:$AP$311,29,FALSE),"")</f>
        <v/>
      </c>
    </row>
    <row r="43">
      <c r="A43" t="n">
        <v>34</v>
      </c>
      <c r="B43">
        <f>VLOOKUP(A43,QuestionWeights_v4!$A$2:$C$61,3,FALSE)</f>
        <v/>
      </c>
      <c r="C43">
        <f>IFERROR(VLOOKUP(D43,AnswerBank_v5!$A$2:$AP$311,6,FALSE),"")</f>
        <v/>
      </c>
      <c r="F43">
        <f>IFERROR(VLOOKUP(D43,AnswerBank_v5!$A$2:$AP$311,15,FALSE)/10,"")</f>
        <v/>
      </c>
      <c r="G43">
        <f>IFERROR(VLOOKUP(D43,AnswerBank_v5!$A$2:$AP$311,14,FALSE)/10,"")</f>
        <v/>
      </c>
      <c r="H43">
        <f>IFERROR(VLOOKUP(D43,AnswerBank_v5!$A$2:$AP$311,16,FALSE)/10,"")</f>
        <v/>
      </c>
      <c r="I43">
        <f>IFERROR(VLOOKUP(D43,AnswerBank_v5!$A$2:$AP$311,31,FALSE),0)</f>
        <v/>
      </c>
      <c r="J43">
        <f>IFERROR(VLOOKUP(E43,AnswerBank_v5!$A$2:$AP$311,15,FALSE)/10,"")</f>
        <v/>
      </c>
      <c r="K43">
        <f>IFERROR(VLOOKUP(E43,AnswerBank_v5!$A$2:$AP$311,14,FALSE)/10,"")</f>
        <v/>
      </c>
      <c r="L43">
        <f>IFERROR(VLOOKUP(E43,AnswerBank_v5!$A$2:$AP$311,16,FALSE)/10,"")</f>
        <v/>
      </c>
      <c r="M43">
        <f>IFERROR(VLOOKUP(E43,AnswerBank_v5!$A$2:$AP$311,31,FALSE),0)</f>
        <v/>
      </c>
      <c r="N43">
        <f>IF(OR(F43="",J43=""),"",1-ABS(F43-J43))</f>
        <v/>
      </c>
      <c r="O43">
        <f>IF(OR(G43="",K43="",H43="",L43=""),"",0.60+0.20*((G43+K43)/2)+0.20*((H43+L43)/2))</f>
        <v/>
      </c>
      <c r="P43">
        <f>IF(OR(B43="",N43="",O43=""),"",B43*N43*O43)</f>
        <v/>
      </c>
      <c r="Q43">
        <f>IF(B43="", "", B43*(0.50*G43+0.20*H43+0.20*F43+0.10*(1-I43/25)))</f>
        <v/>
      </c>
      <c r="R43">
        <f>IF(B43="", "", B43*(0.50*K43+0.20*L43+0.20*J43+0.10*(1-M43/25)))</f>
        <v/>
      </c>
      <c r="S43">
        <f>IFERROR(VLOOKUP(D43,AnswerBank_v5!$A$2:$AP$311,29,FALSE),"")</f>
        <v/>
      </c>
      <c r="T43">
        <f>IFERROR(VLOOKUP(E43,AnswerBank_v5!$A$2:$AP$311,29,FALSE),"")</f>
        <v/>
      </c>
    </row>
    <row r="44">
      <c r="A44" t="n">
        <v>35</v>
      </c>
      <c r="B44">
        <f>VLOOKUP(A44,QuestionWeights_v4!$A$2:$C$61,3,FALSE)</f>
        <v/>
      </c>
      <c r="C44">
        <f>IFERROR(VLOOKUP(D44,AnswerBank_v5!$A$2:$AP$311,6,FALSE),"")</f>
        <v/>
      </c>
      <c r="F44">
        <f>IFERROR(VLOOKUP(D44,AnswerBank_v5!$A$2:$AP$311,15,FALSE)/10,"")</f>
        <v/>
      </c>
      <c r="G44">
        <f>IFERROR(VLOOKUP(D44,AnswerBank_v5!$A$2:$AP$311,14,FALSE)/10,"")</f>
        <v/>
      </c>
      <c r="H44">
        <f>IFERROR(VLOOKUP(D44,AnswerBank_v5!$A$2:$AP$311,16,FALSE)/10,"")</f>
        <v/>
      </c>
      <c r="I44">
        <f>IFERROR(VLOOKUP(D44,AnswerBank_v5!$A$2:$AP$311,31,FALSE),0)</f>
        <v/>
      </c>
      <c r="J44">
        <f>IFERROR(VLOOKUP(E44,AnswerBank_v5!$A$2:$AP$311,15,FALSE)/10,"")</f>
        <v/>
      </c>
      <c r="K44">
        <f>IFERROR(VLOOKUP(E44,AnswerBank_v5!$A$2:$AP$311,14,FALSE)/10,"")</f>
        <v/>
      </c>
      <c r="L44">
        <f>IFERROR(VLOOKUP(E44,AnswerBank_v5!$A$2:$AP$311,16,FALSE)/10,"")</f>
        <v/>
      </c>
      <c r="M44">
        <f>IFERROR(VLOOKUP(E44,AnswerBank_v5!$A$2:$AP$311,31,FALSE),0)</f>
        <v/>
      </c>
      <c r="N44">
        <f>IF(OR(F44="",J44=""),"",1-ABS(F44-J44))</f>
        <v/>
      </c>
      <c r="O44">
        <f>IF(OR(G44="",K44="",H44="",L44=""),"",0.60+0.20*((G44+K44)/2)+0.20*((H44+L44)/2))</f>
        <v/>
      </c>
      <c r="P44">
        <f>IF(OR(B44="",N44="",O44=""),"",B44*N44*O44)</f>
        <v/>
      </c>
      <c r="Q44">
        <f>IF(B44="", "", B44*(0.50*G44+0.20*H44+0.20*F44+0.10*(1-I44/25)))</f>
        <v/>
      </c>
      <c r="R44">
        <f>IF(B44="", "", B44*(0.50*K44+0.20*L44+0.20*J44+0.10*(1-M44/25)))</f>
        <v/>
      </c>
      <c r="S44">
        <f>IFERROR(VLOOKUP(D44,AnswerBank_v5!$A$2:$AP$311,29,FALSE),"")</f>
        <v/>
      </c>
      <c r="T44">
        <f>IFERROR(VLOOKUP(E44,AnswerBank_v5!$A$2:$AP$311,29,FALSE),"")</f>
        <v/>
      </c>
    </row>
    <row r="45">
      <c r="A45" t="n">
        <v>36</v>
      </c>
      <c r="B45">
        <f>VLOOKUP(A45,QuestionWeights_v4!$A$2:$C$61,3,FALSE)</f>
        <v/>
      </c>
      <c r="C45">
        <f>IFERROR(VLOOKUP(D45,AnswerBank_v5!$A$2:$AP$311,6,FALSE),"")</f>
        <v/>
      </c>
      <c r="F45">
        <f>IFERROR(VLOOKUP(D45,AnswerBank_v5!$A$2:$AP$311,15,FALSE)/10,"")</f>
        <v/>
      </c>
      <c r="G45">
        <f>IFERROR(VLOOKUP(D45,AnswerBank_v5!$A$2:$AP$311,14,FALSE)/10,"")</f>
        <v/>
      </c>
      <c r="H45">
        <f>IFERROR(VLOOKUP(D45,AnswerBank_v5!$A$2:$AP$311,16,FALSE)/10,"")</f>
        <v/>
      </c>
      <c r="I45">
        <f>IFERROR(VLOOKUP(D45,AnswerBank_v5!$A$2:$AP$311,31,FALSE),0)</f>
        <v/>
      </c>
      <c r="J45">
        <f>IFERROR(VLOOKUP(E45,AnswerBank_v5!$A$2:$AP$311,15,FALSE)/10,"")</f>
        <v/>
      </c>
      <c r="K45">
        <f>IFERROR(VLOOKUP(E45,AnswerBank_v5!$A$2:$AP$311,14,FALSE)/10,"")</f>
        <v/>
      </c>
      <c r="L45">
        <f>IFERROR(VLOOKUP(E45,AnswerBank_v5!$A$2:$AP$311,16,FALSE)/10,"")</f>
        <v/>
      </c>
      <c r="M45">
        <f>IFERROR(VLOOKUP(E45,AnswerBank_v5!$A$2:$AP$311,31,FALSE),0)</f>
        <v/>
      </c>
      <c r="N45">
        <f>IF(OR(F45="",J45=""),"",1-ABS(F45-J45))</f>
        <v/>
      </c>
      <c r="O45">
        <f>IF(OR(G45="",K45="",H45="",L45=""),"",0.60+0.20*((G45+K45)/2)+0.20*((H45+L45)/2))</f>
        <v/>
      </c>
      <c r="P45">
        <f>IF(OR(B45="",N45="",O45=""),"",B45*N45*O45)</f>
        <v/>
      </c>
      <c r="Q45">
        <f>IF(B45="", "", B45*(0.50*G45+0.20*H45+0.20*F45+0.10*(1-I45/25)))</f>
        <v/>
      </c>
      <c r="R45">
        <f>IF(B45="", "", B45*(0.50*K45+0.20*L45+0.20*J45+0.10*(1-M45/25)))</f>
        <v/>
      </c>
      <c r="S45">
        <f>IFERROR(VLOOKUP(D45,AnswerBank_v5!$A$2:$AP$311,29,FALSE),"")</f>
        <v/>
      </c>
      <c r="T45">
        <f>IFERROR(VLOOKUP(E45,AnswerBank_v5!$A$2:$AP$311,29,FALSE),"")</f>
        <v/>
      </c>
    </row>
    <row r="46">
      <c r="A46" t="n">
        <v>37</v>
      </c>
      <c r="B46">
        <f>VLOOKUP(A46,QuestionWeights_v4!$A$2:$C$61,3,FALSE)</f>
        <v/>
      </c>
      <c r="C46">
        <f>IFERROR(VLOOKUP(D46,AnswerBank_v5!$A$2:$AP$311,6,FALSE),"")</f>
        <v/>
      </c>
      <c r="F46">
        <f>IFERROR(VLOOKUP(D46,AnswerBank_v5!$A$2:$AP$311,15,FALSE)/10,"")</f>
        <v/>
      </c>
      <c r="G46">
        <f>IFERROR(VLOOKUP(D46,AnswerBank_v5!$A$2:$AP$311,14,FALSE)/10,"")</f>
        <v/>
      </c>
      <c r="H46">
        <f>IFERROR(VLOOKUP(D46,AnswerBank_v5!$A$2:$AP$311,16,FALSE)/10,"")</f>
        <v/>
      </c>
      <c r="I46">
        <f>IFERROR(VLOOKUP(D46,AnswerBank_v5!$A$2:$AP$311,31,FALSE),0)</f>
        <v/>
      </c>
      <c r="J46">
        <f>IFERROR(VLOOKUP(E46,AnswerBank_v5!$A$2:$AP$311,15,FALSE)/10,"")</f>
        <v/>
      </c>
      <c r="K46">
        <f>IFERROR(VLOOKUP(E46,AnswerBank_v5!$A$2:$AP$311,14,FALSE)/10,"")</f>
        <v/>
      </c>
      <c r="L46">
        <f>IFERROR(VLOOKUP(E46,AnswerBank_v5!$A$2:$AP$311,16,FALSE)/10,"")</f>
        <v/>
      </c>
      <c r="M46">
        <f>IFERROR(VLOOKUP(E46,AnswerBank_v5!$A$2:$AP$311,31,FALSE),0)</f>
        <v/>
      </c>
      <c r="N46">
        <f>IF(OR(F46="",J46=""),"",1-ABS(F46-J46))</f>
        <v/>
      </c>
      <c r="O46">
        <f>IF(OR(G46="",K46="",H46="",L46=""),"",0.60+0.20*((G46+K46)/2)+0.20*((H46+L46)/2))</f>
        <v/>
      </c>
      <c r="P46">
        <f>IF(OR(B46="",N46="",O46=""),"",B46*N46*O46)</f>
        <v/>
      </c>
      <c r="Q46">
        <f>IF(B46="", "", B46*(0.50*G46+0.20*H46+0.20*F46+0.10*(1-I46/25)))</f>
        <v/>
      </c>
      <c r="R46">
        <f>IF(B46="", "", B46*(0.50*K46+0.20*L46+0.20*J46+0.10*(1-M46/25)))</f>
        <v/>
      </c>
      <c r="S46">
        <f>IFERROR(VLOOKUP(D46,AnswerBank_v5!$A$2:$AP$311,29,FALSE),"")</f>
        <v/>
      </c>
      <c r="T46">
        <f>IFERROR(VLOOKUP(E46,AnswerBank_v5!$A$2:$AP$311,29,FALSE),"")</f>
        <v/>
      </c>
    </row>
    <row r="47">
      <c r="A47" t="n">
        <v>38</v>
      </c>
      <c r="B47">
        <f>VLOOKUP(A47,QuestionWeights_v4!$A$2:$C$61,3,FALSE)</f>
        <v/>
      </c>
      <c r="C47">
        <f>IFERROR(VLOOKUP(D47,AnswerBank_v5!$A$2:$AP$311,6,FALSE),"")</f>
        <v/>
      </c>
      <c r="F47">
        <f>IFERROR(VLOOKUP(D47,AnswerBank_v5!$A$2:$AP$311,15,FALSE)/10,"")</f>
        <v/>
      </c>
      <c r="G47">
        <f>IFERROR(VLOOKUP(D47,AnswerBank_v5!$A$2:$AP$311,14,FALSE)/10,"")</f>
        <v/>
      </c>
      <c r="H47">
        <f>IFERROR(VLOOKUP(D47,AnswerBank_v5!$A$2:$AP$311,16,FALSE)/10,"")</f>
        <v/>
      </c>
      <c r="I47">
        <f>IFERROR(VLOOKUP(D47,AnswerBank_v5!$A$2:$AP$311,31,FALSE),0)</f>
        <v/>
      </c>
      <c r="J47">
        <f>IFERROR(VLOOKUP(E47,AnswerBank_v5!$A$2:$AP$311,15,FALSE)/10,"")</f>
        <v/>
      </c>
      <c r="K47">
        <f>IFERROR(VLOOKUP(E47,AnswerBank_v5!$A$2:$AP$311,14,FALSE)/10,"")</f>
        <v/>
      </c>
      <c r="L47">
        <f>IFERROR(VLOOKUP(E47,AnswerBank_v5!$A$2:$AP$311,16,FALSE)/10,"")</f>
        <v/>
      </c>
      <c r="M47">
        <f>IFERROR(VLOOKUP(E47,AnswerBank_v5!$A$2:$AP$311,31,FALSE),0)</f>
        <v/>
      </c>
      <c r="N47">
        <f>IF(OR(F47="",J47=""),"",1-ABS(F47-J47))</f>
        <v/>
      </c>
      <c r="O47">
        <f>IF(OR(G47="",K47="",H47="",L47=""),"",0.60+0.20*((G47+K47)/2)+0.20*((H47+L47)/2))</f>
        <v/>
      </c>
      <c r="P47">
        <f>IF(OR(B47="",N47="",O47=""),"",B47*N47*O47)</f>
        <v/>
      </c>
      <c r="Q47">
        <f>IF(B47="", "", B47*(0.50*G47+0.20*H47+0.20*F47+0.10*(1-I47/25)))</f>
        <v/>
      </c>
      <c r="R47">
        <f>IF(B47="", "", B47*(0.50*K47+0.20*L47+0.20*J47+0.10*(1-M47/25)))</f>
        <v/>
      </c>
      <c r="S47">
        <f>IFERROR(VLOOKUP(D47,AnswerBank_v5!$A$2:$AP$311,29,FALSE),"")</f>
        <v/>
      </c>
      <c r="T47">
        <f>IFERROR(VLOOKUP(E47,AnswerBank_v5!$A$2:$AP$311,29,FALSE),"")</f>
        <v/>
      </c>
    </row>
    <row r="48">
      <c r="A48" t="n">
        <v>39</v>
      </c>
      <c r="B48">
        <f>VLOOKUP(A48,QuestionWeights_v4!$A$2:$C$61,3,FALSE)</f>
        <v/>
      </c>
      <c r="C48">
        <f>IFERROR(VLOOKUP(D48,AnswerBank_v5!$A$2:$AP$311,6,FALSE),"")</f>
        <v/>
      </c>
      <c r="F48">
        <f>IFERROR(VLOOKUP(D48,AnswerBank_v5!$A$2:$AP$311,15,FALSE)/10,"")</f>
        <v/>
      </c>
      <c r="G48">
        <f>IFERROR(VLOOKUP(D48,AnswerBank_v5!$A$2:$AP$311,14,FALSE)/10,"")</f>
        <v/>
      </c>
      <c r="H48">
        <f>IFERROR(VLOOKUP(D48,AnswerBank_v5!$A$2:$AP$311,16,FALSE)/10,"")</f>
        <v/>
      </c>
      <c r="I48">
        <f>IFERROR(VLOOKUP(D48,AnswerBank_v5!$A$2:$AP$311,31,FALSE),0)</f>
        <v/>
      </c>
      <c r="J48">
        <f>IFERROR(VLOOKUP(E48,AnswerBank_v5!$A$2:$AP$311,15,FALSE)/10,"")</f>
        <v/>
      </c>
      <c r="K48">
        <f>IFERROR(VLOOKUP(E48,AnswerBank_v5!$A$2:$AP$311,14,FALSE)/10,"")</f>
        <v/>
      </c>
      <c r="L48">
        <f>IFERROR(VLOOKUP(E48,AnswerBank_v5!$A$2:$AP$311,16,FALSE)/10,"")</f>
        <v/>
      </c>
      <c r="M48">
        <f>IFERROR(VLOOKUP(E48,AnswerBank_v5!$A$2:$AP$311,31,FALSE),0)</f>
        <v/>
      </c>
      <c r="N48">
        <f>IF(OR(F48="",J48=""),"",1-ABS(F48-J48))</f>
        <v/>
      </c>
      <c r="O48">
        <f>IF(OR(G48="",K48="",H48="",L48=""),"",0.60+0.20*((G48+K48)/2)+0.20*((H48+L48)/2))</f>
        <v/>
      </c>
      <c r="P48">
        <f>IF(OR(B48="",N48="",O48=""),"",B48*N48*O48)</f>
        <v/>
      </c>
      <c r="Q48">
        <f>IF(B48="", "", B48*(0.50*G48+0.20*H48+0.20*F48+0.10*(1-I48/25)))</f>
        <v/>
      </c>
      <c r="R48">
        <f>IF(B48="", "", B48*(0.50*K48+0.20*L48+0.20*J48+0.10*(1-M48/25)))</f>
        <v/>
      </c>
      <c r="S48">
        <f>IFERROR(VLOOKUP(D48,AnswerBank_v5!$A$2:$AP$311,29,FALSE),"")</f>
        <v/>
      </c>
      <c r="T48">
        <f>IFERROR(VLOOKUP(E48,AnswerBank_v5!$A$2:$AP$311,29,FALSE),"")</f>
        <v/>
      </c>
    </row>
    <row r="49">
      <c r="A49" t="n">
        <v>40</v>
      </c>
      <c r="B49">
        <f>VLOOKUP(A49,QuestionWeights_v4!$A$2:$C$61,3,FALSE)</f>
        <v/>
      </c>
      <c r="C49">
        <f>IFERROR(VLOOKUP(D49,AnswerBank_v5!$A$2:$AP$311,6,FALSE),"")</f>
        <v/>
      </c>
      <c r="F49">
        <f>IFERROR(VLOOKUP(D49,AnswerBank_v5!$A$2:$AP$311,15,FALSE)/10,"")</f>
        <v/>
      </c>
      <c r="G49">
        <f>IFERROR(VLOOKUP(D49,AnswerBank_v5!$A$2:$AP$311,14,FALSE)/10,"")</f>
        <v/>
      </c>
      <c r="H49">
        <f>IFERROR(VLOOKUP(D49,AnswerBank_v5!$A$2:$AP$311,16,FALSE)/10,"")</f>
        <v/>
      </c>
      <c r="I49">
        <f>IFERROR(VLOOKUP(D49,AnswerBank_v5!$A$2:$AP$311,31,FALSE),0)</f>
        <v/>
      </c>
      <c r="J49">
        <f>IFERROR(VLOOKUP(E49,AnswerBank_v5!$A$2:$AP$311,15,FALSE)/10,"")</f>
        <v/>
      </c>
      <c r="K49">
        <f>IFERROR(VLOOKUP(E49,AnswerBank_v5!$A$2:$AP$311,14,FALSE)/10,"")</f>
        <v/>
      </c>
      <c r="L49">
        <f>IFERROR(VLOOKUP(E49,AnswerBank_v5!$A$2:$AP$311,16,FALSE)/10,"")</f>
        <v/>
      </c>
      <c r="M49">
        <f>IFERROR(VLOOKUP(E49,AnswerBank_v5!$A$2:$AP$311,31,FALSE),0)</f>
        <v/>
      </c>
      <c r="N49">
        <f>IF(OR(F49="",J49=""),"",1-ABS(F49-J49))</f>
        <v/>
      </c>
      <c r="O49">
        <f>IF(OR(G49="",K49="",H49="",L49=""),"",0.60+0.20*((G49+K49)/2)+0.20*((H49+L49)/2))</f>
        <v/>
      </c>
      <c r="P49">
        <f>IF(OR(B49="",N49="",O49=""),"",B49*N49*O49)</f>
        <v/>
      </c>
      <c r="Q49">
        <f>IF(B49="", "", B49*(0.50*G49+0.20*H49+0.20*F49+0.10*(1-I49/25)))</f>
        <v/>
      </c>
      <c r="R49">
        <f>IF(B49="", "", B49*(0.50*K49+0.20*L49+0.20*J49+0.10*(1-M49/25)))</f>
        <v/>
      </c>
      <c r="S49">
        <f>IFERROR(VLOOKUP(D49,AnswerBank_v5!$A$2:$AP$311,29,FALSE),"")</f>
        <v/>
      </c>
      <c r="T49">
        <f>IFERROR(VLOOKUP(E49,AnswerBank_v5!$A$2:$AP$311,29,FALSE),"")</f>
        <v/>
      </c>
    </row>
    <row r="50">
      <c r="A50" t="n">
        <v>41</v>
      </c>
      <c r="B50">
        <f>VLOOKUP(A50,QuestionWeights_v4!$A$2:$C$61,3,FALSE)</f>
        <v/>
      </c>
      <c r="C50">
        <f>IFERROR(VLOOKUP(D50,AnswerBank_v5!$A$2:$AP$311,6,FALSE),"")</f>
        <v/>
      </c>
      <c r="F50">
        <f>IFERROR(VLOOKUP(D50,AnswerBank_v5!$A$2:$AP$311,15,FALSE)/10,"")</f>
        <v/>
      </c>
      <c r="G50">
        <f>IFERROR(VLOOKUP(D50,AnswerBank_v5!$A$2:$AP$311,14,FALSE)/10,"")</f>
        <v/>
      </c>
      <c r="H50">
        <f>IFERROR(VLOOKUP(D50,AnswerBank_v5!$A$2:$AP$311,16,FALSE)/10,"")</f>
        <v/>
      </c>
      <c r="I50">
        <f>IFERROR(VLOOKUP(D50,AnswerBank_v5!$A$2:$AP$311,31,FALSE),0)</f>
        <v/>
      </c>
      <c r="J50">
        <f>IFERROR(VLOOKUP(E50,AnswerBank_v5!$A$2:$AP$311,15,FALSE)/10,"")</f>
        <v/>
      </c>
      <c r="K50">
        <f>IFERROR(VLOOKUP(E50,AnswerBank_v5!$A$2:$AP$311,14,FALSE)/10,"")</f>
        <v/>
      </c>
      <c r="L50">
        <f>IFERROR(VLOOKUP(E50,AnswerBank_v5!$A$2:$AP$311,16,FALSE)/10,"")</f>
        <v/>
      </c>
      <c r="M50">
        <f>IFERROR(VLOOKUP(E50,AnswerBank_v5!$A$2:$AP$311,31,FALSE),0)</f>
        <v/>
      </c>
      <c r="N50">
        <f>IF(OR(F50="",J50=""),"",1-ABS(F50-J50))</f>
        <v/>
      </c>
      <c r="O50">
        <f>IF(OR(G50="",K50="",H50="",L50=""),"",0.60+0.20*((G50+K50)/2)+0.20*((H50+L50)/2))</f>
        <v/>
      </c>
      <c r="P50">
        <f>IF(OR(B50="",N50="",O50=""),"",B50*N50*O50)</f>
        <v/>
      </c>
      <c r="Q50">
        <f>IF(B50="", "", B50*(0.50*G50+0.20*H50+0.20*F50+0.10*(1-I50/25)))</f>
        <v/>
      </c>
      <c r="R50">
        <f>IF(B50="", "", B50*(0.50*K50+0.20*L50+0.20*J50+0.10*(1-M50/25)))</f>
        <v/>
      </c>
      <c r="S50">
        <f>IFERROR(VLOOKUP(D50,AnswerBank_v5!$A$2:$AP$311,29,FALSE),"")</f>
        <v/>
      </c>
      <c r="T50">
        <f>IFERROR(VLOOKUP(E50,AnswerBank_v5!$A$2:$AP$311,29,FALSE),"")</f>
        <v/>
      </c>
    </row>
    <row r="51">
      <c r="A51" t="n">
        <v>42</v>
      </c>
      <c r="B51">
        <f>VLOOKUP(A51,QuestionWeights_v4!$A$2:$C$61,3,FALSE)</f>
        <v/>
      </c>
      <c r="C51">
        <f>IFERROR(VLOOKUP(D51,AnswerBank_v5!$A$2:$AP$311,6,FALSE),"")</f>
        <v/>
      </c>
      <c r="F51">
        <f>IFERROR(VLOOKUP(D51,AnswerBank_v5!$A$2:$AP$311,15,FALSE)/10,"")</f>
        <v/>
      </c>
      <c r="G51">
        <f>IFERROR(VLOOKUP(D51,AnswerBank_v5!$A$2:$AP$311,14,FALSE)/10,"")</f>
        <v/>
      </c>
      <c r="H51">
        <f>IFERROR(VLOOKUP(D51,AnswerBank_v5!$A$2:$AP$311,16,FALSE)/10,"")</f>
        <v/>
      </c>
      <c r="I51">
        <f>IFERROR(VLOOKUP(D51,AnswerBank_v5!$A$2:$AP$311,31,FALSE),0)</f>
        <v/>
      </c>
      <c r="J51">
        <f>IFERROR(VLOOKUP(E51,AnswerBank_v5!$A$2:$AP$311,15,FALSE)/10,"")</f>
        <v/>
      </c>
      <c r="K51">
        <f>IFERROR(VLOOKUP(E51,AnswerBank_v5!$A$2:$AP$311,14,FALSE)/10,"")</f>
        <v/>
      </c>
      <c r="L51">
        <f>IFERROR(VLOOKUP(E51,AnswerBank_v5!$A$2:$AP$311,16,FALSE)/10,"")</f>
        <v/>
      </c>
      <c r="M51">
        <f>IFERROR(VLOOKUP(E51,AnswerBank_v5!$A$2:$AP$311,31,FALSE),0)</f>
        <v/>
      </c>
      <c r="N51">
        <f>IF(OR(F51="",J51=""),"",1-ABS(F51-J51))</f>
        <v/>
      </c>
      <c r="O51">
        <f>IF(OR(G51="",K51="",H51="",L51=""),"",0.60+0.20*((G51+K51)/2)+0.20*((H51+L51)/2))</f>
        <v/>
      </c>
      <c r="P51">
        <f>IF(OR(B51="",N51="",O51=""),"",B51*N51*O51)</f>
        <v/>
      </c>
      <c r="Q51">
        <f>IF(B51="", "", B51*(0.50*G51+0.20*H51+0.20*F51+0.10*(1-I51/25)))</f>
        <v/>
      </c>
      <c r="R51">
        <f>IF(B51="", "", B51*(0.50*K51+0.20*L51+0.20*J51+0.10*(1-M51/25)))</f>
        <v/>
      </c>
      <c r="S51">
        <f>IFERROR(VLOOKUP(D51,AnswerBank_v5!$A$2:$AP$311,29,FALSE),"")</f>
        <v/>
      </c>
      <c r="T51">
        <f>IFERROR(VLOOKUP(E51,AnswerBank_v5!$A$2:$AP$311,29,FALSE),"")</f>
        <v/>
      </c>
    </row>
    <row r="52">
      <c r="A52" t="n">
        <v>43</v>
      </c>
      <c r="B52">
        <f>VLOOKUP(A52,QuestionWeights_v4!$A$2:$C$61,3,FALSE)</f>
        <v/>
      </c>
      <c r="C52">
        <f>IFERROR(VLOOKUP(D52,AnswerBank_v5!$A$2:$AP$311,6,FALSE),"")</f>
        <v/>
      </c>
      <c r="F52">
        <f>IFERROR(VLOOKUP(D52,AnswerBank_v5!$A$2:$AP$311,15,FALSE)/10,"")</f>
        <v/>
      </c>
      <c r="G52">
        <f>IFERROR(VLOOKUP(D52,AnswerBank_v5!$A$2:$AP$311,14,FALSE)/10,"")</f>
        <v/>
      </c>
      <c r="H52">
        <f>IFERROR(VLOOKUP(D52,AnswerBank_v5!$A$2:$AP$311,16,FALSE)/10,"")</f>
        <v/>
      </c>
      <c r="I52">
        <f>IFERROR(VLOOKUP(D52,AnswerBank_v5!$A$2:$AP$311,31,FALSE),0)</f>
        <v/>
      </c>
      <c r="J52">
        <f>IFERROR(VLOOKUP(E52,AnswerBank_v5!$A$2:$AP$311,15,FALSE)/10,"")</f>
        <v/>
      </c>
      <c r="K52">
        <f>IFERROR(VLOOKUP(E52,AnswerBank_v5!$A$2:$AP$311,14,FALSE)/10,"")</f>
        <v/>
      </c>
      <c r="L52">
        <f>IFERROR(VLOOKUP(E52,AnswerBank_v5!$A$2:$AP$311,16,FALSE)/10,"")</f>
        <v/>
      </c>
      <c r="M52">
        <f>IFERROR(VLOOKUP(E52,AnswerBank_v5!$A$2:$AP$311,31,FALSE),0)</f>
        <v/>
      </c>
      <c r="N52">
        <f>IF(OR(F52="",J52=""),"",1-ABS(F52-J52))</f>
        <v/>
      </c>
      <c r="O52">
        <f>IF(OR(G52="",K52="",H52="",L52=""),"",0.60+0.20*((G52+K52)/2)+0.20*((H52+L52)/2))</f>
        <v/>
      </c>
      <c r="P52">
        <f>IF(OR(B52="",N52="",O52=""),"",B52*N52*O52)</f>
        <v/>
      </c>
      <c r="Q52">
        <f>IF(B52="", "", B52*(0.50*G52+0.20*H52+0.20*F52+0.10*(1-I52/25)))</f>
        <v/>
      </c>
      <c r="R52">
        <f>IF(B52="", "", B52*(0.50*K52+0.20*L52+0.20*J52+0.10*(1-M52/25)))</f>
        <v/>
      </c>
      <c r="S52">
        <f>IFERROR(VLOOKUP(D52,AnswerBank_v5!$A$2:$AP$311,29,FALSE),"")</f>
        <v/>
      </c>
      <c r="T52">
        <f>IFERROR(VLOOKUP(E52,AnswerBank_v5!$A$2:$AP$311,29,FALSE),"")</f>
        <v/>
      </c>
    </row>
    <row r="53">
      <c r="A53" t="n">
        <v>44</v>
      </c>
      <c r="B53">
        <f>VLOOKUP(A53,QuestionWeights_v4!$A$2:$C$61,3,FALSE)</f>
        <v/>
      </c>
      <c r="C53">
        <f>IFERROR(VLOOKUP(D53,AnswerBank_v5!$A$2:$AP$311,6,FALSE),"")</f>
        <v/>
      </c>
      <c r="F53">
        <f>IFERROR(VLOOKUP(D53,AnswerBank_v5!$A$2:$AP$311,15,FALSE)/10,"")</f>
        <v/>
      </c>
      <c r="G53">
        <f>IFERROR(VLOOKUP(D53,AnswerBank_v5!$A$2:$AP$311,14,FALSE)/10,"")</f>
        <v/>
      </c>
      <c r="H53">
        <f>IFERROR(VLOOKUP(D53,AnswerBank_v5!$A$2:$AP$311,16,FALSE)/10,"")</f>
        <v/>
      </c>
      <c r="I53">
        <f>IFERROR(VLOOKUP(D53,AnswerBank_v5!$A$2:$AP$311,31,FALSE),0)</f>
        <v/>
      </c>
      <c r="J53">
        <f>IFERROR(VLOOKUP(E53,AnswerBank_v5!$A$2:$AP$311,15,FALSE)/10,"")</f>
        <v/>
      </c>
      <c r="K53">
        <f>IFERROR(VLOOKUP(E53,AnswerBank_v5!$A$2:$AP$311,14,FALSE)/10,"")</f>
        <v/>
      </c>
      <c r="L53">
        <f>IFERROR(VLOOKUP(E53,AnswerBank_v5!$A$2:$AP$311,16,FALSE)/10,"")</f>
        <v/>
      </c>
      <c r="M53">
        <f>IFERROR(VLOOKUP(E53,AnswerBank_v5!$A$2:$AP$311,31,FALSE),0)</f>
        <v/>
      </c>
      <c r="N53">
        <f>IF(OR(F53="",J53=""),"",1-ABS(F53-J53))</f>
        <v/>
      </c>
      <c r="O53">
        <f>IF(OR(G53="",K53="",H53="",L53=""),"",0.60+0.20*((G53+K53)/2)+0.20*((H53+L53)/2))</f>
        <v/>
      </c>
      <c r="P53">
        <f>IF(OR(B53="",N53="",O53=""),"",B53*N53*O53)</f>
        <v/>
      </c>
      <c r="Q53">
        <f>IF(B53="", "", B53*(0.50*G53+0.20*H53+0.20*F53+0.10*(1-I53/25)))</f>
        <v/>
      </c>
      <c r="R53">
        <f>IF(B53="", "", B53*(0.50*K53+0.20*L53+0.20*J53+0.10*(1-M53/25)))</f>
        <v/>
      </c>
      <c r="S53">
        <f>IFERROR(VLOOKUP(D53,AnswerBank_v5!$A$2:$AP$311,29,FALSE),"")</f>
        <v/>
      </c>
      <c r="T53">
        <f>IFERROR(VLOOKUP(E53,AnswerBank_v5!$A$2:$AP$311,29,FALSE),"")</f>
        <v/>
      </c>
    </row>
    <row r="54">
      <c r="A54" t="n">
        <v>45</v>
      </c>
      <c r="B54">
        <f>VLOOKUP(A54,QuestionWeights_v4!$A$2:$C$61,3,FALSE)</f>
        <v/>
      </c>
      <c r="C54">
        <f>IFERROR(VLOOKUP(D54,AnswerBank_v5!$A$2:$AP$311,6,FALSE),"")</f>
        <v/>
      </c>
      <c r="F54">
        <f>IFERROR(VLOOKUP(D54,AnswerBank_v5!$A$2:$AP$311,15,FALSE)/10,"")</f>
        <v/>
      </c>
      <c r="G54">
        <f>IFERROR(VLOOKUP(D54,AnswerBank_v5!$A$2:$AP$311,14,FALSE)/10,"")</f>
        <v/>
      </c>
      <c r="H54">
        <f>IFERROR(VLOOKUP(D54,AnswerBank_v5!$A$2:$AP$311,16,FALSE)/10,"")</f>
        <v/>
      </c>
      <c r="I54">
        <f>IFERROR(VLOOKUP(D54,AnswerBank_v5!$A$2:$AP$311,31,FALSE),0)</f>
        <v/>
      </c>
      <c r="J54">
        <f>IFERROR(VLOOKUP(E54,AnswerBank_v5!$A$2:$AP$311,15,FALSE)/10,"")</f>
        <v/>
      </c>
      <c r="K54">
        <f>IFERROR(VLOOKUP(E54,AnswerBank_v5!$A$2:$AP$311,14,FALSE)/10,"")</f>
        <v/>
      </c>
      <c r="L54">
        <f>IFERROR(VLOOKUP(E54,AnswerBank_v5!$A$2:$AP$311,16,FALSE)/10,"")</f>
        <v/>
      </c>
      <c r="M54">
        <f>IFERROR(VLOOKUP(E54,AnswerBank_v5!$A$2:$AP$311,31,FALSE),0)</f>
        <v/>
      </c>
      <c r="N54">
        <f>IF(OR(F54="",J54=""),"",1-ABS(F54-J54))</f>
        <v/>
      </c>
      <c r="O54">
        <f>IF(OR(G54="",K54="",H54="",L54=""),"",0.60+0.20*((G54+K54)/2)+0.20*((H54+L54)/2))</f>
        <v/>
      </c>
      <c r="P54">
        <f>IF(OR(B54="",N54="",O54=""),"",B54*N54*O54)</f>
        <v/>
      </c>
      <c r="Q54">
        <f>IF(B54="", "", B54*(0.50*G54+0.20*H54+0.20*F54+0.10*(1-I54/25)))</f>
        <v/>
      </c>
      <c r="R54">
        <f>IF(B54="", "", B54*(0.50*K54+0.20*L54+0.20*J54+0.10*(1-M54/25)))</f>
        <v/>
      </c>
      <c r="S54">
        <f>IFERROR(VLOOKUP(D54,AnswerBank_v5!$A$2:$AP$311,29,FALSE),"")</f>
        <v/>
      </c>
      <c r="T54">
        <f>IFERROR(VLOOKUP(E54,AnswerBank_v5!$A$2:$AP$311,29,FALSE),"")</f>
        <v/>
      </c>
    </row>
    <row r="55">
      <c r="A55" t="n">
        <v>46</v>
      </c>
      <c r="B55">
        <f>VLOOKUP(A55,QuestionWeights_v4!$A$2:$C$61,3,FALSE)</f>
        <v/>
      </c>
      <c r="C55">
        <f>IFERROR(VLOOKUP(D55,AnswerBank_v5!$A$2:$AP$311,6,FALSE),"")</f>
        <v/>
      </c>
      <c r="F55">
        <f>IFERROR(VLOOKUP(D55,AnswerBank_v5!$A$2:$AP$311,15,FALSE)/10,"")</f>
        <v/>
      </c>
      <c r="G55">
        <f>IFERROR(VLOOKUP(D55,AnswerBank_v5!$A$2:$AP$311,14,FALSE)/10,"")</f>
        <v/>
      </c>
      <c r="H55">
        <f>IFERROR(VLOOKUP(D55,AnswerBank_v5!$A$2:$AP$311,16,FALSE)/10,"")</f>
        <v/>
      </c>
      <c r="I55">
        <f>IFERROR(VLOOKUP(D55,AnswerBank_v5!$A$2:$AP$311,31,FALSE),0)</f>
        <v/>
      </c>
      <c r="J55">
        <f>IFERROR(VLOOKUP(E55,AnswerBank_v5!$A$2:$AP$311,15,FALSE)/10,"")</f>
        <v/>
      </c>
      <c r="K55">
        <f>IFERROR(VLOOKUP(E55,AnswerBank_v5!$A$2:$AP$311,14,FALSE)/10,"")</f>
        <v/>
      </c>
      <c r="L55">
        <f>IFERROR(VLOOKUP(E55,AnswerBank_v5!$A$2:$AP$311,16,FALSE)/10,"")</f>
        <v/>
      </c>
      <c r="M55">
        <f>IFERROR(VLOOKUP(E55,AnswerBank_v5!$A$2:$AP$311,31,FALSE),0)</f>
        <v/>
      </c>
      <c r="N55">
        <f>IF(OR(F55="",J55=""),"",1-ABS(F55-J55))</f>
        <v/>
      </c>
      <c r="O55">
        <f>IF(OR(G55="",K55="",H55="",L55=""),"",0.60+0.20*((G55+K55)/2)+0.20*((H55+L55)/2))</f>
        <v/>
      </c>
      <c r="P55">
        <f>IF(OR(B55="",N55="",O55=""),"",B55*N55*O55)</f>
        <v/>
      </c>
      <c r="Q55">
        <f>IF(B55="", "", B55*(0.50*G55+0.20*H55+0.20*F55+0.10*(1-I55/25)))</f>
        <v/>
      </c>
      <c r="R55">
        <f>IF(B55="", "", B55*(0.50*K55+0.20*L55+0.20*J55+0.10*(1-M55/25)))</f>
        <v/>
      </c>
      <c r="S55">
        <f>IFERROR(VLOOKUP(D55,AnswerBank_v5!$A$2:$AP$311,29,FALSE),"")</f>
        <v/>
      </c>
      <c r="T55">
        <f>IFERROR(VLOOKUP(E55,AnswerBank_v5!$A$2:$AP$311,29,FALSE),"")</f>
        <v/>
      </c>
    </row>
    <row r="56">
      <c r="A56" t="n">
        <v>47</v>
      </c>
      <c r="B56">
        <f>VLOOKUP(A56,QuestionWeights_v4!$A$2:$C$61,3,FALSE)</f>
        <v/>
      </c>
      <c r="C56">
        <f>IFERROR(VLOOKUP(D56,AnswerBank_v5!$A$2:$AP$311,6,FALSE),"")</f>
        <v/>
      </c>
      <c r="F56">
        <f>IFERROR(VLOOKUP(D56,AnswerBank_v5!$A$2:$AP$311,15,FALSE)/10,"")</f>
        <v/>
      </c>
      <c r="G56">
        <f>IFERROR(VLOOKUP(D56,AnswerBank_v5!$A$2:$AP$311,14,FALSE)/10,"")</f>
        <v/>
      </c>
      <c r="H56">
        <f>IFERROR(VLOOKUP(D56,AnswerBank_v5!$A$2:$AP$311,16,FALSE)/10,"")</f>
        <v/>
      </c>
      <c r="I56">
        <f>IFERROR(VLOOKUP(D56,AnswerBank_v5!$A$2:$AP$311,31,FALSE),0)</f>
        <v/>
      </c>
      <c r="J56">
        <f>IFERROR(VLOOKUP(E56,AnswerBank_v5!$A$2:$AP$311,15,FALSE)/10,"")</f>
        <v/>
      </c>
      <c r="K56">
        <f>IFERROR(VLOOKUP(E56,AnswerBank_v5!$A$2:$AP$311,14,FALSE)/10,"")</f>
        <v/>
      </c>
      <c r="L56">
        <f>IFERROR(VLOOKUP(E56,AnswerBank_v5!$A$2:$AP$311,16,FALSE)/10,"")</f>
        <v/>
      </c>
      <c r="M56">
        <f>IFERROR(VLOOKUP(E56,AnswerBank_v5!$A$2:$AP$311,31,FALSE),0)</f>
        <v/>
      </c>
      <c r="N56">
        <f>IF(OR(F56="",J56=""),"",1-ABS(F56-J56))</f>
        <v/>
      </c>
      <c r="O56">
        <f>IF(OR(G56="",K56="",H56="",L56=""),"",0.60+0.20*((G56+K56)/2)+0.20*((H56+L56)/2))</f>
        <v/>
      </c>
      <c r="P56">
        <f>IF(OR(B56="",N56="",O56=""),"",B56*N56*O56)</f>
        <v/>
      </c>
      <c r="Q56">
        <f>IF(B56="", "", B56*(0.50*G56+0.20*H56+0.20*F56+0.10*(1-I56/25)))</f>
        <v/>
      </c>
      <c r="R56">
        <f>IF(B56="", "", B56*(0.50*K56+0.20*L56+0.20*J56+0.10*(1-M56/25)))</f>
        <v/>
      </c>
      <c r="S56">
        <f>IFERROR(VLOOKUP(D56,AnswerBank_v5!$A$2:$AP$311,29,FALSE),"")</f>
        <v/>
      </c>
      <c r="T56">
        <f>IFERROR(VLOOKUP(E56,AnswerBank_v5!$A$2:$AP$311,29,FALSE),"")</f>
        <v/>
      </c>
    </row>
    <row r="57">
      <c r="A57" t="n">
        <v>48</v>
      </c>
      <c r="B57">
        <f>VLOOKUP(A57,QuestionWeights_v4!$A$2:$C$61,3,FALSE)</f>
        <v/>
      </c>
      <c r="C57">
        <f>IFERROR(VLOOKUP(D57,AnswerBank_v5!$A$2:$AP$311,6,FALSE),"")</f>
        <v/>
      </c>
      <c r="F57">
        <f>IFERROR(VLOOKUP(D57,AnswerBank_v5!$A$2:$AP$311,15,FALSE)/10,"")</f>
        <v/>
      </c>
      <c r="G57">
        <f>IFERROR(VLOOKUP(D57,AnswerBank_v5!$A$2:$AP$311,14,FALSE)/10,"")</f>
        <v/>
      </c>
      <c r="H57">
        <f>IFERROR(VLOOKUP(D57,AnswerBank_v5!$A$2:$AP$311,16,FALSE)/10,"")</f>
        <v/>
      </c>
      <c r="I57">
        <f>IFERROR(VLOOKUP(D57,AnswerBank_v5!$A$2:$AP$311,31,FALSE),0)</f>
        <v/>
      </c>
      <c r="J57">
        <f>IFERROR(VLOOKUP(E57,AnswerBank_v5!$A$2:$AP$311,15,FALSE)/10,"")</f>
        <v/>
      </c>
      <c r="K57">
        <f>IFERROR(VLOOKUP(E57,AnswerBank_v5!$A$2:$AP$311,14,FALSE)/10,"")</f>
        <v/>
      </c>
      <c r="L57">
        <f>IFERROR(VLOOKUP(E57,AnswerBank_v5!$A$2:$AP$311,16,FALSE)/10,"")</f>
        <v/>
      </c>
      <c r="M57">
        <f>IFERROR(VLOOKUP(E57,AnswerBank_v5!$A$2:$AP$311,31,FALSE),0)</f>
        <v/>
      </c>
      <c r="N57">
        <f>IF(OR(F57="",J57=""),"",1-ABS(F57-J57))</f>
        <v/>
      </c>
      <c r="O57">
        <f>IF(OR(G57="",K57="",H57="",L57=""),"",0.60+0.20*((G57+K57)/2)+0.20*((H57+L57)/2))</f>
        <v/>
      </c>
      <c r="P57">
        <f>IF(OR(B57="",N57="",O57=""),"",B57*N57*O57)</f>
        <v/>
      </c>
      <c r="Q57">
        <f>IF(B57="", "", B57*(0.50*G57+0.20*H57+0.20*F57+0.10*(1-I57/25)))</f>
        <v/>
      </c>
      <c r="R57">
        <f>IF(B57="", "", B57*(0.50*K57+0.20*L57+0.20*J57+0.10*(1-M57/25)))</f>
        <v/>
      </c>
      <c r="S57">
        <f>IFERROR(VLOOKUP(D57,AnswerBank_v5!$A$2:$AP$311,29,FALSE),"")</f>
        <v/>
      </c>
      <c r="T57">
        <f>IFERROR(VLOOKUP(E57,AnswerBank_v5!$A$2:$AP$311,29,FALSE),"")</f>
        <v/>
      </c>
    </row>
    <row r="58">
      <c r="A58" t="n">
        <v>49</v>
      </c>
      <c r="B58">
        <f>VLOOKUP(A58,QuestionWeights_v4!$A$2:$C$61,3,FALSE)</f>
        <v/>
      </c>
      <c r="C58">
        <f>IFERROR(VLOOKUP(D58,AnswerBank_v5!$A$2:$AP$311,6,FALSE),"")</f>
        <v/>
      </c>
      <c r="F58">
        <f>IFERROR(VLOOKUP(D58,AnswerBank_v5!$A$2:$AP$311,15,FALSE)/10,"")</f>
        <v/>
      </c>
      <c r="G58">
        <f>IFERROR(VLOOKUP(D58,AnswerBank_v5!$A$2:$AP$311,14,FALSE)/10,"")</f>
        <v/>
      </c>
      <c r="H58">
        <f>IFERROR(VLOOKUP(D58,AnswerBank_v5!$A$2:$AP$311,16,FALSE)/10,"")</f>
        <v/>
      </c>
      <c r="I58">
        <f>IFERROR(VLOOKUP(D58,AnswerBank_v5!$A$2:$AP$311,31,FALSE),0)</f>
        <v/>
      </c>
      <c r="J58">
        <f>IFERROR(VLOOKUP(E58,AnswerBank_v5!$A$2:$AP$311,15,FALSE)/10,"")</f>
        <v/>
      </c>
      <c r="K58">
        <f>IFERROR(VLOOKUP(E58,AnswerBank_v5!$A$2:$AP$311,14,FALSE)/10,"")</f>
        <v/>
      </c>
      <c r="L58">
        <f>IFERROR(VLOOKUP(E58,AnswerBank_v5!$A$2:$AP$311,16,FALSE)/10,"")</f>
        <v/>
      </c>
      <c r="M58">
        <f>IFERROR(VLOOKUP(E58,AnswerBank_v5!$A$2:$AP$311,31,FALSE),0)</f>
        <v/>
      </c>
      <c r="N58">
        <f>IF(OR(F58="",J58=""),"",1-ABS(F58-J58))</f>
        <v/>
      </c>
      <c r="O58">
        <f>IF(OR(G58="",K58="",H58="",L58=""),"",0.60+0.20*((G58+K58)/2)+0.20*((H58+L58)/2))</f>
        <v/>
      </c>
      <c r="P58">
        <f>IF(OR(B58="",N58="",O58=""),"",B58*N58*O58)</f>
        <v/>
      </c>
      <c r="Q58">
        <f>IF(B58="", "", B58*(0.50*G58+0.20*H58+0.20*F58+0.10*(1-I58/25)))</f>
        <v/>
      </c>
      <c r="R58">
        <f>IF(B58="", "", B58*(0.50*K58+0.20*L58+0.20*J58+0.10*(1-M58/25)))</f>
        <v/>
      </c>
      <c r="S58">
        <f>IFERROR(VLOOKUP(D58,AnswerBank_v5!$A$2:$AP$311,29,FALSE),"")</f>
        <v/>
      </c>
      <c r="T58">
        <f>IFERROR(VLOOKUP(E58,AnswerBank_v5!$A$2:$AP$311,29,FALSE),"")</f>
        <v/>
      </c>
    </row>
    <row r="59">
      <c r="A59" t="n">
        <v>50</v>
      </c>
      <c r="B59">
        <f>VLOOKUP(A59,QuestionWeights_v4!$A$2:$C$61,3,FALSE)</f>
        <v/>
      </c>
      <c r="C59">
        <f>IFERROR(VLOOKUP(D59,AnswerBank_v5!$A$2:$AP$311,6,FALSE),"")</f>
        <v/>
      </c>
      <c r="F59">
        <f>IFERROR(VLOOKUP(D59,AnswerBank_v5!$A$2:$AP$311,15,FALSE)/10,"")</f>
        <v/>
      </c>
      <c r="G59">
        <f>IFERROR(VLOOKUP(D59,AnswerBank_v5!$A$2:$AP$311,14,FALSE)/10,"")</f>
        <v/>
      </c>
      <c r="H59">
        <f>IFERROR(VLOOKUP(D59,AnswerBank_v5!$A$2:$AP$311,16,FALSE)/10,"")</f>
        <v/>
      </c>
      <c r="I59">
        <f>IFERROR(VLOOKUP(D59,AnswerBank_v5!$A$2:$AP$311,31,FALSE),0)</f>
        <v/>
      </c>
      <c r="J59">
        <f>IFERROR(VLOOKUP(E59,AnswerBank_v5!$A$2:$AP$311,15,FALSE)/10,"")</f>
        <v/>
      </c>
      <c r="K59">
        <f>IFERROR(VLOOKUP(E59,AnswerBank_v5!$A$2:$AP$311,14,FALSE)/10,"")</f>
        <v/>
      </c>
      <c r="L59">
        <f>IFERROR(VLOOKUP(E59,AnswerBank_v5!$A$2:$AP$311,16,FALSE)/10,"")</f>
        <v/>
      </c>
      <c r="M59">
        <f>IFERROR(VLOOKUP(E59,AnswerBank_v5!$A$2:$AP$311,31,FALSE),0)</f>
        <v/>
      </c>
      <c r="N59">
        <f>IF(OR(F59="",J59=""),"",1-ABS(F59-J59))</f>
        <v/>
      </c>
      <c r="O59">
        <f>IF(OR(G59="",K59="",H59="",L59=""),"",0.60+0.20*((G59+K59)/2)+0.20*((H59+L59)/2))</f>
        <v/>
      </c>
      <c r="P59">
        <f>IF(OR(B59="",N59="",O59=""),"",B59*N59*O59)</f>
        <v/>
      </c>
      <c r="Q59">
        <f>IF(B59="", "", B59*(0.50*G59+0.20*H59+0.20*F59+0.10*(1-I59/25)))</f>
        <v/>
      </c>
      <c r="R59">
        <f>IF(B59="", "", B59*(0.50*K59+0.20*L59+0.20*J59+0.10*(1-M59/25)))</f>
        <v/>
      </c>
      <c r="S59">
        <f>IFERROR(VLOOKUP(D59,AnswerBank_v5!$A$2:$AP$311,29,FALSE),"")</f>
        <v/>
      </c>
      <c r="T59">
        <f>IFERROR(VLOOKUP(E59,AnswerBank_v5!$A$2:$AP$311,29,FALSE),"")</f>
        <v/>
      </c>
    </row>
    <row r="60"/>
    <row r="61">
      <c r="A61" s="4" t="inlineStr">
        <is>
          <t>Summary</t>
        </is>
      </c>
    </row>
    <row r="62">
      <c r="A62" t="inlineStr">
        <is>
          <t>TotalWeight</t>
        </is>
      </c>
      <c r="B62">
        <f>SUM(B10:B59)</f>
        <v/>
      </c>
    </row>
    <row r="63">
      <c r="A63" t="inlineStr">
        <is>
          <t>BehaviorCore (0..1)</t>
        </is>
      </c>
      <c r="B63">
        <f>0.22*B70+0.20*B71+0.20*B72+0.14*B73+0.12*B74+0.12*B75</f>
        <v/>
      </c>
    </row>
    <row r="64">
      <c r="A64" t="inlineStr">
        <is>
          <t>Readiness_A (0..100)</t>
        </is>
      </c>
      <c r="B64">
        <f>100*SUM(Q10:Q59)/SUM(B10:B59)</f>
        <v/>
      </c>
    </row>
    <row r="65">
      <c r="A65" t="inlineStr">
        <is>
          <t>Readiness_B (0..100)</t>
        </is>
      </c>
      <c r="B65">
        <f>100*SUM(R10:R59)/SUM(B10:B59)</f>
        <v/>
      </c>
    </row>
    <row r="66">
      <c r="A66" t="inlineStr">
        <is>
          <t>ClusterPenaltySum_A</t>
        </is>
      </c>
      <c r="B66">
        <f>SUM(I10:I59)</f>
        <v/>
      </c>
    </row>
    <row r="67">
      <c r="A67" t="inlineStr">
        <is>
          <t>ClusterPenaltySum_B</t>
        </is>
      </c>
      <c r="B67">
        <f>SUM(M10:M59)</f>
        <v/>
      </c>
    </row>
    <row r="68"/>
    <row r="69">
      <c r="A69" s="4" t="inlineStr">
        <is>
          <t>Dimension</t>
        </is>
      </c>
      <c r="B69" s="4" t="inlineStr">
        <is>
          <t>Score (0..1)</t>
        </is>
      </c>
    </row>
    <row r="70">
      <c r="A70" s="4" t="inlineStr">
        <is>
          <t>CommunicationHealth</t>
        </is>
      </c>
      <c r="B70">
        <f>IFERROR(SUMIF($C$10:$C$59,A70,$P$10:$P$59)/SUMIF($C$10:$C$59,A70,$B$10:$B$59),0)</f>
        <v/>
      </c>
    </row>
    <row r="71">
      <c r="A71" s="6" t="inlineStr">
        <is>
          <t>ConflictRepair</t>
        </is>
      </c>
      <c r="B71" s="6">
        <f>IFERROR(SUMIF($C$10:$C$59,A71,$P$10:$P$59)/SUMIF($C$10:$C$59,A71,$B$10:$B$59),0)</f>
        <v/>
      </c>
      <c r="C71" s="6" t="inlineStr">
        <is>
          <t>answer_id_B</t>
        </is>
      </c>
      <c r="D71" s="6" t="inlineStr">
        <is>
          <t>shadowRiskA</t>
        </is>
      </c>
      <c r="E71" s="6" t="inlineStr">
        <is>
          <t>integrityA</t>
        </is>
      </c>
      <c r="F71" s="6" t="inlineStr">
        <is>
          <t>shadowTypeA</t>
        </is>
      </c>
      <c r="G71" s="6" t="inlineStr">
        <is>
          <t>shadowRiskB</t>
        </is>
      </c>
      <c r="H71" s="6" t="inlineStr">
        <is>
          <t>integrityB</t>
        </is>
      </c>
      <c r="I71" s="6" t="inlineStr">
        <is>
          <t>shadowTypeB</t>
        </is>
      </c>
    </row>
    <row r="72">
      <c r="A72" t="inlineStr">
        <is>
          <t>EmotionalRegulation</t>
        </is>
      </c>
      <c r="B72">
        <f>IFERROR(SUMIF($C$10:$C$59,A72,$P$10:$P$59)/SUMIF($C$10:$C$59,A72,$B$10:$B$59),0)</f>
        <v/>
      </c>
      <c r="D72">
        <f>IFERROR(VLOOKUP(B72,AnswerBank_v5!$A$2:$AP$311,21,FALSE)/10,0)</f>
        <v/>
      </c>
      <c r="E72">
        <f>IFERROR(VLOOKUP(B72,AnswerBank_v5!$A$2:$AP$311,36,FALSE),"")</f>
        <v/>
      </c>
      <c r="F72">
        <f>IFERROR(VLOOKUP(B72,AnswerBank_v5!$A$2:$AP$311,19,FALSE),"")</f>
        <v/>
      </c>
      <c r="G72">
        <f>IFERROR(VLOOKUP(C72,AnswerBank_v5!$A$2:$AP$311,21,FALSE)/10,0)</f>
        <v/>
      </c>
      <c r="H72">
        <f>IFERROR(VLOOKUP(C72,AnswerBank_v5!$A$2:$AP$311,36,FALSE),"")</f>
        <v/>
      </c>
      <c r="I72">
        <f>IFERROR(VLOOKUP(C72,AnswerBank_v5!$A$2:$AP$311,19,FALSE),"")</f>
        <v/>
      </c>
    </row>
    <row r="73">
      <c r="A73" t="inlineStr">
        <is>
          <t>ValuesLifestyle</t>
        </is>
      </c>
      <c r="B73">
        <f>IFERROR(SUMIF($C$10:$C$59,A73,$P$10:$P$59)/SUMIF($C$10:$C$59,A73,$B$10:$B$59),0)</f>
        <v/>
      </c>
      <c r="D73">
        <f>IFERROR(VLOOKUP(B73,AnswerBank_v5!$A$2:$AP$311,21,FALSE)/10,0)</f>
        <v/>
      </c>
      <c r="E73">
        <f>IFERROR(VLOOKUP(B73,AnswerBank_v5!$A$2:$AP$311,36,FALSE),"")</f>
        <v/>
      </c>
      <c r="F73">
        <f>IFERROR(VLOOKUP(B73,AnswerBank_v5!$A$2:$AP$311,19,FALSE),"")</f>
        <v/>
      </c>
      <c r="G73">
        <f>IFERROR(VLOOKUP(C73,AnswerBank_v5!$A$2:$AP$311,21,FALSE)/10,0)</f>
        <v/>
      </c>
      <c r="H73">
        <f>IFERROR(VLOOKUP(C73,AnswerBank_v5!$A$2:$AP$311,36,FALSE),"")</f>
        <v/>
      </c>
      <c r="I73">
        <f>IFERROR(VLOOKUP(C73,AnswerBank_v5!$A$2:$AP$311,19,FALSE),"")</f>
        <v/>
      </c>
    </row>
    <row r="74">
      <c r="A74" t="inlineStr">
        <is>
          <t>CommitmentPace</t>
        </is>
      </c>
      <c r="B74">
        <f>IFERROR(SUMIF($C$10:$C$59,A74,$P$10:$P$59)/SUMIF($C$10:$C$59,A74,$B$10:$B$59),0)</f>
        <v/>
      </c>
      <c r="D74">
        <f>IFERROR(VLOOKUP(B74,AnswerBank_v5!$A$2:$AP$311,21,FALSE)/10,0)</f>
        <v/>
      </c>
      <c r="E74">
        <f>IFERROR(VLOOKUP(B74,AnswerBank_v5!$A$2:$AP$311,36,FALSE),"")</f>
        <v/>
      </c>
      <c r="F74">
        <f>IFERROR(VLOOKUP(B74,AnswerBank_v5!$A$2:$AP$311,19,FALSE),"")</f>
        <v/>
      </c>
      <c r="G74">
        <f>IFERROR(VLOOKUP(C74,AnswerBank_v5!$A$2:$AP$311,21,FALSE)/10,0)</f>
        <v/>
      </c>
      <c r="H74">
        <f>IFERROR(VLOOKUP(C74,AnswerBank_v5!$A$2:$AP$311,36,FALSE),"")</f>
        <v/>
      </c>
      <c r="I74">
        <f>IFERROR(VLOOKUP(C74,AnswerBank_v5!$A$2:$AP$311,19,FALSE),"")</f>
        <v/>
      </c>
    </row>
    <row r="75">
      <c r="A75" t="inlineStr">
        <is>
          <t>EmotionalNeeds</t>
        </is>
      </c>
      <c r="B75">
        <f>IFERROR(SUMIF($C$10:$C$59,A75,$P$10:$P$59)/SUMIF($C$10:$C$59,A75,$B$10:$B$59),0)</f>
        <v/>
      </c>
      <c r="D75">
        <f>IFERROR(VLOOKUP(B75,AnswerBank_v5!$A$2:$AP$311,21,FALSE)/10,0)</f>
        <v/>
      </c>
      <c r="E75">
        <f>IFERROR(VLOOKUP(B75,AnswerBank_v5!$A$2:$AP$311,36,FALSE),"")</f>
        <v/>
      </c>
      <c r="F75">
        <f>IFERROR(VLOOKUP(B75,AnswerBank_v5!$A$2:$AP$311,19,FALSE),"")</f>
        <v/>
      </c>
      <c r="G75">
        <f>IFERROR(VLOOKUP(C75,AnswerBank_v5!$A$2:$AP$311,21,FALSE)/10,0)</f>
        <v/>
      </c>
      <c r="H75">
        <f>IFERROR(VLOOKUP(C75,AnswerBank_v5!$A$2:$AP$311,36,FALSE),"")</f>
        <v/>
      </c>
      <c r="I75">
        <f>IFERROR(VLOOKUP(C75,AnswerBank_v5!$A$2:$AP$311,19,FALSE),"")</f>
        <v/>
      </c>
    </row>
    <row r="76">
      <c r="A76" t="n">
        <v>55</v>
      </c>
      <c r="D76">
        <f>IFERROR(VLOOKUP(B76,AnswerBank_v5!$A$2:$AP$311,21,FALSE)/10,0)</f>
        <v/>
      </c>
      <c r="E76">
        <f>IFERROR(VLOOKUP(B76,AnswerBank_v5!$A$2:$AP$311,36,FALSE),"")</f>
        <v/>
      </c>
      <c r="F76">
        <f>IFERROR(VLOOKUP(B76,AnswerBank_v5!$A$2:$AP$311,19,FALSE),"")</f>
        <v/>
      </c>
      <c r="G76">
        <f>IFERROR(VLOOKUP(C76,AnswerBank_v5!$A$2:$AP$311,21,FALSE)/10,0)</f>
        <v/>
      </c>
      <c r="H76">
        <f>IFERROR(VLOOKUP(C76,AnswerBank_v5!$A$2:$AP$311,36,FALSE),"")</f>
        <v/>
      </c>
      <c r="I76">
        <f>IFERROR(VLOOKUP(C76,AnswerBank_v5!$A$2:$AP$311,19,FALSE),"")</f>
        <v/>
      </c>
    </row>
    <row r="77">
      <c r="A77" t="n">
        <v>56</v>
      </c>
      <c r="D77">
        <f>IFERROR(VLOOKUP(B77,AnswerBank_v5!$A$2:$AP$311,21,FALSE)/10,0)</f>
        <v/>
      </c>
      <c r="E77">
        <f>IFERROR(VLOOKUP(B77,AnswerBank_v5!$A$2:$AP$311,36,FALSE),"")</f>
        <v/>
      </c>
      <c r="F77">
        <f>IFERROR(VLOOKUP(B77,AnswerBank_v5!$A$2:$AP$311,19,FALSE),"")</f>
        <v/>
      </c>
      <c r="G77">
        <f>IFERROR(VLOOKUP(C77,AnswerBank_v5!$A$2:$AP$311,21,FALSE)/10,0)</f>
        <v/>
      </c>
      <c r="H77">
        <f>IFERROR(VLOOKUP(C77,AnswerBank_v5!$A$2:$AP$311,36,FALSE),"")</f>
        <v/>
      </c>
      <c r="I77">
        <f>IFERROR(VLOOKUP(C77,AnswerBank_v5!$A$2:$AP$311,19,FALSE),"")</f>
        <v/>
      </c>
    </row>
    <row r="78">
      <c r="A78" t="n">
        <v>57</v>
      </c>
      <c r="D78">
        <f>IFERROR(VLOOKUP(B78,AnswerBank_v5!$A$2:$AP$311,21,FALSE)/10,0)</f>
        <v/>
      </c>
      <c r="E78">
        <f>IFERROR(VLOOKUP(B78,AnswerBank_v5!$A$2:$AP$311,36,FALSE),"")</f>
        <v/>
      </c>
      <c r="F78">
        <f>IFERROR(VLOOKUP(B78,AnswerBank_v5!$A$2:$AP$311,19,FALSE),"")</f>
        <v/>
      </c>
      <c r="G78">
        <f>IFERROR(VLOOKUP(C78,AnswerBank_v5!$A$2:$AP$311,21,FALSE)/10,0)</f>
        <v/>
      </c>
      <c r="H78">
        <f>IFERROR(VLOOKUP(C78,AnswerBank_v5!$A$2:$AP$311,36,FALSE),"")</f>
        <v/>
      </c>
      <c r="I78">
        <f>IFERROR(VLOOKUP(C78,AnswerBank_v5!$A$2:$AP$311,19,FALSE),"")</f>
        <v/>
      </c>
    </row>
    <row r="79">
      <c r="A79" t="n">
        <v>58</v>
      </c>
      <c r="D79">
        <f>IFERROR(VLOOKUP(B79,AnswerBank_v5!$A$2:$AP$311,21,FALSE)/10,0)</f>
        <v/>
      </c>
      <c r="E79">
        <f>IFERROR(VLOOKUP(B79,AnswerBank_v5!$A$2:$AP$311,36,FALSE),"")</f>
        <v/>
      </c>
      <c r="F79">
        <f>IFERROR(VLOOKUP(B79,AnswerBank_v5!$A$2:$AP$311,19,FALSE),"")</f>
        <v/>
      </c>
      <c r="G79">
        <f>IFERROR(VLOOKUP(C79,AnswerBank_v5!$A$2:$AP$311,21,FALSE)/10,0)</f>
        <v/>
      </c>
      <c r="H79">
        <f>IFERROR(VLOOKUP(C79,AnswerBank_v5!$A$2:$AP$311,36,FALSE),"")</f>
        <v/>
      </c>
      <c r="I79">
        <f>IFERROR(VLOOKUP(C79,AnswerBank_v5!$A$2:$AP$311,19,FALSE),"")</f>
        <v/>
      </c>
    </row>
    <row r="80">
      <c r="A80" t="n">
        <v>59</v>
      </c>
      <c r="D80">
        <f>IFERROR(VLOOKUP(B80,AnswerBank_v5!$A$2:$AP$311,21,FALSE)/10,0)</f>
        <v/>
      </c>
      <c r="E80">
        <f>IFERROR(VLOOKUP(B80,AnswerBank_v5!$A$2:$AP$311,36,FALSE),"")</f>
        <v/>
      </c>
      <c r="F80">
        <f>IFERROR(VLOOKUP(B80,AnswerBank_v5!$A$2:$AP$311,19,FALSE),"")</f>
        <v/>
      </c>
      <c r="G80">
        <f>IFERROR(VLOOKUP(C80,AnswerBank_v5!$A$2:$AP$311,21,FALSE)/10,0)</f>
        <v/>
      </c>
      <c r="H80">
        <f>IFERROR(VLOOKUP(C80,AnswerBank_v5!$A$2:$AP$311,36,FALSE),"")</f>
        <v/>
      </c>
      <c r="I80">
        <f>IFERROR(VLOOKUP(C80,AnswerBank_v5!$A$2:$AP$311,19,FALSE),"")</f>
        <v/>
      </c>
    </row>
    <row r="81">
      <c r="A81" t="n">
        <v>60</v>
      </c>
      <c r="D81">
        <f>IFERROR(VLOOKUP(B81,AnswerBank_v5!$A$2:$AP$311,21,FALSE)/10,0)</f>
        <v/>
      </c>
      <c r="E81">
        <f>IFERROR(VLOOKUP(B81,AnswerBank_v5!$A$2:$AP$311,36,FALSE),"")</f>
        <v/>
      </c>
      <c r="F81">
        <f>IFERROR(VLOOKUP(B81,AnswerBank_v5!$A$2:$AP$311,19,FALSE),"")</f>
        <v/>
      </c>
      <c r="G81">
        <f>IFERROR(VLOOKUP(C81,AnswerBank_v5!$A$2:$AP$311,21,FALSE)/10,0)</f>
        <v/>
      </c>
      <c r="H81">
        <f>IFERROR(VLOOKUP(C81,AnswerBank_v5!$A$2:$AP$311,36,FALSE),"")</f>
        <v/>
      </c>
      <c r="I81">
        <f>IFERROR(VLOOKUP(C81,AnswerBank_v5!$A$2:$AP$311,19,FALSE),"")</f>
        <v/>
      </c>
    </row>
    <row r="82"/>
    <row r="83">
      <c r="A83" t="inlineStr">
        <is>
          <t>ShadowIntensity_A</t>
        </is>
      </c>
      <c r="B83">
        <f>AVERAGE(D72:D81)</f>
        <v/>
      </c>
    </row>
    <row r="84">
      <c r="A84" t="inlineStr">
        <is>
          <t>ShadowIntensity_B</t>
        </is>
      </c>
      <c r="B84">
        <f>AVERAGE(G72:G81)</f>
        <v/>
      </c>
    </row>
    <row r="85">
      <c r="A85" t="inlineStr">
        <is>
          <t>IntegrityFlags_A</t>
        </is>
      </c>
      <c r="B85">
        <f>COUNTIF(E72:E81,"yes")</f>
        <v/>
      </c>
    </row>
    <row r="86">
      <c r="A86" t="inlineStr">
        <is>
          <t>IntegrityFlags_B</t>
        </is>
      </c>
      <c r="B86">
        <f>COUNTIF(H72:H81,"yes")</f>
        <v/>
      </c>
    </row>
    <row r="87">
      <c r="A87" t="inlineStr">
        <is>
          <t>PrimaryShadow_A</t>
        </is>
      </c>
      <c r="B87">
        <f>INDEX(F72:F81,MATCH(MAX(D72:D81),D72:D81,0))</f>
        <v/>
      </c>
    </row>
    <row r="88">
      <c r="A88" t="inlineStr">
        <is>
          <t>PrimaryShadow_B</t>
        </is>
      </c>
      <c r="B88">
        <f>INDEX(I72:I81,MATCH(MAX(G72:G81),G72:G81,0))</f>
        <v/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Scores v4 (deterministic prior, using all matrices)</t>
        </is>
      </c>
    </row>
    <row r="3">
      <c r="A3" t="inlineStr">
        <is>
          <t>Pull from TestHarness_v4</t>
        </is>
      </c>
      <c r="D3" t="inlineStr">
        <is>
          <t>Manual selections (use dropdowns in Excel)</t>
        </is>
      </c>
    </row>
    <row r="4">
      <c r="A4" s="4" t="inlineStr">
        <is>
          <t>BehaviorCore</t>
        </is>
      </c>
      <c r="B4">
        <f>TestHarness_v4!B63</f>
        <v/>
      </c>
      <c r="D4" s="4" t="inlineStr">
        <is>
          <t>PrimaryArchetype_A</t>
        </is>
      </c>
      <c r="E4" t="inlineStr">
        <is>
          <t>REGULATED</t>
        </is>
      </c>
    </row>
    <row r="5">
      <c r="A5" s="4" t="inlineStr">
        <is>
          <t>ClusterPenaltySum_A</t>
        </is>
      </c>
      <c r="B5">
        <f>TestHarness_v4!B66</f>
        <v/>
      </c>
      <c r="D5" s="4" t="inlineStr">
        <is>
          <t>SecondaryArchetype_A</t>
        </is>
      </c>
      <c r="E5" t="inlineStr">
        <is>
          <t>TRANSLATOR</t>
        </is>
      </c>
    </row>
    <row r="6">
      <c r="A6" s="4" t="inlineStr">
        <is>
          <t>ClusterPenaltySum_B</t>
        </is>
      </c>
      <c r="B6">
        <f>TestHarness_v4!B67</f>
        <v/>
      </c>
      <c r="D6" s="4" t="inlineStr">
        <is>
          <t>PrimaryArchetype_B</t>
        </is>
      </c>
      <c r="E6" t="inlineStr">
        <is>
          <t>REGULATED</t>
        </is>
      </c>
    </row>
    <row r="7">
      <c r="A7" s="4" t="inlineStr">
        <is>
          <t>ShadowIntensity_A</t>
        </is>
      </c>
      <c r="B7">
        <f>TestHarness_v4!B83</f>
        <v/>
      </c>
      <c r="D7" s="4" t="inlineStr">
        <is>
          <t>SecondaryArchetype_B</t>
        </is>
      </c>
      <c r="E7" t="inlineStr">
        <is>
          <t>ANALYZER</t>
        </is>
      </c>
    </row>
    <row r="8">
      <c r="A8" s="4" t="inlineStr">
        <is>
          <t>ShadowIntensity_B</t>
        </is>
      </c>
      <c r="B8">
        <f>TestHarness_v4!B84</f>
        <v/>
      </c>
      <c r="D8" s="4" t="n"/>
    </row>
    <row r="9">
      <c r="A9" s="4" t="inlineStr">
        <is>
          <t>IntegrityFlags_A</t>
        </is>
      </c>
      <c r="B9">
        <f>TestHarness_v4!B85</f>
        <v/>
      </c>
      <c r="D9" s="4" t="inlineStr">
        <is>
          <t>CommStyle_A</t>
        </is>
      </c>
      <c r="E9" t="inlineStr">
        <is>
          <t>COMM_Direct</t>
        </is>
      </c>
    </row>
    <row r="10">
      <c r="A10" s="4" t="inlineStr">
        <is>
          <t>IntegrityFlags_B</t>
        </is>
      </c>
      <c r="B10">
        <f>TestHarness_v4!B86</f>
        <v/>
      </c>
      <c r="D10" s="4" t="inlineStr">
        <is>
          <t>CommStyle_B</t>
        </is>
      </c>
      <c r="E10" t="inlineStr">
        <is>
          <t>COMM_Emotional</t>
        </is>
      </c>
    </row>
    <row r="11">
      <c r="A11" s="4" t="inlineStr">
        <is>
          <t>PrimaryShadow_A</t>
        </is>
      </c>
      <c r="B11">
        <f>TestHarness_v4!B87</f>
        <v/>
      </c>
      <c r="D11" s="4" t="inlineStr">
        <is>
          <t>RegStyle_A</t>
        </is>
      </c>
      <c r="E11" t="inlineStr">
        <is>
          <t>REG_CoRegulator</t>
        </is>
      </c>
    </row>
    <row r="12">
      <c r="A12" s="4" t="inlineStr">
        <is>
          <t>PrimaryShadow_B</t>
        </is>
      </c>
      <c r="B12">
        <f>TestHarness_v4!B88</f>
        <v/>
      </c>
      <c r="D12" s="4" t="inlineStr">
        <is>
          <t>RegStyle_B</t>
        </is>
      </c>
      <c r="E12" t="inlineStr">
        <is>
          <t>REG_SelfSoother</t>
        </is>
      </c>
    </row>
    <row r="13">
      <c r="D13" s="4" t="inlineStr">
        <is>
          <t>LoveLang_A</t>
        </is>
      </c>
      <c r="E13" t="inlineStr">
        <is>
          <t>LL_Words</t>
        </is>
      </c>
    </row>
    <row r="14">
      <c r="A14" s="4" t="inlineStr">
        <is>
          <t>CommHealth</t>
        </is>
      </c>
      <c r="B14">
        <f>TestHarness_v4!B70</f>
        <v/>
      </c>
      <c r="D14" s="4" t="inlineStr">
        <is>
          <t>LoveLang_B</t>
        </is>
      </c>
      <c r="E14" t="inlineStr">
        <is>
          <t>LL_Touch</t>
        </is>
      </c>
    </row>
    <row r="15">
      <c r="A15" s="4" t="inlineStr">
        <is>
          <t>ConflictRepair</t>
        </is>
      </c>
      <c r="B15">
        <f>TestHarness_v4!B71</f>
        <v/>
      </c>
    </row>
    <row r="16">
      <c r="A16" s="4" t="inlineStr">
        <is>
          <t>EmotionalReg</t>
        </is>
      </c>
      <c r="B16">
        <f>TestHarness_v4!B72</f>
        <v/>
      </c>
      <c r="D16" s="4" t="inlineStr">
        <is>
          <t>CommConflictNorm</t>
        </is>
      </c>
      <c r="E16">
        <f>IF(E9&lt;E10,E9&amp;"+" &amp;E10,E10&amp;"+" &amp;E9)</f>
        <v/>
      </c>
      <c r="F16">
        <f>IFERROR((VLOOKUP(E16,CommLookup_v4!$A$2:$B$16,2,FALSE)-2)/7,0.5)</f>
        <v/>
      </c>
    </row>
    <row r="17">
      <c r="A17" s="4" t="inlineStr">
        <is>
          <t>CommitmentPace</t>
        </is>
      </c>
      <c r="B17">
        <f>TestHarness_v4!B74</f>
        <v/>
      </c>
      <c r="D17" s="4" t="inlineStr">
        <is>
          <t>RegulationNorm</t>
        </is>
      </c>
      <c r="E17">
        <f>IF(E11&lt;E12,E11&amp;"+" &amp;E12,E12&amp;"+" &amp;E11)</f>
        <v/>
      </c>
      <c r="F17">
        <f>IFERROR((VLOOKUP(E17,RegLookup_v4!$A$2:$B$11,2,FALSE)-3)/7,0.5)</f>
        <v/>
      </c>
    </row>
    <row r="18">
      <c r="D18" s="4" t="inlineStr">
        <is>
          <t>LoveNorm</t>
        </is>
      </c>
      <c r="E18">
        <f>IF(E13&lt;E14,E13&amp;"+" &amp;E14,E14&amp;"+" &amp;E13)</f>
        <v/>
      </c>
      <c r="F18">
        <f>IFERROR((VLOOKUP(E18,LoveLookup_v4!$A$2:$B$16,2,FALSE)-5)/5,0.6)</f>
        <v/>
      </c>
    </row>
    <row r="19">
      <c r="D19" s="4" t="n"/>
    </row>
    <row r="20">
      <c r="D20" s="4" t="inlineStr">
        <is>
          <t>PP</t>
        </is>
      </c>
      <c r="E20">
        <f>IFERROR(VLOOKUP(E4&amp;"|"&amp;E6,ArchetypeLookup_v4!$A$2:$B$101,2,FALSE),7)</f>
        <v/>
      </c>
    </row>
    <row r="21">
      <c r="D21" s="4" t="inlineStr">
        <is>
          <t>PS</t>
        </is>
      </c>
      <c r="E21">
        <f>IFERROR(VLOOKUP(E4&amp;"|"&amp;E7,ArchetypeLookup_v4!$A$2:$B$101,2,FALSE),7)</f>
        <v/>
      </c>
    </row>
    <row r="22">
      <c r="D22" s="4" t="inlineStr">
        <is>
          <t>SP</t>
        </is>
      </c>
      <c r="E22">
        <f>IFERROR(VLOOKUP(E5&amp;"|"&amp;E6,ArchetypeLookup_v4!$A$2:$B$101,2,FALSE),7)</f>
        <v/>
      </c>
    </row>
    <row r="23">
      <c r="D23" s="4" t="inlineStr">
        <is>
          <t>SS</t>
        </is>
      </c>
      <c r="E23">
        <f>IFERROR(VLOOKUP(E5&amp;"|"&amp;E7,ArchetypeLookup_v4!$A$2:$B$101,2,FALSE),7)</f>
        <v/>
      </c>
    </row>
    <row r="24">
      <c r="D24" s="4" t="inlineStr">
        <is>
          <t>A (0..1)</t>
        </is>
      </c>
      <c r="E24">
        <f>((0.50*E20+0.20*E21+0.20*E22+0.10*E23)-2)/7</f>
        <v/>
      </c>
    </row>
    <row r="26">
      <c r="D26" s="4" t="inlineStr">
        <is>
          <t>ShadowKey</t>
        </is>
      </c>
      <c r="E26">
        <f>UPPER(SUBSTITUTE(SUBSTITUTE(B11," ",""),"-",""))</f>
        <v/>
      </c>
      <c r="F26">
        <f>UPPER(SUBSTITUTE(SUBSTITUTE(B12," ",""),"-",""))</f>
        <v/>
      </c>
      <c r="G26">
        <f>IF(E26&lt;F26,E26&amp;"_"&amp;F26,F26&amp;"_"&amp;E26)</f>
        <v/>
      </c>
    </row>
    <row r="27">
      <c r="D27" s="4" t="inlineStr">
        <is>
          <t>ShadowScore</t>
        </is>
      </c>
      <c r="E27">
        <f>IFERROR(VLOOKUP(G26,ShadowLookup_v4!$A$2:$B$37,2,FALSE),3)</f>
        <v/>
      </c>
    </row>
    <row r="28">
      <c r="D28" s="4" t="inlineStr">
        <is>
          <t>S_risk</t>
        </is>
      </c>
      <c r="E28">
        <f>MIN(1,MAX(0,((E27-2)/4)*(0.70+0.15*B7+0.15*B8)))</f>
        <v/>
      </c>
    </row>
    <row r="30">
      <c r="D30" s="4" t="inlineStr">
        <is>
          <t>AstroKey</t>
        </is>
      </c>
      <c r="E30">
        <f>VLOOKUP(TestHarness_v4!B5,AstroSignMap_v4!$A$2:$B$13,2,FALSE)&amp;"_"&amp;TestHarness_v4!B4&amp;"+" &amp; VLOOKUP(TestHarness_v4!G5,AstroSignMap_v4!$A$2:$B$13,2,FALSE)&amp;"_"&amp;TestHarness_v4!G4</f>
        <v/>
      </c>
    </row>
    <row r="31">
      <c r="D31" s="4" t="inlineStr">
        <is>
          <t>Astro</t>
        </is>
      </c>
      <c r="E31">
        <f>IFERROR((VLOOKUP(E30,AstrologyLookup_v4!$A$2:$B$577,2,FALSE)-4)/4,0.5)</f>
        <v/>
      </c>
    </row>
    <row r="32">
      <c r="D32" s="4" t="inlineStr">
        <is>
          <t>NumKey</t>
        </is>
      </c>
      <c r="E32">
        <f>IF(TestHarness_v4!B6&lt;TestHarness_v4!G6,TestHarness_v4!B6&amp;"+" &amp;TestHarness_v4!G6,TestHarness_v4!G6&amp;"+" &amp;TestHarness_v4!B6)</f>
        <v/>
      </c>
    </row>
    <row r="33">
      <c r="D33" s="4" t="inlineStr">
        <is>
          <t>Num</t>
        </is>
      </c>
      <c r="E33">
        <f>IFERROR((VLOOKUP(E32,NumerologyLookup_v4!$A$2:$B$67,2,FALSE)-3)/7,0.5)</f>
        <v/>
      </c>
    </row>
    <row r="35">
      <c r="D35" s="4" t="inlineStr">
        <is>
          <t>P (Polarity)</t>
        </is>
      </c>
      <c r="E35" t="n">
        <v>0.5</v>
      </c>
    </row>
    <row r="37">
      <c r="D37" s="4" t="inlineStr">
        <is>
          <t>B (Behavioral Alignment)</t>
        </is>
      </c>
      <c r="E37">
        <f>0.58*$B$4 + 0.18*$F$16 + 0.14*$F$17 + 0.10*$F$18</f>
        <v/>
      </c>
    </row>
    <row r="39">
      <c r="D39" s="4" t="inlineStr">
        <is>
          <t>ClusterPenaltyPair</t>
        </is>
      </c>
      <c r="E39">
        <f>MIN(35,0.35*(B5+B6))</f>
        <v/>
      </c>
    </row>
    <row r="40">
      <c r="D40" s="4" t="inlineStr">
        <is>
          <t>IntegrityPenalty</t>
        </is>
      </c>
      <c r="E40">
        <f>MIN(80,0.40*(2*B9+0.25*B5+4*B7)+0.40*(2*B10+0.25*B6+4*B8)+0.20*E39)</f>
        <v/>
      </c>
    </row>
    <row r="41">
      <c r="D41" s="4" t="inlineStr">
        <is>
          <t>InteractionCompatModifier</t>
        </is>
      </c>
      <c r="E41" t="n">
        <v>0</v>
      </c>
    </row>
    <row r="42">
      <c r="D42" s="4" t="inlineStr">
        <is>
          <t>InteractionForecastModifier</t>
        </is>
      </c>
      <c r="E42" t="n">
        <v>0</v>
      </c>
    </row>
    <row r="44">
      <c r="D44" s="4" t="inlineStr">
        <is>
          <t>CompatibilityScore (350-850)</t>
        </is>
      </c>
      <c r="E44">
        <f>MIN(850,MAX(350,350+500*(0.30*E37+0.22*E24+0.18*(1-E28)+0.12*E35+0.08*E31+0.05*E33)-E40-E39+E41))</f>
        <v/>
      </c>
    </row>
    <row r="45">
      <c r="D45" s="4" t="inlineStr">
        <is>
          <t>Forecast (0-100)</t>
        </is>
      </c>
      <c r="E45">
        <f>MIN(100,MAX(0, 100*(0.30*$F$17 + 0.25*$B$15 + 0.20*$B$14 + 0.15*$B$17 + 0.10*$E$46) - 20*$E$28 - 0.60*$E$39 + $E$42))</f>
        <v/>
      </c>
    </row>
    <row r="46">
      <c r="D46" s="4" t="inlineStr">
        <is>
          <t>PatternStability</t>
        </is>
      </c>
      <c r="E46">
        <f>0.45*$B$16+0.25*$B$15+0.15*$B$14+0.15*(1-$E$28)</f>
        <v/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95" customWidth="1" min="3" max="3"/>
    <col width="12" customWidth="1" min="4" max="4"/>
    <col width="18.9" customWidth="1" min="5" max="5"/>
    <col width="17.85" customWidth="1" min="6" max="6"/>
    <col width="19.95" customWidth="1" min="7" max="7"/>
    <col width="13.65" customWidth="1" min="8" max="8"/>
    <col width="16.8" customWidth="1" min="9" max="9"/>
    <col width="13.65" customWidth="1" min="10" max="10"/>
    <col width="12" customWidth="1" min="11" max="11"/>
    <col width="12.6" customWidth="1" min="12" max="12"/>
    <col width="21" customWidth="1" min="13" max="13"/>
    <col width="19.95" customWidth="1" min="14" max="14"/>
    <col width="24.15" customWidth="1" min="15" max="15"/>
    <col width="18.9" customWidth="1" min="16" max="16"/>
    <col width="12" customWidth="1" min="17" max="17"/>
    <col width="12.6" customWidth="1" min="18" max="18"/>
    <col width="12" customWidth="1" min="19" max="19"/>
    <col width="14.7" customWidth="1" min="20" max="20"/>
    <col width="22.05" customWidth="1" min="21" max="21"/>
    <col width="12.6" customWidth="1" min="22" max="22"/>
    <col width="23.1" customWidth="1" min="23" max="23"/>
    <col width="22.05" customWidth="1" min="24" max="24"/>
    <col width="12" customWidth="1" min="25" max="25"/>
    <col width="16.8" customWidth="1" min="26" max="26"/>
    <col width="13.65" customWidth="1" min="27" max="27"/>
    <col width="12.6" customWidth="1" min="28" max="28"/>
    <col width="12" customWidth="1" min="29" max="29"/>
    <col width="12" customWidth="1" min="30" max="30"/>
    <col width="23.1" customWidth="1" min="31" max="31"/>
    <col width="12" customWidth="1" min="32" max="32"/>
    <col width="18.9" customWidth="1" min="33" max="33"/>
    <col width="12.6" customWidth="1" min="34" max="34"/>
    <col width="16.8" customWidth="1" min="35" max="35"/>
    <col width="17.85" customWidth="1" min="36" max="36"/>
    <col width="15.75" customWidth="1" min="37" max="37"/>
    <col width="18.9" customWidth="1" min="38" max="38"/>
    <col width="15.75" customWidth="1" min="39" max="39"/>
    <col width="14.7" customWidth="1" min="40" max="40"/>
    <col width="12.6" customWidth="1" min="41" max="41"/>
    <col width="16.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</cols>
  <sheetData>
    <row r="1">
      <c r="A1" s="2" t="inlineStr">
        <is>
          <t>answer_id</t>
        </is>
      </c>
      <c r="B1" s="2" t="inlineStr">
        <is>
          <t>canonical_q</t>
        </is>
      </c>
      <c r="C1" s="2" t="inlineStr">
        <is>
          <t>question_number_int</t>
        </is>
      </c>
      <c r="D1" s="2" t="inlineStr">
        <is>
          <t>phase</t>
        </is>
      </c>
      <c r="E1" s="2" t="inlineStr">
        <is>
          <t>question_weight_v3</t>
        </is>
      </c>
      <c r="F1" s="2" t="inlineStr">
        <is>
          <t>dimension_primary</t>
        </is>
      </c>
      <c r="G1" s="2" t="inlineStr">
        <is>
          <t>dimension_secondary</t>
        </is>
      </c>
      <c r="H1" s="2" t="inlineStr">
        <is>
          <t>question_text</t>
        </is>
      </c>
      <c r="I1" s="2" t="inlineStr">
        <is>
          <t>answer_option_id</t>
        </is>
      </c>
      <c r="J1" s="2" t="inlineStr">
        <is>
          <t>answer_letter</t>
        </is>
      </c>
      <c r="K1" s="2" t="inlineStr">
        <is>
          <t>answer_text</t>
        </is>
      </c>
      <c r="L1" s="2" t="inlineStr">
        <is>
          <t>score_weight</t>
        </is>
      </c>
      <c r="M1" s="2" t="inlineStr">
        <is>
          <t>compatibility_weight</t>
        </is>
      </c>
      <c r="N1" s="2" t="inlineStr">
        <is>
          <t>readiness_points_v3</t>
        </is>
      </c>
      <c r="O1" s="2" t="inlineStr">
        <is>
          <t>compatibility_stance_v3</t>
        </is>
      </c>
      <c r="P1" s="2" t="inlineStr">
        <is>
          <t>forecast_points_v3</t>
        </is>
      </c>
      <c r="Q1" s="2" t="inlineStr">
        <is>
          <t>archetype</t>
        </is>
      </c>
      <c r="R1" s="2" t="inlineStr">
        <is>
          <t>archetype_id</t>
        </is>
      </c>
      <c r="S1" s="2" t="inlineStr">
        <is>
          <t>shadow_type</t>
        </is>
      </c>
      <c r="T1" s="2" t="inlineStr">
        <is>
          <t>shadow_type_id</t>
        </is>
      </c>
      <c r="U1" s="2" t="inlineStr">
        <is>
          <t>shadow_risk_points_v3</t>
        </is>
      </c>
      <c r="V1" s="2" t="inlineStr">
        <is>
          <t>polarity_tag</t>
        </is>
      </c>
      <c r="W1" s="2" t="inlineStr">
        <is>
          <t>polarity_masc_delta_v3</t>
        </is>
      </c>
      <c r="X1" s="2" t="inlineStr">
        <is>
          <t>polarity_fem_delta_v3</t>
        </is>
      </c>
      <c r="Y1" s="2" t="inlineStr">
        <is>
          <t>comm_style</t>
        </is>
      </c>
      <c r="Z1" s="2" t="inlineStr">
        <is>
          <t>regulation_style</t>
        </is>
      </c>
      <c r="AA1" s="2" t="inlineStr">
        <is>
          <t>love_language</t>
        </is>
      </c>
      <c r="AB1" s="2" t="inlineStr">
        <is>
          <t>cluster_tags</t>
        </is>
      </c>
      <c r="AC1" s="2" t="inlineStr">
        <is>
          <t>cluster_1</t>
        </is>
      </c>
      <c r="AD1" s="2" t="inlineStr">
        <is>
          <t>cluster_2</t>
        </is>
      </c>
      <c r="AE1" s="2" t="inlineStr">
        <is>
          <t>cluster_penalty_points</t>
        </is>
      </c>
      <c r="AF1" s="2" t="inlineStr">
        <is>
          <t>pattern_tag</t>
        </is>
      </c>
      <c r="AG1" s="2" t="inlineStr">
        <is>
          <t>match_behavior_tag</t>
        </is>
      </c>
      <c r="AH1" s="2" t="inlineStr">
        <is>
          <t>pattern_risk</t>
        </is>
      </c>
      <c r="AI1" s="2" t="inlineStr">
        <is>
          <t>consistency_flag</t>
        </is>
      </c>
      <c r="AJ1" s="2" t="inlineStr">
        <is>
          <t>integrity_flag_v3</t>
        </is>
      </c>
      <c r="AK1" s="2" t="inlineStr">
        <is>
          <t>drift_relevance</t>
        </is>
      </c>
      <c r="AL1" s="2" t="inlineStr">
        <is>
          <t>forecast_relevance</t>
        </is>
      </c>
      <c r="AM1" s="2" t="inlineStr">
        <is>
          <t>energy_type_tag</t>
        </is>
      </c>
      <c r="AN1" s="2" t="inlineStr">
        <is>
          <t>emotion_family</t>
        </is>
      </c>
      <c r="AO1" s="2" t="inlineStr">
        <is>
          <t>emotion_cell</t>
        </is>
      </c>
      <c r="AP1" s="2" t="inlineStr">
        <is>
          <t>version_snapshot</t>
        </is>
      </c>
      <c r="AQ1" s="9" t="inlineStr">
        <is>
          <t>score_weight_norm</t>
        </is>
      </c>
      <c r="AR1" s="9" t="inlineStr">
        <is>
          <t>compat_weight_norm</t>
        </is>
      </c>
      <c r="AS1" s="9" t="inlineStr">
        <is>
          <t>readiness_norm</t>
        </is>
      </c>
      <c r="AT1" s="9" t="inlineStr">
        <is>
          <t>stance_norm</t>
        </is>
      </c>
      <c r="AU1" s="9" t="inlineStr">
        <is>
          <t>forecast_norm</t>
        </is>
      </c>
      <c r="AV1" s="9" t="inlineStr">
        <is>
          <t>pattern_risk_norm</t>
        </is>
      </c>
      <c r="AW1" s="9" t="inlineStr">
        <is>
          <t>cluster_penalty_norm</t>
        </is>
      </c>
      <c r="AX1" s="9" t="inlineStr">
        <is>
          <t>polarity_masc_norm</t>
        </is>
      </c>
      <c r="AY1" s="9" t="inlineStr">
        <is>
          <t>polarity_fem_norm</t>
        </is>
      </c>
    </row>
    <row r="2">
      <c r="A2" s="3" t="inlineStr">
        <is>
          <t>Q01_A</t>
        </is>
      </c>
      <c r="B2" s="3" t="n">
        <v>1</v>
      </c>
      <c r="C2" s="3" t="n">
        <v>1</v>
      </c>
      <c r="D2" s="3" t="inlineStr">
        <is>
          <t>Core</t>
        </is>
      </c>
      <c r="E2" s="3" t="n">
        <v>1</v>
      </c>
      <c r="F2" s="3" t="inlineStr">
        <is>
          <t>CommunicationHealth</t>
        </is>
      </c>
      <c r="G2" s="3" t="inlineStr">
        <is>
          <t>EmotionalNeeds</t>
        </is>
      </c>
      <c r="H2" s="3" t="inlineStr">
        <is>
          <t>When something feels off between you and someone you're dating, what usually happens next-internally or outwardly?</t>
        </is>
      </c>
      <c r="I2" s="3" t="inlineStr">
        <is>
          <t>A</t>
        </is>
      </c>
      <c r="J2" s="3" t="inlineStr">
        <is>
          <t>A</t>
        </is>
      </c>
      <c r="K2" s="3" t="inlineStr">
        <is>
          <t>It's probably nothing. I just shift into neutral and let it play out. If they bring it up, cool. If not, I'm not pushing it.</t>
        </is>
      </c>
      <c r="L2" s="3" t="n">
        <v>3</v>
      </c>
      <c r="M2" s="3" t="n">
        <v>4</v>
      </c>
      <c r="N2" s="3" t="n">
        <v>0</v>
      </c>
      <c r="O2" s="3" t="n">
        <v>0</v>
      </c>
      <c r="P2" s="3" t="n">
        <v>0</v>
      </c>
      <c r="Q2" s="3" t="inlineStr">
        <is>
          <t>Icebox</t>
        </is>
      </c>
      <c r="R2" s="3" t="n">
        <v>1</v>
      </c>
      <c r="S2" s="3" t="inlineStr"/>
      <c r="T2" s="3" t="inlineStr"/>
      <c r="U2" s="3" t="n">
        <v>0</v>
      </c>
      <c r="V2" s="3" t="inlineStr">
        <is>
          <t>masc:1.8;fem:-1.6</t>
        </is>
      </c>
      <c r="W2" s="3" t="n">
        <v>1.8</v>
      </c>
      <c r="X2" s="3" t="n">
        <v>-1.6</v>
      </c>
      <c r="Y2" s="3" t="inlineStr">
        <is>
          <t>COMM_Avoidant</t>
        </is>
      </c>
      <c r="Z2" s="3" t="inlineStr">
        <is>
          <t>REG_Suppressor</t>
        </is>
      </c>
      <c r="AA2" s="3" t="inlineStr">
        <is>
          <t>LANG_Time</t>
        </is>
      </c>
      <c r="AB2" s="3" t="inlineStr">
        <is>
          <t>Vulnerability_Loop , Pursuer_Distancer</t>
        </is>
      </c>
      <c r="AC2" s="3" t="inlineStr">
        <is>
          <t>Vulnerability_Loop</t>
        </is>
      </c>
      <c r="AD2" s="3" t="inlineStr">
        <is>
          <t>Pursuer_Distancer</t>
        </is>
      </c>
      <c r="AE2" s="3" t="n">
        <v>11</v>
      </c>
      <c r="AF2" s="3" t="inlineStr">
        <is>
          <t>emotional disengage</t>
        </is>
      </c>
      <c r="AG2" s="3" t="inlineStr">
        <is>
          <t>passive drifter</t>
        </is>
      </c>
      <c r="AH2" s="3" t="n">
        <v>0</v>
      </c>
      <c r="AI2" s="3" t="inlineStr">
        <is>
          <t>yes</t>
        </is>
      </c>
      <c r="AJ2" s="3" t="inlineStr">
        <is>
          <t>no</t>
        </is>
      </c>
      <c r="AK2" s="3" t="inlineStr">
        <is>
          <t>yes</t>
        </is>
      </c>
      <c r="AL2" s="3" t="inlineStr">
        <is>
          <t>yes</t>
        </is>
      </c>
      <c r="AM2" s="3" t="inlineStr"/>
      <c r="AN2" s="3" t="inlineStr"/>
      <c r="AO2" s="3" t="inlineStr"/>
      <c r="AP2" s="3" t="inlineStr">
        <is>
          <t>v3_2026-03-19</t>
        </is>
      </c>
      <c r="AQ2">
        <f>(L2-Schema_v5!$C2)/(Schema_v5!$C3-Schema_v5!$C2)</f>
        <v/>
      </c>
      <c r="AR2">
        <f>(M2-Schema_v5!$C4)/(Schema_v5!$C5-Schema_v5!$C4)</f>
        <v/>
      </c>
      <c r="AS2">
        <f>N2/Schema_v5!$C6</f>
        <v/>
      </c>
      <c r="AT2">
        <f>O2/Schema_v5!$C7</f>
        <v/>
      </c>
      <c r="AU2">
        <f>P2/Schema_v5!$C8</f>
        <v/>
      </c>
      <c r="AV2">
        <f>IF(Schema_v5!$C9=0,0,AH2/Schema_v5!$C9)</f>
        <v/>
      </c>
      <c r="AW2">
        <f>IF(Schema_v5!$C10=0,0,AE2/Schema_v5!$C10)</f>
        <v/>
      </c>
      <c r="AX2">
        <f>(W2-Schema_v5!$C11)/(Schema_v5!$C12-Schema_v5!$C11)</f>
        <v/>
      </c>
      <c r="AY2">
        <f>(X2-Schema_v5!$C13)/(Schema_v5!$C14-Schema_v5!$C13)</f>
        <v/>
      </c>
    </row>
    <row r="3">
      <c r="A3" s="3" t="inlineStr">
        <is>
          <t>Q01_B</t>
        </is>
      </c>
      <c r="B3" s="3" t="n">
        <v>1</v>
      </c>
      <c r="C3" s="3" t="n">
        <v>1</v>
      </c>
      <c r="D3" s="3" t="inlineStr">
        <is>
          <t>Core</t>
        </is>
      </c>
      <c r="E3" s="3" t="n">
        <v>1</v>
      </c>
      <c r="F3" s="3" t="inlineStr">
        <is>
          <t>CommunicationHealth</t>
        </is>
      </c>
      <c r="G3" s="3" t="inlineStr">
        <is>
          <t>EmotionalNeeds</t>
        </is>
      </c>
      <c r="H3" s="3" t="inlineStr"/>
      <c r="I3" s="3" t="inlineStr">
        <is>
          <t>B</t>
        </is>
      </c>
      <c r="J3" s="3" t="inlineStr">
        <is>
          <t>B</t>
        </is>
      </c>
      <c r="K3" s="3" t="inlineStr">
        <is>
          <t>I start rereading everything. The tone in a text. A pause that felt a little too long. I like turning it into a puzzle to solve.</t>
        </is>
      </c>
      <c r="L3" s="3" t="n">
        <v>6</v>
      </c>
      <c r="M3" s="3" t="n">
        <v>7</v>
      </c>
      <c r="N3" s="3" t="n">
        <v>4</v>
      </c>
      <c r="O3" s="3" t="n">
        <v>6</v>
      </c>
      <c r="P3" s="3" t="n">
        <v>4</v>
      </c>
      <c r="Q3" s="3" t="inlineStr">
        <is>
          <t>Analyzer</t>
        </is>
      </c>
      <c r="R3" s="3" t="n">
        <v>2</v>
      </c>
      <c r="S3" s="3" t="inlineStr"/>
      <c r="T3" s="3" t="inlineStr"/>
      <c r="U3" s="3" t="n">
        <v>0</v>
      </c>
      <c r="V3" s="3" t="inlineStr">
        <is>
          <t>masc:1.4;fem:0.1</t>
        </is>
      </c>
      <c r="W3" s="3" t="n">
        <v>1.4</v>
      </c>
      <c r="X3" s="3" t="n">
        <v>0.1</v>
      </c>
      <c r="Y3" s="3" t="inlineStr">
        <is>
          <t>COMM_Logical</t>
        </is>
      </c>
      <c r="Z3" s="3" t="inlineStr">
        <is>
          <t>REG_SelfSoother</t>
        </is>
      </c>
      <c r="AA3" s="3" t="inlineStr">
        <is>
          <t>LANG_Service</t>
        </is>
      </c>
      <c r="AB3" s="3" t="inlineStr">
        <is>
          <t>Trust_Tension</t>
        </is>
      </c>
      <c r="AC3" s="3" t="inlineStr">
        <is>
          <t>Trust_Tension</t>
        </is>
      </c>
      <c r="AD3" s="3" t="inlineStr"/>
      <c r="AE3" s="3" t="n">
        <v>6</v>
      </c>
      <c r="AF3" s="3" t="inlineStr">
        <is>
          <t>overanalysis</t>
        </is>
      </c>
      <c r="AG3" s="3" t="inlineStr">
        <is>
          <t>hyper-vigilant decoder</t>
        </is>
      </c>
      <c r="AH3" s="3" t="n">
        <v>0</v>
      </c>
      <c r="AI3" s="3" t="inlineStr">
        <is>
          <t>yes</t>
        </is>
      </c>
      <c r="AJ3" s="3" t="inlineStr">
        <is>
          <t>no</t>
        </is>
      </c>
      <c r="AK3" s="3" t="inlineStr">
        <is>
          <t>yes</t>
        </is>
      </c>
      <c r="AL3" s="3" t="inlineStr">
        <is>
          <t>yes</t>
        </is>
      </c>
      <c r="AM3" s="3" t="inlineStr"/>
      <c r="AN3" s="3" t="inlineStr"/>
      <c r="AO3" s="3" t="inlineStr"/>
      <c r="AP3" s="3" t="inlineStr">
        <is>
          <t>v3_2026-03-19</t>
        </is>
      </c>
      <c r="AQ3">
        <f>(L3-Schema_v5!$C2)/(Schema_v5!$C3-Schema_v5!$C2)</f>
        <v/>
      </c>
      <c r="AR3">
        <f>(M3-Schema_v5!$C4)/(Schema_v5!$C5-Schema_v5!$C4)</f>
        <v/>
      </c>
      <c r="AS3">
        <f>N3/Schema_v5!$C6</f>
        <v/>
      </c>
      <c r="AT3">
        <f>O3/Schema_v5!$C7</f>
        <v/>
      </c>
      <c r="AU3">
        <f>P3/Schema_v5!$C8</f>
        <v/>
      </c>
      <c r="AV3">
        <f>IF(Schema_v5!$C9=0,0,AH3/Schema_v5!$C9)</f>
        <v/>
      </c>
      <c r="AW3">
        <f>IF(Schema_v5!$C10=0,0,AE3/Schema_v5!$C10)</f>
        <v/>
      </c>
      <c r="AX3">
        <f>(W3-Schema_v5!$C11)/(Schema_v5!$C12-Schema_v5!$C11)</f>
        <v/>
      </c>
      <c r="AY3">
        <f>(X3-Schema_v5!$C13)/(Schema_v5!$C14-Schema_v5!$C13)</f>
        <v/>
      </c>
    </row>
    <row r="4">
      <c r="A4" s="3" t="inlineStr">
        <is>
          <t>Q01_C</t>
        </is>
      </c>
      <c r="B4" s="3" t="n">
        <v>1</v>
      </c>
      <c r="C4" s="3" t="n">
        <v>1</v>
      </c>
      <c r="D4" s="3" t="inlineStr">
        <is>
          <t>Core</t>
        </is>
      </c>
      <c r="E4" s="3" t="n">
        <v>1</v>
      </c>
      <c r="F4" s="3" t="inlineStr">
        <is>
          <t>CommunicationHealth</t>
        </is>
      </c>
      <c r="G4" s="3" t="inlineStr">
        <is>
          <t>EmotionalNeeds</t>
        </is>
      </c>
      <c r="H4" s="3" t="inlineStr"/>
      <c r="I4" s="3" t="inlineStr">
        <is>
          <t>C</t>
        </is>
      </c>
      <c r="J4" s="3" t="inlineStr">
        <is>
          <t>C</t>
        </is>
      </c>
      <c r="K4" s="3" t="inlineStr">
        <is>
          <t>I'll bring something up, but I usually wrap it in a joke or a side comment. I'd rather ease into it than make it feel too serious.</t>
        </is>
      </c>
      <c r="L4" s="3" t="n">
        <v>7</v>
      </c>
      <c r="M4" s="3" t="n">
        <v>8</v>
      </c>
      <c r="N4" s="3" t="n">
        <v>6</v>
      </c>
      <c r="O4" s="3" t="n">
        <v>8</v>
      </c>
      <c r="P4" s="3" t="n">
        <v>8</v>
      </c>
      <c r="Q4" s="3" t="inlineStr">
        <is>
          <t>Translator</t>
        </is>
      </c>
      <c r="R4" s="3" t="n">
        <v>3</v>
      </c>
      <c r="S4" s="3" t="inlineStr"/>
      <c r="T4" s="3" t="inlineStr"/>
      <c r="U4" s="3" t="n">
        <v>0</v>
      </c>
      <c r="V4" s="3" t="inlineStr">
        <is>
          <t>masc:-0.1;fem:1.6</t>
        </is>
      </c>
      <c r="W4" s="3" t="n">
        <v>-0.1</v>
      </c>
      <c r="X4" s="3" t="n">
        <v>1.6</v>
      </c>
      <c r="Y4" s="3" t="inlineStr">
        <is>
          <t>COMM_Indirect</t>
        </is>
      </c>
      <c r="Z4" s="3" t="inlineStr">
        <is>
          <t>REG_CoRegulator</t>
        </is>
      </c>
      <c r="AA4" s="3" t="inlineStr">
        <is>
          <t>LANG_Words</t>
        </is>
      </c>
      <c r="AB4" s="3" t="inlineStr"/>
      <c r="AC4" s="3" t="inlineStr"/>
      <c r="AD4" s="3" t="inlineStr"/>
      <c r="AE4" s="3" t="n">
        <v>0</v>
      </c>
      <c r="AF4" s="3" t="inlineStr">
        <is>
          <t>soft entry communication</t>
        </is>
      </c>
      <c r="AG4" s="3" t="inlineStr">
        <is>
          <t>light approach</t>
        </is>
      </c>
      <c r="AH4" s="3" t="n">
        <v>0</v>
      </c>
      <c r="AI4" s="3" t="inlineStr">
        <is>
          <t>no</t>
        </is>
      </c>
      <c r="AJ4" s="3" t="inlineStr">
        <is>
          <t>no</t>
        </is>
      </c>
      <c r="AK4" s="3" t="inlineStr">
        <is>
          <t>yes</t>
        </is>
      </c>
      <c r="AL4" s="3" t="inlineStr">
        <is>
          <t>yes</t>
        </is>
      </c>
      <c r="AM4" s="3" t="inlineStr"/>
      <c r="AN4" s="3" t="inlineStr"/>
      <c r="AO4" s="3" t="inlineStr"/>
      <c r="AP4" s="3" t="inlineStr">
        <is>
          <t>v3_2026-03-19</t>
        </is>
      </c>
      <c r="AQ4">
        <f>(L4-Schema_v5!$C2)/(Schema_v5!$C3-Schema_v5!$C2)</f>
        <v/>
      </c>
      <c r="AR4">
        <f>(M4-Schema_v5!$C4)/(Schema_v5!$C5-Schema_v5!$C4)</f>
        <v/>
      </c>
      <c r="AS4">
        <f>N4/Schema_v5!$C6</f>
        <v/>
      </c>
      <c r="AT4">
        <f>O4/Schema_v5!$C7</f>
        <v/>
      </c>
      <c r="AU4">
        <f>P4/Schema_v5!$C8</f>
        <v/>
      </c>
      <c r="AV4">
        <f>IF(Schema_v5!$C9=0,0,AH4/Schema_v5!$C9)</f>
        <v/>
      </c>
      <c r="AW4">
        <f>IF(Schema_v5!$C10=0,0,AE4/Schema_v5!$C10)</f>
        <v/>
      </c>
      <c r="AX4">
        <f>(W4-Schema_v5!$C11)/(Schema_v5!$C12-Schema_v5!$C11)</f>
        <v/>
      </c>
      <c r="AY4">
        <f>(X4-Schema_v5!$C13)/(Schema_v5!$C14-Schema_v5!$C13)</f>
        <v/>
      </c>
    </row>
    <row r="5">
      <c r="A5" s="3" t="inlineStr">
        <is>
          <t>Q01_D</t>
        </is>
      </c>
      <c r="B5" s="3" t="n">
        <v>1</v>
      </c>
      <c r="C5" s="3" t="n">
        <v>1</v>
      </c>
      <c r="D5" s="3" t="inlineStr">
        <is>
          <t>Core</t>
        </is>
      </c>
      <c r="E5" s="3" t="n">
        <v>1</v>
      </c>
      <c r="F5" s="3" t="inlineStr">
        <is>
          <t>CommunicationHealth</t>
        </is>
      </c>
      <c r="G5" s="3" t="inlineStr">
        <is>
          <t>EmotionalNeeds</t>
        </is>
      </c>
      <c r="H5" s="3" t="inlineStr"/>
      <c r="I5" s="3" t="inlineStr">
        <is>
          <t>D</t>
        </is>
      </c>
      <c r="J5" s="3" t="inlineStr">
        <is>
          <t>D</t>
        </is>
      </c>
      <c r="K5" s="3" t="inlineStr">
        <is>
          <t>I usually wait. Not to avoid it, just to feel it out first. I've learned not everything needs a reaction, but if it lingers, I'll say something.</t>
        </is>
      </c>
      <c r="L5" s="3" t="n">
        <v>8</v>
      </c>
      <c r="M5" s="3" t="n">
        <v>8</v>
      </c>
      <c r="N5" s="3" t="n">
        <v>8</v>
      </c>
      <c r="O5" s="3" t="n">
        <v>8</v>
      </c>
      <c r="P5" s="3" t="n">
        <v>6</v>
      </c>
      <c r="Q5" s="3" t="inlineStr">
        <is>
          <t>Survivor</t>
        </is>
      </c>
      <c r="R5" s="3" t="n">
        <v>8</v>
      </c>
      <c r="S5" s="3" t="inlineStr"/>
      <c r="T5" s="3" t="inlineStr"/>
      <c r="U5" s="3" t="n">
        <v>0</v>
      </c>
      <c r="V5" s="3" t="inlineStr">
        <is>
          <t>masc:0.3;fem:1.3</t>
        </is>
      </c>
      <c r="W5" s="3" t="n">
        <v>0.3</v>
      </c>
      <c r="X5" s="3" t="n">
        <v>1.3</v>
      </c>
      <c r="Y5" s="3" t="inlineStr">
        <is>
          <t>COMM_Emotional</t>
        </is>
      </c>
      <c r="Z5" s="3" t="inlineStr">
        <is>
          <t>REG_SelfSoother</t>
        </is>
      </c>
      <c r="AA5" s="3" t="inlineStr">
        <is>
          <t>LANG_Service</t>
        </is>
      </c>
      <c r="AB5" s="3" t="inlineStr"/>
      <c r="AC5" s="3" t="inlineStr"/>
      <c r="AD5" s="3" t="inlineStr"/>
      <c r="AE5" s="3" t="n">
        <v>0</v>
      </c>
      <c r="AF5" s="3" t="inlineStr">
        <is>
          <t>measured patience</t>
        </is>
      </c>
      <c r="AG5" s="3" t="inlineStr">
        <is>
          <t>cautious feeler</t>
        </is>
      </c>
      <c r="AH5" s="3" t="n">
        <v>0.6</v>
      </c>
      <c r="AI5" s="3" t="inlineStr">
        <is>
          <t>no</t>
        </is>
      </c>
      <c r="AJ5" s="3" t="inlineStr">
        <is>
          <t>no</t>
        </is>
      </c>
      <c r="AK5" s="3" t="inlineStr">
        <is>
          <t>yes</t>
        </is>
      </c>
      <c r="AL5" s="3" t="inlineStr">
        <is>
          <t>yes</t>
        </is>
      </c>
      <c r="AM5" s="3" t="inlineStr"/>
      <c r="AN5" s="3" t="inlineStr"/>
      <c r="AO5" s="3" t="inlineStr"/>
      <c r="AP5" s="3" t="inlineStr">
        <is>
          <t>v3_2026-03-19</t>
        </is>
      </c>
      <c r="AQ5">
        <f>(L5-Schema_v5!$C2)/(Schema_v5!$C3-Schema_v5!$C2)</f>
        <v/>
      </c>
      <c r="AR5">
        <f>(M5-Schema_v5!$C4)/(Schema_v5!$C5-Schema_v5!$C4)</f>
        <v/>
      </c>
      <c r="AS5">
        <f>N5/Schema_v5!$C6</f>
        <v/>
      </c>
      <c r="AT5">
        <f>O5/Schema_v5!$C7</f>
        <v/>
      </c>
      <c r="AU5">
        <f>P5/Schema_v5!$C8</f>
        <v/>
      </c>
      <c r="AV5">
        <f>IF(Schema_v5!$C9=0,0,AH5/Schema_v5!$C9)</f>
        <v/>
      </c>
      <c r="AW5">
        <f>IF(Schema_v5!$C10=0,0,AE5/Schema_v5!$C10)</f>
        <v/>
      </c>
      <c r="AX5">
        <f>(W5-Schema_v5!$C11)/(Schema_v5!$C12-Schema_v5!$C11)</f>
        <v/>
      </c>
      <c r="AY5">
        <f>(X5-Schema_v5!$C13)/(Schema_v5!$C14-Schema_v5!$C13)</f>
        <v/>
      </c>
    </row>
    <row r="6">
      <c r="A6" s="3" t="inlineStr">
        <is>
          <t>Q01_E</t>
        </is>
      </c>
      <c r="B6" s="3" t="n">
        <v>1</v>
      </c>
      <c r="C6" s="3" t="n">
        <v>1</v>
      </c>
      <c r="D6" s="3" t="inlineStr">
        <is>
          <t>Core</t>
        </is>
      </c>
      <c r="E6" s="3" t="n">
        <v>1</v>
      </c>
      <c r="F6" s="3" t="inlineStr">
        <is>
          <t>CommunicationHealth</t>
        </is>
      </c>
      <c r="G6" s="3" t="inlineStr">
        <is>
          <t>EmotionalNeeds</t>
        </is>
      </c>
      <c r="H6" s="3" t="inlineStr"/>
      <c r="I6" s="3" t="inlineStr">
        <is>
          <t>E</t>
        </is>
      </c>
      <c r="J6" s="3" t="inlineStr">
        <is>
          <t>E</t>
        </is>
      </c>
      <c r="K6" s="3" t="inlineStr">
        <is>
          <t>I don't do weird energy. I'm not unkind, but I also don't pretend. If something's off, I'm not sitting in it quietly.</t>
        </is>
      </c>
      <c r="L6" s="3" t="n">
        <v>9</v>
      </c>
      <c r="M6" s="3" t="n">
        <v>9</v>
      </c>
      <c r="N6" s="3" t="n">
        <v>10</v>
      </c>
      <c r="O6" s="3" t="n">
        <v>10</v>
      </c>
      <c r="P6" s="3" t="n">
        <v>10</v>
      </c>
      <c r="Q6" s="3" t="inlineStr">
        <is>
          <t>Regulated Grown-Up</t>
        </is>
      </c>
      <c r="R6" s="3" t="n">
        <v>9</v>
      </c>
      <c r="S6" s="3" t="inlineStr"/>
      <c r="T6" s="3" t="inlineStr"/>
      <c r="U6" s="3" t="n">
        <v>0</v>
      </c>
      <c r="V6" s="3" t="inlineStr">
        <is>
          <t>masc:1.1;fem:0.9</t>
        </is>
      </c>
      <c r="W6" s="3" t="n">
        <v>1.1</v>
      </c>
      <c r="X6" s="3" t="n">
        <v>0.9</v>
      </c>
      <c r="Y6" s="3" t="inlineStr">
        <is>
          <t>COMM_Direct</t>
        </is>
      </c>
      <c r="Z6" s="3" t="inlineStr">
        <is>
          <t>REG_CoRegulator</t>
        </is>
      </c>
      <c r="AA6" s="3" t="inlineStr">
        <is>
          <t>LANG_Words</t>
        </is>
      </c>
      <c r="AB6" s="3" t="inlineStr"/>
      <c r="AC6" s="3" t="inlineStr"/>
      <c r="AD6" s="3" t="inlineStr"/>
      <c r="AE6" s="3" t="n">
        <v>0</v>
      </c>
      <c r="AF6" s="3" t="inlineStr">
        <is>
          <t>direct boundary setting</t>
        </is>
      </c>
      <c r="AG6" s="3" t="inlineStr">
        <is>
          <t>clear communicator</t>
        </is>
      </c>
      <c r="AH6" s="3" t="n">
        <v>0</v>
      </c>
      <c r="AI6" s="3" t="inlineStr">
        <is>
          <t>no</t>
        </is>
      </c>
      <c r="AJ6" s="3" t="inlineStr">
        <is>
          <t>no</t>
        </is>
      </c>
      <c r="AK6" s="3" t="inlineStr">
        <is>
          <t>yes</t>
        </is>
      </c>
      <c r="AL6" s="3" t="inlineStr">
        <is>
          <t>yes</t>
        </is>
      </c>
      <c r="AM6" s="3" t="inlineStr"/>
      <c r="AN6" s="3" t="inlineStr"/>
      <c r="AO6" s="3" t="inlineStr"/>
      <c r="AP6" s="3" t="inlineStr">
        <is>
          <t>v3_2026-03-19</t>
        </is>
      </c>
      <c r="AQ6">
        <f>(L6-Schema_v5!$C2)/(Schema_v5!$C3-Schema_v5!$C2)</f>
        <v/>
      </c>
      <c r="AR6">
        <f>(M6-Schema_v5!$C4)/(Schema_v5!$C5-Schema_v5!$C4)</f>
        <v/>
      </c>
      <c r="AS6">
        <f>N6/Schema_v5!$C6</f>
        <v/>
      </c>
      <c r="AT6">
        <f>O6/Schema_v5!$C7</f>
        <v/>
      </c>
      <c r="AU6">
        <f>P6/Schema_v5!$C8</f>
        <v/>
      </c>
      <c r="AV6">
        <f>IF(Schema_v5!$C9=0,0,AH6/Schema_v5!$C9)</f>
        <v/>
      </c>
      <c r="AW6">
        <f>IF(Schema_v5!$C10=0,0,AE6/Schema_v5!$C10)</f>
        <v/>
      </c>
      <c r="AX6">
        <f>(W6-Schema_v5!$C11)/(Schema_v5!$C12-Schema_v5!$C11)</f>
        <v/>
      </c>
      <c r="AY6">
        <f>(X6-Schema_v5!$C13)/(Schema_v5!$C14-Schema_v5!$C13)</f>
        <v/>
      </c>
    </row>
    <row r="7">
      <c r="A7" s="3" t="inlineStr">
        <is>
          <t>Q02_A</t>
        </is>
      </c>
      <c r="B7" s="3" t="n">
        <v>2</v>
      </c>
      <c r="C7" s="3" t="n">
        <v>2</v>
      </c>
      <c r="D7" s="3" t="inlineStr">
        <is>
          <t>Core</t>
        </is>
      </c>
      <c r="E7" s="3" t="n">
        <v>1</v>
      </c>
      <c r="F7" s="3" t="inlineStr">
        <is>
          <t>CommunicationHealth</t>
        </is>
      </c>
      <c r="G7" s="3" t="inlineStr">
        <is>
          <t>EmotionalNeeds</t>
        </is>
      </c>
      <c r="H7" s="3" t="inlineStr">
        <is>
          <t>You bring up something that bothered you. They brush it off or make a joke. What's your honest reaction?</t>
        </is>
      </c>
      <c r="I7" s="3" t="inlineStr">
        <is>
          <t>A</t>
        </is>
      </c>
      <c r="J7" s="3" t="inlineStr">
        <is>
          <t>A</t>
        </is>
      </c>
      <c r="K7" s="3" t="inlineStr">
        <is>
          <t>Not surprised. I usually go quieter after that. I've seen this play out before, no point chasing clarity where it's not offered.</t>
        </is>
      </c>
      <c r="L7" s="3" t="n">
        <v>5</v>
      </c>
      <c r="M7" s="3" t="n">
        <v>6</v>
      </c>
      <c r="N7" s="3" t="n">
        <v>0</v>
      </c>
      <c r="O7" s="3" t="n">
        <v>0</v>
      </c>
      <c r="P7" s="3" t="n">
        <v>0</v>
      </c>
      <c r="Q7" s="3" t="inlineStr">
        <is>
          <t>Quiet Exit</t>
        </is>
      </c>
      <c r="R7" s="3" t="n">
        <v>4</v>
      </c>
      <c r="S7" s="3" t="inlineStr"/>
      <c r="T7" s="3" t="inlineStr"/>
      <c r="U7" s="3" t="n">
        <v>0</v>
      </c>
      <c r="V7" s="3" t="inlineStr">
        <is>
          <t>masc:1.4;fem:-1.3</t>
        </is>
      </c>
      <c r="W7" s="3" t="n">
        <v>1.4</v>
      </c>
      <c r="X7" s="3" t="n">
        <v>-1.3</v>
      </c>
      <c r="Y7" s="3" t="inlineStr">
        <is>
          <t>COMM_Avoidant</t>
        </is>
      </c>
      <c r="Z7" s="3" t="inlineStr">
        <is>
          <t>REG_Suppressor</t>
        </is>
      </c>
      <c r="AA7" s="3" t="inlineStr">
        <is>
          <t>LANG_Time</t>
        </is>
      </c>
      <c r="AB7" s="3" t="inlineStr">
        <is>
          <t>Vulnerability_Loop , Pursuer_Distancer</t>
        </is>
      </c>
      <c r="AC7" s="3" t="inlineStr">
        <is>
          <t>Vulnerability_Loop</t>
        </is>
      </c>
      <c r="AD7" s="3" t="inlineStr">
        <is>
          <t>Pursuer_Distancer</t>
        </is>
      </c>
      <c r="AE7" s="3" t="n">
        <v>11</v>
      </c>
      <c r="AF7" s="3" t="inlineStr">
        <is>
          <t>withdrawal after dismissal</t>
        </is>
      </c>
      <c r="AG7" s="3" t="inlineStr">
        <is>
          <t>silent step-back</t>
        </is>
      </c>
      <c r="AH7" s="3" t="n">
        <v>0.8</v>
      </c>
      <c r="AI7" s="3" t="inlineStr">
        <is>
          <t>yes</t>
        </is>
      </c>
      <c r="AJ7" s="3" t="inlineStr">
        <is>
          <t>no</t>
        </is>
      </c>
      <c r="AK7" s="3" t="inlineStr">
        <is>
          <t>yes</t>
        </is>
      </c>
      <c r="AL7" s="3" t="inlineStr">
        <is>
          <t>yes</t>
        </is>
      </c>
      <c r="AM7" s="3" t="inlineStr"/>
      <c r="AN7" s="3" t="inlineStr"/>
      <c r="AO7" s="3" t="inlineStr"/>
      <c r="AP7" s="3" t="inlineStr">
        <is>
          <t>v3_2026-03-19</t>
        </is>
      </c>
      <c r="AQ7">
        <f>(L7-Schema_v5!$C2)/(Schema_v5!$C3-Schema_v5!$C2)</f>
        <v/>
      </c>
      <c r="AR7">
        <f>(M7-Schema_v5!$C4)/(Schema_v5!$C5-Schema_v5!$C4)</f>
        <v/>
      </c>
      <c r="AS7">
        <f>N7/Schema_v5!$C6</f>
        <v/>
      </c>
      <c r="AT7">
        <f>O7/Schema_v5!$C7</f>
        <v/>
      </c>
      <c r="AU7">
        <f>P7/Schema_v5!$C8</f>
        <v/>
      </c>
      <c r="AV7">
        <f>IF(Schema_v5!$C9=0,0,AH7/Schema_v5!$C9)</f>
        <v/>
      </c>
      <c r="AW7">
        <f>IF(Schema_v5!$C10=0,0,AE7/Schema_v5!$C10)</f>
        <v/>
      </c>
      <c r="AX7">
        <f>(W7-Schema_v5!$C11)/(Schema_v5!$C12-Schema_v5!$C11)</f>
        <v/>
      </c>
      <c r="AY7">
        <f>(X7-Schema_v5!$C13)/(Schema_v5!$C14-Schema_v5!$C13)</f>
        <v/>
      </c>
    </row>
    <row r="8">
      <c r="A8" s="3" t="inlineStr">
        <is>
          <t>Q02_B</t>
        </is>
      </c>
      <c r="B8" s="3" t="n">
        <v>2</v>
      </c>
      <c r="C8" s="3" t="n">
        <v>2</v>
      </c>
      <c r="D8" s="3" t="inlineStr">
        <is>
          <t>Core</t>
        </is>
      </c>
      <c r="E8" s="3" t="n">
        <v>1</v>
      </c>
      <c r="F8" s="3" t="inlineStr">
        <is>
          <t>CommunicationHealth</t>
        </is>
      </c>
      <c r="G8" s="3" t="inlineStr">
        <is>
          <t>EmotionalNeeds</t>
        </is>
      </c>
      <c r="H8" s="3" t="inlineStr"/>
      <c r="I8" s="3" t="inlineStr">
        <is>
          <t>B</t>
        </is>
      </c>
      <c r="J8" s="3" t="inlineStr">
        <is>
          <t>B</t>
        </is>
      </c>
      <c r="K8" s="3" t="inlineStr">
        <is>
          <t>I'll play along, but it definitely changes how I see them. I keep score, even if they never know it.</t>
        </is>
      </c>
      <c r="L8" s="3" t="n">
        <v>4</v>
      </c>
      <c r="M8" s="3" t="n">
        <v>5</v>
      </c>
      <c r="N8" s="3" t="n">
        <v>0</v>
      </c>
      <c r="O8" s="3" t="n">
        <v>0</v>
      </c>
      <c r="P8" s="3" t="n">
        <v>0</v>
      </c>
      <c r="Q8" s="3" t="inlineStr">
        <is>
          <t>Performer</t>
        </is>
      </c>
      <c r="R8" s="3" t="n">
        <v>7</v>
      </c>
      <c r="S8" s="3" t="inlineStr"/>
      <c r="T8" s="3" t="inlineStr"/>
      <c r="U8" s="3" t="n">
        <v>0</v>
      </c>
      <c r="V8" s="3" t="inlineStr">
        <is>
          <t>masc:0.3;fem:0.5</t>
        </is>
      </c>
      <c r="W8" s="3" t="n">
        <v>0.3</v>
      </c>
      <c r="X8" s="3" t="n">
        <v>0.5</v>
      </c>
      <c r="Y8" s="3" t="inlineStr">
        <is>
          <t>COMM_Indirect</t>
        </is>
      </c>
      <c r="Z8" s="3" t="inlineStr">
        <is>
          <t>REG_Distractor</t>
        </is>
      </c>
      <c r="AA8" s="3" t="inlineStr">
        <is>
          <t>LANG_Gifts</t>
        </is>
      </c>
      <c r="AB8" s="3" t="inlineStr">
        <is>
          <t>Control_Avoidance , Scorekeeping_Echo</t>
        </is>
      </c>
      <c r="AC8" s="3" t="inlineStr">
        <is>
          <t>Control_Avoidance</t>
        </is>
      </c>
      <c r="AD8" s="3" t="inlineStr">
        <is>
          <t>Scorekeeping_Echo</t>
        </is>
      </c>
      <c r="AE8" s="3" t="n">
        <v>14</v>
      </c>
      <c r="AF8" s="3" t="inlineStr">
        <is>
          <t>private resentment</t>
        </is>
      </c>
      <c r="AG8" s="3" t="inlineStr">
        <is>
          <t>image-based keeper</t>
        </is>
      </c>
      <c r="AH8" s="3" t="n">
        <v>1.2</v>
      </c>
      <c r="AI8" s="3" t="inlineStr">
        <is>
          <t>yes</t>
        </is>
      </c>
      <c r="AJ8" s="3" t="inlineStr">
        <is>
          <t>no</t>
        </is>
      </c>
      <c r="AK8" s="3" t="inlineStr">
        <is>
          <t>yes</t>
        </is>
      </c>
      <c r="AL8" s="3" t="inlineStr">
        <is>
          <t>yes</t>
        </is>
      </c>
      <c r="AM8" s="3" t="inlineStr"/>
      <c r="AN8" s="3" t="inlineStr"/>
      <c r="AO8" s="3" t="inlineStr"/>
      <c r="AP8" s="3" t="inlineStr">
        <is>
          <t>v3_2026-03-19</t>
        </is>
      </c>
      <c r="AQ8">
        <f>(L8-Schema_v5!$C2)/(Schema_v5!$C3-Schema_v5!$C2)</f>
        <v/>
      </c>
      <c r="AR8">
        <f>(M8-Schema_v5!$C4)/(Schema_v5!$C5-Schema_v5!$C4)</f>
        <v/>
      </c>
      <c r="AS8">
        <f>N8/Schema_v5!$C6</f>
        <v/>
      </c>
      <c r="AT8">
        <f>O8/Schema_v5!$C7</f>
        <v/>
      </c>
      <c r="AU8">
        <f>P8/Schema_v5!$C8</f>
        <v/>
      </c>
      <c r="AV8">
        <f>IF(Schema_v5!$C9=0,0,AH8/Schema_v5!$C9)</f>
        <v/>
      </c>
      <c r="AW8">
        <f>IF(Schema_v5!$C10=0,0,AE8/Schema_v5!$C10)</f>
        <v/>
      </c>
      <c r="AX8">
        <f>(W8-Schema_v5!$C11)/(Schema_v5!$C12-Schema_v5!$C11)</f>
        <v/>
      </c>
      <c r="AY8">
        <f>(X8-Schema_v5!$C13)/(Schema_v5!$C14-Schema_v5!$C13)</f>
        <v/>
      </c>
    </row>
    <row r="9">
      <c r="A9" s="3" t="inlineStr">
        <is>
          <t>Q02_C</t>
        </is>
      </c>
      <c r="B9" s="3" t="n">
        <v>2</v>
      </c>
      <c r="C9" s="3" t="n">
        <v>2</v>
      </c>
      <c r="D9" s="3" t="inlineStr">
        <is>
          <t>Core</t>
        </is>
      </c>
      <c r="E9" s="3" t="n">
        <v>1</v>
      </c>
      <c r="F9" s="3" t="inlineStr">
        <is>
          <t>CommunicationHealth</t>
        </is>
      </c>
      <c r="G9" s="3" t="inlineStr">
        <is>
          <t>EmotionalNeeds</t>
        </is>
      </c>
      <c r="H9" s="3" t="inlineStr"/>
      <c r="I9" s="3" t="inlineStr">
        <is>
          <t>C</t>
        </is>
      </c>
      <c r="J9" s="3" t="inlineStr">
        <is>
          <t>C</t>
        </is>
      </c>
      <c r="K9" s="3" t="inlineStr">
        <is>
          <t>I bring it up again, but this time they can probably hear the shift in my tone. I'm not trying to argue, I just need them to actually hear me.</t>
        </is>
      </c>
      <c r="L9" s="3" t="n">
        <v>8</v>
      </c>
      <c r="M9" s="3" t="n">
        <v>8</v>
      </c>
      <c r="N9" s="3" t="n">
        <v>8</v>
      </c>
      <c r="O9" s="3" t="n">
        <v>8</v>
      </c>
      <c r="P9" s="3" t="n">
        <v>8</v>
      </c>
      <c r="Q9" s="3" t="inlineStr">
        <is>
          <t>Fixer</t>
        </is>
      </c>
      <c r="R9" s="3" t="n">
        <v>5</v>
      </c>
      <c r="S9" s="3" t="inlineStr"/>
      <c r="T9" s="3" t="inlineStr"/>
      <c r="U9" s="3" t="n">
        <v>0</v>
      </c>
      <c r="V9" s="3" t="inlineStr">
        <is>
          <t>masc:-0.4;fem:2.0</t>
        </is>
      </c>
      <c r="W9" s="3" t="n">
        <v>-0.4</v>
      </c>
      <c r="X9" s="3" t="n">
        <v>2</v>
      </c>
      <c r="Y9" s="3" t="inlineStr">
        <is>
          <t>COMM_Emotional</t>
        </is>
      </c>
      <c r="Z9" s="3" t="inlineStr">
        <is>
          <t>REG_CoRegulator</t>
        </is>
      </c>
      <c r="AA9" s="3" t="inlineStr">
        <is>
          <t>LANG_Service</t>
        </is>
      </c>
      <c r="AB9" s="3" t="inlineStr"/>
      <c r="AC9" s="3" t="inlineStr"/>
      <c r="AD9" s="3" t="inlineStr"/>
      <c r="AE9" s="3" t="n">
        <v>0</v>
      </c>
      <c r="AF9" s="3" t="inlineStr">
        <is>
          <t>persistence for resolution</t>
        </is>
      </c>
      <c r="AG9" s="3" t="inlineStr">
        <is>
          <t>consistent communicator</t>
        </is>
      </c>
      <c r="AH9" s="3" t="n">
        <v>0</v>
      </c>
      <c r="AI9" s="3" t="inlineStr">
        <is>
          <t>no</t>
        </is>
      </c>
      <c r="AJ9" s="3" t="inlineStr">
        <is>
          <t>no</t>
        </is>
      </c>
      <c r="AK9" s="3" t="inlineStr">
        <is>
          <t>yes</t>
        </is>
      </c>
      <c r="AL9" s="3" t="inlineStr">
        <is>
          <t>yes</t>
        </is>
      </c>
      <c r="AM9" s="3" t="inlineStr"/>
      <c r="AN9" s="3" t="inlineStr"/>
      <c r="AO9" s="3" t="inlineStr"/>
      <c r="AP9" s="3" t="inlineStr">
        <is>
          <t>v3_2026-03-19</t>
        </is>
      </c>
      <c r="AQ9">
        <f>(L9-Schema_v5!$C2)/(Schema_v5!$C3-Schema_v5!$C2)</f>
        <v/>
      </c>
      <c r="AR9">
        <f>(M9-Schema_v5!$C4)/(Schema_v5!$C5-Schema_v5!$C4)</f>
        <v/>
      </c>
      <c r="AS9">
        <f>N9/Schema_v5!$C6</f>
        <v/>
      </c>
      <c r="AT9">
        <f>O9/Schema_v5!$C7</f>
        <v/>
      </c>
      <c r="AU9">
        <f>P9/Schema_v5!$C8</f>
        <v/>
      </c>
      <c r="AV9">
        <f>IF(Schema_v5!$C9=0,0,AH9/Schema_v5!$C9)</f>
        <v/>
      </c>
      <c r="AW9">
        <f>IF(Schema_v5!$C10=0,0,AE9/Schema_v5!$C10)</f>
        <v/>
      </c>
      <c r="AX9">
        <f>(W9-Schema_v5!$C11)/(Schema_v5!$C12-Schema_v5!$C11)</f>
        <v/>
      </c>
      <c r="AY9">
        <f>(X9-Schema_v5!$C13)/(Schema_v5!$C14-Schema_v5!$C13)</f>
        <v/>
      </c>
    </row>
    <row r="10">
      <c r="A10" s="3" t="inlineStr">
        <is>
          <t>Q02_D</t>
        </is>
      </c>
      <c r="B10" s="3" t="n">
        <v>2</v>
      </c>
      <c r="C10" s="3" t="n">
        <v>2</v>
      </c>
      <c r="D10" s="3" t="inlineStr">
        <is>
          <t>Core</t>
        </is>
      </c>
      <c r="E10" s="3" t="n">
        <v>1</v>
      </c>
      <c r="F10" s="3" t="inlineStr">
        <is>
          <t>CommunicationHealth</t>
        </is>
      </c>
      <c r="G10" s="3" t="inlineStr">
        <is>
          <t>EmotionalNeeds</t>
        </is>
      </c>
      <c r="H10" s="3" t="inlineStr"/>
      <c r="I10" s="3" t="inlineStr">
        <is>
          <t>D</t>
        </is>
      </c>
      <c r="J10" s="3" t="inlineStr">
        <is>
          <t>D</t>
        </is>
      </c>
      <c r="K10" s="3" t="inlineStr">
        <is>
          <t>I laugh too, but it sticks with me. Hours later I'm still replaying what I said, wondering if I should've just kept quiet.</t>
        </is>
      </c>
      <c r="L10" s="3" t="n">
        <v>5</v>
      </c>
      <c r="M10" s="3" t="n">
        <v>6</v>
      </c>
      <c r="N10" s="3" t="n">
        <v>2</v>
      </c>
      <c r="O10" s="3" t="n">
        <v>4</v>
      </c>
      <c r="P10" s="3" t="n">
        <v>2</v>
      </c>
      <c r="Q10" s="3" t="inlineStr">
        <is>
          <t>Phantom Seeker</t>
        </is>
      </c>
      <c r="R10" s="3" t="n">
        <v>10</v>
      </c>
      <c r="S10" s="3" t="inlineStr"/>
      <c r="T10" s="3" t="inlineStr"/>
      <c r="U10" s="3" t="n">
        <v>0</v>
      </c>
      <c r="V10" s="3" t="inlineStr">
        <is>
          <t>masc:-0.2;fem:1.5</t>
        </is>
      </c>
      <c r="W10" s="3" t="n">
        <v>-0.2</v>
      </c>
      <c r="X10" s="3" t="n">
        <v>1.5</v>
      </c>
      <c r="Y10" s="3" t="inlineStr">
        <is>
          <t>COMM_Emotional</t>
        </is>
      </c>
      <c r="Z10" s="3" t="inlineStr">
        <is>
          <t>REG_SelfSoother</t>
        </is>
      </c>
      <c r="AA10" s="3" t="inlineStr">
        <is>
          <t>LANG_Touch</t>
        </is>
      </c>
      <c r="AB10" s="3" t="inlineStr">
        <is>
          <t>Conflict_Flip</t>
        </is>
      </c>
      <c r="AC10" s="3" t="inlineStr">
        <is>
          <t>Conflict_Flip</t>
        </is>
      </c>
      <c r="AD10" s="3" t="inlineStr"/>
      <c r="AE10" s="3" t="n">
        <v>4</v>
      </c>
      <c r="AF10" s="3" t="inlineStr">
        <is>
          <t>quiet rumination</t>
        </is>
      </c>
      <c r="AG10" s="3" t="inlineStr">
        <is>
          <t>soft stewer</t>
        </is>
      </c>
      <c r="AH10" s="3" t="n">
        <v>0</v>
      </c>
      <c r="AI10" s="3" t="inlineStr">
        <is>
          <t>yes</t>
        </is>
      </c>
      <c r="AJ10" s="3" t="inlineStr">
        <is>
          <t>no</t>
        </is>
      </c>
      <c r="AK10" s="3" t="inlineStr">
        <is>
          <t>yes</t>
        </is>
      </c>
      <c r="AL10" s="3" t="inlineStr">
        <is>
          <t>yes</t>
        </is>
      </c>
      <c r="AM10" s="3" t="inlineStr"/>
      <c r="AN10" s="3" t="inlineStr"/>
      <c r="AO10" s="3" t="inlineStr"/>
      <c r="AP10" s="3" t="inlineStr">
        <is>
          <t>v3_2026-03-19</t>
        </is>
      </c>
      <c r="AQ10">
        <f>(L10-Schema_v5!$C2)/(Schema_v5!$C3-Schema_v5!$C2)</f>
        <v/>
      </c>
      <c r="AR10">
        <f>(M10-Schema_v5!$C4)/(Schema_v5!$C5-Schema_v5!$C4)</f>
        <v/>
      </c>
      <c r="AS10">
        <f>N10/Schema_v5!$C6</f>
        <v/>
      </c>
      <c r="AT10">
        <f>O10/Schema_v5!$C7</f>
        <v/>
      </c>
      <c r="AU10">
        <f>P10/Schema_v5!$C8</f>
        <v/>
      </c>
      <c r="AV10">
        <f>IF(Schema_v5!$C9=0,0,AH10/Schema_v5!$C9)</f>
        <v/>
      </c>
      <c r="AW10">
        <f>IF(Schema_v5!$C10=0,0,AE10/Schema_v5!$C10)</f>
        <v/>
      </c>
      <c r="AX10">
        <f>(W10-Schema_v5!$C11)/(Schema_v5!$C12-Schema_v5!$C11)</f>
        <v/>
      </c>
      <c r="AY10">
        <f>(X10-Schema_v5!$C13)/(Schema_v5!$C14-Schema_v5!$C13)</f>
        <v/>
      </c>
    </row>
    <row r="11">
      <c r="A11" s="3" t="inlineStr">
        <is>
          <t>Q02_E</t>
        </is>
      </c>
      <c r="B11" s="3" t="n">
        <v>2</v>
      </c>
      <c r="C11" s="3" t="n">
        <v>2</v>
      </c>
      <c r="D11" s="3" t="inlineStr">
        <is>
          <t>Core</t>
        </is>
      </c>
      <c r="E11" s="3" t="n">
        <v>1</v>
      </c>
      <c r="F11" s="3" t="inlineStr">
        <is>
          <t>CommunicationHealth</t>
        </is>
      </c>
      <c r="G11" s="3" t="inlineStr">
        <is>
          <t>EmotionalNeeds</t>
        </is>
      </c>
      <c r="H11" s="3" t="inlineStr"/>
      <c r="I11" s="3" t="inlineStr">
        <is>
          <t>E</t>
        </is>
      </c>
      <c r="J11" s="3" t="inlineStr">
        <is>
          <t>E</t>
        </is>
      </c>
      <c r="K11" s="3" t="inlineStr">
        <is>
          <t>I clock that fast. If I opened up and they shrugged it off, I don't ask again. I don't mind being the bad guy if it means protecting my peace.</t>
        </is>
      </c>
      <c r="L11" s="3" t="n">
        <v>9</v>
      </c>
      <c r="M11" s="3" t="n">
        <v>9</v>
      </c>
      <c r="N11" s="3" t="n">
        <v>10</v>
      </c>
      <c r="O11" s="3" t="n">
        <v>10</v>
      </c>
      <c r="P11" s="3" t="n">
        <v>10</v>
      </c>
      <c r="Q11" s="3" t="inlineStr">
        <is>
          <t>Regulated Grown-Up</t>
        </is>
      </c>
      <c r="R11" s="3" t="n">
        <v>9</v>
      </c>
      <c r="S11" s="3" t="inlineStr"/>
      <c r="T11" s="3" t="inlineStr"/>
      <c r="U11" s="3" t="n">
        <v>0</v>
      </c>
      <c r="V11" s="3" t="inlineStr">
        <is>
          <t>masc:1.1;fem:0.9</t>
        </is>
      </c>
      <c r="W11" s="3" t="n">
        <v>1.1</v>
      </c>
      <c r="X11" s="3" t="n">
        <v>0.9</v>
      </c>
      <c r="Y11" s="3" t="inlineStr">
        <is>
          <t>COMM_Direct</t>
        </is>
      </c>
      <c r="Z11" s="3" t="inlineStr">
        <is>
          <t>REG_CoRegulator</t>
        </is>
      </c>
      <c r="AA11" s="3" t="inlineStr">
        <is>
          <t>LANG_Words</t>
        </is>
      </c>
      <c r="AB11" s="3" t="inlineStr"/>
      <c r="AC11" s="3" t="inlineStr"/>
      <c r="AD11" s="3" t="inlineStr"/>
      <c r="AE11" s="3" t="n">
        <v>0</v>
      </c>
      <c r="AF11" s="3" t="inlineStr">
        <is>
          <t>fast boundary recognition</t>
        </is>
      </c>
      <c r="AG11" s="3" t="inlineStr">
        <is>
          <t>peace protector</t>
        </is>
      </c>
      <c r="AH11" s="3" t="n">
        <v>0</v>
      </c>
      <c r="AI11" s="3" t="inlineStr">
        <is>
          <t>no</t>
        </is>
      </c>
      <c r="AJ11" s="3" t="inlineStr">
        <is>
          <t>no</t>
        </is>
      </c>
      <c r="AK11" s="3" t="inlineStr">
        <is>
          <t>yes</t>
        </is>
      </c>
      <c r="AL11" s="3" t="inlineStr">
        <is>
          <t>yes</t>
        </is>
      </c>
      <c r="AM11" s="3" t="inlineStr"/>
      <c r="AN11" s="3" t="inlineStr"/>
      <c r="AO11" s="3" t="inlineStr"/>
      <c r="AP11" s="3" t="inlineStr">
        <is>
          <t>v3_2026-03-19</t>
        </is>
      </c>
      <c r="AQ11">
        <f>(L11-Schema_v5!$C2)/(Schema_v5!$C3-Schema_v5!$C2)</f>
        <v/>
      </c>
      <c r="AR11">
        <f>(M11-Schema_v5!$C4)/(Schema_v5!$C5-Schema_v5!$C4)</f>
        <v/>
      </c>
      <c r="AS11">
        <f>N11/Schema_v5!$C6</f>
        <v/>
      </c>
      <c r="AT11">
        <f>O11/Schema_v5!$C7</f>
        <v/>
      </c>
      <c r="AU11">
        <f>P11/Schema_v5!$C8</f>
        <v/>
      </c>
      <c r="AV11">
        <f>IF(Schema_v5!$C9=0,0,AH11/Schema_v5!$C9)</f>
        <v/>
      </c>
      <c r="AW11">
        <f>IF(Schema_v5!$C10=0,0,AE11/Schema_v5!$C10)</f>
        <v/>
      </c>
      <c r="AX11">
        <f>(W11-Schema_v5!$C11)/(Schema_v5!$C12-Schema_v5!$C11)</f>
        <v/>
      </c>
      <c r="AY11">
        <f>(X11-Schema_v5!$C13)/(Schema_v5!$C14-Schema_v5!$C13)</f>
        <v/>
      </c>
    </row>
    <row r="12">
      <c r="A12" s="3" t="inlineStr">
        <is>
          <t>Q03_A</t>
        </is>
      </c>
      <c r="B12" s="3" t="n">
        <v>3</v>
      </c>
      <c r="C12" s="3" t="n">
        <v>3</v>
      </c>
      <c r="D12" s="3" t="inlineStr">
        <is>
          <t>Core</t>
        </is>
      </c>
      <c r="E12" s="3" t="n">
        <v>1</v>
      </c>
      <c r="F12" s="3" t="inlineStr">
        <is>
          <t>CommunicationHealth</t>
        </is>
      </c>
      <c r="G12" s="3" t="inlineStr">
        <is>
          <t>EmotionalNeeds</t>
        </is>
      </c>
      <c r="H12" s="3" t="inlineStr">
        <is>
          <t>You start catching feelings and realizing you actually like this person. How does your energy shift?</t>
        </is>
      </c>
      <c r="I12" s="3" t="inlineStr">
        <is>
          <t>A</t>
        </is>
      </c>
      <c r="J12" s="3" t="inlineStr">
        <is>
          <t>A</t>
        </is>
      </c>
      <c r="K12" s="3" t="inlineStr">
        <is>
          <t>I pull back a little. Not to play games, I just need space to check if I'm seeing it clearly before I lean in.</t>
        </is>
      </c>
      <c r="L12" s="3" t="n">
        <v>6</v>
      </c>
      <c r="M12" s="3" t="n">
        <v>7</v>
      </c>
      <c r="N12" s="3" t="n">
        <v>2</v>
      </c>
      <c r="O12" s="3" t="n">
        <v>2</v>
      </c>
      <c r="P12" s="3" t="n">
        <v>0</v>
      </c>
      <c r="Q12" s="3" t="inlineStr">
        <is>
          <t>Icebox</t>
        </is>
      </c>
      <c r="R12" s="3" t="n">
        <v>1</v>
      </c>
      <c r="S12" s="3" t="inlineStr"/>
      <c r="T12" s="3" t="inlineStr"/>
      <c r="U12" s="3" t="n">
        <v>0</v>
      </c>
      <c r="V12" s="3" t="inlineStr">
        <is>
          <t>masc:1.8;fem:-1.6</t>
        </is>
      </c>
      <c r="W12" s="3" t="n">
        <v>1.8</v>
      </c>
      <c r="X12" s="3" t="n">
        <v>-1.6</v>
      </c>
      <c r="Y12" s="3" t="inlineStr">
        <is>
          <t>COMM_Avoidant</t>
        </is>
      </c>
      <c r="Z12" s="3" t="inlineStr">
        <is>
          <t>REG_Suppressor</t>
        </is>
      </c>
      <c r="AA12" s="3" t="inlineStr">
        <is>
          <t>LANG_Time</t>
        </is>
      </c>
      <c r="AB12" s="3" t="inlineStr"/>
      <c r="AC12" s="3" t="inlineStr"/>
      <c r="AD12" s="3" t="inlineStr"/>
      <c r="AE12" s="3" t="n">
        <v>0</v>
      </c>
      <c r="AF12" s="3" t="inlineStr">
        <is>
          <t>cautious distance</t>
        </is>
      </c>
      <c r="AG12" s="3" t="inlineStr">
        <is>
          <t>safety checker</t>
        </is>
      </c>
      <c r="AH12" s="3" t="n">
        <v>0.5</v>
      </c>
      <c r="AI12" s="3" t="inlineStr">
        <is>
          <t>no</t>
        </is>
      </c>
      <c r="AJ12" s="3" t="inlineStr">
        <is>
          <t>no</t>
        </is>
      </c>
      <c r="AK12" s="3" t="inlineStr">
        <is>
          <t>yes</t>
        </is>
      </c>
      <c r="AL12" s="3" t="inlineStr">
        <is>
          <t>yes</t>
        </is>
      </c>
      <c r="AM12" s="3" t="inlineStr"/>
      <c r="AN12" s="3" t="inlineStr"/>
      <c r="AO12" s="3" t="inlineStr"/>
      <c r="AP12" s="3" t="inlineStr">
        <is>
          <t>v3_2026-03-19</t>
        </is>
      </c>
      <c r="AQ12">
        <f>(L12-Schema_v5!$C2)/(Schema_v5!$C3-Schema_v5!$C2)</f>
        <v/>
      </c>
      <c r="AR12">
        <f>(M12-Schema_v5!$C4)/(Schema_v5!$C5-Schema_v5!$C4)</f>
        <v/>
      </c>
      <c r="AS12">
        <f>N12/Schema_v5!$C6</f>
        <v/>
      </c>
      <c r="AT12">
        <f>O12/Schema_v5!$C7</f>
        <v/>
      </c>
      <c r="AU12">
        <f>P12/Schema_v5!$C8</f>
        <v/>
      </c>
      <c r="AV12">
        <f>IF(Schema_v5!$C9=0,0,AH12/Schema_v5!$C9)</f>
        <v/>
      </c>
      <c r="AW12">
        <f>IF(Schema_v5!$C10=0,0,AE12/Schema_v5!$C10)</f>
        <v/>
      </c>
      <c r="AX12">
        <f>(W12-Schema_v5!$C11)/(Schema_v5!$C12-Schema_v5!$C11)</f>
        <v/>
      </c>
      <c r="AY12">
        <f>(X12-Schema_v5!$C13)/(Schema_v5!$C14-Schema_v5!$C13)</f>
        <v/>
      </c>
    </row>
    <row r="13">
      <c r="A13" s="3" t="inlineStr">
        <is>
          <t>Q03_B</t>
        </is>
      </c>
      <c r="B13" s="3" t="n">
        <v>3</v>
      </c>
      <c r="C13" s="3" t="n">
        <v>3</v>
      </c>
      <c r="D13" s="3" t="inlineStr">
        <is>
          <t>Core</t>
        </is>
      </c>
      <c r="E13" s="3" t="n">
        <v>1</v>
      </c>
      <c r="F13" s="3" t="inlineStr">
        <is>
          <t>CommunicationHealth</t>
        </is>
      </c>
      <c r="G13" s="3" t="inlineStr">
        <is>
          <t>EmotionalNeeds</t>
        </is>
      </c>
      <c r="H13" s="3" t="inlineStr"/>
      <c r="I13" s="3" t="inlineStr">
        <is>
          <t>B</t>
        </is>
      </c>
      <c r="J13" s="3" t="inlineStr">
        <is>
          <t>B</t>
        </is>
      </c>
      <c r="K13" s="3" t="inlineStr">
        <is>
          <t>I start imagining what it could be. I try not to get ahead of myself, I just like feeling what it can be.</t>
        </is>
      </c>
      <c r="L13" s="3" t="n">
        <v>7</v>
      </c>
      <c r="M13" s="3" t="n">
        <v>8</v>
      </c>
      <c r="N13" s="3" t="n">
        <v>4</v>
      </c>
      <c r="O13" s="3" t="n">
        <v>6</v>
      </c>
      <c r="P13" s="3" t="n">
        <v>4</v>
      </c>
      <c r="Q13" s="3" t="inlineStr">
        <is>
          <t>Romantic Idealist</t>
        </is>
      </c>
      <c r="R13" s="3" t="n">
        <v>6</v>
      </c>
      <c r="S13" s="3" t="inlineStr"/>
      <c r="T13" s="3" t="inlineStr"/>
      <c r="U13" s="3" t="n">
        <v>0</v>
      </c>
      <c r="V13" s="3" t="inlineStr">
        <is>
          <t>masc:-0.4;fem:1.5</t>
        </is>
      </c>
      <c r="W13" s="3" t="n">
        <v>-0.4</v>
      </c>
      <c r="X13" s="3" t="n">
        <v>1.5</v>
      </c>
      <c r="Y13" s="3" t="inlineStr">
        <is>
          <t>COMM_Emotional</t>
        </is>
      </c>
      <c r="Z13" s="3" t="inlineStr">
        <is>
          <t>REG_Distractor</t>
        </is>
      </c>
      <c r="AA13" s="3" t="inlineStr">
        <is>
          <t>LANG_Gifts</t>
        </is>
      </c>
      <c r="AB13" s="3" t="inlineStr">
        <is>
          <t>Humor_Shield , Affection_Mismatch</t>
        </is>
      </c>
      <c r="AC13" s="3" t="inlineStr">
        <is>
          <t>Humor_Shield</t>
        </is>
      </c>
      <c r="AD13" s="3" t="inlineStr">
        <is>
          <t>Affection_Mismatch</t>
        </is>
      </c>
      <c r="AE13" s="3" t="n">
        <v>7</v>
      </c>
      <c r="AF13" s="3" t="inlineStr">
        <is>
          <t>guarded playfulness</t>
        </is>
      </c>
      <c r="AG13" s="3" t="inlineStr">
        <is>
          <t>safe tester</t>
        </is>
      </c>
      <c r="AH13" s="3" t="n">
        <v>0.2</v>
      </c>
      <c r="AI13" s="3" t="inlineStr">
        <is>
          <t>yes</t>
        </is>
      </c>
      <c r="AJ13" s="3" t="inlineStr">
        <is>
          <t>no</t>
        </is>
      </c>
      <c r="AK13" s="3" t="inlineStr">
        <is>
          <t>yes</t>
        </is>
      </c>
      <c r="AL13" s="3" t="inlineStr">
        <is>
          <t>yes</t>
        </is>
      </c>
      <c r="AM13" s="3" t="inlineStr"/>
      <c r="AN13" s="3" t="inlineStr"/>
      <c r="AO13" s="3" t="inlineStr"/>
      <c r="AP13" s="3" t="inlineStr">
        <is>
          <t>v3_2026-03-19</t>
        </is>
      </c>
      <c r="AQ13">
        <f>(L13-Schema_v5!$C2)/(Schema_v5!$C3-Schema_v5!$C2)</f>
        <v/>
      </c>
      <c r="AR13">
        <f>(M13-Schema_v5!$C4)/(Schema_v5!$C5-Schema_v5!$C4)</f>
        <v/>
      </c>
      <c r="AS13">
        <f>N13/Schema_v5!$C6</f>
        <v/>
      </c>
      <c r="AT13">
        <f>O13/Schema_v5!$C7</f>
        <v/>
      </c>
      <c r="AU13">
        <f>P13/Schema_v5!$C8</f>
        <v/>
      </c>
      <c r="AV13">
        <f>IF(Schema_v5!$C9=0,0,AH13/Schema_v5!$C9)</f>
        <v/>
      </c>
      <c r="AW13">
        <f>IF(Schema_v5!$C10=0,0,AE13/Schema_v5!$C10)</f>
        <v/>
      </c>
      <c r="AX13">
        <f>(W13-Schema_v5!$C11)/(Schema_v5!$C12-Schema_v5!$C11)</f>
        <v/>
      </c>
      <c r="AY13">
        <f>(X13-Schema_v5!$C13)/(Schema_v5!$C14-Schema_v5!$C13)</f>
        <v/>
      </c>
    </row>
    <row r="14">
      <c r="A14" s="3" t="inlineStr">
        <is>
          <t>Q03_C</t>
        </is>
      </c>
      <c r="B14" s="3" t="n">
        <v>3</v>
      </c>
      <c r="C14" s="3" t="n">
        <v>3</v>
      </c>
      <c r="D14" s="3" t="inlineStr">
        <is>
          <t>Core</t>
        </is>
      </c>
      <c r="E14" s="3" t="n">
        <v>1</v>
      </c>
      <c r="F14" s="3" t="inlineStr">
        <is>
          <t>CommunicationHealth</t>
        </is>
      </c>
      <c r="G14" s="3" t="inlineStr">
        <is>
          <t>EmotionalNeeds</t>
        </is>
      </c>
      <c r="H14" s="3" t="inlineStr"/>
      <c r="I14" s="3" t="inlineStr">
        <is>
          <t>C</t>
        </is>
      </c>
      <c r="J14" s="3" t="inlineStr">
        <is>
          <t>C</t>
        </is>
      </c>
      <c r="K14" s="3" t="inlineStr">
        <is>
          <t>I don't say much, but I start showing up more, checking in, remembering little things. That's usually how I start showing my interest.</t>
        </is>
      </c>
      <c r="L14" s="3" t="n">
        <v>8</v>
      </c>
      <c r="M14" s="3" t="n">
        <v>9</v>
      </c>
      <c r="N14" s="3" t="n">
        <v>8</v>
      </c>
      <c r="O14" s="3" t="n">
        <v>8</v>
      </c>
      <c r="P14" s="3" t="n">
        <v>8</v>
      </c>
      <c r="Q14" s="3" t="inlineStr">
        <is>
          <t>Analyzer</t>
        </is>
      </c>
      <c r="R14" s="3" t="n">
        <v>2</v>
      </c>
      <c r="S14" s="3" t="inlineStr"/>
      <c r="T14" s="3" t="inlineStr"/>
      <c r="U14" s="3" t="n">
        <v>0</v>
      </c>
      <c r="V14" s="3" t="inlineStr">
        <is>
          <t>masc:1.4;fem:0.1</t>
        </is>
      </c>
      <c r="W14" s="3" t="n">
        <v>1.4</v>
      </c>
      <c r="X14" s="3" t="n">
        <v>0.1</v>
      </c>
      <c r="Y14" s="3" t="inlineStr">
        <is>
          <t>COMM_Logical</t>
        </is>
      </c>
      <c r="Z14" s="3" t="inlineStr">
        <is>
          <t>REG_SelfSoother</t>
        </is>
      </c>
      <c r="AA14" s="3" t="inlineStr">
        <is>
          <t>LANG_Service</t>
        </is>
      </c>
      <c r="AB14" s="3" t="inlineStr"/>
      <c r="AC14" s="3" t="inlineStr"/>
      <c r="AD14" s="3" t="inlineStr"/>
      <c r="AE14" s="3" t="n">
        <v>0</v>
      </c>
      <c r="AF14" s="3" t="inlineStr">
        <is>
          <t>steady investment</t>
        </is>
      </c>
      <c r="AG14" s="3" t="inlineStr">
        <is>
          <t>quiet prover</t>
        </is>
      </c>
      <c r="AH14" s="3" t="n">
        <v>0</v>
      </c>
      <c r="AI14" s="3" t="inlineStr">
        <is>
          <t>no</t>
        </is>
      </c>
      <c r="AJ14" s="3" t="inlineStr">
        <is>
          <t>no</t>
        </is>
      </c>
      <c r="AK14" s="3" t="inlineStr">
        <is>
          <t>yes</t>
        </is>
      </c>
      <c r="AL14" s="3" t="inlineStr">
        <is>
          <t>yes</t>
        </is>
      </c>
      <c r="AM14" s="3" t="inlineStr"/>
      <c r="AN14" s="3" t="inlineStr"/>
      <c r="AO14" s="3" t="inlineStr"/>
      <c r="AP14" s="3" t="inlineStr">
        <is>
          <t>v3_2026-03-19</t>
        </is>
      </c>
      <c r="AQ14">
        <f>(L14-Schema_v5!$C2)/(Schema_v5!$C3-Schema_v5!$C2)</f>
        <v/>
      </c>
      <c r="AR14">
        <f>(M14-Schema_v5!$C4)/(Schema_v5!$C5-Schema_v5!$C4)</f>
        <v/>
      </c>
      <c r="AS14">
        <f>N14/Schema_v5!$C6</f>
        <v/>
      </c>
      <c r="AT14">
        <f>O14/Schema_v5!$C7</f>
        <v/>
      </c>
      <c r="AU14">
        <f>P14/Schema_v5!$C8</f>
        <v/>
      </c>
      <c r="AV14">
        <f>IF(Schema_v5!$C9=0,0,AH14/Schema_v5!$C9)</f>
        <v/>
      </c>
      <c r="AW14">
        <f>IF(Schema_v5!$C10=0,0,AE14/Schema_v5!$C10)</f>
        <v/>
      </c>
      <c r="AX14">
        <f>(W14-Schema_v5!$C11)/(Schema_v5!$C12-Schema_v5!$C11)</f>
        <v/>
      </c>
      <c r="AY14">
        <f>(X14-Schema_v5!$C13)/(Schema_v5!$C14-Schema_v5!$C13)</f>
        <v/>
      </c>
    </row>
    <row r="15">
      <c r="A15" s="3" t="inlineStr">
        <is>
          <t>Q03_D</t>
        </is>
      </c>
      <c r="B15" s="3" t="n">
        <v>3</v>
      </c>
      <c r="C15" s="3" t="n">
        <v>3</v>
      </c>
      <c r="D15" s="3" t="inlineStr">
        <is>
          <t>Core</t>
        </is>
      </c>
      <c r="E15" s="3" t="n">
        <v>1</v>
      </c>
      <c r="F15" s="3" t="inlineStr">
        <is>
          <t>CommunicationHealth</t>
        </is>
      </c>
      <c r="G15" s="3" t="inlineStr">
        <is>
          <t>EmotionalNeeds</t>
        </is>
      </c>
      <c r="H15" s="3" t="inlineStr"/>
      <c r="I15" s="3" t="inlineStr">
        <is>
          <t>D</t>
        </is>
      </c>
      <c r="J15" s="3" t="inlineStr">
        <is>
          <t>D</t>
        </is>
      </c>
      <c r="K15" s="3" t="inlineStr">
        <is>
          <t>I want them to like me back, but I need to know it's safe first. So I keep it light while I wait on their actions.</t>
        </is>
      </c>
      <c r="L15" s="3" t="n">
        <v>6</v>
      </c>
      <c r="M15" s="3" t="n">
        <v>6</v>
      </c>
      <c r="N15" s="3" t="n">
        <v>4</v>
      </c>
      <c r="O15" s="3" t="n">
        <v>2</v>
      </c>
      <c r="P15" s="3" t="n">
        <v>2</v>
      </c>
      <c r="Q15" s="3" t="inlineStr">
        <is>
          <t>Phantom Seeker</t>
        </is>
      </c>
      <c r="R15" s="3" t="n">
        <v>10</v>
      </c>
      <c r="S15" s="3" t="inlineStr"/>
      <c r="T15" s="3" t="inlineStr"/>
      <c r="U15" s="3" t="n">
        <v>0</v>
      </c>
      <c r="V15" s="3" t="inlineStr">
        <is>
          <t>masc:-0.2;fem:1.5</t>
        </is>
      </c>
      <c r="W15" s="3" t="n">
        <v>-0.2</v>
      </c>
      <c r="X15" s="3" t="n">
        <v>1.5</v>
      </c>
      <c r="Y15" s="3" t="inlineStr">
        <is>
          <t>COMM_Emotional</t>
        </is>
      </c>
      <c r="Z15" s="3" t="inlineStr">
        <is>
          <t>REG_SelfSoother</t>
        </is>
      </c>
      <c r="AA15" s="3" t="inlineStr">
        <is>
          <t>LANG_Touch</t>
        </is>
      </c>
      <c r="AB15" s="3" t="inlineStr">
        <is>
          <t>Humor_Shield , Affection_Mismatch</t>
        </is>
      </c>
      <c r="AC15" s="3" t="inlineStr">
        <is>
          <t>Humor_Shield</t>
        </is>
      </c>
      <c r="AD15" s="3" t="inlineStr">
        <is>
          <t>Affection_Mismatch</t>
        </is>
      </c>
      <c r="AE15" s="3" t="n">
        <v>7</v>
      </c>
      <c r="AF15" s="3" t="inlineStr">
        <is>
          <t>guarded playfulness</t>
        </is>
      </c>
      <c r="AG15" s="3" t="inlineStr">
        <is>
          <t>safe tester</t>
        </is>
      </c>
      <c r="AH15" s="3" t="n">
        <v>0</v>
      </c>
      <c r="AI15" s="3" t="inlineStr">
        <is>
          <t>yes</t>
        </is>
      </c>
      <c r="AJ15" s="3" t="inlineStr">
        <is>
          <t>no</t>
        </is>
      </c>
      <c r="AK15" s="3" t="inlineStr">
        <is>
          <t>yes</t>
        </is>
      </c>
      <c r="AL15" s="3" t="inlineStr">
        <is>
          <t>yes</t>
        </is>
      </c>
      <c r="AM15" s="3" t="inlineStr"/>
      <c r="AN15" s="3" t="inlineStr"/>
      <c r="AO15" s="3" t="inlineStr"/>
      <c r="AP15" s="3" t="inlineStr">
        <is>
          <t>v3_2026-03-19</t>
        </is>
      </c>
      <c r="AQ15">
        <f>(L15-Schema_v5!$C2)/(Schema_v5!$C3-Schema_v5!$C2)</f>
        <v/>
      </c>
      <c r="AR15">
        <f>(M15-Schema_v5!$C4)/(Schema_v5!$C5-Schema_v5!$C4)</f>
        <v/>
      </c>
      <c r="AS15">
        <f>N15/Schema_v5!$C6</f>
        <v/>
      </c>
      <c r="AT15">
        <f>O15/Schema_v5!$C7</f>
        <v/>
      </c>
      <c r="AU15">
        <f>P15/Schema_v5!$C8</f>
        <v/>
      </c>
      <c r="AV15">
        <f>IF(Schema_v5!$C9=0,0,AH15/Schema_v5!$C9)</f>
        <v/>
      </c>
      <c r="AW15">
        <f>IF(Schema_v5!$C10=0,0,AE15/Schema_v5!$C10)</f>
        <v/>
      </c>
      <c r="AX15">
        <f>(W15-Schema_v5!$C11)/(Schema_v5!$C12-Schema_v5!$C11)</f>
        <v/>
      </c>
      <c r="AY15">
        <f>(X15-Schema_v5!$C13)/(Schema_v5!$C14-Schema_v5!$C13)</f>
        <v/>
      </c>
    </row>
    <row r="16">
      <c r="A16" s="3" t="inlineStr">
        <is>
          <t>Q03_E</t>
        </is>
      </c>
      <c r="B16" s="3" t="n">
        <v>3</v>
      </c>
      <c r="C16" s="3" t="n">
        <v>3</v>
      </c>
      <c r="D16" s="3" t="inlineStr">
        <is>
          <t>Core</t>
        </is>
      </c>
      <c r="E16" s="3" t="n">
        <v>1</v>
      </c>
      <c r="F16" s="3" t="inlineStr">
        <is>
          <t>CommunicationHealth</t>
        </is>
      </c>
      <c r="G16" s="3" t="inlineStr">
        <is>
          <t>EmotionalNeeds</t>
        </is>
      </c>
      <c r="H16" s="3" t="inlineStr"/>
      <c r="I16" s="3" t="inlineStr">
        <is>
          <t>E</t>
        </is>
      </c>
      <c r="J16" s="3" t="inlineStr">
        <is>
          <t>E</t>
        </is>
      </c>
      <c r="K16" s="3" t="inlineStr">
        <is>
          <t>If I like someone, yeah, it shows. But I've learned not to lean too far until I know they're showing up too. I'm not trying to guess where I stand.</t>
        </is>
      </c>
      <c r="L16" s="3" t="n">
        <v>9</v>
      </c>
      <c r="M16" s="3" t="n">
        <v>9</v>
      </c>
      <c r="N16" s="3" t="n">
        <v>10</v>
      </c>
      <c r="O16" s="3" t="n">
        <v>10</v>
      </c>
      <c r="P16" s="3" t="n">
        <v>10</v>
      </c>
      <c r="Q16" s="3" t="inlineStr">
        <is>
          <t>Regulated Grown-Up</t>
        </is>
      </c>
      <c r="R16" s="3" t="n">
        <v>9</v>
      </c>
      <c r="S16" s="3" t="inlineStr"/>
      <c r="T16" s="3" t="inlineStr"/>
      <c r="U16" s="3" t="n">
        <v>0</v>
      </c>
      <c r="V16" s="3" t="inlineStr">
        <is>
          <t>masc:1.1;fem:0.9</t>
        </is>
      </c>
      <c r="W16" s="3" t="n">
        <v>1.1</v>
      </c>
      <c r="X16" s="3" t="n">
        <v>0.9</v>
      </c>
      <c r="Y16" s="3" t="inlineStr">
        <is>
          <t>COMM_Direct</t>
        </is>
      </c>
      <c r="Z16" s="3" t="inlineStr">
        <is>
          <t>REG_CoRegulator</t>
        </is>
      </c>
      <c r="AA16" s="3" t="inlineStr">
        <is>
          <t>LANG_Words</t>
        </is>
      </c>
      <c r="AB16" s="3" t="inlineStr"/>
      <c r="AC16" s="3" t="inlineStr"/>
      <c r="AD16" s="3" t="inlineStr"/>
      <c r="AE16" s="3" t="n">
        <v>0</v>
      </c>
      <c r="AF16" s="3" t="inlineStr">
        <is>
          <t>balanced openness</t>
        </is>
      </c>
      <c r="AG16" s="3" t="inlineStr">
        <is>
          <t>readiness matcher</t>
        </is>
      </c>
      <c r="AH16" s="3" t="n">
        <v>0.2</v>
      </c>
      <c r="AI16" s="3" t="inlineStr">
        <is>
          <t>no</t>
        </is>
      </c>
      <c r="AJ16" s="3" t="inlineStr">
        <is>
          <t>no</t>
        </is>
      </c>
      <c r="AK16" s="3" t="inlineStr">
        <is>
          <t>yes</t>
        </is>
      </c>
      <c r="AL16" s="3" t="inlineStr">
        <is>
          <t>yes</t>
        </is>
      </c>
      <c r="AM16" s="3" t="inlineStr"/>
      <c r="AN16" s="3" t="inlineStr"/>
      <c r="AO16" s="3" t="inlineStr"/>
      <c r="AP16" s="3" t="inlineStr">
        <is>
          <t>v3_2026-03-19</t>
        </is>
      </c>
      <c r="AQ16">
        <f>(L16-Schema_v5!$C2)/(Schema_v5!$C3-Schema_v5!$C2)</f>
        <v/>
      </c>
      <c r="AR16">
        <f>(M16-Schema_v5!$C4)/(Schema_v5!$C5-Schema_v5!$C4)</f>
        <v/>
      </c>
      <c r="AS16">
        <f>N16/Schema_v5!$C6</f>
        <v/>
      </c>
      <c r="AT16">
        <f>O16/Schema_v5!$C7</f>
        <v/>
      </c>
      <c r="AU16">
        <f>P16/Schema_v5!$C8</f>
        <v/>
      </c>
      <c r="AV16">
        <f>IF(Schema_v5!$C9=0,0,AH16/Schema_v5!$C9)</f>
        <v/>
      </c>
      <c r="AW16">
        <f>IF(Schema_v5!$C10=0,0,AE16/Schema_v5!$C10)</f>
        <v/>
      </c>
      <c r="AX16">
        <f>(W16-Schema_v5!$C11)/(Schema_v5!$C12-Schema_v5!$C11)</f>
        <v/>
      </c>
      <c r="AY16">
        <f>(X16-Schema_v5!$C13)/(Schema_v5!$C14-Schema_v5!$C13)</f>
        <v/>
      </c>
    </row>
    <row r="17">
      <c r="A17" s="3" t="inlineStr">
        <is>
          <t>Q04_A</t>
        </is>
      </c>
      <c r="B17" s="3" t="n">
        <v>4</v>
      </c>
      <c r="C17" s="3" t="n">
        <v>4</v>
      </c>
      <c r="D17" s="3" t="inlineStr">
        <is>
          <t>Core</t>
        </is>
      </c>
      <c r="E17" s="3" t="n">
        <v>1</v>
      </c>
      <c r="F17" s="3" t="inlineStr">
        <is>
          <t>CommunicationHealth</t>
        </is>
      </c>
      <c r="G17" s="3" t="inlineStr">
        <is>
          <t>EmotionalNeeds</t>
        </is>
      </c>
      <c r="H17" s="3" t="inlineStr">
        <is>
          <t>You're starting to notice some red flags. Nothing explosive, just little things that don't sit right. What do you do with that feeling?</t>
        </is>
      </c>
      <c r="I17" s="3" t="inlineStr">
        <is>
          <t>A</t>
        </is>
      </c>
      <c r="J17" s="3" t="inlineStr">
        <is>
          <t>A</t>
        </is>
      </c>
      <c r="K17" s="3" t="inlineStr">
        <is>
          <t>I keep watching. I've learned not to bring things up too early. People need time to reveal themselves.</t>
        </is>
      </c>
      <c r="L17" s="3" t="n">
        <v>7</v>
      </c>
      <c r="M17" s="3" t="n">
        <v>8</v>
      </c>
      <c r="N17" s="3" t="n">
        <v>6</v>
      </c>
      <c r="O17" s="3" t="n">
        <v>6</v>
      </c>
      <c r="P17" s="3" t="n">
        <v>6</v>
      </c>
      <c r="Q17" s="3" t="inlineStr">
        <is>
          <t>Analyzer</t>
        </is>
      </c>
      <c r="R17" s="3" t="n">
        <v>2</v>
      </c>
      <c r="S17" s="3" t="inlineStr"/>
      <c r="T17" s="3" t="inlineStr"/>
      <c r="U17" s="3" t="n">
        <v>0</v>
      </c>
      <c r="V17" s="3" t="inlineStr">
        <is>
          <t>masc:1.4;fem:0.1</t>
        </is>
      </c>
      <c r="W17" s="3" t="n">
        <v>1.4</v>
      </c>
      <c r="X17" s="3" t="n">
        <v>0.1</v>
      </c>
      <c r="Y17" s="3" t="inlineStr">
        <is>
          <t>COMM_Logical</t>
        </is>
      </c>
      <c r="Z17" s="3" t="inlineStr">
        <is>
          <t>REG_SelfSoother</t>
        </is>
      </c>
      <c r="AA17" s="3" t="inlineStr">
        <is>
          <t>LANG_Service</t>
        </is>
      </c>
      <c r="AB17" s="3" t="inlineStr"/>
      <c r="AC17" s="3" t="inlineStr"/>
      <c r="AD17" s="3" t="inlineStr"/>
      <c r="AE17" s="3" t="n">
        <v>0</v>
      </c>
      <c r="AF17" s="3" t="inlineStr">
        <is>
          <t>silent observation</t>
        </is>
      </c>
      <c r="AG17" s="3" t="inlineStr">
        <is>
          <t>patient tracker</t>
        </is>
      </c>
      <c r="AH17" s="3" t="n">
        <v>1.2</v>
      </c>
      <c r="AI17" s="3" t="inlineStr">
        <is>
          <t>no</t>
        </is>
      </c>
      <c r="AJ17" s="3" t="inlineStr">
        <is>
          <t>no</t>
        </is>
      </c>
      <c r="AK17" s="3" t="inlineStr">
        <is>
          <t>yes</t>
        </is>
      </c>
      <c r="AL17" s="3" t="inlineStr">
        <is>
          <t>yes</t>
        </is>
      </c>
      <c r="AM17" s="3" t="inlineStr"/>
      <c r="AN17" s="3" t="inlineStr"/>
      <c r="AO17" s="3" t="inlineStr"/>
      <c r="AP17" s="3" t="inlineStr">
        <is>
          <t>v3_2026-03-19</t>
        </is>
      </c>
      <c r="AQ17">
        <f>(L17-Schema_v5!$C2)/(Schema_v5!$C3-Schema_v5!$C2)</f>
        <v/>
      </c>
      <c r="AR17">
        <f>(M17-Schema_v5!$C4)/(Schema_v5!$C5-Schema_v5!$C4)</f>
        <v/>
      </c>
      <c r="AS17">
        <f>N17/Schema_v5!$C6</f>
        <v/>
      </c>
      <c r="AT17">
        <f>O17/Schema_v5!$C7</f>
        <v/>
      </c>
      <c r="AU17">
        <f>P17/Schema_v5!$C8</f>
        <v/>
      </c>
      <c r="AV17">
        <f>IF(Schema_v5!$C9=0,0,AH17/Schema_v5!$C9)</f>
        <v/>
      </c>
      <c r="AW17">
        <f>IF(Schema_v5!$C10=0,0,AE17/Schema_v5!$C10)</f>
        <v/>
      </c>
      <c r="AX17">
        <f>(W17-Schema_v5!$C11)/(Schema_v5!$C12-Schema_v5!$C11)</f>
        <v/>
      </c>
      <c r="AY17">
        <f>(X17-Schema_v5!$C13)/(Schema_v5!$C14-Schema_v5!$C13)</f>
        <v/>
      </c>
    </row>
    <row r="18">
      <c r="A18" s="3" t="inlineStr">
        <is>
          <t>Q04_B</t>
        </is>
      </c>
      <c r="B18" s="3" t="n">
        <v>4</v>
      </c>
      <c r="C18" s="3" t="n">
        <v>4</v>
      </c>
      <c r="D18" s="3" t="inlineStr">
        <is>
          <t>Core</t>
        </is>
      </c>
      <c r="E18" s="3" t="n">
        <v>1</v>
      </c>
      <c r="F18" s="3" t="inlineStr">
        <is>
          <t>CommunicationHealth</t>
        </is>
      </c>
      <c r="G18" s="3" t="inlineStr">
        <is>
          <t>EmotionalNeeds</t>
        </is>
      </c>
      <c r="H18" s="3" t="inlineStr"/>
      <c r="I18" s="3" t="inlineStr">
        <is>
          <t>B</t>
        </is>
      </c>
      <c r="J18" s="3" t="inlineStr">
        <is>
          <t>B</t>
        </is>
      </c>
      <c r="K18" s="3" t="inlineStr">
        <is>
          <t>I ignore it at first. I don't want to ruin a good thing by overthinking. Sometimes I just want it to stay good for a little while.</t>
        </is>
      </c>
      <c r="L18" s="3" t="n">
        <v>5</v>
      </c>
      <c r="M18" s="3" t="n">
        <v>6</v>
      </c>
      <c r="N18" s="3" t="n">
        <v>2</v>
      </c>
      <c r="O18" s="3" t="n">
        <v>2</v>
      </c>
      <c r="P18" s="3" t="n">
        <v>0</v>
      </c>
      <c r="Q18" s="3" t="inlineStr">
        <is>
          <t>Romantic Idealist</t>
        </is>
      </c>
      <c r="R18" s="3" t="n">
        <v>6</v>
      </c>
      <c r="S18" s="3" t="inlineStr"/>
      <c r="T18" s="3" t="inlineStr"/>
      <c r="U18" s="3" t="n">
        <v>0</v>
      </c>
      <c r="V18" s="3" t="inlineStr">
        <is>
          <t>masc:-0.4;fem:1.5</t>
        </is>
      </c>
      <c r="W18" s="3" t="n">
        <v>-0.4</v>
      </c>
      <c r="X18" s="3" t="n">
        <v>1.5</v>
      </c>
      <c r="Y18" s="3" t="inlineStr">
        <is>
          <t>COMM_Emotional</t>
        </is>
      </c>
      <c r="Z18" s="3" t="inlineStr">
        <is>
          <t>REG_Distractor</t>
        </is>
      </c>
      <c r="AA18" s="3" t="inlineStr">
        <is>
          <t>LANG_Gifts</t>
        </is>
      </c>
      <c r="AB18" s="3" t="inlineStr">
        <is>
          <t>Commitment_Ambiguity</t>
        </is>
      </c>
      <c r="AC18" s="3" t="inlineStr">
        <is>
          <t>Commitment_Ambiguity</t>
        </is>
      </c>
      <c r="AD18" s="3" t="inlineStr"/>
      <c r="AE18" s="3" t="n">
        <v>5</v>
      </c>
      <c r="AF18" s="3" t="inlineStr">
        <is>
          <t>optimism over caution</t>
        </is>
      </c>
      <c r="AG18" s="3" t="inlineStr">
        <is>
          <t>avoidant hope</t>
        </is>
      </c>
      <c r="AH18" s="3" t="n">
        <v>0.6</v>
      </c>
      <c r="AI18" s="3" t="inlineStr">
        <is>
          <t>yes</t>
        </is>
      </c>
      <c r="AJ18" s="3" t="inlineStr">
        <is>
          <t>no</t>
        </is>
      </c>
      <c r="AK18" s="3" t="inlineStr">
        <is>
          <t>yes</t>
        </is>
      </c>
      <c r="AL18" s="3" t="inlineStr">
        <is>
          <t>yes</t>
        </is>
      </c>
      <c r="AM18" s="3" t="inlineStr"/>
      <c r="AN18" s="3" t="inlineStr"/>
      <c r="AO18" s="3" t="inlineStr"/>
      <c r="AP18" s="3" t="inlineStr">
        <is>
          <t>v3_2026-03-19</t>
        </is>
      </c>
      <c r="AQ18">
        <f>(L18-Schema_v5!$C2)/(Schema_v5!$C3-Schema_v5!$C2)</f>
        <v/>
      </c>
      <c r="AR18">
        <f>(M18-Schema_v5!$C4)/(Schema_v5!$C5-Schema_v5!$C4)</f>
        <v/>
      </c>
      <c r="AS18">
        <f>N18/Schema_v5!$C6</f>
        <v/>
      </c>
      <c r="AT18">
        <f>O18/Schema_v5!$C7</f>
        <v/>
      </c>
      <c r="AU18">
        <f>P18/Schema_v5!$C8</f>
        <v/>
      </c>
      <c r="AV18">
        <f>IF(Schema_v5!$C9=0,0,AH18/Schema_v5!$C9)</f>
        <v/>
      </c>
      <c r="AW18">
        <f>IF(Schema_v5!$C10=0,0,AE18/Schema_v5!$C10)</f>
        <v/>
      </c>
      <c r="AX18">
        <f>(W18-Schema_v5!$C11)/(Schema_v5!$C12-Schema_v5!$C11)</f>
        <v/>
      </c>
      <c r="AY18">
        <f>(X18-Schema_v5!$C13)/(Schema_v5!$C14-Schema_v5!$C13)</f>
        <v/>
      </c>
    </row>
    <row r="19">
      <c r="A19" s="3" t="inlineStr">
        <is>
          <t>Q04_C</t>
        </is>
      </c>
      <c r="B19" s="3" t="n">
        <v>4</v>
      </c>
      <c r="C19" s="3" t="n">
        <v>4</v>
      </c>
      <c r="D19" s="3" t="inlineStr">
        <is>
          <t>Core</t>
        </is>
      </c>
      <c r="E19" s="3" t="n">
        <v>1</v>
      </c>
      <c r="F19" s="3" t="inlineStr">
        <is>
          <t>CommunicationHealth</t>
        </is>
      </c>
      <c r="G19" s="3" t="inlineStr">
        <is>
          <t>EmotionalNeeds</t>
        </is>
      </c>
      <c r="H19" s="3" t="inlineStr"/>
      <c r="I19" s="3" t="inlineStr">
        <is>
          <t>C</t>
        </is>
      </c>
      <c r="J19" s="3" t="inlineStr">
        <is>
          <t>C</t>
        </is>
      </c>
      <c r="K19" s="3" t="inlineStr">
        <is>
          <t>I call it out. I just say what I see. I'd rather know now than waste time.</t>
        </is>
      </c>
      <c r="L19" s="3" t="n">
        <v>10</v>
      </c>
      <c r="M19" s="3" t="n">
        <v>10</v>
      </c>
      <c r="N19" s="3" t="n">
        <v>10</v>
      </c>
      <c r="O19" s="3" t="n">
        <v>10</v>
      </c>
      <c r="P19" s="3" t="n">
        <v>10</v>
      </c>
      <c r="Q19" s="3" t="inlineStr">
        <is>
          <t>Regulated Grown-Up</t>
        </is>
      </c>
      <c r="R19" s="3" t="n">
        <v>9</v>
      </c>
      <c r="S19" s="3" t="inlineStr"/>
      <c r="T19" s="3" t="inlineStr"/>
      <c r="U19" s="3" t="n">
        <v>0</v>
      </c>
      <c r="V19" s="3" t="inlineStr">
        <is>
          <t>masc:1.1;fem:0.9</t>
        </is>
      </c>
      <c r="W19" s="3" t="n">
        <v>1.1</v>
      </c>
      <c r="X19" s="3" t="n">
        <v>0.9</v>
      </c>
      <c r="Y19" s="3" t="inlineStr">
        <is>
          <t>COMM_Direct</t>
        </is>
      </c>
      <c r="Z19" s="3" t="inlineStr">
        <is>
          <t>REG_CoRegulator</t>
        </is>
      </c>
      <c r="AA19" s="3" t="inlineStr">
        <is>
          <t>LANG_Words</t>
        </is>
      </c>
      <c r="AB19" s="3" t="inlineStr"/>
      <c r="AC19" s="3" t="inlineStr"/>
      <c r="AD19" s="3" t="inlineStr"/>
      <c r="AE19" s="3" t="n">
        <v>0</v>
      </c>
      <c r="AF19" s="3" t="inlineStr">
        <is>
          <t>early clarity</t>
        </is>
      </c>
      <c r="AG19" s="3" t="inlineStr">
        <is>
          <t>straight talker</t>
        </is>
      </c>
      <c r="AH19" s="3" t="n">
        <v>0</v>
      </c>
      <c r="AI19" s="3" t="inlineStr">
        <is>
          <t>no</t>
        </is>
      </c>
      <c r="AJ19" s="3" t="inlineStr">
        <is>
          <t>no</t>
        </is>
      </c>
      <c r="AK19" s="3" t="inlineStr">
        <is>
          <t>yes</t>
        </is>
      </c>
      <c r="AL19" s="3" t="inlineStr">
        <is>
          <t>yes</t>
        </is>
      </c>
      <c r="AM19" s="3" t="inlineStr"/>
      <c r="AN19" s="3" t="inlineStr"/>
      <c r="AO19" s="3" t="inlineStr"/>
      <c r="AP19" s="3" t="inlineStr">
        <is>
          <t>v3_2026-03-19</t>
        </is>
      </c>
      <c r="AQ19">
        <f>(L19-Schema_v5!$C2)/(Schema_v5!$C3-Schema_v5!$C2)</f>
        <v/>
      </c>
      <c r="AR19">
        <f>(M19-Schema_v5!$C4)/(Schema_v5!$C5-Schema_v5!$C4)</f>
        <v/>
      </c>
      <c r="AS19">
        <f>N19/Schema_v5!$C6</f>
        <v/>
      </c>
      <c r="AT19">
        <f>O19/Schema_v5!$C7</f>
        <v/>
      </c>
      <c r="AU19">
        <f>P19/Schema_v5!$C8</f>
        <v/>
      </c>
      <c r="AV19">
        <f>IF(Schema_v5!$C9=0,0,AH19/Schema_v5!$C9)</f>
        <v/>
      </c>
      <c r="AW19">
        <f>IF(Schema_v5!$C10=0,0,AE19/Schema_v5!$C10)</f>
        <v/>
      </c>
      <c r="AX19">
        <f>(W19-Schema_v5!$C11)/(Schema_v5!$C12-Schema_v5!$C11)</f>
        <v/>
      </c>
      <c r="AY19">
        <f>(X19-Schema_v5!$C13)/(Schema_v5!$C14-Schema_v5!$C13)</f>
        <v/>
      </c>
    </row>
    <row r="20">
      <c r="A20" s="3" t="inlineStr">
        <is>
          <t>Q04_D</t>
        </is>
      </c>
      <c r="B20" s="3" t="n">
        <v>4</v>
      </c>
      <c r="C20" s="3" t="n">
        <v>4</v>
      </c>
      <c r="D20" s="3" t="inlineStr">
        <is>
          <t>Core</t>
        </is>
      </c>
      <c r="E20" s="3" t="n">
        <v>1</v>
      </c>
      <c r="F20" s="3" t="inlineStr">
        <is>
          <t>CommunicationHealth</t>
        </is>
      </c>
      <c r="G20" s="3" t="inlineStr">
        <is>
          <t>EmotionalNeeds</t>
        </is>
      </c>
      <c r="H20" s="3" t="inlineStr"/>
      <c r="I20" s="3" t="inlineStr">
        <is>
          <t>D</t>
        </is>
      </c>
      <c r="J20" s="3" t="inlineStr">
        <is>
          <t>D</t>
        </is>
      </c>
      <c r="K20" s="3" t="inlineStr">
        <is>
          <t>I tell myself I'm just being too picky or expecting too much. So I wait. I just stop texting first and start holding back.</t>
        </is>
      </c>
      <c r="L20" s="3" t="n">
        <v>4</v>
      </c>
      <c r="M20" s="3" t="n">
        <v>5</v>
      </c>
      <c r="N20" s="3" t="n">
        <v>0</v>
      </c>
      <c r="O20" s="3" t="n">
        <v>2</v>
      </c>
      <c r="P20" s="3" t="n">
        <v>0</v>
      </c>
      <c r="Q20" s="3" t="inlineStr">
        <is>
          <t>Phantom Seeker</t>
        </is>
      </c>
      <c r="R20" s="3" t="n">
        <v>10</v>
      </c>
      <c r="S20" s="3" t="inlineStr"/>
      <c r="T20" s="3" t="inlineStr"/>
      <c r="U20" s="3" t="n">
        <v>0</v>
      </c>
      <c r="V20" s="3" t="inlineStr">
        <is>
          <t>masc:-0.2;fem:1.5</t>
        </is>
      </c>
      <c r="W20" s="3" t="n">
        <v>-0.2</v>
      </c>
      <c r="X20" s="3" t="n">
        <v>1.5</v>
      </c>
      <c r="Y20" s="3" t="inlineStr">
        <is>
          <t>COMM_Emotional</t>
        </is>
      </c>
      <c r="Z20" s="3" t="inlineStr">
        <is>
          <t>REG_SelfSoother</t>
        </is>
      </c>
      <c r="AA20" s="3" t="inlineStr">
        <is>
          <t>LANG_Touch</t>
        </is>
      </c>
      <c r="AB20" s="3" t="inlineStr">
        <is>
          <t>Commitment_Ambiguity</t>
        </is>
      </c>
      <c r="AC20" s="3" t="inlineStr">
        <is>
          <t>Commitment_Ambiguity</t>
        </is>
      </c>
      <c r="AD20" s="3" t="inlineStr"/>
      <c r="AE20" s="3" t="n">
        <v>5</v>
      </c>
      <c r="AF20" s="3" t="inlineStr">
        <is>
          <t>self-doubt delay</t>
        </is>
      </c>
      <c r="AG20" s="3" t="inlineStr">
        <is>
          <t>pullback protector</t>
        </is>
      </c>
      <c r="AH20" s="3" t="n">
        <v>0.6</v>
      </c>
      <c r="AI20" s="3" t="inlineStr">
        <is>
          <t>yes</t>
        </is>
      </c>
      <c r="AJ20" s="3" t="inlineStr">
        <is>
          <t>no</t>
        </is>
      </c>
      <c r="AK20" s="3" t="inlineStr">
        <is>
          <t>yes</t>
        </is>
      </c>
      <c r="AL20" s="3" t="inlineStr">
        <is>
          <t>yes</t>
        </is>
      </c>
      <c r="AM20" s="3" t="inlineStr"/>
      <c r="AN20" s="3" t="inlineStr"/>
      <c r="AO20" s="3" t="inlineStr"/>
      <c r="AP20" s="3" t="inlineStr">
        <is>
          <t>v3_2026-03-19</t>
        </is>
      </c>
      <c r="AQ20">
        <f>(L20-Schema_v5!$C2)/(Schema_v5!$C3-Schema_v5!$C2)</f>
        <v/>
      </c>
      <c r="AR20">
        <f>(M20-Schema_v5!$C4)/(Schema_v5!$C5-Schema_v5!$C4)</f>
        <v/>
      </c>
      <c r="AS20">
        <f>N20/Schema_v5!$C6</f>
        <v/>
      </c>
      <c r="AT20">
        <f>O20/Schema_v5!$C7</f>
        <v/>
      </c>
      <c r="AU20">
        <f>P20/Schema_v5!$C8</f>
        <v/>
      </c>
      <c r="AV20">
        <f>IF(Schema_v5!$C9=0,0,AH20/Schema_v5!$C9)</f>
        <v/>
      </c>
      <c r="AW20">
        <f>IF(Schema_v5!$C10=0,0,AE20/Schema_v5!$C10)</f>
        <v/>
      </c>
      <c r="AX20">
        <f>(W20-Schema_v5!$C11)/(Schema_v5!$C12-Schema_v5!$C11)</f>
        <v/>
      </c>
      <c r="AY20">
        <f>(X20-Schema_v5!$C13)/(Schema_v5!$C14-Schema_v5!$C13)</f>
        <v/>
      </c>
    </row>
    <row r="21">
      <c r="A21" s="3" t="inlineStr">
        <is>
          <t>Q04_E</t>
        </is>
      </c>
      <c r="B21" s="3" t="n">
        <v>4</v>
      </c>
      <c r="C21" s="3" t="n">
        <v>4</v>
      </c>
      <c r="D21" s="3" t="inlineStr">
        <is>
          <t>Core</t>
        </is>
      </c>
      <c r="E21" s="3" t="n">
        <v>1</v>
      </c>
      <c r="F21" s="3" t="inlineStr">
        <is>
          <t>CommunicationHealth</t>
        </is>
      </c>
      <c r="G21" s="3" t="inlineStr">
        <is>
          <t>EmotionalNeeds</t>
        </is>
      </c>
      <c r="H21" s="3" t="inlineStr"/>
      <c r="I21" s="3" t="inlineStr">
        <is>
          <t>E</t>
        </is>
      </c>
      <c r="J21" s="3" t="inlineStr">
        <is>
          <t>E</t>
        </is>
      </c>
      <c r="K21" s="3" t="inlineStr">
        <is>
          <t>I've learned not to announce when I'm done, I just leave when I'm sure. I downplay it out loud, but mentally I start planning my exit.</t>
        </is>
      </c>
      <c r="L21" s="3" t="n">
        <v>8</v>
      </c>
      <c r="M21" s="3" t="n">
        <v>8</v>
      </c>
      <c r="N21" s="3" t="n">
        <v>4</v>
      </c>
      <c r="O21" s="3" t="n">
        <v>4</v>
      </c>
      <c r="P21" s="3" t="n">
        <v>0</v>
      </c>
      <c r="Q21" s="3" t="inlineStr">
        <is>
          <t>Quiet Exit</t>
        </is>
      </c>
      <c r="R21" s="3" t="n">
        <v>4</v>
      </c>
      <c r="S21" s="3" t="inlineStr"/>
      <c r="T21" s="3" t="inlineStr"/>
      <c r="U21" s="3" t="n">
        <v>0</v>
      </c>
      <c r="V21" s="3" t="inlineStr">
        <is>
          <t>masc:1.4;fem:-1.3</t>
        </is>
      </c>
      <c r="W21" s="3" t="n">
        <v>1.4</v>
      </c>
      <c r="X21" s="3" t="n">
        <v>-1.3</v>
      </c>
      <c r="Y21" s="3" t="inlineStr">
        <is>
          <t>COMM_Avoidant</t>
        </is>
      </c>
      <c r="Z21" s="3" t="inlineStr">
        <is>
          <t>REG_Suppressor</t>
        </is>
      </c>
      <c r="AA21" s="3" t="inlineStr">
        <is>
          <t>LANG_Time</t>
        </is>
      </c>
      <c r="AB21" s="3" t="inlineStr"/>
      <c r="AC21" s="3" t="inlineStr"/>
      <c r="AD21" s="3" t="inlineStr"/>
      <c r="AE21" s="3" t="n">
        <v>0</v>
      </c>
      <c r="AF21" s="3" t="inlineStr">
        <is>
          <t>silent exit plan</t>
        </is>
      </c>
      <c r="AG21" s="3" t="inlineStr">
        <is>
          <t>strategic withdrawer</t>
        </is>
      </c>
      <c r="AH21" s="3" t="n">
        <v>1.2</v>
      </c>
      <c r="AI21" s="3" t="inlineStr">
        <is>
          <t>no</t>
        </is>
      </c>
      <c r="AJ21" s="3" t="inlineStr">
        <is>
          <t>no</t>
        </is>
      </c>
      <c r="AK21" s="3" t="inlineStr">
        <is>
          <t>yes</t>
        </is>
      </c>
      <c r="AL21" s="3" t="inlineStr">
        <is>
          <t>yes</t>
        </is>
      </c>
      <c r="AM21" s="3" t="inlineStr"/>
      <c r="AN21" s="3" t="inlineStr"/>
      <c r="AO21" s="3" t="inlineStr"/>
      <c r="AP21" s="3" t="inlineStr">
        <is>
          <t>v3_2026-03-19</t>
        </is>
      </c>
      <c r="AQ21">
        <f>(L21-Schema_v5!$C2)/(Schema_v5!$C3-Schema_v5!$C2)</f>
        <v/>
      </c>
      <c r="AR21">
        <f>(M21-Schema_v5!$C4)/(Schema_v5!$C5-Schema_v5!$C4)</f>
        <v/>
      </c>
      <c r="AS21">
        <f>N21/Schema_v5!$C6</f>
        <v/>
      </c>
      <c r="AT21">
        <f>O21/Schema_v5!$C7</f>
        <v/>
      </c>
      <c r="AU21">
        <f>P21/Schema_v5!$C8</f>
        <v/>
      </c>
      <c r="AV21">
        <f>IF(Schema_v5!$C9=0,0,AH21/Schema_v5!$C9)</f>
        <v/>
      </c>
      <c r="AW21">
        <f>IF(Schema_v5!$C10=0,0,AE21/Schema_v5!$C10)</f>
        <v/>
      </c>
      <c r="AX21">
        <f>(W21-Schema_v5!$C11)/(Schema_v5!$C12-Schema_v5!$C11)</f>
        <v/>
      </c>
      <c r="AY21">
        <f>(X21-Schema_v5!$C13)/(Schema_v5!$C14-Schema_v5!$C13)</f>
        <v/>
      </c>
    </row>
    <row r="22">
      <c r="A22" s="3" t="inlineStr">
        <is>
          <t>Q05_A</t>
        </is>
      </c>
      <c r="B22" s="3" t="n">
        <v>5</v>
      </c>
      <c r="C22" s="3" t="n">
        <v>5</v>
      </c>
      <c r="D22" s="3" t="inlineStr">
        <is>
          <t>Core</t>
        </is>
      </c>
      <c r="E22" s="3" t="n">
        <v>1</v>
      </c>
      <c r="F22" s="3" t="inlineStr">
        <is>
          <t>CommunicationHealth</t>
        </is>
      </c>
      <c r="G22" s="3" t="inlineStr">
        <is>
          <t>EmotionalNeeds</t>
        </is>
      </c>
      <c r="H22" s="3" t="inlineStr">
        <is>
          <t>You open up about something personal. They listen, but they don't really respond or say much. How do you take that?</t>
        </is>
      </c>
      <c r="I22" s="3" t="inlineStr">
        <is>
          <t>A</t>
        </is>
      </c>
      <c r="J22" s="3" t="inlineStr">
        <is>
          <t>A</t>
        </is>
      </c>
      <c r="K22" s="3" t="inlineStr">
        <is>
          <t>I don't expect much from people emotionally. I just log it as "noted" and move on. No point getting deep with someone who doesn't meet you there.</t>
        </is>
      </c>
      <c r="L22" s="3" t="n">
        <v>4</v>
      </c>
      <c r="M22" s="3" t="n">
        <v>5</v>
      </c>
      <c r="N22" s="3" t="n">
        <v>0</v>
      </c>
      <c r="O22" s="3" t="n">
        <v>0</v>
      </c>
      <c r="P22" s="3" t="n">
        <v>0</v>
      </c>
      <c r="Q22" s="3" t="inlineStr">
        <is>
          <t>Icebox</t>
        </is>
      </c>
      <c r="R22" s="3" t="n">
        <v>1</v>
      </c>
      <c r="S22" s="3" t="inlineStr"/>
      <c r="T22" s="3" t="inlineStr"/>
      <c r="U22" s="3" t="n">
        <v>0</v>
      </c>
      <c r="V22" s="3" t="inlineStr">
        <is>
          <t>masc:1.8;fem:-1.6</t>
        </is>
      </c>
      <c r="W22" s="3" t="n">
        <v>1.8</v>
      </c>
      <c r="X22" s="3" t="n">
        <v>-1.6</v>
      </c>
      <c r="Y22" s="3" t="inlineStr">
        <is>
          <t>COMM_Avoidant</t>
        </is>
      </c>
      <c r="Z22" s="3" t="inlineStr">
        <is>
          <t>REG_Suppressor</t>
        </is>
      </c>
      <c r="AA22" s="3" t="inlineStr">
        <is>
          <t>LANG_Time</t>
        </is>
      </c>
      <c r="AB22" s="3" t="inlineStr">
        <is>
          <t>Scorekeeping_Echo , Vulnerability_Loop</t>
        </is>
      </c>
      <c r="AC22" s="3" t="inlineStr">
        <is>
          <t>Scorekeeping_Echo</t>
        </is>
      </c>
      <c r="AD22" s="3" t="inlineStr">
        <is>
          <t>Vulnerability_Loop</t>
        </is>
      </c>
      <c r="AE22" s="3" t="n">
        <v>13</v>
      </c>
      <c r="AF22" s="3" t="inlineStr">
        <is>
          <t>low expectation logging</t>
        </is>
      </c>
      <c r="AG22" s="3" t="inlineStr">
        <is>
          <t>cool detacher</t>
        </is>
      </c>
      <c r="AH22" s="3" t="n">
        <v>0.6</v>
      </c>
      <c r="AI22" s="3" t="inlineStr">
        <is>
          <t>yes</t>
        </is>
      </c>
      <c r="AJ22" s="3" t="inlineStr">
        <is>
          <t>no</t>
        </is>
      </c>
      <c r="AK22" s="3" t="inlineStr">
        <is>
          <t>yes</t>
        </is>
      </c>
      <c r="AL22" s="3" t="inlineStr">
        <is>
          <t>yes</t>
        </is>
      </c>
      <c r="AM22" s="3" t="inlineStr"/>
      <c r="AN22" s="3" t="inlineStr"/>
      <c r="AO22" s="3" t="inlineStr"/>
      <c r="AP22" s="3" t="inlineStr">
        <is>
          <t>v3_2026-03-19</t>
        </is>
      </c>
      <c r="AQ22">
        <f>(L22-Schema_v5!$C2)/(Schema_v5!$C3-Schema_v5!$C2)</f>
        <v/>
      </c>
      <c r="AR22">
        <f>(M22-Schema_v5!$C4)/(Schema_v5!$C5-Schema_v5!$C4)</f>
        <v/>
      </c>
      <c r="AS22">
        <f>N22/Schema_v5!$C6</f>
        <v/>
      </c>
      <c r="AT22">
        <f>O22/Schema_v5!$C7</f>
        <v/>
      </c>
      <c r="AU22">
        <f>P22/Schema_v5!$C8</f>
        <v/>
      </c>
      <c r="AV22">
        <f>IF(Schema_v5!$C9=0,0,AH22/Schema_v5!$C9)</f>
        <v/>
      </c>
      <c r="AW22">
        <f>IF(Schema_v5!$C10=0,0,AE22/Schema_v5!$C10)</f>
        <v/>
      </c>
      <c r="AX22">
        <f>(W22-Schema_v5!$C11)/(Schema_v5!$C12-Schema_v5!$C11)</f>
        <v/>
      </c>
      <c r="AY22">
        <f>(X22-Schema_v5!$C13)/(Schema_v5!$C14-Schema_v5!$C13)</f>
        <v/>
      </c>
    </row>
    <row r="23">
      <c r="A23" s="3" t="inlineStr">
        <is>
          <t>Q05_B</t>
        </is>
      </c>
      <c r="B23" s="3" t="n">
        <v>5</v>
      </c>
      <c r="C23" s="3" t="n">
        <v>5</v>
      </c>
      <c r="D23" s="3" t="inlineStr">
        <is>
          <t>Core</t>
        </is>
      </c>
      <c r="E23" s="3" t="n">
        <v>1</v>
      </c>
      <c r="F23" s="3" t="inlineStr">
        <is>
          <t>CommunicationHealth</t>
        </is>
      </c>
      <c r="G23" s="3" t="inlineStr">
        <is>
          <t>EmotionalNeeds</t>
        </is>
      </c>
      <c r="H23" s="3" t="inlineStr"/>
      <c r="I23" s="3" t="inlineStr">
        <is>
          <t>B</t>
        </is>
      </c>
      <c r="J23" s="3" t="inlineStr">
        <is>
          <t>B</t>
        </is>
      </c>
      <c r="K23" s="3" t="inlineStr">
        <is>
          <t>I brush it off, but I don't forget it. Stuff like that reminds me who's safe and who just wants the easy version of me.</t>
        </is>
      </c>
      <c r="L23" s="3" t="n">
        <v>6</v>
      </c>
      <c r="M23" s="3" t="n">
        <v>7</v>
      </c>
      <c r="N23" s="3" t="n">
        <v>4</v>
      </c>
      <c r="O23" s="3" t="n">
        <v>6</v>
      </c>
      <c r="P23" s="3" t="n">
        <v>6</v>
      </c>
      <c r="Q23" s="3" t="inlineStr">
        <is>
          <t>Survivor</t>
        </is>
      </c>
      <c r="R23" s="3" t="n">
        <v>8</v>
      </c>
      <c r="S23" s="3" t="inlineStr"/>
      <c r="T23" s="3" t="inlineStr"/>
      <c r="U23" s="3" t="n">
        <v>0</v>
      </c>
      <c r="V23" s="3" t="inlineStr">
        <is>
          <t>masc:0.3;fem:1.3</t>
        </is>
      </c>
      <c r="W23" s="3" t="n">
        <v>0.3</v>
      </c>
      <c r="X23" s="3" t="n">
        <v>1.3</v>
      </c>
      <c r="Y23" s="3" t="inlineStr">
        <is>
          <t>COMM_Emotional</t>
        </is>
      </c>
      <c r="Z23" s="3" t="inlineStr">
        <is>
          <t>REG_SelfSoother</t>
        </is>
      </c>
      <c r="AA23" s="3" t="inlineStr">
        <is>
          <t>LANG_Service</t>
        </is>
      </c>
      <c r="AB23" s="3" t="inlineStr"/>
      <c r="AC23" s="3" t="inlineStr"/>
      <c r="AD23" s="3" t="inlineStr"/>
      <c r="AE23" s="3" t="n">
        <v>0</v>
      </c>
      <c r="AF23" s="3" t="inlineStr">
        <is>
          <t>guarded memory</t>
        </is>
      </c>
      <c r="AG23" s="3" t="inlineStr">
        <is>
          <t>loyalty filter</t>
        </is>
      </c>
      <c r="AH23" s="3" t="n">
        <v>0</v>
      </c>
      <c r="AI23" s="3" t="inlineStr">
        <is>
          <t>no</t>
        </is>
      </c>
      <c r="AJ23" s="3" t="inlineStr">
        <is>
          <t>no</t>
        </is>
      </c>
      <c r="AK23" s="3" t="inlineStr">
        <is>
          <t>yes</t>
        </is>
      </c>
      <c r="AL23" s="3" t="inlineStr">
        <is>
          <t>yes</t>
        </is>
      </c>
      <c r="AM23" s="3" t="inlineStr"/>
      <c r="AN23" s="3" t="inlineStr"/>
      <c r="AO23" s="3" t="inlineStr"/>
      <c r="AP23" s="3" t="inlineStr">
        <is>
          <t>v3_2026-03-19</t>
        </is>
      </c>
      <c r="AQ23">
        <f>(L23-Schema_v5!$C2)/(Schema_v5!$C3-Schema_v5!$C2)</f>
        <v/>
      </c>
      <c r="AR23">
        <f>(M23-Schema_v5!$C4)/(Schema_v5!$C5-Schema_v5!$C4)</f>
        <v/>
      </c>
      <c r="AS23">
        <f>N23/Schema_v5!$C6</f>
        <v/>
      </c>
      <c r="AT23">
        <f>O23/Schema_v5!$C7</f>
        <v/>
      </c>
      <c r="AU23">
        <f>P23/Schema_v5!$C8</f>
        <v/>
      </c>
      <c r="AV23">
        <f>IF(Schema_v5!$C9=0,0,AH23/Schema_v5!$C9)</f>
        <v/>
      </c>
      <c r="AW23">
        <f>IF(Schema_v5!$C10=0,0,AE23/Schema_v5!$C10)</f>
        <v/>
      </c>
      <c r="AX23">
        <f>(W23-Schema_v5!$C11)/(Schema_v5!$C12-Schema_v5!$C11)</f>
        <v/>
      </c>
      <c r="AY23">
        <f>(X23-Schema_v5!$C13)/(Schema_v5!$C14-Schema_v5!$C13)</f>
        <v/>
      </c>
    </row>
    <row r="24">
      <c r="A24" s="3" t="inlineStr">
        <is>
          <t>Q05_C</t>
        </is>
      </c>
      <c r="B24" s="3" t="n">
        <v>5</v>
      </c>
      <c r="C24" s="3" t="n">
        <v>5</v>
      </c>
      <c r="D24" s="3" t="inlineStr">
        <is>
          <t>Core</t>
        </is>
      </c>
      <c r="E24" s="3" t="n">
        <v>1</v>
      </c>
      <c r="F24" s="3" t="inlineStr">
        <is>
          <t>CommunicationHealth</t>
        </is>
      </c>
      <c r="G24" s="3" t="inlineStr">
        <is>
          <t>EmotionalNeeds</t>
        </is>
      </c>
      <c r="H24" s="3" t="inlineStr"/>
      <c r="I24" s="3" t="inlineStr">
        <is>
          <t>C</t>
        </is>
      </c>
      <c r="J24" s="3" t="inlineStr">
        <is>
          <t>C</t>
        </is>
      </c>
      <c r="K24" s="3" t="inlineStr">
        <is>
          <t>I try to explain again, maybe they didn't get it. And if they still don't? I stop showing that side to someone who doesn't see me.</t>
        </is>
      </c>
      <c r="L24" s="3" t="n">
        <v>8</v>
      </c>
      <c r="M24" s="3" t="n">
        <v>9</v>
      </c>
      <c r="N24" s="3" t="n">
        <v>8</v>
      </c>
      <c r="O24" s="3" t="n">
        <v>10</v>
      </c>
      <c r="P24" s="3" t="n">
        <v>8</v>
      </c>
      <c r="Q24" s="3" t="inlineStr">
        <is>
          <t>Fixer</t>
        </is>
      </c>
      <c r="R24" s="3" t="n">
        <v>5</v>
      </c>
      <c r="S24" s="3" t="inlineStr"/>
      <c r="T24" s="3" t="inlineStr"/>
      <c r="U24" s="3" t="n">
        <v>0</v>
      </c>
      <c r="V24" s="3" t="inlineStr">
        <is>
          <t>masc:-0.4;fem:2.0</t>
        </is>
      </c>
      <c r="W24" s="3" t="n">
        <v>-0.4</v>
      </c>
      <c r="X24" s="3" t="n">
        <v>2</v>
      </c>
      <c r="Y24" s="3" t="inlineStr">
        <is>
          <t>COMM_Emotional</t>
        </is>
      </c>
      <c r="Z24" s="3" t="inlineStr">
        <is>
          <t>REG_CoRegulator</t>
        </is>
      </c>
      <c r="AA24" s="3" t="inlineStr">
        <is>
          <t>LANG_Service</t>
        </is>
      </c>
      <c r="AB24" s="3" t="inlineStr"/>
      <c r="AC24" s="3" t="inlineStr"/>
      <c r="AD24" s="3" t="inlineStr"/>
      <c r="AE24" s="3" t="n">
        <v>0</v>
      </c>
      <c r="AF24" s="3" t="inlineStr">
        <is>
          <t>repair attempt</t>
        </is>
      </c>
      <c r="AG24" s="3" t="inlineStr">
        <is>
          <t>persistent helper</t>
        </is>
      </c>
      <c r="AH24" s="3" t="n">
        <v>0</v>
      </c>
      <c r="AI24" s="3" t="inlineStr">
        <is>
          <t>no</t>
        </is>
      </c>
      <c r="AJ24" s="3" t="inlineStr">
        <is>
          <t>no</t>
        </is>
      </c>
      <c r="AK24" s="3" t="inlineStr">
        <is>
          <t>yes</t>
        </is>
      </c>
      <c r="AL24" s="3" t="inlineStr">
        <is>
          <t>yes</t>
        </is>
      </c>
      <c r="AM24" s="3" t="inlineStr"/>
      <c r="AN24" s="3" t="inlineStr"/>
      <c r="AO24" s="3" t="inlineStr"/>
      <c r="AP24" s="3" t="inlineStr">
        <is>
          <t>v3_2026-03-19</t>
        </is>
      </c>
      <c r="AQ24">
        <f>(L24-Schema_v5!$C2)/(Schema_v5!$C3-Schema_v5!$C2)</f>
        <v/>
      </c>
      <c r="AR24">
        <f>(M24-Schema_v5!$C4)/(Schema_v5!$C5-Schema_v5!$C4)</f>
        <v/>
      </c>
      <c r="AS24">
        <f>N24/Schema_v5!$C6</f>
        <v/>
      </c>
      <c r="AT24">
        <f>O24/Schema_v5!$C7</f>
        <v/>
      </c>
      <c r="AU24">
        <f>P24/Schema_v5!$C8</f>
        <v/>
      </c>
      <c r="AV24">
        <f>IF(Schema_v5!$C9=0,0,AH24/Schema_v5!$C9)</f>
        <v/>
      </c>
      <c r="AW24">
        <f>IF(Schema_v5!$C10=0,0,AE24/Schema_v5!$C10)</f>
        <v/>
      </c>
      <c r="AX24">
        <f>(W24-Schema_v5!$C11)/(Schema_v5!$C12-Schema_v5!$C11)</f>
        <v/>
      </c>
      <c r="AY24">
        <f>(X24-Schema_v5!$C13)/(Schema_v5!$C14-Schema_v5!$C13)</f>
        <v/>
      </c>
    </row>
    <row r="25">
      <c r="A25" s="3" t="inlineStr">
        <is>
          <t>Q05_D</t>
        </is>
      </c>
      <c r="B25" s="3" t="n">
        <v>5</v>
      </c>
      <c r="C25" s="3" t="n">
        <v>5</v>
      </c>
      <c r="D25" s="3" t="inlineStr">
        <is>
          <t>Core</t>
        </is>
      </c>
      <c r="E25" s="3" t="n">
        <v>1</v>
      </c>
      <c r="F25" s="3" t="inlineStr">
        <is>
          <t>CommunicationHealth</t>
        </is>
      </c>
      <c r="G25" s="3" t="inlineStr">
        <is>
          <t>EmotionalNeeds</t>
        </is>
      </c>
      <c r="H25" s="3" t="inlineStr"/>
      <c r="I25" s="3" t="inlineStr">
        <is>
          <t>D</t>
        </is>
      </c>
      <c r="J25" s="3" t="inlineStr">
        <is>
          <t>D</t>
        </is>
      </c>
      <c r="K25" s="3" t="inlineStr">
        <is>
          <t>I keep it smooth, but I notice the shift. Makes me rethink what I share next time, it's easier to just stay surface when people don't respond.</t>
        </is>
      </c>
      <c r="L25" s="3" t="n">
        <v>5</v>
      </c>
      <c r="M25" s="3" t="n">
        <v>6</v>
      </c>
      <c r="N25" s="3" t="n">
        <v>0</v>
      </c>
      <c r="O25" s="3" t="n">
        <v>2</v>
      </c>
      <c r="P25" s="3" t="n">
        <v>0</v>
      </c>
      <c r="Q25" s="3" t="inlineStr">
        <is>
          <t>Performer</t>
        </is>
      </c>
      <c r="R25" s="3" t="n">
        <v>7</v>
      </c>
      <c r="S25" s="3" t="inlineStr"/>
      <c r="T25" s="3" t="inlineStr"/>
      <c r="U25" s="3" t="n">
        <v>0</v>
      </c>
      <c r="V25" s="3" t="inlineStr">
        <is>
          <t>masc:0.3;fem:0.5</t>
        </is>
      </c>
      <c r="W25" s="3" t="n">
        <v>0.3</v>
      </c>
      <c r="X25" s="3" t="n">
        <v>0.5</v>
      </c>
      <c r="Y25" s="3" t="inlineStr">
        <is>
          <t>COMM_Indirect</t>
        </is>
      </c>
      <c r="Z25" s="3" t="inlineStr">
        <is>
          <t>REG_Distractor</t>
        </is>
      </c>
      <c r="AA25" s="3" t="inlineStr">
        <is>
          <t>LANG_Gifts</t>
        </is>
      </c>
      <c r="AB25" s="3" t="inlineStr">
        <is>
          <t>Public_Private_Split , Conflict_Flip</t>
        </is>
      </c>
      <c r="AC25" s="3" t="inlineStr">
        <is>
          <t>Public_Private_Split</t>
        </is>
      </c>
      <c r="AD25" s="3" t="inlineStr">
        <is>
          <t>Conflict_Flip</t>
        </is>
      </c>
      <c r="AE25" s="3" t="n">
        <v>8</v>
      </c>
      <c r="AF25" s="3" t="inlineStr">
        <is>
          <t>image-based withdrawal</t>
        </is>
      </c>
      <c r="AG25" s="3" t="inlineStr">
        <is>
          <t>surface masker</t>
        </is>
      </c>
      <c r="AH25" s="3" t="n">
        <v>1.2</v>
      </c>
      <c r="AI25" s="3" t="inlineStr">
        <is>
          <t>yes</t>
        </is>
      </c>
      <c r="AJ25" s="3" t="inlineStr">
        <is>
          <t>no</t>
        </is>
      </c>
      <c r="AK25" s="3" t="inlineStr">
        <is>
          <t>yes</t>
        </is>
      </c>
      <c r="AL25" s="3" t="inlineStr">
        <is>
          <t>yes</t>
        </is>
      </c>
      <c r="AM25" s="3" t="inlineStr"/>
      <c r="AN25" s="3" t="inlineStr"/>
      <c r="AO25" s="3" t="inlineStr"/>
      <c r="AP25" s="3" t="inlineStr">
        <is>
          <t>v3_2026-03-19</t>
        </is>
      </c>
      <c r="AQ25">
        <f>(L25-Schema_v5!$C2)/(Schema_v5!$C3-Schema_v5!$C2)</f>
        <v/>
      </c>
      <c r="AR25">
        <f>(M25-Schema_v5!$C4)/(Schema_v5!$C5-Schema_v5!$C4)</f>
        <v/>
      </c>
      <c r="AS25">
        <f>N25/Schema_v5!$C6</f>
        <v/>
      </c>
      <c r="AT25">
        <f>O25/Schema_v5!$C7</f>
        <v/>
      </c>
      <c r="AU25">
        <f>P25/Schema_v5!$C8</f>
        <v/>
      </c>
      <c r="AV25">
        <f>IF(Schema_v5!$C9=0,0,AH25/Schema_v5!$C9)</f>
        <v/>
      </c>
      <c r="AW25">
        <f>IF(Schema_v5!$C10=0,0,AE25/Schema_v5!$C10)</f>
        <v/>
      </c>
      <c r="AX25">
        <f>(W25-Schema_v5!$C11)/(Schema_v5!$C12-Schema_v5!$C11)</f>
        <v/>
      </c>
      <c r="AY25">
        <f>(X25-Schema_v5!$C13)/(Schema_v5!$C14-Schema_v5!$C13)</f>
        <v/>
      </c>
    </row>
    <row r="26">
      <c r="A26" s="3" t="inlineStr">
        <is>
          <t>Q05_E</t>
        </is>
      </c>
      <c r="B26" s="3" t="n">
        <v>5</v>
      </c>
      <c r="C26" s="3" t="n">
        <v>5</v>
      </c>
      <c r="D26" s="3" t="inlineStr">
        <is>
          <t>Core</t>
        </is>
      </c>
      <c r="E26" s="3" t="n">
        <v>1</v>
      </c>
      <c r="F26" s="3" t="inlineStr">
        <is>
          <t>CommunicationHealth</t>
        </is>
      </c>
      <c r="G26" s="3" t="inlineStr">
        <is>
          <t>EmotionalNeeds</t>
        </is>
      </c>
      <c r="H26" s="3" t="inlineStr"/>
      <c r="I26" s="3" t="inlineStr">
        <is>
          <t>E</t>
        </is>
      </c>
      <c r="J26" s="3" t="inlineStr">
        <is>
          <t>E</t>
        </is>
      </c>
      <c r="K26" s="3" t="inlineStr">
        <is>
          <t>Silence says a lot. I take note. If they care, it'll show later, if not, I don't open that part of me again.</t>
        </is>
      </c>
      <c r="L26" s="3" t="n">
        <v>9</v>
      </c>
      <c r="M26" s="3" t="n">
        <v>9</v>
      </c>
      <c r="N26" s="3" t="n">
        <v>10</v>
      </c>
      <c r="O26" s="3" t="n">
        <v>10</v>
      </c>
      <c r="P26" s="3" t="n">
        <v>10</v>
      </c>
      <c r="Q26" s="3" t="inlineStr">
        <is>
          <t>Regulated Grown-Up</t>
        </is>
      </c>
      <c r="R26" s="3" t="n">
        <v>9</v>
      </c>
      <c r="S26" s="3" t="inlineStr"/>
      <c r="T26" s="3" t="inlineStr"/>
      <c r="U26" s="3" t="n">
        <v>0</v>
      </c>
      <c r="V26" s="3" t="inlineStr">
        <is>
          <t>masc:1.1;fem:0.9</t>
        </is>
      </c>
      <c r="W26" s="3" t="n">
        <v>1.1</v>
      </c>
      <c r="X26" s="3" t="n">
        <v>0.9</v>
      </c>
      <c r="Y26" s="3" t="inlineStr">
        <is>
          <t>COMM_Direct</t>
        </is>
      </c>
      <c r="Z26" s="3" t="inlineStr">
        <is>
          <t>REG_CoRegulator</t>
        </is>
      </c>
      <c r="AA26" s="3" t="inlineStr">
        <is>
          <t>LANG_Words</t>
        </is>
      </c>
      <c r="AB26" s="3" t="inlineStr"/>
      <c r="AC26" s="3" t="inlineStr"/>
      <c r="AD26" s="3" t="inlineStr"/>
      <c r="AE26" s="3" t="n">
        <v>0</v>
      </c>
      <c r="AF26" s="3" t="inlineStr">
        <is>
          <t>high awareness</t>
        </is>
      </c>
      <c r="AG26" s="3" t="inlineStr">
        <is>
          <t>calm sentinel</t>
        </is>
      </c>
      <c r="AH26" s="3" t="n">
        <v>0</v>
      </c>
      <c r="AI26" s="3" t="inlineStr">
        <is>
          <t>no</t>
        </is>
      </c>
      <c r="AJ26" s="3" t="inlineStr">
        <is>
          <t>no</t>
        </is>
      </c>
      <c r="AK26" s="3" t="inlineStr">
        <is>
          <t>yes</t>
        </is>
      </c>
      <c r="AL26" s="3" t="inlineStr">
        <is>
          <t>yes</t>
        </is>
      </c>
      <c r="AM26" s="3" t="inlineStr"/>
      <c r="AN26" s="3" t="inlineStr"/>
      <c r="AO26" s="3" t="inlineStr"/>
      <c r="AP26" s="3" t="inlineStr">
        <is>
          <t>v3_2026-03-19</t>
        </is>
      </c>
      <c r="AQ26">
        <f>(L26-Schema_v5!$C2)/(Schema_v5!$C3-Schema_v5!$C2)</f>
        <v/>
      </c>
      <c r="AR26">
        <f>(M26-Schema_v5!$C4)/(Schema_v5!$C5-Schema_v5!$C4)</f>
        <v/>
      </c>
      <c r="AS26">
        <f>N26/Schema_v5!$C6</f>
        <v/>
      </c>
      <c r="AT26">
        <f>O26/Schema_v5!$C7</f>
        <v/>
      </c>
      <c r="AU26">
        <f>P26/Schema_v5!$C8</f>
        <v/>
      </c>
      <c r="AV26">
        <f>IF(Schema_v5!$C9=0,0,AH26/Schema_v5!$C9)</f>
        <v/>
      </c>
      <c r="AW26">
        <f>IF(Schema_v5!$C10=0,0,AE26/Schema_v5!$C10)</f>
        <v/>
      </c>
      <c r="AX26">
        <f>(W26-Schema_v5!$C11)/(Schema_v5!$C12-Schema_v5!$C11)</f>
        <v/>
      </c>
      <c r="AY26">
        <f>(X26-Schema_v5!$C13)/(Schema_v5!$C14-Schema_v5!$C13)</f>
        <v/>
      </c>
    </row>
    <row r="27">
      <c r="A27" s="3" t="inlineStr">
        <is>
          <t>Q06_A</t>
        </is>
      </c>
      <c r="B27" s="3" t="n">
        <v>6</v>
      </c>
      <c r="C27" s="3" t="n">
        <v>6</v>
      </c>
      <c r="D27" s="3" t="inlineStr">
        <is>
          <t>Core</t>
        </is>
      </c>
      <c r="E27" s="3" t="n">
        <v>1</v>
      </c>
      <c r="F27" s="3" t="inlineStr">
        <is>
          <t>CommunicationHealth</t>
        </is>
      </c>
      <c r="G27" s="3" t="inlineStr">
        <is>
          <t>EmotionalNeeds</t>
        </is>
      </c>
      <c r="H27" s="3" t="inlineStr">
        <is>
          <t>Question 6: One day they're into you, then distant the next. How do you handle the mixed signals?</t>
        </is>
      </c>
      <c r="I27" s="3" t="inlineStr">
        <is>
          <t>A</t>
        </is>
      </c>
      <c r="J27" s="3" t="inlineStr">
        <is>
          <t>A</t>
        </is>
      </c>
      <c r="K27" s="3" t="inlineStr">
        <is>
          <t>If you're hot and cold, I'm room temperature and gone. I'm not here to decode moods.</t>
        </is>
      </c>
      <c r="L27" s="3" t="n">
        <v>9</v>
      </c>
      <c r="M27" s="3" t="n">
        <v>9</v>
      </c>
      <c r="N27" s="3" t="n">
        <v>10</v>
      </c>
      <c r="O27" s="3" t="n">
        <v>10</v>
      </c>
      <c r="P27" s="3" t="n">
        <v>10</v>
      </c>
      <c r="Q27" s="3" t="inlineStr">
        <is>
          <t>Regulated Grown-Up</t>
        </is>
      </c>
      <c r="R27" s="3" t="n">
        <v>9</v>
      </c>
      <c r="S27" s="3" t="inlineStr"/>
      <c r="T27" s="3" t="inlineStr"/>
      <c r="U27" s="3" t="n">
        <v>0</v>
      </c>
      <c r="V27" s="3" t="inlineStr">
        <is>
          <t>masc:1.1;fem:0.9</t>
        </is>
      </c>
      <c r="W27" s="3" t="n">
        <v>1.1</v>
      </c>
      <c r="X27" s="3" t="n">
        <v>0.9</v>
      </c>
      <c r="Y27" s="3" t="inlineStr">
        <is>
          <t>COMM_Direct</t>
        </is>
      </c>
      <c r="Z27" s="3" t="inlineStr">
        <is>
          <t>REG_CoRegulator</t>
        </is>
      </c>
      <c r="AA27" s="3" t="inlineStr">
        <is>
          <t>LANG_Words</t>
        </is>
      </c>
      <c r="AB27" s="3" t="inlineStr"/>
      <c r="AC27" s="3" t="inlineStr"/>
      <c r="AD27" s="3" t="inlineStr"/>
      <c r="AE27" s="3" t="n">
        <v>0</v>
      </c>
      <c r="AF27" s="3" t="inlineStr">
        <is>
          <t>blunt detachment</t>
        </is>
      </c>
      <c r="AG27" s="3" t="inlineStr">
        <is>
          <t>immediate cutoff</t>
        </is>
      </c>
      <c r="AH27" s="3" t="n">
        <v>1.2</v>
      </c>
      <c r="AI27" s="3" t="inlineStr">
        <is>
          <t>no</t>
        </is>
      </c>
      <c r="AJ27" s="3" t="inlineStr">
        <is>
          <t>no</t>
        </is>
      </c>
      <c r="AK27" s="3" t="inlineStr">
        <is>
          <t>yes</t>
        </is>
      </c>
      <c r="AL27" s="3" t="inlineStr">
        <is>
          <t>yes</t>
        </is>
      </c>
      <c r="AM27" s="3" t="inlineStr"/>
      <c r="AN27" s="3" t="inlineStr"/>
      <c r="AO27" s="3" t="inlineStr"/>
      <c r="AP27" s="3" t="inlineStr">
        <is>
          <t>v3_2026-03-19</t>
        </is>
      </c>
      <c r="AQ27">
        <f>(L27-Schema_v5!$C2)/(Schema_v5!$C3-Schema_v5!$C2)</f>
        <v/>
      </c>
      <c r="AR27">
        <f>(M27-Schema_v5!$C4)/(Schema_v5!$C5-Schema_v5!$C4)</f>
        <v/>
      </c>
      <c r="AS27">
        <f>N27/Schema_v5!$C6</f>
        <v/>
      </c>
      <c r="AT27">
        <f>O27/Schema_v5!$C7</f>
        <v/>
      </c>
      <c r="AU27">
        <f>P27/Schema_v5!$C8</f>
        <v/>
      </c>
      <c r="AV27">
        <f>IF(Schema_v5!$C9=0,0,AH27/Schema_v5!$C9)</f>
        <v/>
      </c>
      <c r="AW27">
        <f>IF(Schema_v5!$C10=0,0,AE27/Schema_v5!$C10)</f>
        <v/>
      </c>
      <c r="AX27">
        <f>(W27-Schema_v5!$C11)/(Schema_v5!$C12-Schema_v5!$C11)</f>
        <v/>
      </c>
      <c r="AY27">
        <f>(X27-Schema_v5!$C13)/(Schema_v5!$C14-Schema_v5!$C13)</f>
        <v/>
      </c>
    </row>
    <row r="28">
      <c r="A28" s="3" t="inlineStr">
        <is>
          <t>Q06_B</t>
        </is>
      </c>
      <c r="B28" s="3" t="n">
        <v>6</v>
      </c>
      <c r="C28" s="3" t="n">
        <v>6</v>
      </c>
      <c r="D28" s="3" t="inlineStr">
        <is>
          <t>Core</t>
        </is>
      </c>
      <c r="E28" s="3" t="n">
        <v>1</v>
      </c>
      <c r="F28" s="3" t="inlineStr">
        <is>
          <t>CommunicationHealth</t>
        </is>
      </c>
      <c r="G28" s="3" t="inlineStr">
        <is>
          <t>EmotionalNeeds</t>
        </is>
      </c>
      <c r="H28" s="3" t="inlineStr"/>
      <c r="I28" s="3" t="inlineStr">
        <is>
          <t>B</t>
        </is>
      </c>
      <c r="J28" s="3" t="inlineStr">
        <is>
          <t>B</t>
        </is>
      </c>
      <c r="K28" s="3" t="inlineStr">
        <is>
          <t>I recheck our last texts. Then I reread mine. Then I wonder if I should've said less, or more. I don't bring it up, but it definitely rewires how I respond.</t>
        </is>
      </c>
      <c r="L28" s="3" t="n">
        <v>5</v>
      </c>
      <c r="M28" s="3" t="n">
        <v>6</v>
      </c>
      <c r="N28" s="3" t="n">
        <v>4</v>
      </c>
      <c r="O28" s="3" t="n">
        <v>4</v>
      </c>
      <c r="P28" s="3" t="n">
        <v>2</v>
      </c>
      <c r="Q28" s="3" t="inlineStr">
        <is>
          <t>Analyzer</t>
        </is>
      </c>
      <c r="R28" s="3" t="n">
        <v>2</v>
      </c>
      <c r="S28" s="3" t="inlineStr"/>
      <c r="T28" s="3" t="inlineStr"/>
      <c r="U28" s="3" t="n">
        <v>0</v>
      </c>
      <c r="V28" s="3" t="inlineStr">
        <is>
          <t>masc:1.4;fem:0.1</t>
        </is>
      </c>
      <c r="W28" s="3" t="n">
        <v>1.4</v>
      </c>
      <c r="X28" s="3" t="n">
        <v>0.1</v>
      </c>
      <c r="Y28" s="3" t="inlineStr">
        <is>
          <t>COMM_Logical</t>
        </is>
      </c>
      <c r="Z28" s="3" t="inlineStr">
        <is>
          <t>REG_SelfSoother</t>
        </is>
      </c>
      <c r="AA28" s="3" t="inlineStr">
        <is>
          <t>LANG_Service</t>
        </is>
      </c>
      <c r="AB28" s="3" t="inlineStr">
        <is>
          <t>Trust_Tension</t>
        </is>
      </c>
      <c r="AC28" s="3" t="inlineStr">
        <is>
          <t>Trust_Tension</t>
        </is>
      </c>
      <c r="AD28" s="3" t="inlineStr"/>
      <c r="AE28" s="3" t="n">
        <v>6</v>
      </c>
      <c r="AF28" s="3" t="inlineStr">
        <is>
          <t>emotional spiral</t>
        </is>
      </c>
      <c r="AG28" s="3" t="inlineStr">
        <is>
          <t>overanalyzer</t>
        </is>
      </c>
      <c r="AH28" s="3" t="n">
        <v>0</v>
      </c>
      <c r="AI28" s="3" t="inlineStr">
        <is>
          <t>yes</t>
        </is>
      </c>
      <c r="AJ28" s="3" t="inlineStr">
        <is>
          <t>no</t>
        </is>
      </c>
      <c r="AK28" s="3" t="inlineStr">
        <is>
          <t>yes</t>
        </is>
      </c>
      <c r="AL28" s="3" t="inlineStr">
        <is>
          <t>yes</t>
        </is>
      </c>
      <c r="AM28" s="3" t="inlineStr"/>
      <c r="AN28" s="3" t="inlineStr"/>
      <c r="AO28" s="3" t="inlineStr"/>
      <c r="AP28" s="3" t="inlineStr">
        <is>
          <t>v3_2026-03-19</t>
        </is>
      </c>
      <c r="AQ28">
        <f>(L28-Schema_v5!$C2)/(Schema_v5!$C3-Schema_v5!$C2)</f>
        <v/>
      </c>
      <c r="AR28">
        <f>(M28-Schema_v5!$C4)/(Schema_v5!$C5-Schema_v5!$C4)</f>
        <v/>
      </c>
      <c r="AS28">
        <f>N28/Schema_v5!$C6</f>
        <v/>
      </c>
      <c r="AT28">
        <f>O28/Schema_v5!$C7</f>
        <v/>
      </c>
      <c r="AU28">
        <f>P28/Schema_v5!$C8</f>
        <v/>
      </c>
      <c r="AV28">
        <f>IF(Schema_v5!$C9=0,0,AH28/Schema_v5!$C9)</f>
        <v/>
      </c>
      <c r="AW28">
        <f>IF(Schema_v5!$C10=0,0,AE28/Schema_v5!$C10)</f>
        <v/>
      </c>
      <c r="AX28">
        <f>(W28-Schema_v5!$C11)/(Schema_v5!$C12-Schema_v5!$C11)</f>
        <v/>
      </c>
      <c r="AY28">
        <f>(X28-Schema_v5!$C13)/(Schema_v5!$C14-Schema_v5!$C13)</f>
        <v/>
      </c>
    </row>
    <row r="29">
      <c r="A29" s="3" t="inlineStr">
        <is>
          <t>Q06_C</t>
        </is>
      </c>
      <c r="B29" s="3" t="n">
        <v>6</v>
      </c>
      <c r="C29" s="3" t="n">
        <v>6</v>
      </c>
      <c r="D29" s="3" t="inlineStr">
        <is>
          <t>Core</t>
        </is>
      </c>
      <c r="E29" s="3" t="n">
        <v>1</v>
      </c>
      <c r="F29" s="3" t="inlineStr">
        <is>
          <t>CommunicationHealth</t>
        </is>
      </c>
      <c r="G29" s="3" t="inlineStr">
        <is>
          <t>EmotionalNeeds</t>
        </is>
      </c>
      <c r="H29" s="3" t="inlineStr"/>
      <c r="I29" s="3" t="inlineStr">
        <is>
          <t>C</t>
        </is>
      </c>
      <c r="J29" s="3" t="inlineStr">
        <is>
          <t>C</t>
        </is>
      </c>
      <c r="K29" s="3" t="inlineStr">
        <is>
          <t>I back off. They'll either notice or they won't. I'm not chasing people who don't know what they want.</t>
        </is>
      </c>
      <c r="L29" s="3" t="n">
        <v>4</v>
      </c>
      <c r="M29" s="3" t="n">
        <v>5</v>
      </c>
      <c r="N29" s="3" t="n">
        <v>0</v>
      </c>
      <c r="O29" s="3" t="n">
        <v>0</v>
      </c>
      <c r="P29" s="3" t="n">
        <v>0</v>
      </c>
      <c r="Q29" s="3" t="inlineStr">
        <is>
          <t>Icebox</t>
        </is>
      </c>
      <c r="R29" s="3" t="n">
        <v>1</v>
      </c>
      <c r="S29" s="3" t="inlineStr"/>
      <c r="T29" s="3" t="inlineStr"/>
      <c r="U29" s="3" t="n">
        <v>0</v>
      </c>
      <c r="V29" s="3" t="inlineStr">
        <is>
          <t>masc:1.8;fem:-1.6</t>
        </is>
      </c>
      <c r="W29" s="3" t="n">
        <v>1.8</v>
      </c>
      <c r="X29" s="3" t="n">
        <v>-1.6</v>
      </c>
      <c r="Y29" s="3" t="inlineStr">
        <is>
          <t>COMM_Avoidant</t>
        </is>
      </c>
      <c r="Z29" s="3" t="inlineStr">
        <is>
          <t>REG_Suppressor</t>
        </is>
      </c>
      <c r="AA29" s="3" t="inlineStr">
        <is>
          <t>LANG_Time</t>
        </is>
      </c>
      <c r="AB29" s="3" t="inlineStr">
        <is>
          <t>Vulnerability_Loop</t>
        </is>
      </c>
      <c r="AC29" s="3" t="inlineStr">
        <is>
          <t>Vulnerability_Loop</t>
        </is>
      </c>
      <c r="AD29" s="3" t="inlineStr"/>
      <c r="AE29" s="3" t="n">
        <v>5</v>
      </c>
      <c r="AF29" s="3" t="inlineStr">
        <is>
          <t>quiet burn</t>
        </is>
      </c>
      <c r="AG29" s="3" t="inlineStr">
        <is>
          <t>disengaged pullback</t>
        </is>
      </c>
      <c r="AH29" s="3" t="n">
        <v>0.6</v>
      </c>
      <c r="AI29" s="3" t="inlineStr">
        <is>
          <t>yes</t>
        </is>
      </c>
      <c r="AJ29" s="3" t="inlineStr">
        <is>
          <t>no</t>
        </is>
      </c>
      <c r="AK29" s="3" t="inlineStr">
        <is>
          <t>yes</t>
        </is>
      </c>
      <c r="AL29" s="3" t="inlineStr">
        <is>
          <t>yes</t>
        </is>
      </c>
      <c r="AM29" s="3" t="inlineStr"/>
      <c r="AN29" s="3" t="inlineStr"/>
      <c r="AO29" s="3" t="inlineStr"/>
      <c r="AP29" s="3" t="inlineStr">
        <is>
          <t>v3_2026-03-19</t>
        </is>
      </c>
      <c r="AQ29">
        <f>(L29-Schema_v5!$C2)/(Schema_v5!$C3-Schema_v5!$C2)</f>
        <v/>
      </c>
      <c r="AR29">
        <f>(M29-Schema_v5!$C4)/(Schema_v5!$C5-Schema_v5!$C4)</f>
        <v/>
      </c>
      <c r="AS29">
        <f>N29/Schema_v5!$C6</f>
        <v/>
      </c>
      <c r="AT29">
        <f>O29/Schema_v5!$C7</f>
        <v/>
      </c>
      <c r="AU29">
        <f>P29/Schema_v5!$C8</f>
        <v/>
      </c>
      <c r="AV29">
        <f>IF(Schema_v5!$C9=0,0,AH29/Schema_v5!$C9)</f>
        <v/>
      </c>
      <c r="AW29">
        <f>IF(Schema_v5!$C10=0,0,AE29/Schema_v5!$C10)</f>
        <v/>
      </c>
      <c r="AX29">
        <f>(W29-Schema_v5!$C11)/(Schema_v5!$C12-Schema_v5!$C11)</f>
        <v/>
      </c>
      <c r="AY29">
        <f>(X29-Schema_v5!$C13)/(Schema_v5!$C14-Schema_v5!$C13)</f>
        <v/>
      </c>
    </row>
    <row r="30">
      <c r="A30" s="3" t="inlineStr">
        <is>
          <t>Q06_D</t>
        </is>
      </c>
      <c r="B30" s="3" t="n">
        <v>6</v>
      </c>
      <c r="C30" s="3" t="n">
        <v>6</v>
      </c>
      <c r="D30" s="3" t="inlineStr">
        <is>
          <t>Core</t>
        </is>
      </c>
      <c r="E30" s="3" t="n">
        <v>1</v>
      </c>
      <c r="F30" s="3" t="inlineStr">
        <is>
          <t>CommunicationHealth</t>
        </is>
      </c>
      <c r="G30" s="3" t="inlineStr">
        <is>
          <t>EmotionalNeeds</t>
        </is>
      </c>
      <c r="H30" s="3" t="inlineStr"/>
      <c r="I30" s="3" t="inlineStr">
        <is>
          <t>D</t>
        </is>
      </c>
      <c r="J30" s="3" t="inlineStr">
        <is>
          <t>D</t>
        </is>
      </c>
      <c r="K30" s="3" t="inlineStr">
        <is>
          <t>I stop bringing things up. If they don't want me, I'm not going to beg to be understood. I've played that game before.</t>
        </is>
      </c>
      <c r="L30" s="3" t="n">
        <v>6</v>
      </c>
      <c r="M30" s="3" t="n">
        <v>7</v>
      </c>
      <c r="N30" s="3" t="n">
        <v>4</v>
      </c>
      <c r="O30" s="3" t="n">
        <v>4</v>
      </c>
      <c r="P30" s="3" t="n">
        <v>4</v>
      </c>
      <c r="Q30" s="3" t="inlineStr">
        <is>
          <t>Fixer</t>
        </is>
      </c>
      <c r="R30" s="3" t="n">
        <v>5</v>
      </c>
      <c r="S30" s="3" t="inlineStr"/>
      <c r="T30" s="3" t="inlineStr"/>
      <c r="U30" s="3" t="n">
        <v>0</v>
      </c>
      <c r="V30" s="3" t="inlineStr">
        <is>
          <t>masc:-0.4;fem:2.0</t>
        </is>
      </c>
      <c r="W30" s="3" t="n">
        <v>-0.4</v>
      </c>
      <c r="X30" s="3" t="n">
        <v>2</v>
      </c>
      <c r="Y30" s="3" t="inlineStr">
        <is>
          <t>COMM_Emotional</t>
        </is>
      </c>
      <c r="Z30" s="3" t="inlineStr">
        <is>
          <t>REG_CoRegulator</t>
        </is>
      </c>
      <c r="AA30" s="3" t="inlineStr">
        <is>
          <t>LANG_Service</t>
        </is>
      </c>
      <c r="AB30" s="3" t="inlineStr">
        <is>
          <t>Affection_Mismatch , Independence_Collision</t>
        </is>
      </c>
      <c r="AC30" s="3" t="inlineStr">
        <is>
          <t>Affection_Mismatch</t>
        </is>
      </c>
      <c r="AD30" s="3" t="inlineStr">
        <is>
          <t>Independence_Collision</t>
        </is>
      </c>
      <c r="AE30" s="3" t="n">
        <v>9</v>
      </c>
      <c r="AF30" s="3" t="inlineStr">
        <is>
          <t>resigned caregiver</t>
        </is>
      </c>
      <c r="AG30" s="3" t="inlineStr">
        <is>
          <t>silent surrender</t>
        </is>
      </c>
      <c r="AH30" s="3" t="n">
        <v>1.2</v>
      </c>
      <c r="AI30" s="3" t="inlineStr">
        <is>
          <t>yes</t>
        </is>
      </c>
      <c r="AJ30" s="3" t="inlineStr">
        <is>
          <t>no</t>
        </is>
      </c>
      <c r="AK30" s="3" t="inlineStr">
        <is>
          <t>yes</t>
        </is>
      </c>
      <c r="AL30" s="3" t="inlineStr">
        <is>
          <t>yes</t>
        </is>
      </c>
      <c r="AM30" s="3" t="inlineStr"/>
      <c r="AN30" s="3" t="inlineStr"/>
      <c r="AO30" s="3" t="inlineStr"/>
      <c r="AP30" s="3" t="inlineStr">
        <is>
          <t>v3_2026-03-19</t>
        </is>
      </c>
      <c r="AQ30">
        <f>(L30-Schema_v5!$C2)/(Schema_v5!$C3-Schema_v5!$C2)</f>
        <v/>
      </c>
      <c r="AR30">
        <f>(M30-Schema_v5!$C4)/(Schema_v5!$C5-Schema_v5!$C4)</f>
        <v/>
      </c>
      <c r="AS30">
        <f>N30/Schema_v5!$C6</f>
        <v/>
      </c>
      <c r="AT30">
        <f>O30/Schema_v5!$C7</f>
        <v/>
      </c>
      <c r="AU30">
        <f>P30/Schema_v5!$C8</f>
        <v/>
      </c>
      <c r="AV30">
        <f>IF(Schema_v5!$C9=0,0,AH30/Schema_v5!$C9)</f>
        <v/>
      </c>
      <c r="AW30">
        <f>IF(Schema_v5!$C10=0,0,AE30/Schema_v5!$C10)</f>
        <v/>
      </c>
      <c r="AX30">
        <f>(W30-Schema_v5!$C11)/(Schema_v5!$C12-Schema_v5!$C11)</f>
        <v/>
      </c>
      <c r="AY30">
        <f>(X30-Schema_v5!$C13)/(Schema_v5!$C14-Schema_v5!$C13)</f>
        <v/>
      </c>
    </row>
    <row r="31">
      <c r="A31" s="3" t="inlineStr">
        <is>
          <t>Q06_E</t>
        </is>
      </c>
      <c r="B31" s="3" t="n">
        <v>6</v>
      </c>
      <c r="C31" s="3" t="n">
        <v>6</v>
      </c>
      <c r="D31" s="3" t="inlineStr">
        <is>
          <t>Core</t>
        </is>
      </c>
      <c r="E31" s="3" t="n">
        <v>1</v>
      </c>
      <c r="F31" s="3" t="inlineStr">
        <is>
          <t>CommunicationHealth</t>
        </is>
      </c>
      <c r="G31" s="3" t="inlineStr">
        <is>
          <t>EmotionalNeeds</t>
        </is>
      </c>
      <c r="H31" s="3" t="inlineStr"/>
      <c r="I31" s="3" t="inlineStr">
        <is>
          <t>E</t>
        </is>
      </c>
      <c r="J31" s="3" t="inlineStr">
        <is>
          <t>E</t>
        </is>
      </c>
      <c r="K31" s="3" t="inlineStr">
        <is>
          <t>I tell myself it's probably just stress or a bad week. I don't want to give up too early, but it's hard not to notice when it shifts.</t>
        </is>
      </c>
      <c r="L31" s="3" t="n">
        <v>7</v>
      </c>
      <c r="M31" s="3" t="n">
        <v>8</v>
      </c>
      <c r="N31" s="3" t="n">
        <v>6</v>
      </c>
      <c r="O31" s="3" t="n">
        <v>6</v>
      </c>
      <c r="P31" s="3" t="n">
        <v>4</v>
      </c>
      <c r="Q31" s="3" t="inlineStr">
        <is>
          <t>Romantic Idealist</t>
        </is>
      </c>
      <c r="R31" s="3" t="n">
        <v>6</v>
      </c>
      <c r="S31" s="3" t="inlineStr"/>
      <c r="T31" s="3" t="inlineStr"/>
      <c r="U31" s="3" t="n">
        <v>0</v>
      </c>
      <c r="V31" s="3" t="inlineStr">
        <is>
          <t>masc:-0.4;fem:1.5</t>
        </is>
      </c>
      <c r="W31" s="3" t="n">
        <v>-0.4</v>
      </c>
      <c r="X31" s="3" t="n">
        <v>1.5</v>
      </c>
      <c r="Y31" s="3" t="inlineStr">
        <is>
          <t>COMM_Emotional</t>
        </is>
      </c>
      <c r="Z31" s="3" t="inlineStr">
        <is>
          <t>REG_Distractor</t>
        </is>
      </c>
      <c r="AA31" s="3" t="inlineStr">
        <is>
          <t>LANG_Gifts</t>
        </is>
      </c>
      <c r="AB31" s="3" t="inlineStr"/>
      <c r="AC31" s="3" t="inlineStr"/>
      <c r="AD31" s="3" t="inlineStr"/>
      <c r="AE31" s="3" t="n">
        <v>0</v>
      </c>
      <c r="AF31" s="3" t="inlineStr">
        <is>
          <t>tired hope</t>
        </is>
      </c>
      <c r="AG31" s="3" t="inlineStr">
        <is>
          <t>cautious optimist</t>
        </is>
      </c>
      <c r="AH31" s="3" t="n">
        <v>0</v>
      </c>
      <c r="AI31" s="3" t="inlineStr">
        <is>
          <t>no</t>
        </is>
      </c>
      <c r="AJ31" s="3" t="inlineStr">
        <is>
          <t>no</t>
        </is>
      </c>
      <c r="AK31" s="3" t="inlineStr">
        <is>
          <t>yes</t>
        </is>
      </c>
      <c r="AL31" s="3" t="inlineStr">
        <is>
          <t>yes</t>
        </is>
      </c>
      <c r="AM31" s="3" t="inlineStr"/>
      <c r="AN31" s="3" t="inlineStr"/>
      <c r="AO31" s="3" t="inlineStr"/>
      <c r="AP31" s="3" t="inlineStr">
        <is>
          <t>v3_2026-03-19</t>
        </is>
      </c>
      <c r="AQ31">
        <f>(L31-Schema_v5!$C2)/(Schema_v5!$C3-Schema_v5!$C2)</f>
        <v/>
      </c>
      <c r="AR31">
        <f>(M31-Schema_v5!$C4)/(Schema_v5!$C5-Schema_v5!$C4)</f>
        <v/>
      </c>
      <c r="AS31">
        <f>N31/Schema_v5!$C6</f>
        <v/>
      </c>
      <c r="AT31">
        <f>O31/Schema_v5!$C7</f>
        <v/>
      </c>
      <c r="AU31">
        <f>P31/Schema_v5!$C8</f>
        <v/>
      </c>
      <c r="AV31">
        <f>IF(Schema_v5!$C9=0,0,AH31/Schema_v5!$C9)</f>
        <v/>
      </c>
      <c r="AW31">
        <f>IF(Schema_v5!$C10=0,0,AE31/Schema_v5!$C10)</f>
        <v/>
      </c>
      <c r="AX31">
        <f>(W31-Schema_v5!$C11)/(Schema_v5!$C12-Schema_v5!$C11)</f>
        <v/>
      </c>
      <c r="AY31">
        <f>(X31-Schema_v5!$C13)/(Schema_v5!$C14-Schema_v5!$C13)</f>
        <v/>
      </c>
    </row>
    <row r="32">
      <c r="A32" s="3" t="inlineStr">
        <is>
          <t>Q07_A</t>
        </is>
      </c>
      <c r="B32" s="3" t="n">
        <v>7</v>
      </c>
      <c r="C32" s="3" t="n">
        <v>7</v>
      </c>
      <c r="D32" s="3" t="inlineStr">
        <is>
          <t>Core</t>
        </is>
      </c>
      <c r="E32" s="3" t="n">
        <v>1</v>
      </c>
      <c r="F32" s="3" t="inlineStr">
        <is>
          <t>CommunicationHealth</t>
        </is>
      </c>
      <c r="G32" s="3" t="inlineStr">
        <is>
          <t>EmotionalNeeds</t>
        </is>
      </c>
      <c r="H32" s="3" t="inlineStr">
        <is>
          <t>Question 7: You're deep in conversation and they suddenly shut down or go cold. What's your move?</t>
        </is>
      </c>
      <c r="I32" s="3" t="inlineStr">
        <is>
          <t>A</t>
        </is>
      </c>
      <c r="J32" s="3" t="inlineStr">
        <is>
          <t>A</t>
        </is>
      </c>
      <c r="K32" s="3" t="inlineStr">
        <is>
          <t>I pause. I've learned not everything's about me. If they want to talk, they will. If not, I don't chase silence.</t>
        </is>
      </c>
      <c r="L32" s="3" t="n">
        <v>8</v>
      </c>
      <c r="M32" s="3" t="n">
        <v>8</v>
      </c>
      <c r="N32" s="3" t="n">
        <v>4</v>
      </c>
      <c r="O32" s="3" t="n">
        <v>4</v>
      </c>
      <c r="P32" s="3" t="n">
        <v>0</v>
      </c>
      <c r="Q32" s="3" t="inlineStr">
        <is>
          <t>Icebox</t>
        </is>
      </c>
      <c r="R32" s="3" t="n">
        <v>1</v>
      </c>
      <c r="S32" s="3" t="inlineStr"/>
      <c r="T32" s="3" t="inlineStr"/>
      <c r="U32" s="3" t="n">
        <v>0</v>
      </c>
      <c r="V32" s="3" t="inlineStr">
        <is>
          <t>masc:1.8;fem:-1.6</t>
        </is>
      </c>
      <c r="W32" s="3" t="n">
        <v>1.8</v>
      </c>
      <c r="X32" s="3" t="n">
        <v>-1.6</v>
      </c>
      <c r="Y32" s="3" t="inlineStr">
        <is>
          <t>COMM_Avoidant</t>
        </is>
      </c>
      <c r="Z32" s="3" t="inlineStr">
        <is>
          <t>REG_Suppressor</t>
        </is>
      </c>
      <c r="AA32" s="3" t="inlineStr">
        <is>
          <t>LANG_Time</t>
        </is>
      </c>
      <c r="AB32" s="3" t="inlineStr"/>
      <c r="AC32" s="3" t="inlineStr"/>
      <c r="AD32" s="3" t="inlineStr"/>
      <c r="AE32" s="3" t="n">
        <v>0</v>
      </c>
      <c r="AF32" s="3" t="inlineStr">
        <is>
          <t>calm detachment</t>
        </is>
      </c>
      <c r="AG32" s="3" t="inlineStr">
        <is>
          <t>patient withdrawer</t>
        </is>
      </c>
      <c r="AH32" s="3" t="n">
        <v>0.8</v>
      </c>
      <c r="AI32" s="3" t="inlineStr">
        <is>
          <t>no</t>
        </is>
      </c>
      <c r="AJ32" s="3" t="inlineStr">
        <is>
          <t>no</t>
        </is>
      </c>
      <c r="AK32" s="3" t="inlineStr">
        <is>
          <t>yes</t>
        </is>
      </c>
      <c r="AL32" s="3" t="inlineStr">
        <is>
          <t>yes</t>
        </is>
      </c>
      <c r="AM32" s="3" t="inlineStr"/>
      <c r="AN32" s="3" t="inlineStr"/>
      <c r="AO32" s="3" t="inlineStr"/>
      <c r="AP32" s="3" t="inlineStr">
        <is>
          <t>v3_2026-03-19</t>
        </is>
      </c>
      <c r="AQ32">
        <f>(L32-Schema_v5!$C2)/(Schema_v5!$C3-Schema_v5!$C2)</f>
        <v/>
      </c>
      <c r="AR32">
        <f>(M32-Schema_v5!$C4)/(Schema_v5!$C5-Schema_v5!$C4)</f>
        <v/>
      </c>
      <c r="AS32">
        <f>N32/Schema_v5!$C6</f>
        <v/>
      </c>
      <c r="AT32">
        <f>O32/Schema_v5!$C7</f>
        <v/>
      </c>
      <c r="AU32">
        <f>P32/Schema_v5!$C8</f>
        <v/>
      </c>
      <c r="AV32">
        <f>IF(Schema_v5!$C9=0,0,AH32/Schema_v5!$C9)</f>
        <v/>
      </c>
      <c r="AW32">
        <f>IF(Schema_v5!$C10=0,0,AE32/Schema_v5!$C10)</f>
        <v/>
      </c>
      <c r="AX32">
        <f>(W32-Schema_v5!$C11)/(Schema_v5!$C12-Schema_v5!$C11)</f>
        <v/>
      </c>
      <c r="AY32">
        <f>(X32-Schema_v5!$C13)/(Schema_v5!$C14-Schema_v5!$C13)</f>
        <v/>
      </c>
    </row>
    <row r="33">
      <c r="A33" s="3" t="inlineStr">
        <is>
          <t>Q07_B</t>
        </is>
      </c>
      <c r="B33" s="3" t="n">
        <v>7</v>
      </c>
      <c r="C33" s="3" t="n">
        <v>7</v>
      </c>
      <c r="D33" s="3" t="inlineStr">
        <is>
          <t>Core</t>
        </is>
      </c>
      <c r="E33" s="3" t="n">
        <v>1</v>
      </c>
      <c r="F33" s="3" t="inlineStr">
        <is>
          <t>CommunicationHealth</t>
        </is>
      </c>
      <c r="G33" s="3" t="inlineStr">
        <is>
          <t>EmotionalNeeds</t>
        </is>
      </c>
      <c r="H33" s="3" t="inlineStr"/>
      <c r="I33" s="3" t="inlineStr">
        <is>
          <t>B</t>
        </is>
      </c>
      <c r="J33" s="3" t="inlineStr">
        <is>
          <t>B</t>
        </is>
      </c>
      <c r="K33" s="3" t="inlineStr">
        <is>
          <t>I immediately think I said something wrong. I start scanning every word trying to figure out what triggered it.</t>
        </is>
      </c>
      <c r="L33" s="3" t="n">
        <v>5</v>
      </c>
      <c r="M33" s="3" t="n">
        <v>6</v>
      </c>
      <c r="N33" s="3" t="n">
        <v>4</v>
      </c>
      <c r="O33" s="3" t="n">
        <v>4</v>
      </c>
      <c r="P33" s="3" t="n">
        <v>2</v>
      </c>
      <c r="Q33" s="3" t="inlineStr">
        <is>
          <t>Analyzer</t>
        </is>
      </c>
      <c r="R33" s="3" t="n">
        <v>2</v>
      </c>
      <c r="S33" s="3" t="inlineStr"/>
      <c r="T33" s="3" t="inlineStr"/>
      <c r="U33" s="3" t="n">
        <v>0</v>
      </c>
      <c r="V33" s="3" t="inlineStr">
        <is>
          <t>masc:1.4;fem:0.1</t>
        </is>
      </c>
      <c r="W33" s="3" t="n">
        <v>1.4</v>
      </c>
      <c r="X33" s="3" t="n">
        <v>0.1</v>
      </c>
      <c r="Y33" s="3" t="inlineStr">
        <is>
          <t>COMM_Logical</t>
        </is>
      </c>
      <c r="Z33" s="3" t="inlineStr">
        <is>
          <t>REG_SelfSoother</t>
        </is>
      </c>
      <c r="AA33" s="3" t="inlineStr">
        <is>
          <t>LANG_Service</t>
        </is>
      </c>
      <c r="AB33" s="3" t="inlineStr">
        <is>
          <t>Vulnerability_Loop</t>
        </is>
      </c>
      <c r="AC33" s="3" t="inlineStr">
        <is>
          <t>Vulnerability_Loop</t>
        </is>
      </c>
      <c r="AD33" s="3" t="inlineStr"/>
      <c r="AE33" s="3" t="n">
        <v>5</v>
      </c>
      <c r="AF33" s="3" t="inlineStr">
        <is>
          <t>inner spiral</t>
        </is>
      </c>
      <c r="AG33" s="3" t="inlineStr">
        <is>
          <t>self-blamer</t>
        </is>
      </c>
      <c r="AH33" s="3" t="n">
        <v>0</v>
      </c>
      <c r="AI33" s="3" t="inlineStr">
        <is>
          <t>yes</t>
        </is>
      </c>
      <c r="AJ33" s="3" t="inlineStr">
        <is>
          <t>no</t>
        </is>
      </c>
      <c r="AK33" s="3" t="inlineStr">
        <is>
          <t>yes</t>
        </is>
      </c>
      <c r="AL33" s="3" t="inlineStr">
        <is>
          <t>yes</t>
        </is>
      </c>
      <c r="AM33" s="3" t="inlineStr"/>
      <c r="AN33" s="3" t="inlineStr"/>
      <c r="AO33" s="3" t="inlineStr"/>
      <c r="AP33" s="3" t="inlineStr">
        <is>
          <t>v3_2026-03-19</t>
        </is>
      </c>
      <c r="AQ33">
        <f>(L33-Schema_v5!$C2)/(Schema_v5!$C3-Schema_v5!$C2)</f>
        <v/>
      </c>
      <c r="AR33">
        <f>(M33-Schema_v5!$C4)/(Schema_v5!$C5-Schema_v5!$C4)</f>
        <v/>
      </c>
      <c r="AS33">
        <f>N33/Schema_v5!$C6</f>
        <v/>
      </c>
      <c r="AT33">
        <f>O33/Schema_v5!$C7</f>
        <v/>
      </c>
      <c r="AU33">
        <f>P33/Schema_v5!$C8</f>
        <v/>
      </c>
      <c r="AV33">
        <f>IF(Schema_v5!$C9=0,0,AH33/Schema_v5!$C9)</f>
        <v/>
      </c>
      <c r="AW33">
        <f>IF(Schema_v5!$C10=0,0,AE33/Schema_v5!$C10)</f>
        <v/>
      </c>
      <c r="AX33">
        <f>(W33-Schema_v5!$C11)/(Schema_v5!$C12-Schema_v5!$C11)</f>
        <v/>
      </c>
      <c r="AY33">
        <f>(X33-Schema_v5!$C13)/(Schema_v5!$C14-Schema_v5!$C13)</f>
        <v/>
      </c>
    </row>
    <row r="34">
      <c r="A34" s="3" t="inlineStr">
        <is>
          <t>Q07_C</t>
        </is>
      </c>
      <c r="B34" s="3" t="n">
        <v>7</v>
      </c>
      <c r="C34" s="3" t="n">
        <v>7</v>
      </c>
      <c r="D34" s="3" t="inlineStr">
        <is>
          <t>Core</t>
        </is>
      </c>
      <c r="E34" s="3" t="n">
        <v>1</v>
      </c>
      <c r="F34" s="3" t="inlineStr">
        <is>
          <t>CommunicationHealth</t>
        </is>
      </c>
      <c r="G34" s="3" t="inlineStr">
        <is>
          <t>EmotionalNeeds</t>
        </is>
      </c>
      <c r="H34" s="3" t="inlineStr"/>
      <c r="I34" s="3" t="inlineStr">
        <is>
          <t>C</t>
        </is>
      </c>
      <c r="J34" s="3" t="inlineStr">
        <is>
          <t>C</t>
        </is>
      </c>
      <c r="K34" s="3" t="inlineStr">
        <is>
          <t>I'll ask once. If it's brushed off or ignored, I shift. I'm not the type to sit in someone else's silence for long.</t>
        </is>
      </c>
      <c r="L34" s="3" t="n">
        <v>9</v>
      </c>
      <c r="M34" s="3" t="n">
        <v>9</v>
      </c>
      <c r="N34" s="3" t="n">
        <v>10</v>
      </c>
      <c r="O34" s="3" t="n">
        <v>10</v>
      </c>
      <c r="P34" s="3" t="n">
        <v>10</v>
      </c>
      <c r="Q34" s="3" t="inlineStr">
        <is>
          <t>Regulated Grown-Up</t>
        </is>
      </c>
      <c r="R34" s="3" t="n">
        <v>9</v>
      </c>
      <c r="S34" s="3" t="inlineStr"/>
      <c r="T34" s="3" t="inlineStr"/>
      <c r="U34" s="3" t="n">
        <v>0</v>
      </c>
      <c r="V34" s="3" t="inlineStr">
        <is>
          <t>masc:1.1;fem:0.9</t>
        </is>
      </c>
      <c r="W34" s="3" t="n">
        <v>1.1</v>
      </c>
      <c r="X34" s="3" t="n">
        <v>0.9</v>
      </c>
      <c r="Y34" s="3" t="inlineStr">
        <is>
          <t>COMM_Direct</t>
        </is>
      </c>
      <c r="Z34" s="3" t="inlineStr">
        <is>
          <t>REG_CoRegulator</t>
        </is>
      </c>
      <c r="AA34" s="3" t="inlineStr">
        <is>
          <t>LANG_Words</t>
        </is>
      </c>
      <c r="AB34" s="3" t="inlineStr"/>
      <c r="AC34" s="3" t="inlineStr"/>
      <c r="AD34" s="3" t="inlineStr"/>
      <c r="AE34" s="3" t="n">
        <v>0</v>
      </c>
      <c r="AF34" s="3" t="inlineStr">
        <is>
          <t>direct with boundaries</t>
        </is>
      </c>
      <c r="AG34" s="3" t="inlineStr">
        <is>
          <t>firm line-setter</t>
        </is>
      </c>
      <c r="AH34" s="3" t="n">
        <v>0</v>
      </c>
      <c r="AI34" s="3" t="inlineStr">
        <is>
          <t>no</t>
        </is>
      </c>
      <c r="AJ34" s="3" t="inlineStr">
        <is>
          <t>no</t>
        </is>
      </c>
      <c r="AK34" s="3" t="inlineStr">
        <is>
          <t>yes</t>
        </is>
      </c>
      <c r="AL34" s="3" t="inlineStr">
        <is>
          <t>yes</t>
        </is>
      </c>
      <c r="AM34" s="3" t="inlineStr"/>
      <c r="AN34" s="3" t="inlineStr"/>
      <c r="AO34" s="3" t="inlineStr"/>
      <c r="AP34" s="3" t="inlineStr">
        <is>
          <t>v3_2026-03-19</t>
        </is>
      </c>
      <c r="AQ34">
        <f>(L34-Schema_v5!$C2)/(Schema_v5!$C3-Schema_v5!$C2)</f>
        <v/>
      </c>
      <c r="AR34">
        <f>(M34-Schema_v5!$C4)/(Schema_v5!$C5-Schema_v5!$C4)</f>
        <v/>
      </c>
      <c r="AS34">
        <f>N34/Schema_v5!$C6</f>
        <v/>
      </c>
      <c r="AT34">
        <f>O34/Schema_v5!$C7</f>
        <v/>
      </c>
      <c r="AU34">
        <f>P34/Schema_v5!$C8</f>
        <v/>
      </c>
      <c r="AV34">
        <f>IF(Schema_v5!$C9=0,0,AH34/Schema_v5!$C9)</f>
        <v/>
      </c>
      <c r="AW34">
        <f>IF(Schema_v5!$C10=0,0,AE34/Schema_v5!$C10)</f>
        <v/>
      </c>
      <c r="AX34">
        <f>(W34-Schema_v5!$C11)/(Schema_v5!$C12-Schema_v5!$C11)</f>
        <v/>
      </c>
      <c r="AY34">
        <f>(X34-Schema_v5!$C13)/(Schema_v5!$C14-Schema_v5!$C13)</f>
        <v/>
      </c>
    </row>
    <row r="35">
      <c r="A35" s="3" t="inlineStr">
        <is>
          <t>Q07_D</t>
        </is>
      </c>
      <c r="B35" s="3" t="n">
        <v>7</v>
      </c>
      <c r="C35" s="3" t="n">
        <v>7</v>
      </c>
      <c r="D35" s="3" t="inlineStr">
        <is>
          <t>Core</t>
        </is>
      </c>
      <c r="E35" s="3" t="n">
        <v>1</v>
      </c>
      <c r="F35" s="3" t="inlineStr">
        <is>
          <t>CommunicationHealth</t>
        </is>
      </c>
      <c r="G35" s="3" t="inlineStr">
        <is>
          <t>EmotionalNeeds</t>
        </is>
      </c>
      <c r="H35" s="3" t="inlineStr"/>
      <c r="I35" s="3" t="inlineStr">
        <is>
          <t>D</t>
        </is>
      </c>
      <c r="J35" s="3" t="inlineStr">
        <is>
          <t>D</t>
        </is>
      </c>
      <c r="K35" s="3" t="inlineStr">
        <is>
          <t>I try to keep the mood up, shift the subject, make it feel less tense, even if I'm freaking out a little inside.</t>
        </is>
      </c>
      <c r="L35" s="3" t="n">
        <v>6</v>
      </c>
      <c r="M35" s="3" t="n">
        <v>7</v>
      </c>
      <c r="N35" s="3" t="n">
        <v>4</v>
      </c>
      <c r="O35" s="3" t="n">
        <v>4</v>
      </c>
      <c r="P35" s="3" t="n">
        <v>2</v>
      </c>
      <c r="Q35" s="3" t="inlineStr">
        <is>
          <t>Performer</t>
        </is>
      </c>
      <c r="R35" s="3" t="n">
        <v>7</v>
      </c>
      <c r="S35" s="3" t="inlineStr"/>
      <c r="T35" s="3" t="inlineStr"/>
      <c r="U35" s="3" t="n">
        <v>0</v>
      </c>
      <c r="V35" s="3" t="inlineStr">
        <is>
          <t>masc:0.3;fem:0.5</t>
        </is>
      </c>
      <c r="W35" s="3" t="n">
        <v>0.3</v>
      </c>
      <c r="X35" s="3" t="n">
        <v>0.5</v>
      </c>
      <c r="Y35" s="3" t="inlineStr">
        <is>
          <t>COMM_Indirect</t>
        </is>
      </c>
      <c r="Z35" s="3" t="inlineStr">
        <is>
          <t>REG_Distractor</t>
        </is>
      </c>
      <c r="AA35" s="3" t="inlineStr">
        <is>
          <t>LANG_Gifts</t>
        </is>
      </c>
      <c r="AB35" s="3" t="inlineStr">
        <is>
          <t>Vulnerability_Loop</t>
        </is>
      </c>
      <c r="AC35" s="3" t="inlineStr">
        <is>
          <t>Vulnerability_Loop</t>
        </is>
      </c>
      <c r="AD35" s="3" t="inlineStr"/>
      <c r="AE35" s="3" t="n">
        <v>5</v>
      </c>
      <c r="AF35" s="3" t="inlineStr">
        <is>
          <t>smooth cover-up</t>
        </is>
      </c>
      <c r="AG35" s="3" t="inlineStr">
        <is>
          <t>tension diffuser</t>
        </is>
      </c>
      <c r="AH35" s="3" t="n">
        <v>0</v>
      </c>
      <c r="AI35" s="3" t="inlineStr">
        <is>
          <t>yes</t>
        </is>
      </c>
      <c r="AJ35" s="3" t="inlineStr">
        <is>
          <t>no</t>
        </is>
      </c>
      <c r="AK35" s="3" t="inlineStr">
        <is>
          <t>yes</t>
        </is>
      </c>
      <c r="AL35" s="3" t="inlineStr">
        <is>
          <t>yes</t>
        </is>
      </c>
      <c r="AM35" s="3" t="inlineStr"/>
      <c r="AN35" s="3" t="inlineStr"/>
      <c r="AO35" s="3" t="inlineStr"/>
      <c r="AP35" s="3" t="inlineStr">
        <is>
          <t>v3_2026-03-19</t>
        </is>
      </c>
      <c r="AQ35">
        <f>(L35-Schema_v5!$C2)/(Schema_v5!$C3-Schema_v5!$C2)</f>
        <v/>
      </c>
      <c r="AR35">
        <f>(M35-Schema_v5!$C4)/(Schema_v5!$C5-Schema_v5!$C4)</f>
        <v/>
      </c>
      <c r="AS35">
        <f>N35/Schema_v5!$C6</f>
        <v/>
      </c>
      <c r="AT35">
        <f>O35/Schema_v5!$C7</f>
        <v/>
      </c>
      <c r="AU35">
        <f>P35/Schema_v5!$C8</f>
        <v/>
      </c>
      <c r="AV35">
        <f>IF(Schema_v5!$C9=0,0,AH35/Schema_v5!$C9)</f>
        <v/>
      </c>
      <c r="AW35">
        <f>IF(Schema_v5!$C10=0,0,AE35/Schema_v5!$C10)</f>
        <v/>
      </c>
      <c r="AX35">
        <f>(W35-Schema_v5!$C11)/(Schema_v5!$C12-Schema_v5!$C11)</f>
        <v/>
      </c>
      <c r="AY35">
        <f>(X35-Schema_v5!$C13)/(Schema_v5!$C14-Schema_v5!$C13)</f>
        <v/>
      </c>
    </row>
    <row r="36">
      <c r="A36" s="3" t="inlineStr">
        <is>
          <t>Q07_E</t>
        </is>
      </c>
      <c r="B36" s="3" t="n">
        <v>7</v>
      </c>
      <c r="C36" s="3" t="n">
        <v>7</v>
      </c>
      <c r="D36" s="3" t="inlineStr">
        <is>
          <t>Core</t>
        </is>
      </c>
      <c r="E36" s="3" t="n">
        <v>1</v>
      </c>
      <c r="F36" s="3" t="inlineStr">
        <is>
          <t>CommunicationHealth</t>
        </is>
      </c>
      <c r="G36" s="3" t="inlineStr">
        <is>
          <t>EmotionalNeeds</t>
        </is>
      </c>
      <c r="H36" s="3" t="inlineStr"/>
      <c r="I36" s="3" t="inlineStr">
        <is>
          <t>E</t>
        </is>
      </c>
      <c r="J36" s="3" t="inlineStr">
        <is>
          <t>E</t>
        </is>
      </c>
      <c r="K36" s="3" t="inlineStr">
        <is>
          <t>I feel it, but I don't say anything. I stay present, hoping they'll come back to me on their own.</t>
        </is>
      </c>
      <c r="L36" s="3" t="n">
        <v>6</v>
      </c>
      <c r="M36" s="3" t="n">
        <v>6</v>
      </c>
      <c r="N36" s="3" t="n">
        <v>4</v>
      </c>
      <c r="O36" s="3" t="n">
        <v>4</v>
      </c>
      <c r="P36" s="3" t="n">
        <v>4</v>
      </c>
      <c r="Q36" s="3" t="inlineStr">
        <is>
          <t>Translator</t>
        </is>
      </c>
      <c r="R36" s="3" t="n">
        <v>3</v>
      </c>
      <c r="S36" s="3" t="inlineStr"/>
      <c r="T36" s="3" t="inlineStr"/>
      <c r="U36" s="3" t="n">
        <v>0</v>
      </c>
      <c r="V36" s="3" t="inlineStr">
        <is>
          <t>masc:-0.1;fem:1.6</t>
        </is>
      </c>
      <c r="W36" s="3" t="n">
        <v>-0.1</v>
      </c>
      <c r="X36" s="3" t="n">
        <v>1.6</v>
      </c>
      <c r="Y36" s="3" t="inlineStr">
        <is>
          <t>COMM_Indirect</t>
        </is>
      </c>
      <c r="Z36" s="3" t="inlineStr">
        <is>
          <t>REG_CoRegulator</t>
        </is>
      </c>
      <c r="AA36" s="3" t="inlineStr">
        <is>
          <t>LANG_Words</t>
        </is>
      </c>
      <c r="AB36" s="3" t="inlineStr">
        <is>
          <t>Vulnerability_Loop</t>
        </is>
      </c>
      <c r="AC36" s="3" t="inlineStr">
        <is>
          <t>Vulnerability_Loop</t>
        </is>
      </c>
      <c r="AD36" s="3" t="inlineStr"/>
      <c r="AE36" s="3" t="n">
        <v>5</v>
      </c>
      <c r="AF36" s="3" t="inlineStr">
        <is>
          <t>gentle waiter</t>
        </is>
      </c>
      <c r="AG36" s="3" t="inlineStr">
        <is>
          <t>silent holder</t>
        </is>
      </c>
      <c r="AH36" s="3" t="n">
        <v>0.6</v>
      </c>
      <c r="AI36" s="3" t="inlineStr">
        <is>
          <t>yes</t>
        </is>
      </c>
      <c r="AJ36" s="3" t="inlineStr">
        <is>
          <t>no</t>
        </is>
      </c>
      <c r="AK36" s="3" t="inlineStr">
        <is>
          <t>yes</t>
        </is>
      </c>
      <c r="AL36" s="3" t="inlineStr">
        <is>
          <t>yes</t>
        </is>
      </c>
      <c r="AM36" s="3" t="inlineStr"/>
      <c r="AN36" s="3" t="inlineStr"/>
      <c r="AO36" s="3" t="inlineStr"/>
      <c r="AP36" s="3" t="inlineStr">
        <is>
          <t>v3_2026-03-19</t>
        </is>
      </c>
      <c r="AQ36">
        <f>(L36-Schema_v5!$C2)/(Schema_v5!$C3-Schema_v5!$C2)</f>
        <v/>
      </c>
      <c r="AR36">
        <f>(M36-Schema_v5!$C4)/(Schema_v5!$C5-Schema_v5!$C4)</f>
        <v/>
      </c>
      <c r="AS36">
        <f>N36/Schema_v5!$C6</f>
        <v/>
      </c>
      <c r="AT36">
        <f>O36/Schema_v5!$C7</f>
        <v/>
      </c>
      <c r="AU36">
        <f>P36/Schema_v5!$C8</f>
        <v/>
      </c>
      <c r="AV36">
        <f>IF(Schema_v5!$C9=0,0,AH36/Schema_v5!$C9)</f>
        <v/>
      </c>
      <c r="AW36">
        <f>IF(Schema_v5!$C10=0,0,AE36/Schema_v5!$C10)</f>
        <v/>
      </c>
      <c r="AX36">
        <f>(W36-Schema_v5!$C11)/(Schema_v5!$C12-Schema_v5!$C11)</f>
        <v/>
      </c>
      <c r="AY36">
        <f>(X36-Schema_v5!$C13)/(Schema_v5!$C14-Schema_v5!$C13)</f>
        <v/>
      </c>
    </row>
    <row r="37">
      <c r="A37" s="3" t="inlineStr">
        <is>
          <t>Q08_A</t>
        </is>
      </c>
      <c r="B37" s="3" t="n">
        <v>8</v>
      </c>
      <c r="C37" s="3" t="n">
        <v>8</v>
      </c>
      <c r="D37" s="3" t="inlineStr">
        <is>
          <t>Core</t>
        </is>
      </c>
      <c r="E37" s="3" t="n">
        <v>1</v>
      </c>
      <c r="F37" s="3" t="inlineStr">
        <is>
          <t>CommunicationHealth</t>
        </is>
      </c>
      <c r="G37" s="3" t="inlineStr">
        <is>
          <t>EmotionalNeeds</t>
        </is>
      </c>
      <c r="H37" s="3" t="inlineStr">
        <is>
          <t>Question 8: You feel them pulling away. They haven't said it, but the shift is obvious. What runs through your head first?</t>
        </is>
      </c>
      <c r="I37" s="3" t="inlineStr">
        <is>
          <t>A</t>
        </is>
      </c>
      <c r="J37" s="3" t="inlineStr">
        <is>
          <t>A</t>
        </is>
      </c>
      <c r="K37" s="3" t="inlineStr">
        <is>
          <t>Here we go again. I already know how this plays out. I stop trying the second I feel myself caring more than they do.</t>
        </is>
      </c>
      <c r="L37" s="3" t="n">
        <v>5</v>
      </c>
      <c r="M37" s="3" t="n">
        <v>5</v>
      </c>
      <c r="N37" s="3" t="n">
        <v>4</v>
      </c>
      <c r="O37" s="3" t="n">
        <v>2</v>
      </c>
      <c r="P37" s="3" t="n">
        <v>2</v>
      </c>
      <c r="Q37" s="3" t="inlineStr">
        <is>
          <t>Survivor</t>
        </is>
      </c>
      <c r="R37" s="3" t="n">
        <v>8</v>
      </c>
      <c r="S37" s="3" t="inlineStr"/>
      <c r="T37" s="3" t="inlineStr"/>
      <c r="U37" s="3" t="n">
        <v>0</v>
      </c>
      <c r="V37" s="3" t="inlineStr">
        <is>
          <t>masc:0.3;fem:1.3</t>
        </is>
      </c>
      <c r="W37" s="3" t="n">
        <v>0.3</v>
      </c>
      <c r="X37" s="3" t="n">
        <v>1.3</v>
      </c>
      <c r="Y37" s="3" t="inlineStr">
        <is>
          <t>COMM_Emotional</t>
        </is>
      </c>
      <c r="Z37" s="3" t="inlineStr">
        <is>
          <t>REG_SelfSoother</t>
        </is>
      </c>
      <c r="AA37" s="3" t="inlineStr">
        <is>
          <t>LANG_Service</t>
        </is>
      </c>
      <c r="AB37" s="3" t="inlineStr">
        <is>
          <t>Vulnerability_Loop</t>
        </is>
      </c>
      <c r="AC37" s="3" t="inlineStr">
        <is>
          <t>Vulnerability_Loop</t>
        </is>
      </c>
      <c r="AD37" s="3" t="inlineStr"/>
      <c r="AE37" s="3" t="n">
        <v>5</v>
      </c>
      <c r="AF37" s="3" t="inlineStr">
        <is>
          <t>pain-calibrated exit</t>
        </is>
      </c>
      <c r="AG37" s="3" t="inlineStr">
        <is>
          <t>early withdrawer</t>
        </is>
      </c>
      <c r="AH37" s="3" t="n">
        <v>0.6</v>
      </c>
      <c r="AI37" s="3" t="inlineStr">
        <is>
          <t>yes</t>
        </is>
      </c>
      <c r="AJ37" s="3" t="inlineStr">
        <is>
          <t>no</t>
        </is>
      </c>
      <c r="AK37" s="3" t="inlineStr">
        <is>
          <t>yes</t>
        </is>
      </c>
      <c r="AL37" s="3" t="inlineStr">
        <is>
          <t>yes</t>
        </is>
      </c>
      <c r="AM37" s="3" t="inlineStr"/>
      <c r="AN37" s="3" t="inlineStr"/>
      <c r="AO37" s="3" t="inlineStr"/>
      <c r="AP37" s="3" t="inlineStr">
        <is>
          <t>v3_2026-03-19</t>
        </is>
      </c>
      <c r="AQ37">
        <f>(L37-Schema_v5!$C2)/(Schema_v5!$C3-Schema_v5!$C2)</f>
        <v/>
      </c>
      <c r="AR37">
        <f>(M37-Schema_v5!$C4)/(Schema_v5!$C5-Schema_v5!$C4)</f>
        <v/>
      </c>
      <c r="AS37">
        <f>N37/Schema_v5!$C6</f>
        <v/>
      </c>
      <c r="AT37">
        <f>O37/Schema_v5!$C7</f>
        <v/>
      </c>
      <c r="AU37">
        <f>P37/Schema_v5!$C8</f>
        <v/>
      </c>
      <c r="AV37">
        <f>IF(Schema_v5!$C9=0,0,AH37/Schema_v5!$C9)</f>
        <v/>
      </c>
      <c r="AW37">
        <f>IF(Schema_v5!$C10=0,0,AE37/Schema_v5!$C10)</f>
        <v/>
      </c>
      <c r="AX37">
        <f>(W37-Schema_v5!$C11)/(Schema_v5!$C12-Schema_v5!$C11)</f>
        <v/>
      </c>
      <c r="AY37">
        <f>(X37-Schema_v5!$C13)/(Schema_v5!$C14-Schema_v5!$C13)</f>
        <v/>
      </c>
    </row>
    <row r="38">
      <c r="A38" s="3" t="inlineStr">
        <is>
          <t>Q08_B</t>
        </is>
      </c>
      <c r="B38" s="3" t="n">
        <v>8</v>
      </c>
      <c r="C38" s="3" t="n">
        <v>8</v>
      </c>
      <c r="D38" s="3" t="inlineStr">
        <is>
          <t>Core</t>
        </is>
      </c>
      <c r="E38" s="3" t="n">
        <v>1</v>
      </c>
      <c r="F38" s="3" t="inlineStr">
        <is>
          <t>CommunicationHealth</t>
        </is>
      </c>
      <c r="G38" s="3" t="inlineStr">
        <is>
          <t>EmotionalNeeds</t>
        </is>
      </c>
      <c r="H38" s="3" t="inlineStr"/>
      <c r="I38" s="3" t="inlineStr">
        <is>
          <t>B</t>
        </is>
      </c>
      <c r="J38" s="3" t="inlineStr">
        <is>
          <t>B</t>
        </is>
      </c>
      <c r="K38" s="3" t="inlineStr">
        <is>
          <t>It's subtle, but I clock everything. Less emojis. Slower replies. Something's off, I just haven't figured out what yet.</t>
        </is>
      </c>
      <c r="L38" s="3" t="n">
        <v>7</v>
      </c>
      <c r="M38" s="3" t="n">
        <v>8</v>
      </c>
      <c r="N38" s="3" t="n">
        <v>6</v>
      </c>
      <c r="O38" s="3" t="n">
        <v>6</v>
      </c>
      <c r="P38" s="3" t="n">
        <v>6</v>
      </c>
      <c r="Q38" s="3" t="inlineStr">
        <is>
          <t>Analyzer</t>
        </is>
      </c>
      <c r="R38" s="3" t="n">
        <v>2</v>
      </c>
      <c r="S38" s="3" t="inlineStr"/>
      <c r="T38" s="3" t="inlineStr"/>
      <c r="U38" s="3" t="n">
        <v>0</v>
      </c>
      <c r="V38" s="3" t="inlineStr">
        <is>
          <t>masc:1.4;fem:0.1</t>
        </is>
      </c>
      <c r="W38" s="3" t="n">
        <v>1.4</v>
      </c>
      <c r="X38" s="3" t="n">
        <v>0.1</v>
      </c>
      <c r="Y38" s="3" t="inlineStr">
        <is>
          <t>COMM_Logical</t>
        </is>
      </c>
      <c r="Z38" s="3" t="inlineStr">
        <is>
          <t>REG_SelfSoother</t>
        </is>
      </c>
      <c r="AA38" s="3" t="inlineStr">
        <is>
          <t>LANG_Service</t>
        </is>
      </c>
      <c r="AB38" s="3" t="inlineStr"/>
      <c r="AC38" s="3" t="inlineStr"/>
      <c r="AD38" s="3" t="inlineStr"/>
      <c r="AE38" s="3" t="n">
        <v>0</v>
      </c>
      <c r="AF38" s="3" t="inlineStr">
        <is>
          <t>pattern tracker</t>
        </is>
      </c>
      <c r="AG38" s="3" t="inlineStr">
        <is>
          <t>micro-signal reader</t>
        </is>
      </c>
      <c r="AH38" s="3" t="n">
        <v>0.6</v>
      </c>
      <c r="AI38" s="3" t="inlineStr">
        <is>
          <t>no</t>
        </is>
      </c>
      <c r="AJ38" s="3" t="inlineStr">
        <is>
          <t>no</t>
        </is>
      </c>
      <c r="AK38" s="3" t="inlineStr">
        <is>
          <t>yes</t>
        </is>
      </c>
      <c r="AL38" s="3" t="inlineStr">
        <is>
          <t>yes</t>
        </is>
      </c>
      <c r="AM38" s="3" t="inlineStr"/>
      <c r="AN38" s="3" t="inlineStr"/>
      <c r="AO38" s="3" t="inlineStr"/>
      <c r="AP38" s="3" t="inlineStr">
        <is>
          <t>v3_2026-03-19</t>
        </is>
      </c>
      <c r="AQ38">
        <f>(L38-Schema_v5!$C2)/(Schema_v5!$C3-Schema_v5!$C2)</f>
        <v/>
      </c>
      <c r="AR38">
        <f>(M38-Schema_v5!$C4)/(Schema_v5!$C5-Schema_v5!$C4)</f>
        <v/>
      </c>
      <c r="AS38">
        <f>N38/Schema_v5!$C6</f>
        <v/>
      </c>
      <c r="AT38">
        <f>O38/Schema_v5!$C7</f>
        <v/>
      </c>
      <c r="AU38">
        <f>P38/Schema_v5!$C8</f>
        <v/>
      </c>
      <c r="AV38">
        <f>IF(Schema_v5!$C9=0,0,AH38/Schema_v5!$C9)</f>
        <v/>
      </c>
      <c r="AW38">
        <f>IF(Schema_v5!$C10=0,0,AE38/Schema_v5!$C10)</f>
        <v/>
      </c>
      <c r="AX38">
        <f>(W38-Schema_v5!$C11)/(Schema_v5!$C12-Schema_v5!$C11)</f>
        <v/>
      </c>
      <c r="AY38">
        <f>(X38-Schema_v5!$C13)/(Schema_v5!$C14-Schema_v5!$C13)</f>
        <v/>
      </c>
    </row>
    <row r="39">
      <c r="A39" s="3" t="inlineStr">
        <is>
          <t>Q08_C</t>
        </is>
      </c>
      <c r="B39" s="3" t="n">
        <v>8</v>
      </c>
      <c r="C39" s="3" t="n">
        <v>8</v>
      </c>
      <c r="D39" s="3" t="inlineStr">
        <is>
          <t>Core</t>
        </is>
      </c>
      <c r="E39" s="3" t="n">
        <v>1</v>
      </c>
      <c r="F39" s="3" t="inlineStr">
        <is>
          <t>CommunicationHealth</t>
        </is>
      </c>
      <c r="G39" s="3" t="inlineStr">
        <is>
          <t>EmotionalNeeds</t>
        </is>
      </c>
      <c r="H39" s="3" t="inlineStr"/>
      <c r="I39" s="3" t="inlineStr">
        <is>
          <t>C</t>
        </is>
      </c>
      <c r="J39" s="3" t="inlineStr">
        <is>
          <t>C</t>
        </is>
      </c>
      <c r="K39" s="3" t="inlineStr">
        <is>
          <t>I don't ask. I just start detaching. If you're fading, I'm not chasing. I've done that before, and I don't owe anyone a meltdown.</t>
        </is>
      </c>
      <c r="L39" s="3" t="n">
        <v>5</v>
      </c>
      <c r="M39" s="3" t="n">
        <v>6</v>
      </c>
      <c r="N39" s="3" t="n">
        <v>0</v>
      </c>
      <c r="O39" s="3" t="n">
        <v>2</v>
      </c>
      <c r="P39" s="3" t="n">
        <v>0</v>
      </c>
      <c r="Q39" s="3" t="inlineStr">
        <is>
          <t>Quiet Exit</t>
        </is>
      </c>
      <c r="R39" s="3" t="n">
        <v>4</v>
      </c>
      <c r="S39" s="3" t="inlineStr"/>
      <c r="T39" s="3" t="inlineStr"/>
      <c r="U39" s="3" t="n">
        <v>0</v>
      </c>
      <c r="V39" s="3" t="inlineStr">
        <is>
          <t>masc:1.4;fem:-1.3</t>
        </is>
      </c>
      <c r="W39" s="3" t="n">
        <v>1.4</v>
      </c>
      <c r="X39" s="3" t="n">
        <v>-1.3</v>
      </c>
      <c r="Y39" s="3" t="inlineStr">
        <is>
          <t>COMM_Avoidant</t>
        </is>
      </c>
      <c r="Z39" s="3" t="inlineStr">
        <is>
          <t>REG_Suppressor</t>
        </is>
      </c>
      <c r="AA39" s="3" t="inlineStr">
        <is>
          <t>LANG_Time</t>
        </is>
      </c>
      <c r="AB39" s="3" t="inlineStr">
        <is>
          <t>Vulnerability_Loop</t>
        </is>
      </c>
      <c r="AC39" s="3" t="inlineStr">
        <is>
          <t>Vulnerability_Loop</t>
        </is>
      </c>
      <c r="AD39" s="3" t="inlineStr"/>
      <c r="AE39" s="3" t="n">
        <v>5</v>
      </c>
      <c r="AF39" s="3" t="inlineStr">
        <is>
          <t>soft boundary</t>
        </is>
      </c>
      <c r="AG39" s="3" t="inlineStr">
        <is>
          <t>quiet exit</t>
        </is>
      </c>
      <c r="AH39" s="3" t="n">
        <v>0.2</v>
      </c>
      <c r="AI39" s="3" t="inlineStr">
        <is>
          <t>yes</t>
        </is>
      </c>
      <c r="AJ39" s="3" t="inlineStr">
        <is>
          <t>no</t>
        </is>
      </c>
      <c r="AK39" s="3" t="inlineStr">
        <is>
          <t>yes</t>
        </is>
      </c>
      <c r="AL39" s="3" t="inlineStr">
        <is>
          <t>yes</t>
        </is>
      </c>
      <c r="AM39" s="3" t="inlineStr"/>
      <c r="AN39" s="3" t="inlineStr"/>
      <c r="AO39" s="3" t="inlineStr"/>
      <c r="AP39" s="3" t="inlineStr">
        <is>
          <t>v3_2026-03-19</t>
        </is>
      </c>
      <c r="AQ39">
        <f>(L39-Schema_v5!$C2)/(Schema_v5!$C3-Schema_v5!$C2)</f>
        <v/>
      </c>
      <c r="AR39">
        <f>(M39-Schema_v5!$C4)/(Schema_v5!$C5-Schema_v5!$C4)</f>
        <v/>
      </c>
      <c r="AS39">
        <f>N39/Schema_v5!$C6</f>
        <v/>
      </c>
      <c r="AT39">
        <f>O39/Schema_v5!$C7</f>
        <v/>
      </c>
      <c r="AU39">
        <f>P39/Schema_v5!$C8</f>
        <v/>
      </c>
      <c r="AV39">
        <f>IF(Schema_v5!$C9=0,0,AH39/Schema_v5!$C9)</f>
        <v/>
      </c>
      <c r="AW39">
        <f>IF(Schema_v5!$C10=0,0,AE39/Schema_v5!$C10)</f>
        <v/>
      </c>
      <c r="AX39">
        <f>(W39-Schema_v5!$C11)/(Schema_v5!$C12-Schema_v5!$C11)</f>
        <v/>
      </c>
      <c r="AY39">
        <f>(X39-Schema_v5!$C13)/(Schema_v5!$C14-Schema_v5!$C13)</f>
        <v/>
      </c>
    </row>
    <row r="40">
      <c r="A40" s="3" t="inlineStr">
        <is>
          <t>Q08_D</t>
        </is>
      </c>
      <c r="B40" s="3" t="n">
        <v>8</v>
      </c>
      <c r="C40" s="3" t="n">
        <v>8</v>
      </c>
      <c r="D40" s="3" t="inlineStr">
        <is>
          <t>Core</t>
        </is>
      </c>
      <c r="E40" s="3" t="n">
        <v>1</v>
      </c>
      <c r="F40" s="3" t="inlineStr">
        <is>
          <t>CommunicationHealth</t>
        </is>
      </c>
      <c r="G40" s="3" t="inlineStr">
        <is>
          <t>EmotionalNeeds</t>
        </is>
      </c>
      <c r="H40" s="3" t="inlineStr"/>
      <c r="I40" s="3" t="inlineStr">
        <is>
          <t>D</t>
        </is>
      </c>
      <c r="J40" s="3" t="inlineStr">
        <is>
          <t>D</t>
        </is>
      </c>
      <c r="K40" s="3" t="inlineStr">
        <is>
          <t>Maybe they just need space. I try not to assume the worst... but yeah, it's hard not to take it personal.</t>
        </is>
      </c>
      <c r="L40" s="3" t="n">
        <v>7</v>
      </c>
      <c r="M40" s="3" t="n">
        <v>8</v>
      </c>
      <c r="N40" s="3" t="n">
        <v>6</v>
      </c>
      <c r="O40" s="3" t="n">
        <v>6</v>
      </c>
      <c r="P40" s="3" t="n">
        <v>4</v>
      </c>
      <c r="Q40" s="3" t="inlineStr">
        <is>
          <t>Romantic Idealist</t>
        </is>
      </c>
      <c r="R40" s="3" t="n">
        <v>6</v>
      </c>
      <c r="S40" s="3" t="inlineStr"/>
      <c r="T40" s="3" t="inlineStr"/>
      <c r="U40" s="3" t="n">
        <v>0</v>
      </c>
      <c r="V40" s="3" t="inlineStr">
        <is>
          <t>masc:-0.4;fem:1.5</t>
        </is>
      </c>
      <c r="W40" s="3" t="n">
        <v>-0.4</v>
      </c>
      <c r="X40" s="3" t="n">
        <v>1.5</v>
      </c>
      <c r="Y40" s="3" t="inlineStr">
        <is>
          <t>COMM_Emotional</t>
        </is>
      </c>
      <c r="Z40" s="3" t="inlineStr">
        <is>
          <t>REG_Distractor</t>
        </is>
      </c>
      <c r="AA40" s="3" t="inlineStr">
        <is>
          <t>LANG_Gifts</t>
        </is>
      </c>
      <c r="AB40" s="3" t="inlineStr"/>
      <c r="AC40" s="3" t="inlineStr"/>
      <c r="AD40" s="3" t="inlineStr"/>
      <c r="AE40" s="3" t="n">
        <v>0</v>
      </c>
      <c r="AF40" s="3" t="inlineStr">
        <is>
          <t>fragile optimism</t>
        </is>
      </c>
      <c r="AG40" s="3" t="inlineStr">
        <is>
          <t>tentative hope</t>
        </is>
      </c>
      <c r="AH40" s="3" t="n">
        <v>0</v>
      </c>
      <c r="AI40" s="3" t="inlineStr">
        <is>
          <t>no</t>
        </is>
      </c>
      <c r="AJ40" s="3" t="inlineStr">
        <is>
          <t>no</t>
        </is>
      </c>
      <c r="AK40" s="3" t="inlineStr">
        <is>
          <t>yes</t>
        </is>
      </c>
      <c r="AL40" s="3" t="inlineStr">
        <is>
          <t>yes</t>
        </is>
      </c>
      <c r="AM40" s="3" t="inlineStr"/>
      <c r="AN40" s="3" t="inlineStr"/>
      <c r="AO40" s="3" t="inlineStr"/>
      <c r="AP40" s="3" t="inlineStr">
        <is>
          <t>v3_2026-03-19</t>
        </is>
      </c>
      <c r="AQ40">
        <f>(L40-Schema_v5!$C2)/(Schema_v5!$C3-Schema_v5!$C2)</f>
        <v/>
      </c>
      <c r="AR40">
        <f>(M40-Schema_v5!$C4)/(Schema_v5!$C5-Schema_v5!$C4)</f>
        <v/>
      </c>
      <c r="AS40">
        <f>N40/Schema_v5!$C6</f>
        <v/>
      </c>
      <c r="AT40">
        <f>O40/Schema_v5!$C7</f>
        <v/>
      </c>
      <c r="AU40">
        <f>P40/Schema_v5!$C8</f>
        <v/>
      </c>
      <c r="AV40">
        <f>IF(Schema_v5!$C9=0,0,AH40/Schema_v5!$C9)</f>
        <v/>
      </c>
      <c r="AW40">
        <f>IF(Schema_v5!$C10=0,0,AE40/Schema_v5!$C10)</f>
        <v/>
      </c>
      <c r="AX40">
        <f>(W40-Schema_v5!$C11)/(Schema_v5!$C12-Schema_v5!$C11)</f>
        <v/>
      </c>
      <c r="AY40">
        <f>(X40-Schema_v5!$C13)/(Schema_v5!$C14-Schema_v5!$C13)</f>
        <v/>
      </c>
    </row>
    <row r="41">
      <c r="A41" s="3" t="inlineStr">
        <is>
          <t>Q08_E</t>
        </is>
      </c>
      <c r="B41" s="3" t="n">
        <v>8</v>
      </c>
      <c r="C41" s="3" t="n">
        <v>8</v>
      </c>
      <c r="D41" s="3" t="inlineStr">
        <is>
          <t>Core</t>
        </is>
      </c>
      <c r="E41" s="3" t="n">
        <v>1</v>
      </c>
      <c r="F41" s="3" t="inlineStr">
        <is>
          <t>CommunicationHealth</t>
        </is>
      </c>
      <c r="G41" s="3" t="inlineStr">
        <is>
          <t>EmotionalNeeds</t>
        </is>
      </c>
      <c r="H41" s="3" t="inlineStr"/>
      <c r="I41" s="3" t="inlineStr">
        <is>
          <t>E</t>
        </is>
      </c>
      <c r="J41" s="3" t="inlineStr">
        <is>
          <t>E</t>
        </is>
      </c>
      <c r="K41" s="3" t="inlineStr">
        <is>
          <t>Cool. If they're gonna play distant, I'll be busy too. I'm not built to beg for consistency.</t>
        </is>
      </c>
      <c r="L41" s="3" t="n">
        <v>4</v>
      </c>
      <c r="M41" s="3" t="n">
        <v>5</v>
      </c>
      <c r="N41" s="3" t="n">
        <v>0</v>
      </c>
      <c r="O41" s="3" t="n">
        <v>0</v>
      </c>
      <c r="P41" s="3" t="n">
        <v>0</v>
      </c>
      <c r="Q41" s="3" t="inlineStr">
        <is>
          <t>Icebox</t>
        </is>
      </c>
      <c r="R41" s="3" t="n">
        <v>1</v>
      </c>
      <c r="S41" s="3" t="inlineStr"/>
      <c r="T41" s="3" t="inlineStr"/>
      <c r="U41" s="3" t="n">
        <v>0</v>
      </c>
      <c r="V41" s="3" t="inlineStr">
        <is>
          <t>masc:1.8;fem:-1.6</t>
        </is>
      </c>
      <c r="W41" s="3" t="n">
        <v>1.8</v>
      </c>
      <c r="X41" s="3" t="n">
        <v>-1.6</v>
      </c>
      <c r="Y41" s="3" t="inlineStr">
        <is>
          <t>COMM_Avoidant</t>
        </is>
      </c>
      <c r="Z41" s="3" t="inlineStr">
        <is>
          <t>REG_Suppressor</t>
        </is>
      </c>
      <c r="AA41" s="3" t="inlineStr">
        <is>
          <t>LANG_Time</t>
        </is>
      </c>
      <c r="AB41" s="3" t="inlineStr">
        <is>
          <t>Vulnerability_Loop , Pursuer_Distancer</t>
        </is>
      </c>
      <c r="AC41" s="3" t="inlineStr">
        <is>
          <t>Vulnerability_Loop</t>
        </is>
      </c>
      <c r="AD41" s="3" t="inlineStr">
        <is>
          <t>Pursuer_Distancer</t>
        </is>
      </c>
      <c r="AE41" s="3" t="n">
        <v>11</v>
      </c>
      <c r="AF41" s="3" t="inlineStr">
        <is>
          <t>defensive control</t>
        </is>
      </c>
      <c r="AG41" s="3" t="inlineStr">
        <is>
          <t>mirrored distance</t>
        </is>
      </c>
      <c r="AH41" s="3" t="n">
        <v>0</v>
      </c>
      <c r="AI41" s="3" t="inlineStr">
        <is>
          <t>yes</t>
        </is>
      </c>
      <c r="AJ41" s="3" t="inlineStr">
        <is>
          <t>no</t>
        </is>
      </c>
      <c r="AK41" s="3" t="inlineStr">
        <is>
          <t>yes</t>
        </is>
      </c>
      <c r="AL41" s="3" t="inlineStr">
        <is>
          <t>yes</t>
        </is>
      </c>
      <c r="AM41" s="3" t="inlineStr"/>
      <c r="AN41" s="3" t="inlineStr"/>
      <c r="AO41" s="3" t="inlineStr"/>
      <c r="AP41" s="3" t="inlineStr">
        <is>
          <t>v3_2026-03-19</t>
        </is>
      </c>
      <c r="AQ41">
        <f>(L41-Schema_v5!$C2)/(Schema_v5!$C3-Schema_v5!$C2)</f>
        <v/>
      </c>
      <c r="AR41">
        <f>(M41-Schema_v5!$C4)/(Schema_v5!$C5-Schema_v5!$C4)</f>
        <v/>
      </c>
      <c r="AS41">
        <f>N41/Schema_v5!$C6</f>
        <v/>
      </c>
      <c r="AT41">
        <f>O41/Schema_v5!$C7</f>
        <v/>
      </c>
      <c r="AU41">
        <f>P41/Schema_v5!$C8</f>
        <v/>
      </c>
      <c r="AV41">
        <f>IF(Schema_v5!$C9=0,0,AH41/Schema_v5!$C9)</f>
        <v/>
      </c>
      <c r="AW41">
        <f>IF(Schema_v5!$C10=0,0,AE41/Schema_v5!$C10)</f>
        <v/>
      </c>
      <c r="AX41">
        <f>(W41-Schema_v5!$C11)/(Schema_v5!$C12-Schema_v5!$C11)</f>
        <v/>
      </c>
      <c r="AY41">
        <f>(X41-Schema_v5!$C13)/(Schema_v5!$C14-Schema_v5!$C13)</f>
        <v/>
      </c>
    </row>
    <row r="42">
      <c r="A42" s="3" t="inlineStr">
        <is>
          <t>Q09_A</t>
        </is>
      </c>
      <c r="B42" s="3" t="n">
        <v>9</v>
      </c>
      <c r="C42" s="3" t="n">
        <v>9</v>
      </c>
      <c r="D42" s="3" t="inlineStr">
        <is>
          <t>Core</t>
        </is>
      </c>
      <c r="E42" s="3" t="n">
        <v>1.05</v>
      </c>
      <c r="F42" s="3" t="inlineStr">
        <is>
          <t>ConflictRepair</t>
        </is>
      </c>
      <c r="G42" s="3" t="inlineStr">
        <is>
          <t>CommunicationHealth</t>
        </is>
      </c>
      <c r="H42" s="3" t="inlineStr">
        <is>
          <t>Question 9: They cancel plans last minute. No real reason, no reschedule. How do you take it?</t>
        </is>
      </c>
      <c r="I42" s="3" t="inlineStr">
        <is>
          <t>A</t>
        </is>
      </c>
      <c r="J42" s="3" t="inlineStr">
        <is>
          <t>A</t>
        </is>
      </c>
      <c r="K42" s="3" t="inlineStr">
        <is>
          <t>Noted. That's usually my cue to start pulling my energy back. I don't throw a fit, I just stop handing out access.</t>
        </is>
      </c>
      <c r="L42" s="3" t="n">
        <v>7</v>
      </c>
      <c r="M42" s="3" t="n">
        <v>8</v>
      </c>
      <c r="N42" s="3" t="n">
        <v>4</v>
      </c>
      <c r="O42" s="3" t="n">
        <v>4</v>
      </c>
      <c r="P42" s="3" t="n">
        <v>0</v>
      </c>
      <c r="Q42" s="3" t="inlineStr">
        <is>
          <t>Quiet Exit</t>
        </is>
      </c>
      <c r="R42" s="3" t="n">
        <v>4</v>
      </c>
      <c r="S42" s="3" t="inlineStr"/>
      <c r="T42" s="3" t="inlineStr"/>
      <c r="U42" s="3" t="n">
        <v>0</v>
      </c>
      <c r="V42" s="3" t="inlineStr">
        <is>
          <t>masc:1.4;fem:-1.3</t>
        </is>
      </c>
      <c r="W42" s="3" t="n">
        <v>1.4</v>
      </c>
      <c r="X42" s="3" t="n">
        <v>-1.3</v>
      </c>
      <c r="Y42" s="3" t="inlineStr">
        <is>
          <t>COMM_Avoidant</t>
        </is>
      </c>
      <c r="Z42" s="3" t="inlineStr">
        <is>
          <t>REG_Suppressor</t>
        </is>
      </c>
      <c r="AA42" s="3" t="inlineStr">
        <is>
          <t>LANG_Time</t>
        </is>
      </c>
      <c r="AB42" s="3" t="inlineStr"/>
      <c r="AC42" s="3" t="inlineStr"/>
      <c r="AD42" s="3" t="inlineStr"/>
      <c r="AE42" s="3" t="n">
        <v>0</v>
      </c>
      <c r="AF42" s="3" t="inlineStr">
        <is>
          <t>soft withdrawal</t>
        </is>
      </c>
      <c r="AG42" s="3" t="inlineStr">
        <is>
          <t>quiet boundary</t>
        </is>
      </c>
      <c r="AH42" s="3" t="n">
        <v>0.2</v>
      </c>
      <c r="AI42" s="3" t="inlineStr">
        <is>
          <t>no</t>
        </is>
      </c>
      <c r="AJ42" s="3" t="inlineStr">
        <is>
          <t>no</t>
        </is>
      </c>
      <c r="AK42" s="3" t="inlineStr">
        <is>
          <t>yes</t>
        </is>
      </c>
      <c r="AL42" s="3" t="inlineStr">
        <is>
          <t>yes</t>
        </is>
      </c>
      <c r="AM42" s="3" t="inlineStr"/>
      <c r="AN42" s="3" t="inlineStr"/>
      <c r="AO42" s="3" t="inlineStr"/>
      <c r="AP42" s="3" t="inlineStr">
        <is>
          <t>v3_2026-03-19</t>
        </is>
      </c>
      <c r="AQ42">
        <f>(L42-Schema_v5!$C2)/(Schema_v5!$C3-Schema_v5!$C2)</f>
        <v/>
      </c>
      <c r="AR42">
        <f>(M42-Schema_v5!$C4)/(Schema_v5!$C5-Schema_v5!$C4)</f>
        <v/>
      </c>
      <c r="AS42">
        <f>N42/Schema_v5!$C6</f>
        <v/>
      </c>
      <c r="AT42">
        <f>O42/Schema_v5!$C7</f>
        <v/>
      </c>
      <c r="AU42">
        <f>P42/Schema_v5!$C8</f>
        <v/>
      </c>
      <c r="AV42">
        <f>IF(Schema_v5!$C9=0,0,AH42/Schema_v5!$C9)</f>
        <v/>
      </c>
      <c r="AW42">
        <f>IF(Schema_v5!$C10=0,0,AE42/Schema_v5!$C10)</f>
        <v/>
      </c>
      <c r="AX42">
        <f>(W42-Schema_v5!$C11)/(Schema_v5!$C12-Schema_v5!$C11)</f>
        <v/>
      </c>
      <c r="AY42">
        <f>(X42-Schema_v5!$C13)/(Schema_v5!$C14-Schema_v5!$C13)</f>
        <v/>
      </c>
    </row>
    <row r="43">
      <c r="A43" s="3" t="inlineStr">
        <is>
          <t>Q09_B</t>
        </is>
      </c>
      <c r="B43" s="3" t="n">
        <v>9</v>
      </c>
      <c r="C43" s="3" t="n">
        <v>9</v>
      </c>
      <c r="D43" s="3" t="inlineStr">
        <is>
          <t>Core</t>
        </is>
      </c>
      <c r="E43" s="3" t="n">
        <v>1.05</v>
      </c>
      <c r="F43" s="3" t="inlineStr">
        <is>
          <t>ConflictRepair</t>
        </is>
      </c>
      <c r="G43" s="3" t="inlineStr">
        <is>
          <t>CommunicationHealth</t>
        </is>
      </c>
      <c r="H43" s="3" t="inlineStr"/>
      <c r="I43" s="3" t="inlineStr">
        <is>
          <t>B</t>
        </is>
      </c>
      <c r="J43" s="3" t="inlineStr">
        <is>
          <t>B</t>
        </is>
      </c>
      <c r="K43" s="3" t="inlineStr">
        <is>
          <t>I act like it's fine, but it lingers. Now I'm checking who else they were with, what story that timing fits into. I overthink for a living.</t>
        </is>
      </c>
      <c r="L43" s="3" t="n">
        <v>5</v>
      </c>
      <c r="M43" s="3" t="n">
        <v>6</v>
      </c>
      <c r="N43" s="3" t="n">
        <v>4</v>
      </c>
      <c r="O43" s="3" t="n">
        <v>4</v>
      </c>
      <c r="P43" s="3" t="n">
        <v>2</v>
      </c>
      <c r="Q43" s="3" t="inlineStr">
        <is>
          <t>Analyzer</t>
        </is>
      </c>
      <c r="R43" s="3" t="n">
        <v>2</v>
      </c>
      <c r="S43" s="3" t="inlineStr"/>
      <c r="T43" s="3" t="inlineStr"/>
      <c r="U43" s="3" t="n">
        <v>0</v>
      </c>
      <c r="V43" s="3" t="inlineStr">
        <is>
          <t>masc:1.4;fem:0.1</t>
        </is>
      </c>
      <c r="W43" s="3" t="n">
        <v>1.4</v>
      </c>
      <c r="X43" s="3" t="n">
        <v>0.1</v>
      </c>
      <c r="Y43" s="3" t="inlineStr">
        <is>
          <t>COMM_Logical</t>
        </is>
      </c>
      <c r="Z43" s="3" t="inlineStr">
        <is>
          <t>REG_SelfSoother</t>
        </is>
      </c>
      <c r="AA43" s="3" t="inlineStr">
        <is>
          <t>LANG_Service</t>
        </is>
      </c>
      <c r="AB43" s="3" t="inlineStr">
        <is>
          <t>Vulnerability_Loop</t>
        </is>
      </c>
      <c r="AC43" s="3" t="inlineStr">
        <is>
          <t>Vulnerability_Loop</t>
        </is>
      </c>
      <c r="AD43" s="3" t="inlineStr"/>
      <c r="AE43" s="3" t="n">
        <v>5</v>
      </c>
      <c r="AF43" s="3" t="inlineStr">
        <is>
          <t>obsessive cross-referencer</t>
        </is>
      </c>
      <c r="AG43" s="3" t="inlineStr">
        <is>
          <t>trust checker</t>
        </is>
      </c>
      <c r="AH43" s="3" t="n">
        <v>0</v>
      </c>
      <c r="AI43" s="3" t="inlineStr">
        <is>
          <t>yes</t>
        </is>
      </c>
      <c r="AJ43" s="3" t="inlineStr">
        <is>
          <t>no</t>
        </is>
      </c>
      <c r="AK43" s="3" t="inlineStr">
        <is>
          <t>yes</t>
        </is>
      </c>
      <c r="AL43" s="3" t="inlineStr">
        <is>
          <t>yes</t>
        </is>
      </c>
      <c r="AM43" s="3" t="inlineStr"/>
      <c r="AN43" s="3" t="inlineStr"/>
      <c r="AO43" s="3" t="inlineStr"/>
      <c r="AP43" s="3" t="inlineStr">
        <is>
          <t>v3_2026-03-19</t>
        </is>
      </c>
      <c r="AQ43">
        <f>(L43-Schema_v5!$C2)/(Schema_v5!$C3-Schema_v5!$C2)</f>
        <v/>
      </c>
      <c r="AR43">
        <f>(M43-Schema_v5!$C4)/(Schema_v5!$C5-Schema_v5!$C4)</f>
        <v/>
      </c>
      <c r="AS43">
        <f>N43/Schema_v5!$C6</f>
        <v/>
      </c>
      <c r="AT43">
        <f>O43/Schema_v5!$C7</f>
        <v/>
      </c>
      <c r="AU43">
        <f>P43/Schema_v5!$C8</f>
        <v/>
      </c>
      <c r="AV43">
        <f>IF(Schema_v5!$C9=0,0,AH43/Schema_v5!$C9)</f>
        <v/>
      </c>
      <c r="AW43">
        <f>IF(Schema_v5!$C10=0,0,AE43/Schema_v5!$C10)</f>
        <v/>
      </c>
      <c r="AX43">
        <f>(W43-Schema_v5!$C11)/(Schema_v5!$C12-Schema_v5!$C11)</f>
        <v/>
      </c>
      <c r="AY43">
        <f>(X43-Schema_v5!$C13)/(Schema_v5!$C14-Schema_v5!$C13)</f>
        <v/>
      </c>
    </row>
    <row r="44">
      <c r="A44" s="3" t="inlineStr">
        <is>
          <t>Q09_C</t>
        </is>
      </c>
      <c r="B44" s="3" t="n">
        <v>9</v>
      </c>
      <c r="C44" s="3" t="n">
        <v>9</v>
      </c>
      <c r="D44" s="3" t="inlineStr">
        <is>
          <t>Core</t>
        </is>
      </c>
      <c r="E44" s="3" t="n">
        <v>1.05</v>
      </c>
      <c r="F44" s="3" t="inlineStr">
        <is>
          <t>ConflictRepair</t>
        </is>
      </c>
      <c r="G44" s="3" t="inlineStr">
        <is>
          <t>CommunicationHealth</t>
        </is>
      </c>
      <c r="H44" s="3" t="inlineStr"/>
      <c r="I44" s="3" t="inlineStr">
        <is>
          <t>C</t>
        </is>
      </c>
      <c r="J44" s="3" t="inlineStr">
        <is>
          <t>C</t>
        </is>
      </c>
      <c r="K44" s="3" t="inlineStr">
        <is>
          <t>It stings. I replay the texts a few times, wondering what I said or didn't say. I don't bring it up, but I definitely adjust after that.</t>
        </is>
      </c>
      <c r="L44" s="3" t="n">
        <v>5</v>
      </c>
      <c r="M44" s="3" t="n">
        <v>6</v>
      </c>
      <c r="N44" s="3" t="n">
        <v>2</v>
      </c>
      <c r="O44" s="3" t="n">
        <v>4</v>
      </c>
      <c r="P44" s="3" t="n">
        <v>2</v>
      </c>
      <c r="Q44" s="3" t="inlineStr">
        <is>
          <t>Phantom Seeker</t>
        </is>
      </c>
      <c r="R44" s="3" t="n">
        <v>10</v>
      </c>
      <c r="S44" s="3" t="inlineStr"/>
      <c r="T44" s="3" t="inlineStr"/>
      <c r="U44" s="3" t="n">
        <v>0</v>
      </c>
      <c r="V44" s="3" t="inlineStr">
        <is>
          <t>masc:-0.2;fem:1.5</t>
        </is>
      </c>
      <c r="W44" s="3" t="n">
        <v>-0.2</v>
      </c>
      <c r="X44" s="3" t="n">
        <v>1.5</v>
      </c>
      <c r="Y44" s="3" t="inlineStr">
        <is>
          <t>COMM_Emotional</t>
        </is>
      </c>
      <c r="Z44" s="3" t="inlineStr">
        <is>
          <t>REG_SelfSoother</t>
        </is>
      </c>
      <c r="AA44" s="3" t="inlineStr">
        <is>
          <t>LANG_Touch</t>
        </is>
      </c>
      <c r="AB44" s="3" t="inlineStr">
        <is>
          <t>Vulnerability_Loop</t>
        </is>
      </c>
      <c r="AC44" s="3" t="inlineStr">
        <is>
          <t>Vulnerability_Loop</t>
        </is>
      </c>
      <c r="AD44" s="3" t="inlineStr"/>
      <c r="AE44" s="3" t="n">
        <v>5</v>
      </c>
      <c r="AF44" s="3" t="inlineStr">
        <is>
          <t>internalizer pullback</t>
        </is>
      </c>
      <c r="AG44" s="3" t="inlineStr">
        <is>
          <t>cautious retreater</t>
        </is>
      </c>
      <c r="AH44" s="3" t="n">
        <v>0</v>
      </c>
      <c r="AI44" s="3" t="inlineStr">
        <is>
          <t>yes</t>
        </is>
      </c>
      <c r="AJ44" s="3" t="inlineStr">
        <is>
          <t>no</t>
        </is>
      </c>
      <c r="AK44" s="3" t="inlineStr">
        <is>
          <t>yes</t>
        </is>
      </c>
      <c r="AL44" s="3" t="inlineStr">
        <is>
          <t>yes</t>
        </is>
      </c>
      <c r="AM44" s="3" t="inlineStr"/>
      <c r="AN44" s="3" t="inlineStr"/>
      <c r="AO44" s="3" t="inlineStr"/>
      <c r="AP44" s="3" t="inlineStr">
        <is>
          <t>v3_2026-03-19</t>
        </is>
      </c>
      <c r="AQ44">
        <f>(L44-Schema_v5!$C2)/(Schema_v5!$C3-Schema_v5!$C2)</f>
        <v/>
      </c>
      <c r="AR44">
        <f>(M44-Schema_v5!$C4)/(Schema_v5!$C5-Schema_v5!$C4)</f>
        <v/>
      </c>
      <c r="AS44">
        <f>N44/Schema_v5!$C6</f>
        <v/>
      </c>
      <c r="AT44">
        <f>O44/Schema_v5!$C7</f>
        <v/>
      </c>
      <c r="AU44">
        <f>P44/Schema_v5!$C8</f>
        <v/>
      </c>
      <c r="AV44">
        <f>IF(Schema_v5!$C9=0,0,AH44/Schema_v5!$C9)</f>
        <v/>
      </c>
      <c r="AW44">
        <f>IF(Schema_v5!$C10=0,0,AE44/Schema_v5!$C10)</f>
        <v/>
      </c>
      <c r="AX44">
        <f>(W44-Schema_v5!$C11)/(Schema_v5!$C12-Schema_v5!$C11)</f>
        <v/>
      </c>
      <c r="AY44">
        <f>(X44-Schema_v5!$C13)/(Schema_v5!$C14-Schema_v5!$C13)</f>
        <v/>
      </c>
    </row>
    <row r="45">
      <c r="A45" s="3" t="inlineStr">
        <is>
          <t>Q09_D</t>
        </is>
      </c>
      <c r="B45" s="3" t="n">
        <v>9</v>
      </c>
      <c r="C45" s="3" t="n">
        <v>9</v>
      </c>
      <c r="D45" s="3" t="inlineStr">
        <is>
          <t>Core</t>
        </is>
      </c>
      <c r="E45" s="3" t="n">
        <v>1.05</v>
      </c>
      <c r="F45" s="3" t="inlineStr">
        <is>
          <t>ConflictRepair</t>
        </is>
      </c>
      <c r="G45" s="3" t="inlineStr">
        <is>
          <t>CommunicationHealth</t>
        </is>
      </c>
      <c r="H45" s="3" t="inlineStr"/>
      <c r="I45" s="3" t="inlineStr">
        <is>
          <t>D</t>
        </is>
      </c>
      <c r="J45" s="3" t="inlineStr">
        <is>
          <t>D</t>
        </is>
      </c>
      <c r="K45" s="3" t="inlineStr">
        <is>
          <t>I get annoyed, then weirdly try harder. Like maybe if I'm more consistent, they'll start matching that. It never really works, but I still do it.</t>
        </is>
      </c>
      <c r="L45" s="3" t="n">
        <v>4</v>
      </c>
      <c r="M45" s="3" t="n">
        <v>5</v>
      </c>
      <c r="N45" s="3" t="n">
        <v>2</v>
      </c>
      <c r="O45" s="3" t="n">
        <v>2</v>
      </c>
      <c r="P45" s="3" t="n">
        <v>2</v>
      </c>
      <c r="Q45" s="3" t="inlineStr">
        <is>
          <t>Fixer</t>
        </is>
      </c>
      <c r="R45" s="3" t="n">
        <v>5</v>
      </c>
      <c r="S45" s="3" t="inlineStr"/>
      <c r="T45" s="3" t="inlineStr"/>
      <c r="U45" s="3" t="n">
        <v>0</v>
      </c>
      <c r="V45" s="3" t="inlineStr">
        <is>
          <t>masc:-0.4;fem:2.0</t>
        </is>
      </c>
      <c r="W45" s="3" t="n">
        <v>-0.4</v>
      </c>
      <c r="X45" s="3" t="n">
        <v>2</v>
      </c>
      <c r="Y45" s="3" t="inlineStr">
        <is>
          <t>COMM_Emotional</t>
        </is>
      </c>
      <c r="Z45" s="3" t="inlineStr">
        <is>
          <t>REG_CoRegulator</t>
        </is>
      </c>
      <c r="AA45" s="3" t="inlineStr">
        <is>
          <t>LANG_Service</t>
        </is>
      </c>
      <c r="AB45" s="3" t="inlineStr">
        <is>
          <t>Commitment_Ambiguity</t>
        </is>
      </c>
      <c r="AC45" s="3" t="inlineStr">
        <is>
          <t>Commitment_Ambiguity</t>
        </is>
      </c>
      <c r="AD45" s="3" t="inlineStr"/>
      <c r="AE45" s="3" t="n">
        <v>5</v>
      </c>
      <c r="AF45" s="3" t="inlineStr">
        <is>
          <t>conditional effort loop</t>
        </is>
      </c>
      <c r="AG45" s="3" t="inlineStr">
        <is>
          <t>overcompensator</t>
        </is>
      </c>
      <c r="AH45" s="3" t="n">
        <v>0</v>
      </c>
      <c r="AI45" s="3" t="inlineStr">
        <is>
          <t>yes</t>
        </is>
      </c>
      <c r="AJ45" s="3" t="inlineStr">
        <is>
          <t>no</t>
        </is>
      </c>
      <c r="AK45" s="3" t="inlineStr">
        <is>
          <t>yes</t>
        </is>
      </c>
      <c r="AL45" s="3" t="inlineStr">
        <is>
          <t>yes</t>
        </is>
      </c>
      <c r="AM45" s="3" t="inlineStr"/>
      <c r="AN45" s="3" t="inlineStr"/>
      <c r="AO45" s="3" t="inlineStr"/>
      <c r="AP45" s="3" t="inlineStr">
        <is>
          <t>v3_2026-03-19</t>
        </is>
      </c>
      <c r="AQ45">
        <f>(L45-Schema_v5!$C2)/(Schema_v5!$C3-Schema_v5!$C2)</f>
        <v/>
      </c>
      <c r="AR45">
        <f>(M45-Schema_v5!$C4)/(Schema_v5!$C5-Schema_v5!$C4)</f>
        <v/>
      </c>
      <c r="AS45">
        <f>N45/Schema_v5!$C6</f>
        <v/>
      </c>
      <c r="AT45">
        <f>O45/Schema_v5!$C7</f>
        <v/>
      </c>
      <c r="AU45">
        <f>P45/Schema_v5!$C8</f>
        <v/>
      </c>
      <c r="AV45">
        <f>IF(Schema_v5!$C9=0,0,AH45/Schema_v5!$C9)</f>
        <v/>
      </c>
      <c r="AW45">
        <f>IF(Schema_v5!$C10=0,0,AE45/Schema_v5!$C10)</f>
        <v/>
      </c>
      <c r="AX45">
        <f>(W45-Schema_v5!$C11)/(Schema_v5!$C12-Schema_v5!$C11)</f>
        <v/>
      </c>
      <c r="AY45">
        <f>(X45-Schema_v5!$C13)/(Schema_v5!$C14-Schema_v5!$C13)</f>
        <v/>
      </c>
    </row>
    <row r="46">
      <c r="A46" s="3" t="inlineStr">
        <is>
          <t>Q09_E</t>
        </is>
      </c>
      <c r="B46" s="3" t="n">
        <v>9</v>
      </c>
      <c r="C46" s="3" t="n">
        <v>9</v>
      </c>
      <c r="D46" s="3" t="inlineStr">
        <is>
          <t>Core</t>
        </is>
      </c>
      <c r="E46" s="3" t="n">
        <v>1.05</v>
      </c>
      <c r="F46" s="3" t="inlineStr">
        <is>
          <t>ConflictRepair</t>
        </is>
      </c>
      <c r="G46" s="3" t="inlineStr">
        <is>
          <t>CommunicationHealth</t>
        </is>
      </c>
      <c r="H46" s="3" t="inlineStr"/>
      <c r="I46" s="3" t="inlineStr">
        <is>
          <t>E</t>
        </is>
      </c>
      <c r="J46" s="3" t="inlineStr">
        <is>
          <t>E</t>
        </is>
      </c>
      <c r="K46" s="3" t="inlineStr">
        <is>
          <t>Cool. That tells me everything I needed to know. I move different after that, no announcement required.</t>
        </is>
      </c>
      <c r="L46" s="3" t="n">
        <v>4</v>
      </c>
      <c r="M46" s="3" t="n">
        <v>5</v>
      </c>
      <c r="N46" s="3" t="n">
        <v>0</v>
      </c>
      <c r="O46" s="3" t="n">
        <v>0</v>
      </c>
      <c r="P46" s="3" t="n">
        <v>0</v>
      </c>
      <c r="Q46" s="3" t="inlineStr">
        <is>
          <t>Icebox</t>
        </is>
      </c>
      <c r="R46" s="3" t="n">
        <v>1</v>
      </c>
      <c r="S46" s="3" t="inlineStr"/>
      <c r="T46" s="3" t="inlineStr"/>
      <c r="U46" s="3" t="n">
        <v>0</v>
      </c>
      <c r="V46" s="3" t="inlineStr">
        <is>
          <t>masc:1.8;fem:-1.6</t>
        </is>
      </c>
      <c r="W46" s="3" t="n">
        <v>1.8</v>
      </c>
      <c r="X46" s="3" t="n">
        <v>-1.6</v>
      </c>
      <c r="Y46" s="3" t="inlineStr">
        <is>
          <t>COMM_Avoidant</t>
        </is>
      </c>
      <c r="Z46" s="3" t="inlineStr">
        <is>
          <t>REG_Suppressor</t>
        </is>
      </c>
      <c r="AA46" s="3" t="inlineStr">
        <is>
          <t>LANG_Time</t>
        </is>
      </c>
      <c r="AB46" s="3" t="inlineStr"/>
      <c r="AC46" s="3" t="inlineStr"/>
      <c r="AD46" s="3" t="inlineStr"/>
      <c r="AE46" s="3" t="n">
        <v>0</v>
      </c>
      <c r="AF46" s="3" t="inlineStr">
        <is>
          <t>cold logic</t>
        </is>
      </c>
      <c r="AG46" s="3" t="inlineStr">
        <is>
          <t>decisive exit</t>
        </is>
      </c>
      <c r="AH46" s="3" t="n">
        <v>0.6</v>
      </c>
      <c r="AI46" s="3" t="inlineStr">
        <is>
          <t>no</t>
        </is>
      </c>
      <c r="AJ46" s="3" t="inlineStr">
        <is>
          <t>no</t>
        </is>
      </c>
      <c r="AK46" s="3" t="inlineStr">
        <is>
          <t>yes</t>
        </is>
      </c>
      <c r="AL46" s="3" t="inlineStr">
        <is>
          <t>yes</t>
        </is>
      </c>
      <c r="AM46" s="3" t="inlineStr"/>
      <c r="AN46" s="3" t="inlineStr"/>
      <c r="AO46" s="3" t="inlineStr"/>
      <c r="AP46" s="3" t="inlineStr">
        <is>
          <t>v3_2026-03-19</t>
        </is>
      </c>
      <c r="AQ46">
        <f>(L46-Schema_v5!$C2)/(Schema_v5!$C3-Schema_v5!$C2)</f>
        <v/>
      </c>
      <c r="AR46">
        <f>(M46-Schema_v5!$C4)/(Schema_v5!$C5-Schema_v5!$C4)</f>
        <v/>
      </c>
      <c r="AS46">
        <f>N46/Schema_v5!$C6</f>
        <v/>
      </c>
      <c r="AT46">
        <f>O46/Schema_v5!$C7</f>
        <v/>
      </c>
      <c r="AU46">
        <f>P46/Schema_v5!$C8</f>
        <v/>
      </c>
      <c r="AV46">
        <f>IF(Schema_v5!$C9=0,0,AH46/Schema_v5!$C9)</f>
        <v/>
      </c>
      <c r="AW46">
        <f>IF(Schema_v5!$C10=0,0,AE46/Schema_v5!$C10)</f>
        <v/>
      </c>
      <c r="AX46">
        <f>(W46-Schema_v5!$C11)/(Schema_v5!$C12-Schema_v5!$C11)</f>
        <v/>
      </c>
      <c r="AY46">
        <f>(X46-Schema_v5!$C13)/(Schema_v5!$C14-Schema_v5!$C13)</f>
        <v/>
      </c>
    </row>
    <row r="47">
      <c r="A47" s="3" t="inlineStr">
        <is>
          <t>Q10_A</t>
        </is>
      </c>
      <c r="B47" s="3" t="n">
        <v>10</v>
      </c>
      <c r="C47" s="3" t="n">
        <v>10</v>
      </c>
      <c r="D47" s="3" t="inlineStr">
        <is>
          <t>Core</t>
        </is>
      </c>
      <c r="E47" s="3" t="n">
        <v>1.05</v>
      </c>
      <c r="F47" s="3" t="inlineStr">
        <is>
          <t>ConflictRepair</t>
        </is>
      </c>
      <c r="G47" s="3" t="inlineStr">
        <is>
          <t>CommunicationHealth</t>
        </is>
      </c>
      <c r="H47" s="3" t="inlineStr">
        <is>
          <t>Question 10: They come to you for comfort when things go wrong-but you're not sure they'd do the same for you. What runs through your mind?</t>
        </is>
      </c>
      <c r="I47" s="3" t="inlineStr">
        <is>
          <t>A</t>
        </is>
      </c>
      <c r="J47" s="3" t="inlineStr">
        <is>
          <t>A</t>
        </is>
      </c>
      <c r="K47" s="3" t="inlineStr">
        <is>
          <t>I play the part, but I clock the imbalance. I've been the safe place before, doesn't mean they ever planned to stay.</t>
        </is>
      </c>
      <c r="L47" s="3" t="n">
        <v>7</v>
      </c>
      <c r="M47" s="3" t="n">
        <v>8</v>
      </c>
      <c r="N47" s="3" t="n">
        <v>6</v>
      </c>
      <c r="O47" s="3" t="n">
        <v>8</v>
      </c>
      <c r="P47" s="3" t="n">
        <v>6</v>
      </c>
      <c r="Q47" s="3" t="inlineStr">
        <is>
          <t>Survivor</t>
        </is>
      </c>
      <c r="R47" s="3" t="n">
        <v>8</v>
      </c>
      <c r="S47" s="3" t="inlineStr"/>
      <c r="T47" s="3" t="inlineStr"/>
      <c r="U47" s="3" t="n">
        <v>0</v>
      </c>
      <c r="V47" s="3" t="inlineStr">
        <is>
          <t>masc:0.3;fem:1.3</t>
        </is>
      </c>
      <c r="W47" s="3" t="n">
        <v>0.3</v>
      </c>
      <c r="X47" s="3" t="n">
        <v>1.3</v>
      </c>
      <c r="Y47" s="3" t="inlineStr">
        <is>
          <t>COMM_Emotional</t>
        </is>
      </c>
      <c r="Z47" s="3" t="inlineStr">
        <is>
          <t>REG_SelfSoother</t>
        </is>
      </c>
      <c r="AA47" s="3" t="inlineStr">
        <is>
          <t>LANG_Service</t>
        </is>
      </c>
      <c r="AB47" s="3" t="inlineStr"/>
      <c r="AC47" s="3" t="inlineStr"/>
      <c r="AD47" s="3" t="inlineStr"/>
      <c r="AE47" s="3" t="n">
        <v>0</v>
      </c>
      <c r="AF47" s="3" t="inlineStr">
        <is>
          <t>burned-out responder</t>
        </is>
      </c>
      <c r="AG47" s="3" t="inlineStr">
        <is>
          <t>guarded giver</t>
        </is>
      </c>
      <c r="AH47" s="3" t="n">
        <v>0</v>
      </c>
      <c r="AI47" s="3" t="inlineStr">
        <is>
          <t>no</t>
        </is>
      </c>
      <c r="AJ47" s="3" t="inlineStr">
        <is>
          <t>no</t>
        </is>
      </c>
      <c r="AK47" s="3" t="inlineStr">
        <is>
          <t>yes</t>
        </is>
      </c>
      <c r="AL47" s="3" t="inlineStr">
        <is>
          <t>yes</t>
        </is>
      </c>
      <c r="AM47" s="3" t="inlineStr"/>
      <c r="AN47" s="3" t="inlineStr"/>
      <c r="AO47" s="3" t="inlineStr"/>
      <c r="AP47" s="3" t="inlineStr">
        <is>
          <t>v3_2026-03-19</t>
        </is>
      </c>
      <c r="AQ47">
        <f>(L47-Schema_v5!$C2)/(Schema_v5!$C3-Schema_v5!$C2)</f>
        <v/>
      </c>
      <c r="AR47">
        <f>(M47-Schema_v5!$C4)/(Schema_v5!$C5-Schema_v5!$C4)</f>
        <v/>
      </c>
      <c r="AS47">
        <f>N47/Schema_v5!$C6</f>
        <v/>
      </c>
      <c r="AT47">
        <f>O47/Schema_v5!$C7</f>
        <v/>
      </c>
      <c r="AU47">
        <f>P47/Schema_v5!$C8</f>
        <v/>
      </c>
      <c r="AV47">
        <f>IF(Schema_v5!$C9=0,0,AH47/Schema_v5!$C9)</f>
        <v/>
      </c>
      <c r="AW47">
        <f>IF(Schema_v5!$C10=0,0,AE47/Schema_v5!$C10)</f>
        <v/>
      </c>
      <c r="AX47">
        <f>(W47-Schema_v5!$C11)/(Schema_v5!$C12-Schema_v5!$C11)</f>
        <v/>
      </c>
      <c r="AY47">
        <f>(X47-Schema_v5!$C13)/(Schema_v5!$C14-Schema_v5!$C13)</f>
        <v/>
      </c>
    </row>
    <row r="48">
      <c r="A48" s="3" t="inlineStr">
        <is>
          <t>Q10_B</t>
        </is>
      </c>
      <c r="B48" s="3" t="n">
        <v>10</v>
      </c>
      <c r="C48" s="3" t="n">
        <v>10</v>
      </c>
      <c r="D48" s="3" t="inlineStr">
        <is>
          <t>Core</t>
        </is>
      </c>
      <c r="E48" s="3" t="n">
        <v>1.05</v>
      </c>
      <c r="F48" s="3" t="inlineStr">
        <is>
          <t>ConflictRepair</t>
        </is>
      </c>
      <c r="G48" s="3" t="inlineStr">
        <is>
          <t>CommunicationHealth</t>
        </is>
      </c>
      <c r="H48" s="3" t="inlineStr"/>
      <c r="I48" s="3" t="inlineStr">
        <is>
          <t>B</t>
        </is>
      </c>
      <c r="J48" s="3" t="inlineStr">
        <is>
          <t>B</t>
        </is>
      </c>
      <c r="K48" s="3" t="inlineStr">
        <is>
          <t>I try to be what they need, hoping maybe this time they'll realize I'm more than a backup plan.</t>
        </is>
      </c>
      <c r="L48" s="3" t="n">
        <v>6</v>
      </c>
      <c r="M48" s="3" t="n">
        <v>7</v>
      </c>
      <c r="N48" s="3" t="n">
        <v>4</v>
      </c>
      <c r="O48" s="3" t="n">
        <v>6</v>
      </c>
      <c r="P48" s="3" t="n">
        <v>4</v>
      </c>
      <c r="Q48" s="3" t="inlineStr">
        <is>
          <t>Fixer</t>
        </is>
      </c>
      <c r="R48" s="3" t="n">
        <v>5</v>
      </c>
      <c r="S48" s="3" t="inlineStr"/>
      <c r="T48" s="3" t="inlineStr"/>
      <c r="U48" s="3" t="n">
        <v>0</v>
      </c>
      <c r="V48" s="3" t="inlineStr">
        <is>
          <t>masc:-0.4;fem:2.0</t>
        </is>
      </c>
      <c r="W48" s="3" t="n">
        <v>-0.4</v>
      </c>
      <c r="X48" s="3" t="n">
        <v>2</v>
      </c>
      <c r="Y48" s="3" t="inlineStr">
        <is>
          <t>COMM_Emotional</t>
        </is>
      </c>
      <c r="Z48" s="3" t="inlineStr">
        <is>
          <t>REG_CoRegulator</t>
        </is>
      </c>
      <c r="AA48" s="3" t="inlineStr">
        <is>
          <t>LANG_Service</t>
        </is>
      </c>
      <c r="AB48" s="3" t="inlineStr">
        <is>
          <t>Commitment_Ambiguity</t>
        </is>
      </c>
      <c r="AC48" s="3" t="inlineStr">
        <is>
          <t>Commitment_Ambiguity</t>
        </is>
      </c>
      <c r="AD48" s="3" t="inlineStr"/>
      <c r="AE48" s="3" t="n">
        <v>5</v>
      </c>
      <c r="AF48" s="3" t="inlineStr">
        <is>
          <t>approval-seeking caretaker</t>
        </is>
      </c>
      <c r="AG48" s="3" t="inlineStr">
        <is>
          <t>hopeful server</t>
        </is>
      </c>
      <c r="AH48" s="3" t="n">
        <v>0</v>
      </c>
      <c r="AI48" s="3" t="inlineStr">
        <is>
          <t>yes</t>
        </is>
      </c>
      <c r="AJ48" s="3" t="inlineStr">
        <is>
          <t>no</t>
        </is>
      </c>
      <c r="AK48" s="3" t="inlineStr">
        <is>
          <t>yes</t>
        </is>
      </c>
      <c r="AL48" s="3" t="inlineStr">
        <is>
          <t>yes</t>
        </is>
      </c>
      <c r="AM48" s="3" t="inlineStr"/>
      <c r="AN48" s="3" t="inlineStr"/>
      <c r="AO48" s="3" t="inlineStr"/>
      <c r="AP48" s="3" t="inlineStr">
        <is>
          <t>v3_2026-03-19</t>
        </is>
      </c>
      <c r="AQ48">
        <f>(L48-Schema_v5!$C2)/(Schema_v5!$C3-Schema_v5!$C2)</f>
        <v/>
      </c>
      <c r="AR48">
        <f>(M48-Schema_v5!$C4)/(Schema_v5!$C5-Schema_v5!$C4)</f>
        <v/>
      </c>
      <c r="AS48">
        <f>N48/Schema_v5!$C6</f>
        <v/>
      </c>
      <c r="AT48">
        <f>O48/Schema_v5!$C7</f>
        <v/>
      </c>
      <c r="AU48">
        <f>P48/Schema_v5!$C8</f>
        <v/>
      </c>
      <c r="AV48">
        <f>IF(Schema_v5!$C9=0,0,AH48/Schema_v5!$C9)</f>
        <v/>
      </c>
      <c r="AW48">
        <f>IF(Schema_v5!$C10=0,0,AE48/Schema_v5!$C10)</f>
        <v/>
      </c>
      <c r="AX48">
        <f>(W48-Schema_v5!$C11)/(Schema_v5!$C12-Schema_v5!$C11)</f>
        <v/>
      </c>
      <c r="AY48">
        <f>(X48-Schema_v5!$C13)/(Schema_v5!$C14-Schema_v5!$C13)</f>
        <v/>
      </c>
    </row>
    <row r="49">
      <c r="A49" s="3" t="inlineStr">
        <is>
          <t>Q10_C</t>
        </is>
      </c>
      <c r="B49" s="3" t="n">
        <v>10</v>
      </c>
      <c r="C49" s="3" t="n">
        <v>10</v>
      </c>
      <c r="D49" s="3" t="inlineStr">
        <is>
          <t>Core</t>
        </is>
      </c>
      <c r="E49" s="3" t="n">
        <v>1.05</v>
      </c>
      <c r="F49" s="3" t="inlineStr">
        <is>
          <t>ConflictRepair</t>
        </is>
      </c>
      <c r="G49" s="3" t="inlineStr">
        <is>
          <t>CommunicationHealth</t>
        </is>
      </c>
      <c r="H49" s="3" t="inlineStr"/>
      <c r="I49" s="3" t="inlineStr">
        <is>
          <t>C</t>
        </is>
      </c>
      <c r="J49" s="3" t="inlineStr">
        <is>
          <t>C</t>
        </is>
      </c>
      <c r="K49" s="3" t="inlineStr">
        <is>
          <t>I comfort them, but in my head I'm already creating distance. If I can't count on them too, this whole thing is one-sided.</t>
        </is>
      </c>
      <c r="L49" s="3" t="n">
        <v>7</v>
      </c>
      <c r="M49" s="3" t="n">
        <v>8</v>
      </c>
      <c r="N49" s="3" t="n">
        <v>6</v>
      </c>
      <c r="O49" s="3" t="n">
        <v>8</v>
      </c>
      <c r="P49" s="3" t="n">
        <v>6</v>
      </c>
      <c r="Q49" s="3" t="inlineStr">
        <is>
          <t>Analyzer</t>
        </is>
      </c>
      <c r="R49" s="3" t="n">
        <v>2</v>
      </c>
      <c r="S49" s="3" t="inlineStr"/>
      <c r="T49" s="3" t="inlineStr"/>
      <c r="U49" s="3" t="n">
        <v>0</v>
      </c>
      <c r="V49" s="3" t="inlineStr">
        <is>
          <t>masc:1.4;fem:0.1</t>
        </is>
      </c>
      <c r="W49" s="3" t="n">
        <v>1.4</v>
      </c>
      <c r="X49" s="3" t="n">
        <v>0.1</v>
      </c>
      <c r="Y49" s="3" t="inlineStr">
        <is>
          <t>COMM_Logical</t>
        </is>
      </c>
      <c r="Z49" s="3" t="inlineStr">
        <is>
          <t>REG_SelfSoother</t>
        </is>
      </c>
      <c r="AA49" s="3" t="inlineStr">
        <is>
          <t>LANG_Service</t>
        </is>
      </c>
      <c r="AB49" s="3" t="inlineStr"/>
      <c r="AC49" s="3" t="inlineStr"/>
      <c r="AD49" s="3" t="inlineStr"/>
      <c r="AE49" s="3" t="n">
        <v>0</v>
      </c>
      <c r="AF49" s="3" t="inlineStr">
        <is>
          <t>measured pullback</t>
        </is>
      </c>
      <c r="AG49" s="3" t="inlineStr">
        <is>
          <t>quiet assessor</t>
        </is>
      </c>
      <c r="AH49" s="3" t="n">
        <v>0</v>
      </c>
      <c r="AI49" s="3" t="inlineStr">
        <is>
          <t>no</t>
        </is>
      </c>
      <c r="AJ49" s="3" t="inlineStr">
        <is>
          <t>no</t>
        </is>
      </c>
      <c r="AK49" s="3" t="inlineStr">
        <is>
          <t>yes</t>
        </is>
      </c>
      <c r="AL49" s="3" t="inlineStr">
        <is>
          <t>yes</t>
        </is>
      </c>
      <c r="AM49" s="3" t="inlineStr"/>
      <c r="AN49" s="3" t="inlineStr"/>
      <c r="AO49" s="3" t="inlineStr"/>
      <c r="AP49" s="3" t="inlineStr">
        <is>
          <t>v3_2026-03-19</t>
        </is>
      </c>
      <c r="AQ49">
        <f>(L49-Schema_v5!$C2)/(Schema_v5!$C3-Schema_v5!$C2)</f>
        <v/>
      </c>
      <c r="AR49">
        <f>(M49-Schema_v5!$C4)/(Schema_v5!$C5-Schema_v5!$C4)</f>
        <v/>
      </c>
      <c r="AS49">
        <f>N49/Schema_v5!$C6</f>
        <v/>
      </c>
      <c r="AT49">
        <f>O49/Schema_v5!$C7</f>
        <v/>
      </c>
      <c r="AU49">
        <f>P49/Schema_v5!$C8</f>
        <v/>
      </c>
      <c r="AV49">
        <f>IF(Schema_v5!$C9=0,0,AH49/Schema_v5!$C9)</f>
        <v/>
      </c>
      <c r="AW49">
        <f>IF(Schema_v5!$C10=0,0,AE49/Schema_v5!$C10)</f>
        <v/>
      </c>
      <c r="AX49">
        <f>(W49-Schema_v5!$C11)/(Schema_v5!$C12-Schema_v5!$C11)</f>
        <v/>
      </c>
      <c r="AY49">
        <f>(X49-Schema_v5!$C13)/(Schema_v5!$C14-Schema_v5!$C13)</f>
        <v/>
      </c>
    </row>
    <row r="50">
      <c r="A50" s="3" t="inlineStr">
        <is>
          <t>Q10_D</t>
        </is>
      </c>
      <c r="B50" s="3" t="n">
        <v>10</v>
      </c>
      <c r="C50" s="3" t="n">
        <v>10</v>
      </c>
      <c r="D50" s="3" t="inlineStr">
        <is>
          <t>Core</t>
        </is>
      </c>
      <c r="E50" s="3" t="n">
        <v>1.05</v>
      </c>
      <c r="F50" s="3" t="inlineStr">
        <is>
          <t>ConflictRepair</t>
        </is>
      </c>
      <c r="G50" s="3" t="inlineStr">
        <is>
          <t>CommunicationHealth</t>
        </is>
      </c>
      <c r="H50" s="3" t="inlineStr"/>
      <c r="I50" s="3" t="inlineStr">
        <is>
          <t>D</t>
        </is>
      </c>
      <c r="J50" s="3" t="inlineStr">
        <is>
          <t>D</t>
        </is>
      </c>
      <c r="K50" s="3" t="inlineStr">
        <is>
          <t>I act calm, but I feel it. When I need someone, I keep it to myself, so watching them lean on me makes the silence louder.</t>
        </is>
      </c>
      <c r="L50" s="3" t="n">
        <v>5</v>
      </c>
      <c r="M50" s="3" t="n">
        <v>6</v>
      </c>
      <c r="N50" s="3" t="n">
        <v>2</v>
      </c>
      <c r="O50" s="3" t="n">
        <v>4</v>
      </c>
      <c r="P50" s="3" t="n">
        <v>2</v>
      </c>
      <c r="Q50" s="3" t="inlineStr">
        <is>
          <t>Phantom Seeker</t>
        </is>
      </c>
      <c r="R50" s="3" t="n">
        <v>10</v>
      </c>
      <c r="S50" s="3" t="inlineStr"/>
      <c r="T50" s="3" t="inlineStr"/>
      <c r="U50" s="3" t="n">
        <v>0</v>
      </c>
      <c r="V50" s="3" t="inlineStr">
        <is>
          <t>masc:-0.2;fem:1.5</t>
        </is>
      </c>
      <c r="W50" s="3" t="n">
        <v>-0.2</v>
      </c>
      <c r="X50" s="3" t="n">
        <v>1.5</v>
      </c>
      <c r="Y50" s="3" t="inlineStr">
        <is>
          <t>COMM_Emotional</t>
        </is>
      </c>
      <c r="Z50" s="3" t="inlineStr">
        <is>
          <t>REG_SelfSoother</t>
        </is>
      </c>
      <c r="AA50" s="3" t="inlineStr">
        <is>
          <t>LANG_Touch</t>
        </is>
      </c>
      <c r="AB50" s="3" t="inlineStr">
        <is>
          <t>Transparency_Gap</t>
        </is>
      </c>
      <c r="AC50" s="3" t="inlineStr">
        <is>
          <t>Transparency_Gap</t>
        </is>
      </c>
      <c r="AD50" s="3" t="inlineStr"/>
      <c r="AE50" s="3" t="n">
        <v>5</v>
      </c>
      <c r="AF50" s="3" t="inlineStr">
        <is>
          <t>quiet resentment</t>
        </is>
      </c>
      <c r="AG50" s="3" t="inlineStr">
        <is>
          <t>unspoken holder</t>
        </is>
      </c>
      <c r="AH50" s="3" t="n">
        <v>0</v>
      </c>
      <c r="AI50" s="3" t="inlineStr">
        <is>
          <t>yes</t>
        </is>
      </c>
      <c r="AJ50" s="3" t="inlineStr">
        <is>
          <t>no</t>
        </is>
      </c>
      <c r="AK50" s="3" t="inlineStr">
        <is>
          <t>yes</t>
        </is>
      </c>
      <c r="AL50" s="3" t="inlineStr">
        <is>
          <t>yes</t>
        </is>
      </c>
      <c r="AM50" s="3" t="inlineStr"/>
      <c r="AN50" s="3" t="inlineStr"/>
      <c r="AO50" s="3" t="inlineStr"/>
      <c r="AP50" s="3" t="inlineStr">
        <is>
          <t>v3_2026-03-19</t>
        </is>
      </c>
      <c r="AQ50">
        <f>(L50-Schema_v5!$C2)/(Schema_v5!$C3-Schema_v5!$C2)</f>
        <v/>
      </c>
      <c r="AR50">
        <f>(M50-Schema_v5!$C4)/(Schema_v5!$C5-Schema_v5!$C4)</f>
        <v/>
      </c>
      <c r="AS50">
        <f>N50/Schema_v5!$C6</f>
        <v/>
      </c>
      <c r="AT50">
        <f>O50/Schema_v5!$C7</f>
        <v/>
      </c>
      <c r="AU50">
        <f>P50/Schema_v5!$C8</f>
        <v/>
      </c>
      <c r="AV50">
        <f>IF(Schema_v5!$C9=0,0,AH50/Schema_v5!$C9)</f>
        <v/>
      </c>
      <c r="AW50">
        <f>IF(Schema_v5!$C10=0,0,AE50/Schema_v5!$C10)</f>
        <v/>
      </c>
      <c r="AX50">
        <f>(W50-Schema_v5!$C11)/(Schema_v5!$C12-Schema_v5!$C11)</f>
        <v/>
      </c>
      <c r="AY50">
        <f>(X50-Schema_v5!$C13)/(Schema_v5!$C14-Schema_v5!$C13)</f>
        <v/>
      </c>
    </row>
    <row r="51">
      <c r="A51" s="3" t="inlineStr">
        <is>
          <t>Q10_E</t>
        </is>
      </c>
      <c r="B51" s="3" t="n">
        <v>10</v>
      </c>
      <c r="C51" s="3" t="n">
        <v>10</v>
      </c>
      <c r="D51" s="3" t="inlineStr">
        <is>
          <t>Core</t>
        </is>
      </c>
      <c r="E51" s="3" t="n">
        <v>1.05</v>
      </c>
      <c r="F51" s="3" t="inlineStr">
        <is>
          <t>ConflictRepair</t>
        </is>
      </c>
      <c r="G51" s="3" t="inlineStr">
        <is>
          <t>CommunicationHealth</t>
        </is>
      </c>
      <c r="H51" s="3" t="inlineStr"/>
      <c r="I51" s="3" t="inlineStr">
        <is>
          <t>E</t>
        </is>
      </c>
      <c r="J51" s="3" t="inlineStr">
        <is>
          <t>E</t>
        </is>
      </c>
      <c r="K51" s="3" t="inlineStr">
        <is>
          <t>I give them what they need in the moment. Then I sit with the feeling later, wondering why I always end up being the one who shows up.</t>
        </is>
      </c>
      <c r="L51" s="3" t="n">
        <v>6</v>
      </c>
      <c r="M51" s="3" t="n">
        <v>7</v>
      </c>
      <c r="N51" s="3" t="n">
        <v>4</v>
      </c>
      <c r="O51" s="3" t="n">
        <v>4</v>
      </c>
      <c r="P51" s="3" t="n">
        <v>4</v>
      </c>
      <c r="Q51" s="3" t="inlineStr">
        <is>
          <t>Romantic Idealist</t>
        </is>
      </c>
      <c r="R51" s="3" t="n">
        <v>6</v>
      </c>
      <c r="S51" s="3" t="inlineStr"/>
      <c r="T51" s="3" t="inlineStr"/>
      <c r="U51" s="3" t="n">
        <v>0</v>
      </c>
      <c r="V51" s="3" t="inlineStr">
        <is>
          <t>masc:-0.4;fem:1.5</t>
        </is>
      </c>
      <c r="W51" s="3" t="n">
        <v>-0.4</v>
      </c>
      <c r="X51" s="3" t="n">
        <v>1.5</v>
      </c>
      <c r="Y51" s="3" t="inlineStr">
        <is>
          <t>COMM_Emotional</t>
        </is>
      </c>
      <c r="Z51" s="3" t="inlineStr">
        <is>
          <t>REG_Distractor</t>
        </is>
      </c>
      <c r="AA51" s="3" t="inlineStr">
        <is>
          <t>LANG_Gifts</t>
        </is>
      </c>
      <c r="AB51" s="3" t="inlineStr"/>
      <c r="AC51" s="3" t="inlineStr"/>
      <c r="AD51" s="3" t="inlineStr"/>
      <c r="AE51" s="3" t="n">
        <v>0</v>
      </c>
      <c r="AF51" s="3" t="inlineStr">
        <is>
          <t>tired loyal dreamer</t>
        </is>
      </c>
      <c r="AG51" s="3" t="inlineStr">
        <is>
          <t>devoted but drained</t>
        </is>
      </c>
      <c r="AH51" s="3" t="n">
        <v>0</v>
      </c>
      <c r="AI51" s="3" t="inlineStr">
        <is>
          <t>no</t>
        </is>
      </c>
      <c r="AJ51" s="3" t="inlineStr">
        <is>
          <t>no</t>
        </is>
      </c>
      <c r="AK51" s="3" t="inlineStr">
        <is>
          <t>yes</t>
        </is>
      </c>
      <c r="AL51" s="3" t="inlineStr">
        <is>
          <t>yes</t>
        </is>
      </c>
      <c r="AM51" s="3" t="inlineStr"/>
      <c r="AN51" s="3" t="inlineStr"/>
      <c r="AO51" s="3" t="inlineStr"/>
      <c r="AP51" s="3" t="inlineStr">
        <is>
          <t>v3_2026-03-19</t>
        </is>
      </c>
      <c r="AQ51">
        <f>(L51-Schema_v5!$C2)/(Schema_v5!$C3-Schema_v5!$C2)</f>
        <v/>
      </c>
      <c r="AR51">
        <f>(M51-Schema_v5!$C4)/(Schema_v5!$C5-Schema_v5!$C4)</f>
        <v/>
      </c>
      <c r="AS51">
        <f>N51/Schema_v5!$C6</f>
        <v/>
      </c>
      <c r="AT51">
        <f>O51/Schema_v5!$C7</f>
        <v/>
      </c>
      <c r="AU51">
        <f>P51/Schema_v5!$C8</f>
        <v/>
      </c>
      <c r="AV51">
        <f>IF(Schema_v5!$C9=0,0,AH51/Schema_v5!$C9)</f>
        <v/>
      </c>
      <c r="AW51">
        <f>IF(Schema_v5!$C10=0,0,AE51/Schema_v5!$C10)</f>
        <v/>
      </c>
      <c r="AX51">
        <f>(W51-Schema_v5!$C11)/(Schema_v5!$C12-Schema_v5!$C11)</f>
        <v/>
      </c>
      <c r="AY51">
        <f>(X51-Schema_v5!$C13)/(Schema_v5!$C14-Schema_v5!$C13)</f>
        <v/>
      </c>
    </row>
    <row r="52">
      <c r="A52" s="3" t="inlineStr">
        <is>
          <t>Q11_A</t>
        </is>
      </c>
      <c r="B52" s="3" t="n">
        <v>11</v>
      </c>
      <c r="C52" s="3" t="n">
        <v>11</v>
      </c>
      <c r="D52" s="3" t="inlineStr">
        <is>
          <t>Core</t>
        </is>
      </c>
      <c r="E52" s="3" t="n">
        <v>1.05</v>
      </c>
      <c r="F52" s="3" t="inlineStr">
        <is>
          <t>ConflictRepair</t>
        </is>
      </c>
      <c r="G52" s="3" t="inlineStr">
        <is>
          <t>CommunicationHealth</t>
        </is>
      </c>
      <c r="H52" s="3" t="inlineStr">
        <is>
          <t>They start acting distant-less replies, colder tone, still polite. What's your first move?</t>
        </is>
      </c>
      <c r="I52" s="3" t="inlineStr">
        <is>
          <t>A</t>
        </is>
      </c>
      <c r="J52" s="3" t="inlineStr">
        <is>
          <t>A</t>
        </is>
      </c>
      <c r="K52" s="3" t="inlineStr">
        <is>
          <t>I give them space. If they want to talk, they will. If not, I take the hint.</t>
        </is>
      </c>
      <c r="L52" s="3" t="n">
        <v>7</v>
      </c>
      <c r="M52" s="3" t="n">
        <v>8</v>
      </c>
      <c r="N52" s="3" t="n">
        <v>4</v>
      </c>
      <c r="O52" s="3" t="n">
        <v>4</v>
      </c>
      <c r="P52" s="3" t="n">
        <v>0</v>
      </c>
      <c r="Q52" s="3" t="inlineStr">
        <is>
          <t>Icebox</t>
        </is>
      </c>
      <c r="R52" s="3" t="n">
        <v>1</v>
      </c>
      <c r="S52" s="3" t="inlineStr"/>
      <c r="T52" s="3" t="inlineStr"/>
      <c r="U52" s="3" t="n">
        <v>0</v>
      </c>
      <c r="V52" s="3" t="inlineStr">
        <is>
          <t>masc:1.8;fem:-1.6</t>
        </is>
      </c>
      <c r="W52" s="3" t="n">
        <v>1.8</v>
      </c>
      <c r="X52" s="3" t="n">
        <v>-1.6</v>
      </c>
      <c r="Y52" s="3" t="inlineStr">
        <is>
          <t>COMM_Avoidant</t>
        </is>
      </c>
      <c r="Z52" s="3" t="inlineStr">
        <is>
          <t>REG_Suppressor</t>
        </is>
      </c>
      <c r="AA52" s="3" t="inlineStr">
        <is>
          <t>LANG_Time</t>
        </is>
      </c>
      <c r="AB52" s="3" t="inlineStr"/>
      <c r="AC52" s="3" t="inlineStr"/>
      <c r="AD52" s="3" t="inlineStr"/>
      <c r="AE52" s="3" t="n">
        <v>0</v>
      </c>
      <c r="AF52" s="3" t="inlineStr">
        <is>
          <t>detached cool</t>
        </is>
      </c>
      <c r="AG52" s="3" t="inlineStr">
        <is>
          <t>patient withdrawer</t>
        </is>
      </c>
      <c r="AH52" s="3" t="n">
        <v>1.2</v>
      </c>
      <c r="AI52" s="3" t="inlineStr">
        <is>
          <t>no</t>
        </is>
      </c>
      <c r="AJ52" s="3" t="inlineStr">
        <is>
          <t>no</t>
        </is>
      </c>
      <c r="AK52" s="3" t="inlineStr">
        <is>
          <t>yes</t>
        </is>
      </c>
      <c r="AL52" s="3" t="inlineStr">
        <is>
          <t>yes</t>
        </is>
      </c>
      <c r="AM52" s="3" t="inlineStr"/>
      <c r="AN52" s="3" t="inlineStr"/>
      <c r="AO52" s="3" t="inlineStr"/>
      <c r="AP52" s="3" t="inlineStr">
        <is>
          <t>v3_2026-03-19</t>
        </is>
      </c>
      <c r="AQ52">
        <f>(L52-Schema_v5!$C2)/(Schema_v5!$C3-Schema_v5!$C2)</f>
        <v/>
      </c>
      <c r="AR52">
        <f>(M52-Schema_v5!$C4)/(Schema_v5!$C5-Schema_v5!$C4)</f>
        <v/>
      </c>
      <c r="AS52">
        <f>N52/Schema_v5!$C6</f>
        <v/>
      </c>
      <c r="AT52">
        <f>O52/Schema_v5!$C7</f>
        <v/>
      </c>
      <c r="AU52">
        <f>P52/Schema_v5!$C8</f>
        <v/>
      </c>
      <c r="AV52">
        <f>IF(Schema_v5!$C9=0,0,AH52/Schema_v5!$C9)</f>
        <v/>
      </c>
      <c r="AW52">
        <f>IF(Schema_v5!$C10=0,0,AE52/Schema_v5!$C10)</f>
        <v/>
      </c>
      <c r="AX52">
        <f>(W52-Schema_v5!$C11)/(Schema_v5!$C12-Schema_v5!$C11)</f>
        <v/>
      </c>
      <c r="AY52">
        <f>(X52-Schema_v5!$C13)/(Schema_v5!$C14-Schema_v5!$C13)</f>
        <v/>
      </c>
    </row>
    <row r="53">
      <c r="A53" s="3" t="inlineStr">
        <is>
          <t>Q11_B</t>
        </is>
      </c>
      <c r="B53" s="3" t="n">
        <v>11</v>
      </c>
      <c r="C53" s="3" t="n">
        <v>11</v>
      </c>
      <c r="D53" s="3" t="inlineStr">
        <is>
          <t>Core</t>
        </is>
      </c>
      <c r="E53" s="3" t="n">
        <v>1.05</v>
      </c>
      <c r="F53" s="3" t="inlineStr">
        <is>
          <t>ConflictRepair</t>
        </is>
      </c>
      <c r="G53" s="3" t="inlineStr">
        <is>
          <t>CommunicationHealth</t>
        </is>
      </c>
      <c r="H53" s="3" t="inlineStr"/>
      <c r="I53" s="3" t="inlineStr">
        <is>
          <t>B</t>
        </is>
      </c>
      <c r="J53" s="3" t="inlineStr">
        <is>
          <t>B</t>
        </is>
      </c>
      <c r="K53" s="3" t="inlineStr">
        <is>
          <t>I reread every text. Then I spiral into what I should've said differently.</t>
        </is>
      </c>
      <c r="L53" s="3" t="n">
        <v>4</v>
      </c>
      <c r="M53" s="3" t="n">
        <v>5</v>
      </c>
      <c r="N53" s="3" t="n">
        <v>2</v>
      </c>
      <c r="O53" s="3" t="n">
        <v>2</v>
      </c>
      <c r="P53" s="3" t="n">
        <v>2</v>
      </c>
      <c r="Q53" s="3" t="inlineStr">
        <is>
          <t>Analyzer</t>
        </is>
      </c>
      <c r="R53" s="3" t="n">
        <v>2</v>
      </c>
      <c r="S53" s="3" t="inlineStr"/>
      <c r="T53" s="3" t="inlineStr"/>
      <c r="U53" s="3" t="n">
        <v>0</v>
      </c>
      <c r="V53" s="3" t="inlineStr">
        <is>
          <t>masc:1.4;fem:0.1</t>
        </is>
      </c>
      <c r="W53" s="3" t="n">
        <v>1.4</v>
      </c>
      <c r="X53" s="3" t="n">
        <v>0.1</v>
      </c>
      <c r="Y53" s="3" t="inlineStr">
        <is>
          <t>COMM_Logical</t>
        </is>
      </c>
      <c r="Z53" s="3" t="inlineStr">
        <is>
          <t>REG_SelfSoother</t>
        </is>
      </c>
      <c r="AA53" s="3" t="inlineStr">
        <is>
          <t>LANG_Service</t>
        </is>
      </c>
      <c r="AB53" s="3" t="inlineStr">
        <is>
          <t>Trust_Tension</t>
        </is>
      </c>
      <c r="AC53" s="3" t="inlineStr">
        <is>
          <t>Trust_Tension</t>
        </is>
      </c>
      <c r="AD53" s="3" t="inlineStr"/>
      <c r="AE53" s="3" t="n">
        <v>6</v>
      </c>
      <c r="AF53" s="3" t="inlineStr">
        <is>
          <t>ruminating replayer</t>
        </is>
      </c>
      <c r="AG53" s="3" t="inlineStr">
        <is>
          <t>overanalyzer</t>
        </is>
      </c>
      <c r="AH53" s="3" t="n">
        <v>0</v>
      </c>
      <c r="AI53" s="3" t="inlineStr">
        <is>
          <t>yes</t>
        </is>
      </c>
      <c r="AJ53" s="3" t="inlineStr">
        <is>
          <t>no</t>
        </is>
      </c>
      <c r="AK53" s="3" t="inlineStr">
        <is>
          <t>yes</t>
        </is>
      </c>
      <c r="AL53" s="3" t="inlineStr">
        <is>
          <t>yes</t>
        </is>
      </c>
      <c r="AM53" s="3" t="inlineStr"/>
      <c r="AN53" s="3" t="inlineStr"/>
      <c r="AO53" s="3" t="inlineStr"/>
      <c r="AP53" s="3" t="inlineStr">
        <is>
          <t>v3_2026-03-19</t>
        </is>
      </c>
      <c r="AQ53">
        <f>(L53-Schema_v5!$C2)/(Schema_v5!$C3-Schema_v5!$C2)</f>
        <v/>
      </c>
      <c r="AR53">
        <f>(M53-Schema_v5!$C4)/(Schema_v5!$C5-Schema_v5!$C4)</f>
        <v/>
      </c>
      <c r="AS53">
        <f>N53/Schema_v5!$C6</f>
        <v/>
      </c>
      <c r="AT53">
        <f>O53/Schema_v5!$C7</f>
        <v/>
      </c>
      <c r="AU53">
        <f>P53/Schema_v5!$C8</f>
        <v/>
      </c>
      <c r="AV53">
        <f>IF(Schema_v5!$C9=0,0,AH53/Schema_v5!$C9)</f>
        <v/>
      </c>
      <c r="AW53">
        <f>IF(Schema_v5!$C10=0,0,AE53/Schema_v5!$C10)</f>
        <v/>
      </c>
      <c r="AX53">
        <f>(W53-Schema_v5!$C11)/(Schema_v5!$C12-Schema_v5!$C11)</f>
        <v/>
      </c>
      <c r="AY53">
        <f>(X53-Schema_v5!$C13)/(Schema_v5!$C14-Schema_v5!$C13)</f>
        <v/>
      </c>
    </row>
    <row r="54">
      <c r="A54" s="3" t="inlineStr">
        <is>
          <t>Q11_C</t>
        </is>
      </c>
      <c r="B54" s="3" t="n">
        <v>11</v>
      </c>
      <c r="C54" s="3" t="n">
        <v>11</v>
      </c>
      <c r="D54" s="3" t="inlineStr">
        <is>
          <t>Core</t>
        </is>
      </c>
      <c r="E54" s="3" t="n">
        <v>1.05</v>
      </c>
      <c r="F54" s="3" t="inlineStr">
        <is>
          <t>ConflictRepair</t>
        </is>
      </c>
      <c r="G54" s="3" t="inlineStr">
        <is>
          <t>CommunicationHealth</t>
        </is>
      </c>
      <c r="H54" s="3" t="inlineStr"/>
      <c r="I54" s="3" t="inlineStr">
        <is>
          <t>C</t>
        </is>
      </c>
      <c r="J54" s="3" t="inlineStr">
        <is>
          <t>C</t>
        </is>
      </c>
      <c r="K54" s="3" t="inlineStr">
        <is>
          <t>I mirror their shift. If they're pulling back, so am I, no explanations.</t>
        </is>
      </c>
      <c r="L54" s="3" t="n">
        <v>6</v>
      </c>
      <c r="M54" s="3" t="n">
        <v>7</v>
      </c>
      <c r="N54" s="3" t="n">
        <v>2</v>
      </c>
      <c r="O54" s="3" t="n">
        <v>2</v>
      </c>
      <c r="P54" s="3" t="n">
        <v>0</v>
      </c>
      <c r="Q54" s="3" t="inlineStr">
        <is>
          <t>Quiet Exit</t>
        </is>
      </c>
      <c r="R54" s="3" t="n">
        <v>4</v>
      </c>
      <c r="S54" s="3" t="inlineStr"/>
      <c r="T54" s="3" t="inlineStr"/>
      <c r="U54" s="3" t="n">
        <v>0</v>
      </c>
      <c r="V54" s="3" t="inlineStr">
        <is>
          <t>masc:1.4;fem:-1.3</t>
        </is>
      </c>
      <c r="W54" s="3" t="n">
        <v>1.4</v>
      </c>
      <c r="X54" s="3" t="n">
        <v>-1.3</v>
      </c>
      <c r="Y54" s="3" t="inlineStr">
        <is>
          <t>COMM_Avoidant</t>
        </is>
      </c>
      <c r="Z54" s="3" t="inlineStr">
        <is>
          <t>REG_Suppressor</t>
        </is>
      </c>
      <c r="AA54" s="3" t="inlineStr">
        <is>
          <t>LANG_Time</t>
        </is>
      </c>
      <c r="AB54" s="3" t="inlineStr">
        <is>
          <t>Pursuer_Distancer</t>
        </is>
      </c>
      <c r="AC54" s="3" t="inlineStr">
        <is>
          <t>Pursuer_Distancer</t>
        </is>
      </c>
      <c r="AD54" s="3" t="inlineStr"/>
      <c r="AE54" s="3" t="n">
        <v>6</v>
      </c>
      <c r="AF54" s="3" t="inlineStr">
        <is>
          <t>soft echo</t>
        </is>
      </c>
      <c r="AG54" s="3" t="inlineStr">
        <is>
          <t>mirrored withdrawal</t>
        </is>
      </c>
      <c r="AH54" s="3" t="n">
        <v>0.6</v>
      </c>
      <c r="AI54" s="3" t="inlineStr">
        <is>
          <t>yes</t>
        </is>
      </c>
      <c r="AJ54" s="3" t="inlineStr">
        <is>
          <t>no</t>
        </is>
      </c>
      <c r="AK54" s="3" t="inlineStr">
        <is>
          <t>yes</t>
        </is>
      </c>
      <c r="AL54" s="3" t="inlineStr">
        <is>
          <t>yes</t>
        </is>
      </c>
      <c r="AM54" s="3" t="inlineStr"/>
      <c r="AN54" s="3" t="inlineStr"/>
      <c r="AO54" s="3" t="inlineStr"/>
      <c r="AP54" s="3" t="inlineStr">
        <is>
          <t>v3_2026-03-19</t>
        </is>
      </c>
      <c r="AQ54">
        <f>(L54-Schema_v5!$C2)/(Schema_v5!$C3-Schema_v5!$C2)</f>
        <v/>
      </c>
      <c r="AR54">
        <f>(M54-Schema_v5!$C4)/(Schema_v5!$C5-Schema_v5!$C4)</f>
        <v/>
      </c>
      <c r="AS54">
        <f>N54/Schema_v5!$C6</f>
        <v/>
      </c>
      <c r="AT54">
        <f>O54/Schema_v5!$C7</f>
        <v/>
      </c>
      <c r="AU54">
        <f>P54/Schema_v5!$C8</f>
        <v/>
      </c>
      <c r="AV54">
        <f>IF(Schema_v5!$C9=0,0,AH54/Schema_v5!$C9)</f>
        <v/>
      </c>
      <c r="AW54">
        <f>IF(Schema_v5!$C10=0,0,AE54/Schema_v5!$C10)</f>
        <v/>
      </c>
      <c r="AX54">
        <f>(W54-Schema_v5!$C11)/(Schema_v5!$C12-Schema_v5!$C11)</f>
        <v/>
      </c>
      <c r="AY54">
        <f>(X54-Schema_v5!$C13)/(Schema_v5!$C14-Schema_v5!$C13)</f>
        <v/>
      </c>
    </row>
    <row r="55">
      <c r="A55" s="3" t="inlineStr">
        <is>
          <t>Q11_D</t>
        </is>
      </c>
      <c r="B55" s="3" t="n">
        <v>11</v>
      </c>
      <c r="C55" s="3" t="n">
        <v>11</v>
      </c>
      <c r="D55" s="3" t="inlineStr">
        <is>
          <t>Core</t>
        </is>
      </c>
      <c r="E55" s="3" t="n">
        <v>1.05</v>
      </c>
      <c r="F55" s="3" t="inlineStr">
        <is>
          <t>ConflictRepair</t>
        </is>
      </c>
      <c r="G55" s="3" t="inlineStr">
        <is>
          <t>CommunicationHealth</t>
        </is>
      </c>
      <c r="H55" s="3" t="inlineStr"/>
      <c r="I55" s="3" t="inlineStr">
        <is>
          <t>D</t>
        </is>
      </c>
      <c r="J55" s="3" t="inlineStr">
        <is>
          <t>D</t>
        </is>
      </c>
      <c r="K55" s="3" t="inlineStr">
        <is>
          <t>I try to re-engage them. Make them laugh. Be light. I don't want to feel the shift.</t>
        </is>
      </c>
      <c r="L55" s="3" t="n">
        <v>6</v>
      </c>
      <c r="M55" s="3" t="n">
        <v>7</v>
      </c>
      <c r="N55" s="3" t="n">
        <v>4</v>
      </c>
      <c r="O55" s="3" t="n">
        <v>4</v>
      </c>
      <c r="P55" s="3" t="n">
        <v>2</v>
      </c>
      <c r="Q55" s="3" t="inlineStr">
        <is>
          <t>Performer</t>
        </is>
      </c>
      <c r="R55" s="3" t="n">
        <v>7</v>
      </c>
      <c r="S55" s="3" t="inlineStr"/>
      <c r="T55" s="3" t="inlineStr"/>
      <c r="U55" s="3" t="n">
        <v>0</v>
      </c>
      <c r="V55" s="3" t="inlineStr">
        <is>
          <t>masc:0.3;fem:0.5</t>
        </is>
      </c>
      <c r="W55" s="3" t="n">
        <v>0.3</v>
      </c>
      <c r="X55" s="3" t="n">
        <v>0.5</v>
      </c>
      <c r="Y55" s="3" t="inlineStr">
        <is>
          <t>COMM_Indirect</t>
        </is>
      </c>
      <c r="Z55" s="3" t="inlineStr">
        <is>
          <t>REG_Distractor</t>
        </is>
      </c>
      <c r="AA55" s="3" t="inlineStr">
        <is>
          <t>LANG_Gifts</t>
        </is>
      </c>
      <c r="AB55" s="3" t="inlineStr">
        <is>
          <t>Vulnerability_Loop</t>
        </is>
      </c>
      <c r="AC55" s="3" t="inlineStr">
        <is>
          <t>Vulnerability_Loop</t>
        </is>
      </c>
      <c r="AD55" s="3" t="inlineStr"/>
      <c r="AE55" s="3" t="n">
        <v>5</v>
      </c>
      <c r="AF55" s="3" t="inlineStr">
        <is>
          <t>mood manager</t>
        </is>
      </c>
      <c r="AG55" s="3" t="inlineStr">
        <is>
          <t>tension diffuser</t>
        </is>
      </c>
      <c r="AH55" s="3" t="n">
        <v>0</v>
      </c>
      <c r="AI55" s="3" t="inlineStr">
        <is>
          <t>yes</t>
        </is>
      </c>
      <c r="AJ55" s="3" t="inlineStr">
        <is>
          <t>no</t>
        </is>
      </c>
      <c r="AK55" s="3" t="inlineStr">
        <is>
          <t>yes</t>
        </is>
      </c>
      <c r="AL55" s="3" t="inlineStr">
        <is>
          <t>yes</t>
        </is>
      </c>
      <c r="AM55" s="3" t="inlineStr"/>
      <c r="AN55" s="3" t="inlineStr"/>
      <c r="AO55" s="3" t="inlineStr"/>
      <c r="AP55" s="3" t="inlineStr">
        <is>
          <t>v3_2026-03-19</t>
        </is>
      </c>
      <c r="AQ55">
        <f>(L55-Schema_v5!$C2)/(Schema_v5!$C3-Schema_v5!$C2)</f>
        <v/>
      </c>
      <c r="AR55">
        <f>(M55-Schema_v5!$C4)/(Schema_v5!$C5-Schema_v5!$C4)</f>
        <v/>
      </c>
      <c r="AS55">
        <f>N55/Schema_v5!$C6</f>
        <v/>
      </c>
      <c r="AT55">
        <f>O55/Schema_v5!$C7</f>
        <v/>
      </c>
      <c r="AU55">
        <f>P55/Schema_v5!$C8</f>
        <v/>
      </c>
      <c r="AV55">
        <f>IF(Schema_v5!$C9=0,0,AH55/Schema_v5!$C9)</f>
        <v/>
      </c>
      <c r="AW55">
        <f>IF(Schema_v5!$C10=0,0,AE55/Schema_v5!$C10)</f>
        <v/>
      </c>
      <c r="AX55">
        <f>(W55-Schema_v5!$C11)/(Schema_v5!$C12-Schema_v5!$C11)</f>
        <v/>
      </c>
      <c r="AY55">
        <f>(X55-Schema_v5!$C13)/(Schema_v5!$C14-Schema_v5!$C13)</f>
        <v/>
      </c>
    </row>
    <row r="56">
      <c r="A56" s="3" t="inlineStr">
        <is>
          <t>Q11_E</t>
        </is>
      </c>
      <c r="B56" s="3" t="n">
        <v>11</v>
      </c>
      <c r="C56" s="3" t="n">
        <v>11</v>
      </c>
      <c r="D56" s="3" t="inlineStr">
        <is>
          <t>Core</t>
        </is>
      </c>
      <c r="E56" s="3" t="n">
        <v>1.05</v>
      </c>
      <c r="F56" s="3" t="inlineStr">
        <is>
          <t>ConflictRepair</t>
        </is>
      </c>
      <c r="G56" s="3" t="inlineStr">
        <is>
          <t>CommunicationHealth</t>
        </is>
      </c>
      <c r="H56" s="3" t="inlineStr"/>
      <c r="I56" s="3" t="inlineStr">
        <is>
          <t>E</t>
        </is>
      </c>
      <c r="J56" s="3" t="inlineStr">
        <is>
          <t>E</t>
        </is>
      </c>
      <c r="K56" s="3" t="inlineStr">
        <is>
          <t>I sit with it, hoping they'll come back on their own. I don't press. I just wait.</t>
        </is>
      </c>
      <c r="L56" s="3" t="n">
        <v>7</v>
      </c>
      <c r="M56" s="3" t="n">
        <v>8</v>
      </c>
      <c r="N56" s="3" t="n">
        <v>6</v>
      </c>
      <c r="O56" s="3" t="n">
        <v>8</v>
      </c>
      <c r="P56" s="3" t="n">
        <v>8</v>
      </c>
      <c r="Q56" s="3" t="inlineStr">
        <is>
          <t>Translator</t>
        </is>
      </c>
      <c r="R56" s="3" t="n">
        <v>3</v>
      </c>
      <c r="S56" s="3" t="inlineStr"/>
      <c r="T56" s="3" t="inlineStr"/>
      <c r="U56" s="3" t="n">
        <v>0</v>
      </c>
      <c r="V56" s="3" t="inlineStr">
        <is>
          <t>masc:-0.1;fem:1.6</t>
        </is>
      </c>
      <c r="W56" s="3" t="n">
        <v>-0.1</v>
      </c>
      <c r="X56" s="3" t="n">
        <v>1.6</v>
      </c>
      <c r="Y56" s="3" t="inlineStr">
        <is>
          <t>COMM_Indirect</t>
        </is>
      </c>
      <c r="Z56" s="3" t="inlineStr">
        <is>
          <t>REG_CoRegulator</t>
        </is>
      </c>
      <c r="AA56" s="3" t="inlineStr">
        <is>
          <t>LANG_Words</t>
        </is>
      </c>
      <c r="AB56" s="3" t="inlineStr"/>
      <c r="AC56" s="3" t="inlineStr"/>
      <c r="AD56" s="3" t="inlineStr"/>
      <c r="AE56" s="3" t="n">
        <v>0</v>
      </c>
      <c r="AF56" s="3" t="inlineStr">
        <is>
          <t>gentle responder</t>
        </is>
      </c>
      <c r="AG56" s="3" t="inlineStr">
        <is>
          <t>quiet holder</t>
        </is>
      </c>
      <c r="AH56" s="3" t="n">
        <v>0</v>
      </c>
      <c r="AI56" s="3" t="inlineStr">
        <is>
          <t>no</t>
        </is>
      </c>
      <c r="AJ56" s="3" t="inlineStr">
        <is>
          <t>no</t>
        </is>
      </c>
      <c r="AK56" s="3" t="inlineStr">
        <is>
          <t>yes</t>
        </is>
      </c>
      <c r="AL56" s="3" t="inlineStr">
        <is>
          <t>yes</t>
        </is>
      </c>
      <c r="AM56" s="3" t="inlineStr"/>
      <c r="AN56" s="3" t="inlineStr"/>
      <c r="AO56" s="3" t="inlineStr"/>
      <c r="AP56" s="3" t="inlineStr">
        <is>
          <t>v3_2026-03-19</t>
        </is>
      </c>
      <c r="AQ56">
        <f>(L56-Schema_v5!$C2)/(Schema_v5!$C3-Schema_v5!$C2)</f>
        <v/>
      </c>
      <c r="AR56">
        <f>(M56-Schema_v5!$C4)/(Schema_v5!$C5-Schema_v5!$C4)</f>
        <v/>
      </c>
      <c r="AS56">
        <f>N56/Schema_v5!$C6</f>
        <v/>
      </c>
      <c r="AT56">
        <f>O56/Schema_v5!$C7</f>
        <v/>
      </c>
      <c r="AU56">
        <f>P56/Schema_v5!$C8</f>
        <v/>
      </c>
      <c r="AV56">
        <f>IF(Schema_v5!$C9=0,0,AH56/Schema_v5!$C9)</f>
        <v/>
      </c>
      <c r="AW56">
        <f>IF(Schema_v5!$C10=0,0,AE56/Schema_v5!$C10)</f>
        <v/>
      </c>
      <c r="AX56">
        <f>(W56-Schema_v5!$C11)/(Schema_v5!$C12-Schema_v5!$C11)</f>
        <v/>
      </c>
      <c r="AY56">
        <f>(X56-Schema_v5!$C13)/(Schema_v5!$C14-Schema_v5!$C13)</f>
        <v/>
      </c>
    </row>
    <row r="57">
      <c r="A57" s="3" t="inlineStr">
        <is>
          <t>Q12_A</t>
        </is>
      </c>
      <c r="B57" s="3" t="n">
        <v>12</v>
      </c>
      <c r="C57" s="3" t="n">
        <v>12</v>
      </c>
      <c r="D57" s="3" t="inlineStr">
        <is>
          <t>Core</t>
        </is>
      </c>
      <c r="E57" s="3" t="n">
        <v>1.05</v>
      </c>
      <c r="F57" s="3" t="inlineStr">
        <is>
          <t>ConflictRepair</t>
        </is>
      </c>
      <c r="G57" s="3" t="inlineStr">
        <is>
          <t>CommunicationHealth</t>
        </is>
      </c>
      <c r="H57" s="3" t="inlineStr">
        <is>
          <t>They used to check in every day. Now they don't. You haven't brought it up yet. What's brewing in your head?</t>
        </is>
      </c>
      <c r="I57" s="3" t="inlineStr">
        <is>
          <t>A</t>
        </is>
      </c>
      <c r="J57" s="3" t="inlineStr">
        <is>
          <t>A</t>
        </is>
      </c>
      <c r="K57" s="3" t="inlineStr">
        <is>
          <t>Something changed. I don't know what, but it's not just in my head.</t>
        </is>
      </c>
      <c r="L57" s="3" t="n">
        <v>7</v>
      </c>
      <c r="M57" s="3" t="n">
        <v>8</v>
      </c>
      <c r="N57" s="3" t="n">
        <v>6</v>
      </c>
      <c r="O57" s="3" t="n">
        <v>8</v>
      </c>
      <c r="P57" s="3" t="n">
        <v>6</v>
      </c>
      <c r="Q57" s="3" t="inlineStr">
        <is>
          <t>Analyzer</t>
        </is>
      </c>
      <c r="R57" s="3" t="n">
        <v>2</v>
      </c>
      <c r="S57" s="3" t="inlineStr"/>
      <c r="T57" s="3" t="inlineStr"/>
      <c r="U57" s="3" t="n">
        <v>0</v>
      </c>
      <c r="V57" s="3" t="inlineStr">
        <is>
          <t>masc:1.4;fem:0.1</t>
        </is>
      </c>
      <c r="W57" s="3" t="n">
        <v>1.4</v>
      </c>
      <c r="X57" s="3" t="n">
        <v>0.1</v>
      </c>
      <c r="Y57" s="3" t="inlineStr">
        <is>
          <t>COMM_Logical</t>
        </is>
      </c>
      <c r="Z57" s="3" t="inlineStr">
        <is>
          <t>REG_SelfSoother</t>
        </is>
      </c>
      <c r="AA57" s="3" t="inlineStr">
        <is>
          <t>LANG_Service</t>
        </is>
      </c>
      <c r="AB57" s="3" t="inlineStr"/>
      <c r="AC57" s="3" t="inlineStr"/>
      <c r="AD57" s="3" t="inlineStr"/>
      <c r="AE57" s="3" t="n">
        <v>0</v>
      </c>
      <c r="AF57" s="3" t="inlineStr">
        <is>
          <t>pattern watcher</t>
        </is>
      </c>
      <c r="AG57" s="3" t="inlineStr">
        <is>
          <t>subtle signal reader</t>
        </is>
      </c>
      <c r="AH57" s="3" t="n">
        <v>0</v>
      </c>
      <c r="AI57" s="3" t="inlineStr">
        <is>
          <t>no</t>
        </is>
      </c>
      <c r="AJ57" s="3" t="inlineStr">
        <is>
          <t>no</t>
        </is>
      </c>
      <c r="AK57" s="3" t="inlineStr">
        <is>
          <t>yes</t>
        </is>
      </c>
      <c r="AL57" s="3" t="inlineStr">
        <is>
          <t>yes</t>
        </is>
      </c>
      <c r="AM57" s="3" t="inlineStr"/>
      <c r="AN57" s="3" t="inlineStr"/>
      <c r="AO57" s="3" t="inlineStr"/>
      <c r="AP57" s="3" t="inlineStr">
        <is>
          <t>v3_2026-03-19</t>
        </is>
      </c>
      <c r="AQ57">
        <f>(L57-Schema_v5!$C2)/(Schema_v5!$C3-Schema_v5!$C2)</f>
        <v/>
      </c>
      <c r="AR57">
        <f>(M57-Schema_v5!$C4)/(Schema_v5!$C5-Schema_v5!$C4)</f>
        <v/>
      </c>
      <c r="AS57">
        <f>N57/Schema_v5!$C6</f>
        <v/>
      </c>
      <c r="AT57">
        <f>O57/Schema_v5!$C7</f>
        <v/>
      </c>
      <c r="AU57">
        <f>P57/Schema_v5!$C8</f>
        <v/>
      </c>
      <c r="AV57">
        <f>IF(Schema_v5!$C9=0,0,AH57/Schema_v5!$C9)</f>
        <v/>
      </c>
      <c r="AW57">
        <f>IF(Schema_v5!$C10=0,0,AE57/Schema_v5!$C10)</f>
        <v/>
      </c>
      <c r="AX57">
        <f>(W57-Schema_v5!$C11)/(Schema_v5!$C12-Schema_v5!$C11)</f>
        <v/>
      </c>
      <c r="AY57">
        <f>(X57-Schema_v5!$C13)/(Schema_v5!$C14-Schema_v5!$C13)</f>
        <v/>
      </c>
    </row>
    <row r="58">
      <c r="A58" s="3" t="inlineStr">
        <is>
          <t>Q12_B</t>
        </is>
      </c>
      <c r="B58" s="3" t="n">
        <v>12</v>
      </c>
      <c r="C58" s="3" t="n">
        <v>12</v>
      </c>
      <c r="D58" s="3" t="inlineStr">
        <is>
          <t>Core</t>
        </is>
      </c>
      <c r="E58" s="3" t="n">
        <v>1.05</v>
      </c>
      <c r="F58" s="3" t="inlineStr">
        <is>
          <t>ConflictRepair</t>
        </is>
      </c>
      <c r="G58" s="3" t="inlineStr">
        <is>
          <t>CommunicationHealth</t>
        </is>
      </c>
      <c r="H58" s="3" t="inlineStr"/>
      <c r="I58" s="3" t="inlineStr">
        <is>
          <t>B</t>
        </is>
      </c>
      <c r="J58" s="3" t="inlineStr">
        <is>
          <t>B</t>
        </is>
      </c>
      <c r="K58" s="3" t="inlineStr">
        <is>
          <t>I try not to assume. I wait. If I ask and it's nothing, I'll feel stupid.</t>
        </is>
      </c>
      <c r="L58" s="3" t="n">
        <v>5</v>
      </c>
      <c r="M58" s="3" t="n">
        <v>6</v>
      </c>
      <c r="N58" s="3" t="n">
        <v>2</v>
      </c>
      <c r="O58" s="3" t="n">
        <v>4</v>
      </c>
      <c r="P58" s="3" t="n">
        <v>2</v>
      </c>
      <c r="Q58" s="3" t="inlineStr">
        <is>
          <t>Phantom Seeker</t>
        </is>
      </c>
      <c r="R58" s="3" t="n">
        <v>10</v>
      </c>
      <c r="S58" s="3" t="inlineStr"/>
      <c r="T58" s="3" t="inlineStr"/>
      <c r="U58" s="3" t="n">
        <v>0</v>
      </c>
      <c r="V58" s="3" t="inlineStr">
        <is>
          <t>masc:-0.2;fem:1.5</t>
        </is>
      </c>
      <c r="W58" s="3" t="n">
        <v>-0.2</v>
      </c>
      <c r="X58" s="3" t="n">
        <v>1.5</v>
      </c>
      <c r="Y58" s="3" t="inlineStr">
        <is>
          <t>COMM_Emotional</t>
        </is>
      </c>
      <c r="Z58" s="3" t="inlineStr">
        <is>
          <t>REG_SelfSoother</t>
        </is>
      </c>
      <c r="AA58" s="3" t="inlineStr">
        <is>
          <t>LANG_Touch</t>
        </is>
      </c>
      <c r="AB58" s="3" t="inlineStr">
        <is>
          <t>Vulnerability_Loop</t>
        </is>
      </c>
      <c r="AC58" s="3" t="inlineStr">
        <is>
          <t>Vulnerability_Loop</t>
        </is>
      </c>
      <c r="AD58" s="3" t="inlineStr"/>
      <c r="AE58" s="3" t="n">
        <v>5</v>
      </c>
      <c r="AF58" s="3" t="inlineStr">
        <is>
          <t>doubtful waiter</t>
        </is>
      </c>
      <c r="AG58" s="3" t="inlineStr">
        <is>
          <t>hesitant checker</t>
        </is>
      </c>
      <c r="AH58" s="3" t="n">
        <v>0</v>
      </c>
      <c r="AI58" s="3" t="inlineStr">
        <is>
          <t>yes</t>
        </is>
      </c>
      <c r="AJ58" s="3" t="inlineStr">
        <is>
          <t>no</t>
        </is>
      </c>
      <c r="AK58" s="3" t="inlineStr">
        <is>
          <t>yes</t>
        </is>
      </c>
      <c r="AL58" s="3" t="inlineStr">
        <is>
          <t>yes</t>
        </is>
      </c>
      <c r="AM58" s="3" t="inlineStr"/>
      <c r="AN58" s="3" t="inlineStr"/>
      <c r="AO58" s="3" t="inlineStr"/>
      <c r="AP58" s="3" t="inlineStr">
        <is>
          <t>v3_2026-03-19</t>
        </is>
      </c>
      <c r="AQ58">
        <f>(L58-Schema_v5!$C2)/(Schema_v5!$C3-Schema_v5!$C2)</f>
        <v/>
      </c>
      <c r="AR58">
        <f>(M58-Schema_v5!$C4)/(Schema_v5!$C5-Schema_v5!$C4)</f>
        <v/>
      </c>
      <c r="AS58">
        <f>N58/Schema_v5!$C6</f>
        <v/>
      </c>
      <c r="AT58">
        <f>O58/Schema_v5!$C7</f>
        <v/>
      </c>
      <c r="AU58">
        <f>P58/Schema_v5!$C8</f>
        <v/>
      </c>
      <c r="AV58">
        <f>IF(Schema_v5!$C9=0,0,AH58/Schema_v5!$C9)</f>
        <v/>
      </c>
      <c r="AW58">
        <f>IF(Schema_v5!$C10=0,0,AE58/Schema_v5!$C10)</f>
        <v/>
      </c>
      <c r="AX58">
        <f>(W58-Schema_v5!$C11)/(Schema_v5!$C12-Schema_v5!$C11)</f>
        <v/>
      </c>
      <c r="AY58">
        <f>(X58-Schema_v5!$C13)/(Schema_v5!$C14-Schema_v5!$C13)</f>
        <v/>
      </c>
    </row>
    <row r="59">
      <c r="A59" s="3" t="inlineStr">
        <is>
          <t>Q12_C</t>
        </is>
      </c>
      <c r="B59" s="3" t="n">
        <v>12</v>
      </c>
      <c r="C59" s="3" t="n">
        <v>12</v>
      </c>
      <c r="D59" s="3" t="inlineStr">
        <is>
          <t>Core</t>
        </is>
      </c>
      <c r="E59" s="3" t="n">
        <v>1.05</v>
      </c>
      <c r="F59" s="3" t="inlineStr">
        <is>
          <t>ConflictRepair</t>
        </is>
      </c>
      <c r="G59" s="3" t="inlineStr">
        <is>
          <t>CommunicationHealth</t>
        </is>
      </c>
      <c r="H59" s="3" t="inlineStr"/>
      <c r="I59" s="3" t="inlineStr">
        <is>
          <t>C</t>
        </is>
      </c>
      <c r="J59" s="3" t="inlineStr">
        <is>
          <t>C</t>
        </is>
      </c>
      <c r="K59" s="3" t="inlineStr">
        <is>
          <t>I bring it up again, but this time they can probably hear the shift in my tone. I'm not trying to argue-I just need them to actually hear me.</t>
        </is>
      </c>
      <c r="L59" s="3" t="n">
        <v>9</v>
      </c>
      <c r="M59" s="3" t="n">
        <v>9</v>
      </c>
      <c r="N59" s="3" t="n">
        <v>10</v>
      </c>
      <c r="O59" s="3" t="n">
        <v>10</v>
      </c>
      <c r="P59" s="3" t="n">
        <v>10</v>
      </c>
      <c r="Q59" s="3" t="inlineStr">
        <is>
          <t>Regulated Grown-Up</t>
        </is>
      </c>
      <c r="R59" s="3" t="n">
        <v>9</v>
      </c>
      <c r="S59" s="3" t="inlineStr"/>
      <c r="T59" s="3" t="inlineStr"/>
      <c r="U59" s="3" t="n">
        <v>0</v>
      </c>
      <c r="V59" s="3" t="inlineStr">
        <is>
          <t>masc:1.1;fem:0.9</t>
        </is>
      </c>
      <c r="W59" s="3" t="n">
        <v>1.1</v>
      </c>
      <c r="X59" s="3" t="n">
        <v>0.9</v>
      </c>
      <c r="Y59" s="3" t="inlineStr">
        <is>
          <t>COMM_Direct</t>
        </is>
      </c>
      <c r="Z59" s="3" t="inlineStr">
        <is>
          <t>REG_CoRegulator</t>
        </is>
      </c>
      <c r="AA59" s="3" t="inlineStr">
        <is>
          <t>LANG_Words</t>
        </is>
      </c>
      <c r="AB59" s="3" t="inlineStr"/>
      <c r="AC59" s="3" t="inlineStr"/>
      <c r="AD59" s="3" t="inlineStr"/>
      <c r="AE59" s="3" t="n">
        <v>0</v>
      </c>
      <c r="AF59" s="3" t="inlineStr">
        <is>
          <t>calm confronter</t>
        </is>
      </c>
      <c r="AG59" s="3" t="inlineStr">
        <is>
          <t>direct communicator</t>
        </is>
      </c>
      <c r="AH59" s="3" t="n">
        <v>0</v>
      </c>
      <c r="AI59" s="3" t="inlineStr">
        <is>
          <t>no</t>
        </is>
      </c>
      <c r="AJ59" s="3" t="inlineStr">
        <is>
          <t>no</t>
        </is>
      </c>
      <c r="AK59" s="3" t="inlineStr">
        <is>
          <t>yes</t>
        </is>
      </c>
      <c r="AL59" s="3" t="inlineStr">
        <is>
          <t>yes</t>
        </is>
      </c>
      <c r="AM59" s="3" t="inlineStr"/>
      <c r="AN59" s="3" t="inlineStr"/>
      <c r="AO59" s="3" t="inlineStr"/>
      <c r="AP59" s="3" t="inlineStr">
        <is>
          <t>v3_2026-03-19</t>
        </is>
      </c>
      <c r="AQ59">
        <f>(L59-Schema_v5!$C2)/(Schema_v5!$C3-Schema_v5!$C2)</f>
        <v/>
      </c>
      <c r="AR59">
        <f>(M59-Schema_v5!$C4)/(Schema_v5!$C5-Schema_v5!$C4)</f>
        <v/>
      </c>
      <c r="AS59">
        <f>N59/Schema_v5!$C6</f>
        <v/>
      </c>
      <c r="AT59">
        <f>O59/Schema_v5!$C7</f>
        <v/>
      </c>
      <c r="AU59">
        <f>P59/Schema_v5!$C8</f>
        <v/>
      </c>
      <c r="AV59">
        <f>IF(Schema_v5!$C9=0,0,AH59/Schema_v5!$C9)</f>
        <v/>
      </c>
      <c r="AW59">
        <f>IF(Schema_v5!$C10=0,0,AE59/Schema_v5!$C10)</f>
        <v/>
      </c>
      <c r="AX59">
        <f>(W59-Schema_v5!$C11)/(Schema_v5!$C12-Schema_v5!$C11)</f>
        <v/>
      </c>
      <c r="AY59">
        <f>(X59-Schema_v5!$C13)/(Schema_v5!$C14-Schema_v5!$C13)</f>
        <v/>
      </c>
    </row>
    <row r="60">
      <c r="A60" s="3" t="inlineStr">
        <is>
          <t>Q12_D</t>
        </is>
      </c>
      <c r="B60" s="3" t="n">
        <v>12</v>
      </c>
      <c r="C60" s="3" t="n">
        <v>12</v>
      </c>
      <c r="D60" s="3" t="inlineStr">
        <is>
          <t>Core</t>
        </is>
      </c>
      <c r="E60" s="3" t="n">
        <v>1.05</v>
      </c>
      <c r="F60" s="3" t="inlineStr">
        <is>
          <t>ConflictRepair</t>
        </is>
      </c>
      <c r="G60" s="3" t="inlineStr">
        <is>
          <t>CommunicationHealth</t>
        </is>
      </c>
      <c r="H60" s="3" t="inlineStr"/>
      <c r="I60" s="3" t="inlineStr">
        <is>
          <t>D</t>
        </is>
      </c>
      <c r="J60" s="3" t="inlineStr">
        <is>
          <t>D</t>
        </is>
      </c>
      <c r="K60" s="3" t="inlineStr">
        <is>
          <t>I joke about it to see how they react. If they don't bite, I pull back quietly.</t>
        </is>
      </c>
      <c r="L60" s="3" t="n">
        <v>6</v>
      </c>
      <c r="M60" s="3" t="n">
        <v>7</v>
      </c>
      <c r="N60" s="3" t="n">
        <v>2</v>
      </c>
      <c r="O60" s="3" t="n">
        <v>2</v>
      </c>
      <c r="P60" s="3" t="n">
        <v>0</v>
      </c>
      <c r="Q60" s="3" t="inlineStr">
        <is>
          <t>Performer</t>
        </is>
      </c>
      <c r="R60" s="3" t="n">
        <v>7</v>
      </c>
      <c r="S60" s="3" t="inlineStr"/>
      <c r="T60" s="3" t="inlineStr"/>
      <c r="U60" s="3" t="n">
        <v>0</v>
      </c>
      <c r="V60" s="3" t="inlineStr">
        <is>
          <t>masc:0.3;fem:0.5</t>
        </is>
      </c>
      <c r="W60" s="3" t="n">
        <v>0.3</v>
      </c>
      <c r="X60" s="3" t="n">
        <v>0.5</v>
      </c>
      <c r="Y60" s="3" t="inlineStr">
        <is>
          <t>COMM_Indirect</t>
        </is>
      </c>
      <c r="Z60" s="3" t="inlineStr">
        <is>
          <t>REG_Distractor</t>
        </is>
      </c>
      <c r="AA60" s="3" t="inlineStr">
        <is>
          <t>LANG_Gifts</t>
        </is>
      </c>
      <c r="AB60" s="3" t="inlineStr">
        <is>
          <t>Vulnerability_Loop , Scorekeeping_Echo</t>
        </is>
      </c>
      <c r="AC60" s="3" t="inlineStr">
        <is>
          <t>Vulnerability_Loop</t>
        </is>
      </c>
      <c r="AD60" s="3" t="inlineStr">
        <is>
          <t>Scorekeeping_Echo</t>
        </is>
      </c>
      <c r="AE60" s="3" t="n">
        <v>13</v>
      </c>
      <c r="AF60" s="3" t="inlineStr">
        <is>
          <t>playful tester</t>
        </is>
      </c>
      <c r="AG60" s="3" t="inlineStr">
        <is>
          <t>indirect feeler</t>
        </is>
      </c>
      <c r="AH60" s="3" t="n">
        <v>0.8</v>
      </c>
      <c r="AI60" s="3" t="inlineStr">
        <is>
          <t>yes</t>
        </is>
      </c>
      <c r="AJ60" s="3" t="inlineStr">
        <is>
          <t>no</t>
        </is>
      </c>
      <c r="AK60" s="3" t="inlineStr">
        <is>
          <t>yes</t>
        </is>
      </c>
      <c r="AL60" s="3" t="inlineStr">
        <is>
          <t>yes</t>
        </is>
      </c>
      <c r="AM60" s="3" t="inlineStr"/>
      <c r="AN60" s="3" t="inlineStr"/>
      <c r="AO60" s="3" t="inlineStr"/>
      <c r="AP60" s="3" t="inlineStr">
        <is>
          <t>v3_2026-03-19</t>
        </is>
      </c>
      <c r="AQ60">
        <f>(L60-Schema_v5!$C2)/(Schema_v5!$C3-Schema_v5!$C2)</f>
        <v/>
      </c>
      <c r="AR60">
        <f>(M60-Schema_v5!$C4)/(Schema_v5!$C5-Schema_v5!$C4)</f>
        <v/>
      </c>
      <c r="AS60">
        <f>N60/Schema_v5!$C6</f>
        <v/>
      </c>
      <c r="AT60">
        <f>O60/Schema_v5!$C7</f>
        <v/>
      </c>
      <c r="AU60">
        <f>P60/Schema_v5!$C8</f>
        <v/>
      </c>
      <c r="AV60">
        <f>IF(Schema_v5!$C9=0,0,AH60/Schema_v5!$C9)</f>
        <v/>
      </c>
      <c r="AW60">
        <f>IF(Schema_v5!$C10=0,0,AE60/Schema_v5!$C10)</f>
        <v/>
      </c>
      <c r="AX60">
        <f>(W60-Schema_v5!$C11)/(Schema_v5!$C12-Schema_v5!$C11)</f>
        <v/>
      </c>
      <c r="AY60">
        <f>(X60-Schema_v5!$C13)/(Schema_v5!$C14-Schema_v5!$C13)</f>
        <v/>
      </c>
    </row>
    <row r="61">
      <c r="A61" s="3" t="inlineStr">
        <is>
          <t>Q12_E</t>
        </is>
      </c>
      <c r="B61" s="3" t="n">
        <v>12</v>
      </c>
      <c r="C61" s="3" t="n">
        <v>12</v>
      </c>
      <c r="D61" s="3" t="inlineStr">
        <is>
          <t>Core</t>
        </is>
      </c>
      <c r="E61" s="3" t="n">
        <v>1.05</v>
      </c>
      <c r="F61" s="3" t="inlineStr">
        <is>
          <t>ConflictRepair</t>
        </is>
      </c>
      <c r="G61" s="3" t="inlineStr">
        <is>
          <t>CommunicationHealth</t>
        </is>
      </c>
      <c r="H61" s="3" t="inlineStr"/>
      <c r="I61" s="3" t="inlineStr">
        <is>
          <t>E</t>
        </is>
      </c>
      <c r="J61" s="3" t="inlineStr">
        <is>
          <t>E</t>
        </is>
      </c>
      <c r="K61" s="3" t="inlineStr">
        <is>
          <t>I shift before they get the chance to. I've seen this pattern before, I know how it ends.</t>
        </is>
      </c>
      <c r="L61" s="3" t="n">
        <v>6</v>
      </c>
      <c r="M61" s="3" t="n">
        <v>7</v>
      </c>
      <c r="N61" s="3" t="n">
        <v>4</v>
      </c>
      <c r="O61" s="3" t="n">
        <v>6</v>
      </c>
      <c r="P61" s="3" t="n">
        <v>4</v>
      </c>
      <c r="Q61" s="3" t="inlineStr">
        <is>
          <t>Survivor</t>
        </is>
      </c>
      <c r="R61" s="3" t="n">
        <v>8</v>
      </c>
      <c r="S61" s="3" t="inlineStr"/>
      <c r="T61" s="3" t="inlineStr"/>
      <c r="U61" s="3" t="n">
        <v>0</v>
      </c>
      <c r="V61" s="3" t="inlineStr">
        <is>
          <t>masc:0.3;fem:1.3</t>
        </is>
      </c>
      <c r="W61" s="3" t="n">
        <v>0.3</v>
      </c>
      <c r="X61" s="3" t="n">
        <v>1.3</v>
      </c>
      <c r="Y61" s="3" t="inlineStr">
        <is>
          <t>COMM_Emotional</t>
        </is>
      </c>
      <c r="Z61" s="3" t="inlineStr">
        <is>
          <t>REG_SelfSoother</t>
        </is>
      </c>
      <c r="AA61" s="3" t="inlineStr">
        <is>
          <t>LANG_Service</t>
        </is>
      </c>
      <c r="AB61" s="3" t="inlineStr">
        <is>
          <t>Vulnerability_Loop</t>
        </is>
      </c>
      <c r="AC61" s="3" t="inlineStr">
        <is>
          <t>Vulnerability_Loop</t>
        </is>
      </c>
      <c r="AD61" s="3" t="inlineStr"/>
      <c r="AE61" s="3" t="n">
        <v>5</v>
      </c>
      <c r="AF61" s="3" t="inlineStr">
        <is>
          <t>pain-preemptive responder</t>
        </is>
      </c>
      <c r="AG61" s="3" t="inlineStr">
        <is>
          <t>early exit planner</t>
        </is>
      </c>
      <c r="AH61" s="3" t="n">
        <v>0</v>
      </c>
      <c r="AI61" s="3" t="inlineStr">
        <is>
          <t>yes</t>
        </is>
      </c>
      <c r="AJ61" s="3" t="inlineStr">
        <is>
          <t>no</t>
        </is>
      </c>
      <c r="AK61" s="3" t="inlineStr">
        <is>
          <t>yes</t>
        </is>
      </c>
      <c r="AL61" s="3" t="inlineStr">
        <is>
          <t>yes</t>
        </is>
      </c>
      <c r="AM61" s="3" t="inlineStr"/>
      <c r="AN61" s="3" t="inlineStr"/>
      <c r="AO61" s="3" t="inlineStr"/>
      <c r="AP61" s="3" t="inlineStr">
        <is>
          <t>v3_2026-03-19</t>
        </is>
      </c>
      <c r="AQ61">
        <f>(L61-Schema_v5!$C2)/(Schema_v5!$C3-Schema_v5!$C2)</f>
        <v/>
      </c>
      <c r="AR61">
        <f>(M61-Schema_v5!$C4)/(Schema_v5!$C5-Schema_v5!$C4)</f>
        <v/>
      </c>
      <c r="AS61">
        <f>N61/Schema_v5!$C6</f>
        <v/>
      </c>
      <c r="AT61">
        <f>O61/Schema_v5!$C7</f>
        <v/>
      </c>
      <c r="AU61">
        <f>P61/Schema_v5!$C8</f>
        <v/>
      </c>
      <c r="AV61">
        <f>IF(Schema_v5!$C9=0,0,AH61/Schema_v5!$C9)</f>
        <v/>
      </c>
      <c r="AW61">
        <f>IF(Schema_v5!$C10=0,0,AE61/Schema_v5!$C10)</f>
        <v/>
      </c>
      <c r="AX61">
        <f>(W61-Schema_v5!$C11)/(Schema_v5!$C12-Schema_v5!$C11)</f>
        <v/>
      </c>
      <c r="AY61">
        <f>(X61-Schema_v5!$C13)/(Schema_v5!$C14-Schema_v5!$C13)</f>
        <v/>
      </c>
    </row>
    <row r="62">
      <c r="A62" s="3" t="inlineStr">
        <is>
          <t>Q13_A</t>
        </is>
      </c>
      <c r="B62" s="3" t="n">
        <v>13</v>
      </c>
      <c r="C62" s="3" t="n">
        <v>13</v>
      </c>
      <c r="D62" s="3" t="inlineStr">
        <is>
          <t>Core</t>
        </is>
      </c>
      <c r="E62" s="3" t="n">
        <v>1.05</v>
      </c>
      <c r="F62" s="3" t="inlineStr">
        <is>
          <t>ConflictRepair</t>
        </is>
      </c>
      <c r="G62" s="3" t="inlineStr">
        <is>
          <t>CommunicationHealth</t>
        </is>
      </c>
      <c r="H62" s="3" t="inlineStr">
        <is>
          <t>They say they like you-but they're inconsistent. What part of you answers that first?</t>
        </is>
      </c>
      <c r="I62" s="3" t="inlineStr">
        <is>
          <t>A</t>
        </is>
      </c>
      <c r="J62" s="3" t="inlineStr">
        <is>
          <t>A</t>
        </is>
      </c>
      <c r="K62" s="3" t="inlineStr">
        <is>
          <t>I just need space to check if I'm seeing it clearly before I lean in. Not to play games.</t>
        </is>
      </c>
      <c r="L62" s="3" t="n">
        <v>8</v>
      </c>
      <c r="M62" s="3" t="n">
        <v>8</v>
      </c>
      <c r="N62" s="3" t="n">
        <v>4</v>
      </c>
      <c r="O62" s="3" t="n">
        <v>4</v>
      </c>
      <c r="P62" s="3" t="n">
        <v>2</v>
      </c>
      <c r="Q62" s="3" t="inlineStr">
        <is>
          <t>Quiet Exit</t>
        </is>
      </c>
      <c r="R62" s="3" t="n">
        <v>4</v>
      </c>
      <c r="S62" s="3" t="inlineStr"/>
      <c r="T62" s="3" t="inlineStr"/>
      <c r="U62" s="3" t="n">
        <v>0</v>
      </c>
      <c r="V62" s="3" t="inlineStr">
        <is>
          <t>masc:1.4;fem:-1.3</t>
        </is>
      </c>
      <c r="W62" s="3" t="n">
        <v>1.4</v>
      </c>
      <c r="X62" s="3" t="n">
        <v>-1.3</v>
      </c>
      <c r="Y62" s="3" t="inlineStr">
        <is>
          <t>COMM_Avoidant</t>
        </is>
      </c>
      <c r="Z62" s="3" t="inlineStr">
        <is>
          <t>REG_Suppressor</t>
        </is>
      </c>
      <c r="AA62" s="3" t="inlineStr">
        <is>
          <t>LANG_Time</t>
        </is>
      </c>
      <c r="AB62" s="3" t="inlineStr"/>
      <c r="AC62" s="3" t="inlineStr"/>
      <c r="AD62" s="3" t="inlineStr"/>
      <c r="AE62" s="3" t="n">
        <v>0</v>
      </c>
      <c r="AF62" s="3" t="inlineStr">
        <is>
          <t>observer mode</t>
        </is>
      </c>
      <c r="AG62" s="3" t="inlineStr">
        <is>
          <t>cautious engager</t>
        </is>
      </c>
      <c r="AH62" s="3" t="n">
        <v>0.2</v>
      </c>
      <c r="AI62" s="3" t="inlineStr">
        <is>
          <t>no</t>
        </is>
      </c>
      <c r="AJ62" s="3" t="inlineStr">
        <is>
          <t>no</t>
        </is>
      </c>
      <c r="AK62" s="3" t="inlineStr">
        <is>
          <t>yes</t>
        </is>
      </c>
      <c r="AL62" s="3" t="inlineStr">
        <is>
          <t>yes</t>
        </is>
      </c>
      <c r="AM62" s="3" t="inlineStr"/>
      <c r="AN62" s="3" t="inlineStr"/>
      <c r="AO62" s="3" t="inlineStr"/>
      <c r="AP62" s="3" t="inlineStr">
        <is>
          <t>v3_2026-03-19</t>
        </is>
      </c>
      <c r="AQ62">
        <f>(L62-Schema_v5!$C2)/(Schema_v5!$C3-Schema_v5!$C2)</f>
        <v/>
      </c>
      <c r="AR62">
        <f>(M62-Schema_v5!$C4)/(Schema_v5!$C5-Schema_v5!$C4)</f>
        <v/>
      </c>
      <c r="AS62">
        <f>N62/Schema_v5!$C6</f>
        <v/>
      </c>
      <c r="AT62">
        <f>O62/Schema_v5!$C7</f>
        <v/>
      </c>
      <c r="AU62">
        <f>P62/Schema_v5!$C8</f>
        <v/>
      </c>
      <c r="AV62">
        <f>IF(Schema_v5!$C9=0,0,AH62/Schema_v5!$C9)</f>
        <v/>
      </c>
      <c r="AW62">
        <f>IF(Schema_v5!$C10=0,0,AE62/Schema_v5!$C10)</f>
        <v/>
      </c>
      <c r="AX62">
        <f>(W62-Schema_v5!$C11)/(Schema_v5!$C12-Schema_v5!$C11)</f>
        <v/>
      </c>
      <c r="AY62">
        <f>(X62-Schema_v5!$C13)/(Schema_v5!$C14-Schema_v5!$C13)</f>
        <v/>
      </c>
    </row>
    <row r="63">
      <c r="A63" s="3" t="inlineStr">
        <is>
          <t>Q13_B</t>
        </is>
      </c>
      <c r="B63" s="3" t="n">
        <v>13</v>
      </c>
      <c r="C63" s="3" t="n">
        <v>13</v>
      </c>
      <c r="D63" s="3" t="inlineStr">
        <is>
          <t>Core</t>
        </is>
      </c>
      <c r="E63" s="3" t="n">
        <v>1.05</v>
      </c>
      <c r="F63" s="3" t="inlineStr">
        <is>
          <t>ConflictRepair</t>
        </is>
      </c>
      <c r="G63" s="3" t="inlineStr">
        <is>
          <t>CommunicationHealth</t>
        </is>
      </c>
      <c r="H63" s="3" t="inlineStr"/>
      <c r="I63" s="3" t="inlineStr">
        <is>
          <t>B</t>
        </is>
      </c>
      <c r="J63" s="3" t="inlineStr">
        <is>
          <t>B</t>
        </is>
      </c>
      <c r="K63" s="3" t="inlineStr">
        <is>
          <t>I start imagining what it could be. I try not to get ahead of myself, I just like feeling what it can be.</t>
        </is>
      </c>
      <c r="L63" s="3" t="n">
        <v>7</v>
      </c>
      <c r="M63" s="3" t="n">
        <v>8</v>
      </c>
      <c r="N63" s="3" t="n">
        <v>6</v>
      </c>
      <c r="O63" s="3" t="n">
        <v>6</v>
      </c>
      <c r="P63" s="3" t="n">
        <v>4</v>
      </c>
      <c r="Q63" s="3" t="inlineStr">
        <is>
          <t>Romantic Idealist</t>
        </is>
      </c>
      <c r="R63" s="3" t="n">
        <v>6</v>
      </c>
      <c r="S63" s="3" t="inlineStr"/>
      <c r="T63" s="3" t="inlineStr"/>
      <c r="U63" s="3" t="n">
        <v>0</v>
      </c>
      <c r="V63" s="3" t="inlineStr">
        <is>
          <t>masc:-0.4;fem:1.5</t>
        </is>
      </c>
      <c r="W63" s="3" t="n">
        <v>-0.4</v>
      </c>
      <c r="X63" s="3" t="n">
        <v>1.5</v>
      </c>
      <c r="Y63" s="3" t="inlineStr">
        <is>
          <t>COMM_Emotional</t>
        </is>
      </c>
      <c r="Z63" s="3" t="inlineStr">
        <is>
          <t>REG_Distractor</t>
        </is>
      </c>
      <c r="AA63" s="3" t="inlineStr">
        <is>
          <t>LANG_Gifts</t>
        </is>
      </c>
      <c r="AB63" s="3" t="inlineStr"/>
      <c r="AC63" s="3" t="inlineStr"/>
      <c r="AD63" s="3" t="inlineStr"/>
      <c r="AE63" s="3" t="n">
        <v>0</v>
      </c>
      <c r="AF63" s="3" t="inlineStr">
        <is>
          <t>daydreaming hopeful</t>
        </is>
      </c>
      <c r="AG63" s="3" t="inlineStr">
        <is>
          <t>romantic visionary</t>
        </is>
      </c>
      <c r="AH63" s="3" t="n">
        <v>0</v>
      </c>
      <c r="AI63" s="3" t="inlineStr">
        <is>
          <t>no</t>
        </is>
      </c>
      <c r="AJ63" s="3" t="inlineStr">
        <is>
          <t>no</t>
        </is>
      </c>
      <c r="AK63" s="3" t="inlineStr">
        <is>
          <t>yes</t>
        </is>
      </c>
      <c r="AL63" s="3" t="inlineStr">
        <is>
          <t>yes</t>
        </is>
      </c>
      <c r="AM63" s="3" t="inlineStr"/>
      <c r="AN63" s="3" t="inlineStr"/>
      <c r="AO63" s="3" t="inlineStr"/>
      <c r="AP63" s="3" t="inlineStr">
        <is>
          <t>v3_2026-03-19</t>
        </is>
      </c>
      <c r="AQ63">
        <f>(L63-Schema_v5!$C2)/(Schema_v5!$C3-Schema_v5!$C2)</f>
        <v/>
      </c>
      <c r="AR63">
        <f>(M63-Schema_v5!$C4)/(Schema_v5!$C5-Schema_v5!$C4)</f>
        <v/>
      </c>
      <c r="AS63">
        <f>N63/Schema_v5!$C6</f>
        <v/>
      </c>
      <c r="AT63">
        <f>O63/Schema_v5!$C7</f>
        <v/>
      </c>
      <c r="AU63">
        <f>P63/Schema_v5!$C8</f>
        <v/>
      </c>
      <c r="AV63">
        <f>IF(Schema_v5!$C9=0,0,AH63/Schema_v5!$C9)</f>
        <v/>
      </c>
      <c r="AW63">
        <f>IF(Schema_v5!$C10=0,0,AE63/Schema_v5!$C10)</f>
        <v/>
      </c>
      <c r="AX63">
        <f>(W63-Schema_v5!$C11)/(Schema_v5!$C12-Schema_v5!$C11)</f>
        <v/>
      </c>
      <c r="AY63">
        <f>(X63-Schema_v5!$C13)/(Schema_v5!$C14-Schema_v5!$C13)</f>
        <v/>
      </c>
    </row>
    <row r="64">
      <c r="A64" s="3" t="inlineStr">
        <is>
          <t>Q13_C</t>
        </is>
      </c>
      <c r="B64" s="3" t="n">
        <v>13</v>
      </c>
      <c r="C64" s="3" t="n">
        <v>13</v>
      </c>
      <c r="D64" s="3" t="inlineStr">
        <is>
          <t>Core</t>
        </is>
      </c>
      <c r="E64" s="3" t="n">
        <v>1.05</v>
      </c>
      <c r="F64" s="3" t="inlineStr">
        <is>
          <t>ConflictRepair</t>
        </is>
      </c>
      <c r="G64" s="3" t="inlineStr">
        <is>
          <t>CommunicationHealth</t>
        </is>
      </c>
      <c r="H64" s="3" t="inlineStr"/>
      <c r="I64" s="3" t="inlineStr">
        <is>
          <t>C</t>
        </is>
      </c>
      <c r="J64" s="3" t="inlineStr">
        <is>
          <t>C</t>
        </is>
      </c>
      <c r="K64" s="3" t="inlineStr">
        <is>
          <t>I don't say much, but I start showing up more, checking in, remembering little things. That's usually how I start showing my interest.</t>
        </is>
      </c>
      <c r="L64" s="3" t="n">
        <v>8</v>
      </c>
      <c r="M64" s="3" t="n">
        <v>9</v>
      </c>
      <c r="N64" s="3" t="n">
        <v>8</v>
      </c>
      <c r="O64" s="3" t="n">
        <v>10</v>
      </c>
      <c r="P64" s="3" t="n">
        <v>8</v>
      </c>
      <c r="Q64" s="3" t="inlineStr">
        <is>
          <t>Translator</t>
        </is>
      </c>
      <c r="R64" s="3" t="n">
        <v>3</v>
      </c>
      <c r="S64" s="3" t="inlineStr"/>
      <c r="T64" s="3" t="inlineStr"/>
      <c r="U64" s="3" t="n">
        <v>0</v>
      </c>
      <c r="V64" s="3" t="inlineStr">
        <is>
          <t>masc:-0.1;fem:1.6</t>
        </is>
      </c>
      <c r="W64" s="3" t="n">
        <v>-0.1</v>
      </c>
      <c r="X64" s="3" t="n">
        <v>1.6</v>
      </c>
      <c r="Y64" s="3" t="inlineStr">
        <is>
          <t>COMM_Indirect</t>
        </is>
      </c>
      <c r="Z64" s="3" t="inlineStr">
        <is>
          <t>REG_CoRegulator</t>
        </is>
      </c>
      <c r="AA64" s="3" t="inlineStr">
        <is>
          <t>LANG_Words</t>
        </is>
      </c>
      <c r="AB64" s="3" t="inlineStr"/>
      <c r="AC64" s="3" t="inlineStr"/>
      <c r="AD64" s="3" t="inlineStr"/>
      <c r="AE64" s="3" t="n">
        <v>0</v>
      </c>
      <c r="AF64" s="3" t="inlineStr">
        <is>
          <t>steady signaler</t>
        </is>
      </c>
      <c r="AG64" s="3" t="inlineStr">
        <is>
          <t>consistent investor</t>
        </is>
      </c>
      <c r="AH64" s="3" t="n">
        <v>0</v>
      </c>
      <c r="AI64" s="3" t="inlineStr">
        <is>
          <t>no</t>
        </is>
      </c>
      <c r="AJ64" s="3" t="inlineStr">
        <is>
          <t>no</t>
        </is>
      </c>
      <c r="AK64" s="3" t="inlineStr">
        <is>
          <t>yes</t>
        </is>
      </c>
      <c r="AL64" s="3" t="inlineStr">
        <is>
          <t>yes</t>
        </is>
      </c>
      <c r="AM64" s="3" t="inlineStr"/>
      <c r="AN64" s="3" t="inlineStr"/>
      <c r="AO64" s="3" t="inlineStr"/>
      <c r="AP64" s="3" t="inlineStr">
        <is>
          <t>v3_2026-03-19</t>
        </is>
      </c>
      <c r="AQ64">
        <f>(L64-Schema_v5!$C2)/(Schema_v5!$C3-Schema_v5!$C2)</f>
        <v/>
      </c>
      <c r="AR64">
        <f>(M64-Schema_v5!$C4)/(Schema_v5!$C5-Schema_v5!$C4)</f>
        <v/>
      </c>
      <c r="AS64">
        <f>N64/Schema_v5!$C6</f>
        <v/>
      </c>
      <c r="AT64">
        <f>O64/Schema_v5!$C7</f>
        <v/>
      </c>
      <c r="AU64">
        <f>P64/Schema_v5!$C8</f>
        <v/>
      </c>
      <c r="AV64">
        <f>IF(Schema_v5!$C9=0,0,AH64/Schema_v5!$C9)</f>
        <v/>
      </c>
      <c r="AW64">
        <f>IF(Schema_v5!$C10=0,0,AE64/Schema_v5!$C10)</f>
        <v/>
      </c>
      <c r="AX64">
        <f>(W64-Schema_v5!$C11)/(Schema_v5!$C12-Schema_v5!$C11)</f>
        <v/>
      </c>
      <c r="AY64">
        <f>(X64-Schema_v5!$C13)/(Schema_v5!$C14-Schema_v5!$C13)</f>
        <v/>
      </c>
    </row>
    <row r="65">
      <c r="A65" s="3" t="inlineStr">
        <is>
          <t>Q13_D</t>
        </is>
      </c>
      <c r="B65" s="3" t="n">
        <v>13</v>
      </c>
      <c r="C65" s="3" t="n">
        <v>13</v>
      </c>
      <c r="D65" s="3" t="inlineStr">
        <is>
          <t>Core</t>
        </is>
      </c>
      <c r="E65" s="3" t="n">
        <v>1.05</v>
      </c>
      <c r="F65" s="3" t="inlineStr">
        <is>
          <t>ConflictRepair</t>
        </is>
      </c>
      <c r="G65" s="3" t="inlineStr">
        <is>
          <t>CommunicationHealth</t>
        </is>
      </c>
      <c r="H65" s="3" t="inlineStr"/>
      <c r="I65" s="3" t="inlineStr">
        <is>
          <t>D</t>
        </is>
      </c>
      <c r="J65" s="3" t="inlineStr">
        <is>
          <t>D</t>
        </is>
      </c>
      <c r="K65" s="3" t="inlineStr">
        <is>
          <t>I want them to like me back, but I need to know it's safe first, so I keep it light while I wait on their actions.</t>
        </is>
      </c>
      <c r="L65" s="3" t="n">
        <v>7</v>
      </c>
      <c r="M65" s="3" t="n">
        <v>8</v>
      </c>
      <c r="N65" s="3" t="n">
        <v>4</v>
      </c>
      <c r="O65" s="3" t="n">
        <v>6</v>
      </c>
      <c r="P65" s="3" t="n">
        <v>4</v>
      </c>
      <c r="Q65" s="3" t="inlineStr">
        <is>
          <t>Performer</t>
        </is>
      </c>
      <c r="R65" s="3" t="n">
        <v>7</v>
      </c>
      <c r="S65" s="3" t="inlineStr"/>
      <c r="T65" s="3" t="inlineStr"/>
      <c r="U65" s="3" t="n">
        <v>0</v>
      </c>
      <c r="V65" s="3" t="inlineStr">
        <is>
          <t>masc:0.3;fem:0.5</t>
        </is>
      </c>
      <c r="W65" s="3" t="n">
        <v>0.3</v>
      </c>
      <c r="X65" s="3" t="n">
        <v>0.5</v>
      </c>
      <c r="Y65" s="3" t="inlineStr">
        <is>
          <t>COMM_Indirect</t>
        </is>
      </c>
      <c r="Z65" s="3" t="inlineStr">
        <is>
          <t>REG_Distractor</t>
        </is>
      </c>
      <c r="AA65" s="3" t="inlineStr">
        <is>
          <t>LANG_Gifts</t>
        </is>
      </c>
      <c r="AB65" s="3" t="inlineStr"/>
      <c r="AC65" s="3" t="inlineStr"/>
      <c r="AD65" s="3" t="inlineStr"/>
      <c r="AE65" s="3" t="n">
        <v>0</v>
      </c>
      <c r="AF65" s="3" t="inlineStr">
        <is>
          <t>strategic flirter</t>
        </is>
      </c>
      <c r="AG65" s="3" t="inlineStr">
        <is>
          <t>cautious charmer</t>
        </is>
      </c>
      <c r="AH65" s="3" t="n">
        <v>0.2</v>
      </c>
      <c r="AI65" s="3" t="inlineStr">
        <is>
          <t>no</t>
        </is>
      </c>
      <c r="AJ65" s="3" t="inlineStr">
        <is>
          <t>no</t>
        </is>
      </c>
      <c r="AK65" s="3" t="inlineStr">
        <is>
          <t>yes</t>
        </is>
      </c>
      <c r="AL65" s="3" t="inlineStr">
        <is>
          <t>yes</t>
        </is>
      </c>
      <c r="AM65" s="3" t="inlineStr"/>
      <c r="AN65" s="3" t="inlineStr"/>
      <c r="AO65" s="3" t="inlineStr"/>
      <c r="AP65" s="3" t="inlineStr">
        <is>
          <t>v3_2026-03-19</t>
        </is>
      </c>
      <c r="AQ65">
        <f>(L65-Schema_v5!$C2)/(Schema_v5!$C3-Schema_v5!$C2)</f>
        <v/>
      </c>
      <c r="AR65">
        <f>(M65-Schema_v5!$C4)/(Schema_v5!$C5-Schema_v5!$C4)</f>
        <v/>
      </c>
      <c r="AS65">
        <f>N65/Schema_v5!$C6</f>
        <v/>
      </c>
      <c r="AT65">
        <f>O65/Schema_v5!$C7</f>
        <v/>
      </c>
      <c r="AU65">
        <f>P65/Schema_v5!$C8</f>
        <v/>
      </c>
      <c r="AV65">
        <f>IF(Schema_v5!$C9=0,0,AH65/Schema_v5!$C9)</f>
        <v/>
      </c>
      <c r="AW65">
        <f>IF(Schema_v5!$C10=0,0,AE65/Schema_v5!$C10)</f>
        <v/>
      </c>
      <c r="AX65">
        <f>(W65-Schema_v5!$C11)/(Schema_v5!$C12-Schema_v5!$C11)</f>
        <v/>
      </c>
      <c r="AY65">
        <f>(X65-Schema_v5!$C13)/(Schema_v5!$C14-Schema_v5!$C13)</f>
        <v/>
      </c>
    </row>
    <row r="66">
      <c r="A66" s="3" t="inlineStr">
        <is>
          <t>Q13_E</t>
        </is>
      </c>
      <c r="B66" s="3" t="n">
        <v>13</v>
      </c>
      <c r="C66" s="3" t="n">
        <v>13</v>
      </c>
      <c r="D66" s="3" t="inlineStr">
        <is>
          <t>Core</t>
        </is>
      </c>
      <c r="E66" s="3" t="n">
        <v>1.05</v>
      </c>
      <c r="F66" s="3" t="inlineStr">
        <is>
          <t>ConflictRepair</t>
        </is>
      </c>
      <c r="G66" s="3" t="inlineStr">
        <is>
          <t>CommunicationHealth</t>
        </is>
      </c>
      <c r="H66" s="3" t="inlineStr"/>
      <c r="I66" s="3" t="inlineStr">
        <is>
          <t>E</t>
        </is>
      </c>
      <c r="J66" s="3" t="inlineStr">
        <is>
          <t>E</t>
        </is>
      </c>
      <c r="K66" s="3" t="inlineStr">
        <is>
          <t>If I like someone, it shows, but I don't rush just because the vibe is good. I wait to see if the energy stays real.</t>
        </is>
      </c>
      <c r="L66" s="3" t="n">
        <v>8</v>
      </c>
      <c r="M66" s="3" t="n">
        <v>9</v>
      </c>
      <c r="N66" s="3" t="n">
        <v>4</v>
      </c>
      <c r="O66" s="3" t="n">
        <v>6</v>
      </c>
      <c r="P66" s="3" t="n">
        <v>2</v>
      </c>
      <c r="Q66" s="3" t="inlineStr">
        <is>
          <t>Icebox</t>
        </is>
      </c>
      <c r="R66" s="3" t="n">
        <v>1</v>
      </c>
      <c r="S66" s="3" t="inlineStr"/>
      <c r="T66" s="3" t="inlineStr"/>
      <c r="U66" s="3" t="n">
        <v>0</v>
      </c>
      <c r="V66" s="3" t="inlineStr">
        <is>
          <t>masc:1.8;fem:-1.6</t>
        </is>
      </c>
      <c r="W66" s="3" t="n">
        <v>1.8</v>
      </c>
      <c r="X66" s="3" t="n">
        <v>-1.6</v>
      </c>
      <c r="Y66" s="3" t="inlineStr">
        <is>
          <t>COMM_Avoidant</t>
        </is>
      </c>
      <c r="Z66" s="3" t="inlineStr">
        <is>
          <t>REG_Suppressor</t>
        </is>
      </c>
      <c r="AA66" s="3" t="inlineStr">
        <is>
          <t>LANG_Time</t>
        </is>
      </c>
      <c r="AB66" s="3" t="inlineStr"/>
      <c r="AC66" s="3" t="inlineStr"/>
      <c r="AD66" s="3" t="inlineStr"/>
      <c r="AE66" s="3" t="n">
        <v>0</v>
      </c>
      <c r="AF66" s="3" t="inlineStr">
        <is>
          <t>guarded realist</t>
        </is>
      </c>
      <c r="AG66" s="3" t="inlineStr">
        <is>
          <t>patient tester</t>
        </is>
      </c>
      <c r="AH66" s="3" t="n">
        <v>0.6</v>
      </c>
      <c r="AI66" s="3" t="inlineStr">
        <is>
          <t>no</t>
        </is>
      </c>
      <c r="AJ66" s="3" t="inlineStr">
        <is>
          <t>no</t>
        </is>
      </c>
      <c r="AK66" s="3" t="inlineStr">
        <is>
          <t>yes</t>
        </is>
      </c>
      <c r="AL66" s="3" t="inlineStr">
        <is>
          <t>yes</t>
        </is>
      </c>
      <c r="AM66" s="3" t="inlineStr"/>
      <c r="AN66" s="3" t="inlineStr"/>
      <c r="AO66" s="3" t="inlineStr"/>
      <c r="AP66" s="3" t="inlineStr">
        <is>
          <t>v3_2026-03-19</t>
        </is>
      </c>
      <c r="AQ66">
        <f>(L66-Schema_v5!$C2)/(Schema_v5!$C3-Schema_v5!$C2)</f>
        <v/>
      </c>
      <c r="AR66">
        <f>(M66-Schema_v5!$C4)/(Schema_v5!$C5-Schema_v5!$C4)</f>
        <v/>
      </c>
      <c r="AS66">
        <f>N66/Schema_v5!$C6</f>
        <v/>
      </c>
      <c r="AT66">
        <f>O66/Schema_v5!$C7</f>
        <v/>
      </c>
      <c r="AU66">
        <f>P66/Schema_v5!$C8</f>
        <v/>
      </c>
      <c r="AV66">
        <f>IF(Schema_v5!$C9=0,0,AH66/Schema_v5!$C9)</f>
        <v/>
      </c>
      <c r="AW66">
        <f>IF(Schema_v5!$C10=0,0,AE66/Schema_v5!$C10)</f>
        <v/>
      </c>
      <c r="AX66">
        <f>(W66-Schema_v5!$C11)/(Schema_v5!$C12-Schema_v5!$C11)</f>
        <v/>
      </c>
      <c r="AY66">
        <f>(X66-Schema_v5!$C13)/(Schema_v5!$C14-Schema_v5!$C13)</f>
        <v/>
      </c>
    </row>
    <row r="67">
      <c r="A67" s="3" t="inlineStr">
        <is>
          <t>Q14_A</t>
        </is>
      </c>
      <c r="B67" s="3" t="n">
        <v>14</v>
      </c>
      <c r="C67" s="3" t="n">
        <v>14</v>
      </c>
      <c r="D67" s="3" t="inlineStr">
        <is>
          <t>Core</t>
        </is>
      </c>
      <c r="E67" s="3" t="n">
        <v>1.05</v>
      </c>
      <c r="F67" s="3" t="inlineStr">
        <is>
          <t>ConflictRepair</t>
        </is>
      </c>
      <c r="G67" s="3" t="inlineStr">
        <is>
          <t>CommunicationHealth</t>
        </is>
      </c>
      <c r="H67" s="3" t="inlineStr">
        <is>
          <t>They keep you in the loop, but never quite make you the priority. What shifts in you?</t>
        </is>
      </c>
      <c r="I67" s="3" t="inlineStr">
        <is>
          <t>A</t>
        </is>
      </c>
      <c r="J67" s="3" t="inlineStr">
        <is>
          <t>A</t>
        </is>
      </c>
      <c r="K67" s="3" t="inlineStr">
        <is>
          <t>I mirror it. They get the same version of me they're handing out. No extra effort for bare minimum.</t>
        </is>
      </c>
      <c r="L67" s="3" t="n">
        <v>7</v>
      </c>
      <c r="M67" s="3" t="n">
        <v>8</v>
      </c>
      <c r="N67" s="3" t="n">
        <v>4</v>
      </c>
      <c r="O67" s="3" t="n">
        <v>4</v>
      </c>
      <c r="P67" s="3" t="n">
        <v>0</v>
      </c>
      <c r="Q67" s="3" t="inlineStr">
        <is>
          <t>Icebox</t>
        </is>
      </c>
      <c r="R67" s="3" t="n">
        <v>1</v>
      </c>
      <c r="S67" s="3" t="inlineStr"/>
      <c r="T67" s="3" t="inlineStr"/>
      <c r="U67" s="3" t="n">
        <v>0</v>
      </c>
      <c r="V67" s="3" t="inlineStr">
        <is>
          <t>masc:1.8;fem:-1.6</t>
        </is>
      </c>
      <c r="W67" s="3" t="n">
        <v>1.8</v>
      </c>
      <c r="X67" s="3" t="n">
        <v>-1.6</v>
      </c>
      <c r="Y67" s="3" t="inlineStr">
        <is>
          <t>COMM_Avoidant</t>
        </is>
      </c>
      <c r="Z67" s="3" t="inlineStr">
        <is>
          <t>REG_Suppressor</t>
        </is>
      </c>
      <c r="AA67" s="3" t="inlineStr">
        <is>
          <t>LANG_Time</t>
        </is>
      </c>
      <c r="AB67" s="3" t="inlineStr"/>
      <c r="AC67" s="3" t="inlineStr"/>
      <c r="AD67" s="3" t="inlineStr"/>
      <c r="AE67" s="3" t="n">
        <v>0</v>
      </c>
      <c r="AF67" s="3" t="inlineStr">
        <is>
          <t>tactical disengagement</t>
        </is>
      </c>
      <c r="AG67" s="3" t="inlineStr">
        <is>
          <t>mirrored detachment</t>
        </is>
      </c>
      <c r="AH67" s="3" t="n">
        <v>0.6</v>
      </c>
      <c r="AI67" s="3" t="inlineStr">
        <is>
          <t>no</t>
        </is>
      </c>
      <c r="AJ67" s="3" t="inlineStr">
        <is>
          <t>no</t>
        </is>
      </c>
      <c r="AK67" s="3" t="inlineStr">
        <is>
          <t>yes</t>
        </is>
      </c>
      <c r="AL67" s="3" t="inlineStr">
        <is>
          <t>yes</t>
        </is>
      </c>
      <c r="AM67" s="3" t="inlineStr"/>
      <c r="AN67" s="3" t="inlineStr"/>
      <c r="AO67" s="3" t="inlineStr"/>
      <c r="AP67" s="3" t="inlineStr">
        <is>
          <t>v3_2026-03-19</t>
        </is>
      </c>
      <c r="AQ67">
        <f>(L67-Schema_v5!$C2)/(Schema_v5!$C3-Schema_v5!$C2)</f>
        <v/>
      </c>
      <c r="AR67">
        <f>(M67-Schema_v5!$C4)/(Schema_v5!$C5-Schema_v5!$C4)</f>
        <v/>
      </c>
      <c r="AS67">
        <f>N67/Schema_v5!$C6</f>
        <v/>
      </c>
      <c r="AT67">
        <f>O67/Schema_v5!$C7</f>
        <v/>
      </c>
      <c r="AU67">
        <f>P67/Schema_v5!$C8</f>
        <v/>
      </c>
      <c r="AV67">
        <f>IF(Schema_v5!$C9=0,0,AH67/Schema_v5!$C9)</f>
        <v/>
      </c>
      <c r="AW67">
        <f>IF(Schema_v5!$C10=0,0,AE67/Schema_v5!$C10)</f>
        <v/>
      </c>
      <c r="AX67">
        <f>(W67-Schema_v5!$C11)/(Schema_v5!$C12-Schema_v5!$C11)</f>
        <v/>
      </c>
      <c r="AY67">
        <f>(X67-Schema_v5!$C13)/(Schema_v5!$C14-Schema_v5!$C13)</f>
        <v/>
      </c>
    </row>
    <row r="68">
      <c r="A68" s="3" t="inlineStr">
        <is>
          <t>Q14_B</t>
        </is>
      </c>
      <c r="B68" s="3" t="n">
        <v>14</v>
      </c>
      <c r="C68" s="3" t="n">
        <v>14</v>
      </c>
      <c r="D68" s="3" t="inlineStr">
        <is>
          <t>Core</t>
        </is>
      </c>
      <c r="E68" s="3" t="n">
        <v>1.05</v>
      </c>
      <c r="F68" s="3" t="inlineStr">
        <is>
          <t>ConflictRepair</t>
        </is>
      </c>
      <c r="G68" s="3" t="inlineStr">
        <is>
          <t>CommunicationHealth</t>
        </is>
      </c>
      <c r="H68" s="3" t="inlineStr"/>
      <c r="I68" s="3" t="inlineStr">
        <is>
          <t>B</t>
        </is>
      </c>
      <c r="J68" s="3" t="inlineStr">
        <is>
          <t>B</t>
        </is>
      </c>
      <c r="K68" s="3" t="inlineStr">
        <is>
          <t>I start overexplaining, why I care, what I mean, what I hope for. I try to make it easier to choose me.</t>
        </is>
      </c>
      <c r="L68" s="3" t="n">
        <v>5</v>
      </c>
      <c r="M68" s="3" t="n">
        <v>6</v>
      </c>
      <c r="N68" s="3" t="n">
        <v>4</v>
      </c>
      <c r="O68" s="3" t="n">
        <v>4</v>
      </c>
      <c r="P68" s="3" t="n">
        <v>4</v>
      </c>
      <c r="Q68" s="3" t="inlineStr">
        <is>
          <t>Fixer</t>
        </is>
      </c>
      <c r="R68" s="3" t="n">
        <v>5</v>
      </c>
      <c r="S68" s="3" t="inlineStr"/>
      <c r="T68" s="3" t="inlineStr"/>
      <c r="U68" s="3" t="n">
        <v>0</v>
      </c>
      <c r="V68" s="3" t="inlineStr">
        <is>
          <t>masc:-0.4;fem:2.0</t>
        </is>
      </c>
      <c r="W68" s="3" t="n">
        <v>-0.4</v>
      </c>
      <c r="X68" s="3" t="n">
        <v>2</v>
      </c>
      <c r="Y68" s="3" t="inlineStr">
        <is>
          <t>COMM_Emotional</t>
        </is>
      </c>
      <c r="Z68" s="3" t="inlineStr">
        <is>
          <t>REG_CoRegulator</t>
        </is>
      </c>
      <c r="AA68" s="3" t="inlineStr">
        <is>
          <t>LANG_Service</t>
        </is>
      </c>
      <c r="AB68" s="3" t="inlineStr">
        <is>
          <t>Vulnerability_Loop</t>
        </is>
      </c>
      <c r="AC68" s="3" t="inlineStr">
        <is>
          <t>Vulnerability_Loop</t>
        </is>
      </c>
      <c r="AD68" s="3" t="inlineStr"/>
      <c r="AE68" s="3" t="n">
        <v>5</v>
      </c>
      <c r="AF68" s="3" t="inlineStr">
        <is>
          <t>emotional sales pitch</t>
        </is>
      </c>
      <c r="AG68" s="3" t="inlineStr">
        <is>
          <t>approval seeker</t>
        </is>
      </c>
      <c r="AH68" s="3" t="n">
        <v>0</v>
      </c>
      <c r="AI68" s="3" t="inlineStr">
        <is>
          <t>yes</t>
        </is>
      </c>
      <c r="AJ68" s="3" t="inlineStr">
        <is>
          <t>no</t>
        </is>
      </c>
      <c r="AK68" s="3" t="inlineStr">
        <is>
          <t>yes</t>
        </is>
      </c>
      <c r="AL68" s="3" t="inlineStr">
        <is>
          <t>yes</t>
        </is>
      </c>
      <c r="AM68" s="3" t="inlineStr"/>
      <c r="AN68" s="3" t="inlineStr"/>
      <c r="AO68" s="3" t="inlineStr"/>
      <c r="AP68" s="3" t="inlineStr">
        <is>
          <t>v3_2026-03-19</t>
        </is>
      </c>
      <c r="AQ68">
        <f>(L68-Schema_v5!$C2)/(Schema_v5!$C3-Schema_v5!$C2)</f>
        <v/>
      </c>
      <c r="AR68">
        <f>(M68-Schema_v5!$C4)/(Schema_v5!$C5-Schema_v5!$C4)</f>
        <v/>
      </c>
      <c r="AS68">
        <f>N68/Schema_v5!$C6</f>
        <v/>
      </c>
      <c r="AT68">
        <f>O68/Schema_v5!$C7</f>
        <v/>
      </c>
      <c r="AU68">
        <f>P68/Schema_v5!$C8</f>
        <v/>
      </c>
      <c r="AV68">
        <f>IF(Schema_v5!$C9=0,0,AH68/Schema_v5!$C9)</f>
        <v/>
      </c>
      <c r="AW68">
        <f>IF(Schema_v5!$C10=0,0,AE68/Schema_v5!$C10)</f>
        <v/>
      </c>
      <c r="AX68">
        <f>(W68-Schema_v5!$C11)/(Schema_v5!$C12-Schema_v5!$C11)</f>
        <v/>
      </c>
      <c r="AY68">
        <f>(X68-Schema_v5!$C13)/(Schema_v5!$C14-Schema_v5!$C13)</f>
        <v/>
      </c>
    </row>
    <row r="69">
      <c r="A69" s="3" t="inlineStr">
        <is>
          <t>Q14_C</t>
        </is>
      </c>
      <c r="B69" s="3" t="n">
        <v>14</v>
      </c>
      <c r="C69" s="3" t="n">
        <v>14</v>
      </c>
      <c r="D69" s="3" t="inlineStr">
        <is>
          <t>Core</t>
        </is>
      </c>
      <c r="E69" s="3" t="n">
        <v>1.05</v>
      </c>
      <c r="F69" s="3" t="inlineStr">
        <is>
          <t>ConflictRepair</t>
        </is>
      </c>
      <c r="G69" s="3" t="inlineStr">
        <is>
          <t>CommunicationHealth</t>
        </is>
      </c>
      <c r="H69" s="3" t="inlineStr"/>
      <c r="I69" s="3" t="inlineStr">
        <is>
          <t>C</t>
        </is>
      </c>
      <c r="J69" s="3" t="inlineStr">
        <is>
          <t>C</t>
        </is>
      </c>
      <c r="K69" s="3" t="inlineStr">
        <is>
          <t>I act like I don't care, but it eats at me. I show up less, talk less, but I'm still watching every move.</t>
        </is>
      </c>
      <c r="L69" s="3" t="n">
        <v>5</v>
      </c>
      <c r="M69" s="3" t="n">
        <v>6</v>
      </c>
      <c r="N69" s="3" t="n">
        <v>2</v>
      </c>
      <c r="O69" s="3" t="n">
        <v>4</v>
      </c>
      <c r="P69" s="3" t="n">
        <v>2</v>
      </c>
      <c r="Q69" s="3" t="inlineStr">
        <is>
          <t>Phantom Seeker</t>
        </is>
      </c>
      <c r="R69" s="3" t="n">
        <v>10</v>
      </c>
      <c r="S69" s="3" t="inlineStr"/>
      <c r="T69" s="3" t="inlineStr"/>
      <c r="U69" s="3" t="n">
        <v>0</v>
      </c>
      <c r="V69" s="3" t="inlineStr">
        <is>
          <t>masc:-0.2;fem:1.5</t>
        </is>
      </c>
      <c r="W69" s="3" t="n">
        <v>-0.2</v>
      </c>
      <c r="X69" s="3" t="n">
        <v>1.5</v>
      </c>
      <c r="Y69" s="3" t="inlineStr">
        <is>
          <t>COMM_Emotional</t>
        </is>
      </c>
      <c r="Z69" s="3" t="inlineStr">
        <is>
          <t>REG_SelfSoother</t>
        </is>
      </c>
      <c r="AA69" s="3" t="inlineStr">
        <is>
          <t>LANG_Touch</t>
        </is>
      </c>
      <c r="AB69" s="3" t="inlineStr">
        <is>
          <t>Vulnerability_Loop</t>
        </is>
      </c>
      <c r="AC69" s="3" t="inlineStr">
        <is>
          <t>Vulnerability_Loop</t>
        </is>
      </c>
      <c r="AD69" s="3" t="inlineStr"/>
      <c r="AE69" s="3" t="n">
        <v>5</v>
      </c>
      <c r="AF69" s="3" t="inlineStr">
        <is>
          <t>internal retreat</t>
        </is>
      </c>
      <c r="AG69" s="3" t="inlineStr">
        <is>
          <t>quiet stewer</t>
        </is>
      </c>
      <c r="AH69" s="3" t="n">
        <v>0</v>
      </c>
      <c r="AI69" s="3" t="inlineStr">
        <is>
          <t>yes</t>
        </is>
      </c>
      <c r="AJ69" s="3" t="inlineStr">
        <is>
          <t>no</t>
        </is>
      </c>
      <c r="AK69" s="3" t="inlineStr">
        <is>
          <t>yes</t>
        </is>
      </c>
      <c r="AL69" s="3" t="inlineStr">
        <is>
          <t>yes</t>
        </is>
      </c>
      <c r="AM69" s="3" t="inlineStr"/>
      <c r="AN69" s="3" t="inlineStr"/>
      <c r="AO69" s="3" t="inlineStr"/>
      <c r="AP69" s="3" t="inlineStr">
        <is>
          <t>v3_2026-03-19</t>
        </is>
      </c>
      <c r="AQ69">
        <f>(L69-Schema_v5!$C2)/(Schema_v5!$C3-Schema_v5!$C2)</f>
        <v/>
      </c>
      <c r="AR69">
        <f>(M69-Schema_v5!$C4)/(Schema_v5!$C5-Schema_v5!$C4)</f>
        <v/>
      </c>
      <c r="AS69">
        <f>N69/Schema_v5!$C6</f>
        <v/>
      </c>
      <c r="AT69">
        <f>O69/Schema_v5!$C7</f>
        <v/>
      </c>
      <c r="AU69">
        <f>P69/Schema_v5!$C8</f>
        <v/>
      </c>
      <c r="AV69">
        <f>IF(Schema_v5!$C9=0,0,AH69/Schema_v5!$C9)</f>
        <v/>
      </c>
      <c r="AW69">
        <f>IF(Schema_v5!$C10=0,0,AE69/Schema_v5!$C10)</f>
        <v/>
      </c>
      <c r="AX69">
        <f>(W69-Schema_v5!$C11)/(Schema_v5!$C12-Schema_v5!$C11)</f>
        <v/>
      </c>
      <c r="AY69">
        <f>(X69-Schema_v5!$C13)/(Schema_v5!$C14-Schema_v5!$C13)</f>
        <v/>
      </c>
    </row>
    <row r="70">
      <c r="A70" s="3" t="inlineStr">
        <is>
          <t>Q14_D</t>
        </is>
      </c>
      <c r="B70" s="3" t="n">
        <v>14</v>
      </c>
      <c r="C70" s="3" t="n">
        <v>14</v>
      </c>
      <c r="D70" s="3" t="inlineStr">
        <is>
          <t>Core</t>
        </is>
      </c>
      <c r="E70" s="3" t="n">
        <v>1.05</v>
      </c>
      <c r="F70" s="3" t="inlineStr">
        <is>
          <t>ConflictRepair</t>
        </is>
      </c>
      <c r="G70" s="3" t="inlineStr">
        <is>
          <t>CommunicationHealth</t>
        </is>
      </c>
      <c r="H70" s="3" t="inlineStr"/>
      <c r="I70" s="3" t="inlineStr">
        <is>
          <t>D</t>
        </is>
      </c>
      <c r="J70" s="3" t="inlineStr">
        <is>
          <t>D</t>
        </is>
      </c>
      <c r="K70" s="3" t="inlineStr">
        <is>
          <t>I pretend I'm fine, but the shift gets loud. Suddenly I'm noticing who they respond to faster. Who gets their energy.</t>
        </is>
      </c>
      <c r="L70" s="3" t="n">
        <v>6</v>
      </c>
      <c r="M70" s="3" t="n">
        <v>7</v>
      </c>
      <c r="N70" s="3" t="n">
        <v>4</v>
      </c>
      <c r="O70" s="3" t="n">
        <v>4</v>
      </c>
      <c r="P70" s="3" t="n">
        <v>2</v>
      </c>
      <c r="Q70" s="3" t="inlineStr">
        <is>
          <t>Analyzer</t>
        </is>
      </c>
      <c r="R70" s="3" t="n">
        <v>2</v>
      </c>
      <c r="S70" s="3" t="inlineStr"/>
      <c r="T70" s="3" t="inlineStr"/>
      <c r="U70" s="3" t="n">
        <v>0</v>
      </c>
      <c r="V70" s="3" t="inlineStr">
        <is>
          <t>masc:1.4;fem:0.1</t>
        </is>
      </c>
      <c r="W70" s="3" t="n">
        <v>1.4</v>
      </c>
      <c r="X70" s="3" t="n">
        <v>0.1</v>
      </c>
      <c r="Y70" s="3" t="inlineStr">
        <is>
          <t>COMM_Logical</t>
        </is>
      </c>
      <c r="Z70" s="3" t="inlineStr">
        <is>
          <t>REG_SelfSoother</t>
        </is>
      </c>
      <c r="AA70" s="3" t="inlineStr">
        <is>
          <t>LANG_Service</t>
        </is>
      </c>
      <c r="AB70" s="3" t="inlineStr">
        <is>
          <t>Vulnerability_Loop</t>
        </is>
      </c>
      <c r="AC70" s="3" t="inlineStr">
        <is>
          <t>Vulnerability_Loop</t>
        </is>
      </c>
      <c r="AD70" s="3" t="inlineStr"/>
      <c r="AE70" s="3" t="n">
        <v>5</v>
      </c>
      <c r="AF70" s="3" t="inlineStr">
        <is>
          <t>silent scorekeeper</t>
        </is>
      </c>
      <c r="AG70" s="3" t="inlineStr">
        <is>
          <t>attention tracker</t>
        </is>
      </c>
      <c r="AH70" s="3" t="n">
        <v>1.8</v>
      </c>
      <c r="AI70" s="3" t="inlineStr">
        <is>
          <t>yes</t>
        </is>
      </c>
      <c r="AJ70" s="3" t="inlineStr">
        <is>
          <t>no</t>
        </is>
      </c>
      <c r="AK70" s="3" t="inlineStr">
        <is>
          <t>yes</t>
        </is>
      </c>
      <c r="AL70" s="3" t="inlineStr">
        <is>
          <t>yes</t>
        </is>
      </c>
      <c r="AM70" s="3" t="inlineStr"/>
      <c r="AN70" s="3" t="inlineStr"/>
      <c r="AO70" s="3" t="inlineStr"/>
      <c r="AP70" s="3" t="inlineStr">
        <is>
          <t>v3_2026-03-19</t>
        </is>
      </c>
      <c r="AQ70">
        <f>(L70-Schema_v5!$C2)/(Schema_v5!$C3-Schema_v5!$C2)</f>
        <v/>
      </c>
      <c r="AR70">
        <f>(M70-Schema_v5!$C4)/(Schema_v5!$C5-Schema_v5!$C4)</f>
        <v/>
      </c>
      <c r="AS70">
        <f>N70/Schema_v5!$C6</f>
        <v/>
      </c>
      <c r="AT70">
        <f>O70/Schema_v5!$C7</f>
        <v/>
      </c>
      <c r="AU70">
        <f>P70/Schema_v5!$C8</f>
        <v/>
      </c>
      <c r="AV70">
        <f>IF(Schema_v5!$C9=0,0,AH70/Schema_v5!$C9)</f>
        <v/>
      </c>
      <c r="AW70">
        <f>IF(Schema_v5!$C10=0,0,AE70/Schema_v5!$C10)</f>
        <v/>
      </c>
      <c r="AX70">
        <f>(W70-Schema_v5!$C11)/(Schema_v5!$C12-Schema_v5!$C11)</f>
        <v/>
      </c>
      <c r="AY70">
        <f>(X70-Schema_v5!$C13)/(Schema_v5!$C14-Schema_v5!$C13)</f>
        <v/>
      </c>
    </row>
    <row r="71">
      <c r="A71" s="3" t="inlineStr">
        <is>
          <t>Q14_E</t>
        </is>
      </c>
      <c r="B71" s="3" t="n">
        <v>14</v>
      </c>
      <c r="C71" s="3" t="n">
        <v>14</v>
      </c>
      <c r="D71" s="3" t="inlineStr">
        <is>
          <t>Core</t>
        </is>
      </c>
      <c r="E71" s="3" t="n">
        <v>1.05</v>
      </c>
      <c r="F71" s="3" t="inlineStr">
        <is>
          <t>ConflictRepair</t>
        </is>
      </c>
      <c r="G71" s="3" t="inlineStr">
        <is>
          <t>CommunicationHealth</t>
        </is>
      </c>
      <c r="H71" s="3" t="inlineStr"/>
      <c r="I71" s="3" t="inlineStr">
        <is>
          <t>E</t>
        </is>
      </c>
      <c r="J71" s="3" t="inlineStr">
        <is>
          <t>E</t>
        </is>
      </c>
      <c r="K71" s="3" t="inlineStr">
        <is>
          <t>I clock it, stash the receipt, and stop reaching out. I've made that mistake before, won't repeat it.</t>
        </is>
      </c>
      <c r="L71" s="3" t="n">
        <v>8</v>
      </c>
      <c r="M71" s="3" t="n">
        <v>9</v>
      </c>
      <c r="N71" s="3" t="n">
        <v>4</v>
      </c>
      <c r="O71" s="3" t="n">
        <v>6</v>
      </c>
      <c r="P71" s="3" t="n">
        <v>2</v>
      </c>
      <c r="Q71" s="3" t="inlineStr">
        <is>
          <t>Quiet Exit</t>
        </is>
      </c>
      <c r="R71" s="3" t="n">
        <v>4</v>
      </c>
      <c r="S71" s="3" t="inlineStr"/>
      <c r="T71" s="3" t="inlineStr"/>
      <c r="U71" s="3" t="n">
        <v>0</v>
      </c>
      <c r="V71" s="3" t="inlineStr">
        <is>
          <t>masc:1.4;fem:-1.3</t>
        </is>
      </c>
      <c r="W71" s="3" t="n">
        <v>1.4</v>
      </c>
      <c r="X71" s="3" t="n">
        <v>-1.3</v>
      </c>
      <c r="Y71" s="3" t="inlineStr">
        <is>
          <t>COMM_Avoidant</t>
        </is>
      </c>
      <c r="Z71" s="3" t="inlineStr">
        <is>
          <t>REG_Suppressor</t>
        </is>
      </c>
      <c r="AA71" s="3" t="inlineStr">
        <is>
          <t>LANG_Time</t>
        </is>
      </c>
      <c r="AB71" s="3" t="inlineStr"/>
      <c r="AC71" s="3" t="inlineStr"/>
      <c r="AD71" s="3" t="inlineStr"/>
      <c r="AE71" s="3" t="n">
        <v>0</v>
      </c>
      <c r="AF71" s="3" t="inlineStr">
        <is>
          <t>strategic shutdown</t>
        </is>
      </c>
      <c r="AG71" s="3" t="inlineStr">
        <is>
          <t>decisive withdrawer</t>
        </is>
      </c>
      <c r="AH71" s="3" t="n">
        <v>0.6</v>
      </c>
      <c r="AI71" s="3" t="inlineStr">
        <is>
          <t>no</t>
        </is>
      </c>
      <c r="AJ71" s="3" t="inlineStr">
        <is>
          <t>no</t>
        </is>
      </c>
      <c r="AK71" s="3" t="inlineStr">
        <is>
          <t>yes</t>
        </is>
      </c>
      <c r="AL71" s="3" t="inlineStr">
        <is>
          <t>yes</t>
        </is>
      </c>
      <c r="AM71" s="3" t="inlineStr"/>
      <c r="AN71" s="3" t="inlineStr"/>
      <c r="AO71" s="3" t="inlineStr"/>
      <c r="AP71" s="3" t="inlineStr">
        <is>
          <t>v3_2026-03-19</t>
        </is>
      </c>
      <c r="AQ71">
        <f>(L71-Schema_v5!$C2)/(Schema_v5!$C3-Schema_v5!$C2)</f>
        <v/>
      </c>
      <c r="AR71">
        <f>(M71-Schema_v5!$C4)/(Schema_v5!$C5-Schema_v5!$C4)</f>
        <v/>
      </c>
      <c r="AS71">
        <f>N71/Schema_v5!$C6</f>
        <v/>
      </c>
      <c r="AT71">
        <f>O71/Schema_v5!$C7</f>
        <v/>
      </c>
      <c r="AU71">
        <f>P71/Schema_v5!$C8</f>
        <v/>
      </c>
      <c r="AV71">
        <f>IF(Schema_v5!$C9=0,0,AH71/Schema_v5!$C9)</f>
        <v/>
      </c>
      <c r="AW71">
        <f>IF(Schema_v5!$C10=0,0,AE71/Schema_v5!$C10)</f>
        <v/>
      </c>
      <c r="AX71">
        <f>(W71-Schema_v5!$C11)/(Schema_v5!$C12-Schema_v5!$C11)</f>
        <v/>
      </c>
      <c r="AY71">
        <f>(X71-Schema_v5!$C13)/(Schema_v5!$C14-Schema_v5!$C13)</f>
        <v/>
      </c>
    </row>
    <row r="72">
      <c r="A72" s="3" t="inlineStr">
        <is>
          <t>Q15_A</t>
        </is>
      </c>
      <c r="B72" s="3" t="n">
        <v>15</v>
      </c>
      <c r="C72" s="3" t="n">
        <v>15</v>
      </c>
      <c r="D72" s="3" t="inlineStr">
        <is>
          <t>Core</t>
        </is>
      </c>
      <c r="E72" s="3" t="n">
        <v>1.05</v>
      </c>
      <c r="F72" s="3" t="inlineStr">
        <is>
          <t>ConflictRepair</t>
        </is>
      </c>
      <c r="G72" s="3" t="inlineStr">
        <is>
          <t>CommunicationHealth</t>
        </is>
      </c>
      <c r="H72" s="3" t="inlineStr">
        <is>
          <t>They respond fast. They remember what you say. No mixed signals. It's easy. How does your brain react to that kind of consistency?</t>
        </is>
      </c>
      <c r="I72" s="3" t="inlineStr">
        <is>
          <t>A</t>
        </is>
      </c>
      <c r="J72" s="3" t="inlineStr">
        <is>
          <t>A</t>
        </is>
      </c>
      <c r="K72" s="3" t="inlineStr">
        <is>
          <t>I wait for the twist. Nobody's that into me for no reason. I enjoy it, but I stay suspicious.</t>
        </is>
      </c>
      <c r="L72" s="3" t="n">
        <v>6</v>
      </c>
      <c r="M72" s="3" t="n">
        <v>7</v>
      </c>
      <c r="N72" s="3" t="n">
        <v>4</v>
      </c>
      <c r="O72" s="3" t="n">
        <v>6</v>
      </c>
      <c r="P72" s="3" t="n">
        <v>4</v>
      </c>
      <c r="Q72" s="3" t="inlineStr">
        <is>
          <t>Survivor</t>
        </is>
      </c>
      <c r="R72" s="3" t="n">
        <v>8</v>
      </c>
      <c r="S72" s="3" t="inlineStr"/>
      <c r="T72" s="3" t="inlineStr"/>
      <c r="U72" s="3" t="n">
        <v>0</v>
      </c>
      <c r="V72" s="3" t="inlineStr">
        <is>
          <t>masc:0.3;fem:1.3</t>
        </is>
      </c>
      <c r="W72" s="3" t="n">
        <v>0.3</v>
      </c>
      <c r="X72" s="3" t="n">
        <v>1.3</v>
      </c>
      <c r="Y72" s="3" t="inlineStr">
        <is>
          <t>COMM_Emotional</t>
        </is>
      </c>
      <c r="Z72" s="3" t="inlineStr">
        <is>
          <t>REG_SelfSoother</t>
        </is>
      </c>
      <c r="AA72" s="3" t="inlineStr">
        <is>
          <t>LANG_Service</t>
        </is>
      </c>
      <c r="AB72" s="3" t="inlineStr">
        <is>
          <t>Vulnerability_Loop</t>
        </is>
      </c>
      <c r="AC72" s="3" t="inlineStr">
        <is>
          <t>Vulnerability_Loop</t>
        </is>
      </c>
      <c r="AD72" s="3" t="inlineStr"/>
      <c r="AE72" s="3" t="n">
        <v>5</v>
      </c>
      <c r="AF72" s="3" t="inlineStr">
        <is>
          <t>trauma-calibrated skepticism</t>
        </is>
      </c>
      <c r="AG72" s="3" t="inlineStr">
        <is>
          <t>guarded receiver</t>
        </is>
      </c>
      <c r="AH72" s="3" t="n">
        <v>0</v>
      </c>
      <c r="AI72" s="3" t="inlineStr">
        <is>
          <t>yes</t>
        </is>
      </c>
      <c r="AJ72" s="3" t="inlineStr">
        <is>
          <t>no</t>
        </is>
      </c>
      <c r="AK72" s="3" t="inlineStr">
        <is>
          <t>yes</t>
        </is>
      </c>
      <c r="AL72" s="3" t="inlineStr">
        <is>
          <t>yes</t>
        </is>
      </c>
      <c r="AM72" s="3" t="inlineStr"/>
      <c r="AN72" s="3" t="inlineStr"/>
      <c r="AO72" s="3" t="inlineStr"/>
      <c r="AP72" s="3" t="inlineStr">
        <is>
          <t>v3_2026-03-19</t>
        </is>
      </c>
      <c r="AQ72">
        <f>(L72-Schema_v5!$C2)/(Schema_v5!$C3-Schema_v5!$C2)</f>
        <v/>
      </c>
      <c r="AR72">
        <f>(M72-Schema_v5!$C4)/(Schema_v5!$C5-Schema_v5!$C4)</f>
        <v/>
      </c>
      <c r="AS72">
        <f>N72/Schema_v5!$C6</f>
        <v/>
      </c>
      <c r="AT72">
        <f>O72/Schema_v5!$C7</f>
        <v/>
      </c>
      <c r="AU72">
        <f>P72/Schema_v5!$C8</f>
        <v/>
      </c>
      <c r="AV72">
        <f>IF(Schema_v5!$C9=0,0,AH72/Schema_v5!$C9)</f>
        <v/>
      </c>
      <c r="AW72">
        <f>IF(Schema_v5!$C10=0,0,AE72/Schema_v5!$C10)</f>
        <v/>
      </c>
      <c r="AX72">
        <f>(W72-Schema_v5!$C11)/(Schema_v5!$C12-Schema_v5!$C11)</f>
        <v/>
      </c>
      <c r="AY72">
        <f>(X72-Schema_v5!$C13)/(Schema_v5!$C14-Schema_v5!$C13)</f>
        <v/>
      </c>
    </row>
    <row r="73">
      <c r="A73" s="3" t="inlineStr">
        <is>
          <t>Q15_B</t>
        </is>
      </c>
      <c r="B73" s="3" t="n">
        <v>15</v>
      </c>
      <c r="C73" s="3" t="n">
        <v>15</v>
      </c>
      <c r="D73" s="3" t="inlineStr">
        <is>
          <t>Core</t>
        </is>
      </c>
      <c r="E73" s="3" t="n">
        <v>1.05</v>
      </c>
      <c r="F73" s="3" t="inlineStr">
        <is>
          <t>ConflictRepair</t>
        </is>
      </c>
      <c r="G73" s="3" t="inlineStr">
        <is>
          <t>CommunicationHealth</t>
        </is>
      </c>
      <c r="H73" s="3" t="inlineStr"/>
      <c r="I73" s="3" t="inlineStr">
        <is>
          <t>B</t>
        </is>
      </c>
      <c r="J73" s="3" t="inlineStr">
        <is>
          <t>B</t>
        </is>
      </c>
      <c r="K73" s="3" t="inlineStr">
        <is>
          <t>I get anxious. Like... if it's this easy now, what happens when I actually need something?</t>
        </is>
      </c>
      <c r="L73" s="3" t="n">
        <v>5</v>
      </c>
      <c r="M73" s="3" t="n">
        <v>6</v>
      </c>
      <c r="N73" s="3" t="n">
        <v>2</v>
      </c>
      <c r="O73" s="3" t="n">
        <v>4</v>
      </c>
      <c r="P73" s="3" t="n">
        <v>2</v>
      </c>
      <c r="Q73" s="3" t="inlineStr">
        <is>
          <t>Phantom Seeker</t>
        </is>
      </c>
      <c r="R73" s="3" t="n">
        <v>10</v>
      </c>
      <c r="S73" s="3" t="inlineStr"/>
      <c r="T73" s="3" t="inlineStr"/>
      <c r="U73" s="3" t="n">
        <v>0</v>
      </c>
      <c r="V73" s="3" t="inlineStr">
        <is>
          <t>masc:-0.2;fem:1.5</t>
        </is>
      </c>
      <c r="W73" s="3" t="n">
        <v>-0.2</v>
      </c>
      <c r="X73" s="3" t="n">
        <v>1.5</v>
      </c>
      <c r="Y73" s="3" t="inlineStr">
        <is>
          <t>COMM_Emotional</t>
        </is>
      </c>
      <c r="Z73" s="3" t="inlineStr">
        <is>
          <t>REG_SelfSoother</t>
        </is>
      </c>
      <c r="AA73" s="3" t="inlineStr">
        <is>
          <t>LANG_Touch</t>
        </is>
      </c>
      <c r="AB73" s="3" t="inlineStr">
        <is>
          <t>Vulnerability_Loop</t>
        </is>
      </c>
      <c r="AC73" s="3" t="inlineStr">
        <is>
          <t>Vulnerability_Loop</t>
        </is>
      </c>
      <c r="AD73" s="3" t="inlineStr"/>
      <c r="AE73" s="3" t="n">
        <v>5</v>
      </c>
      <c r="AF73" s="3" t="inlineStr">
        <is>
          <t>fragile trust reflex</t>
        </is>
      </c>
      <c r="AG73" s="3" t="inlineStr">
        <is>
          <t>uneasy believer</t>
        </is>
      </c>
      <c r="AH73" s="3" t="n">
        <v>0</v>
      </c>
      <c r="AI73" s="3" t="inlineStr">
        <is>
          <t>yes</t>
        </is>
      </c>
      <c r="AJ73" s="3" t="inlineStr">
        <is>
          <t>no</t>
        </is>
      </c>
      <c r="AK73" s="3" t="inlineStr">
        <is>
          <t>yes</t>
        </is>
      </c>
      <c r="AL73" s="3" t="inlineStr">
        <is>
          <t>yes</t>
        </is>
      </c>
      <c r="AM73" s="3" t="inlineStr"/>
      <c r="AN73" s="3" t="inlineStr"/>
      <c r="AO73" s="3" t="inlineStr"/>
      <c r="AP73" s="3" t="inlineStr">
        <is>
          <t>v3_2026-03-19</t>
        </is>
      </c>
      <c r="AQ73">
        <f>(L73-Schema_v5!$C2)/(Schema_v5!$C3-Schema_v5!$C2)</f>
        <v/>
      </c>
      <c r="AR73">
        <f>(M73-Schema_v5!$C4)/(Schema_v5!$C5-Schema_v5!$C4)</f>
        <v/>
      </c>
      <c r="AS73">
        <f>N73/Schema_v5!$C6</f>
        <v/>
      </c>
      <c r="AT73">
        <f>O73/Schema_v5!$C7</f>
        <v/>
      </c>
      <c r="AU73">
        <f>P73/Schema_v5!$C8</f>
        <v/>
      </c>
      <c r="AV73">
        <f>IF(Schema_v5!$C9=0,0,AH73/Schema_v5!$C9)</f>
        <v/>
      </c>
      <c r="AW73">
        <f>IF(Schema_v5!$C10=0,0,AE73/Schema_v5!$C10)</f>
        <v/>
      </c>
      <c r="AX73">
        <f>(W73-Schema_v5!$C11)/(Schema_v5!$C12-Schema_v5!$C11)</f>
        <v/>
      </c>
      <c r="AY73">
        <f>(X73-Schema_v5!$C13)/(Schema_v5!$C14-Schema_v5!$C13)</f>
        <v/>
      </c>
    </row>
    <row r="74">
      <c r="A74" s="3" t="inlineStr">
        <is>
          <t>Q15_C</t>
        </is>
      </c>
      <c r="B74" s="3" t="n">
        <v>15</v>
      </c>
      <c r="C74" s="3" t="n">
        <v>15</v>
      </c>
      <c r="D74" s="3" t="inlineStr">
        <is>
          <t>Core</t>
        </is>
      </c>
      <c r="E74" s="3" t="n">
        <v>1.05</v>
      </c>
      <c r="F74" s="3" t="inlineStr">
        <is>
          <t>ConflictRepair</t>
        </is>
      </c>
      <c r="G74" s="3" t="inlineStr">
        <is>
          <t>CommunicationHealth</t>
        </is>
      </c>
      <c r="H74" s="3" t="inlineStr"/>
      <c r="I74" s="3" t="inlineStr">
        <is>
          <t>C</t>
        </is>
      </c>
      <c r="J74" s="3" t="inlineStr">
        <is>
          <t>C</t>
        </is>
      </c>
      <c r="K74" s="3" t="inlineStr">
        <is>
          <t>I like it, but I start checking what they want from me. Nobody invests like that unless they're expecting a return.</t>
        </is>
      </c>
      <c r="L74" s="3" t="n">
        <v>6</v>
      </c>
      <c r="M74" s="3" t="n">
        <v>7</v>
      </c>
      <c r="N74" s="3" t="n">
        <v>4</v>
      </c>
      <c r="O74" s="3" t="n">
        <v>6</v>
      </c>
      <c r="P74" s="3" t="n">
        <v>4</v>
      </c>
      <c r="Q74" s="3" t="inlineStr">
        <is>
          <t>Analyzer</t>
        </is>
      </c>
      <c r="R74" s="3" t="n">
        <v>2</v>
      </c>
      <c r="S74" s="3" t="inlineStr"/>
      <c r="T74" s="3" t="inlineStr"/>
      <c r="U74" s="3" t="n">
        <v>0</v>
      </c>
      <c r="V74" s="3" t="inlineStr">
        <is>
          <t>masc:1.4;fem:0.1</t>
        </is>
      </c>
      <c r="W74" s="3" t="n">
        <v>1.4</v>
      </c>
      <c r="X74" s="3" t="n">
        <v>0.1</v>
      </c>
      <c r="Y74" s="3" t="inlineStr">
        <is>
          <t>COMM_Logical</t>
        </is>
      </c>
      <c r="Z74" s="3" t="inlineStr">
        <is>
          <t>REG_SelfSoother</t>
        </is>
      </c>
      <c r="AA74" s="3" t="inlineStr">
        <is>
          <t>LANG_Service</t>
        </is>
      </c>
      <c r="AB74" s="3" t="inlineStr">
        <is>
          <t>Vulnerability_Loop</t>
        </is>
      </c>
      <c r="AC74" s="3" t="inlineStr">
        <is>
          <t>Vulnerability_Loop</t>
        </is>
      </c>
      <c r="AD74" s="3" t="inlineStr"/>
      <c r="AE74" s="3" t="n">
        <v>5</v>
      </c>
      <c r="AF74" s="3" t="inlineStr">
        <is>
          <t>reciprocity scanner</t>
        </is>
      </c>
      <c r="AG74" s="3" t="inlineStr">
        <is>
          <t>cautious assessor</t>
        </is>
      </c>
      <c r="AH74" s="3" t="n">
        <v>0</v>
      </c>
      <c r="AI74" s="3" t="inlineStr">
        <is>
          <t>yes</t>
        </is>
      </c>
      <c r="AJ74" s="3" t="inlineStr">
        <is>
          <t>no</t>
        </is>
      </c>
      <c r="AK74" s="3" t="inlineStr">
        <is>
          <t>yes</t>
        </is>
      </c>
      <c r="AL74" s="3" t="inlineStr">
        <is>
          <t>yes</t>
        </is>
      </c>
      <c r="AM74" s="3" t="inlineStr"/>
      <c r="AN74" s="3" t="inlineStr"/>
      <c r="AO74" s="3" t="inlineStr"/>
      <c r="AP74" s="3" t="inlineStr">
        <is>
          <t>v3_2026-03-19</t>
        </is>
      </c>
      <c r="AQ74">
        <f>(L74-Schema_v5!$C2)/(Schema_v5!$C3-Schema_v5!$C2)</f>
        <v/>
      </c>
      <c r="AR74">
        <f>(M74-Schema_v5!$C4)/(Schema_v5!$C5-Schema_v5!$C4)</f>
        <v/>
      </c>
      <c r="AS74">
        <f>N74/Schema_v5!$C6</f>
        <v/>
      </c>
      <c r="AT74">
        <f>O74/Schema_v5!$C7</f>
        <v/>
      </c>
      <c r="AU74">
        <f>P74/Schema_v5!$C8</f>
        <v/>
      </c>
      <c r="AV74">
        <f>IF(Schema_v5!$C9=0,0,AH74/Schema_v5!$C9)</f>
        <v/>
      </c>
      <c r="AW74">
        <f>IF(Schema_v5!$C10=0,0,AE74/Schema_v5!$C10)</f>
        <v/>
      </c>
      <c r="AX74">
        <f>(W74-Schema_v5!$C11)/(Schema_v5!$C12-Schema_v5!$C11)</f>
        <v/>
      </c>
      <c r="AY74">
        <f>(X74-Schema_v5!$C13)/(Schema_v5!$C14-Schema_v5!$C13)</f>
        <v/>
      </c>
    </row>
    <row r="75">
      <c r="A75" s="3" t="inlineStr">
        <is>
          <t>Q15_D</t>
        </is>
      </c>
      <c r="B75" s="3" t="n">
        <v>15</v>
      </c>
      <c r="C75" s="3" t="n">
        <v>15</v>
      </c>
      <c r="D75" s="3" t="inlineStr">
        <is>
          <t>Core</t>
        </is>
      </c>
      <c r="E75" s="3" t="n">
        <v>1.05</v>
      </c>
      <c r="F75" s="3" t="inlineStr">
        <is>
          <t>ConflictRepair</t>
        </is>
      </c>
      <c r="G75" s="3" t="inlineStr">
        <is>
          <t>CommunicationHealth</t>
        </is>
      </c>
      <c r="H75" s="3" t="inlineStr"/>
      <c r="I75" s="3" t="inlineStr">
        <is>
          <t>D</t>
        </is>
      </c>
      <c r="J75" s="3" t="inlineStr">
        <is>
          <t>D</t>
        </is>
      </c>
      <c r="K75" s="3" t="inlineStr">
        <is>
          <t>I try not to mess it up. I overthink everything I send back. It feels good, but fragile.</t>
        </is>
      </c>
      <c r="L75" s="3" t="n">
        <v>6</v>
      </c>
      <c r="M75" s="3" t="n">
        <v>7</v>
      </c>
      <c r="N75" s="3" t="n">
        <v>4</v>
      </c>
      <c r="O75" s="3" t="n">
        <v>4</v>
      </c>
      <c r="P75" s="3" t="n">
        <v>2</v>
      </c>
      <c r="Q75" s="3" t="inlineStr">
        <is>
          <t>Performer</t>
        </is>
      </c>
      <c r="R75" s="3" t="n">
        <v>7</v>
      </c>
      <c r="S75" s="3" t="inlineStr"/>
      <c r="T75" s="3" t="inlineStr"/>
      <c r="U75" s="3" t="n">
        <v>0</v>
      </c>
      <c r="V75" s="3" t="inlineStr">
        <is>
          <t>masc:0.3;fem:0.5</t>
        </is>
      </c>
      <c r="W75" s="3" t="n">
        <v>0.3</v>
      </c>
      <c r="X75" s="3" t="n">
        <v>0.5</v>
      </c>
      <c r="Y75" s="3" t="inlineStr">
        <is>
          <t>COMM_Indirect</t>
        </is>
      </c>
      <c r="Z75" s="3" t="inlineStr">
        <is>
          <t>REG_Distractor</t>
        </is>
      </c>
      <c r="AA75" s="3" t="inlineStr">
        <is>
          <t>LANG_Gifts</t>
        </is>
      </c>
      <c r="AB75" s="3" t="inlineStr">
        <is>
          <t>Vulnerability_Loop</t>
        </is>
      </c>
      <c r="AC75" s="3" t="inlineStr">
        <is>
          <t>Vulnerability_Loop</t>
        </is>
      </c>
      <c r="AD75" s="3" t="inlineStr"/>
      <c r="AE75" s="3" t="n">
        <v>5</v>
      </c>
      <c r="AF75" s="3" t="inlineStr">
        <is>
          <t>image anxiety</t>
        </is>
      </c>
      <c r="AG75" s="3" t="inlineStr">
        <is>
          <t>careful performer</t>
        </is>
      </c>
      <c r="AH75" s="3" t="n">
        <v>0</v>
      </c>
      <c r="AI75" s="3" t="inlineStr">
        <is>
          <t>yes</t>
        </is>
      </c>
      <c r="AJ75" s="3" t="inlineStr">
        <is>
          <t>no</t>
        </is>
      </c>
      <c r="AK75" s="3" t="inlineStr">
        <is>
          <t>yes</t>
        </is>
      </c>
      <c r="AL75" s="3" t="inlineStr">
        <is>
          <t>yes</t>
        </is>
      </c>
      <c r="AM75" s="3" t="inlineStr"/>
      <c r="AN75" s="3" t="inlineStr"/>
      <c r="AO75" s="3" t="inlineStr"/>
      <c r="AP75" s="3" t="inlineStr">
        <is>
          <t>v3_2026-03-19</t>
        </is>
      </c>
      <c r="AQ75">
        <f>(L75-Schema_v5!$C2)/(Schema_v5!$C3-Schema_v5!$C2)</f>
        <v/>
      </c>
      <c r="AR75">
        <f>(M75-Schema_v5!$C4)/(Schema_v5!$C5-Schema_v5!$C4)</f>
        <v/>
      </c>
      <c r="AS75">
        <f>N75/Schema_v5!$C6</f>
        <v/>
      </c>
      <c r="AT75">
        <f>O75/Schema_v5!$C7</f>
        <v/>
      </c>
      <c r="AU75">
        <f>P75/Schema_v5!$C8</f>
        <v/>
      </c>
      <c r="AV75">
        <f>IF(Schema_v5!$C9=0,0,AH75/Schema_v5!$C9)</f>
        <v/>
      </c>
      <c r="AW75">
        <f>IF(Schema_v5!$C10=0,0,AE75/Schema_v5!$C10)</f>
        <v/>
      </c>
      <c r="AX75">
        <f>(W75-Schema_v5!$C11)/(Schema_v5!$C12-Schema_v5!$C11)</f>
        <v/>
      </c>
      <c r="AY75">
        <f>(X75-Schema_v5!$C13)/(Schema_v5!$C14-Schema_v5!$C13)</f>
        <v/>
      </c>
    </row>
    <row r="76">
      <c r="A76" s="3" t="inlineStr">
        <is>
          <t>Q15_E</t>
        </is>
      </c>
      <c r="B76" s="3" t="n">
        <v>15</v>
      </c>
      <c r="C76" s="3" t="n">
        <v>15</v>
      </c>
      <c r="D76" s="3" t="inlineStr">
        <is>
          <t>Core</t>
        </is>
      </c>
      <c r="E76" s="3" t="n">
        <v>1.05</v>
      </c>
      <c r="F76" s="3" t="inlineStr">
        <is>
          <t>ConflictRepair</t>
        </is>
      </c>
      <c r="G76" s="3" t="inlineStr">
        <is>
          <t>CommunicationHealth</t>
        </is>
      </c>
      <c r="H76" s="3" t="inlineStr"/>
      <c r="I76" s="3" t="inlineStr">
        <is>
          <t>E</t>
        </is>
      </c>
      <c r="J76" s="3" t="inlineStr">
        <is>
          <t>E</t>
        </is>
      </c>
      <c r="K76" s="3" t="inlineStr">
        <is>
          <t>I match it, but I don't flood it. Feels rare, and I'm not about to fumble it with weird energy.</t>
        </is>
      </c>
      <c r="L76" s="3" t="n">
        <v>9</v>
      </c>
      <c r="M76" s="3" t="n">
        <v>9</v>
      </c>
      <c r="N76" s="3" t="n">
        <v>6</v>
      </c>
      <c r="O76" s="3" t="n">
        <v>6</v>
      </c>
      <c r="P76" s="3" t="n">
        <v>2</v>
      </c>
      <c r="Q76" s="3" t="inlineStr">
        <is>
          <t>Icebox</t>
        </is>
      </c>
      <c r="R76" s="3" t="n">
        <v>1</v>
      </c>
      <c r="S76" s="3" t="inlineStr"/>
      <c r="T76" s="3" t="inlineStr"/>
      <c r="U76" s="3" t="n">
        <v>0</v>
      </c>
      <c r="V76" s="3" t="inlineStr">
        <is>
          <t>masc:1.8;fem:-1.6</t>
        </is>
      </c>
      <c r="W76" s="3" t="n">
        <v>1.8</v>
      </c>
      <c r="X76" s="3" t="n">
        <v>-1.6</v>
      </c>
      <c r="Y76" s="3" t="inlineStr">
        <is>
          <t>COMM_Avoidant</t>
        </is>
      </c>
      <c r="Z76" s="3" t="inlineStr">
        <is>
          <t>REG_Suppressor</t>
        </is>
      </c>
      <c r="AA76" s="3" t="inlineStr">
        <is>
          <t>LANG_Time</t>
        </is>
      </c>
      <c r="AB76" s="3" t="inlineStr"/>
      <c r="AC76" s="3" t="inlineStr"/>
      <c r="AD76" s="3" t="inlineStr"/>
      <c r="AE76" s="3" t="n">
        <v>0</v>
      </c>
      <c r="AF76" s="3" t="inlineStr">
        <is>
          <t>cautious returner</t>
        </is>
      </c>
      <c r="AG76" s="3" t="inlineStr">
        <is>
          <t>balanced engager</t>
        </is>
      </c>
      <c r="AH76" s="3" t="n">
        <v>0</v>
      </c>
      <c r="AI76" s="3" t="inlineStr">
        <is>
          <t>no</t>
        </is>
      </c>
      <c r="AJ76" s="3" t="inlineStr">
        <is>
          <t>no</t>
        </is>
      </c>
      <c r="AK76" s="3" t="inlineStr">
        <is>
          <t>yes</t>
        </is>
      </c>
      <c r="AL76" s="3" t="inlineStr">
        <is>
          <t>yes</t>
        </is>
      </c>
      <c r="AM76" s="3" t="inlineStr"/>
      <c r="AN76" s="3" t="inlineStr"/>
      <c r="AO76" s="3" t="inlineStr"/>
      <c r="AP76" s="3" t="inlineStr">
        <is>
          <t>v3_2026-03-19</t>
        </is>
      </c>
      <c r="AQ76">
        <f>(L76-Schema_v5!$C2)/(Schema_v5!$C3-Schema_v5!$C2)</f>
        <v/>
      </c>
      <c r="AR76">
        <f>(M76-Schema_v5!$C4)/(Schema_v5!$C5-Schema_v5!$C4)</f>
        <v/>
      </c>
      <c r="AS76">
        <f>N76/Schema_v5!$C6</f>
        <v/>
      </c>
      <c r="AT76">
        <f>O76/Schema_v5!$C7</f>
        <v/>
      </c>
      <c r="AU76">
        <f>P76/Schema_v5!$C8</f>
        <v/>
      </c>
      <c r="AV76">
        <f>IF(Schema_v5!$C9=0,0,AH76/Schema_v5!$C9)</f>
        <v/>
      </c>
      <c r="AW76">
        <f>IF(Schema_v5!$C10=0,0,AE76/Schema_v5!$C10)</f>
        <v/>
      </c>
      <c r="AX76">
        <f>(W76-Schema_v5!$C11)/(Schema_v5!$C12-Schema_v5!$C11)</f>
        <v/>
      </c>
      <c r="AY76">
        <f>(X76-Schema_v5!$C13)/(Schema_v5!$C14-Schema_v5!$C13)</f>
        <v/>
      </c>
    </row>
    <row r="77">
      <c r="A77" s="3" t="inlineStr">
        <is>
          <t>Q16_A</t>
        </is>
      </c>
      <c r="B77" s="3" t="n">
        <v>16</v>
      </c>
      <c r="C77" s="3" t="n">
        <v>16</v>
      </c>
      <c r="D77" s="3" t="inlineStr">
        <is>
          <t>Core</t>
        </is>
      </c>
      <c r="E77" s="3" t="n">
        <v>1.05</v>
      </c>
      <c r="F77" s="3" t="inlineStr">
        <is>
          <t>ConflictRepair</t>
        </is>
      </c>
      <c r="G77" s="3" t="inlineStr">
        <is>
          <t>CommunicationHealth</t>
        </is>
      </c>
      <c r="H77" s="3" t="inlineStr">
        <is>
          <t>They go from warm to cold out of nowhere. What's your first move?</t>
        </is>
      </c>
      <c r="I77" s="3" t="inlineStr">
        <is>
          <t>A</t>
        </is>
      </c>
      <c r="J77" s="3" t="inlineStr">
        <is>
          <t>A</t>
        </is>
      </c>
      <c r="K77" s="3" t="inlineStr">
        <is>
          <t>If you're hot and cold, I'm room temperature and gone. I'm not here to decode moods.</t>
        </is>
      </c>
      <c r="L77" s="3" t="n">
        <v>9</v>
      </c>
      <c r="M77" s="3" t="n">
        <v>9</v>
      </c>
      <c r="N77" s="3" t="n">
        <v>10</v>
      </c>
      <c r="O77" s="3" t="n">
        <v>10</v>
      </c>
      <c r="P77" s="3" t="n">
        <v>10</v>
      </c>
      <c r="Q77" s="3" t="inlineStr">
        <is>
          <t>Regulated Grown-Up</t>
        </is>
      </c>
      <c r="R77" s="3" t="n">
        <v>9</v>
      </c>
      <c r="S77" s="3" t="inlineStr"/>
      <c r="T77" s="3" t="inlineStr"/>
      <c r="U77" s="3" t="n">
        <v>0</v>
      </c>
      <c r="V77" s="3" t="inlineStr">
        <is>
          <t>masc:1.1;fem:0.9</t>
        </is>
      </c>
      <c r="W77" s="3" t="n">
        <v>1.1</v>
      </c>
      <c r="X77" s="3" t="n">
        <v>0.9</v>
      </c>
      <c r="Y77" s="3" t="inlineStr">
        <is>
          <t>COMM_Direct</t>
        </is>
      </c>
      <c r="Z77" s="3" t="inlineStr">
        <is>
          <t>REG_CoRegulator</t>
        </is>
      </c>
      <c r="AA77" s="3" t="inlineStr">
        <is>
          <t>LANG_Words</t>
        </is>
      </c>
      <c r="AB77" s="3" t="inlineStr"/>
      <c r="AC77" s="3" t="inlineStr"/>
      <c r="AD77" s="3" t="inlineStr"/>
      <c r="AE77" s="3" t="n">
        <v>0</v>
      </c>
      <c r="AF77" s="3" t="inlineStr">
        <is>
          <t>blunt detachment</t>
        </is>
      </c>
      <c r="AG77" s="3" t="inlineStr">
        <is>
          <t>immediate cutoff</t>
        </is>
      </c>
      <c r="AH77" s="3" t="n">
        <v>1.2</v>
      </c>
      <c r="AI77" s="3" t="inlineStr">
        <is>
          <t>no</t>
        </is>
      </c>
      <c r="AJ77" s="3" t="inlineStr">
        <is>
          <t>no</t>
        </is>
      </c>
      <c r="AK77" s="3" t="inlineStr">
        <is>
          <t>yes</t>
        </is>
      </c>
      <c r="AL77" s="3" t="inlineStr">
        <is>
          <t>yes</t>
        </is>
      </c>
      <c r="AM77" s="3" t="inlineStr"/>
      <c r="AN77" s="3" t="inlineStr"/>
      <c r="AO77" s="3" t="inlineStr"/>
      <c r="AP77" s="3" t="inlineStr">
        <is>
          <t>v3_2026-03-19</t>
        </is>
      </c>
      <c r="AQ77">
        <f>(L77-Schema_v5!$C2)/(Schema_v5!$C3-Schema_v5!$C2)</f>
        <v/>
      </c>
      <c r="AR77">
        <f>(M77-Schema_v5!$C4)/(Schema_v5!$C5-Schema_v5!$C4)</f>
        <v/>
      </c>
      <c r="AS77">
        <f>N77/Schema_v5!$C6</f>
        <v/>
      </c>
      <c r="AT77">
        <f>O77/Schema_v5!$C7</f>
        <v/>
      </c>
      <c r="AU77">
        <f>P77/Schema_v5!$C8</f>
        <v/>
      </c>
      <c r="AV77">
        <f>IF(Schema_v5!$C9=0,0,AH77/Schema_v5!$C9)</f>
        <v/>
      </c>
      <c r="AW77">
        <f>IF(Schema_v5!$C10=0,0,AE77/Schema_v5!$C10)</f>
        <v/>
      </c>
      <c r="AX77">
        <f>(W77-Schema_v5!$C11)/(Schema_v5!$C12-Schema_v5!$C11)</f>
        <v/>
      </c>
      <c r="AY77">
        <f>(X77-Schema_v5!$C13)/(Schema_v5!$C14-Schema_v5!$C13)</f>
        <v/>
      </c>
    </row>
    <row r="78">
      <c r="A78" s="3" t="inlineStr">
        <is>
          <t>Q16_B</t>
        </is>
      </c>
      <c r="B78" s="3" t="n">
        <v>16</v>
      </c>
      <c r="C78" s="3" t="n">
        <v>16</v>
      </c>
      <c r="D78" s="3" t="inlineStr">
        <is>
          <t>Core</t>
        </is>
      </c>
      <c r="E78" s="3" t="n">
        <v>1.05</v>
      </c>
      <c r="F78" s="3" t="inlineStr">
        <is>
          <t>ConflictRepair</t>
        </is>
      </c>
      <c r="G78" s="3" t="inlineStr">
        <is>
          <t>CommunicationHealth</t>
        </is>
      </c>
      <c r="H78" s="3" t="inlineStr"/>
      <c r="I78" s="3" t="inlineStr">
        <is>
          <t>B</t>
        </is>
      </c>
      <c r="J78" s="3" t="inlineStr">
        <is>
          <t>B</t>
        </is>
      </c>
      <c r="K78" s="3" t="inlineStr">
        <is>
          <t>I recheck our last texts. Then I reread mine. Then I wonder if I should've said less, or more. I don't bring it up, but it definitely rewires how I respond.</t>
        </is>
      </c>
      <c r="L78" s="3" t="n">
        <v>5</v>
      </c>
      <c r="M78" s="3" t="n">
        <v>6</v>
      </c>
      <c r="N78" s="3" t="n">
        <v>4</v>
      </c>
      <c r="O78" s="3" t="n">
        <v>4</v>
      </c>
      <c r="P78" s="3" t="n">
        <v>2</v>
      </c>
      <c r="Q78" s="3" t="inlineStr">
        <is>
          <t>Analyzer</t>
        </is>
      </c>
      <c r="R78" s="3" t="n">
        <v>2</v>
      </c>
      <c r="S78" s="3" t="inlineStr"/>
      <c r="T78" s="3" t="inlineStr"/>
      <c r="U78" s="3" t="n">
        <v>0</v>
      </c>
      <c r="V78" s="3" t="inlineStr">
        <is>
          <t>masc:1.4;fem:0.1</t>
        </is>
      </c>
      <c r="W78" s="3" t="n">
        <v>1.4</v>
      </c>
      <c r="X78" s="3" t="n">
        <v>0.1</v>
      </c>
      <c r="Y78" s="3" t="inlineStr">
        <is>
          <t>COMM_Logical</t>
        </is>
      </c>
      <c r="Z78" s="3" t="inlineStr">
        <is>
          <t>REG_SelfSoother</t>
        </is>
      </c>
      <c r="AA78" s="3" t="inlineStr">
        <is>
          <t>LANG_Service</t>
        </is>
      </c>
      <c r="AB78" s="3" t="inlineStr">
        <is>
          <t>Trust_Tension</t>
        </is>
      </c>
      <c r="AC78" s="3" t="inlineStr">
        <is>
          <t>Trust_Tension</t>
        </is>
      </c>
      <c r="AD78" s="3" t="inlineStr"/>
      <c r="AE78" s="3" t="n">
        <v>6</v>
      </c>
      <c r="AF78" s="3" t="inlineStr">
        <is>
          <t>emotional spiral</t>
        </is>
      </c>
      <c r="AG78" s="3" t="inlineStr">
        <is>
          <t>overanalyzer</t>
        </is>
      </c>
      <c r="AH78" s="3" t="n">
        <v>0</v>
      </c>
      <c r="AI78" s="3" t="inlineStr">
        <is>
          <t>yes</t>
        </is>
      </c>
      <c r="AJ78" s="3" t="inlineStr">
        <is>
          <t>no</t>
        </is>
      </c>
      <c r="AK78" s="3" t="inlineStr">
        <is>
          <t>yes</t>
        </is>
      </c>
      <c r="AL78" s="3" t="inlineStr">
        <is>
          <t>yes</t>
        </is>
      </c>
      <c r="AM78" s="3" t="inlineStr"/>
      <c r="AN78" s="3" t="inlineStr"/>
      <c r="AO78" s="3" t="inlineStr"/>
      <c r="AP78" s="3" t="inlineStr">
        <is>
          <t>v3_2026-03-19</t>
        </is>
      </c>
      <c r="AQ78">
        <f>(L78-Schema_v5!$C2)/(Schema_v5!$C3-Schema_v5!$C2)</f>
        <v/>
      </c>
      <c r="AR78">
        <f>(M78-Schema_v5!$C4)/(Schema_v5!$C5-Schema_v5!$C4)</f>
        <v/>
      </c>
      <c r="AS78">
        <f>N78/Schema_v5!$C6</f>
        <v/>
      </c>
      <c r="AT78">
        <f>O78/Schema_v5!$C7</f>
        <v/>
      </c>
      <c r="AU78">
        <f>P78/Schema_v5!$C8</f>
        <v/>
      </c>
      <c r="AV78">
        <f>IF(Schema_v5!$C9=0,0,AH78/Schema_v5!$C9)</f>
        <v/>
      </c>
      <c r="AW78">
        <f>IF(Schema_v5!$C10=0,0,AE78/Schema_v5!$C10)</f>
        <v/>
      </c>
      <c r="AX78">
        <f>(W78-Schema_v5!$C11)/(Schema_v5!$C12-Schema_v5!$C11)</f>
        <v/>
      </c>
      <c r="AY78">
        <f>(X78-Schema_v5!$C13)/(Schema_v5!$C14-Schema_v5!$C13)</f>
        <v/>
      </c>
    </row>
    <row r="79">
      <c r="A79" s="3" t="inlineStr">
        <is>
          <t>Q16_C</t>
        </is>
      </c>
      <c r="B79" s="3" t="n">
        <v>16</v>
      </c>
      <c r="C79" s="3" t="n">
        <v>16</v>
      </c>
      <c r="D79" s="3" t="inlineStr">
        <is>
          <t>Core</t>
        </is>
      </c>
      <c r="E79" s="3" t="n">
        <v>1.05</v>
      </c>
      <c r="F79" s="3" t="inlineStr">
        <is>
          <t>ConflictRepair</t>
        </is>
      </c>
      <c r="G79" s="3" t="inlineStr">
        <is>
          <t>CommunicationHealth</t>
        </is>
      </c>
      <c r="H79" s="3" t="inlineStr"/>
      <c r="I79" s="3" t="inlineStr">
        <is>
          <t>C</t>
        </is>
      </c>
      <c r="J79" s="3" t="inlineStr">
        <is>
          <t>C</t>
        </is>
      </c>
      <c r="K79" s="3" t="inlineStr">
        <is>
          <t>I back off. They'll either notice or they won't. I'm not chasing people who don't know what they want.</t>
        </is>
      </c>
      <c r="L79" s="3" t="n">
        <v>4</v>
      </c>
      <c r="M79" s="3" t="n">
        <v>5</v>
      </c>
      <c r="N79" s="3" t="n">
        <v>0</v>
      </c>
      <c r="O79" s="3" t="n">
        <v>0</v>
      </c>
      <c r="P79" s="3" t="n">
        <v>0</v>
      </c>
      <c r="Q79" s="3" t="inlineStr">
        <is>
          <t>Icebox</t>
        </is>
      </c>
      <c r="R79" s="3" t="n">
        <v>1</v>
      </c>
      <c r="S79" s="3" t="inlineStr"/>
      <c r="T79" s="3" t="inlineStr"/>
      <c r="U79" s="3" t="n">
        <v>0</v>
      </c>
      <c r="V79" s="3" t="inlineStr">
        <is>
          <t>masc:1.8;fem:-1.6</t>
        </is>
      </c>
      <c r="W79" s="3" t="n">
        <v>1.8</v>
      </c>
      <c r="X79" s="3" t="n">
        <v>-1.6</v>
      </c>
      <c r="Y79" s="3" t="inlineStr">
        <is>
          <t>COMM_Avoidant</t>
        </is>
      </c>
      <c r="Z79" s="3" t="inlineStr">
        <is>
          <t>REG_Suppressor</t>
        </is>
      </c>
      <c r="AA79" s="3" t="inlineStr">
        <is>
          <t>LANG_Time</t>
        </is>
      </c>
      <c r="AB79" s="3" t="inlineStr">
        <is>
          <t>Vulnerability_Loop</t>
        </is>
      </c>
      <c r="AC79" s="3" t="inlineStr">
        <is>
          <t>Vulnerability_Loop</t>
        </is>
      </c>
      <c r="AD79" s="3" t="inlineStr"/>
      <c r="AE79" s="3" t="n">
        <v>5</v>
      </c>
      <c r="AF79" s="3" t="inlineStr">
        <is>
          <t>quiet burn</t>
        </is>
      </c>
      <c r="AG79" s="3" t="inlineStr">
        <is>
          <t>disengaged pullback</t>
        </is>
      </c>
      <c r="AH79" s="3" t="n">
        <v>0.6</v>
      </c>
      <c r="AI79" s="3" t="inlineStr">
        <is>
          <t>yes</t>
        </is>
      </c>
      <c r="AJ79" s="3" t="inlineStr">
        <is>
          <t>no</t>
        </is>
      </c>
      <c r="AK79" s="3" t="inlineStr">
        <is>
          <t>yes</t>
        </is>
      </c>
      <c r="AL79" s="3" t="inlineStr">
        <is>
          <t>yes</t>
        </is>
      </c>
      <c r="AM79" s="3" t="inlineStr"/>
      <c r="AN79" s="3" t="inlineStr"/>
      <c r="AO79" s="3" t="inlineStr"/>
      <c r="AP79" s="3" t="inlineStr">
        <is>
          <t>v3_2026-03-19</t>
        </is>
      </c>
      <c r="AQ79">
        <f>(L79-Schema_v5!$C2)/(Schema_v5!$C3-Schema_v5!$C2)</f>
        <v/>
      </c>
      <c r="AR79">
        <f>(M79-Schema_v5!$C4)/(Schema_v5!$C5-Schema_v5!$C4)</f>
        <v/>
      </c>
      <c r="AS79">
        <f>N79/Schema_v5!$C6</f>
        <v/>
      </c>
      <c r="AT79">
        <f>O79/Schema_v5!$C7</f>
        <v/>
      </c>
      <c r="AU79">
        <f>P79/Schema_v5!$C8</f>
        <v/>
      </c>
      <c r="AV79">
        <f>IF(Schema_v5!$C9=0,0,AH79/Schema_v5!$C9)</f>
        <v/>
      </c>
      <c r="AW79">
        <f>IF(Schema_v5!$C10=0,0,AE79/Schema_v5!$C10)</f>
        <v/>
      </c>
      <c r="AX79">
        <f>(W79-Schema_v5!$C11)/(Schema_v5!$C12-Schema_v5!$C11)</f>
        <v/>
      </c>
      <c r="AY79">
        <f>(X79-Schema_v5!$C13)/(Schema_v5!$C14-Schema_v5!$C13)</f>
        <v/>
      </c>
    </row>
    <row r="80">
      <c r="A80" s="3" t="inlineStr">
        <is>
          <t>Q16_D</t>
        </is>
      </c>
      <c r="B80" s="3" t="n">
        <v>16</v>
      </c>
      <c r="C80" s="3" t="n">
        <v>16</v>
      </c>
      <c r="D80" s="3" t="inlineStr">
        <is>
          <t>Core</t>
        </is>
      </c>
      <c r="E80" s="3" t="n">
        <v>1.05</v>
      </c>
      <c r="F80" s="3" t="inlineStr">
        <is>
          <t>ConflictRepair</t>
        </is>
      </c>
      <c r="G80" s="3" t="inlineStr">
        <is>
          <t>CommunicationHealth</t>
        </is>
      </c>
      <c r="H80" s="3" t="inlineStr"/>
      <c r="I80" s="3" t="inlineStr">
        <is>
          <t>D</t>
        </is>
      </c>
      <c r="J80" s="3" t="inlineStr">
        <is>
          <t>D</t>
        </is>
      </c>
      <c r="K80" s="3" t="inlineStr">
        <is>
          <t>I stop bringing things up. If they don't want me, I'm not going to beg to be understood. I've played that game before.</t>
        </is>
      </c>
      <c r="L80" s="3" t="n">
        <v>6</v>
      </c>
      <c r="M80" s="3" t="n">
        <v>7</v>
      </c>
      <c r="N80" s="3" t="n">
        <v>4</v>
      </c>
      <c r="O80" s="3" t="n">
        <v>4</v>
      </c>
      <c r="P80" s="3" t="n">
        <v>4</v>
      </c>
      <c r="Q80" s="3" t="inlineStr">
        <is>
          <t>Fixer</t>
        </is>
      </c>
      <c r="R80" s="3" t="n">
        <v>5</v>
      </c>
      <c r="S80" s="3" t="inlineStr"/>
      <c r="T80" s="3" t="inlineStr"/>
      <c r="U80" s="3" t="n">
        <v>0</v>
      </c>
      <c r="V80" s="3" t="inlineStr">
        <is>
          <t>masc:-0.4;fem:2.0</t>
        </is>
      </c>
      <c r="W80" s="3" t="n">
        <v>-0.4</v>
      </c>
      <c r="X80" s="3" t="n">
        <v>2</v>
      </c>
      <c r="Y80" s="3" t="inlineStr">
        <is>
          <t>COMM_Emotional</t>
        </is>
      </c>
      <c r="Z80" s="3" t="inlineStr">
        <is>
          <t>REG_CoRegulator</t>
        </is>
      </c>
      <c r="AA80" s="3" t="inlineStr">
        <is>
          <t>LANG_Service</t>
        </is>
      </c>
      <c r="AB80" s="3" t="inlineStr">
        <is>
          <t>Affection_Mismatch , Independence_Collision</t>
        </is>
      </c>
      <c r="AC80" s="3" t="inlineStr">
        <is>
          <t>Affection_Mismatch</t>
        </is>
      </c>
      <c r="AD80" s="3" t="inlineStr">
        <is>
          <t>Independence_Collision</t>
        </is>
      </c>
      <c r="AE80" s="3" t="n">
        <v>9</v>
      </c>
      <c r="AF80" s="3" t="inlineStr">
        <is>
          <t>resigned caregiver</t>
        </is>
      </c>
      <c r="AG80" s="3" t="inlineStr">
        <is>
          <t>silent surrender</t>
        </is>
      </c>
      <c r="AH80" s="3" t="n">
        <v>1.2</v>
      </c>
      <c r="AI80" s="3" t="inlineStr">
        <is>
          <t>yes</t>
        </is>
      </c>
      <c r="AJ80" s="3" t="inlineStr">
        <is>
          <t>no</t>
        </is>
      </c>
      <c r="AK80" s="3" t="inlineStr">
        <is>
          <t>yes</t>
        </is>
      </c>
      <c r="AL80" s="3" t="inlineStr">
        <is>
          <t>yes</t>
        </is>
      </c>
      <c r="AM80" s="3" t="inlineStr"/>
      <c r="AN80" s="3" t="inlineStr"/>
      <c r="AO80" s="3" t="inlineStr"/>
      <c r="AP80" s="3" t="inlineStr">
        <is>
          <t>v3_2026-03-19</t>
        </is>
      </c>
      <c r="AQ80">
        <f>(L80-Schema_v5!$C2)/(Schema_v5!$C3-Schema_v5!$C2)</f>
        <v/>
      </c>
      <c r="AR80">
        <f>(M80-Schema_v5!$C4)/(Schema_v5!$C5-Schema_v5!$C4)</f>
        <v/>
      </c>
      <c r="AS80">
        <f>N80/Schema_v5!$C6</f>
        <v/>
      </c>
      <c r="AT80">
        <f>O80/Schema_v5!$C7</f>
        <v/>
      </c>
      <c r="AU80">
        <f>P80/Schema_v5!$C8</f>
        <v/>
      </c>
      <c r="AV80">
        <f>IF(Schema_v5!$C9=0,0,AH80/Schema_v5!$C9)</f>
        <v/>
      </c>
      <c r="AW80">
        <f>IF(Schema_v5!$C10=0,0,AE80/Schema_v5!$C10)</f>
        <v/>
      </c>
      <c r="AX80">
        <f>(W80-Schema_v5!$C11)/(Schema_v5!$C12-Schema_v5!$C11)</f>
        <v/>
      </c>
      <c r="AY80">
        <f>(X80-Schema_v5!$C13)/(Schema_v5!$C14-Schema_v5!$C13)</f>
        <v/>
      </c>
    </row>
    <row r="81">
      <c r="A81" s="3" t="inlineStr">
        <is>
          <t>Q16_E</t>
        </is>
      </c>
      <c r="B81" s="3" t="n">
        <v>16</v>
      </c>
      <c r="C81" s="3" t="n">
        <v>16</v>
      </c>
      <c r="D81" s="3" t="inlineStr">
        <is>
          <t>Core</t>
        </is>
      </c>
      <c r="E81" s="3" t="n">
        <v>1.05</v>
      </c>
      <c r="F81" s="3" t="inlineStr">
        <is>
          <t>ConflictRepair</t>
        </is>
      </c>
      <c r="G81" s="3" t="inlineStr">
        <is>
          <t>CommunicationHealth</t>
        </is>
      </c>
      <c r="H81" s="3" t="inlineStr"/>
      <c r="I81" s="3" t="inlineStr">
        <is>
          <t>E</t>
        </is>
      </c>
      <c r="J81" s="3" t="inlineStr">
        <is>
          <t>E</t>
        </is>
      </c>
      <c r="K81" s="3" t="inlineStr">
        <is>
          <t>I tell myself it's probably just stress or a bad week. I don't want to give up too early, but it's hard not to notice when it shifts.</t>
        </is>
      </c>
      <c r="L81" s="3" t="n">
        <v>7</v>
      </c>
      <c r="M81" s="3" t="n">
        <v>8</v>
      </c>
      <c r="N81" s="3" t="n">
        <v>6</v>
      </c>
      <c r="O81" s="3" t="n">
        <v>6</v>
      </c>
      <c r="P81" s="3" t="n">
        <v>4</v>
      </c>
      <c r="Q81" s="3" t="inlineStr">
        <is>
          <t>Romantic Idealist</t>
        </is>
      </c>
      <c r="R81" s="3" t="n">
        <v>6</v>
      </c>
      <c r="S81" s="3" t="inlineStr"/>
      <c r="T81" s="3" t="inlineStr"/>
      <c r="U81" s="3" t="n">
        <v>0</v>
      </c>
      <c r="V81" s="3" t="inlineStr">
        <is>
          <t>masc:-0.4;fem:1.5</t>
        </is>
      </c>
      <c r="W81" s="3" t="n">
        <v>-0.4</v>
      </c>
      <c r="X81" s="3" t="n">
        <v>1.5</v>
      </c>
      <c r="Y81" s="3" t="inlineStr">
        <is>
          <t>COMM_Emotional</t>
        </is>
      </c>
      <c r="Z81" s="3" t="inlineStr">
        <is>
          <t>REG_Distractor</t>
        </is>
      </c>
      <c r="AA81" s="3" t="inlineStr">
        <is>
          <t>LANG_Gifts</t>
        </is>
      </c>
      <c r="AB81" s="3" t="inlineStr"/>
      <c r="AC81" s="3" t="inlineStr"/>
      <c r="AD81" s="3" t="inlineStr"/>
      <c r="AE81" s="3" t="n">
        <v>0</v>
      </c>
      <c r="AF81" s="3" t="inlineStr">
        <is>
          <t>tired hope</t>
        </is>
      </c>
      <c r="AG81" s="3" t="inlineStr">
        <is>
          <t>cautious optimist</t>
        </is>
      </c>
      <c r="AH81" s="3" t="n">
        <v>0</v>
      </c>
      <c r="AI81" s="3" t="inlineStr">
        <is>
          <t>no</t>
        </is>
      </c>
      <c r="AJ81" s="3" t="inlineStr">
        <is>
          <t>no</t>
        </is>
      </c>
      <c r="AK81" s="3" t="inlineStr">
        <is>
          <t>yes</t>
        </is>
      </c>
      <c r="AL81" s="3" t="inlineStr">
        <is>
          <t>yes</t>
        </is>
      </c>
      <c r="AM81" s="3" t="inlineStr"/>
      <c r="AN81" s="3" t="inlineStr"/>
      <c r="AO81" s="3" t="inlineStr"/>
      <c r="AP81" s="3" t="inlineStr">
        <is>
          <t>v3_2026-03-19</t>
        </is>
      </c>
      <c r="AQ81">
        <f>(L81-Schema_v5!$C2)/(Schema_v5!$C3-Schema_v5!$C2)</f>
        <v/>
      </c>
      <c r="AR81">
        <f>(M81-Schema_v5!$C4)/(Schema_v5!$C5-Schema_v5!$C4)</f>
        <v/>
      </c>
      <c r="AS81">
        <f>N81/Schema_v5!$C6</f>
        <v/>
      </c>
      <c r="AT81">
        <f>O81/Schema_v5!$C7</f>
        <v/>
      </c>
      <c r="AU81">
        <f>P81/Schema_v5!$C8</f>
        <v/>
      </c>
      <c r="AV81">
        <f>IF(Schema_v5!$C9=0,0,AH81/Schema_v5!$C9)</f>
        <v/>
      </c>
      <c r="AW81">
        <f>IF(Schema_v5!$C10=0,0,AE81/Schema_v5!$C10)</f>
        <v/>
      </c>
      <c r="AX81">
        <f>(W81-Schema_v5!$C11)/(Schema_v5!$C12-Schema_v5!$C11)</f>
        <v/>
      </c>
      <c r="AY81">
        <f>(X81-Schema_v5!$C13)/(Schema_v5!$C14-Schema_v5!$C13)</f>
        <v/>
      </c>
    </row>
    <row r="82">
      <c r="A82" s="3" t="inlineStr">
        <is>
          <t>Q17_A</t>
        </is>
      </c>
      <c r="B82" s="3" t="n">
        <v>17</v>
      </c>
      <c r="C82" s="3" t="n">
        <v>17</v>
      </c>
      <c r="D82" s="3" t="inlineStr">
        <is>
          <t>Core</t>
        </is>
      </c>
      <c r="E82" s="3" t="n">
        <v>1.1</v>
      </c>
      <c r="F82" s="3" t="inlineStr">
        <is>
          <t>EmotionalRegulation</t>
        </is>
      </c>
      <c r="G82" s="3" t="inlineStr">
        <is>
          <t>AttachmentSafety</t>
        </is>
      </c>
      <c r="H82" s="3" t="inlineStr">
        <is>
          <t>You're deep in conversation and they suddenly shut down or go quiet. What do you do next?</t>
        </is>
      </c>
      <c r="I82" s="3" t="inlineStr">
        <is>
          <t>A</t>
        </is>
      </c>
      <c r="J82" s="3" t="inlineStr">
        <is>
          <t>A</t>
        </is>
      </c>
      <c r="K82" s="3" t="inlineStr">
        <is>
          <t>I give them space. If they want to talk, they will. If not, I take the hint.</t>
        </is>
      </c>
      <c r="L82" s="3" t="n">
        <v>8</v>
      </c>
      <c r="M82" s="3" t="n">
        <v>8</v>
      </c>
      <c r="N82" s="3" t="n">
        <v>4</v>
      </c>
      <c r="O82" s="3" t="n">
        <v>4</v>
      </c>
      <c r="P82" s="3" t="n">
        <v>0</v>
      </c>
      <c r="Q82" s="3" t="inlineStr">
        <is>
          <t>Icebox</t>
        </is>
      </c>
      <c r="R82" s="3" t="n">
        <v>1</v>
      </c>
      <c r="S82" s="3" t="inlineStr"/>
      <c r="T82" s="3" t="inlineStr"/>
      <c r="U82" s="3" t="n">
        <v>0</v>
      </c>
      <c r="V82" s="3" t="inlineStr">
        <is>
          <t>masc:1.8;fem:-1.6</t>
        </is>
      </c>
      <c r="W82" s="3" t="n">
        <v>1.8</v>
      </c>
      <c r="X82" s="3" t="n">
        <v>-1.6</v>
      </c>
      <c r="Y82" s="3" t="inlineStr">
        <is>
          <t>COMM_Avoidant</t>
        </is>
      </c>
      <c r="Z82" s="3" t="inlineStr">
        <is>
          <t>REG_Suppressor</t>
        </is>
      </c>
      <c r="AA82" s="3" t="inlineStr">
        <is>
          <t>LANG_Time</t>
        </is>
      </c>
      <c r="AB82" s="3" t="inlineStr"/>
      <c r="AC82" s="3" t="inlineStr"/>
      <c r="AD82" s="3" t="inlineStr"/>
      <c r="AE82" s="3" t="n">
        <v>0</v>
      </c>
      <c r="AF82" s="3" t="inlineStr">
        <is>
          <t>detached cool</t>
        </is>
      </c>
      <c r="AG82" s="3" t="inlineStr">
        <is>
          <t>patient withdrawer</t>
        </is>
      </c>
      <c r="AH82" s="3" t="n">
        <v>1.2</v>
      </c>
      <c r="AI82" s="3" t="inlineStr">
        <is>
          <t>no</t>
        </is>
      </c>
      <c r="AJ82" s="3" t="inlineStr">
        <is>
          <t>no</t>
        </is>
      </c>
      <c r="AK82" s="3" t="inlineStr">
        <is>
          <t>yes</t>
        </is>
      </c>
      <c r="AL82" s="3" t="inlineStr">
        <is>
          <t>yes</t>
        </is>
      </c>
      <c r="AM82" s="3" t="inlineStr"/>
      <c r="AN82" s="3" t="inlineStr"/>
      <c r="AO82" s="3" t="inlineStr"/>
      <c r="AP82" s="3" t="inlineStr">
        <is>
          <t>v3_2026-03-19</t>
        </is>
      </c>
      <c r="AQ82">
        <f>(L82-Schema_v5!$C2)/(Schema_v5!$C3-Schema_v5!$C2)</f>
        <v/>
      </c>
      <c r="AR82">
        <f>(M82-Schema_v5!$C4)/(Schema_v5!$C5-Schema_v5!$C4)</f>
        <v/>
      </c>
      <c r="AS82">
        <f>N82/Schema_v5!$C6</f>
        <v/>
      </c>
      <c r="AT82">
        <f>O82/Schema_v5!$C7</f>
        <v/>
      </c>
      <c r="AU82">
        <f>P82/Schema_v5!$C8</f>
        <v/>
      </c>
      <c r="AV82">
        <f>IF(Schema_v5!$C9=0,0,AH82/Schema_v5!$C9)</f>
        <v/>
      </c>
      <c r="AW82">
        <f>IF(Schema_v5!$C10=0,0,AE82/Schema_v5!$C10)</f>
        <v/>
      </c>
      <c r="AX82">
        <f>(W82-Schema_v5!$C11)/(Schema_v5!$C12-Schema_v5!$C11)</f>
        <v/>
      </c>
      <c r="AY82">
        <f>(X82-Schema_v5!$C13)/(Schema_v5!$C14-Schema_v5!$C13)</f>
        <v/>
      </c>
    </row>
    <row r="83">
      <c r="A83" s="3" t="inlineStr">
        <is>
          <t>Q17_B</t>
        </is>
      </c>
      <c r="B83" s="3" t="n">
        <v>17</v>
      </c>
      <c r="C83" s="3" t="n">
        <v>17</v>
      </c>
      <c r="D83" s="3" t="inlineStr">
        <is>
          <t>Core</t>
        </is>
      </c>
      <c r="E83" s="3" t="n">
        <v>1.1</v>
      </c>
      <c r="F83" s="3" t="inlineStr">
        <is>
          <t>EmotionalRegulation</t>
        </is>
      </c>
      <c r="G83" s="3" t="inlineStr">
        <is>
          <t>AttachmentSafety</t>
        </is>
      </c>
      <c r="H83" s="3" t="inlineStr"/>
      <c r="I83" s="3" t="inlineStr">
        <is>
          <t>B</t>
        </is>
      </c>
      <c r="J83" s="3" t="inlineStr">
        <is>
          <t>B</t>
        </is>
      </c>
      <c r="K83" s="3" t="inlineStr">
        <is>
          <t>I immediately think I said something wrong. I start scanning every word trying to figure out what triggered it.</t>
        </is>
      </c>
      <c r="L83" s="3" t="n">
        <v>4</v>
      </c>
      <c r="M83" s="3" t="n">
        <v>5</v>
      </c>
      <c r="N83" s="3" t="n">
        <v>2</v>
      </c>
      <c r="O83" s="3" t="n">
        <v>2</v>
      </c>
      <c r="P83" s="3" t="n">
        <v>2</v>
      </c>
      <c r="Q83" s="3" t="inlineStr">
        <is>
          <t>Analyzer</t>
        </is>
      </c>
      <c r="R83" s="3" t="n">
        <v>2</v>
      </c>
      <c r="S83" s="3" t="inlineStr"/>
      <c r="T83" s="3" t="inlineStr"/>
      <c r="U83" s="3" t="n">
        <v>0</v>
      </c>
      <c r="V83" s="3" t="inlineStr">
        <is>
          <t>masc:1.4;fem:0.1</t>
        </is>
      </c>
      <c r="W83" s="3" t="n">
        <v>1.4</v>
      </c>
      <c r="X83" s="3" t="n">
        <v>0.1</v>
      </c>
      <c r="Y83" s="3" t="inlineStr">
        <is>
          <t>COMM_Logical</t>
        </is>
      </c>
      <c r="Z83" s="3" t="inlineStr">
        <is>
          <t>REG_SelfSoother</t>
        </is>
      </c>
      <c r="AA83" s="3" t="inlineStr">
        <is>
          <t>LANG_Service</t>
        </is>
      </c>
      <c r="AB83" s="3" t="inlineStr">
        <is>
          <t>Vulnerability_Loop</t>
        </is>
      </c>
      <c r="AC83" s="3" t="inlineStr">
        <is>
          <t>Vulnerability_Loop</t>
        </is>
      </c>
      <c r="AD83" s="3" t="inlineStr"/>
      <c r="AE83" s="3" t="n">
        <v>5</v>
      </c>
      <c r="AF83" s="3" t="inlineStr">
        <is>
          <t>inner spiral</t>
        </is>
      </c>
      <c r="AG83" s="3" t="inlineStr">
        <is>
          <t>self-blamer</t>
        </is>
      </c>
      <c r="AH83" s="3" t="n">
        <v>0</v>
      </c>
      <c r="AI83" s="3" t="inlineStr">
        <is>
          <t>yes</t>
        </is>
      </c>
      <c r="AJ83" s="3" t="inlineStr">
        <is>
          <t>no</t>
        </is>
      </c>
      <c r="AK83" s="3" t="inlineStr">
        <is>
          <t>yes</t>
        </is>
      </c>
      <c r="AL83" s="3" t="inlineStr">
        <is>
          <t>yes</t>
        </is>
      </c>
      <c r="AM83" s="3" t="inlineStr"/>
      <c r="AN83" s="3" t="inlineStr"/>
      <c r="AO83" s="3" t="inlineStr"/>
      <c r="AP83" s="3" t="inlineStr">
        <is>
          <t>v3_2026-03-19</t>
        </is>
      </c>
      <c r="AQ83">
        <f>(L83-Schema_v5!$C2)/(Schema_v5!$C3-Schema_v5!$C2)</f>
        <v/>
      </c>
      <c r="AR83">
        <f>(M83-Schema_v5!$C4)/(Schema_v5!$C5-Schema_v5!$C4)</f>
        <v/>
      </c>
      <c r="AS83">
        <f>N83/Schema_v5!$C6</f>
        <v/>
      </c>
      <c r="AT83">
        <f>O83/Schema_v5!$C7</f>
        <v/>
      </c>
      <c r="AU83">
        <f>P83/Schema_v5!$C8</f>
        <v/>
      </c>
      <c r="AV83">
        <f>IF(Schema_v5!$C9=0,0,AH83/Schema_v5!$C9)</f>
        <v/>
      </c>
      <c r="AW83">
        <f>IF(Schema_v5!$C10=0,0,AE83/Schema_v5!$C10)</f>
        <v/>
      </c>
      <c r="AX83">
        <f>(W83-Schema_v5!$C11)/(Schema_v5!$C12-Schema_v5!$C11)</f>
        <v/>
      </c>
      <c r="AY83">
        <f>(X83-Schema_v5!$C13)/(Schema_v5!$C14-Schema_v5!$C13)</f>
        <v/>
      </c>
    </row>
    <row r="84">
      <c r="A84" s="3" t="inlineStr">
        <is>
          <t>Q17_C</t>
        </is>
      </c>
      <c r="B84" s="3" t="n">
        <v>17</v>
      </c>
      <c r="C84" s="3" t="n">
        <v>17</v>
      </c>
      <c r="D84" s="3" t="inlineStr">
        <is>
          <t>Core</t>
        </is>
      </c>
      <c r="E84" s="3" t="n">
        <v>1.1</v>
      </c>
      <c r="F84" s="3" t="inlineStr">
        <is>
          <t>EmotionalRegulation</t>
        </is>
      </c>
      <c r="G84" s="3" t="inlineStr">
        <is>
          <t>AttachmentSafety</t>
        </is>
      </c>
      <c r="H84" s="3" t="inlineStr"/>
      <c r="I84" s="3" t="inlineStr">
        <is>
          <t>C</t>
        </is>
      </c>
      <c r="J84" s="3" t="inlineStr">
        <is>
          <t>C</t>
        </is>
      </c>
      <c r="K84" s="3" t="inlineStr">
        <is>
          <t>I'll ask once. If it's brushed off or ignored, I shift. I'm not the type to sit in someone else's silence for long.</t>
        </is>
      </c>
      <c r="L84" s="3" t="n">
        <v>9</v>
      </c>
      <c r="M84" s="3" t="n">
        <v>9</v>
      </c>
      <c r="N84" s="3" t="n">
        <v>10</v>
      </c>
      <c r="O84" s="3" t="n">
        <v>10</v>
      </c>
      <c r="P84" s="3" t="n">
        <v>10</v>
      </c>
      <c r="Q84" s="3" t="inlineStr">
        <is>
          <t>Regulated Grown-Up</t>
        </is>
      </c>
      <c r="R84" s="3" t="n">
        <v>9</v>
      </c>
      <c r="S84" s="3" t="inlineStr"/>
      <c r="T84" s="3" t="inlineStr"/>
      <c r="U84" s="3" t="n">
        <v>0</v>
      </c>
      <c r="V84" s="3" t="inlineStr">
        <is>
          <t>masc:1.1;fem:0.9</t>
        </is>
      </c>
      <c r="W84" s="3" t="n">
        <v>1.1</v>
      </c>
      <c r="X84" s="3" t="n">
        <v>0.9</v>
      </c>
      <c r="Y84" s="3" t="inlineStr">
        <is>
          <t>COMM_Direct</t>
        </is>
      </c>
      <c r="Z84" s="3" t="inlineStr">
        <is>
          <t>REG_CoRegulator</t>
        </is>
      </c>
      <c r="AA84" s="3" t="inlineStr">
        <is>
          <t>LANG_Words</t>
        </is>
      </c>
      <c r="AB84" s="3" t="inlineStr"/>
      <c r="AC84" s="3" t="inlineStr"/>
      <c r="AD84" s="3" t="inlineStr"/>
      <c r="AE84" s="3" t="n">
        <v>0</v>
      </c>
      <c r="AF84" s="3" t="inlineStr">
        <is>
          <t>direct with boundaries</t>
        </is>
      </c>
      <c r="AG84" s="3" t="inlineStr">
        <is>
          <t>firm line-setter</t>
        </is>
      </c>
      <c r="AH84" s="3" t="n">
        <v>0</v>
      </c>
      <c r="AI84" s="3" t="inlineStr">
        <is>
          <t>no</t>
        </is>
      </c>
      <c r="AJ84" s="3" t="inlineStr">
        <is>
          <t>no</t>
        </is>
      </c>
      <c r="AK84" s="3" t="inlineStr">
        <is>
          <t>yes</t>
        </is>
      </c>
      <c r="AL84" s="3" t="inlineStr">
        <is>
          <t>yes</t>
        </is>
      </c>
      <c r="AM84" s="3" t="inlineStr"/>
      <c r="AN84" s="3" t="inlineStr"/>
      <c r="AO84" s="3" t="inlineStr"/>
      <c r="AP84" s="3" t="inlineStr">
        <is>
          <t>v3_2026-03-19</t>
        </is>
      </c>
      <c r="AQ84">
        <f>(L84-Schema_v5!$C2)/(Schema_v5!$C3-Schema_v5!$C2)</f>
        <v/>
      </c>
      <c r="AR84">
        <f>(M84-Schema_v5!$C4)/(Schema_v5!$C5-Schema_v5!$C4)</f>
        <v/>
      </c>
      <c r="AS84">
        <f>N84/Schema_v5!$C6</f>
        <v/>
      </c>
      <c r="AT84">
        <f>O84/Schema_v5!$C7</f>
        <v/>
      </c>
      <c r="AU84">
        <f>P84/Schema_v5!$C8</f>
        <v/>
      </c>
      <c r="AV84">
        <f>IF(Schema_v5!$C9=0,0,AH84/Schema_v5!$C9)</f>
        <v/>
      </c>
      <c r="AW84">
        <f>IF(Schema_v5!$C10=0,0,AE84/Schema_v5!$C10)</f>
        <v/>
      </c>
      <c r="AX84">
        <f>(W84-Schema_v5!$C11)/(Schema_v5!$C12-Schema_v5!$C11)</f>
        <v/>
      </c>
      <c r="AY84">
        <f>(X84-Schema_v5!$C13)/(Schema_v5!$C14-Schema_v5!$C13)</f>
        <v/>
      </c>
    </row>
    <row r="85">
      <c r="A85" s="3" t="inlineStr">
        <is>
          <t>Q17_D</t>
        </is>
      </c>
      <c r="B85" s="3" t="n">
        <v>17</v>
      </c>
      <c r="C85" s="3" t="n">
        <v>17</v>
      </c>
      <c r="D85" s="3" t="inlineStr">
        <is>
          <t>Core</t>
        </is>
      </c>
      <c r="E85" s="3" t="n">
        <v>1.1</v>
      </c>
      <c r="F85" s="3" t="inlineStr">
        <is>
          <t>EmotionalRegulation</t>
        </is>
      </c>
      <c r="G85" s="3" t="inlineStr">
        <is>
          <t>AttachmentSafety</t>
        </is>
      </c>
      <c r="H85" s="3" t="inlineStr"/>
      <c r="I85" s="3" t="inlineStr">
        <is>
          <t>D</t>
        </is>
      </c>
      <c r="J85" s="3" t="inlineStr">
        <is>
          <t>D</t>
        </is>
      </c>
      <c r="K85" s="3" t="inlineStr">
        <is>
          <t>I try to keep the mood up, shift the subject, make it feel less tense, even if I'm freaking out a little inside.</t>
        </is>
      </c>
      <c r="L85" s="3" t="n">
        <v>6</v>
      </c>
      <c r="M85" s="3" t="n">
        <v>7</v>
      </c>
      <c r="N85" s="3" t="n">
        <v>4</v>
      </c>
      <c r="O85" s="3" t="n">
        <v>4</v>
      </c>
      <c r="P85" s="3" t="n">
        <v>2</v>
      </c>
      <c r="Q85" s="3" t="inlineStr">
        <is>
          <t>Performer</t>
        </is>
      </c>
      <c r="R85" s="3" t="n">
        <v>7</v>
      </c>
      <c r="S85" s="3" t="inlineStr"/>
      <c r="T85" s="3" t="inlineStr"/>
      <c r="U85" s="3" t="n">
        <v>0</v>
      </c>
      <c r="V85" s="3" t="inlineStr">
        <is>
          <t>masc:0.3;fem:0.5</t>
        </is>
      </c>
      <c r="W85" s="3" t="n">
        <v>0.3</v>
      </c>
      <c r="X85" s="3" t="n">
        <v>0.5</v>
      </c>
      <c r="Y85" s="3" t="inlineStr">
        <is>
          <t>COMM_Indirect</t>
        </is>
      </c>
      <c r="Z85" s="3" t="inlineStr">
        <is>
          <t>REG_Distractor</t>
        </is>
      </c>
      <c r="AA85" s="3" t="inlineStr">
        <is>
          <t>LANG_Gifts</t>
        </is>
      </c>
      <c r="AB85" s="3" t="inlineStr">
        <is>
          <t>Vulnerability_Loop</t>
        </is>
      </c>
      <c r="AC85" s="3" t="inlineStr">
        <is>
          <t>Vulnerability_Loop</t>
        </is>
      </c>
      <c r="AD85" s="3" t="inlineStr"/>
      <c r="AE85" s="3" t="n">
        <v>5</v>
      </c>
      <c r="AF85" s="3" t="inlineStr">
        <is>
          <t>smooth cover-up</t>
        </is>
      </c>
      <c r="AG85" s="3" t="inlineStr">
        <is>
          <t>tension diffuser</t>
        </is>
      </c>
      <c r="AH85" s="3" t="n">
        <v>0</v>
      </c>
      <c r="AI85" s="3" t="inlineStr">
        <is>
          <t>yes</t>
        </is>
      </c>
      <c r="AJ85" s="3" t="inlineStr">
        <is>
          <t>no</t>
        </is>
      </c>
      <c r="AK85" s="3" t="inlineStr">
        <is>
          <t>yes</t>
        </is>
      </c>
      <c r="AL85" s="3" t="inlineStr">
        <is>
          <t>yes</t>
        </is>
      </c>
      <c r="AM85" s="3" t="inlineStr"/>
      <c r="AN85" s="3" t="inlineStr"/>
      <c r="AO85" s="3" t="inlineStr"/>
      <c r="AP85" s="3" t="inlineStr">
        <is>
          <t>v3_2026-03-19</t>
        </is>
      </c>
      <c r="AQ85">
        <f>(L85-Schema_v5!$C2)/(Schema_v5!$C3-Schema_v5!$C2)</f>
        <v/>
      </c>
      <c r="AR85">
        <f>(M85-Schema_v5!$C4)/(Schema_v5!$C5-Schema_v5!$C4)</f>
        <v/>
      </c>
      <c r="AS85">
        <f>N85/Schema_v5!$C6</f>
        <v/>
      </c>
      <c r="AT85">
        <f>O85/Schema_v5!$C7</f>
        <v/>
      </c>
      <c r="AU85">
        <f>P85/Schema_v5!$C8</f>
        <v/>
      </c>
      <c r="AV85">
        <f>IF(Schema_v5!$C9=0,0,AH85/Schema_v5!$C9)</f>
        <v/>
      </c>
      <c r="AW85">
        <f>IF(Schema_v5!$C10=0,0,AE85/Schema_v5!$C10)</f>
        <v/>
      </c>
      <c r="AX85">
        <f>(W85-Schema_v5!$C11)/(Schema_v5!$C12-Schema_v5!$C11)</f>
        <v/>
      </c>
      <c r="AY85">
        <f>(X85-Schema_v5!$C13)/(Schema_v5!$C14-Schema_v5!$C13)</f>
        <v/>
      </c>
    </row>
    <row r="86">
      <c r="A86" s="3" t="inlineStr">
        <is>
          <t>Q17_E</t>
        </is>
      </c>
      <c r="B86" s="3" t="n">
        <v>17</v>
      </c>
      <c r="C86" s="3" t="n">
        <v>17</v>
      </c>
      <c r="D86" s="3" t="inlineStr">
        <is>
          <t>Core</t>
        </is>
      </c>
      <c r="E86" s="3" t="n">
        <v>1.1</v>
      </c>
      <c r="F86" s="3" t="inlineStr">
        <is>
          <t>EmotionalRegulation</t>
        </is>
      </c>
      <c r="G86" s="3" t="inlineStr">
        <is>
          <t>AttachmentSafety</t>
        </is>
      </c>
      <c r="H86" s="3" t="inlineStr"/>
      <c r="I86" s="3" t="inlineStr">
        <is>
          <t>E</t>
        </is>
      </c>
      <c r="J86" s="3" t="inlineStr">
        <is>
          <t>E</t>
        </is>
      </c>
      <c r="K86" s="3" t="inlineStr">
        <is>
          <t>I feel it, but I don't say anything. I stay present, hoping they'll come back to me on their own.</t>
        </is>
      </c>
      <c r="L86" s="3" t="n">
        <v>6</v>
      </c>
      <c r="M86" s="3" t="n">
        <v>6</v>
      </c>
      <c r="N86" s="3" t="n">
        <v>4</v>
      </c>
      <c r="O86" s="3" t="n">
        <v>4</v>
      </c>
      <c r="P86" s="3" t="n">
        <v>4</v>
      </c>
      <c r="Q86" s="3" t="inlineStr">
        <is>
          <t>Translator</t>
        </is>
      </c>
      <c r="R86" s="3" t="n">
        <v>3</v>
      </c>
      <c r="S86" s="3" t="inlineStr"/>
      <c r="T86" s="3" t="inlineStr"/>
      <c r="U86" s="3" t="n">
        <v>0</v>
      </c>
      <c r="V86" s="3" t="inlineStr">
        <is>
          <t>masc:-0.1;fem:1.6</t>
        </is>
      </c>
      <c r="W86" s="3" t="n">
        <v>-0.1</v>
      </c>
      <c r="X86" s="3" t="n">
        <v>1.6</v>
      </c>
      <c r="Y86" s="3" t="inlineStr">
        <is>
          <t>COMM_Indirect</t>
        </is>
      </c>
      <c r="Z86" s="3" t="inlineStr">
        <is>
          <t>REG_CoRegulator</t>
        </is>
      </c>
      <c r="AA86" s="3" t="inlineStr">
        <is>
          <t>LANG_Words</t>
        </is>
      </c>
      <c r="AB86" s="3" t="inlineStr">
        <is>
          <t>Vulnerability_Loop</t>
        </is>
      </c>
      <c r="AC86" s="3" t="inlineStr">
        <is>
          <t>Vulnerability_Loop</t>
        </is>
      </c>
      <c r="AD86" s="3" t="inlineStr"/>
      <c r="AE86" s="3" t="n">
        <v>5</v>
      </c>
      <c r="AF86" s="3" t="inlineStr">
        <is>
          <t>gentle waiter</t>
        </is>
      </c>
      <c r="AG86" s="3" t="inlineStr">
        <is>
          <t>silent holder</t>
        </is>
      </c>
      <c r="AH86" s="3" t="n">
        <v>0.6</v>
      </c>
      <c r="AI86" s="3" t="inlineStr">
        <is>
          <t>yes</t>
        </is>
      </c>
      <c r="AJ86" s="3" t="inlineStr">
        <is>
          <t>no</t>
        </is>
      </c>
      <c r="AK86" s="3" t="inlineStr">
        <is>
          <t>yes</t>
        </is>
      </c>
      <c r="AL86" s="3" t="inlineStr">
        <is>
          <t>yes</t>
        </is>
      </c>
      <c r="AM86" s="3" t="inlineStr"/>
      <c r="AN86" s="3" t="inlineStr"/>
      <c r="AO86" s="3" t="inlineStr"/>
      <c r="AP86" s="3" t="inlineStr">
        <is>
          <t>v3_2026-03-19</t>
        </is>
      </c>
      <c r="AQ86">
        <f>(L86-Schema_v5!$C2)/(Schema_v5!$C3-Schema_v5!$C2)</f>
        <v/>
      </c>
      <c r="AR86">
        <f>(M86-Schema_v5!$C4)/(Schema_v5!$C5-Schema_v5!$C4)</f>
        <v/>
      </c>
      <c r="AS86">
        <f>N86/Schema_v5!$C6</f>
        <v/>
      </c>
      <c r="AT86">
        <f>O86/Schema_v5!$C7</f>
        <v/>
      </c>
      <c r="AU86">
        <f>P86/Schema_v5!$C8</f>
        <v/>
      </c>
      <c r="AV86">
        <f>IF(Schema_v5!$C9=0,0,AH86/Schema_v5!$C9)</f>
        <v/>
      </c>
      <c r="AW86">
        <f>IF(Schema_v5!$C10=0,0,AE86/Schema_v5!$C10)</f>
        <v/>
      </c>
      <c r="AX86">
        <f>(W86-Schema_v5!$C11)/(Schema_v5!$C12-Schema_v5!$C11)</f>
        <v/>
      </c>
      <c r="AY86">
        <f>(X86-Schema_v5!$C13)/(Schema_v5!$C14-Schema_v5!$C13)</f>
        <v/>
      </c>
    </row>
    <row r="87">
      <c r="A87" s="3" t="inlineStr">
        <is>
          <t>Q18_A</t>
        </is>
      </c>
      <c r="B87" s="3" t="n">
        <v>18</v>
      </c>
      <c r="C87" s="3" t="n">
        <v>18</v>
      </c>
      <c r="D87" s="3" t="inlineStr">
        <is>
          <t>Core</t>
        </is>
      </c>
      <c r="E87" s="3" t="n">
        <v>1.1</v>
      </c>
      <c r="F87" s="3" t="inlineStr">
        <is>
          <t>EmotionalRegulation</t>
        </is>
      </c>
      <c r="G87" s="3" t="inlineStr">
        <is>
          <t>AttachmentSafety</t>
        </is>
      </c>
      <c r="H87" s="3" t="inlineStr">
        <is>
          <t>They open up to you-then start pulling back. No explanation, just distance. What do you do with that shift?</t>
        </is>
      </c>
      <c r="I87" s="3" t="inlineStr">
        <is>
          <t>A</t>
        </is>
      </c>
      <c r="J87" s="3" t="inlineStr">
        <is>
          <t>A</t>
        </is>
      </c>
      <c r="K87" s="3" t="inlineStr">
        <is>
          <t>I match the energy. You pull back? I pull back faster. I've learned not to chase clarity from people who hide when it gets real.</t>
        </is>
      </c>
      <c r="L87" s="3" t="n">
        <v>7</v>
      </c>
      <c r="M87" s="3" t="n">
        <v>8</v>
      </c>
      <c r="N87" s="3" t="n">
        <v>4</v>
      </c>
      <c r="O87" s="3" t="n">
        <v>4</v>
      </c>
      <c r="P87" s="3" t="n">
        <v>0</v>
      </c>
      <c r="Q87" s="3" t="inlineStr">
        <is>
          <t>Icebox</t>
        </is>
      </c>
      <c r="R87" s="3" t="n">
        <v>1</v>
      </c>
      <c r="S87" s="3" t="inlineStr"/>
      <c r="T87" s="3" t="inlineStr"/>
      <c r="U87" s="3" t="n">
        <v>0</v>
      </c>
      <c r="V87" s="3" t="inlineStr">
        <is>
          <t>masc:1.8;fem:-1.6</t>
        </is>
      </c>
      <c r="W87" s="3" t="n">
        <v>1.8</v>
      </c>
      <c r="X87" s="3" t="n">
        <v>-1.6</v>
      </c>
      <c r="Y87" s="3" t="inlineStr">
        <is>
          <t>COMM_Avoidant</t>
        </is>
      </c>
      <c r="Z87" s="3" t="inlineStr">
        <is>
          <t>REG_Suppressor</t>
        </is>
      </c>
      <c r="AA87" s="3" t="inlineStr">
        <is>
          <t>LANG_Time</t>
        </is>
      </c>
      <c r="AB87" s="3" t="inlineStr"/>
      <c r="AC87" s="3" t="inlineStr"/>
      <c r="AD87" s="3" t="inlineStr"/>
      <c r="AE87" s="3" t="n">
        <v>0</v>
      </c>
      <c r="AF87" s="3" t="inlineStr">
        <is>
          <t>fast mirror exit</t>
        </is>
      </c>
      <c r="AG87" s="3" t="inlineStr">
        <is>
          <t>decisive mirror</t>
        </is>
      </c>
      <c r="AH87" s="3" t="n">
        <v>0.8</v>
      </c>
      <c r="AI87" s="3" t="inlineStr">
        <is>
          <t>no</t>
        </is>
      </c>
      <c r="AJ87" s="3" t="inlineStr">
        <is>
          <t>no</t>
        </is>
      </c>
      <c r="AK87" s="3" t="inlineStr">
        <is>
          <t>yes</t>
        </is>
      </c>
      <c r="AL87" s="3" t="inlineStr">
        <is>
          <t>yes</t>
        </is>
      </c>
      <c r="AM87" s="3" t="inlineStr"/>
      <c r="AN87" s="3" t="inlineStr"/>
      <c r="AO87" s="3" t="inlineStr"/>
      <c r="AP87" s="3" t="inlineStr">
        <is>
          <t>v3_2026-03-19</t>
        </is>
      </c>
      <c r="AQ87">
        <f>(L87-Schema_v5!$C2)/(Schema_v5!$C3-Schema_v5!$C2)</f>
        <v/>
      </c>
      <c r="AR87">
        <f>(M87-Schema_v5!$C4)/(Schema_v5!$C5-Schema_v5!$C4)</f>
        <v/>
      </c>
      <c r="AS87">
        <f>N87/Schema_v5!$C6</f>
        <v/>
      </c>
      <c r="AT87">
        <f>O87/Schema_v5!$C7</f>
        <v/>
      </c>
      <c r="AU87">
        <f>P87/Schema_v5!$C8</f>
        <v/>
      </c>
      <c r="AV87">
        <f>IF(Schema_v5!$C9=0,0,AH87/Schema_v5!$C9)</f>
        <v/>
      </c>
      <c r="AW87">
        <f>IF(Schema_v5!$C10=0,0,AE87/Schema_v5!$C10)</f>
        <v/>
      </c>
      <c r="AX87">
        <f>(W87-Schema_v5!$C11)/(Schema_v5!$C12-Schema_v5!$C11)</f>
        <v/>
      </c>
      <c r="AY87">
        <f>(X87-Schema_v5!$C13)/(Schema_v5!$C14-Schema_v5!$C13)</f>
        <v/>
      </c>
    </row>
    <row r="88">
      <c r="A88" s="3" t="inlineStr">
        <is>
          <t>Q18_B</t>
        </is>
      </c>
      <c r="B88" s="3" t="n">
        <v>18</v>
      </c>
      <c r="C88" s="3" t="n">
        <v>18</v>
      </c>
      <c r="D88" s="3" t="inlineStr">
        <is>
          <t>Core</t>
        </is>
      </c>
      <c r="E88" s="3" t="n">
        <v>1.1</v>
      </c>
      <c r="F88" s="3" t="inlineStr">
        <is>
          <t>EmotionalRegulation</t>
        </is>
      </c>
      <c r="G88" s="3" t="inlineStr">
        <is>
          <t>AttachmentSafety</t>
        </is>
      </c>
      <c r="H88" s="3" t="inlineStr"/>
      <c r="I88" s="3" t="inlineStr">
        <is>
          <t>B</t>
        </is>
      </c>
      <c r="J88" s="3" t="inlineStr">
        <is>
          <t>B</t>
        </is>
      </c>
      <c r="K88" s="3" t="inlineStr">
        <is>
          <t>I start thinking I pushed too far. I replay the moment, wondering what I said that made them go quiet. It usually ends with me blaming myself.</t>
        </is>
      </c>
      <c r="L88" s="3" t="n">
        <v>4</v>
      </c>
      <c r="M88" s="3" t="n">
        <v>5</v>
      </c>
      <c r="N88" s="3" t="n">
        <v>2</v>
      </c>
      <c r="O88" s="3" t="n">
        <v>2</v>
      </c>
      <c r="P88" s="3" t="n">
        <v>2</v>
      </c>
      <c r="Q88" s="3" t="inlineStr">
        <is>
          <t>Analyzer</t>
        </is>
      </c>
      <c r="R88" s="3" t="n">
        <v>2</v>
      </c>
      <c r="S88" s="3" t="inlineStr"/>
      <c r="T88" s="3" t="inlineStr"/>
      <c r="U88" s="3" t="n">
        <v>0</v>
      </c>
      <c r="V88" s="3" t="inlineStr">
        <is>
          <t>masc:1.4;fem:0.1</t>
        </is>
      </c>
      <c r="W88" s="3" t="n">
        <v>1.4</v>
      </c>
      <c r="X88" s="3" t="n">
        <v>0.1</v>
      </c>
      <c r="Y88" s="3" t="inlineStr">
        <is>
          <t>COMM_Logical</t>
        </is>
      </c>
      <c r="Z88" s="3" t="inlineStr">
        <is>
          <t>REG_SelfSoother</t>
        </is>
      </c>
      <c r="AA88" s="3" t="inlineStr">
        <is>
          <t>LANG_Service</t>
        </is>
      </c>
      <c r="AB88" s="3" t="inlineStr">
        <is>
          <t>Vulnerability_Loop</t>
        </is>
      </c>
      <c r="AC88" s="3" t="inlineStr">
        <is>
          <t>Vulnerability_Loop</t>
        </is>
      </c>
      <c r="AD88" s="3" t="inlineStr"/>
      <c r="AE88" s="3" t="n">
        <v>5</v>
      </c>
      <c r="AF88" s="3" t="inlineStr">
        <is>
          <t>shame loop</t>
        </is>
      </c>
      <c r="AG88" s="3" t="inlineStr">
        <is>
          <t>self-blamer</t>
        </is>
      </c>
      <c r="AH88" s="3" t="n">
        <v>0</v>
      </c>
      <c r="AI88" s="3" t="inlineStr">
        <is>
          <t>yes</t>
        </is>
      </c>
      <c r="AJ88" s="3" t="inlineStr">
        <is>
          <t>no</t>
        </is>
      </c>
      <c r="AK88" s="3" t="inlineStr">
        <is>
          <t>yes</t>
        </is>
      </c>
      <c r="AL88" s="3" t="inlineStr">
        <is>
          <t>yes</t>
        </is>
      </c>
      <c r="AM88" s="3" t="inlineStr"/>
      <c r="AN88" s="3" t="inlineStr"/>
      <c r="AO88" s="3" t="inlineStr"/>
      <c r="AP88" s="3" t="inlineStr">
        <is>
          <t>v3_2026-03-19</t>
        </is>
      </c>
      <c r="AQ88">
        <f>(L88-Schema_v5!$C2)/(Schema_v5!$C3-Schema_v5!$C2)</f>
        <v/>
      </c>
      <c r="AR88">
        <f>(M88-Schema_v5!$C4)/(Schema_v5!$C5-Schema_v5!$C4)</f>
        <v/>
      </c>
      <c r="AS88">
        <f>N88/Schema_v5!$C6</f>
        <v/>
      </c>
      <c r="AT88">
        <f>O88/Schema_v5!$C7</f>
        <v/>
      </c>
      <c r="AU88">
        <f>P88/Schema_v5!$C8</f>
        <v/>
      </c>
      <c r="AV88">
        <f>IF(Schema_v5!$C9=0,0,AH88/Schema_v5!$C9)</f>
        <v/>
      </c>
      <c r="AW88">
        <f>IF(Schema_v5!$C10=0,0,AE88/Schema_v5!$C10)</f>
        <v/>
      </c>
      <c r="AX88">
        <f>(W88-Schema_v5!$C11)/(Schema_v5!$C12-Schema_v5!$C11)</f>
        <v/>
      </c>
      <c r="AY88">
        <f>(X88-Schema_v5!$C13)/(Schema_v5!$C14-Schema_v5!$C13)</f>
        <v/>
      </c>
    </row>
    <row r="89">
      <c r="A89" s="3" t="inlineStr">
        <is>
          <t>Q18_C</t>
        </is>
      </c>
      <c r="B89" s="3" t="n">
        <v>18</v>
      </c>
      <c r="C89" s="3" t="n">
        <v>18</v>
      </c>
      <c r="D89" s="3" t="inlineStr">
        <is>
          <t>Core</t>
        </is>
      </c>
      <c r="E89" s="3" t="n">
        <v>1.1</v>
      </c>
      <c r="F89" s="3" t="inlineStr">
        <is>
          <t>EmotionalRegulation</t>
        </is>
      </c>
      <c r="G89" s="3" t="inlineStr">
        <is>
          <t>AttachmentSafety</t>
        </is>
      </c>
      <c r="H89" s="3" t="inlineStr"/>
      <c r="I89" s="3" t="inlineStr">
        <is>
          <t>C</t>
        </is>
      </c>
      <c r="J89" s="3" t="inlineStr">
        <is>
          <t>C</t>
        </is>
      </c>
      <c r="K89" s="3" t="inlineStr">
        <is>
          <t>I wait. Sometimes people get scared when they feel seen, I don't want to add pressure, but I definitely notice the change.</t>
        </is>
      </c>
      <c r="L89" s="3" t="n">
        <v>7</v>
      </c>
      <c r="M89" s="3" t="n">
        <v>8</v>
      </c>
      <c r="N89" s="3" t="n">
        <v>6</v>
      </c>
      <c r="O89" s="3" t="n">
        <v>6</v>
      </c>
      <c r="P89" s="3" t="n">
        <v>4</v>
      </c>
      <c r="Q89" s="3" t="inlineStr">
        <is>
          <t>Romantic Idealist</t>
        </is>
      </c>
      <c r="R89" s="3" t="n">
        <v>6</v>
      </c>
      <c r="S89" s="3" t="inlineStr"/>
      <c r="T89" s="3" t="inlineStr"/>
      <c r="U89" s="3" t="n">
        <v>0</v>
      </c>
      <c r="V89" s="3" t="inlineStr">
        <is>
          <t>masc:-0.4;fem:1.5</t>
        </is>
      </c>
      <c r="W89" s="3" t="n">
        <v>-0.4</v>
      </c>
      <c r="X89" s="3" t="n">
        <v>1.5</v>
      </c>
      <c r="Y89" s="3" t="inlineStr">
        <is>
          <t>COMM_Emotional</t>
        </is>
      </c>
      <c r="Z89" s="3" t="inlineStr">
        <is>
          <t>REG_Distractor</t>
        </is>
      </c>
      <c r="AA89" s="3" t="inlineStr">
        <is>
          <t>LANG_Gifts</t>
        </is>
      </c>
      <c r="AB89" s="3" t="inlineStr"/>
      <c r="AC89" s="3" t="inlineStr"/>
      <c r="AD89" s="3" t="inlineStr"/>
      <c r="AE89" s="3" t="n">
        <v>0</v>
      </c>
      <c r="AF89" s="3" t="inlineStr">
        <is>
          <t>patient rationalizer</t>
        </is>
      </c>
      <c r="AG89" s="3" t="inlineStr">
        <is>
          <t>hopeful waiter</t>
        </is>
      </c>
      <c r="AH89" s="3" t="n">
        <v>0</v>
      </c>
      <c r="AI89" s="3" t="inlineStr">
        <is>
          <t>no</t>
        </is>
      </c>
      <c r="AJ89" s="3" t="inlineStr">
        <is>
          <t>no</t>
        </is>
      </c>
      <c r="AK89" s="3" t="inlineStr">
        <is>
          <t>yes</t>
        </is>
      </c>
      <c r="AL89" s="3" t="inlineStr">
        <is>
          <t>yes</t>
        </is>
      </c>
      <c r="AM89" s="3" t="inlineStr"/>
      <c r="AN89" s="3" t="inlineStr"/>
      <c r="AO89" s="3" t="inlineStr"/>
      <c r="AP89" s="3" t="inlineStr">
        <is>
          <t>v3_2026-03-19</t>
        </is>
      </c>
      <c r="AQ89">
        <f>(L89-Schema_v5!$C2)/(Schema_v5!$C3-Schema_v5!$C2)</f>
        <v/>
      </c>
      <c r="AR89">
        <f>(M89-Schema_v5!$C4)/(Schema_v5!$C5-Schema_v5!$C4)</f>
        <v/>
      </c>
      <c r="AS89">
        <f>N89/Schema_v5!$C6</f>
        <v/>
      </c>
      <c r="AT89">
        <f>O89/Schema_v5!$C7</f>
        <v/>
      </c>
      <c r="AU89">
        <f>P89/Schema_v5!$C8</f>
        <v/>
      </c>
      <c r="AV89">
        <f>IF(Schema_v5!$C9=0,0,AH89/Schema_v5!$C9)</f>
        <v/>
      </c>
      <c r="AW89">
        <f>IF(Schema_v5!$C10=0,0,AE89/Schema_v5!$C10)</f>
        <v/>
      </c>
      <c r="AX89">
        <f>(W89-Schema_v5!$C11)/(Schema_v5!$C12-Schema_v5!$C11)</f>
        <v/>
      </c>
      <c r="AY89">
        <f>(X89-Schema_v5!$C13)/(Schema_v5!$C14-Schema_v5!$C13)</f>
        <v/>
      </c>
    </row>
    <row r="90">
      <c r="A90" s="3" t="inlineStr">
        <is>
          <t>Q18_D</t>
        </is>
      </c>
      <c r="B90" s="3" t="n">
        <v>18</v>
      </c>
      <c r="C90" s="3" t="n">
        <v>18</v>
      </c>
      <c r="D90" s="3" t="inlineStr">
        <is>
          <t>Core</t>
        </is>
      </c>
      <c r="E90" s="3" t="n">
        <v>1.1</v>
      </c>
      <c r="F90" s="3" t="inlineStr">
        <is>
          <t>EmotionalRegulation</t>
        </is>
      </c>
      <c r="G90" s="3" t="inlineStr">
        <is>
          <t>AttachmentSafety</t>
        </is>
      </c>
      <c r="H90" s="3" t="inlineStr"/>
      <c r="I90" s="3" t="inlineStr">
        <is>
          <t>D</t>
        </is>
      </c>
      <c r="J90" s="3" t="inlineStr">
        <is>
          <t>D</t>
        </is>
      </c>
      <c r="K90" s="3" t="inlineStr">
        <is>
          <t>I go into fix-it mode. Check in more. Try to feel lighter, easier, more fun, anything to bring us back to how it felt before.</t>
        </is>
      </c>
      <c r="L90" s="3" t="n">
        <v>5</v>
      </c>
      <c r="M90" s="3" t="n">
        <v>6</v>
      </c>
      <c r="N90" s="3" t="n">
        <v>4</v>
      </c>
      <c r="O90" s="3" t="n">
        <v>4</v>
      </c>
      <c r="P90" s="3" t="n">
        <v>4</v>
      </c>
      <c r="Q90" s="3" t="inlineStr">
        <is>
          <t>Fixer</t>
        </is>
      </c>
      <c r="R90" s="3" t="n">
        <v>5</v>
      </c>
      <c r="S90" s="3" t="inlineStr"/>
      <c r="T90" s="3" t="inlineStr"/>
      <c r="U90" s="3" t="n">
        <v>0</v>
      </c>
      <c r="V90" s="3" t="inlineStr">
        <is>
          <t>masc:-0.4;fem:2.0</t>
        </is>
      </c>
      <c r="W90" s="3" t="n">
        <v>-0.4</v>
      </c>
      <c r="X90" s="3" t="n">
        <v>2</v>
      </c>
      <c r="Y90" s="3" t="inlineStr">
        <is>
          <t>COMM_Emotional</t>
        </is>
      </c>
      <c r="Z90" s="3" t="inlineStr">
        <is>
          <t>REG_CoRegulator</t>
        </is>
      </c>
      <c r="AA90" s="3" t="inlineStr">
        <is>
          <t>LANG_Service</t>
        </is>
      </c>
      <c r="AB90" s="3" t="inlineStr">
        <is>
          <t>Vulnerability_Loop</t>
        </is>
      </c>
      <c r="AC90" s="3" t="inlineStr">
        <is>
          <t>Vulnerability_Loop</t>
        </is>
      </c>
      <c r="AD90" s="3" t="inlineStr"/>
      <c r="AE90" s="3" t="n">
        <v>5</v>
      </c>
      <c r="AF90" s="3" t="inlineStr">
        <is>
          <t>emotional reset attempt</t>
        </is>
      </c>
      <c r="AG90" s="3" t="inlineStr">
        <is>
          <t>overcompensator</t>
        </is>
      </c>
      <c r="AH90" s="3" t="n">
        <v>0</v>
      </c>
      <c r="AI90" s="3" t="inlineStr">
        <is>
          <t>yes</t>
        </is>
      </c>
      <c r="AJ90" s="3" t="inlineStr">
        <is>
          <t>no</t>
        </is>
      </c>
      <c r="AK90" s="3" t="inlineStr">
        <is>
          <t>yes</t>
        </is>
      </c>
      <c r="AL90" s="3" t="inlineStr">
        <is>
          <t>yes</t>
        </is>
      </c>
      <c r="AM90" s="3" t="inlineStr"/>
      <c r="AN90" s="3" t="inlineStr"/>
      <c r="AO90" s="3" t="inlineStr"/>
      <c r="AP90" s="3" t="inlineStr">
        <is>
          <t>v3_2026-03-19</t>
        </is>
      </c>
      <c r="AQ90">
        <f>(L90-Schema_v5!$C2)/(Schema_v5!$C3-Schema_v5!$C2)</f>
        <v/>
      </c>
      <c r="AR90">
        <f>(M90-Schema_v5!$C4)/(Schema_v5!$C5-Schema_v5!$C4)</f>
        <v/>
      </c>
      <c r="AS90">
        <f>N90/Schema_v5!$C6</f>
        <v/>
      </c>
      <c r="AT90">
        <f>O90/Schema_v5!$C7</f>
        <v/>
      </c>
      <c r="AU90">
        <f>P90/Schema_v5!$C8</f>
        <v/>
      </c>
      <c r="AV90">
        <f>IF(Schema_v5!$C9=0,0,AH90/Schema_v5!$C9)</f>
        <v/>
      </c>
      <c r="AW90">
        <f>IF(Schema_v5!$C10=0,0,AE90/Schema_v5!$C10)</f>
        <v/>
      </c>
      <c r="AX90">
        <f>(W90-Schema_v5!$C11)/(Schema_v5!$C12-Schema_v5!$C11)</f>
        <v/>
      </c>
      <c r="AY90">
        <f>(X90-Schema_v5!$C13)/(Schema_v5!$C14-Schema_v5!$C13)</f>
        <v/>
      </c>
    </row>
    <row r="91">
      <c r="A91" s="3" t="inlineStr">
        <is>
          <t>Q18_E</t>
        </is>
      </c>
      <c r="B91" s="3" t="n">
        <v>18</v>
      </c>
      <c r="C91" s="3" t="n">
        <v>18</v>
      </c>
      <c r="D91" s="3" t="inlineStr">
        <is>
          <t>Core</t>
        </is>
      </c>
      <c r="E91" s="3" t="n">
        <v>1.1</v>
      </c>
      <c r="F91" s="3" t="inlineStr">
        <is>
          <t>EmotionalRegulation</t>
        </is>
      </c>
      <c r="G91" s="3" t="inlineStr">
        <is>
          <t>AttachmentSafety</t>
        </is>
      </c>
      <c r="H91" s="3" t="inlineStr"/>
      <c r="I91" s="3" t="inlineStr">
        <is>
          <t>E</t>
        </is>
      </c>
      <c r="J91" s="3" t="inlineStr">
        <is>
          <t>E</t>
        </is>
      </c>
      <c r="K91" s="3" t="inlineStr">
        <is>
          <t>I make myself busy. I don't ask, I don't chase. But I clock it. I'll still be polite, but they won't get the same version of me again.</t>
        </is>
      </c>
      <c r="L91" s="3" t="n">
        <v>7</v>
      </c>
      <c r="M91" s="3" t="n">
        <v>8</v>
      </c>
      <c r="N91" s="3" t="n">
        <v>4</v>
      </c>
      <c r="O91" s="3" t="n">
        <v>4</v>
      </c>
      <c r="P91" s="3" t="n">
        <v>0</v>
      </c>
      <c r="Q91" s="3" t="inlineStr">
        <is>
          <t>Quiet Exit</t>
        </is>
      </c>
      <c r="R91" s="3" t="n">
        <v>4</v>
      </c>
      <c r="S91" s="3" t="inlineStr"/>
      <c r="T91" s="3" t="inlineStr"/>
      <c r="U91" s="3" t="n">
        <v>0</v>
      </c>
      <c r="V91" s="3" t="inlineStr">
        <is>
          <t>masc:1.4;fem:-1.3</t>
        </is>
      </c>
      <c r="W91" s="3" t="n">
        <v>1.4</v>
      </c>
      <c r="X91" s="3" t="n">
        <v>-1.3</v>
      </c>
      <c r="Y91" s="3" t="inlineStr">
        <is>
          <t>COMM_Avoidant</t>
        </is>
      </c>
      <c r="Z91" s="3" t="inlineStr">
        <is>
          <t>REG_Suppressor</t>
        </is>
      </c>
      <c r="AA91" s="3" t="inlineStr">
        <is>
          <t>LANG_Time</t>
        </is>
      </c>
      <c r="AB91" s="3" t="inlineStr"/>
      <c r="AC91" s="3" t="inlineStr"/>
      <c r="AD91" s="3" t="inlineStr"/>
      <c r="AE91" s="3" t="n">
        <v>0</v>
      </c>
      <c r="AF91" s="3" t="inlineStr">
        <is>
          <t>soft lockdown</t>
        </is>
      </c>
      <c r="AG91" s="3" t="inlineStr">
        <is>
          <t>guarded exit</t>
        </is>
      </c>
      <c r="AH91" s="3" t="n">
        <v>0</v>
      </c>
      <c r="AI91" s="3" t="inlineStr">
        <is>
          <t>no</t>
        </is>
      </c>
      <c r="AJ91" s="3" t="inlineStr">
        <is>
          <t>no</t>
        </is>
      </c>
      <c r="AK91" s="3" t="inlineStr">
        <is>
          <t>yes</t>
        </is>
      </c>
      <c r="AL91" s="3" t="inlineStr">
        <is>
          <t>yes</t>
        </is>
      </c>
      <c r="AM91" s="3" t="inlineStr"/>
      <c r="AN91" s="3" t="inlineStr"/>
      <c r="AO91" s="3" t="inlineStr"/>
      <c r="AP91" s="3" t="inlineStr">
        <is>
          <t>v3_2026-03-19</t>
        </is>
      </c>
      <c r="AQ91">
        <f>(L91-Schema_v5!$C2)/(Schema_v5!$C3-Schema_v5!$C2)</f>
        <v/>
      </c>
      <c r="AR91">
        <f>(M91-Schema_v5!$C4)/(Schema_v5!$C5-Schema_v5!$C4)</f>
        <v/>
      </c>
      <c r="AS91">
        <f>N91/Schema_v5!$C6</f>
        <v/>
      </c>
      <c r="AT91">
        <f>O91/Schema_v5!$C7</f>
        <v/>
      </c>
      <c r="AU91">
        <f>P91/Schema_v5!$C8</f>
        <v/>
      </c>
      <c r="AV91">
        <f>IF(Schema_v5!$C9=0,0,AH91/Schema_v5!$C9)</f>
        <v/>
      </c>
      <c r="AW91">
        <f>IF(Schema_v5!$C10=0,0,AE91/Schema_v5!$C10)</f>
        <v/>
      </c>
      <c r="AX91">
        <f>(W91-Schema_v5!$C11)/(Schema_v5!$C12-Schema_v5!$C11)</f>
        <v/>
      </c>
      <c r="AY91">
        <f>(X91-Schema_v5!$C13)/(Schema_v5!$C14-Schema_v5!$C13)</f>
        <v/>
      </c>
    </row>
    <row r="92">
      <c r="A92" s="3" t="inlineStr">
        <is>
          <t>Q19_A</t>
        </is>
      </c>
      <c r="B92" s="3" t="n">
        <v>19</v>
      </c>
      <c r="C92" s="3" t="n">
        <v>19</v>
      </c>
      <c r="D92" s="3" t="inlineStr">
        <is>
          <t>Core</t>
        </is>
      </c>
      <c r="E92" s="3" t="n">
        <v>1.1</v>
      </c>
      <c r="F92" s="3" t="inlineStr">
        <is>
          <t>EmotionalRegulation</t>
        </is>
      </c>
      <c r="G92" s="3" t="inlineStr">
        <is>
          <t>AttachmentSafety</t>
        </is>
      </c>
      <c r="H92" s="3" t="inlineStr">
        <is>
          <t>You're starting to really like them. But they haven't asked much about you. How do you handle that imbalance?</t>
        </is>
      </c>
      <c r="I92" s="3" t="inlineStr">
        <is>
          <t>A</t>
        </is>
      </c>
      <c r="J92" s="3" t="inlineStr">
        <is>
          <t>A</t>
        </is>
      </c>
      <c r="K92" s="3" t="inlineStr">
        <is>
          <t>I clock it. If they're not curious, they're not serious. I don't make speeches, I just start pulling back and let them figure it out.</t>
        </is>
      </c>
      <c r="L92" s="3" t="n">
        <v>8</v>
      </c>
      <c r="M92" s="3" t="n">
        <v>9</v>
      </c>
      <c r="N92" s="3" t="n">
        <v>4</v>
      </c>
      <c r="O92" s="3" t="n">
        <v>6</v>
      </c>
      <c r="P92" s="3" t="n">
        <v>2</v>
      </c>
      <c r="Q92" s="3" t="inlineStr">
        <is>
          <t>Icebox</t>
        </is>
      </c>
      <c r="R92" s="3" t="n">
        <v>1</v>
      </c>
      <c r="S92" s="3" t="inlineStr"/>
      <c r="T92" s="3" t="inlineStr"/>
      <c r="U92" s="3" t="n">
        <v>0</v>
      </c>
      <c r="V92" s="3" t="inlineStr">
        <is>
          <t>masc:1.8;fem:-1.6</t>
        </is>
      </c>
      <c r="W92" s="3" t="n">
        <v>1.8</v>
      </c>
      <c r="X92" s="3" t="n">
        <v>-1.6</v>
      </c>
      <c r="Y92" s="3" t="inlineStr">
        <is>
          <t>COMM_Avoidant</t>
        </is>
      </c>
      <c r="Z92" s="3" t="inlineStr">
        <is>
          <t>REG_Suppressor</t>
        </is>
      </c>
      <c r="AA92" s="3" t="inlineStr">
        <is>
          <t>LANG_Time</t>
        </is>
      </c>
      <c r="AB92" s="3" t="inlineStr"/>
      <c r="AC92" s="3" t="inlineStr"/>
      <c r="AD92" s="3" t="inlineStr"/>
      <c r="AE92" s="3" t="n">
        <v>0</v>
      </c>
      <c r="AF92" s="3" t="inlineStr">
        <is>
          <t>quiet disengagement</t>
        </is>
      </c>
      <c r="AG92" s="3" t="inlineStr">
        <is>
          <t>measured pullback</t>
        </is>
      </c>
      <c r="AH92" s="3" t="n">
        <v>0</v>
      </c>
      <c r="AI92" s="3" t="inlineStr">
        <is>
          <t>no</t>
        </is>
      </c>
      <c r="AJ92" s="3" t="inlineStr">
        <is>
          <t>no</t>
        </is>
      </c>
      <c r="AK92" s="3" t="inlineStr">
        <is>
          <t>yes</t>
        </is>
      </c>
      <c r="AL92" s="3" t="inlineStr">
        <is>
          <t>yes</t>
        </is>
      </c>
      <c r="AM92" s="3" t="inlineStr"/>
      <c r="AN92" s="3" t="inlineStr"/>
      <c r="AO92" s="3" t="inlineStr"/>
      <c r="AP92" s="3" t="inlineStr">
        <is>
          <t>v3_2026-03-19</t>
        </is>
      </c>
      <c r="AQ92">
        <f>(L92-Schema_v5!$C2)/(Schema_v5!$C3-Schema_v5!$C2)</f>
        <v/>
      </c>
      <c r="AR92">
        <f>(M92-Schema_v5!$C4)/(Schema_v5!$C5-Schema_v5!$C4)</f>
        <v/>
      </c>
      <c r="AS92">
        <f>N92/Schema_v5!$C6</f>
        <v/>
      </c>
      <c r="AT92">
        <f>O92/Schema_v5!$C7</f>
        <v/>
      </c>
      <c r="AU92">
        <f>P92/Schema_v5!$C8</f>
        <v/>
      </c>
      <c r="AV92">
        <f>IF(Schema_v5!$C9=0,0,AH92/Schema_v5!$C9)</f>
        <v/>
      </c>
      <c r="AW92">
        <f>IF(Schema_v5!$C10=0,0,AE92/Schema_v5!$C10)</f>
        <v/>
      </c>
      <c r="AX92">
        <f>(W92-Schema_v5!$C11)/(Schema_v5!$C12-Schema_v5!$C11)</f>
        <v/>
      </c>
      <c r="AY92">
        <f>(X92-Schema_v5!$C13)/(Schema_v5!$C14-Schema_v5!$C13)</f>
        <v/>
      </c>
    </row>
    <row r="93">
      <c r="A93" s="3" t="inlineStr">
        <is>
          <t>Q19_B</t>
        </is>
      </c>
      <c r="B93" s="3" t="n">
        <v>19</v>
      </c>
      <c r="C93" s="3" t="n">
        <v>19</v>
      </c>
      <c r="D93" s="3" t="inlineStr">
        <is>
          <t>Core</t>
        </is>
      </c>
      <c r="E93" s="3" t="n">
        <v>1.1</v>
      </c>
      <c r="F93" s="3" t="inlineStr">
        <is>
          <t>EmotionalRegulation</t>
        </is>
      </c>
      <c r="G93" s="3" t="inlineStr">
        <is>
          <t>AttachmentSafety</t>
        </is>
      </c>
      <c r="H93" s="3" t="inlineStr"/>
      <c r="I93" s="3" t="inlineStr">
        <is>
          <t>B</t>
        </is>
      </c>
      <c r="J93" s="3" t="inlineStr">
        <is>
          <t>B</t>
        </is>
      </c>
      <c r="K93" s="3" t="inlineStr">
        <is>
          <t>I start telling little stories about myself anyway, hoping they'll finally ask more. When they don't, it stings more than I let on.</t>
        </is>
      </c>
      <c r="L93" s="3" t="n">
        <v>5</v>
      </c>
      <c r="M93" s="3" t="n">
        <v>6</v>
      </c>
      <c r="N93" s="3" t="n">
        <v>2</v>
      </c>
      <c r="O93" s="3" t="n">
        <v>2</v>
      </c>
      <c r="P93" s="3" t="n">
        <v>0</v>
      </c>
      <c r="Q93" s="3" t="inlineStr">
        <is>
          <t>Phantom Seeker</t>
        </is>
      </c>
      <c r="R93" s="3" t="n">
        <v>10</v>
      </c>
      <c r="S93" s="3" t="inlineStr"/>
      <c r="T93" s="3" t="inlineStr"/>
      <c r="U93" s="3" t="n">
        <v>0</v>
      </c>
      <c r="V93" s="3" t="inlineStr">
        <is>
          <t>masc:-0.2;fem:1.5</t>
        </is>
      </c>
      <c r="W93" s="3" t="n">
        <v>-0.2</v>
      </c>
      <c r="X93" s="3" t="n">
        <v>1.5</v>
      </c>
      <c r="Y93" s="3" t="inlineStr">
        <is>
          <t>COMM_Emotional</t>
        </is>
      </c>
      <c r="Z93" s="3" t="inlineStr">
        <is>
          <t>REG_SelfSoother</t>
        </is>
      </c>
      <c r="AA93" s="3" t="inlineStr">
        <is>
          <t>LANG_Touch</t>
        </is>
      </c>
      <c r="AB93" s="3" t="inlineStr">
        <is>
          <t>Scorekeeping_Echo</t>
        </is>
      </c>
      <c r="AC93" s="3" t="inlineStr">
        <is>
          <t>Scorekeeping_Echo</t>
        </is>
      </c>
      <c r="AD93" s="3" t="inlineStr"/>
      <c r="AE93" s="3" t="n">
        <v>8</v>
      </c>
      <c r="AF93" s="3" t="inlineStr">
        <is>
          <t>indirect yearning</t>
        </is>
      </c>
      <c r="AG93" s="3" t="inlineStr">
        <is>
          <t>subtle tester</t>
        </is>
      </c>
      <c r="AH93" s="3" t="n">
        <v>0.2</v>
      </c>
      <c r="AI93" s="3" t="inlineStr">
        <is>
          <t>yes</t>
        </is>
      </c>
      <c r="AJ93" s="3" t="inlineStr">
        <is>
          <t>no</t>
        </is>
      </c>
      <c r="AK93" s="3" t="inlineStr">
        <is>
          <t>yes</t>
        </is>
      </c>
      <c r="AL93" s="3" t="inlineStr">
        <is>
          <t>yes</t>
        </is>
      </c>
      <c r="AM93" s="3" t="inlineStr"/>
      <c r="AN93" s="3" t="inlineStr"/>
      <c r="AO93" s="3" t="inlineStr"/>
      <c r="AP93" s="3" t="inlineStr">
        <is>
          <t>v3_2026-03-19</t>
        </is>
      </c>
      <c r="AQ93">
        <f>(L93-Schema_v5!$C2)/(Schema_v5!$C3-Schema_v5!$C2)</f>
        <v/>
      </c>
      <c r="AR93">
        <f>(M93-Schema_v5!$C4)/(Schema_v5!$C5-Schema_v5!$C4)</f>
        <v/>
      </c>
      <c r="AS93">
        <f>N93/Schema_v5!$C6</f>
        <v/>
      </c>
      <c r="AT93">
        <f>O93/Schema_v5!$C7</f>
        <v/>
      </c>
      <c r="AU93">
        <f>P93/Schema_v5!$C8</f>
        <v/>
      </c>
      <c r="AV93">
        <f>IF(Schema_v5!$C9=0,0,AH93/Schema_v5!$C9)</f>
        <v/>
      </c>
      <c r="AW93">
        <f>IF(Schema_v5!$C10=0,0,AE93/Schema_v5!$C10)</f>
        <v/>
      </c>
      <c r="AX93">
        <f>(W93-Schema_v5!$C11)/(Schema_v5!$C12-Schema_v5!$C11)</f>
        <v/>
      </c>
      <c r="AY93">
        <f>(X93-Schema_v5!$C13)/(Schema_v5!$C14-Schema_v5!$C13)</f>
        <v/>
      </c>
    </row>
    <row r="94">
      <c r="A94" s="3" t="inlineStr">
        <is>
          <t>Q19_C</t>
        </is>
      </c>
      <c r="B94" s="3" t="n">
        <v>19</v>
      </c>
      <c r="C94" s="3" t="n">
        <v>19</v>
      </c>
      <c r="D94" s="3" t="inlineStr">
        <is>
          <t>Core</t>
        </is>
      </c>
      <c r="E94" s="3" t="n">
        <v>1.1</v>
      </c>
      <c r="F94" s="3" t="inlineStr">
        <is>
          <t>EmotionalRegulation</t>
        </is>
      </c>
      <c r="G94" s="3" t="inlineStr">
        <is>
          <t>AttachmentSafety</t>
        </is>
      </c>
      <c r="H94" s="3" t="inlineStr"/>
      <c r="I94" s="3" t="inlineStr">
        <is>
          <t>C</t>
        </is>
      </c>
      <c r="J94" s="3" t="inlineStr">
        <is>
          <t>C</t>
        </is>
      </c>
      <c r="K94" s="3" t="inlineStr">
        <is>
          <t>I keep the conversation going but note the pattern. If it keeps feeling one-sided, I stop investing. Curiosity should go both ways.</t>
        </is>
      </c>
      <c r="L94" s="3" t="n">
        <v>7</v>
      </c>
      <c r="M94" s="3" t="n">
        <v>8</v>
      </c>
      <c r="N94" s="3" t="n">
        <v>6</v>
      </c>
      <c r="O94" s="3" t="n">
        <v>8</v>
      </c>
      <c r="P94" s="3" t="n">
        <v>6</v>
      </c>
      <c r="Q94" s="3" t="inlineStr">
        <is>
          <t>Analyzer</t>
        </is>
      </c>
      <c r="R94" s="3" t="n">
        <v>2</v>
      </c>
      <c r="S94" s="3" t="inlineStr"/>
      <c r="T94" s="3" t="inlineStr"/>
      <c r="U94" s="3" t="n">
        <v>0</v>
      </c>
      <c r="V94" s="3" t="inlineStr">
        <is>
          <t>masc:1.4;fem:0.1</t>
        </is>
      </c>
      <c r="W94" s="3" t="n">
        <v>1.4</v>
      </c>
      <c r="X94" s="3" t="n">
        <v>0.1</v>
      </c>
      <c r="Y94" s="3" t="inlineStr">
        <is>
          <t>COMM_Logical</t>
        </is>
      </c>
      <c r="Z94" s="3" t="inlineStr">
        <is>
          <t>REG_SelfSoother</t>
        </is>
      </c>
      <c r="AA94" s="3" t="inlineStr">
        <is>
          <t>LANG_Service</t>
        </is>
      </c>
      <c r="AB94" s="3" t="inlineStr"/>
      <c r="AC94" s="3" t="inlineStr"/>
      <c r="AD94" s="3" t="inlineStr"/>
      <c r="AE94" s="3" t="n">
        <v>0</v>
      </c>
      <c r="AF94" s="3" t="inlineStr">
        <is>
          <t>measured monitoring</t>
        </is>
      </c>
      <c r="AG94" s="3" t="inlineStr">
        <is>
          <t>balanced assessor</t>
        </is>
      </c>
      <c r="AH94" s="3" t="n">
        <v>0</v>
      </c>
      <c r="AI94" s="3" t="inlineStr">
        <is>
          <t>no</t>
        </is>
      </c>
      <c r="AJ94" s="3" t="inlineStr">
        <is>
          <t>no</t>
        </is>
      </c>
      <c r="AK94" s="3" t="inlineStr">
        <is>
          <t>yes</t>
        </is>
      </c>
      <c r="AL94" s="3" t="inlineStr">
        <is>
          <t>yes</t>
        </is>
      </c>
      <c r="AM94" s="3" t="inlineStr"/>
      <c r="AN94" s="3" t="inlineStr"/>
      <c r="AO94" s="3" t="inlineStr"/>
      <c r="AP94" s="3" t="inlineStr">
        <is>
          <t>v3_2026-03-19</t>
        </is>
      </c>
      <c r="AQ94">
        <f>(L94-Schema_v5!$C2)/(Schema_v5!$C3-Schema_v5!$C2)</f>
        <v/>
      </c>
      <c r="AR94">
        <f>(M94-Schema_v5!$C4)/(Schema_v5!$C5-Schema_v5!$C4)</f>
        <v/>
      </c>
      <c r="AS94">
        <f>N94/Schema_v5!$C6</f>
        <v/>
      </c>
      <c r="AT94">
        <f>O94/Schema_v5!$C7</f>
        <v/>
      </c>
      <c r="AU94">
        <f>P94/Schema_v5!$C8</f>
        <v/>
      </c>
      <c r="AV94">
        <f>IF(Schema_v5!$C9=0,0,AH94/Schema_v5!$C9)</f>
        <v/>
      </c>
      <c r="AW94">
        <f>IF(Schema_v5!$C10=0,0,AE94/Schema_v5!$C10)</f>
        <v/>
      </c>
      <c r="AX94">
        <f>(W94-Schema_v5!$C11)/(Schema_v5!$C12-Schema_v5!$C11)</f>
        <v/>
      </c>
      <c r="AY94">
        <f>(X94-Schema_v5!$C13)/(Schema_v5!$C14-Schema_v5!$C13)</f>
        <v/>
      </c>
    </row>
    <row r="95">
      <c r="A95" s="3" t="inlineStr">
        <is>
          <t>Q19_D</t>
        </is>
      </c>
      <c r="B95" s="3" t="n">
        <v>19</v>
      </c>
      <c r="C95" s="3" t="n">
        <v>19</v>
      </c>
      <c r="D95" s="3" t="inlineStr">
        <is>
          <t>Core</t>
        </is>
      </c>
      <c r="E95" s="3" t="n">
        <v>1.1</v>
      </c>
      <c r="F95" s="3" t="inlineStr">
        <is>
          <t>EmotionalRegulation</t>
        </is>
      </c>
      <c r="G95" s="3" t="inlineStr">
        <is>
          <t>AttachmentSafety</t>
        </is>
      </c>
      <c r="H95" s="3" t="inlineStr"/>
      <c r="I95" s="3" t="inlineStr">
        <is>
          <t>D</t>
        </is>
      </c>
      <c r="J95" s="3" t="inlineStr">
        <is>
          <t>D</t>
        </is>
      </c>
      <c r="K95" s="3" t="inlineStr">
        <is>
          <t>I assume I'm just too much or not interesting enough. So I shrink a little. Try to be easier to be around, maybe then they'll lean in.</t>
        </is>
      </c>
      <c r="L95" s="3" t="n">
        <v>4</v>
      </c>
      <c r="M95" s="3" t="n">
        <v>5</v>
      </c>
      <c r="N95" s="3" t="n">
        <v>2</v>
      </c>
      <c r="O95" s="3" t="n">
        <v>2</v>
      </c>
      <c r="P95" s="3" t="n">
        <v>2</v>
      </c>
      <c r="Q95" s="3" t="inlineStr">
        <is>
          <t>Fixer</t>
        </is>
      </c>
      <c r="R95" s="3" t="n">
        <v>5</v>
      </c>
      <c r="S95" s="3" t="inlineStr"/>
      <c r="T95" s="3" t="inlineStr"/>
      <c r="U95" s="3" t="n">
        <v>0</v>
      </c>
      <c r="V95" s="3" t="inlineStr">
        <is>
          <t>masc:-0.4;fem:2.0</t>
        </is>
      </c>
      <c r="W95" s="3" t="n">
        <v>-0.4</v>
      </c>
      <c r="X95" s="3" t="n">
        <v>2</v>
      </c>
      <c r="Y95" s="3" t="inlineStr">
        <is>
          <t>COMM_Emotional</t>
        </is>
      </c>
      <c r="Z95" s="3" t="inlineStr">
        <is>
          <t>REG_CoRegulator</t>
        </is>
      </c>
      <c r="AA95" s="3" t="inlineStr">
        <is>
          <t>LANG_Service</t>
        </is>
      </c>
      <c r="AB95" s="3" t="inlineStr">
        <is>
          <t>Commitment_Ambiguity</t>
        </is>
      </c>
      <c r="AC95" s="3" t="inlineStr">
        <is>
          <t>Commitment_Ambiguity</t>
        </is>
      </c>
      <c r="AD95" s="3" t="inlineStr"/>
      <c r="AE95" s="3" t="n">
        <v>5</v>
      </c>
      <c r="AF95" s="3" t="inlineStr">
        <is>
          <t>self-dimming</t>
        </is>
      </c>
      <c r="AG95" s="3" t="inlineStr">
        <is>
          <t>self-minimizer</t>
        </is>
      </c>
      <c r="AH95" s="3" t="n">
        <v>0</v>
      </c>
      <c r="AI95" s="3" t="inlineStr">
        <is>
          <t>yes</t>
        </is>
      </c>
      <c r="AJ95" s="3" t="inlineStr">
        <is>
          <t>no</t>
        </is>
      </c>
      <c r="AK95" s="3" t="inlineStr">
        <is>
          <t>yes</t>
        </is>
      </c>
      <c r="AL95" s="3" t="inlineStr">
        <is>
          <t>yes</t>
        </is>
      </c>
      <c r="AM95" s="3" t="inlineStr"/>
      <c r="AN95" s="3" t="inlineStr"/>
      <c r="AO95" s="3" t="inlineStr"/>
      <c r="AP95" s="3" t="inlineStr">
        <is>
          <t>v3_2026-03-19</t>
        </is>
      </c>
      <c r="AQ95">
        <f>(L95-Schema_v5!$C2)/(Schema_v5!$C3-Schema_v5!$C2)</f>
        <v/>
      </c>
      <c r="AR95">
        <f>(M95-Schema_v5!$C4)/(Schema_v5!$C5-Schema_v5!$C4)</f>
        <v/>
      </c>
      <c r="AS95">
        <f>N95/Schema_v5!$C6</f>
        <v/>
      </c>
      <c r="AT95">
        <f>O95/Schema_v5!$C7</f>
        <v/>
      </c>
      <c r="AU95">
        <f>P95/Schema_v5!$C8</f>
        <v/>
      </c>
      <c r="AV95">
        <f>IF(Schema_v5!$C9=0,0,AH95/Schema_v5!$C9)</f>
        <v/>
      </c>
      <c r="AW95">
        <f>IF(Schema_v5!$C10=0,0,AE95/Schema_v5!$C10)</f>
        <v/>
      </c>
      <c r="AX95">
        <f>(W95-Schema_v5!$C11)/(Schema_v5!$C12-Schema_v5!$C11)</f>
        <v/>
      </c>
      <c r="AY95">
        <f>(X95-Schema_v5!$C13)/(Schema_v5!$C14-Schema_v5!$C13)</f>
        <v/>
      </c>
    </row>
    <row r="96">
      <c r="A96" s="3" t="inlineStr">
        <is>
          <t>Q19_E</t>
        </is>
      </c>
      <c r="B96" s="3" t="n">
        <v>19</v>
      </c>
      <c r="C96" s="3" t="n">
        <v>19</v>
      </c>
      <c r="D96" s="3" t="inlineStr">
        <is>
          <t>Core</t>
        </is>
      </c>
      <c r="E96" s="3" t="n">
        <v>1.1</v>
      </c>
      <c r="F96" s="3" t="inlineStr">
        <is>
          <t>EmotionalRegulation</t>
        </is>
      </c>
      <c r="G96" s="3" t="inlineStr">
        <is>
          <t>AttachmentSafety</t>
        </is>
      </c>
      <c r="H96" s="3" t="inlineStr"/>
      <c r="I96" s="3" t="inlineStr">
        <is>
          <t>E</t>
        </is>
      </c>
      <c r="J96" s="3" t="inlineStr">
        <is>
          <t>E</t>
        </is>
      </c>
      <c r="K96" s="3" t="inlineStr">
        <is>
          <t>If they're not asking, I stop sharing. It's not rejection, it's just proof they're not where I am. That tells me all I need to know.</t>
        </is>
      </c>
      <c r="L96" s="3" t="n">
        <v>9</v>
      </c>
      <c r="M96" s="3" t="n">
        <v>9</v>
      </c>
      <c r="N96" s="3" t="n">
        <v>10</v>
      </c>
      <c r="O96" s="3" t="n">
        <v>10</v>
      </c>
      <c r="P96" s="3" t="n">
        <v>10</v>
      </c>
      <c r="Q96" s="3" t="inlineStr">
        <is>
          <t>Regulated Grown-Up</t>
        </is>
      </c>
      <c r="R96" s="3" t="n">
        <v>9</v>
      </c>
      <c r="S96" s="3" t="inlineStr"/>
      <c r="T96" s="3" t="inlineStr"/>
      <c r="U96" s="3" t="n">
        <v>0</v>
      </c>
      <c r="V96" s="3" t="inlineStr">
        <is>
          <t>masc:1.1;fem:0.9</t>
        </is>
      </c>
      <c r="W96" s="3" t="n">
        <v>1.1</v>
      </c>
      <c r="X96" s="3" t="n">
        <v>0.9</v>
      </c>
      <c r="Y96" s="3" t="inlineStr">
        <is>
          <t>COMM_Direct</t>
        </is>
      </c>
      <c r="Z96" s="3" t="inlineStr">
        <is>
          <t>REG_CoRegulator</t>
        </is>
      </c>
      <c r="AA96" s="3" t="inlineStr">
        <is>
          <t>LANG_Words</t>
        </is>
      </c>
      <c r="AB96" s="3" t="inlineStr"/>
      <c r="AC96" s="3" t="inlineStr"/>
      <c r="AD96" s="3" t="inlineStr"/>
      <c r="AE96" s="3" t="n">
        <v>0</v>
      </c>
      <c r="AF96" s="3" t="inlineStr">
        <is>
          <t>blunt boundary recognition</t>
        </is>
      </c>
      <c r="AG96" s="3" t="inlineStr">
        <is>
          <t>decisive assessor</t>
        </is>
      </c>
      <c r="AH96" s="3" t="n">
        <v>0</v>
      </c>
      <c r="AI96" s="3" t="inlineStr">
        <is>
          <t>no</t>
        </is>
      </c>
      <c r="AJ96" s="3" t="inlineStr">
        <is>
          <t>no</t>
        </is>
      </c>
      <c r="AK96" s="3" t="inlineStr">
        <is>
          <t>yes</t>
        </is>
      </c>
      <c r="AL96" s="3" t="inlineStr">
        <is>
          <t>yes</t>
        </is>
      </c>
      <c r="AM96" s="3" t="inlineStr"/>
      <c r="AN96" s="3" t="inlineStr"/>
      <c r="AO96" s="3" t="inlineStr"/>
      <c r="AP96" s="3" t="inlineStr">
        <is>
          <t>v3_2026-03-19</t>
        </is>
      </c>
      <c r="AQ96">
        <f>(L96-Schema_v5!$C2)/(Schema_v5!$C3-Schema_v5!$C2)</f>
        <v/>
      </c>
      <c r="AR96">
        <f>(M96-Schema_v5!$C4)/(Schema_v5!$C5-Schema_v5!$C4)</f>
        <v/>
      </c>
      <c r="AS96">
        <f>N96/Schema_v5!$C6</f>
        <v/>
      </c>
      <c r="AT96">
        <f>O96/Schema_v5!$C7</f>
        <v/>
      </c>
      <c r="AU96">
        <f>P96/Schema_v5!$C8</f>
        <v/>
      </c>
      <c r="AV96">
        <f>IF(Schema_v5!$C9=0,0,AH96/Schema_v5!$C9)</f>
        <v/>
      </c>
      <c r="AW96">
        <f>IF(Schema_v5!$C10=0,0,AE96/Schema_v5!$C10)</f>
        <v/>
      </c>
      <c r="AX96">
        <f>(W96-Schema_v5!$C11)/(Schema_v5!$C12-Schema_v5!$C11)</f>
        <v/>
      </c>
      <c r="AY96">
        <f>(X96-Schema_v5!$C13)/(Schema_v5!$C14-Schema_v5!$C13)</f>
        <v/>
      </c>
    </row>
    <row r="97">
      <c r="A97" s="3" t="inlineStr">
        <is>
          <t>Q20_A</t>
        </is>
      </c>
      <c r="B97" s="3" t="n">
        <v>20</v>
      </c>
      <c r="C97" s="3" t="n">
        <v>20</v>
      </c>
      <c r="D97" s="3" t="inlineStr">
        <is>
          <t>Core</t>
        </is>
      </c>
      <c r="E97" s="3" t="n">
        <v>1.1</v>
      </c>
      <c r="F97" s="3" t="inlineStr">
        <is>
          <t>EmotionalRegulation</t>
        </is>
      </c>
      <c r="G97" s="3" t="inlineStr">
        <is>
          <t>AttachmentSafety</t>
        </is>
      </c>
      <c r="H97" s="3" t="inlineStr">
        <is>
          <t>They say they're "just not ready for anything serious," but keep texting, flirting, and staying close. What do you do with that?</t>
        </is>
      </c>
      <c r="I97" s="3" t="inlineStr">
        <is>
          <t>A</t>
        </is>
      </c>
      <c r="J97" s="3" t="inlineStr">
        <is>
          <t>A</t>
        </is>
      </c>
      <c r="K97" s="3" t="inlineStr">
        <is>
          <t>I don't chase maybes. If you're not ready, I'm not holding space hoping you'll get there. I move different after that.</t>
        </is>
      </c>
      <c r="L97" s="3" t="n">
        <v>9</v>
      </c>
      <c r="M97" s="3" t="n">
        <v>9</v>
      </c>
      <c r="N97" s="3" t="n">
        <v>10</v>
      </c>
      <c r="O97" s="3" t="n">
        <v>10</v>
      </c>
      <c r="P97" s="3" t="n">
        <v>10</v>
      </c>
      <c r="Q97" s="3" t="inlineStr">
        <is>
          <t>Regulated Grown-Up</t>
        </is>
      </c>
      <c r="R97" s="3" t="n">
        <v>9</v>
      </c>
      <c r="S97" s="3" t="inlineStr"/>
      <c r="T97" s="3" t="inlineStr"/>
      <c r="U97" s="3" t="n">
        <v>0</v>
      </c>
      <c r="V97" s="3" t="inlineStr">
        <is>
          <t>masc:1.1;fem:0.9</t>
        </is>
      </c>
      <c r="W97" s="3" t="n">
        <v>1.1</v>
      </c>
      <c r="X97" s="3" t="n">
        <v>0.9</v>
      </c>
      <c r="Y97" s="3" t="inlineStr">
        <is>
          <t>COMM_Direct</t>
        </is>
      </c>
      <c r="Z97" s="3" t="inlineStr">
        <is>
          <t>REG_CoRegulator</t>
        </is>
      </c>
      <c r="AA97" s="3" t="inlineStr">
        <is>
          <t>LANG_Words</t>
        </is>
      </c>
      <c r="AB97" s="3" t="inlineStr"/>
      <c r="AC97" s="3" t="inlineStr"/>
      <c r="AD97" s="3" t="inlineStr"/>
      <c r="AE97" s="3" t="n">
        <v>0</v>
      </c>
      <c r="AF97" s="3" t="inlineStr">
        <is>
          <t>emotional detachment with clarity</t>
        </is>
      </c>
      <c r="AG97" s="3" t="inlineStr">
        <is>
          <t>clean exit</t>
        </is>
      </c>
      <c r="AH97" s="3" t="n">
        <v>0.2</v>
      </c>
      <c r="AI97" s="3" t="inlineStr">
        <is>
          <t>no</t>
        </is>
      </c>
      <c r="AJ97" s="3" t="inlineStr">
        <is>
          <t>no</t>
        </is>
      </c>
      <c r="AK97" s="3" t="inlineStr">
        <is>
          <t>yes</t>
        </is>
      </c>
      <c r="AL97" s="3" t="inlineStr">
        <is>
          <t>yes</t>
        </is>
      </c>
      <c r="AM97" s="3" t="inlineStr"/>
      <c r="AN97" s="3" t="inlineStr"/>
      <c r="AO97" s="3" t="inlineStr"/>
      <c r="AP97" s="3" t="inlineStr">
        <is>
          <t>v3_2026-03-19</t>
        </is>
      </c>
      <c r="AQ97">
        <f>(L97-Schema_v5!$C2)/(Schema_v5!$C3-Schema_v5!$C2)</f>
        <v/>
      </c>
      <c r="AR97">
        <f>(M97-Schema_v5!$C4)/(Schema_v5!$C5-Schema_v5!$C4)</f>
        <v/>
      </c>
      <c r="AS97">
        <f>N97/Schema_v5!$C6</f>
        <v/>
      </c>
      <c r="AT97">
        <f>O97/Schema_v5!$C7</f>
        <v/>
      </c>
      <c r="AU97">
        <f>P97/Schema_v5!$C8</f>
        <v/>
      </c>
      <c r="AV97">
        <f>IF(Schema_v5!$C9=0,0,AH97/Schema_v5!$C9)</f>
        <v/>
      </c>
      <c r="AW97">
        <f>IF(Schema_v5!$C10=0,0,AE97/Schema_v5!$C10)</f>
        <v/>
      </c>
      <c r="AX97">
        <f>(W97-Schema_v5!$C11)/(Schema_v5!$C12-Schema_v5!$C11)</f>
        <v/>
      </c>
      <c r="AY97">
        <f>(X97-Schema_v5!$C13)/(Schema_v5!$C14-Schema_v5!$C13)</f>
        <v/>
      </c>
    </row>
    <row r="98">
      <c r="A98" s="3" t="inlineStr">
        <is>
          <t>Q20_B</t>
        </is>
      </c>
      <c r="B98" s="3" t="n">
        <v>20</v>
      </c>
      <c r="C98" s="3" t="n">
        <v>20</v>
      </c>
      <c r="D98" s="3" t="inlineStr">
        <is>
          <t>Core</t>
        </is>
      </c>
      <c r="E98" s="3" t="n">
        <v>1.1</v>
      </c>
      <c r="F98" s="3" t="inlineStr">
        <is>
          <t>EmotionalRegulation</t>
        </is>
      </c>
      <c r="G98" s="3" t="inlineStr">
        <is>
          <t>AttachmentSafety</t>
        </is>
      </c>
      <c r="H98" s="3" t="inlineStr"/>
      <c r="I98" s="3" t="inlineStr">
        <is>
          <t>B</t>
        </is>
      </c>
      <c r="J98" s="3" t="inlineStr">
        <is>
          <t>B</t>
        </is>
      </c>
      <c r="K98" s="3" t="inlineStr">
        <is>
          <t>I downplay what I want. I'd rather keep them close than scare them off. I tell myself maybe they'll change their mind.</t>
        </is>
      </c>
      <c r="L98" s="3" t="n">
        <v>4</v>
      </c>
      <c r="M98" s="3" t="n">
        <v>5</v>
      </c>
      <c r="N98" s="3" t="n">
        <v>0</v>
      </c>
      <c r="O98" s="3" t="n">
        <v>2</v>
      </c>
      <c r="P98" s="3" t="n">
        <v>0</v>
      </c>
      <c r="Q98" s="3" t="inlineStr">
        <is>
          <t>Phantom Seeker</t>
        </is>
      </c>
      <c r="R98" s="3" t="n">
        <v>10</v>
      </c>
      <c r="S98" s="3" t="inlineStr"/>
      <c r="T98" s="3" t="inlineStr"/>
      <c r="U98" s="3" t="n">
        <v>0</v>
      </c>
      <c r="V98" s="3" t="inlineStr">
        <is>
          <t>masc:-0.2;fem:1.5</t>
        </is>
      </c>
      <c r="W98" s="3" t="n">
        <v>-0.2</v>
      </c>
      <c r="X98" s="3" t="n">
        <v>1.5</v>
      </c>
      <c r="Y98" s="3" t="inlineStr">
        <is>
          <t>COMM_Emotional</t>
        </is>
      </c>
      <c r="Z98" s="3" t="inlineStr">
        <is>
          <t>REG_SelfSoother</t>
        </is>
      </c>
      <c r="AA98" s="3" t="inlineStr">
        <is>
          <t>LANG_Touch</t>
        </is>
      </c>
      <c r="AB98" s="3" t="inlineStr">
        <is>
          <t>Commitment_Ambiguity</t>
        </is>
      </c>
      <c r="AC98" s="3" t="inlineStr">
        <is>
          <t>Commitment_Ambiguity</t>
        </is>
      </c>
      <c r="AD98" s="3" t="inlineStr"/>
      <c r="AE98" s="3" t="n">
        <v>5</v>
      </c>
      <c r="AF98" s="3" t="inlineStr">
        <is>
          <t>self-silencing attachment</t>
        </is>
      </c>
      <c r="AG98" s="3" t="inlineStr">
        <is>
          <t>avoidant hope</t>
        </is>
      </c>
      <c r="AH98" s="3" t="n">
        <v>0.6</v>
      </c>
      <c r="AI98" s="3" t="inlineStr">
        <is>
          <t>yes</t>
        </is>
      </c>
      <c r="AJ98" s="3" t="inlineStr">
        <is>
          <t>no</t>
        </is>
      </c>
      <c r="AK98" s="3" t="inlineStr">
        <is>
          <t>yes</t>
        </is>
      </c>
      <c r="AL98" s="3" t="inlineStr">
        <is>
          <t>yes</t>
        </is>
      </c>
      <c r="AM98" s="3" t="inlineStr"/>
      <c r="AN98" s="3" t="inlineStr"/>
      <c r="AO98" s="3" t="inlineStr"/>
      <c r="AP98" s="3" t="inlineStr">
        <is>
          <t>v3_2026-03-19</t>
        </is>
      </c>
      <c r="AQ98">
        <f>(L98-Schema_v5!$C2)/(Schema_v5!$C3-Schema_v5!$C2)</f>
        <v/>
      </c>
      <c r="AR98">
        <f>(M98-Schema_v5!$C4)/(Schema_v5!$C5-Schema_v5!$C4)</f>
        <v/>
      </c>
      <c r="AS98">
        <f>N98/Schema_v5!$C6</f>
        <v/>
      </c>
      <c r="AT98">
        <f>O98/Schema_v5!$C7</f>
        <v/>
      </c>
      <c r="AU98">
        <f>P98/Schema_v5!$C8</f>
        <v/>
      </c>
      <c r="AV98">
        <f>IF(Schema_v5!$C9=0,0,AH98/Schema_v5!$C9)</f>
        <v/>
      </c>
      <c r="AW98">
        <f>IF(Schema_v5!$C10=0,0,AE98/Schema_v5!$C10)</f>
        <v/>
      </c>
      <c r="AX98">
        <f>(W98-Schema_v5!$C11)/(Schema_v5!$C12-Schema_v5!$C11)</f>
        <v/>
      </c>
      <c r="AY98">
        <f>(X98-Schema_v5!$C13)/(Schema_v5!$C14-Schema_v5!$C13)</f>
        <v/>
      </c>
    </row>
    <row r="99">
      <c r="A99" s="3" t="inlineStr">
        <is>
          <t>Q20_C</t>
        </is>
      </c>
      <c r="B99" s="3" t="n">
        <v>20</v>
      </c>
      <c r="C99" s="3" t="n">
        <v>20</v>
      </c>
      <c r="D99" s="3" t="inlineStr">
        <is>
          <t>Core</t>
        </is>
      </c>
      <c r="E99" s="3" t="n">
        <v>1.1</v>
      </c>
      <c r="F99" s="3" t="inlineStr">
        <is>
          <t>EmotionalRegulation</t>
        </is>
      </c>
      <c r="G99" s="3" t="inlineStr">
        <is>
          <t>AttachmentSafety</t>
        </is>
      </c>
      <c r="H99" s="3" t="inlineStr"/>
      <c r="I99" s="3" t="inlineStr">
        <is>
          <t>C</t>
        </is>
      </c>
      <c r="J99" s="3" t="inlineStr">
        <is>
          <t>C</t>
        </is>
      </c>
      <c r="K99" s="3" t="inlineStr">
        <is>
          <t>I lean into the attention while it's there, but I'm already preparing for them to dip. I know how this story ends, I just don't rush it.</t>
        </is>
      </c>
      <c r="L99" s="3" t="n">
        <v>6</v>
      </c>
      <c r="M99" s="3" t="n">
        <v>7</v>
      </c>
      <c r="N99" s="3" t="n">
        <v>2</v>
      </c>
      <c r="O99" s="3" t="n">
        <v>2</v>
      </c>
      <c r="P99" s="3" t="n">
        <v>0</v>
      </c>
      <c r="Q99" s="3" t="inlineStr">
        <is>
          <t>Icebox</t>
        </is>
      </c>
      <c r="R99" s="3" t="n">
        <v>1</v>
      </c>
      <c r="S99" s="3" t="inlineStr"/>
      <c r="T99" s="3" t="inlineStr"/>
      <c r="U99" s="3" t="n">
        <v>0</v>
      </c>
      <c r="V99" s="3" t="inlineStr">
        <is>
          <t>masc:1.8;fem:-1.6</t>
        </is>
      </c>
      <c r="W99" s="3" t="n">
        <v>1.8</v>
      </c>
      <c r="X99" s="3" t="n">
        <v>-1.6</v>
      </c>
      <c r="Y99" s="3" t="inlineStr">
        <is>
          <t>COMM_Avoidant</t>
        </is>
      </c>
      <c r="Z99" s="3" t="inlineStr">
        <is>
          <t>REG_Suppressor</t>
        </is>
      </c>
      <c r="AA99" s="3" t="inlineStr">
        <is>
          <t>LANG_Time</t>
        </is>
      </c>
      <c r="AB99" s="3" t="inlineStr"/>
      <c r="AC99" s="3" t="inlineStr"/>
      <c r="AD99" s="3" t="inlineStr"/>
      <c r="AE99" s="3" t="n">
        <v>0</v>
      </c>
      <c r="AF99" s="3" t="inlineStr">
        <is>
          <t>detached indulgence</t>
        </is>
      </c>
      <c r="AG99" s="3" t="inlineStr">
        <is>
          <t>slow detacher</t>
        </is>
      </c>
      <c r="AH99" s="3" t="n">
        <v>1.2</v>
      </c>
      <c r="AI99" s="3" t="inlineStr">
        <is>
          <t>no</t>
        </is>
      </c>
      <c r="AJ99" s="3" t="inlineStr">
        <is>
          <t>no</t>
        </is>
      </c>
      <c r="AK99" s="3" t="inlineStr">
        <is>
          <t>yes</t>
        </is>
      </c>
      <c r="AL99" s="3" t="inlineStr">
        <is>
          <t>yes</t>
        </is>
      </c>
      <c r="AM99" s="3" t="inlineStr"/>
      <c r="AN99" s="3" t="inlineStr"/>
      <c r="AO99" s="3" t="inlineStr"/>
      <c r="AP99" s="3" t="inlineStr">
        <is>
          <t>v3_2026-03-19</t>
        </is>
      </c>
      <c r="AQ99">
        <f>(L99-Schema_v5!$C2)/(Schema_v5!$C3-Schema_v5!$C2)</f>
        <v/>
      </c>
      <c r="AR99">
        <f>(M99-Schema_v5!$C4)/(Schema_v5!$C5-Schema_v5!$C4)</f>
        <v/>
      </c>
      <c r="AS99">
        <f>N99/Schema_v5!$C6</f>
        <v/>
      </c>
      <c r="AT99">
        <f>O99/Schema_v5!$C7</f>
        <v/>
      </c>
      <c r="AU99">
        <f>P99/Schema_v5!$C8</f>
        <v/>
      </c>
      <c r="AV99">
        <f>IF(Schema_v5!$C9=0,0,AH99/Schema_v5!$C9)</f>
        <v/>
      </c>
      <c r="AW99">
        <f>IF(Schema_v5!$C10=0,0,AE99/Schema_v5!$C10)</f>
        <v/>
      </c>
      <c r="AX99">
        <f>(W99-Schema_v5!$C11)/(Schema_v5!$C12-Schema_v5!$C11)</f>
        <v/>
      </c>
      <c r="AY99">
        <f>(X99-Schema_v5!$C13)/(Schema_v5!$C14-Schema_v5!$C13)</f>
        <v/>
      </c>
    </row>
    <row r="100">
      <c r="A100" s="3" t="inlineStr">
        <is>
          <t>Q20_D</t>
        </is>
      </c>
      <c r="B100" s="3" t="n">
        <v>20</v>
      </c>
      <c r="C100" s="3" t="n">
        <v>20</v>
      </c>
      <c r="D100" s="3" t="inlineStr">
        <is>
          <t>Core</t>
        </is>
      </c>
      <c r="E100" s="3" t="n">
        <v>1.1</v>
      </c>
      <c r="F100" s="3" t="inlineStr">
        <is>
          <t>EmotionalRegulation</t>
        </is>
      </c>
      <c r="G100" s="3" t="inlineStr">
        <is>
          <t>AttachmentSafety</t>
        </is>
      </c>
      <c r="H100" s="3" t="inlineStr"/>
      <c r="I100" s="3" t="inlineStr">
        <is>
          <t>D</t>
        </is>
      </c>
      <c r="J100" s="3" t="inlineStr">
        <is>
          <t>D</t>
        </is>
      </c>
      <c r="K100" s="3" t="inlineStr">
        <is>
          <t>I start fixing it in my head. Maybe if I give it time, make things feel safer, they'll realize what we have. It's not manipulation, it's belief.</t>
        </is>
      </c>
      <c r="L100" s="3" t="n">
        <v>5</v>
      </c>
      <c r="M100" s="3" t="n">
        <v>6</v>
      </c>
      <c r="N100" s="3" t="n">
        <v>4</v>
      </c>
      <c r="O100" s="3" t="n">
        <v>4</v>
      </c>
      <c r="P100" s="3" t="n">
        <v>4</v>
      </c>
      <c r="Q100" s="3" t="inlineStr">
        <is>
          <t>Fixer</t>
        </is>
      </c>
      <c r="R100" s="3" t="n">
        <v>5</v>
      </c>
      <c r="S100" s="3" t="inlineStr"/>
      <c r="T100" s="3" t="inlineStr"/>
      <c r="U100" s="3" t="n">
        <v>0</v>
      </c>
      <c r="V100" s="3" t="inlineStr">
        <is>
          <t>masc:-0.4;fem:2.0</t>
        </is>
      </c>
      <c r="W100" s="3" t="n">
        <v>-0.4</v>
      </c>
      <c r="X100" s="3" t="n">
        <v>2</v>
      </c>
      <c r="Y100" s="3" t="inlineStr">
        <is>
          <t>COMM_Emotional</t>
        </is>
      </c>
      <c r="Z100" s="3" t="inlineStr">
        <is>
          <t>REG_CoRegulator</t>
        </is>
      </c>
      <c r="AA100" s="3" t="inlineStr">
        <is>
          <t>LANG_Service</t>
        </is>
      </c>
      <c r="AB100" s="3" t="inlineStr">
        <is>
          <t>Commitment_Ambiguity</t>
        </is>
      </c>
      <c r="AC100" s="3" t="inlineStr">
        <is>
          <t>Commitment_Ambiguity</t>
        </is>
      </c>
      <c r="AD100" s="3" t="inlineStr"/>
      <c r="AE100" s="3" t="n">
        <v>5</v>
      </c>
      <c r="AF100" s="3" t="inlineStr">
        <is>
          <t>subtle persuasion loop</t>
        </is>
      </c>
      <c r="AG100" s="3" t="inlineStr">
        <is>
          <t>hopeful fixer</t>
        </is>
      </c>
      <c r="AH100" s="3" t="n">
        <v>0.2</v>
      </c>
      <c r="AI100" s="3" t="inlineStr">
        <is>
          <t>yes</t>
        </is>
      </c>
      <c r="AJ100" s="3" t="inlineStr">
        <is>
          <t>no</t>
        </is>
      </c>
      <c r="AK100" s="3" t="inlineStr">
        <is>
          <t>yes</t>
        </is>
      </c>
      <c r="AL100" s="3" t="inlineStr">
        <is>
          <t>yes</t>
        </is>
      </c>
      <c r="AM100" s="3" t="inlineStr"/>
      <c r="AN100" s="3" t="inlineStr"/>
      <c r="AO100" s="3" t="inlineStr"/>
      <c r="AP100" s="3" t="inlineStr">
        <is>
          <t>v3_2026-03-19</t>
        </is>
      </c>
      <c r="AQ100">
        <f>(L100-Schema_v5!$C2)/(Schema_v5!$C3-Schema_v5!$C2)</f>
        <v/>
      </c>
      <c r="AR100">
        <f>(M100-Schema_v5!$C4)/(Schema_v5!$C5-Schema_v5!$C4)</f>
        <v/>
      </c>
      <c r="AS100">
        <f>N100/Schema_v5!$C6</f>
        <v/>
      </c>
      <c r="AT100">
        <f>O100/Schema_v5!$C7</f>
        <v/>
      </c>
      <c r="AU100">
        <f>P100/Schema_v5!$C8</f>
        <v/>
      </c>
      <c r="AV100">
        <f>IF(Schema_v5!$C9=0,0,AH100/Schema_v5!$C9)</f>
        <v/>
      </c>
      <c r="AW100">
        <f>IF(Schema_v5!$C10=0,0,AE100/Schema_v5!$C10)</f>
        <v/>
      </c>
      <c r="AX100">
        <f>(W100-Schema_v5!$C11)/(Schema_v5!$C12-Schema_v5!$C11)</f>
        <v/>
      </c>
      <c r="AY100">
        <f>(X100-Schema_v5!$C13)/(Schema_v5!$C14-Schema_v5!$C13)</f>
        <v/>
      </c>
    </row>
    <row r="101">
      <c r="A101" s="3" t="inlineStr">
        <is>
          <t>Q20_E</t>
        </is>
      </c>
      <c r="B101" s="3" t="n">
        <v>20</v>
      </c>
      <c r="C101" s="3" t="n">
        <v>20</v>
      </c>
      <c r="D101" s="3" t="inlineStr">
        <is>
          <t>Core</t>
        </is>
      </c>
      <c r="E101" s="3" t="n">
        <v>1.1</v>
      </c>
      <c r="F101" s="3" t="inlineStr">
        <is>
          <t>EmotionalRegulation</t>
        </is>
      </c>
      <c r="G101" s="3" t="inlineStr">
        <is>
          <t>AttachmentSafety</t>
        </is>
      </c>
      <c r="H101" s="3" t="inlineStr"/>
      <c r="I101" s="3" t="inlineStr">
        <is>
          <t>E</t>
        </is>
      </c>
      <c r="J101" s="3" t="inlineStr">
        <is>
          <t>E</t>
        </is>
      </c>
      <c r="K101" s="3" t="inlineStr">
        <is>
          <t>I mirror it. You want casual? Cool. I can do that, until I don't. Just don't get mad when I stop answering like I used to.</t>
        </is>
      </c>
      <c r="L101" s="3" t="n">
        <v>7</v>
      </c>
      <c r="M101" s="3" t="n">
        <v>8</v>
      </c>
      <c r="N101" s="3" t="n">
        <v>4</v>
      </c>
      <c r="O101" s="3" t="n">
        <v>6</v>
      </c>
      <c r="P101" s="3" t="n">
        <v>2</v>
      </c>
      <c r="Q101" s="3" t="inlineStr">
        <is>
          <t>Performer</t>
        </is>
      </c>
      <c r="R101" s="3" t="n">
        <v>7</v>
      </c>
      <c r="S101" s="3" t="inlineStr"/>
      <c r="T101" s="3" t="inlineStr"/>
      <c r="U101" s="3" t="n">
        <v>0</v>
      </c>
      <c r="V101" s="3" t="inlineStr">
        <is>
          <t>masc:0.3;fem:0.5</t>
        </is>
      </c>
      <c r="W101" s="3" t="n">
        <v>0.3</v>
      </c>
      <c r="X101" s="3" t="n">
        <v>0.5</v>
      </c>
      <c r="Y101" s="3" t="inlineStr">
        <is>
          <t>COMM_Indirect</t>
        </is>
      </c>
      <c r="Z101" s="3" t="inlineStr">
        <is>
          <t>REG_Distractor</t>
        </is>
      </c>
      <c r="AA101" s="3" t="inlineStr">
        <is>
          <t>LANG_Gifts</t>
        </is>
      </c>
      <c r="AB101" s="3" t="inlineStr"/>
      <c r="AC101" s="3" t="inlineStr"/>
      <c r="AD101" s="3" t="inlineStr"/>
      <c r="AE101" s="3" t="n">
        <v>0</v>
      </c>
      <c r="AF101" s="3" t="inlineStr">
        <is>
          <t>cool mask hot clock</t>
        </is>
      </c>
      <c r="AG101" s="3" t="inlineStr">
        <is>
          <t>casual timer</t>
        </is>
      </c>
      <c r="AH101" s="3" t="n">
        <v>0.6</v>
      </c>
      <c r="AI101" s="3" t="inlineStr">
        <is>
          <t>no</t>
        </is>
      </c>
      <c r="AJ101" s="3" t="inlineStr">
        <is>
          <t>no</t>
        </is>
      </c>
      <c r="AK101" s="3" t="inlineStr">
        <is>
          <t>yes</t>
        </is>
      </c>
      <c r="AL101" s="3" t="inlineStr">
        <is>
          <t>yes</t>
        </is>
      </c>
      <c r="AM101" s="3" t="inlineStr"/>
      <c r="AN101" s="3" t="inlineStr"/>
      <c r="AO101" s="3" t="inlineStr"/>
      <c r="AP101" s="3" t="inlineStr">
        <is>
          <t>v3_2026-03-19</t>
        </is>
      </c>
      <c r="AQ101">
        <f>(L101-Schema_v5!$C2)/(Schema_v5!$C3-Schema_v5!$C2)</f>
        <v/>
      </c>
      <c r="AR101">
        <f>(M101-Schema_v5!$C4)/(Schema_v5!$C5-Schema_v5!$C4)</f>
        <v/>
      </c>
      <c r="AS101">
        <f>N101/Schema_v5!$C6</f>
        <v/>
      </c>
      <c r="AT101">
        <f>O101/Schema_v5!$C7</f>
        <v/>
      </c>
      <c r="AU101">
        <f>P101/Schema_v5!$C8</f>
        <v/>
      </c>
      <c r="AV101">
        <f>IF(Schema_v5!$C9=0,0,AH101/Schema_v5!$C9)</f>
        <v/>
      </c>
      <c r="AW101">
        <f>IF(Schema_v5!$C10=0,0,AE101/Schema_v5!$C10)</f>
        <v/>
      </c>
      <c r="AX101">
        <f>(W101-Schema_v5!$C11)/(Schema_v5!$C12-Schema_v5!$C11)</f>
        <v/>
      </c>
      <c r="AY101">
        <f>(X101-Schema_v5!$C13)/(Schema_v5!$C14-Schema_v5!$C13)</f>
        <v/>
      </c>
    </row>
    <row r="102">
      <c r="A102" s="3" t="inlineStr">
        <is>
          <t>Q21_A</t>
        </is>
      </c>
      <c r="B102" s="3" t="n">
        <v>21</v>
      </c>
      <c r="C102" s="3" t="n">
        <v>21</v>
      </c>
      <c r="D102" s="3" t="inlineStr">
        <is>
          <t>Core</t>
        </is>
      </c>
      <c r="E102" s="3" t="n">
        <v>1.1</v>
      </c>
      <c r="F102" s="3" t="inlineStr">
        <is>
          <t>EmotionalRegulation</t>
        </is>
      </c>
      <c r="G102" s="3" t="inlineStr">
        <is>
          <t>AttachmentSafety</t>
        </is>
      </c>
      <c r="H102" s="3" t="inlineStr">
        <is>
          <t>One day they're into you, then distant the next. How do you handle the mixed signals?</t>
        </is>
      </c>
      <c r="I102" s="3" t="inlineStr">
        <is>
          <t>A</t>
        </is>
      </c>
      <c r="J102" s="3" t="inlineStr">
        <is>
          <t>A</t>
        </is>
      </c>
      <c r="K102" s="3" t="inlineStr">
        <is>
          <t>If you're hot and cold, I'm room temperature and gone. I'm not here to decode moods.</t>
        </is>
      </c>
      <c r="L102" s="3" t="n">
        <v>9</v>
      </c>
      <c r="M102" s="3" t="n">
        <v>9</v>
      </c>
      <c r="N102" s="3" t="n">
        <v>10</v>
      </c>
      <c r="O102" s="3" t="n">
        <v>10</v>
      </c>
      <c r="P102" s="3" t="n">
        <v>10</v>
      </c>
      <c r="Q102" s="3" t="inlineStr">
        <is>
          <t>Regulated Grown-Up</t>
        </is>
      </c>
      <c r="R102" s="3" t="n">
        <v>9</v>
      </c>
      <c r="S102" s="3" t="inlineStr"/>
      <c r="T102" s="3" t="inlineStr"/>
      <c r="U102" s="3" t="n">
        <v>0</v>
      </c>
      <c r="V102" s="3" t="inlineStr">
        <is>
          <t>masc:1.1;fem:0.9</t>
        </is>
      </c>
      <c r="W102" s="3" t="n">
        <v>1.1</v>
      </c>
      <c r="X102" s="3" t="n">
        <v>0.9</v>
      </c>
      <c r="Y102" s="3" t="inlineStr">
        <is>
          <t>COMM_Direct</t>
        </is>
      </c>
      <c r="Z102" s="3" t="inlineStr">
        <is>
          <t>REG_CoRegulator</t>
        </is>
      </c>
      <c r="AA102" s="3" t="inlineStr">
        <is>
          <t>LANG_Words</t>
        </is>
      </c>
      <c r="AB102" s="3" t="inlineStr"/>
      <c r="AC102" s="3" t="inlineStr"/>
      <c r="AD102" s="3" t="inlineStr"/>
      <c r="AE102" s="3" t="n">
        <v>0</v>
      </c>
      <c r="AF102" s="3" t="inlineStr">
        <is>
          <t>blunt detachment</t>
        </is>
      </c>
      <c r="AG102" s="3" t="inlineStr">
        <is>
          <t>immediate cutoff</t>
        </is>
      </c>
      <c r="AH102" s="3" t="n">
        <v>1.2</v>
      </c>
      <c r="AI102" s="3" t="inlineStr">
        <is>
          <t>no</t>
        </is>
      </c>
      <c r="AJ102" s="3" t="inlineStr">
        <is>
          <t>no</t>
        </is>
      </c>
      <c r="AK102" s="3" t="inlineStr">
        <is>
          <t>yes</t>
        </is>
      </c>
      <c r="AL102" s="3" t="inlineStr">
        <is>
          <t>yes</t>
        </is>
      </c>
      <c r="AM102" s="3" t="inlineStr"/>
      <c r="AN102" s="3" t="inlineStr"/>
      <c r="AO102" s="3" t="inlineStr"/>
      <c r="AP102" s="3" t="inlineStr">
        <is>
          <t>v3_2026-03-19</t>
        </is>
      </c>
      <c r="AQ102">
        <f>(L102-Schema_v5!$C2)/(Schema_v5!$C3-Schema_v5!$C2)</f>
        <v/>
      </c>
      <c r="AR102">
        <f>(M102-Schema_v5!$C4)/(Schema_v5!$C5-Schema_v5!$C4)</f>
        <v/>
      </c>
      <c r="AS102">
        <f>N102/Schema_v5!$C6</f>
        <v/>
      </c>
      <c r="AT102">
        <f>O102/Schema_v5!$C7</f>
        <v/>
      </c>
      <c r="AU102">
        <f>P102/Schema_v5!$C8</f>
        <v/>
      </c>
      <c r="AV102">
        <f>IF(Schema_v5!$C9=0,0,AH102/Schema_v5!$C9)</f>
        <v/>
      </c>
      <c r="AW102">
        <f>IF(Schema_v5!$C10=0,0,AE102/Schema_v5!$C10)</f>
        <v/>
      </c>
      <c r="AX102">
        <f>(W102-Schema_v5!$C11)/(Schema_v5!$C12-Schema_v5!$C11)</f>
        <v/>
      </c>
      <c r="AY102">
        <f>(X102-Schema_v5!$C13)/(Schema_v5!$C14-Schema_v5!$C13)</f>
        <v/>
      </c>
    </row>
    <row r="103">
      <c r="A103" s="3" t="inlineStr">
        <is>
          <t>Q21_B</t>
        </is>
      </c>
      <c r="B103" s="3" t="n">
        <v>21</v>
      </c>
      <c r="C103" s="3" t="n">
        <v>21</v>
      </c>
      <c r="D103" s="3" t="inlineStr">
        <is>
          <t>Core</t>
        </is>
      </c>
      <c r="E103" s="3" t="n">
        <v>1.1</v>
      </c>
      <c r="F103" s="3" t="inlineStr">
        <is>
          <t>EmotionalRegulation</t>
        </is>
      </c>
      <c r="G103" s="3" t="inlineStr">
        <is>
          <t>AttachmentSafety</t>
        </is>
      </c>
      <c r="H103" s="3" t="inlineStr"/>
      <c r="I103" s="3" t="inlineStr">
        <is>
          <t>B</t>
        </is>
      </c>
      <c r="J103" s="3" t="inlineStr">
        <is>
          <t>B</t>
        </is>
      </c>
      <c r="K103" s="3" t="inlineStr">
        <is>
          <t>I recheck our last texts. Then I reread mine. Then I wonder if I should've said less, or more. I don't bring it up, but it definitely rewires how I respond.</t>
        </is>
      </c>
      <c r="L103" s="3" t="n">
        <v>5</v>
      </c>
      <c r="M103" s="3" t="n">
        <v>6</v>
      </c>
      <c r="N103" s="3" t="n">
        <v>4</v>
      </c>
      <c r="O103" s="3" t="n">
        <v>4</v>
      </c>
      <c r="P103" s="3" t="n">
        <v>2</v>
      </c>
      <c r="Q103" s="3" t="inlineStr">
        <is>
          <t>Analyzer</t>
        </is>
      </c>
      <c r="R103" s="3" t="n">
        <v>2</v>
      </c>
      <c r="S103" s="3" t="inlineStr"/>
      <c r="T103" s="3" t="inlineStr"/>
      <c r="U103" s="3" t="n">
        <v>0</v>
      </c>
      <c r="V103" s="3" t="inlineStr">
        <is>
          <t>masc:1.4;fem:0.1</t>
        </is>
      </c>
      <c r="W103" s="3" t="n">
        <v>1.4</v>
      </c>
      <c r="X103" s="3" t="n">
        <v>0.1</v>
      </c>
      <c r="Y103" s="3" t="inlineStr">
        <is>
          <t>COMM_Logical</t>
        </is>
      </c>
      <c r="Z103" s="3" t="inlineStr">
        <is>
          <t>REG_SelfSoother</t>
        </is>
      </c>
      <c r="AA103" s="3" t="inlineStr">
        <is>
          <t>LANG_Service</t>
        </is>
      </c>
      <c r="AB103" s="3" t="inlineStr">
        <is>
          <t>Trust_Tension</t>
        </is>
      </c>
      <c r="AC103" s="3" t="inlineStr">
        <is>
          <t>Trust_Tension</t>
        </is>
      </c>
      <c r="AD103" s="3" t="inlineStr"/>
      <c r="AE103" s="3" t="n">
        <v>6</v>
      </c>
      <c r="AF103" s="3" t="inlineStr">
        <is>
          <t>emotional spiral</t>
        </is>
      </c>
      <c r="AG103" s="3" t="inlineStr">
        <is>
          <t>overanalyzer</t>
        </is>
      </c>
      <c r="AH103" s="3" t="n">
        <v>0</v>
      </c>
      <c r="AI103" s="3" t="inlineStr">
        <is>
          <t>yes</t>
        </is>
      </c>
      <c r="AJ103" s="3" t="inlineStr">
        <is>
          <t>no</t>
        </is>
      </c>
      <c r="AK103" s="3" t="inlineStr">
        <is>
          <t>yes</t>
        </is>
      </c>
      <c r="AL103" s="3" t="inlineStr">
        <is>
          <t>yes</t>
        </is>
      </c>
      <c r="AM103" s="3" t="inlineStr"/>
      <c r="AN103" s="3" t="inlineStr"/>
      <c r="AO103" s="3" t="inlineStr"/>
      <c r="AP103" s="3" t="inlineStr">
        <is>
          <t>v3_2026-03-19</t>
        </is>
      </c>
      <c r="AQ103">
        <f>(L103-Schema_v5!$C2)/(Schema_v5!$C3-Schema_v5!$C2)</f>
        <v/>
      </c>
      <c r="AR103">
        <f>(M103-Schema_v5!$C4)/(Schema_v5!$C5-Schema_v5!$C4)</f>
        <v/>
      </c>
      <c r="AS103">
        <f>N103/Schema_v5!$C6</f>
        <v/>
      </c>
      <c r="AT103">
        <f>O103/Schema_v5!$C7</f>
        <v/>
      </c>
      <c r="AU103">
        <f>P103/Schema_v5!$C8</f>
        <v/>
      </c>
      <c r="AV103">
        <f>IF(Schema_v5!$C9=0,0,AH103/Schema_v5!$C9)</f>
        <v/>
      </c>
      <c r="AW103">
        <f>IF(Schema_v5!$C10=0,0,AE103/Schema_v5!$C10)</f>
        <v/>
      </c>
      <c r="AX103">
        <f>(W103-Schema_v5!$C11)/(Schema_v5!$C12-Schema_v5!$C11)</f>
        <v/>
      </c>
      <c r="AY103">
        <f>(X103-Schema_v5!$C13)/(Schema_v5!$C14-Schema_v5!$C13)</f>
        <v/>
      </c>
    </row>
    <row r="104">
      <c r="A104" s="3" t="inlineStr">
        <is>
          <t>Q21_C</t>
        </is>
      </c>
      <c r="B104" s="3" t="n">
        <v>21</v>
      </c>
      <c r="C104" s="3" t="n">
        <v>21</v>
      </c>
      <c r="D104" s="3" t="inlineStr">
        <is>
          <t>Core</t>
        </is>
      </c>
      <c r="E104" s="3" t="n">
        <v>1.1</v>
      </c>
      <c r="F104" s="3" t="inlineStr">
        <is>
          <t>EmotionalRegulation</t>
        </is>
      </c>
      <c r="G104" s="3" t="inlineStr">
        <is>
          <t>AttachmentSafety</t>
        </is>
      </c>
      <c r="H104" s="3" t="inlineStr"/>
      <c r="I104" s="3" t="inlineStr">
        <is>
          <t>C</t>
        </is>
      </c>
      <c r="J104" s="3" t="inlineStr">
        <is>
          <t>C</t>
        </is>
      </c>
      <c r="K104" s="3" t="inlineStr">
        <is>
          <t>I back off. They'll either notice or they won't. I'm not chasing people who don't know what they want.</t>
        </is>
      </c>
      <c r="L104" s="3" t="n">
        <v>4</v>
      </c>
      <c r="M104" s="3" t="n">
        <v>5</v>
      </c>
      <c r="N104" s="3" t="n">
        <v>0</v>
      </c>
      <c r="O104" s="3" t="n">
        <v>0</v>
      </c>
      <c r="P104" s="3" t="n">
        <v>0</v>
      </c>
      <c r="Q104" s="3" t="inlineStr">
        <is>
          <t>Icebox</t>
        </is>
      </c>
      <c r="R104" s="3" t="n">
        <v>1</v>
      </c>
      <c r="S104" s="3" t="inlineStr"/>
      <c r="T104" s="3" t="inlineStr"/>
      <c r="U104" s="3" t="n">
        <v>0</v>
      </c>
      <c r="V104" s="3" t="inlineStr">
        <is>
          <t>masc:1.8;fem:-1.6</t>
        </is>
      </c>
      <c r="W104" s="3" t="n">
        <v>1.8</v>
      </c>
      <c r="X104" s="3" t="n">
        <v>-1.6</v>
      </c>
      <c r="Y104" s="3" t="inlineStr">
        <is>
          <t>COMM_Avoidant</t>
        </is>
      </c>
      <c r="Z104" s="3" t="inlineStr">
        <is>
          <t>REG_Suppressor</t>
        </is>
      </c>
      <c r="AA104" s="3" t="inlineStr">
        <is>
          <t>LANG_Time</t>
        </is>
      </c>
      <c r="AB104" s="3" t="inlineStr">
        <is>
          <t>Vulnerability_Loop</t>
        </is>
      </c>
      <c r="AC104" s="3" t="inlineStr">
        <is>
          <t>Vulnerability_Loop</t>
        </is>
      </c>
      <c r="AD104" s="3" t="inlineStr"/>
      <c r="AE104" s="3" t="n">
        <v>5</v>
      </c>
      <c r="AF104" s="3" t="inlineStr">
        <is>
          <t>quiet burn</t>
        </is>
      </c>
      <c r="AG104" s="3" t="inlineStr">
        <is>
          <t>disengaged pullback</t>
        </is>
      </c>
      <c r="AH104" s="3" t="n">
        <v>0.6</v>
      </c>
      <c r="AI104" s="3" t="inlineStr">
        <is>
          <t>yes</t>
        </is>
      </c>
      <c r="AJ104" s="3" t="inlineStr">
        <is>
          <t>no</t>
        </is>
      </c>
      <c r="AK104" s="3" t="inlineStr">
        <is>
          <t>yes</t>
        </is>
      </c>
      <c r="AL104" s="3" t="inlineStr">
        <is>
          <t>yes</t>
        </is>
      </c>
      <c r="AM104" s="3" t="inlineStr"/>
      <c r="AN104" s="3" t="inlineStr"/>
      <c r="AO104" s="3" t="inlineStr"/>
      <c r="AP104" s="3" t="inlineStr">
        <is>
          <t>v3_2026-03-19</t>
        </is>
      </c>
      <c r="AQ104">
        <f>(L104-Schema_v5!$C2)/(Schema_v5!$C3-Schema_v5!$C2)</f>
        <v/>
      </c>
      <c r="AR104">
        <f>(M104-Schema_v5!$C4)/(Schema_v5!$C5-Schema_v5!$C4)</f>
        <v/>
      </c>
      <c r="AS104">
        <f>N104/Schema_v5!$C6</f>
        <v/>
      </c>
      <c r="AT104">
        <f>O104/Schema_v5!$C7</f>
        <v/>
      </c>
      <c r="AU104">
        <f>P104/Schema_v5!$C8</f>
        <v/>
      </c>
      <c r="AV104">
        <f>IF(Schema_v5!$C9=0,0,AH104/Schema_v5!$C9)</f>
        <v/>
      </c>
      <c r="AW104">
        <f>IF(Schema_v5!$C10=0,0,AE104/Schema_v5!$C10)</f>
        <v/>
      </c>
      <c r="AX104">
        <f>(W104-Schema_v5!$C11)/(Schema_v5!$C12-Schema_v5!$C11)</f>
        <v/>
      </c>
      <c r="AY104">
        <f>(X104-Schema_v5!$C13)/(Schema_v5!$C14-Schema_v5!$C13)</f>
        <v/>
      </c>
    </row>
    <row r="105">
      <c r="A105" s="3" t="inlineStr">
        <is>
          <t>Q21_D</t>
        </is>
      </c>
      <c r="B105" s="3" t="n">
        <v>21</v>
      </c>
      <c r="C105" s="3" t="n">
        <v>21</v>
      </c>
      <c r="D105" s="3" t="inlineStr">
        <is>
          <t>Core</t>
        </is>
      </c>
      <c r="E105" s="3" t="n">
        <v>1.1</v>
      </c>
      <c r="F105" s="3" t="inlineStr">
        <is>
          <t>EmotionalRegulation</t>
        </is>
      </c>
      <c r="G105" s="3" t="inlineStr">
        <is>
          <t>AttachmentSafety</t>
        </is>
      </c>
      <c r="H105" s="3" t="inlineStr"/>
      <c r="I105" s="3" t="inlineStr">
        <is>
          <t>D</t>
        </is>
      </c>
      <c r="J105" s="3" t="inlineStr">
        <is>
          <t>D</t>
        </is>
      </c>
      <c r="K105" s="3" t="inlineStr">
        <is>
          <t>I stop bringing things up. If they don't want me, I'm not going to beg to be understood. I've played that game before.</t>
        </is>
      </c>
      <c r="L105" s="3" t="n">
        <v>6</v>
      </c>
      <c r="M105" s="3" t="n">
        <v>7</v>
      </c>
      <c r="N105" s="3" t="n">
        <v>4</v>
      </c>
      <c r="O105" s="3" t="n">
        <v>4</v>
      </c>
      <c r="P105" s="3" t="n">
        <v>4</v>
      </c>
      <c r="Q105" s="3" t="inlineStr">
        <is>
          <t>Fixer</t>
        </is>
      </c>
      <c r="R105" s="3" t="n">
        <v>5</v>
      </c>
      <c r="S105" s="3" t="inlineStr"/>
      <c r="T105" s="3" t="inlineStr"/>
      <c r="U105" s="3" t="n">
        <v>0</v>
      </c>
      <c r="V105" s="3" t="inlineStr">
        <is>
          <t>masc:-0.4;fem:2.0</t>
        </is>
      </c>
      <c r="W105" s="3" t="n">
        <v>-0.4</v>
      </c>
      <c r="X105" s="3" t="n">
        <v>2</v>
      </c>
      <c r="Y105" s="3" t="inlineStr">
        <is>
          <t>COMM_Emotional</t>
        </is>
      </c>
      <c r="Z105" s="3" t="inlineStr">
        <is>
          <t>REG_CoRegulator</t>
        </is>
      </c>
      <c r="AA105" s="3" t="inlineStr">
        <is>
          <t>LANG_Service</t>
        </is>
      </c>
      <c r="AB105" s="3" t="inlineStr">
        <is>
          <t>Affection_Mismatch , Independence_Collision</t>
        </is>
      </c>
      <c r="AC105" s="3" t="inlineStr">
        <is>
          <t>Affection_Mismatch</t>
        </is>
      </c>
      <c r="AD105" s="3" t="inlineStr">
        <is>
          <t>Independence_Collision</t>
        </is>
      </c>
      <c r="AE105" s="3" t="n">
        <v>9</v>
      </c>
      <c r="AF105" s="3" t="inlineStr">
        <is>
          <t>resigned caregiver</t>
        </is>
      </c>
      <c r="AG105" s="3" t="inlineStr">
        <is>
          <t>silent surrender</t>
        </is>
      </c>
      <c r="AH105" s="3" t="n">
        <v>1.2</v>
      </c>
      <c r="AI105" s="3" t="inlineStr">
        <is>
          <t>yes</t>
        </is>
      </c>
      <c r="AJ105" s="3" t="inlineStr">
        <is>
          <t>no</t>
        </is>
      </c>
      <c r="AK105" s="3" t="inlineStr">
        <is>
          <t>yes</t>
        </is>
      </c>
      <c r="AL105" s="3" t="inlineStr">
        <is>
          <t>yes</t>
        </is>
      </c>
      <c r="AM105" s="3" t="inlineStr"/>
      <c r="AN105" s="3" t="inlineStr"/>
      <c r="AO105" s="3" t="inlineStr"/>
      <c r="AP105" s="3" t="inlineStr">
        <is>
          <t>v3_2026-03-19</t>
        </is>
      </c>
      <c r="AQ105">
        <f>(L105-Schema_v5!$C2)/(Schema_v5!$C3-Schema_v5!$C2)</f>
        <v/>
      </c>
      <c r="AR105">
        <f>(M105-Schema_v5!$C4)/(Schema_v5!$C5-Schema_v5!$C4)</f>
        <v/>
      </c>
      <c r="AS105">
        <f>N105/Schema_v5!$C6</f>
        <v/>
      </c>
      <c r="AT105">
        <f>O105/Schema_v5!$C7</f>
        <v/>
      </c>
      <c r="AU105">
        <f>P105/Schema_v5!$C8</f>
        <v/>
      </c>
      <c r="AV105">
        <f>IF(Schema_v5!$C9=0,0,AH105/Schema_v5!$C9)</f>
        <v/>
      </c>
      <c r="AW105">
        <f>IF(Schema_v5!$C10=0,0,AE105/Schema_v5!$C10)</f>
        <v/>
      </c>
      <c r="AX105">
        <f>(W105-Schema_v5!$C11)/(Schema_v5!$C12-Schema_v5!$C11)</f>
        <v/>
      </c>
      <c r="AY105">
        <f>(X105-Schema_v5!$C13)/(Schema_v5!$C14-Schema_v5!$C13)</f>
        <v/>
      </c>
    </row>
    <row r="106">
      <c r="A106" s="3" t="inlineStr">
        <is>
          <t>Q21_E</t>
        </is>
      </c>
      <c r="B106" s="3" t="n">
        <v>21</v>
      </c>
      <c r="C106" s="3" t="n">
        <v>21</v>
      </c>
      <c r="D106" s="3" t="inlineStr">
        <is>
          <t>Core</t>
        </is>
      </c>
      <c r="E106" s="3" t="n">
        <v>1.1</v>
      </c>
      <c r="F106" s="3" t="inlineStr">
        <is>
          <t>EmotionalRegulation</t>
        </is>
      </c>
      <c r="G106" s="3" t="inlineStr">
        <is>
          <t>AttachmentSafety</t>
        </is>
      </c>
      <c r="H106" s="3" t="inlineStr"/>
      <c r="I106" s="3" t="inlineStr">
        <is>
          <t>E</t>
        </is>
      </c>
      <c r="J106" s="3" t="inlineStr">
        <is>
          <t>E</t>
        </is>
      </c>
      <c r="K106" s="3" t="inlineStr">
        <is>
          <t>I tell myself it's probably just stress or a bad week. I don't want to give up too early, but it's hard not to notice when it shifts.</t>
        </is>
      </c>
      <c r="L106" s="3" t="n">
        <v>7</v>
      </c>
      <c r="M106" s="3" t="n">
        <v>8</v>
      </c>
      <c r="N106" s="3" t="n">
        <v>6</v>
      </c>
      <c r="O106" s="3" t="n">
        <v>6</v>
      </c>
      <c r="P106" s="3" t="n">
        <v>4</v>
      </c>
      <c r="Q106" s="3" t="inlineStr">
        <is>
          <t>Romantic Idealist</t>
        </is>
      </c>
      <c r="R106" s="3" t="n">
        <v>6</v>
      </c>
      <c r="S106" s="3" t="inlineStr"/>
      <c r="T106" s="3" t="inlineStr"/>
      <c r="U106" s="3" t="n">
        <v>0</v>
      </c>
      <c r="V106" s="3" t="inlineStr">
        <is>
          <t>masc:-0.4;fem:1.5</t>
        </is>
      </c>
      <c r="W106" s="3" t="n">
        <v>-0.4</v>
      </c>
      <c r="X106" s="3" t="n">
        <v>1.5</v>
      </c>
      <c r="Y106" s="3" t="inlineStr">
        <is>
          <t>COMM_Emotional</t>
        </is>
      </c>
      <c r="Z106" s="3" t="inlineStr">
        <is>
          <t>REG_Distractor</t>
        </is>
      </c>
      <c r="AA106" s="3" t="inlineStr">
        <is>
          <t>LANG_Gifts</t>
        </is>
      </c>
      <c r="AB106" s="3" t="inlineStr"/>
      <c r="AC106" s="3" t="inlineStr"/>
      <c r="AD106" s="3" t="inlineStr"/>
      <c r="AE106" s="3" t="n">
        <v>0</v>
      </c>
      <c r="AF106" s="3" t="inlineStr">
        <is>
          <t>tired hope</t>
        </is>
      </c>
      <c r="AG106" s="3" t="inlineStr">
        <is>
          <t>cautious optimist</t>
        </is>
      </c>
      <c r="AH106" s="3" t="n">
        <v>0</v>
      </c>
      <c r="AI106" s="3" t="inlineStr">
        <is>
          <t>no</t>
        </is>
      </c>
      <c r="AJ106" s="3" t="inlineStr">
        <is>
          <t>no</t>
        </is>
      </c>
      <c r="AK106" s="3" t="inlineStr">
        <is>
          <t>yes</t>
        </is>
      </c>
      <c r="AL106" s="3" t="inlineStr">
        <is>
          <t>yes</t>
        </is>
      </c>
      <c r="AM106" s="3" t="inlineStr"/>
      <c r="AN106" s="3" t="inlineStr"/>
      <c r="AO106" s="3" t="inlineStr"/>
      <c r="AP106" s="3" t="inlineStr">
        <is>
          <t>v3_2026-03-19</t>
        </is>
      </c>
      <c r="AQ106">
        <f>(L106-Schema_v5!$C2)/(Schema_v5!$C3-Schema_v5!$C2)</f>
        <v/>
      </c>
      <c r="AR106">
        <f>(M106-Schema_v5!$C4)/(Schema_v5!$C5-Schema_v5!$C4)</f>
        <v/>
      </c>
      <c r="AS106">
        <f>N106/Schema_v5!$C6</f>
        <v/>
      </c>
      <c r="AT106">
        <f>O106/Schema_v5!$C7</f>
        <v/>
      </c>
      <c r="AU106">
        <f>P106/Schema_v5!$C8</f>
        <v/>
      </c>
      <c r="AV106">
        <f>IF(Schema_v5!$C9=0,0,AH106/Schema_v5!$C9)</f>
        <v/>
      </c>
      <c r="AW106">
        <f>IF(Schema_v5!$C10=0,0,AE106/Schema_v5!$C10)</f>
        <v/>
      </c>
      <c r="AX106">
        <f>(W106-Schema_v5!$C11)/(Schema_v5!$C12-Schema_v5!$C11)</f>
        <v/>
      </c>
      <c r="AY106">
        <f>(X106-Schema_v5!$C13)/(Schema_v5!$C14-Schema_v5!$C13)</f>
        <v/>
      </c>
    </row>
    <row r="107">
      <c r="A107" s="3" t="inlineStr">
        <is>
          <t>Q22_A</t>
        </is>
      </c>
      <c r="B107" s="3" t="n">
        <v>22</v>
      </c>
      <c r="C107" s="3" t="n">
        <v>22</v>
      </c>
      <c r="D107" s="3" t="inlineStr">
        <is>
          <t>Core</t>
        </is>
      </c>
      <c r="E107" s="3" t="n">
        <v>1.1</v>
      </c>
      <c r="F107" s="3" t="inlineStr">
        <is>
          <t>EmotionalRegulation</t>
        </is>
      </c>
      <c r="G107" s="3" t="inlineStr">
        <is>
          <t>AttachmentSafety</t>
        </is>
      </c>
      <c r="H107" s="3" t="inlineStr">
        <is>
          <t>You're deep in conversation and they suddenly shut down or go quiet. What do you do next?</t>
        </is>
      </c>
      <c r="I107" s="3" t="inlineStr">
        <is>
          <t>A</t>
        </is>
      </c>
      <c r="J107" s="3" t="inlineStr">
        <is>
          <t>A</t>
        </is>
      </c>
      <c r="K107" s="3" t="inlineStr">
        <is>
          <t>I give them space. If they want to talk, they will. If not, I take the hint.</t>
        </is>
      </c>
      <c r="L107" s="3" t="n">
        <v>8</v>
      </c>
      <c r="M107" s="3" t="n">
        <v>8</v>
      </c>
      <c r="N107" s="3" t="n">
        <v>4</v>
      </c>
      <c r="O107" s="3" t="n">
        <v>4</v>
      </c>
      <c r="P107" s="3" t="n">
        <v>0</v>
      </c>
      <c r="Q107" s="3" t="inlineStr">
        <is>
          <t>Icebox</t>
        </is>
      </c>
      <c r="R107" s="3" t="n">
        <v>1</v>
      </c>
      <c r="S107" s="3" t="inlineStr"/>
      <c r="T107" s="3" t="inlineStr"/>
      <c r="U107" s="3" t="n">
        <v>0</v>
      </c>
      <c r="V107" s="3" t="inlineStr">
        <is>
          <t>masc:1.8;fem:-1.6</t>
        </is>
      </c>
      <c r="W107" s="3" t="n">
        <v>1.8</v>
      </c>
      <c r="X107" s="3" t="n">
        <v>-1.6</v>
      </c>
      <c r="Y107" s="3" t="inlineStr">
        <is>
          <t>COMM_Avoidant</t>
        </is>
      </c>
      <c r="Z107" s="3" t="inlineStr">
        <is>
          <t>REG_Suppressor</t>
        </is>
      </c>
      <c r="AA107" s="3" t="inlineStr">
        <is>
          <t>LANG_Time</t>
        </is>
      </c>
      <c r="AB107" s="3" t="inlineStr"/>
      <c r="AC107" s="3" t="inlineStr"/>
      <c r="AD107" s="3" t="inlineStr"/>
      <c r="AE107" s="3" t="n">
        <v>0</v>
      </c>
      <c r="AF107" s="3" t="inlineStr">
        <is>
          <t>detached cool</t>
        </is>
      </c>
      <c r="AG107" s="3" t="inlineStr">
        <is>
          <t>patient withdrawer</t>
        </is>
      </c>
      <c r="AH107" s="3" t="n">
        <v>1.2</v>
      </c>
      <c r="AI107" s="3" t="inlineStr">
        <is>
          <t>no</t>
        </is>
      </c>
      <c r="AJ107" s="3" t="inlineStr">
        <is>
          <t>no</t>
        </is>
      </c>
      <c r="AK107" s="3" t="inlineStr">
        <is>
          <t>yes</t>
        </is>
      </c>
      <c r="AL107" s="3" t="inlineStr">
        <is>
          <t>yes</t>
        </is>
      </c>
      <c r="AM107" s="3" t="inlineStr"/>
      <c r="AN107" s="3" t="inlineStr"/>
      <c r="AO107" s="3" t="inlineStr"/>
      <c r="AP107" s="3" t="inlineStr">
        <is>
          <t>v3_2026-03-19</t>
        </is>
      </c>
      <c r="AQ107">
        <f>(L107-Schema_v5!$C2)/(Schema_v5!$C3-Schema_v5!$C2)</f>
        <v/>
      </c>
      <c r="AR107">
        <f>(M107-Schema_v5!$C4)/(Schema_v5!$C5-Schema_v5!$C4)</f>
        <v/>
      </c>
      <c r="AS107">
        <f>N107/Schema_v5!$C6</f>
        <v/>
      </c>
      <c r="AT107">
        <f>O107/Schema_v5!$C7</f>
        <v/>
      </c>
      <c r="AU107">
        <f>P107/Schema_v5!$C8</f>
        <v/>
      </c>
      <c r="AV107">
        <f>IF(Schema_v5!$C9=0,0,AH107/Schema_v5!$C9)</f>
        <v/>
      </c>
      <c r="AW107">
        <f>IF(Schema_v5!$C10=0,0,AE107/Schema_v5!$C10)</f>
        <v/>
      </c>
      <c r="AX107">
        <f>(W107-Schema_v5!$C11)/(Schema_v5!$C12-Schema_v5!$C11)</f>
        <v/>
      </c>
      <c r="AY107">
        <f>(X107-Schema_v5!$C13)/(Schema_v5!$C14-Schema_v5!$C13)</f>
        <v/>
      </c>
    </row>
    <row r="108">
      <c r="A108" s="3" t="inlineStr">
        <is>
          <t>Q22_B</t>
        </is>
      </c>
      <c r="B108" s="3" t="n">
        <v>22</v>
      </c>
      <c r="C108" s="3" t="n">
        <v>22</v>
      </c>
      <c r="D108" s="3" t="inlineStr">
        <is>
          <t>Core</t>
        </is>
      </c>
      <c r="E108" s="3" t="n">
        <v>1.1</v>
      </c>
      <c r="F108" s="3" t="inlineStr">
        <is>
          <t>EmotionalRegulation</t>
        </is>
      </c>
      <c r="G108" s="3" t="inlineStr">
        <is>
          <t>AttachmentSafety</t>
        </is>
      </c>
      <c r="H108" s="3" t="inlineStr"/>
      <c r="I108" s="3" t="inlineStr">
        <is>
          <t>B</t>
        </is>
      </c>
      <c r="J108" s="3" t="inlineStr">
        <is>
          <t>B</t>
        </is>
      </c>
      <c r="K108" s="3" t="inlineStr">
        <is>
          <t>I immediately think I said something wrong. I start scanning every word trying to figure out what triggered it.</t>
        </is>
      </c>
      <c r="L108" s="3" t="n">
        <v>4</v>
      </c>
      <c r="M108" s="3" t="n">
        <v>5</v>
      </c>
      <c r="N108" s="3" t="n">
        <v>2</v>
      </c>
      <c r="O108" s="3" t="n">
        <v>2</v>
      </c>
      <c r="P108" s="3" t="n">
        <v>2</v>
      </c>
      <c r="Q108" s="3" t="inlineStr">
        <is>
          <t>Analyzer</t>
        </is>
      </c>
      <c r="R108" s="3" t="n">
        <v>2</v>
      </c>
      <c r="S108" s="3" t="inlineStr"/>
      <c r="T108" s="3" t="inlineStr"/>
      <c r="U108" s="3" t="n">
        <v>0</v>
      </c>
      <c r="V108" s="3" t="inlineStr">
        <is>
          <t>masc:1.4;fem:0.1</t>
        </is>
      </c>
      <c r="W108" s="3" t="n">
        <v>1.4</v>
      </c>
      <c r="X108" s="3" t="n">
        <v>0.1</v>
      </c>
      <c r="Y108" s="3" t="inlineStr">
        <is>
          <t>COMM_Logical</t>
        </is>
      </c>
      <c r="Z108" s="3" t="inlineStr">
        <is>
          <t>REG_SelfSoother</t>
        </is>
      </c>
      <c r="AA108" s="3" t="inlineStr">
        <is>
          <t>LANG_Service</t>
        </is>
      </c>
      <c r="AB108" s="3" t="inlineStr">
        <is>
          <t>Vulnerability_Loop</t>
        </is>
      </c>
      <c r="AC108" s="3" t="inlineStr">
        <is>
          <t>Vulnerability_Loop</t>
        </is>
      </c>
      <c r="AD108" s="3" t="inlineStr"/>
      <c r="AE108" s="3" t="n">
        <v>5</v>
      </c>
      <c r="AF108" s="3" t="inlineStr">
        <is>
          <t>inner spiral</t>
        </is>
      </c>
      <c r="AG108" s="3" t="inlineStr">
        <is>
          <t>self-blamer</t>
        </is>
      </c>
      <c r="AH108" s="3" t="n">
        <v>0</v>
      </c>
      <c r="AI108" s="3" t="inlineStr">
        <is>
          <t>yes</t>
        </is>
      </c>
      <c r="AJ108" s="3" t="inlineStr">
        <is>
          <t>no</t>
        </is>
      </c>
      <c r="AK108" s="3" t="inlineStr">
        <is>
          <t>yes</t>
        </is>
      </c>
      <c r="AL108" s="3" t="inlineStr">
        <is>
          <t>yes</t>
        </is>
      </c>
      <c r="AM108" s="3" t="inlineStr"/>
      <c r="AN108" s="3" t="inlineStr"/>
      <c r="AO108" s="3" t="inlineStr"/>
      <c r="AP108" s="3" t="inlineStr">
        <is>
          <t>v3_2026-03-19</t>
        </is>
      </c>
      <c r="AQ108">
        <f>(L108-Schema_v5!$C2)/(Schema_v5!$C3-Schema_v5!$C2)</f>
        <v/>
      </c>
      <c r="AR108">
        <f>(M108-Schema_v5!$C4)/(Schema_v5!$C5-Schema_v5!$C4)</f>
        <v/>
      </c>
      <c r="AS108">
        <f>N108/Schema_v5!$C6</f>
        <v/>
      </c>
      <c r="AT108">
        <f>O108/Schema_v5!$C7</f>
        <v/>
      </c>
      <c r="AU108">
        <f>P108/Schema_v5!$C8</f>
        <v/>
      </c>
      <c r="AV108">
        <f>IF(Schema_v5!$C9=0,0,AH108/Schema_v5!$C9)</f>
        <v/>
      </c>
      <c r="AW108">
        <f>IF(Schema_v5!$C10=0,0,AE108/Schema_v5!$C10)</f>
        <v/>
      </c>
      <c r="AX108">
        <f>(W108-Schema_v5!$C11)/(Schema_v5!$C12-Schema_v5!$C11)</f>
        <v/>
      </c>
      <c r="AY108">
        <f>(X108-Schema_v5!$C13)/(Schema_v5!$C14-Schema_v5!$C13)</f>
        <v/>
      </c>
    </row>
    <row r="109">
      <c r="A109" s="3" t="inlineStr">
        <is>
          <t>Q22_C</t>
        </is>
      </c>
      <c r="B109" s="3" t="n">
        <v>22</v>
      </c>
      <c r="C109" s="3" t="n">
        <v>22</v>
      </c>
      <c r="D109" s="3" t="inlineStr">
        <is>
          <t>Core</t>
        </is>
      </c>
      <c r="E109" s="3" t="n">
        <v>1.1</v>
      </c>
      <c r="F109" s="3" t="inlineStr">
        <is>
          <t>EmotionalRegulation</t>
        </is>
      </c>
      <c r="G109" s="3" t="inlineStr">
        <is>
          <t>AttachmentSafety</t>
        </is>
      </c>
      <c r="H109" s="3" t="inlineStr"/>
      <c r="I109" s="3" t="inlineStr">
        <is>
          <t>C</t>
        </is>
      </c>
      <c r="J109" s="3" t="inlineStr">
        <is>
          <t>C</t>
        </is>
      </c>
      <c r="K109" s="3" t="inlineStr">
        <is>
          <t>I'll ask once. If it's brushed off or ignored, I shift. I'm not the type to sit in someone else's silence for long.</t>
        </is>
      </c>
      <c r="L109" s="3" t="n">
        <v>9</v>
      </c>
      <c r="M109" s="3" t="n">
        <v>9</v>
      </c>
      <c r="N109" s="3" t="n">
        <v>10</v>
      </c>
      <c r="O109" s="3" t="n">
        <v>10</v>
      </c>
      <c r="P109" s="3" t="n">
        <v>10</v>
      </c>
      <c r="Q109" s="3" t="inlineStr">
        <is>
          <t>Regulated Grown-Up</t>
        </is>
      </c>
      <c r="R109" s="3" t="n">
        <v>9</v>
      </c>
      <c r="S109" s="3" t="inlineStr"/>
      <c r="T109" s="3" t="inlineStr"/>
      <c r="U109" s="3" t="n">
        <v>0</v>
      </c>
      <c r="V109" s="3" t="inlineStr">
        <is>
          <t>masc:1.1;fem:0.9</t>
        </is>
      </c>
      <c r="W109" s="3" t="n">
        <v>1.1</v>
      </c>
      <c r="X109" s="3" t="n">
        <v>0.9</v>
      </c>
      <c r="Y109" s="3" t="inlineStr">
        <is>
          <t>COMM_Direct</t>
        </is>
      </c>
      <c r="Z109" s="3" t="inlineStr">
        <is>
          <t>REG_CoRegulator</t>
        </is>
      </c>
      <c r="AA109" s="3" t="inlineStr">
        <is>
          <t>LANG_Words</t>
        </is>
      </c>
      <c r="AB109" s="3" t="inlineStr"/>
      <c r="AC109" s="3" t="inlineStr"/>
      <c r="AD109" s="3" t="inlineStr"/>
      <c r="AE109" s="3" t="n">
        <v>0</v>
      </c>
      <c r="AF109" s="3" t="inlineStr">
        <is>
          <t>direct with boundaries</t>
        </is>
      </c>
      <c r="AG109" s="3" t="inlineStr">
        <is>
          <t>firm line-setter</t>
        </is>
      </c>
      <c r="AH109" s="3" t="n">
        <v>0</v>
      </c>
      <c r="AI109" s="3" t="inlineStr">
        <is>
          <t>no</t>
        </is>
      </c>
      <c r="AJ109" s="3" t="inlineStr">
        <is>
          <t>no</t>
        </is>
      </c>
      <c r="AK109" s="3" t="inlineStr">
        <is>
          <t>yes</t>
        </is>
      </c>
      <c r="AL109" s="3" t="inlineStr">
        <is>
          <t>yes</t>
        </is>
      </c>
      <c r="AM109" s="3" t="inlineStr"/>
      <c r="AN109" s="3" t="inlineStr"/>
      <c r="AO109" s="3" t="inlineStr"/>
      <c r="AP109" s="3" t="inlineStr">
        <is>
          <t>v3_2026-03-19</t>
        </is>
      </c>
      <c r="AQ109">
        <f>(L109-Schema_v5!$C2)/(Schema_v5!$C3-Schema_v5!$C2)</f>
        <v/>
      </c>
      <c r="AR109">
        <f>(M109-Schema_v5!$C4)/(Schema_v5!$C5-Schema_v5!$C4)</f>
        <v/>
      </c>
      <c r="AS109">
        <f>N109/Schema_v5!$C6</f>
        <v/>
      </c>
      <c r="AT109">
        <f>O109/Schema_v5!$C7</f>
        <v/>
      </c>
      <c r="AU109">
        <f>P109/Schema_v5!$C8</f>
        <v/>
      </c>
      <c r="AV109">
        <f>IF(Schema_v5!$C9=0,0,AH109/Schema_v5!$C9)</f>
        <v/>
      </c>
      <c r="AW109">
        <f>IF(Schema_v5!$C10=0,0,AE109/Schema_v5!$C10)</f>
        <v/>
      </c>
      <c r="AX109">
        <f>(W109-Schema_v5!$C11)/(Schema_v5!$C12-Schema_v5!$C11)</f>
        <v/>
      </c>
      <c r="AY109">
        <f>(X109-Schema_v5!$C13)/(Schema_v5!$C14-Schema_v5!$C13)</f>
        <v/>
      </c>
    </row>
    <row r="110">
      <c r="A110" s="3" t="inlineStr">
        <is>
          <t>Q22_D</t>
        </is>
      </c>
      <c r="B110" s="3" t="n">
        <v>22</v>
      </c>
      <c r="C110" s="3" t="n">
        <v>22</v>
      </c>
      <c r="D110" s="3" t="inlineStr">
        <is>
          <t>Core</t>
        </is>
      </c>
      <c r="E110" s="3" t="n">
        <v>1.1</v>
      </c>
      <c r="F110" s="3" t="inlineStr">
        <is>
          <t>EmotionalRegulation</t>
        </is>
      </c>
      <c r="G110" s="3" t="inlineStr">
        <is>
          <t>AttachmentSafety</t>
        </is>
      </c>
      <c r="H110" s="3" t="inlineStr"/>
      <c r="I110" s="3" t="inlineStr">
        <is>
          <t>D</t>
        </is>
      </c>
      <c r="J110" s="3" t="inlineStr">
        <is>
          <t>D</t>
        </is>
      </c>
      <c r="K110" s="3" t="inlineStr">
        <is>
          <t>I try to keep the mood up, shift the subject, make it feel less tense,even if I'm freaking out a little inside.</t>
        </is>
      </c>
      <c r="L110" s="3" t="n">
        <v>6</v>
      </c>
      <c r="M110" s="3" t="n">
        <v>7</v>
      </c>
      <c r="N110" s="3" t="n">
        <v>4</v>
      </c>
      <c r="O110" s="3" t="n">
        <v>4</v>
      </c>
      <c r="P110" s="3" t="n">
        <v>2</v>
      </c>
      <c r="Q110" s="3" t="inlineStr">
        <is>
          <t>Performer</t>
        </is>
      </c>
      <c r="R110" s="3" t="n">
        <v>7</v>
      </c>
      <c r="S110" s="3" t="inlineStr"/>
      <c r="T110" s="3" t="inlineStr"/>
      <c r="U110" s="3" t="n">
        <v>0</v>
      </c>
      <c r="V110" s="3" t="inlineStr">
        <is>
          <t>masc:0.3;fem:0.5</t>
        </is>
      </c>
      <c r="W110" s="3" t="n">
        <v>0.3</v>
      </c>
      <c r="X110" s="3" t="n">
        <v>0.5</v>
      </c>
      <c r="Y110" s="3" t="inlineStr">
        <is>
          <t>COMM_Indirect</t>
        </is>
      </c>
      <c r="Z110" s="3" t="inlineStr">
        <is>
          <t>REG_Distractor</t>
        </is>
      </c>
      <c r="AA110" s="3" t="inlineStr">
        <is>
          <t>LANG_Gifts</t>
        </is>
      </c>
      <c r="AB110" s="3" t="inlineStr">
        <is>
          <t>Vulnerability_Loop</t>
        </is>
      </c>
      <c r="AC110" s="3" t="inlineStr">
        <is>
          <t>Vulnerability_Loop</t>
        </is>
      </c>
      <c r="AD110" s="3" t="inlineStr"/>
      <c r="AE110" s="3" t="n">
        <v>5</v>
      </c>
      <c r="AF110" s="3" t="inlineStr">
        <is>
          <t>smooth cover-up</t>
        </is>
      </c>
      <c r="AG110" s="3" t="inlineStr">
        <is>
          <t>tension diffuser</t>
        </is>
      </c>
      <c r="AH110" s="3" t="n">
        <v>0</v>
      </c>
      <c r="AI110" s="3" t="inlineStr">
        <is>
          <t>yes</t>
        </is>
      </c>
      <c r="AJ110" s="3" t="inlineStr">
        <is>
          <t>no</t>
        </is>
      </c>
      <c r="AK110" s="3" t="inlineStr">
        <is>
          <t>yes</t>
        </is>
      </c>
      <c r="AL110" s="3" t="inlineStr">
        <is>
          <t>yes</t>
        </is>
      </c>
      <c r="AM110" s="3" t="inlineStr"/>
      <c r="AN110" s="3" t="inlineStr"/>
      <c r="AO110" s="3" t="inlineStr"/>
      <c r="AP110" s="3" t="inlineStr">
        <is>
          <t>v3_2026-03-19</t>
        </is>
      </c>
      <c r="AQ110">
        <f>(L110-Schema_v5!$C2)/(Schema_v5!$C3-Schema_v5!$C2)</f>
        <v/>
      </c>
      <c r="AR110">
        <f>(M110-Schema_v5!$C4)/(Schema_v5!$C5-Schema_v5!$C4)</f>
        <v/>
      </c>
      <c r="AS110">
        <f>N110/Schema_v5!$C6</f>
        <v/>
      </c>
      <c r="AT110">
        <f>O110/Schema_v5!$C7</f>
        <v/>
      </c>
      <c r="AU110">
        <f>P110/Schema_v5!$C8</f>
        <v/>
      </c>
      <c r="AV110">
        <f>IF(Schema_v5!$C9=0,0,AH110/Schema_v5!$C9)</f>
        <v/>
      </c>
      <c r="AW110">
        <f>IF(Schema_v5!$C10=0,0,AE110/Schema_v5!$C10)</f>
        <v/>
      </c>
      <c r="AX110">
        <f>(W110-Schema_v5!$C11)/(Schema_v5!$C12-Schema_v5!$C11)</f>
        <v/>
      </c>
      <c r="AY110">
        <f>(X110-Schema_v5!$C13)/(Schema_v5!$C14-Schema_v5!$C13)</f>
        <v/>
      </c>
    </row>
    <row r="111">
      <c r="A111" s="3" t="inlineStr">
        <is>
          <t>Q22_E</t>
        </is>
      </c>
      <c r="B111" s="3" t="n">
        <v>22</v>
      </c>
      <c r="C111" s="3" t="n">
        <v>22</v>
      </c>
      <c r="D111" s="3" t="inlineStr">
        <is>
          <t>Core</t>
        </is>
      </c>
      <c r="E111" s="3" t="n">
        <v>1.1</v>
      </c>
      <c r="F111" s="3" t="inlineStr">
        <is>
          <t>EmotionalRegulation</t>
        </is>
      </c>
      <c r="G111" s="3" t="inlineStr">
        <is>
          <t>AttachmentSafety</t>
        </is>
      </c>
      <c r="H111" s="3" t="inlineStr"/>
      <c r="I111" s="3" t="inlineStr">
        <is>
          <t>E</t>
        </is>
      </c>
      <c r="J111" s="3" t="inlineStr">
        <is>
          <t>E</t>
        </is>
      </c>
      <c r="K111" s="3" t="inlineStr">
        <is>
          <t>I feel it, but I don't say anything. I stay present, hoping they'll come back to me on their own.</t>
        </is>
      </c>
      <c r="L111" s="3" t="n">
        <v>6</v>
      </c>
      <c r="M111" s="3" t="n">
        <v>6</v>
      </c>
      <c r="N111" s="3" t="n">
        <v>4</v>
      </c>
      <c r="O111" s="3" t="n">
        <v>4</v>
      </c>
      <c r="P111" s="3" t="n">
        <v>4</v>
      </c>
      <c r="Q111" s="3" t="inlineStr">
        <is>
          <t>Translator</t>
        </is>
      </c>
      <c r="R111" s="3" t="n">
        <v>3</v>
      </c>
      <c r="S111" s="3" t="inlineStr"/>
      <c r="T111" s="3" t="inlineStr"/>
      <c r="U111" s="3" t="n">
        <v>0</v>
      </c>
      <c r="V111" s="3" t="inlineStr">
        <is>
          <t>masc:-0.1;fem:1.6</t>
        </is>
      </c>
      <c r="W111" s="3" t="n">
        <v>-0.1</v>
      </c>
      <c r="X111" s="3" t="n">
        <v>1.6</v>
      </c>
      <c r="Y111" s="3" t="inlineStr">
        <is>
          <t>COMM_Indirect</t>
        </is>
      </c>
      <c r="Z111" s="3" t="inlineStr">
        <is>
          <t>REG_CoRegulator</t>
        </is>
      </c>
      <c r="AA111" s="3" t="inlineStr">
        <is>
          <t>LANG_Words</t>
        </is>
      </c>
      <c r="AB111" s="3" t="inlineStr">
        <is>
          <t>Vulnerability_Loop</t>
        </is>
      </c>
      <c r="AC111" s="3" t="inlineStr">
        <is>
          <t>Vulnerability_Loop</t>
        </is>
      </c>
      <c r="AD111" s="3" t="inlineStr"/>
      <c r="AE111" s="3" t="n">
        <v>5</v>
      </c>
      <c r="AF111" s="3" t="inlineStr">
        <is>
          <t>gentle waiter</t>
        </is>
      </c>
      <c r="AG111" s="3" t="inlineStr">
        <is>
          <t>silent holder</t>
        </is>
      </c>
      <c r="AH111" s="3" t="n">
        <v>0.6</v>
      </c>
      <c r="AI111" s="3" t="inlineStr">
        <is>
          <t>yes</t>
        </is>
      </c>
      <c r="AJ111" s="3" t="inlineStr">
        <is>
          <t>no</t>
        </is>
      </c>
      <c r="AK111" s="3" t="inlineStr">
        <is>
          <t>yes</t>
        </is>
      </c>
      <c r="AL111" s="3" t="inlineStr">
        <is>
          <t>yes</t>
        </is>
      </c>
      <c r="AM111" s="3" t="inlineStr"/>
      <c r="AN111" s="3" t="inlineStr"/>
      <c r="AO111" s="3" t="inlineStr"/>
      <c r="AP111" s="3" t="inlineStr">
        <is>
          <t>v3_2026-03-19</t>
        </is>
      </c>
      <c r="AQ111">
        <f>(L111-Schema_v5!$C2)/(Schema_v5!$C3-Schema_v5!$C2)</f>
        <v/>
      </c>
      <c r="AR111">
        <f>(M111-Schema_v5!$C4)/(Schema_v5!$C5-Schema_v5!$C4)</f>
        <v/>
      </c>
      <c r="AS111">
        <f>N111/Schema_v5!$C6</f>
        <v/>
      </c>
      <c r="AT111">
        <f>O111/Schema_v5!$C7</f>
        <v/>
      </c>
      <c r="AU111">
        <f>P111/Schema_v5!$C8</f>
        <v/>
      </c>
      <c r="AV111">
        <f>IF(Schema_v5!$C9=0,0,AH111/Schema_v5!$C9)</f>
        <v/>
      </c>
      <c r="AW111">
        <f>IF(Schema_v5!$C10=0,0,AE111/Schema_v5!$C10)</f>
        <v/>
      </c>
      <c r="AX111">
        <f>(W111-Schema_v5!$C11)/(Schema_v5!$C12-Schema_v5!$C11)</f>
        <v/>
      </c>
      <c r="AY111">
        <f>(X111-Schema_v5!$C13)/(Schema_v5!$C14-Schema_v5!$C13)</f>
        <v/>
      </c>
    </row>
    <row r="112">
      <c r="A112" s="3" t="inlineStr">
        <is>
          <t>Q23_A</t>
        </is>
      </c>
      <c r="B112" s="3" t="n">
        <v>23</v>
      </c>
      <c r="C112" s="3" t="n">
        <v>23</v>
      </c>
      <c r="D112" s="3" t="inlineStr">
        <is>
          <t>Core</t>
        </is>
      </c>
      <c r="E112" s="3" t="n">
        <v>1.1</v>
      </c>
      <c r="F112" s="3" t="inlineStr">
        <is>
          <t>EmotionalRegulation</t>
        </is>
      </c>
      <c r="G112" s="3" t="inlineStr">
        <is>
          <t>AttachmentSafety</t>
        </is>
      </c>
      <c r="H112" s="3" t="inlineStr">
        <is>
          <t>You realize you're the one always putting in effort. They're coasting. What do you do about it?</t>
        </is>
      </c>
      <c r="I112" s="3" t="inlineStr">
        <is>
          <t>A</t>
        </is>
      </c>
      <c r="J112" s="3" t="inlineStr">
        <is>
          <t>A</t>
        </is>
      </c>
      <c r="K112" s="3" t="inlineStr">
        <is>
          <t>I stop. No callout, no drama. If I was carrying it, then it dies when I stop moving.</t>
        </is>
      </c>
      <c r="L112" s="3" t="n">
        <v>8</v>
      </c>
      <c r="M112" s="3" t="n">
        <v>8</v>
      </c>
      <c r="N112" s="3" t="n">
        <v>4</v>
      </c>
      <c r="O112" s="3" t="n">
        <v>4</v>
      </c>
      <c r="P112" s="3" t="n">
        <v>2</v>
      </c>
      <c r="Q112" s="3" t="inlineStr">
        <is>
          <t>Quiet Exit</t>
        </is>
      </c>
      <c r="R112" s="3" t="n">
        <v>4</v>
      </c>
      <c r="S112" s="3" t="inlineStr"/>
      <c r="T112" s="3" t="inlineStr"/>
      <c r="U112" s="3" t="n">
        <v>0</v>
      </c>
      <c r="V112" s="3" t="inlineStr">
        <is>
          <t>masc:1.4;fem:-1.3</t>
        </is>
      </c>
      <c r="W112" s="3" t="n">
        <v>1.4</v>
      </c>
      <c r="X112" s="3" t="n">
        <v>-1.3</v>
      </c>
      <c r="Y112" s="3" t="inlineStr">
        <is>
          <t>COMM_Avoidant</t>
        </is>
      </c>
      <c r="Z112" s="3" t="inlineStr">
        <is>
          <t>REG_Suppressor</t>
        </is>
      </c>
      <c r="AA112" s="3" t="inlineStr">
        <is>
          <t>LANG_Time</t>
        </is>
      </c>
      <c r="AB112" s="3" t="inlineStr"/>
      <c r="AC112" s="3" t="inlineStr"/>
      <c r="AD112" s="3" t="inlineStr"/>
      <c r="AE112" s="3" t="n">
        <v>0</v>
      </c>
      <c r="AF112" s="3" t="inlineStr">
        <is>
          <t>effort withdrawal</t>
        </is>
      </c>
      <c r="AG112" s="3" t="inlineStr">
        <is>
          <t>quiet exit</t>
        </is>
      </c>
      <c r="AH112" s="3" t="n">
        <v>0.6</v>
      </c>
      <c r="AI112" s="3" t="inlineStr">
        <is>
          <t>no</t>
        </is>
      </c>
      <c r="AJ112" s="3" t="inlineStr">
        <is>
          <t>no</t>
        </is>
      </c>
      <c r="AK112" s="3" t="inlineStr">
        <is>
          <t>yes</t>
        </is>
      </c>
      <c r="AL112" s="3" t="inlineStr">
        <is>
          <t>yes</t>
        </is>
      </c>
      <c r="AM112" s="3" t="inlineStr"/>
      <c r="AN112" s="3" t="inlineStr"/>
      <c r="AO112" s="3" t="inlineStr"/>
      <c r="AP112" s="3" t="inlineStr">
        <is>
          <t>v3_2026-03-19</t>
        </is>
      </c>
      <c r="AQ112">
        <f>(L112-Schema_v5!$C2)/(Schema_v5!$C3-Schema_v5!$C2)</f>
        <v/>
      </c>
      <c r="AR112">
        <f>(M112-Schema_v5!$C4)/(Schema_v5!$C5-Schema_v5!$C4)</f>
        <v/>
      </c>
      <c r="AS112">
        <f>N112/Schema_v5!$C6</f>
        <v/>
      </c>
      <c r="AT112">
        <f>O112/Schema_v5!$C7</f>
        <v/>
      </c>
      <c r="AU112">
        <f>P112/Schema_v5!$C8</f>
        <v/>
      </c>
      <c r="AV112">
        <f>IF(Schema_v5!$C9=0,0,AH112/Schema_v5!$C9)</f>
        <v/>
      </c>
      <c r="AW112">
        <f>IF(Schema_v5!$C10=0,0,AE112/Schema_v5!$C10)</f>
        <v/>
      </c>
      <c r="AX112">
        <f>(W112-Schema_v5!$C11)/(Schema_v5!$C12-Schema_v5!$C11)</f>
        <v/>
      </c>
      <c r="AY112">
        <f>(X112-Schema_v5!$C13)/(Schema_v5!$C14-Schema_v5!$C13)</f>
        <v/>
      </c>
    </row>
    <row r="113">
      <c r="A113" s="3" t="inlineStr">
        <is>
          <t>Q23_B</t>
        </is>
      </c>
      <c r="B113" s="3" t="n">
        <v>23</v>
      </c>
      <c r="C113" s="3" t="n">
        <v>23</v>
      </c>
      <c r="D113" s="3" t="inlineStr">
        <is>
          <t>Core</t>
        </is>
      </c>
      <c r="E113" s="3" t="n">
        <v>1.1</v>
      </c>
      <c r="F113" s="3" t="inlineStr">
        <is>
          <t>EmotionalRegulation</t>
        </is>
      </c>
      <c r="G113" s="3" t="inlineStr">
        <is>
          <t>AttachmentSafety</t>
        </is>
      </c>
      <c r="H113" s="3" t="inlineStr"/>
      <c r="I113" s="3" t="inlineStr">
        <is>
          <t>B</t>
        </is>
      </c>
      <c r="J113" s="3" t="inlineStr">
        <is>
          <t>B</t>
        </is>
      </c>
      <c r="K113" s="3" t="inlineStr">
        <is>
          <t>I try one more time, just to see if they notice. If not, I pull back hard. I need to know it wasn't just me pretending this thing was mutual.</t>
        </is>
      </c>
      <c r="L113" s="3" t="n">
        <v>5</v>
      </c>
      <c r="M113" s="3" t="n">
        <v>6</v>
      </c>
      <c r="N113" s="3" t="n">
        <v>2</v>
      </c>
      <c r="O113" s="3" t="n">
        <v>2</v>
      </c>
      <c r="P113" s="3" t="n">
        <v>0</v>
      </c>
      <c r="Q113" s="3" t="inlineStr">
        <is>
          <t>Phantom Seeker</t>
        </is>
      </c>
      <c r="R113" s="3" t="n">
        <v>10</v>
      </c>
      <c r="S113" s="3" t="inlineStr"/>
      <c r="T113" s="3" t="inlineStr"/>
      <c r="U113" s="3" t="n">
        <v>0</v>
      </c>
      <c r="V113" s="3" t="inlineStr">
        <is>
          <t>masc:-0.2;fem:1.5</t>
        </is>
      </c>
      <c r="W113" s="3" t="n">
        <v>-0.2</v>
      </c>
      <c r="X113" s="3" t="n">
        <v>1.5</v>
      </c>
      <c r="Y113" s="3" t="inlineStr">
        <is>
          <t>COMM_Emotional</t>
        </is>
      </c>
      <c r="Z113" s="3" t="inlineStr">
        <is>
          <t>REG_SelfSoother</t>
        </is>
      </c>
      <c r="AA113" s="3" t="inlineStr">
        <is>
          <t>LANG_Touch</t>
        </is>
      </c>
      <c r="AB113" s="3" t="inlineStr">
        <is>
          <t>Vulnerability_Loop , Pursuer_Distancer</t>
        </is>
      </c>
      <c r="AC113" s="3" t="inlineStr">
        <is>
          <t>Vulnerability_Loop</t>
        </is>
      </c>
      <c r="AD113" s="3" t="inlineStr">
        <is>
          <t>Pursuer_Distancer</t>
        </is>
      </c>
      <c r="AE113" s="3" t="n">
        <v>11</v>
      </c>
      <c r="AF113" s="3" t="inlineStr">
        <is>
          <t>last-ditch test</t>
        </is>
      </c>
      <c r="AG113" s="3" t="inlineStr">
        <is>
          <t>conditional engager</t>
        </is>
      </c>
      <c r="AH113" s="3" t="n">
        <v>1.2</v>
      </c>
      <c r="AI113" s="3" t="inlineStr">
        <is>
          <t>yes</t>
        </is>
      </c>
      <c r="AJ113" s="3" t="inlineStr">
        <is>
          <t>no</t>
        </is>
      </c>
      <c r="AK113" s="3" t="inlineStr">
        <is>
          <t>yes</t>
        </is>
      </c>
      <c r="AL113" s="3" t="inlineStr">
        <is>
          <t>yes</t>
        </is>
      </c>
      <c r="AM113" s="3" t="inlineStr"/>
      <c r="AN113" s="3" t="inlineStr"/>
      <c r="AO113" s="3" t="inlineStr"/>
      <c r="AP113" s="3" t="inlineStr">
        <is>
          <t>v3_2026-03-19</t>
        </is>
      </c>
      <c r="AQ113">
        <f>(L113-Schema_v5!$C2)/(Schema_v5!$C3-Schema_v5!$C2)</f>
        <v/>
      </c>
      <c r="AR113">
        <f>(M113-Schema_v5!$C4)/(Schema_v5!$C5-Schema_v5!$C4)</f>
        <v/>
      </c>
      <c r="AS113">
        <f>N113/Schema_v5!$C6</f>
        <v/>
      </c>
      <c r="AT113">
        <f>O113/Schema_v5!$C7</f>
        <v/>
      </c>
      <c r="AU113">
        <f>P113/Schema_v5!$C8</f>
        <v/>
      </c>
      <c r="AV113">
        <f>IF(Schema_v5!$C9=0,0,AH113/Schema_v5!$C9)</f>
        <v/>
      </c>
      <c r="AW113">
        <f>IF(Schema_v5!$C10=0,0,AE113/Schema_v5!$C10)</f>
        <v/>
      </c>
      <c r="AX113">
        <f>(W113-Schema_v5!$C11)/(Schema_v5!$C12-Schema_v5!$C11)</f>
        <v/>
      </c>
      <c r="AY113">
        <f>(X113-Schema_v5!$C13)/(Schema_v5!$C14-Schema_v5!$C13)</f>
        <v/>
      </c>
    </row>
    <row r="114">
      <c r="A114" s="3" t="inlineStr">
        <is>
          <t>Q23_C</t>
        </is>
      </c>
      <c r="B114" s="3" t="n">
        <v>23</v>
      </c>
      <c r="C114" s="3" t="n">
        <v>23</v>
      </c>
      <c r="D114" s="3" t="inlineStr">
        <is>
          <t>Core</t>
        </is>
      </c>
      <c r="E114" s="3" t="n">
        <v>1.1</v>
      </c>
      <c r="F114" s="3" t="inlineStr">
        <is>
          <t>EmotionalRegulation</t>
        </is>
      </c>
      <c r="G114" s="3" t="inlineStr">
        <is>
          <t>AttachmentSafety</t>
        </is>
      </c>
      <c r="H114" s="3" t="inlineStr"/>
      <c r="I114" s="3" t="inlineStr">
        <is>
          <t>C</t>
        </is>
      </c>
      <c r="J114" s="3" t="inlineStr">
        <is>
          <t>C</t>
        </is>
      </c>
      <c r="K114" s="3" t="inlineStr">
        <is>
          <t>I ask. Not in a "what are we?" way ,I just need to know if I'm wasting my energy or building something real.</t>
        </is>
      </c>
      <c r="L114" s="3" t="n">
        <v>8</v>
      </c>
      <c r="M114" s="3" t="n">
        <v>9</v>
      </c>
      <c r="N114" s="3" t="n">
        <v>8</v>
      </c>
      <c r="O114" s="3" t="n">
        <v>8</v>
      </c>
      <c r="P114" s="3" t="n">
        <v>8</v>
      </c>
      <c r="Q114" s="3" t="inlineStr">
        <is>
          <t>Analyzer</t>
        </is>
      </c>
      <c r="R114" s="3" t="n">
        <v>2</v>
      </c>
      <c r="S114" s="3" t="inlineStr"/>
      <c r="T114" s="3" t="inlineStr"/>
      <c r="U114" s="3" t="n">
        <v>0</v>
      </c>
      <c r="V114" s="3" t="inlineStr">
        <is>
          <t>masc:1.4;fem:0.1</t>
        </is>
      </c>
      <c r="W114" s="3" t="n">
        <v>1.4</v>
      </c>
      <c r="X114" s="3" t="n">
        <v>0.1</v>
      </c>
      <c r="Y114" s="3" t="inlineStr">
        <is>
          <t>COMM_Logical</t>
        </is>
      </c>
      <c r="Z114" s="3" t="inlineStr">
        <is>
          <t>REG_SelfSoother</t>
        </is>
      </c>
      <c r="AA114" s="3" t="inlineStr">
        <is>
          <t>LANG_Service</t>
        </is>
      </c>
      <c r="AB114" s="3" t="inlineStr"/>
      <c r="AC114" s="3" t="inlineStr"/>
      <c r="AD114" s="3" t="inlineStr"/>
      <c r="AE114" s="3" t="n">
        <v>0</v>
      </c>
      <c r="AF114" s="3" t="inlineStr">
        <is>
          <t>clarity-seeking</t>
        </is>
      </c>
      <c r="AG114" s="3" t="inlineStr">
        <is>
          <t>direct assessor</t>
        </is>
      </c>
      <c r="AH114" s="3" t="n">
        <v>0</v>
      </c>
      <c r="AI114" s="3" t="inlineStr">
        <is>
          <t>no</t>
        </is>
      </c>
      <c r="AJ114" s="3" t="inlineStr">
        <is>
          <t>no</t>
        </is>
      </c>
      <c r="AK114" s="3" t="inlineStr">
        <is>
          <t>yes</t>
        </is>
      </c>
      <c r="AL114" s="3" t="inlineStr">
        <is>
          <t>yes</t>
        </is>
      </c>
      <c r="AM114" s="3" t="inlineStr"/>
      <c r="AN114" s="3" t="inlineStr"/>
      <c r="AO114" s="3" t="inlineStr"/>
      <c r="AP114" s="3" t="inlineStr">
        <is>
          <t>v3_2026-03-19</t>
        </is>
      </c>
      <c r="AQ114">
        <f>(L114-Schema_v5!$C2)/(Schema_v5!$C3-Schema_v5!$C2)</f>
        <v/>
      </c>
      <c r="AR114">
        <f>(M114-Schema_v5!$C4)/(Schema_v5!$C5-Schema_v5!$C4)</f>
        <v/>
      </c>
      <c r="AS114">
        <f>N114/Schema_v5!$C6</f>
        <v/>
      </c>
      <c r="AT114">
        <f>O114/Schema_v5!$C7</f>
        <v/>
      </c>
      <c r="AU114">
        <f>P114/Schema_v5!$C8</f>
        <v/>
      </c>
      <c r="AV114">
        <f>IF(Schema_v5!$C9=0,0,AH114/Schema_v5!$C9)</f>
        <v/>
      </c>
      <c r="AW114">
        <f>IF(Schema_v5!$C10=0,0,AE114/Schema_v5!$C10)</f>
        <v/>
      </c>
      <c r="AX114">
        <f>(W114-Schema_v5!$C11)/(Schema_v5!$C12-Schema_v5!$C11)</f>
        <v/>
      </c>
      <c r="AY114">
        <f>(X114-Schema_v5!$C13)/(Schema_v5!$C14-Schema_v5!$C13)</f>
        <v/>
      </c>
    </row>
    <row r="115">
      <c r="A115" s="3" t="inlineStr">
        <is>
          <t>Q23_D</t>
        </is>
      </c>
      <c r="B115" s="3" t="n">
        <v>23</v>
      </c>
      <c r="C115" s="3" t="n">
        <v>23</v>
      </c>
      <c r="D115" s="3" t="inlineStr">
        <is>
          <t>Core</t>
        </is>
      </c>
      <c r="E115" s="3" t="n">
        <v>1.1</v>
      </c>
      <c r="F115" s="3" t="inlineStr">
        <is>
          <t>EmotionalRegulation</t>
        </is>
      </c>
      <c r="G115" s="3" t="inlineStr">
        <is>
          <t>AttachmentSafety</t>
        </is>
      </c>
      <c r="H115" s="3" t="inlineStr"/>
      <c r="I115" s="3" t="inlineStr">
        <is>
          <t>D</t>
        </is>
      </c>
      <c r="J115" s="3" t="inlineStr">
        <is>
          <t>D</t>
        </is>
      </c>
      <c r="K115" s="3" t="inlineStr">
        <is>
          <t>I double down. I give more, joke more, show up harder, hoping they'll finally meet me there. It's dumb, I know, but I still do it.</t>
        </is>
      </c>
      <c r="L115" s="3" t="n">
        <v>4</v>
      </c>
      <c r="M115" s="3" t="n">
        <v>5</v>
      </c>
      <c r="N115" s="3" t="n">
        <v>2</v>
      </c>
      <c r="O115" s="3" t="n">
        <v>2</v>
      </c>
      <c r="P115" s="3" t="n">
        <v>2</v>
      </c>
      <c r="Q115" s="3" t="inlineStr">
        <is>
          <t>Fixer</t>
        </is>
      </c>
      <c r="R115" s="3" t="n">
        <v>5</v>
      </c>
      <c r="S115" s="3" t="inlineStr"/>
      <c r="T115" s="3" t="inlineStr"/>
      <c r="U115" s="3" t="n">
        <v>0</v>
      </c>
      <c r="V115" s="3" t="inlineStr">
        <is>
          <t>masc:-0.4;fem:2.0</t>
        </is>
      </c>
      <c r="W115" s="3" t="n">
        <v>-0.4</v>
      </c>
      <c r="X115" s="3" t="n">
        <v>2</v>
      </c>
      <c r="Y115" s="3" t="inlineStr">
        <is>
          <t>COMM_Emotional</t>
        </is>
      </c>
      <c r="Z115" s="3" t="inlineStr">
        <is>
          <t>REG_CoRegulator</t>
        </is>
      </c>
      <c r="AA115" s="3" t="inlineStr">
        <is>
          <t>LANG_Service</t>
        </is>
      </c>
      <c r="AB115" s="3" t="inlineStr">
        <is>
          <t>Humor_Shield</t>
        </is>
      </c>
      <c r="AC115" s="3" t="inlineStr">
        <is>
          <t>Humor_Shield</t>
        </is>
      </c>
      <c r="AD115" s="3" t="inlineStr"/>
      <c r="AE115" s="3" t="n">
        <v>3</v>
      </c>
      <c r="AF115" s="3" t="inlineStr">
        <is>
          <t>effort loop</t>
        </is>
      </c>
      <c r="AG115" s="3" t="inlineStr">
        <is>
          <t>hopeful fixer</t>
        </is>
      </c>
      <c r="AH115" s="3" t="n">
        <v>0</v>
      </c>
      <c r="AI115" s="3" t="inlineStr">
        <is>
          <t>yes</t>
        </is>
      </c>
      <c r="AJ115" s="3" t="inlineStr">
        <is>
          <t>no</t>
        </is>
      </c>
      <c r="AK115" s="3" t="inlineStr">
        <is>
          <t>yes</t>
        </is>
      </c>
      <c r="AL115" s="3" t="inlineStr">
        <is>
          <t>yes</t>
        </is>
      </c>
      <c r="AM115" s="3" t="inlineStr"/>
      <c r="AN115" s="3" t="inlineStr"/>
      <c r="AO115" s="3" t="inlineStr"/>
      <c r="AP115" s="3" t="inlineStr">
        <is>
          <t>v3_2026-03-19</t>
        </is>
      </c>
      <c r="AQ115">
        <f>(L115-Schema_v5!$C2)/(Schema_v5!$C3-Schema_v5!$C2)</f>
        <v/>
      </c>
      <c r="AR115">
        <f>(M115-Schema_v5!$C4)/(Schema_v5!$C5-Schema_v5!$C4)</f>
        <v/>
      </c>
      <c r="AS115">
        <f>N115/Schema_v5!$C6</f>
        <v/>
      </c>
      <c r="AT115">
        <f>O115/Schema_v5!$C7</f>
        <v/>
      </c>
      <c r="AU115">
        <f>P115/Schema_v5!$C8</f>
        <v/>
      </c>
      <c r="AV115">
        <f>IF(Schema_v5!$C9=0,0,AH115/Schema_v5!$C9)</f>
        <v/>
      </c>
      <c r="AW115">
        <f>IF(Schema_v5!$C10=0,0,AE115/Schema_v5!$C10)</f>
        <v/>
      </c>
      <c r="AX115">
        <f>(W115-Schema_v5!$C11)/(Schema_v5!$C12-Schema_v5!$C11)</f>
        <v/>
      </c>
      <c r="AY115">
        <f>(X115-Schema_v5!$C13)/(Schema_v5!$C14-Schema_v5!$C13)</f>
        <v/>
      </c>
    </row>
    <row r="116">
      <c r="A116" s="3" t="inlineStr">
        <is>
          <t>Q23_E</t>
        </is>
      </c>
      <c r="B116" s="3" t="n">
        <v>23</v>
      </c>
      <c r="C116" s="3" t="n">
        <v>23</v>
      </c>
      <c r="D116" s="3" t="inlineStr">
        <is>
          <t>Core</t>
        </is>
      </c>
      <c r="E116" s="3" t="n">
        <v>1.1</v>
      </c>
      <c r="F116" s="3" t="inlineStr">
        <is>
          <t>EmotionalRegulation</t>
        </is>
      </c>
      <c r="G116" s="3" t="inlineStr">
        <is>
          <t>AttachmentSafety</t>
        </is>
      </c>
      <c r="H116" s="3" t="inlineStr"/>
      <c r="I116" s="3" t="inlineStr">
        <is>
          <t>E</t>
        </is>
      </c>
      <c r="J116" s="3" t="inlineStr">
        <is>
          <t>E</t>
        </is>
      </c>
      <c r="K116" s="3" t="inlineStr">
        <is>
          <t>You didn't match my energy? I don't mention it, I just reroute mine. I'm not here to coach someone into caring.</t>
        </is>
      </c>
      <c r="L116" s="3" t="n">
        <v>8</v>
      </c>
      <c r="M116" s="3" t="n">
        <v>9</v>
      </c>
      <c r="N116" s="3" t="n">
        <v>4</v>
      </c>
      <c r="O116" s="3" t="n">
        <v>6</v>
      </c>
      <c r="P116" s="3" t="n">
        <v>2</v>
      </c>
      <c r="Q116" s="3" t="inlineStr">
        <is>
          <t>Icebox</t>
        </is>
      </c>
      <c r="R116" s="3" t="n">
        <v>1</v>
      </c>
      <c r="S116" s="3" t="inlineStr"/>
      <c r="T116" s="3" t="inlineStr"/>
      <c r="U116" s="3" t="n">
        <v>0</v>
      </c>
      <c r="V116" s="3" t="inlineStr">
        <is>
          <t>masc:1.8;fem:-1.6</t>
        </is>
      </c>
      <c r="W116" s="3" t="n">
        <v>1.8</v>
      </c>
      <c r="X116" s="3" t="n">
        <v>-1.6</v>
      </c>
      <c r="Y116" s="3" t="inlineStr">
        <is>
          <t>COMM_Avoidant</t>
        </is>
      </c>
      <c r="Z116" s="3" t="inlineStr">
        <is>
          <t>REG_Suppressor</t>
        </is>
      </c>
      <c r="AA116" s="3" t="inlineStr">
        <is>
          <t>LANG_Time</t>
        </is>
      </c>
      <c r="AB116" s="3" t="inlineStr"/>
      <c r="AC116" s="3" t="inlineStr"/>
      <c r="AD116" s="3" t="inlineStr"/>
      <c r="AE116" s="3" t="n">
        <v>0</v>
      </c>
      <c r="AF116" s="3" t="inlineStr">
        <is>
          <t>no-warning shift</t>
        </is>
      </c>
      <c r="AG116" s="3" t="inlineStr">
        <is>
          <t>decisive withdrawer</t>
        </is>
      </c>
      <c r="AH116" s="3" t="n">
        <v>0.6</v>
      </c>
      <c r="AI116" s="3" t="inlineStr">
        <is>
          <t>no</t>
        </is>
      </c>
      <c r="AJ116" s="3" t="inlineStr">
        <is>
          <t>no</t>
        </is>
      </c>
      <c r="AK116" s="3" t="inlineStr">
        <is>
          <t>yes</t>
        </is>
      </c>
      <c r="AL116" s="3" t="inlineStr">
        <is>
          <t>yes</t>
        </is>
      </c>
      <c r="AM116" s="3" t="inlineStr"/>
      <c r="AN116" s="3" t="inlineStr"/>
      <c r="AO116" s="3" t="inlineStr"/>
      <c r="AP116" s="3" t="inlineStr">
        <is>
          <t>v3_2026-03-19</t>
        </is>
      </c>
      <c r="AQ116">
        <f>(L116-Schema_v5!$C2)/(Schema_v5!$C3-Schema_v5!$C2)</f>
        <v/>
      </c>
      <c r="AR116">
        <f>(M116-Schema_v5!$C4)/(Schema_v5!$C5-Schema_v5!$C4)</f>
        <v/>
      </c>
      <c r="AS116">
        <f>N116/Schema_v5!$C6</f>
        <v/>
      </c>
      <c r="AT116">
        <f>O116/Schema_v5!$C7</f>
        <v/>
      </c>
      <c r="AU116">
        <f>P116/Schema_v5!$C8</f>
        <v/>
      </c>
      <c r="AV116">
        <f>IF(Schema_v5!$C9=0,0,AH116/Schema_v5!$C9)</f>
        <v/>
      </c>
      <c r="AW116">
        <f>IF(Schema_v5!$C10=0,0,AE116/Schema_v5!$C10)</f>
        <v/>
      </c>
      <c r="AX116">
        <f>(W116-Schema_v5!$C11)/(Schema_v5!$C12-Schema_v5!$C11)</f>
        <v/>
      </c>
      <c r="AY116">
        <f>(X116-Schema_v5!$C13)/(Schema_v5!$C14-Schema_v5!$C13)</f>
        <v/>
      </c>
    </row>
    <row r="117">
      <c r="A117" s="3" t="inlineStr">
        <is>
          <t>Q24_A</t>
        </is>
      </c>
      <c r="B117" s="3" t="n">
        <v>24</v>
      </c>
      <c r="C117" s="3" t="n">
        <v>24</v>
      </c>
      <c r="D117" s="3" t="inlineStr">
        <is>
          <t>Core</t>
        </is>
      </c>
      <c r="E117" s="3" t="n">
        <v>1.1</v>
      </c>
      <c r="F117" s="3" t="inlineStr">
        <is>
          <t>EmotionalRegulation</t>
        </is>
      </c>
      <c r="G117" s="3" t="inlineStr">
        <is>
          <t>AttachmentSafety</t>
        </is>
      </c>
      <c r="H117" s="3" t="inlineStr">
        <is>
          <t>You go out of your way for someone... but it's clear they don't value it. What happens next?</t>
        </is>
      </c>
      <c r="I117" s="3" t="inlineStr">
        <is>
          <t>A</t>
        </is>
      </c>
      <c r="J117" s="3" t="inlineStr">
        <is>
          <t>A</t>
        </is>
      </c>
      <c r="K117" s="3" t="inlineStr">
        <is>
          <t>I note it, quietly. Next time they need something, I'm not showing up the same.</t>
        </is>
      </c>
      <c r="L117" s="3" t="n">
        <v>8</v>
      </c>
      <c r="M117" s="3" t="n">
        <v>8</v>
      </c>
      <c r="N117" s="3" t="n">
        <v>4</v>
      </c>
      <c r="O117" s="3" t="n">
        <v>4</v>
      </c>
      <c r="P117" s="3" t="n">
        <v>2</v>
      </c>
      <c r="Q117" s="3" t="inlineStr">
        <is>
          <t>Quiet Exit</t>
        </is>
      </c>
      <c r="R117" s="3" t="n">
        <v>4</v>
      </c>
      <c r="S117" s="3" t="inlineStr"/>
      <c r="T117" s="3" t="inlineStr"/>
      <c r="U117" s="3" t="n">
        <v>0</v>
      </c>
      <c r="V117" s="3" t="inlineStr">
        <is>
          <t>masc:1.4;fem:-1.3</t>
        </is>
      </c>
      <c r="W117" s="3" t="n">
        <v>1.4</v>
      </c>
      <c r="X117" s="3" t="n">
        <v>-1.3</v>
      </c>
      <c r="Y117" s="3" t="inlineStr">
        <is>
          <t>COMM_Avoidant</t>
        </is>
      </c>
      <c r="Z117" s="3" t="inlineStr">
        <is>
          <t>REG_Suppressor</t>
        </is>
      </c>
      <c r="AA117" s="3" t="inlineStr">
        <is>
          <t>LANG_Time</t>
        </is>
      </c>
      <c r="AB117" s="3" t="inlineStr"/>
      <c r="AC117" s="3" t="inlineStr"/>
      <c r="AD117" s="3" t="inlineStr"/>
      <c r="AE117" s="3" t="n">
        <v>0</v>
      </c>
      <c r="AF117" s="3" t="inlineStr">
        <is>
          <t>emotional cost accountant</t>
        </is>
      </c>
      <c r="AG117" s="3" t="inlineStr">
        <is>
          <t>boundary enforcer</t>
        </is>
      </c>
      <c r="AH117" s="3" t="n">
        <v>0</v>
      </c>
      <c r="AI117" s="3" t="inlineStr">
        <is>
          <t>no</t>
        </is>
      </c>
      <c r="AJ117" s="3" t="inlineStr">
        <is>
          <t>no</t>
        </is>
      </c>
      <c r="AK117" s="3" t="inlineStr">
        <is>
          <t>yes</t>
        </is>
      </c>
      <c r="AL117" s="3" t="inlineStr">
        <is>
          <t>yes</t>
        </is>
      </c>
      <c r="AM117" s="3" t="inlineStr"/>
      <c r="AN117" s="3" t="inlineStr"/>
      <c r="AO117" s="3" t="inlineStr"/>
      <c r="AP117" s="3" t="inlineStr">
        <is>
          <t>v3_2026-03-19</t>
        </is>
      </c>
      <c r="AQ117">
        <f>(L117-Schema_v5!$C2)/(Schema_v5!$C3-Schema_v5!$C2)</f>
        <v/>
      </c>
      <c r="AR117">
        <f>(M117-Schema_v5!$C4)/(Schema_v5!$C5-Schema_v5!$C4)</f>
        <v/>
      </c>
      <c r="AS117">
        <f>N117/Schema_v5!$C6</f>
        <v/>
      </c>
      <c r="AT117">
        <f>O117/Schema_v5!$C7</f>
        <v/>
      </c>
      <c r="AU117">
        <f>P117/Schema_v5!$C8</f>
        <v/>
      </c>
      <c r="AV117">
        <f>IF(Schema_v5!$C9=0,0,AH117/Schema_v5!$C9)</f>
        <v/>
      </c>
      <c r="AW117">
        <f>IF(Schema_v5!$C10=0,0,AE117/Schema_v5!$C10)</f>
        <v/>
      </c>
      <c r="AX117">
        <f>(W117-Schema_v5!$C11)/(Schema_v5!$C12-Schema_v5!$C11)</f>
        <v/>
      </c>
      <c r="AY117">
        <f>(X117-Schema_v5!$C13)/(Schema_v5!$C14-Schema_v5!$C13)</f>
        <v/>
      </c>
    </row>
    <row r="118">
      <c r="A118" s="3" t="inlineStr">
        <is>
          <t>Q24_B</t>
        </is>
      </c>
      <c r="B118" s="3" t="n">
        <v>24</v>
      </c>
      <c r="C118" s="3" t="n">
        <v>24</v>
      </c>
      <c r="D118" s="3" t="inlineStr">
        <is>
          <t>Core</t>
        </is>
      </c>
      <c r="E118" s="3" t="n">
        <v>1.1</v>
      </c>
      <c r="F118" s="3" t="inlineStr">
        <is>
          <t>EmotionalRegulation</t>
        </is>
      </c>
      <c r="G118" s="3" t="inlineStr">
        <is>
          <t>AttachmentSafety</t>
        </is>
      </c>
      <c r="H118" s="3" t="inlineStr"/>
      <c r="I118" s="3" t="inlineStr">
        <is>
          <t>B</t>
        </is>
      </c>
      <c r="J118" s="3" t="inlineStr">
        <is>
          <t>B</t>
        </is>
      </c>
      <c r="K118" s="3" t="inlineStr">
        <is>
          <t>I try one more thing, one big gesture, maybe. If they still don't get it, that's on them.</t>
        </is>
      </c>
      <c r="L118" s="3" t="n">
        <v>6</v>
      </c>
      <c r="M118" s="3" t="n">
        <v>7</v>
      </c>
      <c r="N118" s="3" t="n">
        <v>4</v>
      </c>
      <c r="O118" s="3" t="n">
        <v>4</v>
      </c>
      <c r="P118" s="3" t="n">
        <v>2</v>
      </c>
      <c r="Q118" s="3" t="inlineStr">
        <is>
          <t>Romantic Idealist</t>
        </is>
      </c>
      <c r="R118" s="3" t="n">
        <v>6</v>
      </c>
      <c r="S118" s="3" t="inlineStr"/>
      <c r="T118" s="3" t="inlineStr"/>
      <c r="U118" s="3" t="n">
        <v>0</v>
      </c>
      <c r="V118" s="3" t="inlineStr">
        <is>
          <t>masc:-0.4;fem:1.5</t>
        </is>
      </c>
      <c r="W118" s="3" t="n">
        <v>-0.4</v>
      </c>
      <c r="X118" s="3" t="n">
        <v>1.5</v>
      </c>
      <c r="Y118" s="3" t="inlineStr">
        <is>
          <t>COMM_Emotional</t>
        </is>
      </c>
      <c r="Z118" s="3" t="inlineStr">
        <is>
          <t>REG_Distractor</t>
        </is>
      </c>
      <c r="AA118" s="3" t="inlineStr">
        <is>
          <t>LANG_Gifts</t>
        </is>
      </c>
      <c r="AB118" s="3" t="inlineStr">
        <is>
          <t>Commitment_Ambiguity</t>
        </is>
      </c>
      <c r="AC118" s="3" t="inlineStr">
        <is>
          <t>Commitment_Ambiguity</t>
        </is>
      </c>
      <c r="AD118" s="3" t="inlineStr"/>
      <c r="AE118" s="3" t="n">
        <v>5</v>
      </c>
      <c r="AF118" s="3" t="inlineStr">
        <is>
          <t>hopeful closer</t>
        </is>
      </c>
      <c r="AG118" s="3" t="inlineStr">
        <is>
          <t>last-chance giver</t>
        </is>
      </c>
      <c r="AH118" s="3" t="n">
        <v>0</v>
      </c>
      <c r="AI118" s="3" t="inlineStr">
        <is>
          <t>yes</t>
        </is>
      </c>
      <c r="AJ118" s="3" t="inlineStr">
        <is>
          <t>no</t>
        </is>
      </c>
      <c r="AK118" s="3" t="inlineStr">
        <is>
          <t>yes</t>
        </is>
      </c>
      <c r="AL118" s="3" t="inlineStr">
        <is>
          <t>yes</t>
        </is>
      </c>
      <c r="AM118" s="3" t="inlineStr"/>
      <c r="AN118" s="3" t="inlineStr"/>
      <c r="AO118" s="3" t="inlineStr"/>
      <c r="AP118" s="3" t="inlineStr">
        <is>
          <t>v3_2026-03-19</t>
        </is>
      </c>
      <c r="AQ118">
        <f>(L118-Schema_v5!$C2)/(Schema_v5!$C3-Schema_v5!$C2)</f>
        <v/>
      </c>
      <c r="AR118">
        <f>(M118-Schema_v5!$C4)/(Schema_v5!$C5-Schema_v5!$C4)</f>
        <v/>
      </c>
      <c r="AS118">
        <f>N118/Schema_v5!$C6</f>
        <v/>
      </c>
      <c r="AT118">
        <f>O118/Schema_v5!$C7</f>
        <v/>
      </c>
      <c r="AU118">
        <f>P118/Schema_v5!$C8</f>
        <v/>
      </c>
      <c r="AV118">
        <f>IF(Schema_v5!$C9=0,0,AH118/Schema_v5!$C9)</f>
        <v/>
      </c>
      <c r="AW118">
        <f>IF(Schema_v5!$C10=0,0,AE118/Schema_v5!$C10)</f>
        <v/>
      </c>
      <c r="AX118">
        <f>(W118-Schema_v5!$C11)/(Schema_v5!$C12-Schema_v5!$C11)</f>
        <v/>
      </c>
      <c r="AY118">
        <f>(X118-Schema_v5!$C13)/(Schema_v5!$C14-Schema_v5!$C13)</f>
        <v/>
      </c>
    </row>
    <row r="119">
      <c r="A119" s="3" t="inlineStr">
        <is>
          <t>Q24_C</t>
        </is>
      </c>
      <c r="B119" s="3" t="n">
        <v>24</v>
      </c>
      <c r="C119" s="3" t="n">
        <v>24</v>
      </c>
      <c r="D119" s="3" t="inlineStr">
        <is>
          <t>Core</t>
        </is>
      </c>
      <c r="E119" s="3" t="n">
        <v>1.1</v>
      </c>
      <c r="F119" s="3" t="inlineStr">
        <is>
          <t>EmotionalRegulation</t>
        </is>
      </c>
      <c r="G119" s="3" t="inlineStr">
        <is>
          <t>AttachmentSafety</t>
        </is>
      </c>
      <c r="H119" s="3" t="inlineStr"/>
      <c r="I119" s="3" t="inlineStr">
        <is>
          <t>C</t>
        </is>
      </c>
      <c r="J119" s="3" t="inlineStr">
        <is>
          <t>C</t>
        </is>
      </c>
      <c r="K119" s="3" t="inlineStr">
        <is>
          <t>I say it. Not to guilt them, just so they know I noticed. Then I adjust accordingly.</t>
        </is>
      </c>
      <c r="L119" s="3" t="n">
        <v>8</v>
      </c>
      <c r="M119" s="3" t="n">
        <v>9</v>
      </c>
      <c r="N119" s="3" t="n">
        <v>8</v>
      </c>
      <c r="O119" s="3" t="n">
        <v>8</v>
      </c>
      <c r="P119" s="3" t="n">
        <v>8</v>
      </c>
      <c r="Q119" s="3" t="inlineStr">
        <is>
          <t>Analyzer</t>
        </is>
      </c>
      <c r="R119" s="3" t="n">
        <v>2</v>
      </c>
      <c r="S119" s="3" t="inlineStr"/>
      <c r="T119" s="3" t="inlineStr"/>
      <c r="U119" s="3" t="n">
        <v>0</v>
      </c>
      <c r="V119" s="3" t="inlineStr">
        <is>
          <t>masc:1.4;fem:0.1</t>
        </is>
      </c>
      <c r="W119" s="3" t="n">
        <v>1.4</v>
      </c>
      <c r="X119" s="3" t="n">
        <v>0.1</v>
      </c>
      <c r="Y119" s="3" t="inlineStr">
        <is>
          <t>COMM_Logical</t>
        </is>
      </c>
      <c r="Z119" s="3" t="inlineStr">
        <is>
          <t>REG_SelfSoother</t>
        </is>
      </c>
      <c r="AA119" s="3" t="inlineStr">
        <is>
          <t>LANG_Service</t>
        </is>
      </c>
      <c r="AB119" s="3" t="inlineStr"/>
      <c r="AC119" s="3" t="inlineStr"/>
      <c r="AD119" s="3" t="inlineStr"/>
      <c r="AE119" s="3" t="n">
        <v>0</v>
      </c>
      <c r="AF119" s="3" t="inlineStr">
        <is>
          <t>honest calibration</t>
        </is>
      </c>
      <c r="AG119" s="3" t="inlineStr">
        <is>
          <t>direct communicator</t>
        </is>
      </c>
      <c r="AH119" s="3" t="n">
        <v>0</v>
      </c>
      <c r="AI119" s="3" t="inlineStr">
        <is>
          <t>no</t>
        </is>
      </c>
      <c r="AJ119" s="3" t="inlineStr">
        <is>
          <t>no</t>
        </is>
      </c>
      <c r="AK119" s="3" t="inlineStr">
        <is>
          <t>yes</t>
        </is>
      </c>
      <c r="AL119" s="3" t="inlineStr">
        <is>
          <t>yes</t>
        </is>
      </c>
      <c r="AM119" s="3" t="inlineStr"/>
      <c r="AN119" s="3" t="inlineStr"/>
      <c r="AO119" s="3" t="inlineStr"/>
      <c r="AP119" s="3" t="inlineStr">
        <is>
          <t>v3_2026-03-19</t>
        </is>
      </c>
      <c r="AQ119">
        <f>(L119-Schema_v5!$C2)/(Schema_v5!$C3-Schema_v5!$C2)</f>
        <v/>
      </c>
      <c r="AR119">
        <f>(M119-Schema_v5!$C4)/(Schema_v5!$C5-Schema_v5!$C4)</f>
        <v/>
      </c>
      <c r="AS119">
        <f>N119/Schema_v5!$C6</f>
        <v/>
      </c>
      <c r="AT119">
        <f>O119/Schema_v5!$C7</f>
        <v/>
      </c>
      <c r="AU119">
        <f>P119/Schema_v5!$C8</f>
        <v/>
      </c>
      <c r="AV119">
        <f>IF(Schema_v5!$C9=0,0,AH119/Schema_v5!$C9)</f>
        <v/>
      </c>
      <c r="AW119">
        <f>IF(Schema_v5!$C10=0,0,AE119/Schema_v5!$C10)</f>
        <v/>
      </c>
      <c r="AX119">
        <f>(W119-Schema_v5!$C11)/(Schema_v5!$C12-Schema_v5!$C11)</f>
        <v/>
      </c>
      <c r="AY119">
        <f>(X119-Schema_v5!$C13)/(Schema_v5!$C14-Schema_v5!$C13)</f>
        <v/>
      </c>
    </row>
    <row r="120">
      <c r="A120" s="3" t="inlineStr">
        <is>
          <t>Q24_D</t>
        </is>
      </c>
      <c r="B120" s="3" t="n">
        <v>24</v>
      </c>
      <c r="C120" s="3" t="n">
        <v>24</v>
      </c>
      <c r="D120" s="3" t="inlineStr">
        <is>
          <t>Core</t>
        </is>
      </c>
      <c r="E120" s="3" t="n">
        <v>1.1</v>
      </c>
      <c r="F120" s="3" t="inlineStr">
        <is>
          <t>EmotionalRegulation</t>
        </is>
      </c>
      <c r="G120" s="3" t="inlineStr">
        <is>
          <t>AttachmentSafety</t>
        </is>
      </c>
      <c r="H120" s="3" t="inlineStr"/>
      <c r="I120" s="3" t="inlineStr">
        <is>
          <t>D</t>
        </is>
      </c>
      <c r="J120" s="3" t="inlineStr">
        <is>
          <t>D</t>
        </is>
      </c>
      <c r="K120" s="3" t="inlineStr">
        <is>
          <t>I pretend it doesn't bother me... but then I start making sure they feel the shift. You can't keep taking from someone who stopped offering.</t>
        </is>
      </c>
      <c r="L120" s="3" t="n">
        <v>5</v>
      </c>
      <c r="M120" s="3" t="n">
        <v>6</v>
      </c>
      <c r="N120" s="3" t="n">
        <v>2</v>
      </c>
      <c r="O120" s="3" t="n">
        <v>4</v>
      </c>
      <c r="P120" s="3" t="n">
        <v>2</v>
      </c>
      <c r="Q120" s="3" t="inlineStr">
        <is>
          <t>Phantom Seeker</t>
        </is>
      </c>
      <c r="R120" s="3" t="n">
        <v>10</v>
      </c>
      <c r="S120" s="3" t="inlineStr"/>
      <c r="T120" s="3" t="inlineStr"/>
      <c r="U120" s="3" t="n">
        <v>0</v>
      </c>
      <c r="V120" s="3" t="inlineStr">
        <is>
          <t>masc:-0.2;fem:1.5</t>
        </is>
      </c>
      <c r="W120" s="3" t="n">
        <v>-0.2</v>
      </c>
      <c r="X120" s="3" t="n">
        <v>1.5</v>
      </c>
      <c r="Y120" s="3" t="inlineStr">
        <is>
          <t>COMM_Emotional</t>
        </is>
      </c>
      <c r="Z120" s="3" t="inlineStr">
        <is>
          <t>REG_SelfSoother</t>
        </is>
      </c>
      <c r="AA120" s="3" t="inlineStr">
        <is>
          <t>LANG_Touch</t>
        </is>
      </c>
      <c r="AB120" s="3" t="inlineStr">
        <is>
          <t>Vulnerability_Loop</t>
        </is>
      </c>
      <c r="AC120" s="3" t="inlineStr">
        <is>
          <t>Vulnerability_Loop</t>
        </is>
      </c>
      <c r="AD120" s="3" t="inlineStr"/>
      <c r="AE120" s="3" t="n">
        <v>5</v>
      </c>
      <c r="AF120" s="3" t="inlineStr">
        <is>
          <t>passive signal sender</t>
        </is>
      </c>
      <c r="AG120" s="3" t="inlineStr">
        <is>
          <t>indirect punisher</t>
        </is>
      </c>
      <c r="AH120" s="3" t="n">
        <v>0.2</v>
      </c>
      <c r="AI120" s="3" t="inlineStr">
        <is>
          <t>yes</t>
        </is>
      </c>
      <c r="AJ120" s="3" t="inlineStr">
        <is>
          <t>no</t>
        </is>
      </c>
      <c r="AK120" s="3" t="inlineStr">
        <is>
          <t>yes</t>
        </is>
      </c>
      <c r="AL120" s="3" t="inlineStr">
        <is>
          <t>yes</t>
        </is>
      </c>
      <c r="AM120" s="3" t="inlineStr"/>
      <c r="AN120" s="3" t="inlineStr"/>
      <c r="AO120" s="3" t="inlineStr"/>
      <c r="AP120" s="3" t="inlineStr">
        <is>
          <t>v3_2026-03-19</t>
        </is>
      </c>
      <c r="AQ120">
        <f>(L120-Schema_v5!$C2)/(Schema_v5!$C3-Schema_v5!$C2)</f>
        <v/>
      </c>
      <c r="AR120">
        <f>(M120-Schema_v5!$C4)/(Schema_v5!$C5-Schema_v5!$C4)</f>
        <v/>
      </c>
      <c r="AS120">
        <f>N120/Schema_v5!$C6</f>
        <v/>
      </c>
      <c r="AT120">
        <f>O120/Schema_v5!$C7</f>
        <v/>
      </c>
      <c r="AU120">
        <f>P120/Schema_v5!$C8</f>
        <v/>
      </c>
      <c r="AV120">
        <f>IF(Schema_v5!$C9=0,0,AH120/Schema_v5!$C9)</f>
        <v/>
      </c>
      <c r="AW120">
        <f>IF(Schema_v5!$C10=0,0,AE120/Schema_v5!$C10)</f>
        <v/>
      </c>
      <c r="AX120">
        <f>(W120-Schema_v5!$C11)/(Schema_v5!$C12-Schema_v5!$C11)</f>
        <v/>
      </c>
      <c r="AY120">
        <f>(X120-Schema_v5!$C13)/(Schema_v5!$C14-Schema_v5!$C13)</f>
        <v/>
      </c>
    </row>
    <row r="121">
      <c r="A121" s="3" t="inlineStr">
        <is>
          <t>Q24_E</t>
        </is>
      </c>
      <c r="B121" s="3" t="n">
        <v>24</v>
      </c>
      <c r="C121" s="3" t="n">
        <v>24</v>
      </c>
      <c r="D121" s="3" t="inlineStr">
        <is>
          <t>Core</t>
        </is>
      </c>
      <c r="E121" s="3" t="n">
        <v>1.1</v>
      </c>
      <c r="F121" s="3" t="inlineStr">
        <is>
          <t>EmotionalRegulation</t>
        </is>
      </c>
      <c r="G121" s="3" t="inlineStr">
        <is>
          <t>AttachmentSafety</t>
        </is>
      </c>
      <c r="H121" s="3" t="inlineStr"/>
      <c r="I121" s="3" t="inlineStr">
        <is>
          <t>E</t>
        </is>
      </c>
      <c r="J121" s="3" t="inlineStr">
        <is>
          <t>E</t>
        </is>
      </c>
      <c r="K121" s="3" t="inlineStr">
        <is>
          <t>If it's not appreciated, it was a mistake. I never give twice where it's ignored once.</t>
        </is>
      </c>
      <c r="L121" s="3" t="n">
        <v>9</v>
      </c>
      <c r="M121" s="3" t="n">
        <v>9</v>
      </c>
      <c r="N121" s="3" t="n">
        <v>6</v>
      </c>
      <c r="O121" s="3" t="n">
        <v>6</v>
      </c>
      <c r="P121" s="3" t="n">
        <v>2</v>
      </c>
      <c r="Q121" s="3" t="inlineStr">
        <is>
          <t>Icebox</t>
        </is>
      </c>
      <c r="R121" s="3" t="n">
        <v>1</v>
      </c>
      <c r="S121" s="3" t="inlineStr"/>
      <c r="T121" s="3" t="inlineStr"/>
      <c r="U121" s="3" t="n">
        <v>0</v>
      </c>
      <c r="V121" s="3" t="inlineStr">
        <is>
          <t>masc:1.8;fem:-1.6</t>
        </is>
      </c>
      <c r="W121" s="3" t="n">
        <v>1.8</v>
      </c>
      <c r="X121" s="3" t="n">
        <v>-1.6</v>
      </c>
      <c r="Y121" s="3" t="inlineStr">
        <is>
          <t>COMM_Avoidant</t>
        </is>
      </c>
      <c r="Z121" s="3" t="inlineStr">
        <is>
          <t>REG_Suppressor</t>
        </is>
      </c>
      <c r="AA121" s="3" t="inlineStr">
        <is>
          <t>LANG_Time</t>
        </is>
      </c>
      <c r="AB121" s="3" t="inlineStr"/>
      <c r="AC121" s="3" t="inlineStr"/>
      <c r="AD121" s="3" t="inlineStr"/>
      <c r="AE121" s="3" t="n">
        <v>0</v>
      </c>
      <c r="AF121" s="3" t="inlineStr">
        <is>
          <t>cold cost-cut</t>
        </is>
      </c>
      <c r="AG121" s="3" t="inlineStr">
        <is>
          <t>clean exit</t>
        </is>
      </c>
      <c r="AH121" s="3" t="n">
        <v>0.6</v>
      </c>
      <c r="AI121" s="3" t="inlineStr">
        <is>
          <t>no</t>
        </is>
      </c>
      <c r="AJ121" s="3" t="inlineStr">
        <is>
          <t>no</t>
        </is>
      </c>
      <c r="AK121" s="3" t="inlineStr">
        <is>
          <t>yes</t>
        </is>
      </c>
      <c r="AL121" s="3" t="inlineStr">
        <is>
          <t>yes</t>
        </is>
      </c>
      <c r="AM121" s="3" t="inlineStr"/>
      <c r="AN121" s="3" t="inlineStr"/>
      <c r="AO121" s="3" t="inlineStr"/>
      <c r="AP121" s="3" t="inlineStr">
        <is>
          <t>v3_2026-03-19</t>
        </is>
      </c>
      <c r="AQ121">
        <f>(L121-Schema_v5!$C2)/(Schema_v5!$C3-Schema_v5!$C2)</f>
        <v/>
      </c>
      <c r="AR121">
        <f>(M121-Schema_v5!$C4)/(Schema_v5!$C5-Schema_v5!$C4)</f>
        <v/>
      </c>
      <c r="AS121">
        <f>N121/Schema_v5!$C6</f>
        <v/>
      </c>
      <c r="AT121">
        <f>O121/Schema_v5!$C7</f>
        <v/>
      </c>
      <c r="AU121">
        <f>P121/Schema_v5!$C8</f>
        <v/>
      </c>
      <c r="AV121">
        <f>IF(Schema_v5!$C9=0,0,AH121/Schema_v5!$C9)</f>
        <v/>
      </c>
      <c r="AW121">
        <f>IF(Schema_v5!$C10=0,0,AE121/Schema_v5!$C10)</f>
        <v/>
      </c>
      <c r="AX121">
        <f>(W121-Schema_v5!$C11)/(Schema_v5!$C12-Schema_v5!$C11)</f>
        <v/>
      </c>
      <c r="AY121">
        <f>(X121-Schema_v5!$C13)/(Schema_v5!$C14-Schema_v5!$C13)</f>
        <v/>
      </c>
    </row>
    <row r="122">
      <c r="A122" s="3" t="inlineStr">
        <is>
          <t>Q25_A</t>
        </is>
      </c>
      <c r="B122" s="3" t="n">
        <v>25</v>
      </c>
      <c r="C122" s="3" t="n">
        <v>25</v>
      </c>
      <c r="D122" s="3" t="inlineStr">
        <is>
          <t>Core</t>
        </is>
      </c>
      <c r="E122" s="3" t="n">
        <v>1.1</v>
      </c>
      <c r="F122" s="3" t="inlineStr">
        <is>
          <t>ValuesLifestyle</t>
        </is>
      </c>
      <c r="G122" s="3" t="inlineStr">
        <is>
          <t>IntentAlignment</t>
        </is>
      </c>
      <c r="H122" s="3" t="inlineStr">
        <is>
          <t>You start falling for someone... but deep down, you don't think they feel the same. What's your next move?</t>
        </is>
      </c>
      <c r="I122" s="3" t="inlineStr">
        <is>
          <t>A</t>
        </is>
      </c>
      <c r="J122" s="3" t="inlineStr">
        <is>
          <t>A</t>
        </is>
      </c>
      <c r="K122" s="3" t="inlineStr">
        <is>
          <t>I don't say anything. I pull back before it becomes obvious. I've had enough one-sided stories in my life.</t>
        </is>
      </c>
      <c r="L122" s="3" t="n">
        <v>7</v>
      </c>
      <c r="M122" s="3" t="n">
        <v>8</v>
      </c>
      <c r="N122" s="3" t="n">
        <v>6</v>
      </c>
      <c r="O122" s="3" t="n">
        <v>8</v>
      </c>
      <c r="P122" s="3" t="n">
        <v>6</v>
      </c>
      <c r="Q122" s="3" t="inlineStr">
        <is>
          <t>Survivor</t>
        </is>
      </c>
      <c r="R122" s="3" t="n">
        <v>8</v>
      </c>
      <c r="S122" s="3" t="inlineStr"/>
      <c r="T122" s="3" t="inlineStr"/>
      <c r="U122" s="3" t="n">
        <v>0</v>
      </c>
      <c r="V122" s="3" t="inlineStr">
        <is>
          <t>masc:0.3;fem:1.3</t>
        </is>
      </c>
      <c r="W122" s="3" t="n">
        <v>0.3</v>
      </c>
      <c r="X122" s="3" t="n">
        <v>1.3</v>
      </c>
      <c r="Y122" s="3" t="inlineStr">
        <is>
          <t>COMM_Emotional</t>
        </is>
      </c>
      <c r="Z122" s="3" t="inlineStr">
        <is>
          <t>REG_SelfSoother</t>
        </is>
      </c>
      <c r="AA122" s="3" t="inlineStr">
        <is>
          <t>LANG_Service</t>
        </is>
      </c>
      <c r="AB122" s="3" t="inlineStr"/>
      <c r="AC122" s="3" t="inlineStr"/>
      <c r="AD122" s="3" t="inlineStr"/>
      <c r="AE122" s="3" t="n">
        <v>0</v>
      </c>
      <c r="AF122" s="3" t="inlineStr">
        <is>
          <t>preemptive exit</t>
        </is>
      </c>
      <c r="AG122" s="3" t="inlineStr">
        <is>
          <t>pattern recognizer</t>
        </is>
      </c>
      <c r="AH122" s="3" t="n">
        <v>0.6</v>
      </c>
      <c r="AI122" s="3" t="inlineStr">
        <is>
          <t>no</t>
        </is>
      </c>
      <c r="AJ122" s="3" t="inlineStr">
        <is>
          <t>no</t>
        </is>
      </c>
      <c r="AK122" s="3" t="inlineStr">
        <is>
          <t>no</t>
        </is>
      </c>
      <c r="AL122" s="3" t="inlineStr">
        <is>
          <t>no</t>
        </is>
      </c>
      <c r="AM122" s="3" t="inlineStr"/>
      <c r="AN122" s="3" t="inlineStr"/>
      <c r="AO122" s="3" t="inlineStr"/>
      <c r="AP122" s="3" t="inlineStr">
        <is>
          <t>v3_2026-03-19</t>
        </is>
      </c>
      <c r="AQ122">
        <f>(L122-Schema_v5!$C2)/(Schema_v5!$C3-Schema_v5!$C2)</f>
        <v/>
      </c>
      <c r="AR122">
        <f>(M122-Schema_v5!$C4)/(Schema_v5!$C5-Schema_v5!$C4)</f>
        <v/>
      </c>
      <c r="AS122">
        <f>N122/Schema_v5!$C6</f>
        <v/>
      </c>
      <c r="AT122">
        <f>O122/Schema_v5!$C7</f>
        <v/>
      </c>
      <c r="AU122">
        <f>P122/Schema_v5!$C8</f>
        <v/>
      </c>
      <c r="AV122">
        <f>IF(Schema_v5!$C9=0,0,AH122/Schema_v5!$C9)</f>
        <v/>
      </c>
      <c r="AW122">
        <f>IF(Schema_v5!$C10=0,0,AE122/Schema_v5!$C10)</f>
        <v/>
      </c>
      <c r="AX122">
        <f>(W122-Schema_v5!$C11)/(Schema_v5!$C12-Schema_v5!$C11)</f>
        <v/>
      </c>
      <c r="AY122">
        <f>(X122-Schema_v5!$C13)/(Schema_v5!$C14-Schema_v5!$C13)</f>
        <v/>
      </c>
    </row>
    <row r="123">
      <c r="A123" s="3" t="inlineStr">
        <is>
          <t>Q25_B</t>
        </is>
      </c>
      <c r="B123" s="3" t="n">
        <v>25</v>
      </c>
      <c r="C123" s="3" t="n">
        <v>25</v>
      </c>
      <c r="D123" s="3" t="inlineStr">
        <is>
          <t>Core</t>
        </is>
      </c>
      <c r="E123" s="3" t="n">
        <v>1.1</v>
      </c>
      <c r="F123" s="3" t="inlineStr">
        <is>
          <t>ValuesLifestyle</t>
        </is>
      </c>
      <c r="G123" s="3" t="inlineStr">
        <is>
          <t>IntentAlignment</t>
        </is>
      </c>
      <c r="H123" s="3" t="inlineStr"/>
      <c r="I123" s="3" t="inlineStr">
        <is>
          <t>B</t>
        </is>
      </c>
      <c r="J123" s="3" t="inlineStr">
        <is>
          <t>B</t>
        </is>
      </c>
      <c r="K123" s="3" t="inlineStr">
        <is>
          <t>I try harder. I find reasons to stay in their orbit, hoping they eventually feel it too. It's dumb, but I get stuck in hope loops.</t>
        </is>
      </c>
      <c r="L123" s="3" t="n">
        <v>4</v>
      </c>
      <c r="M123" s="3" t="n">
        <v>5</v>
      </c>
      <c r="N123" s="3" t="n">
        <v>2</v>
      </c>
      <c r="O123" s="3" t="n">
        <v>2</v>
      </c>
      <c r="P123" s="3" t="n">
        <v>2</v>
      </c>
      <c r="Q123" s="3" t="inlineStr">
        <is>
          <t>Fixer</t>
        </is>
      </c>
      <c r="R123" s="3" t="n">
        <v>5</v>
      </c>
      <c r="S123" s="3" t="inlineStr"/>
      <c r="T123" s="3" t="inlineStr"/>
      <c r="U123" s="3" t="n">
        <v>0</v>
      </c>
      <c r="V123" s="3" t="inlineStr">
        <is>
          <t>masc:-0.4;fem:2.0</t>
        </is>
      </c>
      <c r="W123" s="3" t="n">
        <v>-0.4</v>
      </c>
      <c r="X123" s="3" t="n">
        <v>2</v>
      </c>
      <c r="Y123" s="3" t="inlineStr">
        <is>
          <t>COMM_Emotional</t>
        </is>
      </c>
      <c r="Z123" s="3" t="inlineStr">
        <is>
          <t>REG_CoRegulator</t>
        </is>
      </c>
      <c r="AA123" s="3" t="inlineStr">
        <is>
          <t>LANG_Service</t>
        </is>
      </c>
      <c r="AB123" s="3" t="inlineStr">
        <is>
          <t>Commitment_Ambiguity</t>
        </is>
      </c>
      <c r="AC123" s="3" t="inlineStr">
        <is>
          <t>Commitment_Ambiguity</t>
        </is>
      </c>
      <c r="AD123" s="3" t="inlineStr"/>
      <c r="AE123" s="3" t="n">
        <v>5</v>
      </c>
      <c r="AF123" s="3" t="inlineStr">
        <is>
          <t>persistence loop</t>
        </is>
      </c>
      <c r="AG123" s="3" t="inlineStr">
        <is>
          <t>loyal chaser</t>
        </is>
      </c>
      <c r="AH123" s="3" t="n">
        <v>0</v>
      </c>
      <c r="AI123" s="3" t="inlineStr">
        <is>
          <t>yes</t>
        </is>
      </c>
      <c r="AJ123" s="3" t="inlineStr">
        <is>
          <t>no</t>
        </is>
      </c>
      <c r="AK123" s="3" t="inlineStr">
        <is>
          <t>no</t>
        </is>
      </c>
      <c r="AL123" s="3" t="inlineStr">
        <is>
          <t>no</t>
        </is>
      </c>
      <c r="AM123" s="3" t="inlineStr"/>
      <c r="AN123" s="3" t="inlineStr"/>
      <c r="AO123" s="3" t="inlineStr"/>
      <c r="AP123" s="3" t="inlineStr">
        <is>
          <t>v3_2026-03-19</t>
        </is>
      </c>
      <c r="AQ123">
        <f>(L123-Schema_v5!$C2)/(Schema_v5!$C3-Schema_v5!$C2)</f>
        <v/>
      </c>
      <c r="AR123">
        <f>(M123-Schema_v5!$C4)/(Schema_v5!$C5-Schema_v5!$C4)</f>
        <v/>
      </c>
      <c r="AS123">
        <f>N123/Schema_v5!$C6</f>
        <v/>
      </c>
      <c r="AT123">
        <f>O123/Schema_v5!$C7</f>
        <v/>
      </c>
      <c r="AU123">
        <f>P123/Schema_v5!$C8</f>
        <v/>
      </c>
      <c r="AV123">
        <f>IF(Schema_v5!$C9=0,0,AH123/Schema_v5!$C9)</f>
        <v/>
      </c>
      <c r="AW123">
        <f>IF(Schema_v5!$C10=0,0,AE123/Schema_v5!$C10)</f>
        <v/>
      </c>
      <c r="AX123">
        <f>(W123-Schema_v5!$C11)/(Schema_v5!$C12-Schema_v5!$C11)</f>
        <v/>
      </c>
      <c r="AY123">
        <f>(X123-Schema_v5!$C13)/(Schema_v5!$C14-Schema_v5!$C13)</f>
        <v/>
      </c>
    </row>
    <row r="124">
      <c r="A124" s="3" t="inlineStr">
        <is>
          <t>Q25_C</t>
        </is>
      </c>
      <c r="B124" s="3" t="n">
        <v>25</v>
      </c>
      <c r="C124" s="3" t="n">
        <v>25</v>
      </c>
      <c r="D124" s="3" t="inlineStr">
        <is>
          <t>Core</t>
        </is>
      </c>
      <c r="E124" s="3" t="n">
        <v>1.1</v>
      </c>
      <c r="F124" s="3" t="inlineStr">
        <is>
          <t>ValuesLifestyle</t>
        </is>
      </c>
      <c r="G124" s="3" t="inlineStr">
        <is>
          <t>IntentAlignment</t>
        </is>
      </c>
      <c r="H124" s="3" t="inlineStr"/>
      <c r="I124" s="3" t="inlineStr">
        <is>
          <t>C</t>
        </is>
      </c>
      <c r="J124" s="3" t="inlineStr">
        <is>
          <t>C</t>
        </is>
      </c>
      <c r="K124" s="3" t="inlineStr">
        <is>
          <t>I ask in roundabout ways. Not directly, but enough to get a read. If they dodge, I emotionally clock out.</t>
        </is>
      </c>
      <c r="L124" s="3" t="n">
        <v>8</v>
      </c>
      <c r="M124" s="3" t="n">
        <v>9</v>
      </c>
      <c r="N124" s="3" t="n">
        <v>8</v>
      </c>
      <c r="O124" s="3" t="n">
        <v>8</v>
      </c>
      <c r="P124" s="3" t="n">
        <v>8</v>
      </c>
      <c r="Q124" s="3" t="inlineStr">
        <is>
          <t>Analyzer</t>
        </is>
      </c>
      <c r="R124" s="3" t="n">
        <v>2</v>
      </c>
      <c r="S124" s="3" t="inlineStr"/>
      <c r="T124" s="3" t="inlineStr"/>
      <c r="U124" s="3" t="n">
        <v>0</v>
      </c>
      <c r="V124" s="3" t="inlineStr">
        <is>
          <t>masc:1.4;fem:0.1</t>
        </is>
      </c>
      <c r="W124" s="3" t="n">
        <v>1.4</v>
      </c>
      <c r="X124" s="3" t="n">
        <v>0.1</v>
      </c>
      <c r="Y124" s="3" t="inlineStr">
        <is>
          <t>COMM_Logical</t>
        </is>
      </c>
      <c r="Z124" s="3" t="inlineStr">
        <is>
          <t>REG_SelfSoother</t>
        </is>
      </c>
      <c r="AA124" s="3" t="inlineStr">
        <is>
          <t>LANG_Service</t>
        </is>
      </c>
      <c r="AB124" s="3" t="inlineStr"/>
      <c r="AC124" s="3" t="inlineStr"/>
      <c r="AD124" s="3" t="inlineStr"/>
      <c r="AE124" s="3" t="n">
        <v>0</v>
      </c>
      <c r="AF124" s="3" t="inlineStr">
        <is>
          <t>indirect clarifier</t>
        </is>
      </c>
      <c r="AG124" s="3" t="inlineStr">
        <is>
          <t>subtle assessor</t>
        </is>
      </c>
      <c r="AH124" s="3" t="n">
        <v>0</v>
      </c>
      <c r="AI124" s="3" t="inlineStr">
        <is>
          <t>no</t>
        </is>
      </c>
      <c r="AJ124" s="3" t="inlineStr">
        <is>
          <t>no</t>
        </is>
      </c>
      <c r="AK124" s="3" t="inlineStr">
        <is>
          <t>no</t>
        </is>
      </c>
      <c r="AL124" s="3" t="inlineStr">
        <is>
          <t>no</t>
        </is>
      </c>
      <c r="AM124" s="3" t="inlineStr"/>
      <c r="AN124" s="3" t="inlineStr"/>
      <c r="AO124" s="3" t="inlineStr"/>
      <c r="AP124" s="3" t="inlineStr">
        <is>
          <t>v3_2026-03-19</t>
        </is>
      </c>
      <c r="AQ124">
        <f>(L124-Schema_v5!$C2)/(Schema_v5!$C3-Schema_v5!$C2)</f>
        <v/>
      </c>
      <c r="AR124">
        <f>(M124-Schema_v5!$C4)/(Schema_v5!$C5-Schema_v5!$C4)</f>
        <v/>
      </c>
      <c r="AS124">
        <f>N124/Schema_v5!$C6</f>
        <v/>
      </c>
      <c r="AT124">
        <f>O124/Schema_v5!$C7</f>
        <v/>
      </c>
      <c r="AU124">
        <f>P124/Schema_v5!$C8</f>
        <v/>
      </c>
      <c r="AV124">
        <f>IF(Schema_v5!$C9=0,0,AH124/Schema_v5!$C9)</f>
        <v/>
      </c>
      <c r="AW124">
        <f>IF(Schema_v5!$C10=0,0,AE124/Schema_v5!$C10)</f>
        <v/>
      </c>
      <c r="AX124">
        <f>(W124-Schema_v5!$C11)/(Schema_v5!$C12-Schema_v5!$C11)</f>
        <v/>
      </c>
      <c r="AY124">
        <f>(X124-Schema_v5!$C13)/(Schema_v5!$C14-Schema_v5!$C13)</f>
        <v/>
      </c>
    </row>
    <row r="125">
      <c r="A125" s="3" t="inlineStr">
        <is>
          <t>Q25_D</t>
        </is>
      </c>
      <c r="B125" s="3" t="n">
        <v>25</v>
      </c>
      <c r="C125" s="3" t="n">
        <v>25</v>
      </c>
      <c r="D125" s="3" t="inlineStr">
        <is>
          <t>Core</t>
        </is>
      </c>
      <c r="E125" s="3" t="n">
        <v>1.1</v>
      </c>
      <c r="F125" s="3" t="inlineStr">
        <is>
          <t>ValuesLifestyle</t>
        </is>
      </c>
      <c r="G125" s="3" t="inlineStr">
        <is>
          <t>IntentAlignment</t>
        </is>
      </c>
      <c r="H125" s="3" t="inlineStr"/>
      <c r="I125" s="3" t="inlineStr">
        <is>
          <t>D</t>
        </is>
      </c>
      <c r="J125" s="3" t="inlineStr">
        <is>
          <t>D</t>
        </is>
      </c>
      <c r="K125" s="3" t="inlineStr">
        <is>
          <t>I keep showing up, but softer. I can't fake confidence I don't feel, so I let them decide what this becomes.</t>
        </is>
      </c>
      <c r="L125" s="3" t="n">
        <v>5</v>
      </c>
      <c r="M125" s="3" t="n">
        <v>6</v>
      </c>
      <c r="N125" s="3" t="n">
        <v>2</v>
      </c>
      <c r="O125" s="3" t="n">
        <v>4</v>
      </c>
      <c r="P125" s="3" t="n">
        <v>2</v>
      </c>
      <c r="Q125" s="3" t="inlineStr">
        <is>
          <t>Phantom Seeker</t>
        </is>
      </c>
      <c r="R125" s="3" t="n">
        <v>10</v>
      </c>
      <c r="S125" s="3" t="inlineStr"/>
      <c r="T125" s="3" t="inlineStr"/>
      <c r="U125" s="3" t="n">
        <v>0</v>
      </c>
      <c r="V125" s="3" t="inlineStr">
        <is>
          <t>masc:-0.2;fem:1.5</t>
        </is>
      </c>
      <c r="W125" s="3" t="n">
        <v>-0.2</v>
      </c>
      <c r="X125" s="3" t="n">
        <v>1.5</v>
      </c>
      <c r="Y125" s="3" t="inlineStr">
        <is>
          <t>COMM_Emotional</t>
        </is>
      </c>
      <c r="Z125" s="3" t="inlineStr">
        <is>
          <t>REG_SelfSoother</t>
        </is>
      </c>
      <c r="AA125" s="3" t="inlineStr">
        <is>
          <t>LANG_Touch</t>
        </is>
      </c>
      <c r="AB125" s="3" t="inlineStr">
        <is>
          <t>Vulnerability_Loop</t>
        </is>
      </c>
      <c r="AC125" s="3" t="inlineStr">
        <is>
          <t>Vulnerability_Loop</t>
        </is>
      </c>
      <c r="AD125" s="3" t="inlineStr"/>
      <c r="AE125" s="3" t="n">
        <v>5</v>
      </c>
      <c r="AF125" s="3" t="inlineStr">
        <is>
          <t>quiet bid</t>
        </is>
      </c>
      <c r="AG125" s="3" t="inlineStr">
        <is>
          <t>reserved participant</t>
        </is>
      </c>
      <c r="AH125" s="3" t="n">
        <v>0</v>
      </c>
      <c r="AI125" s="3" t="inlineStr">
        <is>
          <t>yes</t>
        </is>
      </c>
      <c r="AJ125" s="3" t="inlineStr">
        <is>
          <t>no</t>
        </is>
      </c>
      <c r="AK125" s="3" t="inlineStr">
        <is>
          <t>no</t>
        </is>
      </c>
      <c r="AL125" s="3" t="inlineStr">
        <is>
          <t>no</t>
        </is>
      </c>
      <c r="AM125" s="3" t="inlineStr"/>
      <c r="AN125" s="3" t="inlineStr"/>
      <c r="AO125" s="3" t="inlineStr"/>
      <c r="AP125" s="3" t="inlineStr">
        <is>
          <t>v3_2026-03-19</t>
        </is>
      </c>
      <c r="AQ125">
        <f>(L125-Schema_v5!$C2)/(Schema_v5!$C3-Schema_v5!$C2)</f>
        <v/>
      </c>
      <c r="AR125">
        <f>(M125-Schema_v5!$C4)/(Schema_v5!$C5-Schema_v5!$C4)</f>
        <v/>
      </c>
      <c r="AS125">
        <f>N125/Schema_v5!$C6</f>
        <v/>
      </c>
      <c r="AT125">
        <f>O125/Schema_v5!$C7</f>
        <v/>
      </c>
      <c r="AU125">
        <f>P125/Schema_v5!$C8</f>
        <v/>
      </c>
      <c r="AV125">
        <f>IF(Schema_v5!$C9=0,0,AH125/Schema_v5!$C9)</f>
        <v/>
      </c>
      <c r="AW125">
        <f>IF(Schema_v5!$C10=0,0,AE125/Schema_v5!$C10)</f>
        <v/>
      </c>
      <c r="AX125">
        <f>(W125-Schema_v5!$C11)/(Schema_v5!$C12-Schema_v5!$C11)</f>
        <v/>
      </c>
      <c r="AY125">
        <f>(X125-Schema_v5!$C13)/(Schema_v5!$C14-Schema_v5!$C13)</f>
        <v/>
      </c>
    </row>
    <row r="126">
      <c r="A126" s="3" t="inlineStr">
        <is>
          <t>Q25_E</t>
        </is>
      </c>
      <c r="B126" s="3" t="n">
        <v>25</v>
      </c>
      <c r="C126" s="3" t="n">
        <v>25</v>
      </c>
      <c r="D126" s="3" t="inlineStr">
        <is>
          <t>Core</t>
        </is>
      </c>
      <c r="E126" s="3" t="n">
        <v>1.1</v>
      </c>
      <c r="F126" s="3" t="inlineStr">
        <is>
          <t>ValuesLifestyle</t>
        </is>
      </c>
      <c r="G126" s="3" t="inlineStr">
        <is>
          <t>IntentAlignment</t>
        </is>
      </c>
      <c r="H126" s="3" t="inlineStr"/>
      <c r="I126" s="3" t="inlineStr">
        <is>
          <t>E</t>
        </is>
      </c>
      <c r="J126" s="3" t="inlineStr">
        <is>
          <t>E</t>
        </is>
      </c>
      <c r="K126" s="3" t="inlineStr">
        <is>
          <t>If I have to guess how you feel, I already know. I don't chase someone who wouldn't sprint for me.</t>
        </is>
      </c>
      <c r="L126" s="3" t="n">
        <v>9</v>
      </c>
      <c r="M126" s="3" t="n">
        <v>9</v>
      </c>
      <c r="N126" s="3" t="n">
        <v>6</v>
      </c>
      <c r="O126" s="3" t="n">
        <v>6</v>
      </c>
      <c r="P126" s="3" t="n">
        <v>2</v>
      </c>
      <c r="Q126" s="3" t="inlineStr">
        <is>
          <t>Icebox</t>
        </is>
      </c>
      <c r="R126" s="3" t="n">
        <v>1</v>
      </c>
      <c r="S126" s="3" t="inlineStr"/>
      <c r="T126" s="3" t="inlineStr"/>
      <c r="U126" s="3" t="n">
        <v>0</v>
      </c>
      <c r="V126" s="3" t="inlineStr">
        <is>
          <t>masc:1.8;fem:-1.6</t>
        </is>
      </c>
      <c r="W126" s="3" t="n">
        <v>1.8</v>
      </c>
      <c r="X126" s="3" t="n">
        <v>-1.6</v>
      </c>
      <c r="Y126" s="3" t="inlineStr">
        <is>
          <t>COMM_Avoidant</t>
        </is>
      </c>
      <c r="Z126" s="3" t="inlineStr">
        <is>
          <t>REG_Suppressor</t>
        </is>
      </c>
      <c r="AA126" s="3" t="inlineStr">
        <is>
          <t>LANG_Time</t>
        </is>
      </c>
      <c r="AB126" s="3" t="inlineStr"/>
      <c r="AC126" s="3" t="inlineStr"/>
      <c r="AD126" s="3" t="inlineStr"/>
      <c r="AE126" s="3" t="n">
        <v>0</v>
      </c>
      <c r="AF126" s="3" t="inlineStr">
        <is>
          <t>high-bar exit logic</t>
        </is>
      </c>
      <c r="AG126" s="3" t="inlineStr">
        <is>
          <t>non-negotiator</t>
        </is>
      </c>
      <c r="AH126" s="3" t="n">
        <v>0.6</v>
      </c>
      <c r="AI126" s="3" t="inlineStr">
        <is>
          <t>no</t>
        </is>
      </c>
      <c r="AJ126" s="3" t="inlineStr">
        <is>
          <t>no</t>
        </is>
      </c>
      <c r="AK126" s="3" t="inlineStr">
        <is>
          <t>no</t>
        </is>
      </c>
      <c r="AL126" s="3" t="inlineStr">
        <is>
          <t>no</t>
        </is>
      </c>
      <c r="AM126" s="3" t="inlineStr"/>
      <c r="AN126" s="3" t="inlineStr"/>
      <c r="AO126" s="3" t="inlineStr"/>
      <c r="AP126" s="3" t="inlineStr">
        <is>
          <t>v3_2026-03-19</t>
        </is>
      </c>
      <c r="AQ126">
        <f>(L126-Schema_v5!$C2)/(Schema_v5!$C3-Schema_v5!$C2)</f>
        <v/>
      </c>
      <c r="AR126">
        <f>(M126-Schema_v5!$C4)/(Schema_v5!$C5-Schema_v5!$C4)</f>
        <v/>
      </c>
      <c r="AS126">
        <f>N126/Schema_v5!$C6</f>
        <v/>
      </c>
      <c r="AT126">
        <f>O126/Schema_v5!$C7</f>
        <v/>
      </c>
      <c r="AU126">
        <f>P126/Schema_v5!$C8</f>
        <v/>
      </c>
      <c r="AV126">
        <f>IF(Schema_v5!$C9=0,0,AH126/Schema_v5!$C9)</f>
        <v/>
      </c>
      <c r="AW126">
        <f>IF(Schema_v5!$C10=0,0,AE126/Schema_v5!$C10)</f>
        <v/>
      </c>
      <c r="AX126">
        <f>(W126-Schema_v5!$C11)/(Schema_v5!$C12-Schema_v5!$C11)</f>
        <v/>
      </c>
      <c r="AY126">
        <f>(X126-Schema_v5!$C13)/(Schema_v5!$C14-Schema_v5!$C13)</f>
        <v/>
      </c>
    </row>
    <row r="127">
      <c r="A127" s="3" t="inlineStr">
        <is>
          <t>Q26_A</t>
        </is>
      </c>
      <c r="B127" s="3" t="n">
        <v>26</v>
      </c>
      <c r="C127" s="3" t="n">
        <v>26</v>
      </c>
      <c r="D127" s="3" t="inlineStr">
        <is>
          <t>Core</t>
        </is>
      </c>
      <c r="E127" s="3" t="n">
        <v>1.1</v>
      </c>
      <c r="F127" s="3" t="inlineStr">
        <is>
          <t>ValuesLifestyle</t>
        </is>
      </c>
      <c r="G127" s="3" t="inlineStr">
        <is>
          <t>IntentAlignment</t>
        </is>
      </c>
      <c r="H127" s="3" t="inlineStr">
        <is>
          <t>You ask for something small-reassurance, support, a quick favor. But they brush it off or forget. What's your first thought?</t>
        </is>
      </c>
      <c r="I127" s="3" t="inlineStr">
        <is>
          <t>A</t>
        </is>
      </c>
      <c r="J127" s="3" t="inlineStr">
        <is>
          <t>A</t>
        </is>
      </c>
      <c r="K127" s="3" t="inlineStr">
        <is>
          <t>Cool. Won't ask again. I don't repeat myself when it comes to energy.</t>
        </is>
      </c>
      <c r="L127" s="3" t="n">
        <v>9</v>
      </c>
      <c r="M127" s="3" t="n">
        <v>9</v>
      </c>
      <c r="N127" s="3" t="n">
        <v>6</v>
      </c>
      <c r="O127" s="3" t="n">
        <v>6</v>
      </c>
      <c r="P127" s="3" t="n">
        <v>2</v>
      </c>
      <c r="Q127" s="3" t="inlineStr">
        <is>
          <t>Icebox</t>
        </is>
      </c>
      <c r="R127" s="3" t="n">
        <v>1</v>
      </c>
      <c r="S127" s="3" t="inlineStr"/>
      <c r="T127" s="3" t="inlineStr"/>
      <c r="U127" s="3" t="n">
        <v>0</v>
      </c>
      <c r="V127" s="3" t="inlineStr">
        <is>
          <t>masc:1.8;fem:-1.6</t>
        </is>
      </c>
      <c r="W127" s="3" t="n">
        <v>1.8</v>
      </c>
      <c r="X127" s="3" t="n">
        <v>-1.6</v>
      </c>
      <c r="Y127" s="3" t="inlineStr">
        <is>
          <t>COMM_Avoidant</t>
        </is>
      </c>
      <c r="Z127" s="3" t="inlineStr">
        <is>
          <t>REG_Suppressor</t>
        </is>
      </c>
      <c r="AA127" s="3" t="inlineStr">
        <is>
          <t>LANG_Time</t>
        </is>
      </c>
      <c r="AB127" s="3" t="inlineStr"/>
      <c r="AC127" s="3" t="inlineStr"/>
      <c r="AD127" s="3" t="inlineStr"/>
      <c r="AE127" s="3" t="n">
        <v>0</v>
      </c>
      <c r="AF127" s="3" t="inlineStr">
        <is>
          <t>cut-off switch mentality</t>
        </is>
      </c>
      <c r="AG127" s="3" t="inlineStr">
        <is>
          <t>decisive withdrawer</t>
        </is>
      </c>
      <c r="AH127" s="3" t="n">
        <v>0.6</v>
      </c>
      <c r="AI127" s="3" t="inlineStr">
        <is>
          <t>no</t>
        </is>
      </c>
      <c r="AJ127" s="3" t="inlineStr">
        <is>
          <t>no</t>
        </is>
      </c>
      <c r="AK127" s="3" t="inlineStr">
        <is>
          <t>no</t>
        </is>
      </c>
      <c r="AL127" s="3" t="inlineStr">
        <is>
          <t>no</t>
        </is>
      </c>
      <c r="AM127" s="3" t="inlineStr"/>
      <c r="AN127" s="3" t="inlineStr"/>
      <c r="AO127" s="3" t="inlineStr"/>
      <c r="AP127" s="3" t="inlineStr">
        <is>
          <t>v3_2026-03-19</t>
        </is>
      </c>
      <c r="AQ127">
        <f>(L127-Schema_v5!$C2)/(Schema_v5!$C3-Schema_v5!$C2)</f>
        <v/>
      </c>
      <c r="AR127">
        <f>(M127-Schema_v5!$C4)/(Schema_v5!$C5-Schema_v5!$C4)</f>
        <v/>
      </c>
      <c r="AS127">
        <f>N127/Schema_v5!$C6</f>
        <v/>
      </c>
      <c r="AT127">
        <f>O127/Schema_v5!$C7</f>
        <v/>
      </c>
      <c r="AU127">
        <f>P127/Schema_v5!$C8</f>
        <v/>
      </c>
      <c r="AV127">
        <f>IF(Schema_v5!$C9=0,0,AH127/Schema_v5!$C9)</f>
        <v/>
      </c>
      <c r="AW127">
        <f>IF(Schema_v5!$C10=0,0,AE127/Schema_v5!$C10)</f>
        <v/>
      </c>
      <c r="AX127">
        <f>(W127-Schema_v5!$C11)/(Schema_v5!$C12-Schema_v5!$C11)</f>
        <v/>
      </c>
      <c r="AY127">
        <f>(X127-Schema_v5!$C13)/(Schema_v5!$C14-Schema_v5!$C13)</f>
        <v/>
      </c>
    </row>
    <row r="128">
      <c r="A128" s="3" t="inlineStr">
        <is>
          <t>Q26_B</t>
        </is>
      </c>
      <c r="B128" s="3" t="n">
        <v>26</v>
      </c>
      <c r="C128" s="3" t="n">
        <v>26</v>
      </c>
      <c r="D128" s="3" t="inlineStr">
        <is>
          <t>Core</t>
        </is>
      </c>
      <c r="E128" s="3" t="n">
        <v>1.1</v>
      </c>
      <c r="F128" s="3" t="inlineStr">
        <is>
          <t>ValuesLifestyle</t>
        </is>
      </c>
      <c r="G128" s="3" t="inlineStr">
        <is>
          <t>IntentAlignment</t>
        </is>
      </c>
      <c r="H128" s="3" t="inlineStr"/>
      <c r="I128" s="3" t="inlineStr">
        <is>
          <t>B</t>
        </is>
      </c>
      <c r="J128" s="3" t="inlineStr">
        <is>
          <t>B</t>
        </is>
      </c>
      <c r="K128" s="3" t="inlineStr">
        <is>
          <t>Maybe I was too much. I replay it in my head, wondering if I worded it wrong or came off needy.</t>
        </is>
      </c>
      <c r="L128" s="3" t="n">
        <v>4</v>
      </c>
      <c r="M128" s="3" t="n">
        <v>5</v>
      </c>
      <c r="N128" s="3" t="n">
        <v>2</v>
      </c>
      <c r="O128" s="3" t="n">
        <v>2</v>
      </c>
      <c r="P128" s="3" t="n">
        <v>0</v>
      </c>
      <c r="Q128" s="3" t="inlineStr">
        <is>
          <t>Phantom Seeker</t>
        </is>
      </c>
      <c r="R128" s="3" t="n">
        <v>10</v>
      </c>
      <c r="S128" s="3" t="inlineStr"/>
      <c r="T128" s="3" t="inlineStr"/>
      <c r="U128" s="3" t="n">
        <v>0</v>
      </c>
      <c r="V128" s="3" t="inlineStr">
        <is>
          <t>masc:-0.2;fem:1.5</t>
        </is>
      </c>
      <c r="W128" s="3" t="n">
        <v>-0.2</v>
      </c>
      <c r="X128" s="3" t="n">
        <v>1.5</v>
      </c>
      <c r="Y128" s="3" t="inlineStr">
        <is>
          <t>COMM_Emotional</t>
        </is>
      </c>
      <c r="Z128" s="3" t="inlineStr">
        <is>
          <t>REG_SelfSoother</t>
        </is>
      </c>
      <c r="AA128" s="3" t="inlineStr">
        <is>
          <t>LANG_Touch</t>
        </is>
      </c>
      <c r="AB128" s="3" t="inlineStr">
        <is>
          <t>Commitment_Ambiguity</t>
        </is>
      </c>
      <c r="AC128" s="3" t="inlineStr">
        <is>
          <t>Commitment_Ambiguity</t>
        </is>
      </c>
      <c r="AD128" s="3" t="inlineStr"/>
      <c r="AE128" s="3" t="n">
        <v>5</v>
      </c>
      <c r="AF128" s="3" t="inlineStr">
        <is>
          <t>internal shame loop</t>
        </is>
      </c>
      <c r="AG128" s="3" t="inlineStr">
        <is>
          <t>self-blamer</t>
        </is>
      </c>
      <c r="AH128" s="3" t="n">
        <v>0</v>
      </c>
      <c r="AI128" s="3" t="inlineStr">
        <is>
          <t>yes</t>
        </is>
      </c>
      <c r="AJ128" s="3" t="inlineStr">
        <is>
          <t>no</t>
        </is>
      </c>
      <c r="AK128" s="3" t="inlineStr">
        <is>
          <t>no</t>
        </is>
      </c>
      <c r="AL128" s="3" t="inlineStr">
        <is>
          <t>no</t>
        </is>
      </c>
      <c r="AM128" s="3" t="inlineStr"/>
      <c r="AN128" s="3" t="inlineStr"/>
      <c r="AO128" s="3" t="inlineStr"/>
      <c r="AP128" s="3" t="inlineStr">
        <is>
          <t>v3_2026-03-19</t>
        </is>
      </c>
      <c r="AQ128">
        <f>(L128-Schema_v5!$C2)/(Schema_v5!$C3-Schema_v5!$C2)</f>
        <v/>
      </c>
      <c r="AR128">
        <f>(M128-Schema_v5!$C4)/(Schema_v5!$C5-Schema_v5!$C4)</f>
        <v/>
      </c>
      <c r="AS128">
        <f>N128/Schema_v5!$C6</f>
        <v/>
      </c>
      <c r="AT128">
        <f>O128/Schema_v5!$C7</f>
        <v/>
      </c>
      <c r="AU128">
        <f>P128/Schema_v5!$C8</f>
        <v/>
      </c>
      <c r="AV128">
        <f>IF(Schema_v5!$C9=0,0,AH128/Schema_v5!$C9)</f>
        <v/>
      </c>
      <c r="AW128">
        <f>IF(Schema_v5!$C10=0,0,AE128/Schema_v5!$C10)</f>
        <v/>
      </c>
      <c r="AX128">
        <f>(W128-Schema_v5!$C11)/(Schema_v5!$C12-Schema_v5!$C11)</f>
        <v/>
      </c>
      <c r="AY128">
        <f>(X128-Schema_v5!$C13)/(Schema_v5!$C14-Schema_v5!$C13)</f>
        <v/>
      </c>
    </row>
    <row r="129">
      <c r="A129" s="3" t="inlineStr">
        <is>
          <t>Q26_C</t>
        </is>
      </c>
      <c r="B129" s="3" t="n">
        <v>26</v>
      </c>
      <c r="C129" s="3" t="n">
        <v>26</v>
      </c>
      <c r="D129" s="3" t="inlineStr">
        <is>
          <t>Core</t>
        </is>
      </c>
      <c r="E129" s="3" t="n">
        <v>1.1</v>
      </c>
      <c r="F129" s="3" t="inlineStr">
        <is>
          <t>ValuesLifestyle</t>
        </is>
      </c>
      <c r="G129" s="3" t="inlineStr">
        <is>
          <t>IntentAlignment</t>
        </is>
      </c>
      <c r="H129" s="3" t="inlineStr"/>
      <c r="I129" s="3" t="inlineStr">
        <is>
          <t>C</t>
        </is>
      </c>
      <c r="J129" s="3" t="inlineStr">
        <is>
          <t>C</t>
        </is>
      </c>
      <c r="K129" s="3" t="inlineStr">
        <is>
          <t>I bring it up, but lightly, like a joke. If they care, they'll fix it. If they laugh it off again, I note it.</t>
        </is>
      </c>
      <c r="L129" s="3" t="n">
        <v>7</v>
      </c>
      <c r="M129" s="3" t="n">
        <v>8</v>
      </c>
      <c r="N129" s="3" t="n">
        <v>6</v>
      </c>
      <c r="O129" s="3" t="n">
        <v>6</v>
      </c>
      <c r="P129" s="3" t="n">
        <v>6</v>
      </c>
      <c r="Q129" s="3" t="inlineStr">
        <is>
          <t>Analyzer</t>
        </is>
      </c>
      <c r="R129" s="3" t="n">
        <v>2</v>
      </c>
      <c r="S129" s="3" t="inlineStr"/>
      <c r="T129" s="3" t="inlineStr"/>
      <c r="U129" s="3" t="n">
        <v>0</v>
      </c>
      <c r="V129" s="3" t="inlineStr">
        <is>
          <t>masc:1.4;fem:0.1</t>
        </is>
      </c>
      <c r="W129" s="3" t="n">
        <v>1.4</v>
      </c>
      <c r="X129" s="3" t="n">
        <v>0.1</v>
      </c>
      <c r="Y129" s="3" t="inlineStr">
        <is>
          <t>COMM_Logical</t>
        </is>
      </c>
      <c r="Z129" s="3" t="inlineStr">
        <is>
          <t>REG_SelfSoother</t>
        </is>
      </c>
      <c r="AA129" s="3" t="inlineStr">
        <is>
          <t>LANG_Service</t>
        </is>
      </c>
      <c r="AB129" s="3" t="inlineStr"/>
      <c r="AC129" s="3" t="inlineStr"/>
      <c r="AD129" s="3" t="inlineStr"/>
      <c r="AE129" s="3" t="n">
        <v>0</v>
      </c>
      <c r="AF129" s="3" t="inlineStr">
        <is>
          <t>test hidden in humor</t>
        </is>
      </c>
      <c r="AG129" s="3" t="inlineStr">
        <is>
          <t>subtle assessor</t>
        </is>
      </c>
      <c r="AH129" s="3" t="n">
        <v>0.6</v>
      </c>
      <c r="AI129" s="3" t="inlineStr">
        <is>
          <t>no</t>
        </is>
      </c>
      <c r="AJ129" s="3" t="inlineStr">
        <is>
          <t>no</t>
        </is>
      </c>
      <c r="AK129" s="3" t="inlineStr">
        <is>
          <t>no</t>
        </is>
      </c>
      <c r="AL129" s="3" t="inlineStr">
        <is>
          <t>no</t>
        </is>
      </c>
      <c r="AM129" s="3" t="inlineStr"/>
      <c r="AN129" s="3" t="inlineStr"/>
      <c r="AO129" s="3" t="inlineStr"/>
      <c r="AP129" s="3" t="inlineStr">
        <is>
          <t>v3_2026-03-19</t>
        </is>
      </c>
      <c r="AQ129">
        <f>(L129-Schema_v5!$C2)/(Schema_v5!$C3-Schema_v5!$C2)</f>
        <v/>
      </c>
      <c r="AR129">
        <f>(M129-Schema_v5!$C4)/(Schema_v5!$C5-Schema_v5!$C4)</f>
        <v/>
      </c>
      <c r="AS129">
        <f>N129/Schema_v5!$C6</f>
        <v/>
      </c>
      <c r="AT129">
        <f>O129/Schema_v5!$C7</f>
        <v/>
      </c>
      <c r="AU129">
        <f>P129/Schema_v5!$C8</f>
        <v/>
      </c>
      <c r="AV129">
        <f>IF(Schema_v5!$C9=0,0,AH129/Schema_v5!$C9)</f>
        <v/>
      </c>
      <c r="AW129">
        <f>IF(Schema_v5!$C10=0,0,AE129/Schema_v5!$C10)</f>
        <v/>
      </c>
      <c r="AX129">
        <f>(W129-Schema_v5!$C11)/(Schema_v5!$C12-Schema_v5!$C11)</f>
        <v/>
      </c>
      <c r="AY129">
        <f>(X129-Schema_v5!$C13)/(Schema_v5!$C14-Schema_v5!$C13)</f>
        <v/>
      </c>
    </row>
    <row r="130">
      <c r="A130" s="3" t="inlineStr">
        <is>
          <t>Q26_D</t>
        </is>
      </c>
      <c r="B130" s="3" t="n">
        <v>26</v>
      </c>
      <c r="C130" s="3" t="n">
        <v>26</v>
      </c>
      <c r="D130" s="3" t="inlineStr">
        <is>
          <t>Core</t>
        </is>
      </c>
      <c r="E130" s="3" t="n">
        <v>1.1</v>
      </c>
      <c r="F130" s="3" t="inlineStr">
        <is>
          <t>ValuesLifestyle</t>
        </is>
      </c>
      <c r="G130" s="3" t="inlineStr">
        <is>
          <t>IntentAlignment</t>
        </is>
      </c>
      <c r="H130" s="3" t="inlineStr"/>
      <c r="I130" s="3" t="inlineStr">
        <is>
          <t>D</t>
        </is>
      </c>
      <c r="J130" s="3" t="inlineStr">
        <is>
          <t>D</t>
        </is>
      </c>
      <c r="K130" s="3" t="inlineStr">
        <is>
          <t>I end up doing it myself and tell myself it's fine. I've always handled things alone, so why expect different now?</t>
        </is>
      </c>
      <c r="L130" s="3" t="n">
        <v>6</v>
      </c>
      <c r="M130" s="3" t="n">
        <v>7</v>
      </c>
      <c r="N130" s="3" t="n">
        <v>4</v>
      </c>
      <c r="O130" s="3" t="n">
        <v>6</v>
      </c>
      <c r="P130" s="3" t="n">
        <v>4</v>
      </c>
      <c r="Q130" s="3" t="inlineStr">
        <is>
          <t>Survivor</t>
        </is>
      </c>
      <c r="R130" s="3" t="n">
        <v>8</v>
      </c>
      <c r="S130" s="3" t="inlineStr"/>
      <c r="T130" s="3" t="inlineStr"/>
      <c r="U130" s="3" t="n">
        <v>0</v>
      </c>
      <c r="V130" s="3" t="inlineStr">
        <is>
          <t>masc:0.3;fem:1.3</t>
        </is>
      </c>
      <c r="W130" s="3" t="n">
        <v>0.3</v>
      </c>
      <c r="X130" s="3" t="n">
        <v>1.3</v>
      </c>
      <c r="Y130" s="3" t="inlineStr">
        <is>
          <t>COMM_Emotional</t>
        </is>
      </c>
      <c r="Z130" s="3" t="inlineStr">
        <is>
          <t>REG_SelfSoother</t>
        </is>
      </c>
      <c r="AA130" s="3" t="inlineStr">
        <is>
          <t>LANG_Touch</t>
        </is>
      </c>
      <c r="AB130" s="3" t="inlineStr">
        <is>
          <t>Vulnerability_Loop</t>
        </is>
      </c>
      <c r="AC130" s="3" t="inlineStr">
        <is>
          <t>Vulnerability_Loop</t>
        </is>
      </c>
      <c r="AD130" s="3" t="inlineStr"/>
      <c r="AE130" s="3" t="n">
        <v>5</v>
      </c>
      <c r="AF130" s="3" t="inlineStr">
        <is>
          <t>forced self-reliance</t>
        </is>
      </c>
      <c r="AG130" s="3" t="inlineStr">
        <is>
          <t>self-sufficient pullback</t>
        </is>
      </c>
      <c r="AH130" s="3" t="n">
        <v>0</v>
      </c>
      <c r="AI130" s="3" t="inlineStr">
        <is>
          <t>yes</t>
        </is>
      </c>
      <c r="AJ130" s="3" t="inlineStr">
        <is>
          <t>no</t>
        </is>
      </c>
      <c r="AK130" s="3" t="inlineStr">
        <is>
          <t>no</t>
        </is>
      </c>
      <c r="AL130" s="3" t="inlineStr">
        <is>
          <t>no</t>
        </is>
      </c>
      <c r="AM130" s="3" t="inlineStr"/>
      <c r="AN130" s="3" t="inlineStr"/>
      <c r="AO130" s="3" t="inlineStr"/>
      <c r="AP130" s="3" t="inlineStr">
        <is>
          <t>v3_2026-03-19</t>
        </is>
      </c>
      <c r="AQ130">
        <f>(L130-Schema_v5!$C2)/(Schema_v5!$C3-Schema_v5!$C2)</f>
        <v/>
      </c>
      <c r="AR130">
        <f>(M130-Schema_v5!$C4)/(Schema_v5!$C5-Schema_v5!$C4)</f>
        <v/>
      </c>
      <c r="AS130">
        <f>N130/Schema_v5!$C6</f>
        <v/>
      </c>
      <c r="AT130">
        <f>O130/Schema_v5!$C7</f>
        <v/>
      </c>
      <c r="AU130">
        <f>P130/Schema_v5!$C8</f>
        <v/>
      </c>
      <c r="AV130">
        <f>IF(Schema_v5!$C9=0,0,AH130/Schema_v5!$C9)</f>
        <v/>
      </c>
      <c r="AW130">
        <f>IF(Schema_v5!$C10=0,0,AE130/Schema_v5!$C10)</f>
        <v/>
      </c>
      <c r="AX130">
        <f>(W130-Schema_v5!$C11)/(Schema_v5!$C12-Schema_v5!$C11)</f>
        <v/>
      </c>
      <c r="AY130">
        <f>(X130-Schema_v5!$C13)/(Schema_v5!$C14-Schema_v5!$C13)</f>
        <v/>
      </c>
    </row>
    <row r="131">
      <c r="A131" s="3" t="inlineStr">
        <is>
          <t>Q26_E</t>
        </is>
      </c>
      <c r="B131" s="3" t="n">
        <v>26</v>
      </c>
      <c r="C131" s="3" t="n">
        <v>26</v>
      </c>
      <c r="D131" s="3" t="inlineStr">
        <is>
          <t>Core</t>
        </is>
      </c>
      <c r="E131" s="3" t="n">
        <v>1.1</v>
      </c>
      <c r="F131" s="3" t="inlineStr">
        <is>
          <t>ValuesLifestyle</t>
        </is>
      </c>
      <c r="G131" s="3" t="inlineStr">
        <is>
          <t>IntentAlignment</t>
        </is>
      </c>
      <c r="H131" s="3" t="inlineStr"/>
      <c r="I131" s="3" t="inlineStr">
        <is>
          <t>E</t>
        </is>
      </c>
      <c r="J131" s="3" t="inlineStr">
        <is>
          <t>E</t>
        </is>
      </c>
      <c r="K131" s="3" t="inlineStr">
        <is>
          <t>I give them the benefit of the doubt... for now. But next time I ask, I'm watching closely.</t>
        </is>
      </c>
      <c r="L131" s="3" t="n">
        <v>7</v>
      </c>
      <c r="M131" s="3" t="n">
        <v>8</v>
      </c>
      <c r="N131" s="3" t="n">
        <v>6</v>
      </c>
      <c r="O131" s="3" t="n">
        <v>6</v>
      </c>
      <c r="P131" s="3" t="n">
        <v>4</v>
      </c>
      <c r="Q131" s="3" t="inlineStr">
        <is>
          <t>Romantic Idealist</t>
        </is>
      </c>
      <c r="R131" s="3" t="n">
        <v>6</v>
      </c>
      <c r="S131" s="3" t="inlineStr"/>
      <c r="T131" s="3" t="inlineStr"/>
      <c r="U131" s="3" t="n">
        <v>0</v>
      </c>
      <c r="V131" s="3" t="inlineStr">
        <is>
          <t>masc:-0.4;fem:1.5</t>
        </is>
      </c>
      <c r="W131" s="3" t="n">
        <v>-0.4</v>
      </c>
      <c r="X131" s="3" t="n">
        <v>1.5</v>
      </c>
      <c r="Y131" s="3" t="inlineStr">
        <is>
          <t>COMM_Emotional</t>
        </is>
      </c>
      <c r="Z131" s="3" t="inlineStr">
        <is>
          <t>REG_Distractor</t>
        </is>
      </c>
      <c r="AA131" s="3" t="inlineStr">
        <is>
          <t>LANG_Gifts</t>
        </is>
      </c>
      <c r="AB131" s="3" t="inlineStr"/>
      <c r="AC131" s="3" t="inlineStr"/>
      <c r="AD131" s="3" t="inlineStr"/>
      <c r="AE131" s="3" t="n">
        <v>0</v>
      </c>
      <c r="AF131" s="3" t="inlineStr">
        <is>
          <t>conditional grace</t>
        </is>
      </c>
      <c r="AG131" s="3" t="inlineStr">
        <is>
          <t>hopeful monitor</t>
        </is>
      </c>
      <c r="AH131" s="3" t="n">
        <v>0</v>
      </c>
      <c r="AI131" s="3" t="inlineStr">
        <is>
          <t>no</t>
        </is>
      </c>
      <c r="AJ131" s="3" t="inlineStr">
        <is>
          <t>no</t>
        </is>
      </c>
      <c r="AK131" s="3" t="inlineStr">
        <is>
          <t>no</t>
        </is>
      </c>
      <c r="AL131" s="3" t="inlineStr">
        <is>
          <t>no</t>
        </is>
      </c>
      <c r="AM131" s="3" t="inlineStr"/>
      <c r="AN131" s="3" t="inlineStr"/>
      <c r="AO131" s="3" t="inlineStr"/>
      <c r="AP131" s="3" t="inlineStr">
        <is>
          <t>v3_2026-03-19</t>
        </is>
      </c>
      <c r="AQ131">
        <f>(L131-Schema_v5!$C2)/(Schema_v5!$C3-Schema_v5!$C2)</f>
        <v/>
      </c>
      <c r="AR131">
        <f>(M131-Schema_v5!$C4)/(Schema_v5!$C5-Schema_v5!$C4)</f>
        <v/>
      </c>
      <c r="AS131">
        <f>N131/Schema_v5!$C6</f>
        <v/>
      </c>
      <c r="AT131">
        <f>O131/Schema_v5!$C7</f>
        <v/>
      </c>
      <c r="AU131">
        <f>P131/Schema_v5!$C8</f>
        <v/>
      </c>
      <c r="AV131">
        <f>IF(Schema_v5!$C9=0,0,AH131/Schema_v5!$C9)</f>
        <v/>
      </c>
      <c r="AW131">
        <f>IF(Schema_v5!$C10=0,0,AE131/Schema_v5!$C10)</f>
        <v/>
      </c>
      <c r="AX131">
        <f>(W131-Schema_v5!$C11)/(Schema_v5!$C12-Schema_v5!$C11)</f>
        <v/>
      </c>
      <c r="AY131">
        <f>(X131-Schema_v5!$C13)/(Schema_v5!$C14-Schema_v5!$C13)</f>
        <v/>
      </c>
    </row>
    <row r="132">
      <c r="A132" s="3" t="inlineStr">
        <is>
          <t>Q27_A</t>
        </is>
      </c>
      <c r="B132" s="3" t="n">
        <v>27</v>
      </c>
      <c r="C132" s="3" t="n">
        <v>27</v>
      </c>
      <c r="D132" s="3" t="inlineStr">
        <is>
          <t>Core</t>
        </is>
      </c>
      <c r="E132" s="3" t="n">
        <v>1.15</v>
      </c>
      <c r="F132" s="3" t="inlineStr">
        <is>
          <t>ValuesLifestyle</t>
        </is>
      </c>
      <c r="G132" s="3" t="inlineStr">
        <is>
          <t>IntentAlignment</t>
        </is>
      </c>
      <c r="H132" s="3" t="inlineStr">
        <is>
          <t>You finally open up about something that's been weighing on you. Their response feels... underwhelming. What now?</t>
        </is>
      </c>
      <c r="I132" s="3" t="inlineStr">
        <is>
          <t>A</t>
        </is>
      </c>
      <c r="J132" s="3" t="inlineStr">
        <is>
          <t>A</t>
        </is>
      </c>
      <c r="K132" s="3" t="inlineStr">
        <is>
          <t>Noted. That version of me won't show up again. I clock reactions.</t>
        </is>
      </c>
      <c r="L132" s="3" t="n">
        <v>9</v>
      </c>
      <c r="M132" s="3" t="n">
        <v>9</v>
      </c>
      <c r="N132" s="3" t="n">
        <v>6</v>
      </c>
      <c r="O132" s="3" t="n">
        <v>6</v>
      </c>
      <c r="P132" s="3" t="n">
        <v>2</v>
      </c>
      <c r="Q132" s="3" t="inlineStr">
        <is>
          <t>Icebox</t>
        </is>
      </c>
      <c r="R132" s="3" t="n">
        <v>1</v>
      </c>
      <c r="S132" s="3" t="inlineStr"/>
      <c r="T132" s="3" t="inlineStr"/>
      <c r="U132" s="3" t="n">
        <v>0</v>
      </c>
      <c r="V132" s="3" t="inlineStr">
        <is>
          <t>masc:1.8;fem:-1.6</t>
        </is>
      </c>
      <c r="W132" s="3" t="n">
        <v>1.8</v>
      </c>
      <c r="X132" s="3" t="n">
        <v>-1.6</v>
      </c>
      <c r="Y132" s="3" t="inlineStr">
        <is>
          <t>COMM_Avoidant</t>
        </is>
      </c>
      <c r="Z132" s="3" t="inlineStr">
        <is>
          <t>REG_Suppressor</t>
        </is>
      </c>
      <c r="AA132" s="3" t="inlineStr">
        <is>
          <t>LANG_Time</t>
        </is>
      </c>
      <c r="AB132" s="3" t="inlineStr"/>
      <c r="AC132" s="3" t="inlineStr"/>
      <c r="AD132" s="3" t="inlineStr"/>
      <c r="AE132" s="3" t="n">
        <v>0</v>
      </c>
      <c r="AF132" s="3" t="inlineStr">
        <is>
          <t>one-and-done disclosure</t>
        </is>
      </c>
      <c r="AG132" s="3" t="inlineStr">
        <is>
          <t>trust gatekeeper</t>
        </is>
      </c>
      <c r="AH132" s="3" t="n">
        <v>0</v>
      </c>
      <c r="AI132" s="3" t="inlineStr">
        <is>
          <t>no</t>
        </is>
      </c>
      <c r="AJ132" s="3" t="inlineStr">
        <is>
          <t>no</t>
        </is>
      </c>
      <c r="AK132" s="3" t="inlineStr">
        <is>
          <t>no</t>
        </is>
      </c>
      <c r="AL132" s="3" t="inlineStr">
        <is>
          <t>no</t>
        </is>
      </c>
      <c r="AM132" s="3" t="inlineStr"/>
      <c r="AN132" s="3" t="inlineStr"/>
      <c r="AO132" s="3" t="inlineStr"/>
      <c r="AP132" s="3" t="inlineStr">
        <is>
          <t>v3_2026-03-19</t>
        </is>
      </c>
      <c r="AQ132">
        <f>(L132-Schema_v5!$C2)/(Schema_v5!$C3-Schema_v5!$C2)</f>
        <v/>
      </c>
      <c r="AR132">
        <f>(M132-Schema_v5!$C4)/(Schema_v5!$C5-Schema_v5!$C4)</f>
        <v/>
      </c>
      <c r="AS132">
        <f>N132/Schema_v5!$C6</f>
        <v/>
      </c>
      <c r="AT132">
        <f>O132/Schema_v5!$C7</f>
        <v/>
      </c>
      <c r="AU132">
        <f>P132/Schema_v5!$C8</f>
        <v/>
      </c>
      <c r="AV132">
        <f>IF(Schema_v5!$C9=0,0,AH132/Schema_v5!$C9)</f>
        <v/>
      </c>
      <c r="AW132">
        <f>IF(Schema_v5!$C10=0,0,AE132/Schema_v5!$C10)</f>
        <v/>
      </c>
      <c r="AX132">
        <f>(W132-Schema_v5!$C11)/(Schema_v5!$C12-Schema_v5!$C11)</f>
        <v/>
      </c>
      <c r="AY132">
        <f>(X132-Schema_v5!$C13)/(Schema_v5!$C14-Schema_v5!$C13)</f>
        <v/>
      </c>
    </row>
    <row r="133">
      <c r="A133" s="3" t="inlineStr">
        <is>
          <t>Q27_B</t>
        </is>
      </c>
      <c r="B133" s="3" t="n">
        <v>27</v>
      </c>
      <c r="C133" s="3" t="n">
        <v>27</v>
      </c>
      <c r="D133" s="3" t="inlineStr">
        <is>
          <t>Core</t>
        </is>
      </c>
      <c r="E133" s="3" t="n">
        <v>1.15</v>
      </c>
      <c r="F133" s="3" t="inlineStr">
        <is>
          <t>ValuesLifestyle</t>
        </is>
      </c>
      <c r="G133" s="3" t="inlineStr">
        <is>
          <t>IntentAlignment</t>
        </is>
      </c>
      <c r="H133" s="3" t="inlineStr"/>
      <c r="I133" s="3" t="inlineStr">
        <is>
          <t>B</t>
        </is>
      </c>
      <c r="J133" s="3" t="inlineStr">
        <is>
          <t>B</t>
        </is>
      </c>
      <c r="K133" s="3" t="inlineStr">
        <is>
          <t>I say I'm fine, but now I feel weird. I think about how I made it awkward, then wish I'd kept it in.</t>
        </is>
      </c>
      <c r="L133" s="3" t="n">
        <v>4</v>
      </c>
      <c r="M133" s="3" t="n">
        <v>5</v>
      </c>
      <c r="N133" s="3" t="n">
        <v>2</v>
      </c>
      <c r="O133" s="3" t="n">
        <v>2</v>
      </c>
      <c r="P133" s="3" t="n">
        <v>0</v>
      </c>
      <c r="Q133" s="3" t="inlineStr">
        <is>
          <t>Phantom Seeker</t>
        </is>
      </c>
      <c r="R133" s="3" t="n">
        <v>10</v>
      </c>
      <c r="S133" s="3" t="inlineStr"/>
      <c r="T133" s="3" t="inlineStr"/>
      <c r="U133" s="3" t="n">
        <v>0</v>
      </c>
      <c r="V133" s="3" t="inlineStr">
        <is>
          <t>masc:-0.2;fem:1.5</t>
        </is>
      </c>
      <c r="W133" s="3" t="n">
        <v>-0.2</v>
      </c>
      <c r="X133" s="3" t="n">
        <v>1.5</v>
      </c>
      <c r="Y133" s="3" t="inlineStr">
        <is>
          <t>COMM_Emotional</t>
        </is>
      </c>
      <c r="Z133" s="3" t="inlineStr">
        <is>
          <t>REG_SelfSoother</t>
        </is>
      </c>
      <c r="AA133" s="3" t="inlineStr">
        <is>
          <t>LANG_Touch</t>
        </is>
      </c>
      <c r="AB133" s="3" t="inlineStr">
        <is>
          <t>Vulnerability_Loop</t>
        </is>
      </c>
      <c r="AC133" s="3" t="inlineStr">
        <is>
          <t>Vulnerability_Loop</t>
        </is>
      </c>
      <c r="AD133" s="3" t="inlineStr"/>
      <c r="AE133" s="3" t="n">
        <v>5</v>
      </c>
      <c r="AF133" s="3" t="inlineStr">
        <is>
          <t>vulnerability regret spiral</t>
        </is>
      </c>
      <c r="AG133" s="3" t="inlineStr">
        <is>
          <t>internal retreater</t>
        </is>
      </c>
      <c r="AH133" s="3" t="n">
        <v>0</v>
      </c>
      <c r="AI133" s="3" t="inlineStr">
        <is>
          <t>yes</t>
        </is>
      </c>
      <c r="AJ133" s="3" t="inlineStr">
        <is>
          <t>no</t>
        </is>
      </c>
      <c r="AK133" s="3" t="inlineStr">
        <is>
          <t>no</t>
        </is>
      </c>
      <c r="AL133" s="3" t="inlineStr">
        <is>
          <t>no</t>
        </is>
      </c>
      <c r="AM133" s="3" t="inlineStr"/>
      <c r="AN133" s="3" t="inlineStr"/>
      <c r="AO133" s="3" t="inlineStr"/>
      <c r="AP133" s="3" t="inlineStr">
        <is>
          <t>v3_2026-03-19</t>
        </is>
      </c>
      <c r="AQ133">
        <f>(L133-Schema_v5!$C2)/(Schema_v5!$C3-Schema_v5!$C2)</f>
        <v/>
      </c>
      <c r="AR133">
        <f>(M133-Schema_v5!$C4)/(Schema_v5!$C5-Schema_v5!$C4)</f>
        <v/>
      </c>
      <c r="AS133">
        <f>N133/Schema_v5!$C6</f>
        <v/>
      </c>
      <c r="AT133">
        <f>O133/Schema_v5!$C7</f>
        <v/>
      </c>
      <c r="AU133">
        <f>P133/Schema_v5!$C8</f>
        <v/>
      </c>
      <c r="AV133">
        <f>IF(Schema_v5!$C9=0,0,AH133/Schema_v5!$C9)</f>
        <v/>
      </c>
      <c r="AW133">
        <f>IF(Schema_v5!$C10=0,0,AE133/Schema_v5!$C10)</f>
        <v/>
      </c>
      <c r="AX133">
        <f>(W133-Schema_v5!$C11)/(Schema_v5!$C12-Schema_v5!$C11)</f>
        <v/>
      </c>
      <c r="AY133">
        <f>(X133-Schema_v5!$C13)/(Schema_v5!$C14-Schema_v5!$C13)</f>
        <v/>
      </c>
    </row>
    <row r="134">
      <c r="A134" s="3" t="inlineStr">
        <is>
          <t>Q27_C</t>
        </is>
      </c>
      <c r="B134" s="3" t="n">
        <v>27</v>
      </c>
      <c r="C134" s="3" t="n">
        <v>27</v>
      </c>
      <c r="D134" s="3" t="inlineStr">
        <is>
          <t>Core</t>
        </is>
      </c>
      <c r="E134" s="3" t="n">
        <v>1.15</v>
      </c>
      <c r="F134" s="3" t="inlineStr">
        <is>
          <t>ValuesLifestyle</t>
        </is>
      </c>
      <c r="G134" s="3" t="inlineStr">
        <is>
          <t>IntentAlignment</t>
        </is>
      </c>
      <c r="H134" s="3" t="inlineStr"/>
      <c r="I134" s="3" t="inlineStr">
        <is>
          <t>C</t>
        </is>
      </c>
      <c r="J134" s="3" t="inlineStr">
        <is>
          <t>C</t>
        </is>
      </c>
      <c r="K134" s="3" t="inlineStr">
        <is>
          <t>I replay their tone. Then I analyze whether they didn't care, or just didn't know how to respond.</t>
        </is>
      </c>
      <c r="L134" s="3" t="n">
        <v>7</v>
      </c>
      <c r="M134" s="3" t="n">
        <v>8</v>
      </c>
      <c r="N134" s="3" t="n">
        <v>6</v>
      </c>
      <c r="O134" s="3" t="n">
        <v>8</v>
      </c>
      <c r="P134" s="3" t="n">
        <v>6</v>
      </c>
      <c r="Q134" s="3" t="inlineStr">
        <is>
          <t>Analyzer</t>
        </is>
      </c>
      <c r="R134" s="3" t="n">
        <v>2</v>
      </c>
      <c r="S134" s="3" t="inlineStr"/>
      <c r="T134" s="3" t="inlineStr"/>
      <c r="U134" s="3" t="n">
        <v>0</v>
      </c>
      <c r="V134" s="3" t="inlineStr">
        <is>
          <t>masc:1.4;fem:0.1</t>
        </is>
      </c>
      <c r="W134" s="3" t="n">
        <v>1.4</v>
      </c>
      <c r="X134" s="3" t="n">
        <v>0.1</v>
      </c>
      <c r="Y134" s="3" t="inlineStr">
        <is>
          <t>COMM_Logical</t>
        </is>
      </c>
      <c r="Z134" s="3" t="inlineStr">
        <is>
          <t>REG_SelfSoother</t>
        </is>
      </c>
      <c r="AA134" s="3" t="inlineStr">
        <is>
          <t>LANG_Service</t>
        </is>
      </c>
      <c r="AB134" s="3" t="inlineStr"/>
      <c r="AC134" s="3" t="inlineStr"/>
      <c r="AD134" s="3" t="inlineStr"/>
      <c r="AE134" s="3" t="n">
        <v>0</v>
      </c>
      <c r="AF134" s="3" t="inlineStr">
        <is>
          <t>emotional forensics</t>
        </is>
      </c>
      <c r="AG134" s="3" t="inlineStr">
        <is>
          <t>intent decoder</t>
        </is>
      </c>
      <c r="AH134" s="3" t="n">
        <v>0</v>
      </c>
      <c r="AI134" s="3" t="inlineStr">
        <is>
          <t>no</t>
        </is>
      </c>
      <c r="AJ134" s="3" t="inlineStr">
        <is>
          <t>no</t>
        </is>
      </c>
      <c r="AK134" s="3" t="inlineStr">
        <is>
          <t>no</t>
        </is>
      </c>
      <c r="AL134" s="3" t="inlineStr">
        <is>
          <t>no</t>
        </is>
      </c>
      <c r="AM134" s="3" t="inlineStr"/>
      <c r="AN134" s="3" t="inlineStr"/>
      <c r="AO134" s="3" t="inlineStr"/>
      <c r="AP134" s="3" t="inlineStr">
        <is>
          <t>v3_2026-03-19</t>
        </is>
      </c>
      <c r="AQ134">
        <f>(L134-Schema_v5!$C2)/(Schema_v5!$C3-Schema_v5!$C2)</f>
        <v/>
      </c>
      <c r="AR134">
        <f>(M134-Schema_v5!$C4)/(Schema_v5!$C5-Schema_v5!$C4)</f>
        <v/>
      </c>
      <c r="AS134">
        <f>N134/Schema_v5!$C6</f>
        <v/>
      </c>
      <c r="AT134">
        <f>O134/Schema_v5!$C7</f>
        <v/>
      </c>
      <c r="AU134">
        <f>P134/Schema_v5!$C8</f>
        <v/>
      </c>
      <c r="AV134">
        <f>IF(Schema_v5!$C9=0,0,AH134/Schema_v5!$C9)</f>
        <v/>
      </c>
      <c r="AW134">
        <f>IF(Schema_v5!$C10=0,0,AE134/Schema_v5!$C10)</f>
        <v/>
      </c>
      <c r="AX134">
        <f>(W134-Schema_v5!$C11)/(Schema_v5!$C12-Schema_v5!$C11)</f>
        <v/>
      </c>
      <c r="AY134">
        <f>(X134-Schema_v5!$C13)/(Schema_v5!$C14-Schema_v5!$C13)</f>
        <v/>
      </c>
    </row>
    <row r="135">
      <c r="A135" s="3" t="inlineStr">
        <is>
          <t>Q27_D</t>
        </is>
      </c>
      <c r="B135" s="3" t="n">
        <v>27</v>
      </c>
      <c r="C135" s="3" t="n">
        <v>27</v>
      </c>
      <c r="D135" s="3" t="inlineStr">
        <is>
          <t>Core</t>
        </is>
      </c>
      <c r="E135" s="3" t="n">
        <v>1.15</v>
      </c>
      <c r="F135" s="3" t="inlineStr">
        <is>
          <t>ValuesLifestyle</t>
        </is>
      </c>
      <c r="G135" s="3" t="inlineStr">
        <is>
          <t>IntentAlignment</t>
        </is>
      </c>
      <c r="H135" s="3" t="inlineStr"/>
      <c r="I135" s="3" t="inlineStr">
        <is>
          <t>D</t>
        </is>
      </c>
      <c r="J135" s="3" t="inlineStr">
        <is>
          <t>D</t>
        </is>
      </c>
      <c r="K135" s="3" t="inlineStr">
        <is>
          <t>I try to clean it up, like "Haha never mind," so they're not uncomfortable. It's easier if I'm the one holding the weight.</t>
        </is>
      </c>
      <c r="L135" s="3" t="n">
        <v>5</v>
      </c>
      <c r="M135" s="3" t="n">
        <v>6</v>
      </c>
      <c r="N135" s="3" t="n">
        <v>4</v>
      </c>
      <c r="O135" s="3" t="n">
        <v>4</v>
      </c>
      <c r="P135" s="3" t="n">
        <v>4</v>
      </c>
      <c r="Q135" s="3" t="inlineStr">
        <is>
          <t>Fixer</t>
        </is>
      </c>
      <c r="R135" s="3" t="n">
        <v>5</v>
      </c>
      <c r="S135" s="3" t="inlineStr"/>
      <c r="T135" s="3" t="inlineStr"/>
      <c r="U135" s="3" t="n">
        <v>0</v>
      </c>
      <c r="V135" s="3" t="inlineStr">
        <is>
          <t>masc:-0.4;fem:2.0</t>
        </is>
      </c>
      <c r="W135" s="3" t="n">
        <v>-0.4</v>
      </c>
      <c r="X135" s="3" t="n">
        <v>2</v>
      </c>
      <c r="Y135" s="3" t="inlineStr">
        <is>
          <t>COMM_Emotional</t>
        </is>
      </c>
      <c r="Z135" s="3" t="inlineStr">
        <is>
          <t>REG_CoRegulator</t>
        </is>
      </c>
      <c r="AA135" s="3" t="inlineStr">
        <is>
          <t>LANG_Service</t>
        </is>
      </c>
      <c r="AB135" s="3" t="inlineStr">
        <is>
          <t>Vulnerability_Loop</t>
        </is>
      </c>
      <c r="AC135" s="3" t="inlineStr">
        <is>
          <t>Vulnerability_Loop</t>
        </is>
      </c>
      <c r="AD135" s="3" t="inlineStr"/>
      <c r="AE135" s="3" t="n">
        <v>5</v>
      </c>
      <c r="AF135" s="3" t="inlineStr">
        <is>
          <t>self-erasure for harmony</t>
        </is>
      </c>
      <c r="AG135" s="3" t="inlineStr">
        <is>
          <t>over-accommodator</t>
        </is>
      </c>
      <c r="AH135" s="3" t="n">
        <v>0</v>
      </c>
      <c r="AI135" s="3" t="inlineStr">
        <is>
          <t>yes</t>
        </is>
      </c>
      <c r="AJ135" s="3" t="inlineStr">
        <is>
          <t>no</t>
        </is>
      </c>
      <c r="AK135" s="3" t="inlineStr">
        <is>
          <t>no</t>
        </is>
      </c>
      <c r="AL135" s="3" t="inlineStr">
        <is>
          <t>no</t>
        </is>
      </c>
      <c r="AM135" s="3" t="inlineStr"/>
      <c r="AN135" s="3" t="inlineStr"/>
      <c r="AO135" s="3" t="inlineStr"/>
      <c r="AP135" s="3" t="inlineStr">
        <is>
          <t>v3_2026-03-19</t>
        </is>
      </c>
      <c r="AQ135">
        <f>(L135-Schema_v5!$C2)/(Schema_v5!$C3-Schema_v5!$C2)</f>
        <v/>
      </c>
      <c r="AR135">
        <f>(M135-Schema_v5!$C4)/(Schema_v5!$C5-Schema_v5!$C4)</f>
        <v/>
      </c>
      <c r="AS135">
        <f>N135/Schema_v5!$C6</f>
        <v/>
      </c>
      <c r="AT135">
        <f>O135/Schema_v5!$C7</f>
        <v/>
      </c>
      <c r="AU135">
        <f>P135/Schema_v5!$C8</f>
        <v/>
      </c>
      <c r="AV135">
        <f>IF(Schema_v5!$C9=0,0,AH135/Schema_v5!$C9)</f>
        <v/>
      </c>
      <c r="AW135">
        <f>IF(Schema_v5!$C10=0,0,AE135/Schema_v5!$C10)</f>
        <v/>
      </c>
      <c r="AX135">
        <f>(W135-Schema_v5!$C11)/(Schema_v5!$C12-Schema_v5!$C11)</f>
        <v/>
      </c>
      <c r="AY135">
        <f>(X135-Schema_v5!$C13)/(Schema_v5!$C14-Schema_v5!$C13)</f>
        <v/>
      </c>
    </row>
    <row r="136">
      <c r="A136" s="3" t="inlineStr">
        <is>
          <t>Q27_E</t>
        </is>
      </c>
      <c r="B136" s="3" t="n">
        <v>27</v>
      </c>
      <c r="C136" s="3" t="n">
        <v>27</v>
      </c>
      <c r="D136" s="3" t="inlineStr">
        <is>
          <t>Core</t>
        </is>
      </c>
      <c r="E136" s="3" t="n">
        <v>1.15</v>
      </c>
      <c r="F136" s="3" t="inlineStr">
        <is>
          <t>ValuesLifestyle</t>
        </is>
      </c>
      <c r="G136" s="3" t="inlineStr">
        <is>
          <t>IntentAlignment</t>
        </is>
      </c>
      <c r="H136" s="3" t="inlineStr"/>
      <c r="I136" s="3" t="inlineStr">
        <is>
          <t>E</t>
        </is>
      </c>
      <c r="J136" s="3" t="inlineStr">
        <is>
          <t>E</t>
        </is>
      </c>
      <c r="K136" s="3" t="inlineStr">
        <is>
          <t>I let it go in the moment, but the next time they open up, I mirror that same half-hearted energy back.</t>
        </is>
      </c>
      <c r="L136" s="3" t="n">
        <v>8</v>
      </c>
      <c r="M136" s="3" t="n">
        <v>8</v>
      </c>
      <c r="N136" s="3" t="n">
        <v>4</v>
      </c>
      <c r="O136" s="3" t="n">
        <v>4</v>
      </c>
      <c r="P136" s="3" t="n">
        <v>2</v>
      </c>
      <c r="Q136" s="3" t="inlineStr">
        <is>
          <t>Quiet Exit</t>
        </is>
      </c>
      <c r="R136" s="3" t="n">
        <v>4</v>
      </c>
      <c r="S136" s="3" t="inlineStr"/>
      <c r="T136" s="3" t="inlineStr"/>
      <c r="U136" s="3" t="n">
        <v>0</v>
      </c>
      <c r="V136" s="3" t="inlineStr">
        <is>
          <t>masc:1.4;fem:-1.3</t>
        </is>
      </c>
      <c r="W136" s="3" t="n">
        <v>1.4</v>
      </c>
      <c r="X136" s="3" t="n">
        <v>-1.3</v>
      </c>
      <c r="Y136" s="3" t="inlineStr">
        <is>
          <t>COMM_Avoidant</t>
        </is>
      </c>
      <c r="Z136" s="3" t="inlineStr">
        <is>
          <t>REG_Suppressor</t>
        </is>
      </c>
      <c r="AA136" s="3" t="inlineStr">
        <is>
          <t>LANG_Time</t>
        </is>
      </c>
      <c r="AB136" s="3" t="inlineStr"/>
      <c r="AC136" s="3" t="inlineStr"/>
      <c r="AD136" s="3" t="inlineStr"/>
      <c r="AE136" s="3" t="n">
        <v>0</v>
      </c>
      <c r="AF136" s="3" t="inlineStr">
        <is>
          <t>balanced withdrawal test</t>
        </is>
      </c>
      <c r="AG136" s="3" t="inlineStr">
        <is>
          <t>mirrored responder</t>
        </is>
      </c>
      <c r="AH136" s="3" t="n">
        <v>0.8</v>
      </c>
      <c r="AI136" s="3" t="inlineStr">
        <is>
          <t>no</t>
        </is>
      </c>
      <c r="AJ136" s="3" t="inlineStr">
        <is>
          <t>no</t>
        </is>
      </c>
      <c r="AK136" s="3" t="inlineStr">
        <is>
          <t>no</t>
        </is>
      </c>
      <c r="AL136" s="3" t="inlineStr">
        <is>
          <t>no</t>
        </is>
      </c>
      <c r="AM136" s="3" t="inlineStr"/>
      <c r="AN136" s="3" t="inlineStr"/>
      <c r="AO136" s="3" t="inlineStr"/>
      <c r="AP136" s="3" t="inlineStr">
        <is>
          <t>v3_2026-03-19</t>
        </is>
      </c>
      <c r="AQ136">
        <f>(L136-Schema_v5!$C2)/(Schema_v5!$C3-Schema_v5!$C2)</f>
        <v/>
      </c>
      <c r="AR136">
        <f>(M136-Schema_v5!$C4)/(Schema_v5!$C5-Schema_v5!$C4)</f>
        <v/>
      </c>
      <c r="AS136">
        <f>N136/Schema_v5!$C6</f>
        <v/>
      </c>
      <c r="AT136">
        <f>O136/Schema_v5!$C7</f>
        <v/>
      </c>
      <c r="AU136">
        <f>P136/Schema_v5!$C8</f>
        <v/>
      </c>
      <c r="AV136">
        <f>IF(Schema_v5!$C9=0,0,AH136/Schema_v5!$C9)</f>
        <v/>
      </c>
      <c r="AW136">
        <f>IF(Schema_v5!$C10=0,0,AE136/Schema_v5!$C10)</f>
        <v/>
      </c>
      <c r="AX136">
        <f>(W136-Schema_v5!$C11)/(Schema_v5!$C12-Schema_v5!$C11)</f>
        <v/>
      </c>
      <c r="AY136">
        <f>(X136-Schema_v5!$C13)/(Schema_v5!$C14-Schema_v5!$C13)</f>
        <v/>
      </c>
    </row>
    <row r="137">
      <c r="A137" s="3" t="inlineStr">
        <is>
          <t>Q28_A</t>
        </is>
      </c>
      <c r="B137" s="3" t="n">
        <v>28</v>
      </c>
      <c r="C137" s="3" t="n">
        <v>28</v>
      </c>
      <c r="D137" s="3" t="inlineStr">
        <is>
          <t>Core</t>
        </is>
      </c>
      <c r="E137" s="3" t="n">
        <v>1.15</v>
      </c>
      <c r="F137" s="3" t="inlineStr">
        <is>
          <t>ValuesLifestyle</t>
        </is>
      </c>
      <c r="G137" s="3" t="inlineStr">
        <is>
          <t>IntentAlignment</t>
        </is>
      </c>
      <c r="H137" s="3" t="inlineStr">
        <is>
          <t>You catch them doing something shady-not cheating, but definitely questionable. They don't know you know. What's your move?</t>
        </is>
      </c>
      <c r="I137" s="3" t="inlineStr">
        <is>
          <t>A</t>
        </is>
      </c>
      <c r="J137" s="3" t="inlineStr">
        <is>
          <t>A</t>
        </is>
      </c>
      <c r="K137" s="3" t="inlineStr">
        <is>
          <t>I don't confront, I collect. I want to see if they'll admit it before I say anything.</t>
        </is>
      </c>
      <c r="L137" s="3" t="n">
        <v>7</v>
      </c>
      <c r="M137" s="3" t="n">
        <v>8</v>
      </c>
      <c r="N137" s="3" t="n">
        <v>6</v>
      </c>
      <c r="O137" s="3" t="n">
        <v>6</v>
      </c>
      <c r="P137" s="3" t="n">
        <v>6</v>
      </c>
      <c r="Q137" s="3" t="inlineStr">
        <is>
          <t>Analyzer</t>
        </is>
      </c>
      <c r="R137" s="3" t="n">
        <v>2</v>
      </c>
      <c r="S137" s="3" t="inlineStr"/>
      <c r="T137" s="3" t="inlineStr"/>
      <c r="U137" s="3" t="n">
        <v>0</v>
      </c>
      <c r="V137" s="3" t="inlineStr">
        <is>
          <t>masc:1.4;fem:0.1</t>
        </is>
      </c>
      <c r="W137" s="3" t="n">
        <v>1.4</v>
      </c>
      <c r="X137" s="3" t="n">
        <v>0.1</v>
      </c>
      <c r="Y137" s="3" t="inlineStr">
        <is>
          <t>COMM_Logical</t>
        </is>
      </c>
      <c r="Z137" s="3" t="inlineStr">
        <is>
          <t>REG_SelfSoother</t>
        </is>
      </c>
      <c r="AA137" s="3" t="inlineStr">
        <is>
          <t>LANG_Service</t>
        </is>
      </c>
      <c r="AB137" s="3" t="inlineStr"/>
      <c r="AC137" s="3" t="inlineStr"/>
      <c r="AD137" s="3" t="inlineStr"/>
      <c r="AE137" s="3" t="n">
        <v>0</v>
      </c>
      <c r="AF137" s="3" t="inlineStr">
        <is>
          <t>silent pattern tracker</t>
        </is>
      </c>
      <c r="AG137" s="3" t="inlineStr">
        <is>
          <t>quiet investigator</t>
        </is>
      </c>
      <c r="AH137" s="3" t="n">
        <v>1.2</v>
      </c>
      <c r="AI137" s="3" t="inlineStr">
        <is>
          <t>no</t>
        </is>
      </c>
      <c r="AJ137" s="3" t="inlineStr">
        <is>
          <t>no</t>
        </is>
      </c>
      <c r="AK137" s="3" t="inlineStr">
        <is>
          <t>no</t>
        </is>
      </c>
      <c r="AL137" s="3" t="inlineStr">
        <is>
          <t>no</t>
        </is>
      </c>
      <c r="AM137" s="3" t="inlineStr"/>
      <c r="AN137" s="3" t="inlineStr"/>
      <c r="AO137" s="3" t="inlineStr"/>
      <c r="AP137" s="3" t="inlineStr">
        <is>
          <t>v3_2026-03-19</t>
        </is>
      </c>
      <c r="AQ137">
        <f>(L137-Schema_v5!$C2)/(Schema_v5!$C3-Schema_v5!$C2)</f>
        <v/>
      </c>
      <c r="AR137">
        <f>(M137-Schema_v5!$C4)/(Schema_v5!$C5-Schema_v5!$C4)</f>
        <v/>
      </c>
      <c r="AS137">
        <f>N137/Schema_v5!$C6</f>
        <v/>
      </c>
      <c r="AT137">
        <f>O137/Schema_v5!$C7</f>
        <v/>
      </c>
      <c r="AU137">
        <f>P137/Schema_v5!$C8</f>
        <v/>
      </c>
      <c r="AV137">
        <f>IF(Schema_v5!$C9=0,0,AH137/Schema_v5!$C9)</f>
        <v/>
      </c>
      <c r="AW137">
        <f>IF(Schema_v5!$C10=0,0,AE137/Schema_v5!$C10)</f>
        <v/>
      </c>
      <c r="AX137">
        <f>(W137-Schema_v5!$C11)/(Schema_v5!$C12-Schema_v5!$C11)</f>
        <v/>
      </c>
      <c r="AY137">
        <f>(X137-Schema_v5!$C13)/(Schema_v5!$C14-Schema_v5!$C13)</f>
        <v/>
      </c>
    </row>
    <row r="138">
      <c r="A138" s="3" t="inlineStr">
        <is>
          <t>Q28_B</t>
        </is>
      </c>
      <c r="B138" s="3" t="n">
        <v>28</v>
      </c>
      <c r="C138" s="3" t="n">
        <v>28</v>
      </c>
      <c r="D138" s="3" t="inlineStr">
        <is>
          <t>Core</t>
        </is>
      </c>
      <c r="E138" s="3" t="n">
        <v>1.15</v>
      </c>
      <c r="F138" s="3" t="inlineStr">
        <is>
          <t>ValuesLifestyle</t>
        </is>
      </c>
      <c r="G138" s="3" t="inlineStr">
        <is>
          <t>IntentAlignment</t>
        </is>
      </c>
      <c r="H138" s="3" t="inlineStr"/>
      <c r="I138" s="3" t="inlineStr">
        <is>
          <t>B</t>
        </is>
      </c>
      <c r="J138" s="3" t="inlineStr">
        <is>
          <t>B</t>
        </is>
      </c>
      <c r="K138" s="3" t="inlineStr">
        <is>
          <t>I act normal, but I'm already shifting. If you could do that once, you'll do it again. I don't wait for repeats.</t>
        </is>
      </c>
      <c r="L138" s="3" t="n">
        <v>8</v>
      </c>
      <c r="M138" s="3" t="n">
        <v>9</v>
      </c>
      <c r="N138" s="3" t="n">
        <v>4</v>
      </c>
      <c r="O138" s="3" t="n">
        <v>6</v>
      </c>
      <c r="P138" s="3" t="n">
        <v>2</v>
      </c>
      <c r="Q138" s="3" t="inlineStr">
        <is>
          <t>Icebox</t>
        </is>
      </c>
      <c r="R138" s="3" t="n">
        <v>1</v>
      </c>
      <c r="S138" s="3" t="inlineStr"/>
      <c r="T138" s="3" t="inlineStr"/>
      <c r="U138" s="3" t="n">
        <v>0</v>
      </c>
      <c r="V138" s="3" t="inlineStr">
        <is>
          <t>masc:1.8;fem:-1.6</t>
        </is>
      </c>
      <c r="W138" s="3" t="n">
        <v>1.8</v>
      </c>
      <c r="X138" s="3" t="n">
        <v>-1.6</v>
      </c>
      <c r="Y138" s="3" t="inlineStr">
        <is>
          <t>COMM_Avoidant</t>
        </is>
      </c>
      <c r="Z138" s="3" t="inlineStr">
        <is>
          <t>REG_Suppressor</t>
        </is>
      </c>
      <c r="AA138" s="3" t="inlineStr">
        <is>
          <t>LANG_Time</t>
        </is>
      </c>
      <c r="AB138" s="3" t="inlineStr"/>
      <c r="AC138" s="3" t="inlineStr"/>
      <c r="AD138" s="3" t="inlineStr"/>
      <c r="AE138" s="3" t="n">
        <v>0</v>
      </c>
      <c r="AF138" s="3" t="inlineStr">
        <is>
          <t>silent judgment</t>
        </is>
      </c>
      <c r="AG138" s="3" t="inlineStr">
        <is>
          <t>fast exiter</t>
        </is>
      </c>
      <c r="AH138" s="3" t="n">
        <v>0.6</v>
      </c>
      <c r="AI138" s="3" t="inlineStr">
        <is>
          <t>no</t>
        </is>
      </c>
      <c r="AJ138" s="3" t="inlineStr">
        <is>
          <t>no</t>
        </is>
      </c>
      <c r="AK138" s="3" t="inlineStr">
        <is>
          <t>no</t>
        </is>
      </c>
      <c r="AL138" s="3" t="inlineStr">
        <is>
          <t>no</t>
        </is>
      </c>
      <c r="AM138" s="3" t="inlineStr"/>
      <c r="AN138" s="3" t="inlineStr"/>
      <c r="AO138" s="3" t="inlineStr"/>
      <c r="AP138" s="3" t="inlineStr">
        <is>
          <t>v3_2026-03-19</t>
        </is>
      </c>
      <c r="AQ138">
        <f>(L138-Schema_v5!$C2)/(Schema_v5!$C3-Schema_v5!$C2)</f>
        <v/>
      </c>
      <c r="AR138">
        <f>(M138-Schema_v5!$C4)/(Schema_v5!$C5-Schema_v5!$C4)</f>
        <v/>
      </c>
      <c r="AS138">
        <f>N138/Schema_v5!$C6</f>
        <v/>
      </c>
      <c r="AT138">
        <f>O138/Schema_v5!$C7</f>
        <v/>
      </c>
      <c r="AU138">
        <f>P138/Schema_v5!$C8</f>
        <v/>
      </c>
      <c r="AV138">
        <f>IF(Schema_v5!$C9=0,0,AH138/Schema_v5!$C9)</f>
        <v/>
      </c>
      <c r="AW138">
        <f>IF(Schema_v5!$C10=0,0,AE138/Schema_v5!$C10)</f>
        <v/>
      </c>
      <c r="AX138">
        <f>(W138-Schema_v5!$C11)/(Schema_v5!$C12-Schema_v5!$C11)</f>
        <v/>
      </c>
      <c r="AY138">
        <f>(X138-Schema_v5!$C13)/(Schema_v5!$C14-Schema_v5!$C13)</f>
        <v/>
      </c>
    </row>
    <row r="139">
      <c r="A139" s="3" t="inlineStr">
        <is>
          <t>Q28_C</t>
        </is>
      </c>
      <c r="B139" s="3" t="n">
        <v>28</v>
      </c>
      <c r="C139" s="3" t="n">
        <v>28</v>
      </c>
      <c r="D139" s="3" t="inlineStr">
        <is>
          <t>Core</t>
        </is>
      </c>
      <c r="E139" s="3" t="n">
        <v>1.15</v>
      </c>
      <c r="F139" s="3" t="inlineStr">
        <is>
          <t>ValuesLifestyle</t>
        </is>
      </c>
      <c r="G139" s="3" t="inlineStr">
        <is>
          <t>IntentAlignment</t>
        </is>
      </c>
      <c r="H139" s="3" t="inlineStr"/>
      <c r="I139" s="3" t="inlineStr">
        <is>
          <t>C</t>
        </is>
      </c>
      <c r="J139" s="3" t="inlineStr">
        <is>
          <t>C</t>
        </is>
      </c>
      <c r="K139" s="3" t="inlineStr">
        <is>
          <t>I ask directly. If you lie to my face, I'm done. I'd rather deal with a harsh truth than slow deceit.</t>
        </is>
      </c>
      <c r="L139" s="3" t="n">
        <v>10</v>
      </c>
      <c r="M139" s="3" t="n">
        <v>10</v>
      </c>
      <c r="N139" s="3" t="n">
        <v>10</v>
      </c>
      <c r="O139" s="3" t="n">
        <v>10</v>
      </c>
      <c r="P139" s="3" t="n">
        <v>10</v>
      </c>
      <c r="Q139" s="3" t="inlineStr">
        <is>
          <t>Regulated Grown-Up</t>
        </is>
      </c>
      <c r="R139" s="3" t="n">
        <v>9</v>
      </c>
      <c r="S139" s="3" t="inlineStr"/>
      <c r="T139" s="3" t="inlineStr"/>
      <c r="U139" s="3" t="n">
        <v>0</v>
      </c>
      <c r="V139" s="3" t="inlineStr">
        <is>
          <t>masc:1.1;fem:0.9</t>
        </is>
      </c>
      <c r="W139" s="3" t="n">
        <v>1.1</v>
      </c>
      <c r="X139" s="3" t="n">
        <v>0.9</v>
      </c>
      <c r="Y139" s="3" t="inlineStr">
        <is>
          <t>COMM_Direct</t>
        </is>
      </c>
      <c r="Z139" s="3" t="inlineStr">
        <is>
          <t>REG_CoRegulator</t>
        </is>
      </c>
      <c r="AA139" s="3" t="inlineStr">
        <is>
          <t>LANG_Words</t>
        </is>
      </c>
      <c r="AB139" s="3" t="inlineStr"/>
      <c r="AC139" s="3" t="inlineStr"/>
      <c r="AD139" s="3" t="inlineStr"/>
      <c r="AE139" s="3" t="n">
        <v>0</v>
      </c>
      <c r="AF139" s="3" t="inlineStr">
        <is>
          <t>boundary with teeth</t>
        </is>
      </c>
      <c r="AG139" s="3" t="inlineStr">
        <is>
          <t>direct confronter</t>
        </is>
      </c>
      <c r="AH139" s="3" t="n">
        <v>0</v>
      </c>
      <c r="AI139" s="3" t="inlineStr">
        <is>
          <t>no</t>
        </is>
      </c>
      <c r="AJ139" s="3" t="inlineStr">
        <is>
          <t>no</t>
        </is>
      </c>
      <c r="AK139" s="3" t="inlineStr">
        <is>
          <t>no</t>
        </is>
      </c>
      <c r="AL139" s="3" t="inlineStr">
        <is>
          <t>no</t>
        </is>
      </c>
      <c r="AM139" s="3" t="inlineStr"/>
      <c r="AN139" s="3" t="inlineStr"/>
      <c r="AO139" s="3" t="inlineStr"/>
      <c r="AP139" s="3" t="inlineStr">
        <is>
          <t>v3_2026-03-19</t>
        </is>
      </c>
      <c r="AQ139">
        <f>(L139-Schema_v5!$C2)/(Schema_v5!$C3-Schema_v5!$C2)</f>
        <v/>
      </c>
      <c r="AR139">
        <f>(M139-Schema_v5!$C4)/(Schema_v5!$C5-Schema_v5!$C4)</f>
        <v/>
      </c>
      <c r="AS139">
        <f>N139/Schema_v5!$C6</f>
        <v/>
      </c>
      <c r="AT139">
        <f>O139/Schema_v5!$C7</f>
        <v/>
      </c>
      <c r="AU139">
        <f>P139/Schema_v5!$C8</f>
        <v/>
      </c>
      <c r="AV139">
        <f>IF(Schema_v5!$C9=0,0,AH139/Schema_v5!$C9)</f>
        <v/>
      </c>
      <c r="AW139">
        <f>IF(Schema_v5!$C10=0,0,AE139/Schema_v5!$C10)</f>
        <v/>
      </c>
      <c r="AX139">
        <f>(W139-Schema_v5!$C11)/(Schema_v5!$C12-Schema_v5!$C11)</f>
        <v/>
      </c>
      <c r="AY139">
        <f>(X139-Schema_v5!$C13)/(Schema_v5!$C14-Schema_v5!$C13)</f>
        <v/>
      </c>
    </row>
    <row r="140">
      <c r="A140" s="3" t="inlineStr">
        <is>
          <t>Q28_D</t>
        </is>
      </c>
      <c r="B140" s="3" t="n">
        <v>28</v>
      </c>
      <c r="C140" s="3" t="n">
        <v>28</v>
      </c>
      <c r="D140" s="3" t="inlineStr">
        <is>
          <t>Core</t>
        </is>
      </c>
      <c r="E140" s="3" t="n">
        <v>1.15</v>
      </c>
      <c r="F140" s="3" t="inlineStr">
        <is>
          <t>ValuesLifestyle</t>
        </is>
      </c>
      <c r="G140" s="3" t="inlineStr">
        <is>
          <t>IntentAlignment</t>
        </is>
      </c>
      <c r="H140" s="3" t="inlineStr"/>
      <c r="I140" s="3" t="inlineStr">
        <is>
          <t>D</t>
        </is>
      </c>
      <c r="J140" s="3" t="inlineStr">
        <is>
          <t>D</t>
        </is>
      </c>
      <c r="K140" s="3" t="inlineStr">
        <is>
          <t>I make a sarcastic comment or drop a subtle clue that I saw it, just to see how they react.</t>
        </is>
      </c>
      <c r="L140" s="3" t="n">
        <v>6</v>
      </c>
      <c r="M140" s="3" t="n">
        <v>7</v>
      </c>
      <c r="N140" s="3" t="n">
        <v>4</v>
      </c>
      <c r="O140" s="3" t="n">
        <v>4</v>
      </c>
      <c r="P140" s="3" t="n">
        <v>2</v>
      </c>
      <c r="Q140" s="3" t="inlineStr">
        <is>
          <t>Performer</t>
        </is>
      </c>
      <c r="R140" s="3" t="n">
        <v>7</v>
      </c>
      <c r="S140" s="3" t="inlineStr"/>
      <c r="T140" s="3" t="inlineStr"/>
      <c r="U140" s="3" t="n">
        <v>0</v>
      </c>
      <c r="V140" s="3" t="inlineStr">
        <is>
          <t>masc:0.2;fem:1.1</t>
        </is>
      </c>
      <c r="W140" s="3" t="n">
        <v>0.2</v>
      </c>
      <c r="X140" s="3" t="n">
        <v>1.1</v>
      </c>
      <c r="Y140" s="3" t="inlineStr">
        <is>
          <t>COMM_Indirect</t>
        </is>
      </c>
      <c r="Z140" s="3" t="inlineStr">
        <is>
          <t>REG_CoRegulator</t>
        </is>
      </c>
      <c r="AA140" s="3" t="inlineStr">
        <is>
          <t>LANG_Words</t>
        </is>
      </c>
      <c r="AB140" s="3" t="inlineStr">
        <is>
          <t>Scorekeeping_Echo</t>
        </is>
      </c>
      <c r="AC140" s="3" t="inlineStr">
        <is>
          <t>Scorekeeping_Echo</t>
        </is>
      </c>
      <c r="AD140" s="3" t="inlineStr"/>
      <c r="AE140" s="3" t="n">
        <v>8</v>
      </c>
      <c r="AF140" s="3" t="inlineStr">
        <is>
          <t>passive confrontation via humor</t>
        </is>
      </c>
      <c r="AG140" s="3" t="inlineStr">
        <is>
          <t>playful tester</t>
        </is>
      </c>
      <c r="AH140" s="3" t="n">
        <v>0.6</v>
      </c>
      <c r="AI140" s="3" t="inlineStr">
        <is>
          <t>yes</t>
        </is>
      </c>
      <c r="AJ140" s="3" t="inlineStr">
        <is>
          <t>no</t>
        </is>
      </c>
      <c r="AK140" s="3" t="inlineStr">
        <is>
          <t>no</t>
        </is>
      </c>
      <c r="AL140" s="3" t="inlineStr">
        <is>
          <t>no</t>
        </is>
      </c>
      <c r="AM140" s="3" t="inlineStr"/>
      <c r="AN140" s="3" t="inlineStr"/>
      <c r="AO140" s="3" t="inlineStr"/>
      <c r="AP140" s="3" t="inlineStr">
        <is>
          <t>v3_2026-03-19</t>
        </is>
      </c>
      <c r="AQ140">
        <f>(L140-Schema_v5!$C2)/(Schema_v5!$C3-Schema_v5!$C2)</f>
        <v/>
      </c>
      <c r="AR140">
        <f>(M140-Schema_v5!$C4)/(Schema_v5!$C5-Schema_v5!$C4)</f>
        <v/>
      </c>
      <c r="AS140">
        <f>N140/Schema_v5!$C6</f>
        <v/>
      </c>
      <c r="AT140">
        <f>O140/Schema_v5!$C7</f>
        <v/>
      </c>
      <c r="AU140">
        <f>P140/Schema_v5!$C8</f>
        <v/>
      </c>
      <c r="AV140">
        <f>IF(Schema_v5!$C9=0,0,AH140/Schema_v5!$C9)</f>
        <v/>
      </c>
      <c r="AW140">
        <f>IF(Schema_v5!$C10=0,0,AE140/Schema_v5!$C10)</f>
        <v/>
      </c>
      <c r="AX140">
        <f>(W140-Schema_v5!$C11)/(Schema_v5!$C12-Schema_v5!$C11)</f>
        <v/>
      </c>
      <c r="AY140">
        <f>(X140-Schema_v5!$C13)/(Schema_v5!$C14-Schema_v5!$C13)</f>
        <v/>
      </c>
    </row>
    <row r="141">
      <c r="A141" s="3" t="inlineStr">
        <is>
          <t>Q28_E</t>
        </is>
      </c>
      <c r="B141" s="3" t="n">
        <v>28</v>
      </c>
      <c r="C141" s="3" t="n">
        <v>28</v>
      </c>
      <c r="D141" s="3" t="inlineStr">
        <is>
          <t>Core</t>
        </is>
      </c>
      <c r="E141" s="3" t="n">
        <v>1.15</v>
      </c>
      <c r="F141" s="3" t="inlineStr">
        <is>
          <t>ValuesLifestyle</t>
        </is>
      </c>
      <c r="G141" s="3" t="inlineStr">
        <is>
          <t>IntentAlignment</t>
        </is>
      </c>
      <c r="H141" s="3" t="inlineStr"/>
      <c r="I141" s="3" t="inlineStr">
        <is>
          <t>E</t>
        </is>
      </c>
      <c r="J141" s="3" t="inlineStr">
        <is>
          <t>E</t>
        </is>
      </c>
      <c r="K141" s="3" t="inlineStr">
        <is>
          <t>I question myself first. Maybe I misunderstood. Maybe they had a reason. I spiral before I speak.</t>
        </is>
      </c>
      <c r="L141" s="3" t="n">
        <v>5</v>
      </c>
      <c r="M141" s="3" t="n">
        <v>6</v>
      </c>
      <c r="N141" s="3" t="n">
        <v>2</v>
      </c>
      <c r="O141" s="3" t="n">
        <v>4</v>
      </c>
      <c r="P141" s="3" t="n">
        <v>2</v>
      </c>
      <c r="Q141" s="3" t="inlineStr">
        <is>
          <t>Romantic Idealist</t>
        </is>
      </c>
      <c r="R141" s="3" t="n">
        <v>6</v>
      </c>
      <c r="S141" s="3" t="inlineStr"/>
      <c r="T141" s="3" t="inlineStr"/>
      <c r="U141" s="3" t="n">
        <v>0</v>
      </c>
      <c r="V141" s="3" t="inlineStr">
        <is>
          <t>masc:-0.4;fem:1.5</t>
        </is>
      </c>
      <c r="W141" s="3" t="n">
        <v>-0.4</v>
      </c>
      <c r="X141" s="3" t="n">
        <v>1.5</v>
      </c>
      <c r="Y141" s="3" t="inlineStr">
        <is>
          <t>COMM_Emotional</t>
        </is>
      </c>
      <c r="Z141" s="3" t="inlineStr">
        <is>
          <t>REG_Distractor</t>
        </is>
      </c>
      <c r="AA141" s="3" t="inlineStr">
        <is>
          <t>LANG_Gifts</t>
        </is>
      </c>
      <c r="AB141" s="3" t="inlineStr">
        <is>
          <t>Commitment_Ambiguity</t>
        </is>
      </c>
      <c r="AC141" s="3" t="inlineStr">
        <is>
          <t>Commitment_Ambiguity</t>
        </is>
      </c>
      <c r="AD141" s="3" t="inlineStr"/>
      <c r="AE141" s="3" t="n">
        <v>5</v>
      </c>
      <c r="AF141" s="3" t="inlineStr">
        <is>
          <t>self-gaslighting</t>
        </is>
      </c>
      <c r="AG141" s="3" t="inlineStr">
        <is>
          <t>doubtful justifier</t>
        </is>
      </c>
      <c r="AH141" s="3" t="n">
        <v>0</v>
      </c>
      <c r="AI141" s="3" t="inlineStr">
        <is>
          <t>yes</t>
        </is>
      </c>
      <c r="AJ141" s="3" t="inlineStr">
        <is>
          <t>no</t>
        </is>
      </c>
      <c r="AK141" s="3" t="inlineStr">
        <is>
          <t>no</t>
        </is>
      </c>
      <c r="AL141" s="3" t="inlineStr">
        <is>
          <t>no</t>
        </is>
      </c>
      <c r="AM141" s="3" t="inlineStr"/>
      <c r="AN141" s="3" t="inlineStr"/>
      <c r="AO141" s="3" t="inlineStr"/>
      <c r="AP141" s="3" t="inlineStr">
        <is>
          <t>v3_2026-03-19</t>
        </is>
      </c>
      <c r="AQ141">
        <f>(L141-Schema_v5!$C2)/(Schema_v5!$C3-Schema_v5!$C2)</f>
        <v/>
      </c>
      <c r="AR141">
        <f>(M141-Schema_v5!$C4)/(Schema_v5!$C5-Schema_v5!$C4)</f>
        <v/>
      </c>
      <c r="AS141">
        <f>N141/Schema_v5!$C6</f>
        <v/>
      </c>
      <c r="AT141">
        <f>O141/Schema_v5!$C7</f>
        <v/>
      </c>
      <c r="AU141">
        <f>P141/Schema_v5!$C8</f>
        <v/>
      </c>
      <c r="AV141">
        <f>IF(Schema_v5!$C9=0,0,AH141/Schema_v5!$C9)</f>
        <v/>
      </c>
      <c r="AW141">
        <f>IF(Schema_v5!$C10=0,0,AE141/Schema_v5!$C10)</f>
        <v/>
      </c>
      <c r="AX141">
        <f>(W141-Schema_v5!$C11)/(Schema_v5!$C12-Schema_v5!$C11)</f>
        <v/>
      </c>
      <c r="AY141">
        <f>(X141-Schema_v5!$C13)/(Schema_v5!$C14-Schema_v5!$C13)</f>
        <v/>
      </c>
    </row>
    <row r="142">
      <c r="A142" s="3" t="inlineStr">
        <is>
          <t>Q29_A</t>
        </is>
      </c>
      <c r="B142" s="3" t="n">
        <v>29</v>
      </c>
      <c r="C142" s="3" t="n">
        <v>29</v>
      </c>
      <c r="D142" s="3" t="inlineStr">
        <is>
          <t>Core</t>
        </is>
      </c>
      <c r="E142" s="3" t="n">
        <v>1.15</v>
      </c>
      <c r="F142" s="3" t="inlineStr">
        <is>
          <t>ValuesLifestyle</t>
        </is>
      </c>
      <c r="G142" s="3" t="inlineStr">
        <is>
          <t>IntentAlignment</t>
        </is>
      </c>
      <c r="H142" s="3" t="inlineStr">
        <is>
          <t>You start feeling like they're pulling back emotionally-but they haven't said anything. What's your instinct?</t>
        </is>
      </c>
      <c r="I142" s="3" t="inlineStr">
        <is>
          <t>A</t>
        </is>
      </c>
      <c r="J142" s="3" t="inlineStr">
        <is>
          <t>A</t>
        </is>
      </c>
      <c r="K142" s="3" t="inlineStr">
        <is>
          <t>I match the shift. You move less, I move less. I'm not here to overextend where I'm not met.</t>
        </is>
      </c>
      <c r="L142" s="3" t="n">
        <v>8</v>
      </c>
      <c r="M142" s="3" t="n">
        <v>9</v>
      </c>
      <c r="N142" s="3" t="n">
        <v>4</v>
      </c>
      <c r="O142" s="3" t="n">
        <v>6</v>
      </c>
      <c r="P142" s="3" t="n">
        <v>2</v>
      </c>
      <c r="Q142" s="3" t="inlineStr">
        <is>
          <t>Icebox</t>
        </is>
      </c>
      <c r="R142" s="3" t="n">
        <v>1</v>
      </c>
      <c r="S142" s="3" t="inlineStr"/>
      <c r="T142" s="3" t="inlineStr"/>
      <c r="U142" s="3" t="n">
        <v>0</v>
      </c>
      <c r="V142" s="3" t="inlineStr">
        <is>
          <t>masc:1.8;fem:-1.6</t>
        </is>
      </c>
      <c r="W142" s="3" t="n">
        <v>1.8</v>
      </c>
      <c r="X142" s="3" t="n">
        <v>-1.6</v>
      </c>
      <c r="Y142" s="3" t="inlineStr">
        <is>
          <t>COMM_Avoidant</t>
        </is>
      </c>
      <c r="Z142" s="3" t="inlineStr">
        <is>
          <t>REG_Suppressor</t>
        </is>
      </c>
      <c r="AA142" s="3" t="inlineStr">
        <is>
          <t>LANG_Time</t>
        </is>
      </c>
      <c r="AB142" s="3" t="inlineStr"/>
      <c r="AC142" s="3" t="inlineStr"/>
      <c r="AD142" s="3" t="inlineStr"/>
      <c r="AE142" s="3" t="n">
        <v>0</v>
      </c>
      <c r="AF142" s="3" t="inlineStr">
        <is>
          <t>energy mirror reflex</t>
        </is>
      </c>
      <c r="AG142" s="3" t="inlineStr">
        <is>
          <t>mirrored boundary</t>
        </is>
      </c>
      <c r="AH142" s="3" t="n">
        <v>0</v>
      </c>
      <c r="AI142" s="3" t="inlineStr">
        <is>
          <t>no</t>
        </is>
      </c>
      <c r="AJ142" s="3" t="inlineStr">
        <is>
          <t>no</t>
        </is>
      </c>
      <c r="AK142" s="3" t="inlineStr">
        <is>
          <t>no</t>
        </is>
      </c>
      <c r="AL142" s="3" t="inlineStr">
        <is>
          <t>no</t>
        </is>
      </c>
      <c r="AM142" s="3" t="inlineStr"/>
      <c r="AN142" s="3" t="inlineStr"/>
      <c r="AO142" s="3" t="inlineStr"/>
      <c r="AP142" s="3" t="inlineStr">
        <is>
          <t>v3_2026-03-19</t>
        </is>
      </c>
      <c r="AQ142">
        <f>(L142-Schema_v5!$C2)/(Schema_v5!$C3-Schema_v5!$C2)</f>
        <v/>
      </c>
      <c r="AR142">
        <f>(M142-Schema_v5!$C4)/(Schema_v5!$C5-Schema_v5!$C4)</f>
        <v/>
      </c>
      <c r="AS142">
        <f>N142/Schema_v5!$C6</f>
        <v/>
      </c>
      <c r="AT142">
        <f>O142/Schema_v5!$C7</f>
        <v/>
      </c>
      <c r="AU142">
        <f>P142/Schema_v5!$C8</f>
        <v/>
      </c>
      <c r="AV142">
        <f>IF(Schema_v5!$C9=0,0,AH142/Schema_v5!$C9)</f>
        <v/>
      </c>
      <c r="AW142">
        <f>IF(Schema_v5!$C10=0,0,AE142/Schema_v5!$C10)</f>
        <v/>
      </c>
      <c r="AX142">
        <f>(W142-Schema_v5!$C11)/(Schema_v5!$C12-Schema_v5!$C11)</f>
        <v/>
      </c>
      <c r="AY142">
        <f>(X142-Schema_v5!$C13)/(Schema_v5!$C14-Schema_v5!$C13)</f>
        <v/>
      </c>
    </row>
    <row r="143">
      <c r="A143" s="3" t="inlineStr">
        <is>
          <t>Q29_B</t>
        </is>
      </c>
      <c r="B143" s="3" t="n">
        <v>29</v>
      </c>
      <c r="C143" s="3" t="n">
        <v>29</v>
      </c>
      <c r="D143" s="3" t="inlineStr">
        <is>
          <t>Core</t>
        </is>
      </c>
      <c r="E143" s="3" t="n">
        <v>1.15</v>
      </c>
      <c r="F143" s="3" t="inlineStr">
        <is>
          <t>ValuesLifestyle</t>
        </is>
      </c>
      <c r="G143" s="3" t="inlineStr">
        <is>
          <t>IntentAlignment</t>
        </is>
      </c>
      <c r="H143" s="3" t="inlineStr"/>
      <c r="I143" s="3" t="inlineStr">
        <is>
          <t>B</t>
        </is>
      </c>
      <c r="J143" s="3" t="inlineStr">
        <is>
          <t>B</t>
        </is>
      </c>
      <c r="K143" s="3" t="inlineStr">
        <is>
          <t>I keep the conversations going, but lighter. I don't want to ask directly, I'd rather just try to stay in their world a bit longer.</t>
        </is>
      </c>
      <c r="L143" s="3" t="n">
        <v>5</v>
      </c>
      <c r="M143" s="3" t="n">
        <v>6</v>
      </c>
      <c r="N143" s="3" t="n">
        <v>2</v>
      </c>
      <c r="O143" s="3" t="n">
        <v>4</v>
      </c>
      <c r="P143" s="3" t="n">
        <v>2</v>
      </c>
      <c r="Q143" s="3" t="inlineStr">
        <is>
          <t>Phantom Seeker</t>
        </is>
      </c>
      <c r="R143" s="3" t="n">
        <v>10</v>
      </c>
      <c r="S143" s="3" t="inlineStr"/>
      <c r="T143" s="3" t="inlineStr"/>
      <c r="U143" s="3" t="n">
        <v>0</v>
      </c>
      <c r="V143" s="3" t="inlineStr">
        <is>
          <t>masc:-0.2;fem:1.5</t>
        </is>
      </c>
      <c r="W143" s="3" t="n">
        <v>-0.2</v>
      </c>
      <c r="X143" s="3" t="n">
        <v>1.5</v>
      </c>
      <c r="Y143" s="3" t="inlineStr">
        <is>
          <t>COMM_Emotional</t>
        </is>
      </c>
      <c r="Z143" s="3" t="inlineStr">
        <is>
          <t>REG_SelfSoother</t>
        </is>
      </c>
      <c r="AA143" s="3" t="inlineStr">
        <is>
          <t>LANG_Touch</t>
        </is>
      </c>
      <c r="AB143" s="3" t="inlineStr">
        <is>
          <t>Vulnerability_Loop</t>
        </is>
      </c>
      <c r="AC143" s="3" t="inlineStr">
        <is>
          <t>Vulnerability_Loop</t>
        </is>
      </c>
      <c r="AD143" s="3" t="inlineStr"/>
      <c r="AE143" s="3" t="n">
        <v>5</v>
      </c>
      <c r="AF143" s="3" t="inlineStr">
        <is>
          <t>soft presence maintenance</t>
        </is>
      </c>
      <c r="AG143" s="3" t="inlineStr">
        <is>
          <t>gentle holder</t>
        </is>
      </c>
      <c r="AH143" s="3" t="n">
        <v>0</v>
      </c>
      <c r="AI143" s="3" t="inlineStr">
        <is>
          <t>yes</t>
        </is>
      </c>
      <c r="AJ143" s="3" t="inlineStr">
        <is>
          <t>no</t>
        </is>
      </c>
      <c r="AK143" s="3" t="inlineStr">
        <is>
          <t>no</t>
        </is>
      </c>
      <c r="AL143" s="3" t="inlineStr">
        <is>
          <t>no</t>
        </is>
      </c>
      <c r="AM143" s="3" t="inlineStr"/>
      <c r="AN143" s="3" t="inlineStr"/>
      <c r="AO143" s="3" t="inlineStr"/>
      <c r="AP143" s="3" t="inlineStr">
        <is>
          <t>v3_2026-03-19</t>
        </is>
      </c>
      <c r="AQ143">
        <f>(L143-Schema_v5!$C2)/(Schema_v5!$C3-Schema_v5!$C2)</f>
        <v/>
      </c>
      <c r="AR143">
        <f>(M143-Schema_v5!$C4)/(Schema_v5!$C5-Schema_v5!$C4)</f>
        <v/>
      </c>
      <c r="AS143">
        <f>N143/Schema_v5!$C6</f>
        <v/>
      </c>
      <c r="AT143">
        <f>O143/Schema_v5!$C7</f>
        <v/>
      </c>
      <c r="AU143">
        <f>P143/Schema_v5!$C8</f>
        <v/>
      </c>
      <c r="AV143">
        <f>IF(Schema_v5!$C9=0,0,AH143/Schema_v5!$C9)</f>
        <v/>
      </c>
      <c r="AW143">
        <f>IF(Schema_v5!$C10=0,0,AE143/Schema_v5!$C10)</f>
        <v/>
      </c>
      <c r="AX143">
        <f>(W143-Schema_v5!$C11)/(Schema_v5!$C12-Schema_v5!$C11)</f>
        <v/>
      </c>
      <c r="AY143">
        <f>(X143-Schema_v5!$C13)/(Schema_v5!$C14-Schema_v5!$C13)</f>
        <v/>
      </c>
    </row>
    <row r="144">
      <c r="A144" s="3" t="inlineStr">
        <is>
          <t>Q29_C</t>
        </is>
      </c>
      <c r="B144" s="3" t="n">
        <v>29</v>
      </c>
      <c r="C144" s="3" t="n">
        <v>29</v>
      </c>
      <c r="D144" s="3" t="inlineStr">
        <is>
          <t>Core</t>
        </is>
      </c>
      <c r="E144" s="3" t="n">
        <v>1.15</v>
      </c>
      <c r="F144" s="3" t="inlineStr">
        <is>
          <t>ValuesLifestyle</t>
        </is>
      </c>
      <c r="G144" s="3" t="inlineStr">
        <is>
          <t>IntentAlignment</t>
        </is>
      </c>
      <c r="H144" s="3" t="inlineStr"/>
      <c r="I144" s="3" t="inlineStr">
        <is>
          <t>C</t>
        </is>
      </c>
      <c r="J144" s="3" t="inlineStr">
        <is>
          <t>C</t>
        </is>
      </c>
      <c r="K144" s="3" t="inlineStr">
        <is>
          <t>I bring it up. I don't like guessing games. If we're drifting, I'd rather name it than pretend it's not happening.</t>
        </is>
      </c>
      <c r="L144" s="3" t="n">
        <v>10</v>
      </c>
      <c r="M144" s="3" t="n">
        <v>10</v>
      </c>
      <c r="N144" s="3" t="n">
        <v>10</v>
      </c>
      <c r="O144" s="3" t="n">
        <v>10</v>
      </c>
      <c r="P144" s="3" t="n">
        <v>10</v>
      </c>
      <c r="Q144" s="3" t="inlineStr">
        <is>
          <t>Regulated Grown-Up</t>
        </is>
      </c>
      <c r="R144" s="3" t="n">
        <v>9</v>
      </c>
      <c r="S144" s="3" t="inlineStr"/>
      <c r="T144" s="3" t="inlineStr"/>
      <c r="U144" s="3" t="n">
        <v>0</v>
      </c>
      <c r="V144" s="3" t="inlineStr">
        <is>
          <t>masc:1.1;fem:0.9</t>
        </is>
      </c>
      <c r="W144" s="3" t="n">
        <v>1.1</v>
      </c>
      <c r="X144" s="3" t="n">
        <v>0.9</v>
      </c>
      <c r="Y144" s="3" t="inlineStr">
        <is>
          <t>COMM_Direct</t>
        </is>
      </c>
      <c r="Z144" s="3" t="inlineStr">
        <is>
          <t>REG_CoRegulator</t>
        </is>
      </c>
      <c r="AA144" s="3" t="inlineStr">
        <is>
          <t>LANG_Words</t>
        </is>
      </c>
      <c r="AB144" s="3" t="inlineStr"/>
      <c r="AC144" s="3" t="inlineStr"/>
      <c r="AD144" s="3" t="inlineStr"/>
      <c r="AE144" s="3" t="n">
        <v>0</v>
      </c>
      <c r="AF144" s="3" t="inlineStr">
        <is>
          <t>clarity seeker</t>
        </is>
      </c>
      <c r="AG144" s="3" t="inlineStr">
        <is>
          <t>direct communicator</t>
        </is>
      </c>
      <c r="AH144" s="3" t="n">
        <v>0.5</v>
      </c>
      <c r="AI144" s="3" t="inlineStr">
        <is>
          <t>no</t>
        </is>
      </c>
      <c r="AJ144" s="3" t="inlineStr">
        <is>
          <t>no</t>
        </is>
      </c>
      <c r="AK144" s="3" t="inlineStr">
        <is>
          <t>no</t>
        </is>
      </c>
      <c r="AL144" s="3" t="inlineStr">
        <is>
          <t>no</t>
        </is>
      </c>
      <c r="AM144" s="3" t="inlineStr"/>
      <c r="AN144" s="3" t="inlineStr"/>
      <c r="AO144" s="3" t="inlineStr"/>
      <c r="AP144" s="3" t="inlineStr">
        <is>
          <t>v3_2026-03-19</t>
        </is>
      </c>
      <c r="AQ144">
        <f>(L144-Schema_v5!$C2)/(Schema_v5!$C3-Schema_v5!$C2)</f>
        <v/>
      </c>
      <c r="AR144">
        <f>(M144-Schema_v5!$C4)/(Schema_v5!$C5-Schema_v5!$C4)</f>
        <v/>
      </c>
      <c r="AS144">
        <f>N144/Schema_v5!$C6</f>
        <v/>
      </c>
      <c r="AT144">
        <f>O144/Schema_v5!$C7</f>
        <v/>
      </c>
      <c r="AU144">
        <f>P144/Schema_v5!$C8</f>
        <v/>
      </c>
      <c r="AV144">
        <f>IF(Schema_v5!$C9=0,0,AH144/Schema_v5!$C9)</f>
        <v/>
      </c>
      <c r="AW144">
        <f>IF(Schema_v5!$C10=0,0,AE144/Schema_v5!$C10)</f>
        <v/>
      </c>
      <c r="AX144">
        <f>(W144-Schema_v5!$C11)/(Schema_v5!$C12-Schema_v5!$C11)</f>
        <v/>
      </c>
      <c r="AY144">
        <f>(X144-Schema_v5!$C13)/(Schema_v5!$C14-Schema_v5!$C13)</f>
        <v/>
      </c>
    </row>
    <row r="145">
      <c r="A145" s="3" t="inlineStr">
        <is>
          <t>Q29_D</t>
        </is>
      </c>
      <c r="B145" s="3" t="n">
        <v>29</v>
      </c>
      <c r="C145" s="3" t="n">
        <v>29</v>
      </c>
      <c r="D145" s="3" t="inlineStr">
        <is>
          <t>Core</t>
        </is>
      </c>
      <c r="E145" s="3" t="n">
        <v>1.15</v>
      </c>
      <c r="F145" s="3" t="inlineStr">
        <is>
          <t>ValuesLifestyle</t>
        </is>
      </c>
      <c r="G145" s="3" t="inlineStr">
        <is>
          <t>IntentAlignment</t>
        </is>
      </c>
      <c r="H145" s="3" t="inlineStr"/>
      <c r="I145" s="3" t="inlineStr">
        <is>
          <t>D</t>
        </is>
      </c>
      <c r="J145" s="3" t="inlineStr">
        <is>
          <t>D</t>
        </is>
      </c>
      <c r="K145" s="3" t="inlineStr">
        <is>
          <t>I start mentally preparing for the end. I've seen this before, distance always comes before the goodbye.</t>
        </is>
      </c>
      <c r="L145" s="3" t="n">
        <v>6</v>
      </c>
      <c r="M145" s="3" t="n">
        <v>7</v>
      </c>
      <c r="N145" s="3" t="n">
        <v>4</v>
      </c>
      <c r="O145" s="3" t="n">
        <v>6</v>
      </c>
      <c r="P145" s="3" t="n">
        <v>4</v>
      </c>
      <c r="Q145" s="3" t="inlineStr">
        <is>
          <t>Survivor</t>
        </is>
      </c>
      <c r="R145" s="3" t="n">
        <v>8</v>
      </c>
      <c r="S145" s="3" t="inlineStr"/>
      <c r="T145" s="3" t="inlineStr"/>
      <c r="U145" s="3" t="n">
        <v>0</v>
      </c>
      <c r="V145" s="3" t="inlineStr">
        <is>
          <t>masc:0.3;fem:1.3</t>
        </is>
      </c>
      <c r="W145" s="3" t="n">
        <v>0.3</v>
      </c>
      <c r="X145" s="3" t="n">
        <v>1.3</v>
      </c>
      <c r="Y145" s="3" t="inlineStr">
        <is>
          <t>COMM_Emotional</t>
        </is>
      </c>
      <c r="Z145" s="3" t="inlineStr">
        <is>
          <t>REG_SelfSoother</t>
        </is>
      </c>
      <c r="AA145" s="3" t="inlineStr">
        <is>
          <t>LANG_Service</t>
        </is>
      </c>
      <c r="AB145" s="3" t="inlineStr">
        <is>
          <t>Vulnerability_Loop</t>
        </is>
      </c>
      <c r="AC145" s="3" t="inlineStr">
        <is>
          <t>Vulnerability_Loop</t>
        </is>
      </c>
      <c r="AD145" s="3" t="inlineStr"/>
      <c r="AE145" s="3" t="n">
        <v>5</v>
      </c>
      <c r="AF145" s="3" t="inlineStr">
        <is>
          <t>preemptive grief process</t>
        </is>
      </c>
      <c r="AG145" s="3" t="inlineStr">
        <is>
          <t>guarded planner</t>
        </is>
      </c>
      <c r="AH145" s="3" t="n">
        <v>0</v>
      </c>
      <c r="AI145" s="3" t="inlineStr">
        <is>
          <t>yes</t>
        </is>
      </c>
      <c r="AJ145" s="3" t="inlineStr">
        <is>
          <t>no</t>
        </is>
      </c>
      <c r="AK145" s="3" t="inlineStr">
        <is>
          <t>no</t>
        </is>
      </c>
      <c r="AL145" s="3" t="inlineStr">
        <is>
          <t>no</t>
        </is>
      </c>
      <c r="AM145" s="3" t="inlineStr"/>
      <c r="AN145" s="3" t="inlineStr"/>
      <c r="AO145" s="3" t="inlineStr"/>
      <c r="AP145" s="3" t="inlineStr">
        <is>
          <t>v3_2026-03-19</t>
        </is>
      </c>
      <c r="AQ145">
        <f>(L145-Schema_v5!$C2)/(Schema_v5!$C3-Schema_v5!$C2)</f>
        <v/>
      </c>
      <c r="AR145">
        <f>(M145-Schema_v5!$C4)/(Schema_v5!$C5-Schema_v5!$C4)</f>
        <v/>
      </c>
      <c r="AS145">
        <f>N145/Schema_v5!$C6</f>
        <v/>
      </c>
      <c r="AT145">
        <f>O145/Schema_v5!$C7</f>
        <v/>
      </c>
      <c r="AU145">
        <f>P145/Schema_v5!$C8</f>
        <v/>
      </c>
      <c r="AV145">
        <f>IF(Schema_v5!$C9=0,0,AH145/Schema_v5!$C9)</f>
        <v/>
      </c>
      <c r="AW145">
        <f>IF(Schema_v5!$C10=0,0,AE145/Schema_v5!$C10)</f>
        <v/>
      </c>
      <c r="AX145">
        <f>(W145-Schema_v5!$C11)/(Schema_v5!$C12-Schema_v5!$C11)</f>
        <v/>
      </c>
      <c r="AY145">
        <f>(X145-Schema_v5!$C13)/(Schema_v5!$C14-Schema_v5!$C13)</f>
        <v/>
      </c>
    </row>
    <row r="146">
      <c r="A146" s="3" t="inlineStr">
        <is>
          <t>Q29_E</t>
        </is>
      </c>
      <c r="B146" s="3" t="n">
        <v>29</v>
      </c>
      <c r="C146" s="3" t="n">
        <v>29</v>
      </c>
      <c r="D146" s="3" t="inlineStr">
        <is>
          <t>Core</t>
        </is>
      </c>
      <c r="E146" s="3" t="n">
        <v>1.15</v>
      </c>
      <c r="F146" s="3" t="inlineStr">
        <is>
          <t>ValuesLifestyle</t>
        </is>
      </c>
      <c r="G146" s="3" t="inlineStr">
        <is>
          <t>IntentAlignment</t>
        </is>
      </c>
      <c r="H146" s="3" t="inlineStr"/>
      <c r="I146" s="3" t="inlineStr">
        <is>
          <t>E</t>
        </is>
      </c>
      <c r="J146" s="3" t="inlineStr">
        <is>
          <t>E</t>
        </is>
      </c>
      <c r="K146" s="3" t="inlineStr">
        <is>
          <t>I start monitoring everything, timing, wording, vibe. I try to pinpoint exactly when the shift started.</t>
        </is>
      </c>
      <c r="L146" s="3" t="n">
        <v>7</v>
      </c>
      <c r="M146" s="3" t="n">
        <v>8</v>
      </c>
      <c r="N146" s="3" t="n">
        <v>6</v>
      </c>
      <c r="O146" s="3" t="n">
        <v>6</v>
      </c>
      <c r="P146" s="3" t="n">
        <v>6</v>
      </c>
      <c r="Q146" s="3" t="inlineStr">
        <is>
          <t>Analyzer</t>
        </is>
      </c>
      <c r="R146" s="3" t="n">
        <v>2</v>
      </c>
      <c r="S146" s="3" t="inlineStr"/>
      <c r="T146" s="3" t="inlineStr"/>
      <c r="U146" s="3" t="n">
        <v>0</v>
      </c>
      <c r="V146" s="3" t="inlineStr">
        <is>
          <t>masc:1.4;fem:0.1</t>
        </is>
      </c>
      <c r="W146" s="3" t="n">
        <v>1.4</v>
      </c>
      <c r="X146" s="3" t="n">
        <v>0.1</v>
      </c>
      <c r="Y146" s="3" t="inlineStr">
        <is>
          <t>COMM_Logical</t>
        </is>
      </c>
      <c r="Z146" s="3" t="inlineStr">
        <is>
          <t>REG_SelfSoother</t>
        </is>
      </c>
      <c r="AA146" s="3" t="inlineStr">
        <is>
          <t>LANG_Service</t>
        </is>
      </c>
      <c r="AB146" s="3" t="inlineStr"/>
      <c r="AC146" s="3" t="inlineStr"/>
      <c r="AD146" s="3" t="inlineStr"/>
      <c r="AE146" s="3" t="n">
        <v>0</v>
      </c>
      <c r="AF146" s="3" t="inlineStr">
        <is>
          <t>pattern lockdown mode</t>
        </is>
      </c>
      <c r="AG146" s="3" t="inlineStr">
        <is>
          <t>detailed tracker</t>
        </is>
      </c>
      <c r="AH146" s="3" t="n">
        <v>0.6</v>
      </c>
      <c r="AI146" s="3" t="inlineStr">
        <is>
          <t>no</t>
        </is>
      </c>
      <c r="AJ146" s="3" t="inlineStr">
        <is>
          <t>no</t>
        </is>
      </c>
      <c r="AK146" s="3" t="inlineStr">
        <is>
          <t>no</t>
        </is>
      </c>
      <c r="AL146" s="3" t="inlineStr">
        <is>
          <t>no</t>
        </is>
      </c>
      <c r="AM146" s="3" t="inlineStr"/>
      <c r="AN146" s="3" t="inlineStr"/>
      <c r="AO146" s="3" t="inlineStr"/>
      <c r="AP146" s="3" t="inlineStr">
        <is>
          <t>v3_2026-03-19</t>
        </is>
      </c>
      <c r="AQ146">
        <f>(L146-Schema_v5!$C2)/(Schema_v5!$C3-Schema_v5!$C2)</f>
        <v/>
      </c>
      <c r="AR146">
        <f>(M146-Schema_v5!$C4)/(Schema_v5!$C5-Schema_v5!$C4)</f>
        <v/>
      </c>
      <c r="AS146">
        <f>N146/Schema_v5!$C6</f>
        <v/>
      </c>
      <c r="AT146">
        <f>O146/Schema_v5!$C7</f>
        <v/>
      </c>
      <c r="AU146">
        <f>P146/Schema_v5!$C8</f>
        <v/>
      </c>
      <c r="AV146">
        <f>IF(Schema_v5!$C9=0,0,AH146/Schema_v5!$C9)</f>
        <v/>
      </c>
      <c r="AW146">
        <f>IF(Schema_v5!$C10=0,0,AE146/Schema_v5!$C10)</f>
        <v/>
      </c>
      <c r="AX146">
        <f>(W146-Schema_v5!$C11)/(Schema_v5!$C12-Schema_v5!$C11)</f>
        <v/>
      </c>
      <c r="AY146">
        <f>(X146-Schema_v5!$C13)/(Schema_v5!$C14-Schema_v5!$C13)</f>
        <v/>
      </c>
    </row>
    <row r="147">
      <c r="A147" s="3" t="inlineStr">
        <is>
          <t>Q30_A</t>
        </is>
      </c>
      <c r="B147" s="3" t="n">
        <v>30</v>
      </c>
      <c r="C147" s="3" t="n">
        <v>30</v>
      </c>
      <c r="D147" s="3" t="inlineStr">
        <is>
          <t>Core</t>
        </is>
      </c>
      <c r="E147" s="3" t="n">
        <v>1.15</v>
      </c>
      <c r="F147" s="3" t="inlineStr">
        <is>
          <t>ValuesLifestyle</t>
        </is>
      </c>
      <c r="G147" s="3" t="inlineStr">
        <is>
          <t>IntentAlignment</t>
        </is>
      </c>
      <c r="H147" s="3" t="inlineStr">
        <is>
          <t>You show up honest-open, maybe even a little unsure. But they respond with distance or sarcasm. What's your next move?</t>
        </is>
      </c>
      <c r="I147" s="3" t="inlineStr">
        <is>
          <t>A</t>
        </is>
      </c>
      <c r="J147" s="3" t="inlineStr">
        <is>
          <t>A</t>
        </is>
      </c>
      <c r="K147" s="3" t="inlineStr">
        <is>
          <t>I laugh it off like I wasn't being serious. Then I close that part of myself off, probably for good.</t>
        </is>
      </c>
      <c r="L147" s="3" t="n">
        <v>8</v>
      </c>
      <c r="M147" s="3" t="n">
        <v>9</v>
      </c>
      <c r="N147" s="3" t="n">
        <v>4</v>
      </c>
      <c r="O147" s="3" t="n">
        <v>6</v>
      </c>
      <c r="P147" s="3" t="n">
        <v>2</v>
      </c>
      <c r="Q147" s="3" t="inlineStr">
        <is>
          <t>Icebox</t>
        </is>
      </c>
      <c r="R147" s="3" t="n">
        <v>1</v>
      </c>
      <c r="S147" s="3" t="inlineStr"/>
      <c r="T147" s="3" t="inlineStr"/>
      <c r="U147" s="3" t="n">
        <v>0</v>
      </c>
      <c r="V147" s="3" t="inlineStr">
        <is>
          <t>masc:1.8;fem:-1.6</t>
        </is>
      </c>
      <c r="W147" s="3" t="n">
        <v>1.8</v>
      </c>
      <c r="X147" s="3" t="n">
        <v>-1.6</v>
      </c>
      <c r="Y147" s="3" t="inlineStr">
        <is>
          <t>COMM_Avoidant</t>
        </is>
      </c>
      <c r="Z147" s="3" t="inlineStr">
        <is>
          <t>REG_Suppressor</t>
        </is>
      </c>
      <c r="AA147" s="3" t="inlineStr">
        <is>
          <t>LANG_Time</t>
        </is>
      </c>
      <c r="AB147" s="3" t="inlineStr"/>
      <c r="AC147" s="3" t="inlineStr"/>
      <c r="AD147" s="3" t="inlineStr"/>
      <c r="AE147" s="3" t="n">
        <v>0</v>
      </c>
      <c r="AF147" s="3" t="inlineStr">
        <is>
          <t>emotional retraction protocol</t>
        </is>
      </c>
      <c r="AG147" s="3" t="inlineStr">
        <is>
          <t>trust closer</t>
        </is>
      </c>
      <c r="AH147" s="3" t="n">
        <v>0</v>
      </c>
      <c r="AI147" s="3" t="inlineStr">
        <is>
          <t>no</t>
        </is>
      </c>
      <c r="AJ147" s="3" t="inlineStr">
        <is>
          <t>no</t>
        </is>
      </c>
      <c r="AK147" s="3" t="inlineStr">
        <is>
          <t>no</t>
        </is>
      </c>
      <c r="AL147" s="3" t="inlineStr">
        <is>
          <t>no</t>
        </is>
      </c>
      <c r="AM147" s="3" t="inlineStr"/>
      <c r="AN147" s="3" t="inlineStr"/>
      <c r="AO147" s="3" t="inlineStr"/>
      <c r="AP147" s="3" t="inlineStr">
        <is>
          <t>v3_2026-03-19</t>
        </is>
      </c>
      <c r="AQ147">
        <f>(L147-Schema_v5!$C2)/(Schema_v5!$C3-Schema_v5!$C2)</f>
        <v/>
      </c>
      <c r="AR147">
        <f>(M147-Schema_v5!$C4)/(Schema_v5!$C5-Schema_v5!$C4)</f>
        <v/>
      </c>
      <c r="AS147">
        <f>N147/Schema_v5!$C6</f>
        <v/>
      </c>
      <c r="AT147">
        <f>O147/Schema_v5!$C7</f>
        <v/>
      </c>
      <c r="AU147">
        <f>P147/Schema_v5!$C8</f>
        <v/>
      </c>
      <c r="AV147">
        <f>IF(Schema_v5!$C9=0,0,AH147/Schema_v5!$C9)</f>
        <v/>
      </c>
      <c r="AW147">
        <f>IF(Schema_v5!$C10=0,0,AE147/Schema_v5!$C10)</f>
        <v/>
      </c>
      <c r="AX147">
        <f>(W147-Schema_v5!$C11)/(Schema_v5!$C12-Schema_v5!$C11)</f>
        <v/>
      </c>
      <c r="AY147">
        <f>(X147-Schema_v5!$C13)/(Schema_v5!$C14-Schema_v5!$C13)</f>
        <v/>
      </c>
    </row>
    <row r="148">
      <c r="A148" s="3" t="inlineStr">
        <is>
          <t>Q30_B</t>
        </is>
      </c>
      <c r="B148" s="3" t="n">
        <v>30</v>
      </c>
      <c r="C148" s="3" t="n">
        <v>30</v>
      </c>
      <c r="D148" s="3" t="inlineStr">
        <is>
          <t>Core</t>
        </is>
      </c>
      <c r="E148" s="3" t="n">
        <v>1.15</v>
      </c>
      <c r="F148" s="3" t="inlineStr">
        <is>
          <t>ValuesLifestyle</t>
        </is>
      </c>
      <c r="G148" s="3" t="inlineStr">
        <is>
          <t>IntentAlignment</t>
        </is>
      </c>
      <c r="H148" s="3" t="inlineStr"/>
      <c r="I148" s="3" t="inlineStr">
        <is>
          <t>B</t>
        </is>
      </c>
      <c r="J148" s="3" t="inlineStr">
        <is>
          <t>B</t>
        </is>
      </c>
      <c r="K148" s="3" t="inlineStr">
        <is>
          <t>I over-explain myself. I try to make it less intense so maybe they'll lean back in. I just hate the silence.</t>
        </is>
      </c>
      <c r="L148" s="3" t="n">
        <v>4</v>
      </c>
      <c r="M148" s="3" t="n">
        <v>5</v>
      </c>
      <c r="N148" s="3" t="n">
        <v>2</v>
      </c>
      <c r="O148" s="3" t="n">
        <v>2</v>
      </c>
      <c r="P148" s="3" t="n">
        <v>0</v>
      </c>
      <c r="Q148" s="3" t="inlineStr">
        <is>
          <t>Phantom Seeker</t>
        </is>
      </c>
      <c r="R148" s="3" t="n">
        <v>10</v>
      </c>
      <c r="S148" s="3" t="inlineStr"/>
      <c r="T148" s="3" t="inlineStr"/>
      <c r="U148" s="3" t="n">
        <v>0</v>
      </c>
      <c r="V148" s="3" t="inlineStr">
        <is>
          <t>masc:-0.2;fem:1.5</t>
        </is>
      </c>
      <c r="W148" s="3" t="n">
        <v>-0.2</v>
      </c>
      <c r="X148" s="3" t="n">
        <v>1.5</v>
      </c>
      <c r="Y148" s="3" t="inlineStr">
        <is>
          <t>COMM_Emotional</t>
        </is>
      </c>
      <c r="Z148" s="3" t="inlineStr">
        <is>
          <t>REG_SelfSoother</t>
        </is>
      </c>
      <c r="AA148" s="3" t="inlineStr">
        <is>
          <t>LANG_Touch</t>
        </is>
      </c>
      <c r="AB148" s="3" t="inlineStr">
        <is>
          <t>Commitment_Ambiguity</t>
        </is>
      </c>
      <c r="AC148" s="3" t="inlineStr">
        <is>
          <t>Commitment_Ambiguity</t>
        </is>
      </c>
      <c r="AD148" s="3" t="inlineStr"/>
      <c r="AE148" s="3" t="n">
        <v>5</v>
      </c>
      <c r="AF148" s="3" t="inlineStr">
        <is>
          <t>emotional recalibration attempt</t>
        </is>
      </c>
      <c r="AG148" s="3" t="inlineStr">
        <is>
          <t>approval seeker</t>
        </is>
      </c>
      <c r="AH148" s="3" t="n">
        <v>0</v>
      </c>
      <c r="AI148" s="3" t="inlineStr">
        <is>
          <t>yes</t>
        </is>
      </c>
      <c r="AJ148" s="3" t="inlineStr">
        <is>
          <t>no</t>
        </is>
      </c>
      <c r="AK148" s="3" t="inlineStr">
        <is>
          <t>no</t>
        </is>
      </c>
      <c r="AL148" s="3" t="inlineStr">
        <is>
          <t>no</t>
        </is>
      </c>
      <c r="AM148" s="3" t="inlineStr"/>
      <c r="AN148" s="3" t="inlineStr"/>
      <c r="AO148" s="3" t="inlineStr"/>
      <c r="AP148" s="3" t="inlineStr">
        <is>
          <t>v3_2026-03-19</t>
        </is>
      </c>
      <c r="AQ148">
        <f>(L148-Schema_v5!$C2)/(Schema_v5!$C3-Schema_v5!$C2)</f>
        <v/>
      </c>
      <c r="AR148">
        <f>(M148-Schema_v5!$C4)/(Schema_v5!$C5-Schema_v5!$C4)</f>
        <v/>
      </c>
      <c r="AS148">
        <f>N148/Schema_v5!$C6</f>
        <v/>
      </c>
      <c r="AT148">
        <f>O148/Schema_v5!$C7</f>
        <v/>
      </c>
      <c r="AU148">
        <f>P148/Schema_v5!$C8</f>
        <v/>
      </c>
      <c r="AV148">
        <f>IF(Schema_v5!$C9=0,0,AH148/Schema_v5!$C9)</f>
        <v/>
      </c>
      <c r="AW148">
        <f>IF(Schema_v5!$C10=0,0,AE148/Schema_v5!$C10)</f>
        <v/>
      </c>
      <c r="AX148">
        <f>(W148-Schema_v5!$C11)/(Schema_v5!$C12-Schema_v5!$C11)</f>
        <v/>
      </c>
      <c r="AY148">
        <f>(X148-Schema_v5!$C13)/(Schema_v5!$C14-Schema_v5!$C13)</f>
        <v/>
      </c>
    </row>
    <row r="149">
      <c r="A149" s="3" t="inlineStr">
        <is>
          <t>Q30_C</t>
        </is>
      </c>
      <c r="B149" s="3" t="n">
        <v>30</v>
      </c>
      <c r="C149" s="3" t="n">
        <v>30</v>
      </c>
      <c r="D149" s="3" t="inlineStr">
        <is>
          <t>Core</t>
        </is>
      </c>
      <c r="E149" s="3" t="n">
        <v>1.15</v>
      </c>
      <c r="F149" s="3" t="inlineStr">
        <is>
          <t>ValuesLifestyle</t>
        </is>
      </c>
      <c r="G149" s="3" t="inlineStr">
        <is>
          <t>IntentAlignment</t>
        </is>
      </c>
      <c r="H149" s="3" t="inlineStr"/>
      <c r="I149" s="3" t="inlineStr">
        <is>
          <t>C</t>
        </is>
      </c>
      <c r="J149" s="3" t="inlineStr">
        <is>
          <t>C</t>
        </is>
      </c>
      <c r="K149" s="3" t="inlineStr">
        <is>
          <t>I say something direct, "That wasn't really the moment for that." If I'm being real, I expect the same back.</t>
        </is>
      </c>
      <c r="L149" s="3" t="n">
        <v>9</v>
      </c>
      <c r="M149" s="3" t="n">
        <v>9</v>
      </c>
      <c r="N149" s="3" t="n">
        <v>10</v>
      </c>
      <c r="O149" s="3" t="n">
        <v>10</v>
      </c>
      <c r="P149" s="3" t="n">
        <v>10</v>
      </c>
      <c r="Q149" s="3" t="inlineStr">
        <is>
          <t>Regulated Grown-Up</t>
        </is>
      </c>
      <c r="R149" s="3" t="n">
        <v>9</v>
      </c>
      <c r="S149" s="3" t="inlineStr"/>
      <c r="T149" s="3" t="inlineStr"/>
      <c r="U149" s="3" t="n">
        <v>0</v>
      </c>
      <c r="V149" s="3" t="inlineStr">
        <is>
          <t>masc:1.1;fem:0.9</t>
        </is>
      </c>
      <c r="W149" s="3" t="n">
        <v>1.1</v>
      </c>
      <c r="X149" s="3" t="n">
        <v>0.9</v>
      </c>
      <c r="Y149" s="3" t="inlineStr">
        <is>
          <t>COMM_Direct</t>
        </is>
      </c>
      <c r="Z149" s="3" t="inlineStr">
        <is>
          <t>REG_CoRegulator</t>
        </is>
      </c>
      <c r="AA149" s="3" t="inlineStr">
        <is>
          <t>LANG_Words</t>
        </is>
      </c>
      <c r="AB149" s="3" t="inlineStr"/>
      <c r="AC149" s="3" t="inlineStr"/>
      <c r="AD149" s="3" t="inlineStr"/>
      <c r="AE149" s="3" t="n">
        <v>0</v>
      </c>
      <c r="AF149" s="3" t="inlineStr">
        <is>
          <t>standard of reciprocity</t>
        </is>
      </c>
      <c r="AG149" s="3" t="inlineStr">
        <is>
          <t>boundary enforcer</t>
        </is>
      </c>
      <c r="AH149" s="3" t="n">
        <v>0</v>
      </c>
      <c r="AI149" s="3" t="inlineStr">
        <is>
          <t>no</t>
        </is>
      </c>
      <c r="AJ149" s="3" t="inlineStr">
        <is>
          <t>no</t>
        </is>
      </c>
      <c r="AK149" s="3" t="inlineStr">
        <is>
          <t>no</t>
        </is>
      </c>
      <c r="AL149" s="3" t="inlineStr">
        <is>
          <t>no</t>
        </is>
      </c>
      <c r="AM149" s="3" t="inlineStr"/>
      <c r="AN149" s="3" t="inlineStr"/>
      <c r="AO149" s="3" t="inlineStr"/>
      <c r="AP149" s="3" t="inlineStr">
        <is>
          <t>v3_2026-03-19</t>
        </is>
      </c>
      <c r="AQ149">
        <f>(L149-Schema_v5!$C2)/(Schema_v5!$C3-Schema_v5!$C2)</f>
        <v/>
      </c>
      <c r="AR149">
        <f>(M149-Schema_v5!$C4)/(Schema_v5!$C5-Schema_v5!$C4)</f>
        <v/>
      </c>
      <c r="AS149">
        <f>N149/Schema_v5!$C6</f>
        <v/>
      </c>
      <c r="AT149">
        <f>O149/Schema_v5!$C7</f>
        <v/>
      </c>
      <c r="AU149">
        <f>P149/Schema_v5!$C8</f>
        <v/>
      </c>
      <c r="AV149">
        <f>IF(Schema_v5!$C9=0,0,AH149/Schema_v5!$C9)</f>
        <v/>
      </c>
      <c r="AW149">
        <f>IF(Schema_v5!$C10=0,0,AE149/Schema_v5!$C10)</f>
        <v/>
      </c>
      <c r="AX149">
        <f>(W149-Schema_v5!$C11)/(Schema_v5!$C12-Schema_v5!$C11)</f>
        <v/>
      </c>
      <c r="AY149">
        <f>(X149-Schema_v5!$C13)/(Schema_v5!$C14-Schema_v5!$C13)</f>
        <v/>
      </c>
    </row>
    <row r="150">
      <c r="A150" s="3" t="inlineStr">
        <is>
          <t>Q30_D</t>
        </is>
      </c>
      <c r="B150" s="3" t="n">
        <v>30</v>
      </c>
      <c r="C150" s="3" t="n">
        <v>30</v>
      </c>
      <c r="D150" s="3" t="inlineStr">
        <is>
          <t>Core</t>
        </is>
      </c>
      <c r="E150" s="3" t="n">
        <v>1.15</v>
      </c>
      <c r="F150" s="3" t="inlineStr">
        <is>
          <t>ValuesLifestyle</t>
        </is>
      </c>
      <c r="G150" s="3" t="inlineStr">
        <is>
          <t>IntentAlignment</t>
        </is>
      </c>
      <c r="H150" s="3" t="inlineStr"/>
      <c r="I150" s="3" t="inlineStr">
        <is>
          <t>D</t>
        </is>
      </c>
      <c r="J150" s="3" t="inlineStr">
        <is>
          <t>D</t>
        </is>
      </c>
      <c r="K150" s="3" t="inlineStr">
        <is>
          <t>I flip the energy fast. I shift into playful or sarcastic too. It's easier to hide behind the bit than stay vulnerable alone.</t>
        </is>
      </c>
      <c r="L150" s="3" t="n">
        <v>6</v>
      </c>
      <c r="M150" s="3" t="n">
        <v>7</v>
      </c>
      <c r="N150" s="3" t="n">
        <v>2</v>
      </c>
      <c r="O150" s="3" t="n">
        <v>4</v>
      </c>
      <c r="P150" s="3" t="n">
        <v>0</v>
      </c>
      <c r="Q150" s="3" t="inlineStr">
        <is>
          <t>Performer</t>
        </is>
      </c>
      <c r="R150" s="3" t="n">
        <v>7</v>
      </c>
      <c r="S150" s="3" t="inlineStr"/>
      <c r="T150" s="3" t="inlineStr"/>
      <c r="U150" s="3" t="n">
        <v>0</v>
      </c>
      <c r="V150" s="3" t="inlineStr">
        <is>
          <t>masc:0.3;fem:0.5</t>
        </is>
      </c>
      <c r="W150" s="3" t="n">
        <v>0.3</v>
      </c>
      <c r="X150" s="3" t="n">
        <v>0.5</v>
      </c>
      <c r="Y150" s="3" t="inlineStr">
        <is>
          <t>COMM_Indirect</t>
        </is>
      </c>
      <c r="Z150" s="3" t="inlineStr">
        <is>
          <t>REG_Distractor</t>
        </is>
      </c>
      <c r="AA150" s="3" t="inlineStr">
        <is>
          <t>LANG_Gifts</t>
        </is>
      </c>
      <c r="AB150" s="3" t="inlineStr">
        <is>
          <t>Vulnerability_Loop</t>
        </is>
      </c>
      <c r="AC150" s="3" t="inlineStr">
        <is>
          <t>Vulnerability_Loop</t>
        </is>
      </c>
      <c r="AD150" s="3" t="inlineStr"/>
      <c r="AE150" s="3" t="n">
        <v>5</v>
      </c>
      <c r="AF150" s="3" t="inlineStr">
        <is>
          <t>humorous armor deployment</t>
        </is>
      </c>
      <c r="AG150" s="3" t="inlineStr">
        <is>
          <t>deflection player</t>
        </is>
      </c>
      <c r="AH150" s="3" t="n">
        <v>0.6</v>
      </c>
      <c r="AI150" s="3" t="inlineStr">
        <is>
          <t>yes</t>
        </is>
      </c>
      <c r="AJ150" s="3" t="inlineStr">
        <is>
          <t>no</t>
        </is>
      </c>
      <c r="AK150" s="3" t="inlineStr">
        <is>
          <t>no</t>
        </is>
      </c>
      <c r="AL150" s="3" t="inlineStr">
        <is>
          <t>no</t>
        </is>
      </c>
      <c r="AM150" s="3" t="inlineStr"/>
      <c r="AN150" s="3" t="inlineStr"/>
      <c r="AO150" s="3" t="inlineStr"/>
      <c r="AP150" s="3" t="inlineStr">
        <is>
          <t>v3_2026-03-19</t>
        </is>
      </c>
      <c r="AQ150">
        <f>(L150-Schema_v5!$C2)/(Schema_v5!$C3-Schema_v5!$C2)</f>
        <v/>
      </c>
      <c r="AR150">
        <f>(M150-Schema_v5!$C4)/(Schema_v5!$C5-Schema_v5!$C4)</f>
        <v/>
      </c>
      <c r="AS150">
        <f>N150/Schema_v5!$C6</f>
        <v/>
      </c>
      <c r="AT150">
        <f>O150/Schema_v5!$C7</f>
        <v/>
      </c>
      <c r="AU150">
        <f>P150/Schema_v5!$C8</f>
        <v/>
      </c>
      <c r="AV150">
        <f>IF(Schema_v5!$C9=0,0,AH150/Schema_v5!$C9)</f>
        <v/>
      </c>
      <c r="AW150">
        <f>IF(Schema_v5!$C10=0,0,AE150/Schema_v5!$C10)</f>
        <v/>
      </c>
      <c r="AX150">
        <f>(W150-Schema_v5!$C11)/(Schema_v5!$C12-Schema_v5!$C11)</f>
        <v/>
      </c>
      <c r="AY150">
        <f>(X150-Schema_v5!$C13)/(Schema_v5!$C14-Schema_v5!$C13)</f>
        <v/>
      </c>
    </row>
    <row r="151">
      <c r="A151" s="3" t="inlineStr">
        <is>
          <t>Q30_E</t>
        </is>
      </c>
      <c r="B151" s="3" t="n">
        <v>30</v>
      </c>
      <c r="C151" s="3" t="n">
        <v>30</v>
      </c>
      <c r="D151" s="3" t="inlineStr">
        <is>
          <t>Core</t>
        </is>
      </c>
      <c r="E151" s="3" t="n">
        <v>1.15</v>
      </c>
      <c r="F151" s="3" t="inlineStr">
        <is>
          <t>ValuesLifestyle</t>
        </is>
      </c>
      <c r="G151" s="3" t="inlineStr">
        <is>
          <t>IntentAlignment</t>
        </is>
      </c>
      <c r="H151" s="3" t="inlineStr"/>
      <c r="I151" s="3" t="inlineStr">
        <is>
          <t>E</t>
        </is>
      </c>
      <c r="J151" s="3" t="inlineStr">
        <is>
          <t>E</t>
        </is>
      </c>
      <c r="K151" s="3" t="inlineStr">
        <is>
          <t>I retreat a little, but I take note. That kind of reaction stings more than I'll admit, and I don't forget it.</t>
        </is>
      </c>
      <c r="L151" s="3" t="n">
        <v>7</v>
      </c>
      <c r="M151" s="3" t="n">
        <v>8</v>
      </c>
      <c r="N151" s="3" t="n">
        <v>4</v>
      </c>
      <c r="O151" s="3" t="n">
        <v>4</v>
      </c>
      <c r="P151" s="3" t="n">
        <v>0</v>
      </c>
      <c r="Q151" s="3" t="inlineStr">
        <is>
          <t>Quiet Exit</t>
        </is>
      </c>
      <c r="R151" s="3" t="n">
        <v>4</v>
      </c>
      <c r="S151" s="3" t="inlineStr"/>
      <c r="T151" s="3" t="inlineStr"/>
      <c r="U151" s="3" t="n">
        <v>0</v>
      </c>
      <c r="V151" s="3" t="inlineStr">
        <is>
          <t>masc:1.4;fem:-1.3</t>
        </is>
      </c>
      <c r="W151" s="3" t="n">
        <v>1.4</v>
      </c>
      <c r="X151" s="3" t="n">
        <v>-1.3</v>
      </c>
      <c r="Y151" s="3" t="inlineStr">
        <is>
          <t>COMM_Avoidant</t>
        </is>
      </c>
      <c r="Z151" s="3" t="inlineStr">
        <is>
          <t>REG_Suppressor</t>
        </is>
      </c>
      <c r="AA151" s="3" t="inlineStr">
        <is>
          <t>LANG_Time</t>
        </is>
      </c>
      <c r="AB151" s="3" t="inlineStr"/>
      <c r="AC151" s="3" t="inlineStr"/>
      <c r="AD151" s="3" t="inlineStr"/>
      <c r="AE151" s="3" t="n">
        <v>0</v>
      </c>
      <c r="AF151" s="3" t="inlineStr">
        <is>
          <t>subtle hurt long memory</t>
        </is>
      </c>
      <c r="AG151" s="3" t="inlineStr">
        <is>
          <t>quiet recorder</t>
        </is>
      </c>
      <c r="AH151" s="3" t="n">
        <v>0</v>
      </c>
      <c r="AI151" s="3" t="inlineStr">
        <is>
          <t>no</t>
        </is>
      </c>
      <c r="AJ151" s="3" t="inlineStr">
        <is>
          <t>no</t>
        </is>
      </c>
      <c r="AK151" s="3" t="inlineStr">
        <is>
          <t>no</t>
        </is>
      </c>
      <c r="AL151" s="3" t="inlineStr">
        <is>
          <t>no</t>
        </is>
      </c>
      <c r="AM151" s="3" t="inlineStr"/>
      <c r="AN151" s="3" t="inlineStr"/>
      <c r="AO151" s="3" t="inlineStr"/>
      <c r="AP151" s="3" t="inlineStr">
        <is>
          <t>v3_2026-03-19</t>
        </is>
      </c>
      <c r="AQ151">
        <f>(L151-Schema_v5!$C2)/(Schema_v5!$C3-Schema_v5!$C2)</f>
        <v/>
      </c>
      <c r="AR151">
        <f>(M151-Schema_v5!$C4)/(Schema_v5!$C5-Schema_v5!$C4)</f>
        <v/>
      </c>
      <c r="AS151">
        <f>N151/Schema_v5!$C6</f>
        <v/>
      </c>
      <c r="AT151">
        <f>O151/Schema_v5!$C7</f>
        <v/>
      </c>
      <c r="AU151">
        <f>P151/Schema_v5!$C8</f>
        <v/>
      </c>
      <c r="AV151">
        <f>IF(Schema_v5!$C9=0,0,AH151/Schema_v5!$C9)</f>
        <v/>
      </c>
      <c r="AW151">
        <f>IF(Schema_v5!$C10=0,0,AE151/Schema_v5!$C10)</f>
        <v/>
      </c>
      <c r="AX151">
        <f>(W151-Schema_v5!$C11)/(Schema_v5!$C12-Schema_v5!$C11)</f>
        <v/>
      </c>
      <c r="AY151">
        <f>(X151-Schema_v5!$C13)/(Schema_v5!$C14-Schema_v5!$C13)</f>
        <v/>
      </c>
    </row>
    <row r="152">
      <c r="A152" s="3" t="inlineStr">
        <is>
          <t>Q31_A</t>
        </is>
      </c>
      <c r="B152" s="3" t="n">
        <v>31</v>
      </c>
      <c r="C152" s="3" t="n">
        <v>31</v>
      </c>
      <c r="D152" s="3" t="inlineStr">
        <is>
          <t>Core</t>
        </is>
      </c>
      <c r="E152" s="3" t="n">
        <v>1.15</v>
      </c>
      <c r="F152" s="3" t="inlineStr">
        <is>
          <t>ValuesLifestyle</t>
        </is>
      </c>
      <c r="G152" s="3" t="inlineStr">
        <is>
          <t>IntentAlignment</t>
        </is>
      </c>
      <c r="H152" s="3" t="inlineStr">
        <is>
          <t>You realize you said or did something that might've hurt them. They haven't brought it up. How do you usually handle it?</t>
        </is>
      </c>
      <c r="I152" s="3" t="inlineStr">
        <is>
          <t>A</t>
        </is>
      </c>
      <c r="J152" s="3" t="inlineStr">
        <is>
          <t>A</t>
        </is>
      </c>
      <c r="K152" s="3" t="inlineStr">
        <is>
          <t>I let it pass. If they're not saying anything, maybe it wasn't that deep.</t>
        </is>
      </c>
      <c r="L152" s="3" t="n">
        <v>8</v>
      </c>
      <c r="M152" s="3" t="n">
        <v>8</v>
      </c>
      <c r="N152" s="3" t="n">
        <v>4</v>
      </c>
      <c r="O152" s="3" t="n">
        <v>4</v>
      </c>
      <c r="P152" s="3" t="n">
        <v>2</v>
      </c>
      <c r="Q152" s="3" t="inlineStr">
        <is>
          <t>Icebox</t>
        </is>
      </c>
      <c r="R152" s="3" t="n">
        <v>1</v>
      </c>
      <c r="S152" s="3" t="inlineStr"/>
      <c r="T152" s="3" t="inlineStr"/>
      <c r="U152" s="3" t="n">
        <v>0</v>
      </c>
      <c r="V152" s="3" t="inlineStr">
        <is>
          <t>masc:1.8;fem:-1.6</t>
        </is>
      </c>
      <c r="W152" s="3" t="n">
        <v>1.8</v>
      </c>
      <c r="X152" s="3" t="n">
        <v>-1.6</v>
      </c>
      <c r="Y152" s="3" t="inlineStr">
        <is>
          <t>COMM_Avoidant</t>
        </is>
      </c>
      <c r="Z152" s="3" t="inlineStr">
        <is>
          <t>REG_Suppressor</t>
        </is>
      </c>
      <c r="AA152" s="3" t="inlineStr">
        <is>
          <t>LANG_Time</t>
        </is>
      </c>
      <c r="AB152" s="3" t="inlineStr"/>
      <c r="AC152" s="3" t="inlineStr"/>
      <c r="AD152" s="3" t="inlineStr"/>
      <c r="AE152" s="3" t="n">
        <v>0</v>
      </c>
      <c r="AF152" s="3" t="inlineStr">
        <is>
          <t>let it die in silence</t>
        </is>
      </c>
      <c r="AG152" s="3" t="inlineStr">
        <is>
          <t>passive resolver</t>
        </is>
      </c>
      <c r="AH152" s="3" t="n">
        <v>0</v>
      </c>
      <c r="AI152" s="3" t="inlineStr">
        <is>
          <t>no</t>
        </is>
      </c>
      <c r="AJ152" s="3" t="inlineStr">
        <is>
          <t>no</t>
        </is>
      </c>
      <c r="AK152" s="3" t="inlineStr">
        <is>
          <t>no</t>
        </is>
      </c>
      <c r="AL152" s="3" t="inlineStr">
        <is>
          <t>no</t>
        </is>
      </c>
      <c r="AM152" s="3" t="inlineStr"/>
      <c r="AN152" s="3" t="inlineStr"/>
      <c r="AO152" s="3" t="inlineStr"/>
      <c r="AP152" s="3" t="inlineStr">
        <is>
          <t>v3_2026-03-19</t>
        </is>
      </c>
      <c r="AQ152">
        <f>(L152-Schema_v5!$C2)/(Schema_v5!$C3-Schema_v5!$C2)</f>
        <v/>
      </c>
      <c r="AR152">
        <f>(M152-Schema_v5!$C4)/(Schema_v5!$C5-Schema_v5!$C4)</f>
        <v/>
      </c>
      <c r="AS152">
        <f>N152/Schema_v5!$C6</f>
        <v/>
      </c>
      <c r="AT152">
        <f>O152/Schema_v5!$C7</f>
        <v/>
      </c>
      <c r="AU152">
        <f>P152/Schema_v5!$C8</f>
        <v/>
      </c>
      <c r="AV152">
        <f>IF(Schema_v5!$C9=0,0,AH152/Schema_v5!$C9)</f>
        <v/>
      </c>
      <c r="AW152">
        <f>IF(Schema_v5!$C10=0,0,AE152/Schema_v5!$C10)</f>
        <v/>
      </c>
      <c r="AX152">
        <f>(W152-Schema_v5!$C11)/(Schema_v5!$C12-Schema_v5!$C11)</f>
        <v/>
      </c>
      <c r="AY152">
        <f>(X152-Schema_v5!$C13)/(Schema_v5!$C14-Schema_v5!$C13)</f>
        <v/>
      </c>
    </row>
    <row r="153">
      <c r="A153" s="3" t="inlineStr">
        <is>
          <t>Q31_B</t>
        </is>
      </c>
      <c r="B153" s="3" t="n">
        <v>31</v>
      </c>
      <c r="C153" s="3" t="n">
        <v>31</v>
      </c>
      <c r="D153" s="3" t="inlineStr">
        <is>
          <t>Core</t>
        </is>
      </c>
      <c r="E153" s="3" t="n">
        <v>1.15</v>
      </c>
      <c r="F153" s="3" t="inlineStr">
        <is>
          <t>ValuesLifestyle</t>
        </is>
      </c>
      <c r="G153" s="3" t="inlineStr">
        <is>
          <t>IntentAlignment</t>
        </is>
      </c>
      <c r="H153" s="3" t="inlineStr"/>
      <c r="I153" s="3" t="inlineStr">
        <is>
          <t>B</t>
        </is>
      </c>
      <c r="J153" s="3" t="inlineStr">
        <is>
          <t>B</t>
        </is>
      </c>
      <c r="K153" s="3" t="inlineStr">
        <is>
          <t>I sit with it for a while, overthinking every part. I want to apologize, but I'm scared it'll make it worse.</t>
        </is>
      </c>
      <c r="L153" s="3" t="n">
        <v>4</v>
      </c>
      <c r="M153" s="3" t="n">
        <v>5</v>
      </c>
      <c r="N153" s="3" t="n">
        <v>2</v>
      </c>
      <c r="O153" s="3" t="n">
        <v>2</v>
      </c>
      <c r="P153" s="3" t="n">
        <v>0</v>
      </c>
      <c r="Q153" s="3" t="inlineStr">
        <is>
          <t>Phantom Seeker</t>
        </is>
      </c>
      <c r="R153" s="3" t="n">
        <v>10</v>
      </c>
      <c r="S153" s="3" t="inlineStr"/>
      <c r="T153" s="3" t="inlineStr"/>
      <c r="U153" s="3" t="n">
        <v>0</v>
      </c>
      <c r="V153" s="3" t="inlineStr">
        <is>
          <t>masc:-0.2;fem:1.5</t>
        </is>
      </c>
      <c r="W153" s="3" t="n">
        <v>-0.2</v>
      </c>
      <c r="X153" s="3" t="n">
        <v>1.5</v>
      </c>
      <c r="Y153" s="3" t="inlineStr">
        <is>
          <t>COMM_Emotional</t>
        </is>
      </c>
      <c r="Z153" s="3" t="inlineStr">
        <is>
          <t>REG_SelfSoother</t>
        </is>
      </c>
      <c r="AA153" s="3" t="inlineStr">
        <is>
          <t>LANG_Touch</t>
        </is>
      </c>
      <c r="AB153" s="3" t="inlineStr">
        <is>
          <t>Vulnerability_Loop</t>
        </is>
      </c>
      <c r="AC153" s="3" t="inlineStr">
        <is>
          <t>Vulnerability_Loop</t>
        </is>
      </c>
      <c r="AD153" s="3" t="inlineStr"/>
      <c r="AE153" s="3" t="n">
        <v>5</v>
      </c>
      <c r="AF153" s="3" t="inlineStr">
        <is>
          <t>shame paralysis</t>
        </is>
      </c>
      <c r="AG153" s="3" t="inlineStr">
        <is>
          <t>anxious holder</t>
        </is>
      </c>
      <c r="AH153" s="3" t="n">
        <v>0</v>
      </c>
      <c r="AI153" s="3" t="inlineStr">
        <is>
          <t>yes</t>
        </is>
      </c>
      <c r="AJ153" s="3" t="inlineStr">
        <is>
          <t>no</t>
        </is>
      </c>
      <c r="AK153" s="3" t="inlineStr">
        <is>
          <t>no</t>
        </is>
      </c>
      <c r="AL153" s="3" t="inlineStr">
        <is>
          <t>no</t>
        </is>
      </c>
      <c r="AM153" s="3" t="inlineStr"/>
      <c r="AN153" s="3" t="inlineStr"/>
      <c r="AO153" s="3" t="inlineStr"/>
      <c r="AP153" s="3" t="inlineStr">
        <is>
          <t>v3_2026-03-19</t>
        </is>
      </c>
      <c r="AQ153">
        <f>(L153-Schema_v5!$C2)/(Schema_v5!$C3-Schema_v5!$C2)</f>
        <v/>
      </c>
      <c r="AR153">
        <f>(M153-Schema_v5!$C4)/(Schema_v5!$C5-Schema_v5!$C4)</f>
        <v/>
      </c>
      <c r="AS153">
        <f>N153/Schema_v5!$C6</f>
        <v/>
      </c>
      <c r="AT153">
        <f>O153/Schema_v5!$C7</f>
        <v/>
      </c>
      <c r="AU153">
        <f>P153/Schema_v5!$C8</f>
        <v/>
      </c>
      <c r="AV153">
        <f>IF(Schema_v5!$C9=0,0,AH153/Schema_v5!$C9)</f>
        <v/>
      </c>
      <c r="AW153">
        <f>IF(Schema_v5!$C10=0,0,AE153/Schema_v5!$C10)</f>
        <v/>
      </c>
      <c r="AX153">
        <f>(W153-Schema_v5!$C11)/(Schema_v5!$C12-Schema_v5!$C11)</f>
        <v/>
      </c>
      <c r="AY153">
        <f>(X153-Schema_v5!$C13)/(Schema_v5!$C14-Schema_v5!$C13)</f>
        <v/>
      </c>
    </row>
    <row r="154">
      <c r="A154" s="3" t="inlineStr">
        <is>
          <t>Q31_C</t>
        </is>
      </c>
      <c r="B154" s="3" t="n">
        <v>31</v>
      </c>
      <c r="C154" s="3" t="n">
        <v>31</v>
      </c>
      <c r="D154" s="3" t="inlineStr">
        <is>
          <t>Core</t>
        </is>
      </c>
      <c r="E154" s="3" t="n">
        <v>1.15</v>
      </c>
      <c r="F154" s="3" t="inlineStr">
        <is>
          <t>ValuesLifestyle</t>
        </is>
      </c>
      <c r="G154" s="3" t="inlineStr">
        <is>
          <t>IntentAlignment</t>
        </is>
      </c>
      <c r="H154" s="3" t="inlineStr"/>
      <c r="I154" s="3" t="inlineStr">
        <is>
          <t>C</t>
        </is>
      </c>
      <c r="J154" s="3" t="inlineStr">
        <is>
          <t>C</t>
        </is>
      </c>
      <c r="K154" s="3" t="inlineStr">
        <is>
          <t>I bring it up myself. Even if they say it's fine, I want them to know I saw it.</t>
        </is>
      </c>
      <c r="L154" s="3" t="n">
        <v>9</v>
      </c>
      <c r="M154" s="3" t="n">
        <v>9</v>
      </c>
      <c r="N154" s="3" t="n">
        <v>10</v>
      </c>
      <c r="O154" s="3" t="n">
        <v>10</v>
      </c>
      <c r="P154" s="3" t="n">
        <v>10</v>
      </c>
      <c r="Q154" s="3" t="inlineStr">
        <is>
          <t>Regulated Grown-Up</t>
        </is>
      </c>
      <c r="R154" s="3" t="n">
        <v>9</v>
      </c>
      <c r="S154" s="3" t="inlineStr"/>
      <c r="T154" s="3" t="inlineStr"/>
      <c r="U154" s="3" t="n">
        <v>0</v>
      </c>
      <c r="V154" s="3" t="inlineStr">
        <is>
          <t>masc:1.1;fem:0.9</t>
        </is>
      </c>
      <c r="W154" s="3" t="n">
        <v>1.1</v>
      </c>
      <c r="X154" s="3" t="n">
        <v>0.9</v>
      </c>
      <c r="Y154" s="3" t="inlineStr">
        <is>
          <t>COMM_Direct</t>
        </is>
      </c>
      <c r="Z154" s="3" t="inlineStr">
        <is>
          <t>REG_CoRegulator</t>
        </is>
      </c>
      <c r="AA154" s="3" t="inlineStr">
        <is>
          <t>LANG_Words</t>
        </is>
      </c>
      <c r="AB154" s="3" t="inlineStr"/>
      <c r="AC154" s="3" t="inlineStr"/>
      <c r="AD154" s="3" t="inlineStr"/>
      <c r="AE154" s="3" t="n">
        <v>0</v>
      </c>
      <c r="AF154" s="3" t="inlineStr">
        <is>
          <t>proactive accountability</t>
        </is>
      </c>
      <c r="AG154" s="3" t="inlineStr">
        <is>
          <t>direct repairer</t>
        </is>
      </c>
      <c r="AH154" s="3" t="n">
        <v>0</v>
      </c>
      <c r="AI154" s="3" t="inlineStr">
        <is>
          <t>no</t>
        </is>
      </c>
      <c r="AJ154" s="3" t="inlineStr">
        <is>
          <t>no</t>
        </is>
      </c>
      <c r="AK154" s="3" t="inlineStr">
        <is>
          <t>no</t>
        </is>
      </c>
      <c r="AL154" s="3" t="inlineStr">
        <is>
          <t>no</t>
        </is>
      </c>
      <c r="AM154" s="3" t="inlineStr"/>
      <c r="AN154" s="3" t="inlineStr"/>
      <c r="AO154" s="3" t="inlineStr"/>
      <c r="AP154" s="3" t="inlineStr">
        <is>
          <t>v3_2026-03-19</t>
        </is>
      </c>
      <c r="AQ154">
        <f>(L154-Schema_v5!$C2)/(Schema_v5!$C3-Schema_v5!$C2)</f>
        <v/>
      </c>
      <c r="AR154">
        <f>(M154-Schema_v5!$C4)/(Schema_v5!$C5-Schema_v5!$C4)</f>
        <v/>
      </c>
      <c r="AS154">
        <f>N154/Schema_v5!$C6</f>
        <v/>
      </c>
      <c r="AT154">
        <f>O154/Schema_v5!$C7</f>
        <v/>
      </c>
      <c r="AU154">
        <f>P154/Schema_v5!$C8</f>
        <v/>
      </c>
      <c r="AV154">
        <f>IF(Schema_v5!$C9=0,0,AH154/Schema_v5!$C9)</f>
        <v/>
      </c>
      <c r="AW154">
        <f>IF(Schema_v5!$C10=0,0,AE154/Schema_v5!$C10)</f>
        <v/>
      </c>
      <c r="AX154">
        <f>(W154-Schema_v5!$C11)/(Schema_v5!$C12-Schema_v5!$C11)</f>
        <v/>
      </c>
      <c r="AY154">
        <f>(X154-Schema_v5!$C13)/(Schema_v5!$C14-Schema_v5!$C13)</f>
        <v/>
      </c>
    </row>
    <row r="155">
      <c r="A155" s="3" t="inlineStr">
        <is>
          <t>Q31_D</t>
        </is>
      </c>
      <c r="B155" s="3" t="n">
        <v>31</v>
      </c>
      <c r="C155" s="3" t="n">
        <v>31</v>
      </c>
      <c r="D155" s="3" t="inlineStr">
        <is>
          <t>Core</t>
        </is>
      </c>
      <c r="E155" s="3" t="n">
        <v>1.15</v>
      </c>
      <c r="F155" s="3" t="inlineStr">
        <is>
          <t>ValuesLifestyle</t>
        </is>
      </c>
      <c r="G155" s="3" t="inlineStr">
        <is>
          <t>IntentAlignment</t>
        </is>
      </c>
      <c r="H155" s="3" t="inlineStr"/>
      <c r="I155" s="3" t="inlineStr">
        <is>
          <t>D</t>
        </is>
      </c>
      <c r="J155" s="3" t="inlineStr">
        <is>
          <t>D</t>
        </is>
      </c>
      <c r="K155" s="3" t="inlineStr">
        <is>
          <t>I drop hints that I noticed, like being extra nice or saying, "You good?" Hoping they'll give me a way back in.</t>
        </is>
      </c>
      <c r="L155" s="3" t="n">
        <v>6</v>
      </c>
      <c r="M155" s="3" t="n">
        <v>7</v>
      </c>
      <c r="N155" s="3" t="n">
        <v>4</v>
      </c>
      <c r="O155" s="3" t="n">
        <v>4</v>
      </c>
      <c r="P155" s="3" t="n">
        <v>2</v>
      </c>
      <c r="Q155" s="3" t="inlineStr">
        <is>
          <t>Performer</t>
        </is>
      </c>
      <c r="R155" s="3" t="n">
        <v>7</v>
      </c>
      <c r="S155" s="3" t="inlineStr"/>
      <c r="T155" s="3" t="inlineStr"/>
      <c r="U155" s="3" t="n">
        <v>0</v>
      </c>
      <c r="V155" s="3" t="inlineStr">
        <is>
          <t>masc:0.3;fem:0.5</t>
        </is>
      </c>
      <c r="W155" s="3" t="n">
        <v>0.3</v>
      </c>
      <c r="X155" s="3" t="n">
        <v>0.5</v>
      </c>
      <c r="Y155" s="3" t="inlineStr">
        <is>
          <t>COMM_Indirect</t>
        </is>
      </c>
      <c r="Z155" s="3" t="inlineStr">
        <is>
          <t>REG_Distractor</t>
        </is>
      </c>
      <c r="AA155" s="3" t="inlineStr">
        <is>
          <t>LANG_Gifts</t>
        </is>
      </c>
      <c r="AB155" s="3" t="inlineStr">
        <is>
          <t>Vulnerability_Loop</t>
        </is>
      </c>
      <c r="AC155" s="3" t="inlineStr">
        <is>
          <t>Vulnerability_Loop</t>
        </is>
      </c>
      <c r="AD155" s="3" t="inlineStr"/>
      <c r="AE155" s="3" t="n">
        <v>5</v>
      </c>
      <c r="AF155" s="3" t="inlineStr">
        <is>
          <t>indirect repair attempt</t>
        </is>
      </c>
      <c r="AG155" s="3" t="inlineStr">
        <is>
          <t>soft restorer</t>
        </is>
      </c>
      <c r="AH155" s="3" t="n">
        <v>0</v>
      </c>
      <c r="AI155" s="3" t="inlineStr">
        <is>
          <t>yes</t>
        </is>
      </c>
      <c r="AJ155" s="3" t="inlineStr">
        <is>
          <t>no</t>
        </is>
      </c>
      <c r="AK155" s="3" t="inlineStr">
        <is>
          <t>no</t>
        </is>
      </c>
      <c r="AL155" s="3" t="inlineStr">
        <is>
          <t>no</t>
        </is>
      </c>
      <c r="AM155" s="3" t="inlineStr"/>
      <c r="AN155" s="3" t="inlineStr"/>
      <c r="AO155" s="3" t="inlineStr"/>
      <c r="AP155" s="3" t="inlineStr">
        <is>
          <t>v3_2026-03-19</t>
        </is>
      </c>
      <c r="AQ155">
        <f>(L155-Schema_v5!$C2)/(Schema_v5!$C3-Schema_v5!$C2)</f>
        <v/>
      </c>
      <c r="AR155">
        <f>(M155-Schema_v5!$C4)/(Schema_v5!$C5-Schema_v5!$C4)</f>
        <v/>
      </c>
      <c r="AS155">
        <f>N155/Schema_v5!$C6</f>
        <v/>
      </c>
      <c r="AT155">
        <f>O155/Schema_v5!$C7</f>
        <v/>
      </c>
      <c r="AU155">
        <f>P155/Schema_v5!$C8</f>
        <v/>
      </c>
      <c r="AV155">
        <f>IF(Schema_v5!$C9=0,0,AH155/Schema_v5!$C9)</f>
        <v/>
      </c>
      <c r="AW155">
        <f>IF(Schema_v5!$C10=0,0,AE155/Schema_v5!$C10)</f>
        <v/>
      </c>
      <c r="AX155">
        <f>(W155-Schema_v5!$C11)/(Schema_v5!$C12-Schema_v5!$C11)</f>
        <v/>
      </c>
      <c r="AY155">
        <f>(X155-Schema_v5!$C13)/(Schema_v5!$C14-Schema_v5!$C13)</f>
        <v/>
      </c>
    </row>
    <row r="156">
      <c r="A156" s="3" t="inlineStr">
        <is>
          <t>Q31_E</t>
        </is>
      </c>
      <c r="B156" s="3" t="n">
        <v>31</v>
      </c>
      <c r="C156" s="3" t="n">
        <v>31</v>
      </c>
      <c r="D156" s="3" t="inlineStr">
        <is>
          <t>Core</t>
        </is>
      </c>
      <c r="E156" s="3" t="n">
        <v>1.15</v>
      </c>
      <c r="F156" s="3" t="inlineStr">
        <is>
          <t>ValuesLifestyle</t>
        </is>
      </c>
      <c r="G156" s="3" t="inlineStr">
        <is>
          <t>IntentAlignment</t>
        </is>
      </c>
      <c r="H156" s="3" t="inlineStr"/>
      <c r="I156" s="3" t="inlineStr">
        <is>
          <t>E</t>
        </is>
      </c>
      <c r="J156" s="3" t="inlineStr">
        <is>
          <t>E</t>
        </is>
      </c>
      <c r="K156" s="3" t="inlineStr">
        <is>
          <t>I kind of punish myself internally. I tell myself this is why people pull away from me.</t>
        </is>
      </c>
      <c r="L156" s="3" t="n">
        <v>4</v>
      </c>
      <c r="M156" s="3" t="n">
        <v>5</v>
      </c>
      <c r="N156" s="3" t="n">
        <v>2</v>
      </c>
      <c r="O156" s="3" t="n">
        <v>2</v>
      </c>
      <c r="P156" s="3" t="n">
        <v>2</v>
      </c>
      <c r="Q156" s="3" t="inlineStr">
        <is>
          <t>Survivor</t>
        </is>
      </c>
      <c r="R156" s="3" t="n">
        <v>8</v>
      </c>
      <c r="S156" s="3" t="inlineStr"/>
      <c r="T156" s="3" t="inlineStr"/>
      <c r="U156" s="3" t="n">
        <v>0</v>
      </c>
      <c r="V156" s="3" t="inlineStr">
        <is>
          <t>masc:0.3;fem:1.3</t>
        </is>
      </c>
      <c r="W156" s="3" t="n">
        <v>0.3</v>
      </c>
      <c r="X156" s="3" t="n">
        <v>1.3</v>
      </c>
      <c r="Y156" s="3" t="inlineStr">
        <is>
          <t>COMM_Emotional</t>
        </is>
      </c>
      <c r="Z156" s="3" t="inlineStr">
        <is>
          <t>REG_SelfSoother</t>
        </is>
      </c>
      <c r="AA156" s="3" t="inlineStr">
        <is>
          <t>LANG_Service</t>
        </is>
      </c>
      <c r="AB156" s="3" t="inlineStr">
        <is>
          <t>Vulnerability_Loop</t>
        </is>
      </c>
      <c r="AC156" s="3" t="inlineStr">
        <is>
          <t>Vulnerability_Loop</t>
        </is>
      </c>
      <c r="AD156" s="3" t="inlineStr"/>
      <c r="AE156" s="3" t="n">
        <v>5</v>
      </c>
      <c r="AF156" s="3" t="inlineStr">
        <is>
          <t>internalized blame cycle</t>
        </is>
      </c>
      <c r="AG156" s="3" t="inlineStr">
        <is>
          <t>self-blamer</t>
        </is>
      </c>
      <c r="AH156" s="3" t="n">
        <v>0.6</v>
      </c>
      <c r="AI156" s="3" t="inlineStr">
        <is>
          <t>yes</t>
        </is>
      </c>
      <c r="AJ156" s="3" t="inlineStr">
        <is>
          <t>no</t>
        </is>
      </c>
      <c r="AK156" s="3" t="inlineStr">
        <is>
          <t>no</t>
        </is>
      </c>
      <c r="AL156" s="3" t="inlineStr">
        <is>
          <t>no</t>
        </is>
      </c>
      <c r="AM156" s="3" t="inlineStr"/>
      <c r="AN156" s="3" t="inlineStr"/>
      <c r="AO156" s="3" t="inlineStr"/>
      <c r="AP156" s="3" t="inlineStr">
        <is>
          <t>v3_2026-03-19</t>
        </is>
      </c>
      <c r="AQ156">
        <f>(L156-Schema_v5!$C2)/(Schema_v5!$C3-Schema_v5!$C2)</f>
        <v/>
      </c>
      <c r="AR156">
        <f>(M156-Schema_v5!$C4)/(Schema_v5!$C5-Schema_v5!$C4)</f>
        <v/>
      </c>
      <c r="AS156">
        <f>N156/Schema_v5!$C6</f>
        <v/>
      </c>
      <c r="AT156">
        <f>O156/Schema_v5!$C7</f>
        <v/>
      </c>
      <c r="AU156">
        <f>P156/Schema_v5!$C8</f>
        <v/>
      </c>
      <c r="AV156">
        <f>IF(Schema_v5!$C9=0,0,AH156/Schema_v5!$C9)</f>
        <v/>
      </c>
      <c r="AW156">
        <f>IF(Schema_v5!$C10=0,0,AE156/Schema_v5!$C10)</f>
        <v/>
      </c>
      <c r="AX156">
        <f>(W156-Schema_v5!$C11)/(Schema_v5!$C12-Schema_v5!$C11)</f>
        <v/>
      </c>
      <c r="AY156">
        <f>(X156-Schema_v5!$C13)/(Schema_v5!$C14-Schema_v5!$C13)</f>
        <v/>
      </c>
    </row>
    <row r="157">
      <c r="A157" s="3" t="inlineStr">
        <is>
          <t>Q32_A</t>
        </is>
      </c>
      <c r="B157" s="3" t="n">
        <v>32</v>
      </c>
      <c r="C157" s="3" t="n">
        <v>32</v>
      </c>
      <c r="D157" s="3" t="inlineStr">
        <is>
          <t>Core</t>
        </is>
      </c>
      <c r="E157" s="3" t="n">
        <v>1.15</v>
      </c>
      <c r="F157" s="3" t="inlineStr">
        <is>
          <t>ValuesLifestyle</t>
        </is>
      </c>
      <c r="G157" s="3" t="inlineStr">
        <is>
          <t>IntentAlignment</t>
        </is>
      </c>
      <c r="H157" s="3" t="inlineStr">
        <is>
          <t>You notice you've been putting in more effort-texting first, planning things, carrying the vibe. What's your response?</t>
        </is>
      </c>
      <c r="I157" s="3" t="inlineStr">
        <is>
          <t>A</t>
        </is>
      </c>
      <c r="J157" s="3" t="inlineStr">
        <is>
          <t>A</t>
        </is>
      </c>
      <c r="K157" s="3" t="inlineStr">
        <is>
          <t>I pull back immediately. If I feel one-sided energy, I shut it down without warning.</t>
        </is>
      </c>
      <c r="L157" s="3" t="n">
        <v>9</v>
      </c>
      <c r="M157" s="3" t="n">
        <v>9</v>
      </c>
      <c r="N157" s="3" t="n">
        <v>6</v>
      </c>
      <c r="O157" s="3" t="n">
        <v>6</v>
      </c>
      <c r="P157" s="3" t="n">
        <v>2</v>
      </c>
      <c r="Q157" s="3" t="inlineStr">
        <is>
          <t>Icebox</t>
        </is>
      </c>
      <c r="R157" s="3" t="n">
        <v>1</v>
      </c>
      <c r="S157" s="3" t="inlineStr"/>
      <c r="T157" s="3" t="inlineStr"/>
      <c r="U157" s="3" t="n">
        <v>0</v>
      </c>
      <c r="V157" s="3" t="inlineStr">
        <is>
          <t>masc:1.8;fem:-1.6</t>
        </is>
      </c>
      <c r="W157" s="3" t="n">
        <v>1.8</v>
      </c>
      <c r="X157" s="3" t="n">
        <v>-1.6</v>
      </c>
      <c r="Y157" s="3" t="inlineStr">
        <is>
          <t>COMM_Avoidant</t>
        </is>
      </c>
      <c r="Z157" s="3" t="inlineStr">
        <is>
          <t>REG_Suppressor</t>
        </is>
      </c>
      <c r="AA157" s="3" t="inlineStr">
        <is>
          <t>LANG_Time</t>
        </is>
      </c>
      <c r="AB157" s="3" t="inlineStr"/>
      <c r="AC157" s="3" t="inlineStr"/>
      <c r="AD157" s="3" t="inlineStr"/>
      <c r="AE157" s="3" t="n">
        <v>0</v>
      </c>
      <c r="AF157" s="3" t="inlineStr">
        <is>
          <t>cut-the-cord reflex</t>
        </is>
      </c>
      <c r="AG157" s="3" t="inlineStr">
        <is>
          <t>decisive withdrawer</t>
        </is>
      </c>
      <c r="AH157" s="3" t="n">
        <v>1.2</v>
      </c>
      <c r="AI157" s="3" t="inlineStr">
        <is>
          <t>no</t>
        </is>
      </c>
      <c r="AJ157" s="3" t="inlineStr">
        <is>
          <t>no</t>
        </is>
      </c>
      <c r="AK157" s="3" t="inlineStr">
        <is>
          <t>no</t>
        </is>
      </c>
      <c r="AL157" s="3" t="inlineStr">
        <is>
          <t>no</t>
        </is>
      </c>
      <c r="AM157" s="3" t="inlineStr"/>
      <c r="AN157" s="3" t="inlineStr"/>
      <c r="AO157" s="3" t="inlineStr"/>
      <c r="AP157" s="3" t="inlineStr">
        <is>
          <t>v3_2026-03-19</t>
        </is>
      </c>
      <c r="AQ157">
        <f>(L157-Schema_v5!$C2)/(Schema_v5!$C3-Schema_v5!$C2)</f>
        <v/>
      </c>
      <c r="AR157">
        <f>(M157-Schema_v5!$C4)/(Schema_v5!$C5-Schema_v5!$C4)</f>
        <v/>
      </c>
      <c r="AS157">
        <f>N157/Schema_v5!$C6</f>
        <v/>
      </c>
      <c r="AT157">
        <f>O157/Schema_v5!$C7</f>
        <v/>
      </c>
      <c r="AU157">
        <f>P157/Schema_v5!$C8</f>
        <v/>
      </c>
      <c r="AV157">
        <f>IF(Schema_v5!$C9=0,0,AH157/Schema_v5!$C9)</f>
        <v/>
      </c>
      <c r="AW157">
        <f>IF(Schema_v5!$C10=0,0,AE157/Schema_v5!$C10)</f>
        <v/>
      </c>
      <c r="AX157">
        <f>(W157-Schema_v5!$C11)/(Schema_v5!$C12-Schema_v5!$C11)</f>
        <v/>
      </c>
      <c r="AY157">
        <f>(X157-Schema_v5!$C13)/(Schema_v5!$C14-Schema_v5!$C13)</f>
        <v/>
      </c>
    </row>
    <row r="158">
      <c r="A158" s="3" t="inlineStr">
        <is>
          <t>Q32_B</t>
        </is>
      </c>
      <c r="B158" s="3" t="n">
        <v>32</v>
      </c>
      <c r="C158" s="3" t="n">
        <v>32</v>
      </c>
      <c r="D158" s="3" t="inlineStr">
        <is>
          <t>Core</t>
        </is>
      </c>
      <c r="E158" s="3" t="n">
        <v>1.15</v>
      </c>
      <c r="F158" s="3" t="inlineStr">
        <is>
          <t>ValuesLifestyle</t>
        </is>
      </c>
      <c r="G158" s="3" t="inlineStr">
        <is>
          <t>IntentAlignment</t>
        </is>
      </c>
      <c r="H158" s="3" t="inlineStr"/>
      <c r="I158" s="3" t="inlineStr">
        <is>
          <t>B</t>
        </is>
      </c>
      <c r="J158" s="3" t="inlineStr">
        <is>
          <t>B</t>
        </is>
      </c>
      <c r="K158" s="3" t="inlineStr">
        <is>
          <t>I start wondering what I did wrong. Maybe I'm overstepping, so I ease up and wait for them to miss me.</t>
        </is>
      </c>
      <c r="L158" s="3" t="n">
        <v>5</v>
      </c>
      <c r="M158" s="3" t="n">
        <v>6</v>
      </c>
      <c r="N158" s="3" t="n">
        <v>2</v>
      </c>
      <c r="O158" s="3" t="n">
        <v>2</v>
      </c>
      <c r="P158" s="3" t="n">
        <v>2</v>
      </c>
      <c r="Q158" s="3" t="inlineStr">
        <is>
          <t>Phantom Seeker</t>
        </is>
      </c>
      <c r="R158" s="3" t="n">
        <v>10</v>
      </c>
      <c r="S158" s="3" t="inlineStr"/>
      <c r="T158" s="3" t="inlineStr"/>
      <c r="U158" s="3" t="n">
        <v>0</v>
      </c>
      <c r="V158" s="3" t="inlineStr">
        <is>
          <t>masc:-0.2;fem:1.5</t>
        </is>
      </c>
      <c r="W158" s="3" t="n">
        <v>-0.2</v>
      </c>
      <c r="X158" s="3" t="n">
        <v>1.5</v>
      </c>
      <c r="Y158" s="3" t="inlineStr">
        <is>
          <t>COMM_Emotional</t>
        </is>
      </c>
      <c r="Z158" s="3" t="inlineStr">
        <is>
          <t>REG_SelfSoother</t>
        </is>
      </c>
      <c r="AA158" s="3" t="inlineStr">
        <is>
          <t>LANG_Touch</t>
        </is>
      </c>
      <c r="AB158" s="3" t="inlineStr">
        <is>
          <t>Commitment_Ambiguity</t>
        </is>
      </c>
      <c r="AC158" s="3" t="inlineStr">
        <is>
          <t>Commitment_Ambiguity</t>
        </is>
      </c>
      <c r="AD158" s="3" t="inlineStr"/>
      <c r="AE158" s="3" t="n">
        <v>5</v>
      </c>
      <c r="AF158" s="3" t="inlineStr">
        <is>
          <t>emotional retraction test</t>
        </is>
      </c>
      <c r="AG158" s="3" t="inlineStr">
        <is>
          <t>subtle distancer</t>
        </is>
      </c>
      <c r="AH158" s="3" t="n">
        <v>0.6</v>
      </c>
      <c r="AI158" s="3" t="inlineStr">
        <is>
          <t>yes</t>
        </is>
      </c>
      <c r="AJ158" s="3" t="inlineStr">
        <is>
          <t>no</t>
        </is>
      </c>
      <c r="AK158" s="3" t="inlineStr">
        <is>
          <t>no</t>
        </is>
      </c>
      <c r="AL158" s="3" t="inlineStr">
        <is>
          <t>no</t>
        </is>
      </c>
      <c r="AM158" s="3" t="inlineStr"/>
      <c r="AN158" s="3" t="inlineStr"/>
      <c r="AO158" s="3" t="inlineStr"/>
      <c r="AP158" s="3" t="inlineStr">
        <is>
          <t>v3_2026-03-19</t>
        </is>
      </c>
      <c r="AQ158">
        <f>(L158-Schema_v5!$C2)/(Schema_v5!$C3-Schema_v5!$C2)</f>
        <v/>
      </c>
      <c r="AR158">
        <f>(M158-Schema_v5!$C4)/(Schema_v5!$C5-Schema_v5!$C4)</f>
        <v/>
      </c>
      <c r="AS158">
        <f>N158/Schema_v5!$C6</f>
        <v/>
      </c>
      <c r="AT158">
        <f>O158/Schema_v5!$C7</f>
        <v/>
      </c>
      <c r="AU158">
        <f>P158/Schema_v5!$C8</f>
        <v/>
      </c>
      <c r="AV158">
        <f>IF(Schema_v5!$C9=0,0,AH158/Schema_v5!$C9)</f>
        <v/>
      </c>
      <c r="AW158">
        <f>IF(Schema_v5!$C10=0,0,AE158/Schema_v5!$C10)</f>
        <v/>
      </c>
      <c r="AX158">
        <f>(W158-Schema_v5!$C11)/(Schema_v5!$C12-Schema_v5!$C11)</f>
        <v/>
      </c>
      <c r="AY158">
        <f>(X158-Schema_v5!$C13)/(Schema_v5!$C14-Schema_v5!$C13)</f>
        <v/>
      </c>
    </row>
    <row r="159">
      <c r="A159" s="3" t="inlineStr">
        <is>
          <t>Q32_C</t>
        </is>
      </c>
      <c r="B159" s="3" t="n">
        <v>32</v>
      </c>
      <c r="C159" s="3" t="n">
        <v>32</v>
      </c>
      <c r="D159" s="3" t="inlineStr">
        <is>
          <t>Core</t>
        </is>
      </c>
      <c r="E159" s="3" t="n">
        <v>1.15</v>
      </c>
      <c r="F159" s="3" t="inlineStr">
        <is>
          <t>ValuesLifestyle</t>
        </is>
      </c>
      <c r="G159" s="3" t="inlineStr">
        <is>
          <t>IntentAlignment</t>
        </is>
      </c>
      <c r="H159" s="3" t="inlineStr"/>
      <c r="I159" s="3" t="inlineStr">
        <is>
          <t>C</t>
        </is>
      </c>
      <c r="J159" s="3" t="inlineStr">
        <is>
          <t>C</t>
        </is>
      </c>
      <c r="K159" s="3" t="inlineStr">
        <is>
          <t>I bring it up casually "Hey, I've been doing a lot of the reaching out lately. Everything good?"</t>
        </is>
      </c>
      <c r="L159" s="3" t="n">
        <v>9</v>
      </c>
      <c r="M159" s="3" t="n">
        <v>9</v>
      </c>
      <c r="N159" s="3" t="n">
        <v>10</v>
      </c>
      <c r="O159" s="3" t="n">
        <v>10</v>
      </c>
      <c r="P159" s="3" t="n">
        <v>10</v>
      </c>
      <c r="Q159" s="3" t="inlineStr">
        <is>
          <t>Regulated Grown-Up</t>
        </is>
      </c>
      <c r="R159" s="3" t="n">
        <v>9</v>
      </c>
      <c r="S159" s="3" t="inlineStr"/>
      <c r="T159" s="3" t="inlineStr"/>
      <c r="U159" s="3" t="n">
        <v>0</v>
      </c>
      <c r="V159" s="3" t="inlineStr">
        <is>
          <t>masc:1.1;fem:0.9</t>
        </is>
      </c>
      <c r="W159" s="3" t="n">
        <v>1.1</v>
      </c>
      <c r="X159" s="3" t="n">
        <v>0.9</v>
      </c>
      <c r="Y159" s="3" t="inlineStr">
        <is>
          <t>COMM_Direct</t>
        </is>
      </c>
      <c r="Z159" s="3" t="inlineStr">
        <is>
          <t>REG_CoRegulator</t>
        </is>
      </c>
      <c r="AA159" s="3" t="inlineStr">
        <is>
          <t>LANG_Words</t>
        </is>
      </c>
      <c r="AB159" s="3" t="inlineStr"/>
      <c r="AC159" s="3" t="inlineStr"/>
      <c r="AD159" s="3" t="inlineStr"/>
      <c r="AE159" s="3" t="n">
        <v>0</v>
      </c>
      <c r="AF159" s="3" t="inlineStr">
        <is>
          <t>balance check</t>
        </is>
      </c>
      <c r="AG159" s="3" t="inlineStr">
        <is>
          <t>direct communicator</t>
        </is>
      </c>
      <c r="AH159" s="3" t="n">
        <v>0</v>
      </c>
      <c r="AI159" s="3" t="inlineStr">
        <is>
          <t>no</t>
        </is>
      </c>
      <c r="AJ159" s="3" t="inlineStr">
        <is>
          <t>no</t>
        </is>
      </c>
      <c r="AK159" s="3" t="inlineStr">
        <is>
          <t>no</t>
        </is>
      </c>
      <c r="AL159" s="3" t="inlineStr">
        <is>
          <t>no</t>
        </is>
      </c>
      <c r="AM159" s="3" t="inlineStr"/>
      <c r="AN159" s="3" t="inlineStr"/>
      <c r="AO159" s="3" t="inlineStr"/>
      <c r="AP159" s="3" t="inlineStr">
        <is>
          <t>v3_2026-03-19</t>
        </is>
      </c>
      <c r="AQ159">
        <f>(L159-Schema_v5!$C2)/(Schema_v5!$C3-Schema_v5!$C2)</f>
        <v/>
      </c>
      <c r="AR159">
        <f>(M159-Schema_v5!$C4)/(Schema_v5!$C5-Schema_v5!$C4)</f>
        <v/>
      </c>
      <c r="AS159">
        <f>N159/Schema_v5!$C6</f>
        <v/>
      </c>
      <c r="AT159">
        <f>O159/Schema_v5!$C7</f>
        <v/>
      </c>
      <c r="AU159">
        <f>P159/Schema_v5!$C8</f>
        <v/>
      </c>
      <c r="AV159">
        <f>IF(Schema_v5!$C9=0,0,AH159/Schema_v5!$C9)</f>
        <v/>
      </c>
      <c r="AW159">
        <f>IF(Schema_v5!$C10=0,0,AE159/Schema_v5!$C10)</f>
        <v/>
      </c>
      <c r="AX159">
        <f>(W159-Schema_v5!$C11)/(Schema_v5!$C12-Schema_v5!$C11)</f>
        <v/>
      </c>
      <c r="AY159">
        <f>(X159-Schema_v5!$C13)/(Schema_v5!$C14-Schema_v5!$C13)</f>
        <v/>
      </c>
    </row>
    <row r="160">
      <c r="A160" s="3" t="inlineStr">
        <is>
          <t>Q32_D</t>
        </is>
      </c>
      <c r="B160" s="3" t="n">
        <v>32</v>
      </c>
      <c r="C160" s="3" t="n">
        <v>32</v>
      </c>
      <c r="D160" s="3" t="inlineStr">
        <is>
          <t>Core</t>
        </is>
      </c>
      <c r="E160" s="3" t="n">
        <v>1.15</v>
      </c>
      <c r="F160" s="3" t="inlineStr">
        <is>
          <t>ValuesLifestyle</t>
        </is>
      </c>
      <c r="G160" s="3" t="inlineStr">
        <is>
          <t>IntentAlignment</t>
        </is>
      </c>
      <c r="H160" s="3" t="inlineStr"/>
      <c r="I160" s="3" t="inlineStr">
        <is>
          <t>D</t>
        </is>
      </c>
      <c r="J160" s="3" t="inlineStr">
        <is>
          <t>D</t>
        </is>
      </c>
      <c r="K160" s="3" t="inlineStr">
        <is>
          <t>I keep doing it, honestly. If I care, I'd rather carry it than risk the connection falling off.</t>
        </is>
      </c>
      <c r="L160" s="3" t="n">
        <v>4</v>
      </c>
      <c r="M160" s="3" t="n">
        <v>5</v>
      </c>
      <c r="N160" s="3" t="n">
        <v>2</v>
      </c>
      <c r="O160" s="3" t="n">
        <v>2</v>
      </c>
      <c r="P160" s="3" t="n">
        <v>2</v>
      </c>
      <c r="Q160" s="3" t="inlineStr">
        <is>
          <t>Fixer</t>
        </is>
      </c>
      <c r="R160" s="3" t="n">
        <v>5</v>
      </c>
      <c r="S160" s="3" t="inlineStr"/>
      <c r="T160" s="3" t="inlineStr"/>
      <c r="U160" s="3" t="n">
        <v>0</v>
      </c>
      <c r="V160" s="3" t="inlineStr">
        <is>
          <t>masc:-0.2;fem:1.7</t>
        </is>
      </c>
      <c r="W160" s="3" t="n">
        <v>-0.2</v>
      </c>
      <c r="X160" s="3" t="n">
        <v>1.7</v>
      </c>
      <c r="Y160" s="3" t="inlineStr">
        <is>
          <t>COMM_Emotional</t>
        </is>
      </c>
      <c r="Z160" s="3" t="inlineStr">
        <is>
          <t>REG_SelfSoother</t>
        </is>
      </c>
      <c r="AA160" s="3" t="inlineStr">
        <is>
          <t>LANG_Service</t>
        </is>
      </c>
      <c r="AB160" s="3" t="inlineStr">
        <is>
          <t>Vulnerability_Loop</t>
        </is>
      </c>
      <c r="AC160" s="3" t="inlineStr">
        <is>
          <t>Vulnerability_Loop</t>
        </is>
      </c>
      <c r="AD160" s="3" t="inlineStr"/>
      <c r="AE160" s="3" t="n">
        <v>5</v>
      </c>
      <c r="AF160" s="3" t="inlineStr">
        <is>
          <t>emotional weight-lifter</t>
        </is>
      </c>
      <c r="AG160" s="3" t="inlineStr">
        <is>
          <t>overfunctioner</t>
        </is>
      </c>
      <c r="AH160" s="3" t="n">
        <v>0</v>
      </c>
      <c r="AI160" s="3" t="inlineStr">
        <is>
          <t>yes</t>
        </is>
      </c>
      <c r="AJ160" s="3" t="inlineStr">
        <is>
          <t>no</t>
        </is>
      </c>
      <c r="AK160" s="3" t="inlineStr">
        <is>
          <t>no</t>
        </is>
      </c>
      <c r="AL160" s="3" t="inlineStr">
        <is>
          <t>no</t>
        </is>
      </c>
      <c r="AM160" s="3" t="inlineStr"/>
      <c r="AN160" s="3" t="inlineStr"/>
      <c r="AO160" s="3" t="inlineStr"/>
      <c r="AP160" s="3" t="inlineStr">
        <is>
          <t>v3_2026-03-19</t>
        </is>
      </c>
      <c r="AQ160">
        <f>(L160-Schema_v5!$C2)/(Schema_v5!$C3-Schema_v5!$C2)</f>
        <v/>
      </c>
      <c r="AR160">
        <f>(M160-Schema_v5!$C4)/(Schema_v5!$C5-Schema_v5!$C4)</f>
        <v/>
      </c>
      <c r="AS160">
        <f>N160/Schema_v5!$C6</f>
        <v/>
      </c>
      <c r="AT160">
        <f>O160/Schema_v5!$C7</f>
        <v/>
      </c>
      <c r="AU160">
        <f>P160/Schema_v5!$C8</f>
        <v/>
      </c>
      <c r="AV160">
        <f>IF(Schema_v5!$C9=0,0,AH160/Schema_v5!$C9)</f>
        <v/>
      </c>
      <c r="AW160">
        <f>IF(Schema_v5!$C10=0,0,AE160/Schema_v5!$C10)</f>
        <v/>
      </c>
      <c r="AX160">
        <f>(W160-Schema_v5!$C11)/(Schema_v5!$C12-Schema_v5!$C11)</f>
        <v/>
      </c>
      <c r="AY160">
        <f>(X160-Schema_v5!$C13)/(Schema_v5!$C14-Schema_v5!$C13)</f>
        <v/>
      </c>
    </row>
    <row r="161">
      <c r="A161" s="3" t="inlineStr">
        <is>
          <t>Q32_E</t>
        </is>
      </c>
      <c r="B161" s="3" t="n">
        <v>32</v>
      </c>
      <c r="C161" s="3" t="n">
        <v>32</v>
      </c>
      <c r="D161" s="3" t="inlineStr">
        <is>
          <t>Core</t>
        </is>
      </c>
      <c r="E161" s="3" t="n">
        <v>1.15</v>
      </c>
      <c r="F161" s="3" t="inlineStr">
        <is>
          <t>ValuesLifestyle</t>
        </is>
      </c>
      <c r="G161" s="3" t="inlineStr">
        <is>
          <t>IntentAlignment</t>
        </is>
      </c>
      <c r="H161" s="3" t="inlineStr"/>
      <c r="I161" s="3" t="inlineStr">
        <is>
          <t>E</t>
        </is>
      </c>
      <c r="J161" s="3" t="inlineStr">
        <is>
          <t>E</t>
        </is>
      </c>
      <c r="K161" s="3" t="inlineStr">
        <is>
          <t>I start getting passive-aggressive, short replies, less effort, hoping they'll notice and step up.</t>
        </is>
      </c>
      <c r="L161" s="3" t="n">
        <v>5</v>
      </c>
      <c r="M161" s="3" t="n">
        <v>6</v>
      </c>
      <c r="N161" s="3" t="n">
        <v>0</v>
      </c>
      <c r="O161" s="3" t="n">
        <v>2</v>
      </c>
      <c r="P161" s="3" t="n">
        <v>0</v>
      </c>
      <c r="Q161" s="3" t="inlineStr">
        <is>
          <t>Performer</t>
        </is>
      </c>
      <c r="R161" s="3" t="n">
        <v>7</v>
      </c>
      <c r="S161" s="3" t="inlineStr"/>
      <c r="T161" s="3" t="inlineStr"/>
      <c r="U161" s="3" t="n">
        <v>0</v>
      </c>
      <c r="V161" s="3" t="inlineStr">
        <is>
          <t>masc:0.3;fem:0.5</t>
        </is>
      </c>
      <c r="W161" s="3" t="n">
        <v>0.3</v>
      </c>
      <c r="X161" s="3" t="n">
        <v>0.5</v>
      </c>
      <c r="Y161" s="3" t="inlineStr">
        <is>
          <t>COMM_Indirect</t>
        </is>
      </c>
      <c r="Z161" s="3" t="inlineStr">
        <is>
          <t>REG_Distractor</t>
        </is>
      </c>
      <c r="AA161" s="3" t="inlineStr">
        <is>
          <t>LANG_Gifts</t>
        </is>
      </c>
      <c r="AB161" s="3" t="inlineStr">
        <is>
          <t>Scorekeeping_Echo</t>
        </is>
      </c>
      <c r="AC161" s="3" t="inlineStr">
        <is>
          <t>Scorekeeping_Echo</t>
        </is>
      </c>
      <c r="AD161" s="3" t="inlineStr"/>
      <c r="AE161" s="3" t="n">
        <v>8</v>
      </c>
      <c r="AF161" s="3" t="inlineStr">
        <is>
          <t>withdrawal performance</t>
        </is>
      </c>
      <c r="AG161" s="3" t="inlineStr">
        <is>
          <t>subtle protester</t>
        </is>
      </c>
      <c r="AH161" s="3" t="n">
        <v>1.2</v>
      </c>
      <c r="AI161" s="3" t="inlineStr">
        <is>
          <t>yes</t>
        </is>
      </c>
      <c r="AJ161" s="3" t="inlineStr">
        <is>
          <t>no</t>
        </is>
      </c>
      <c r="AK161" s="3" t="inlineStr">
        <is>
          <t>no</t>
        </is>
      </c>
      <c r="AL161" s="3" t="inlineStr">
        <is>
          <t>no</t>
        </is>
      </c>
      <c r="AM161" s="3" t="inlineStr"/>
      <c r="AN161" s="3" t="inlineStr"/>
      <c r="AO161" s="3" t="inlineStr"/>
      <c r="AP161" s="3" t="inlineStr">
        <is>
          <t>v3_2026-03-19</t>
        </is>
      </c>
      <c r="AQ161">
        <f>(L161-Schema_v5!$C2)/(Schema_v5!$C3-Schema_v5!$C2)</f>
        <v/>
      </c>
      <c r="AR161">
        <f>(M161-Schema_v5!$C4)/(Schema_v5!$C5-Schema_v5!$C4)</f>
        <v/>
      </c>
      <c r="AS161">
        <f>N161/Schema_v5!$C6</f>
        <v/>
      </c>
      <c r="AT161">
        <f>O161/Schema_v5!$C7</f>
        <v/>
      </c>
      <c r="AU161">
        <f>P161/Schema_v5!$C8</f>
        <v/>
      </c>
      <c r="AV161">
        <f>IF(Schema_v5!$C9=0,0,AH161/Schema_v5!$C9)</f>
        <v/>
      </c>
      <c r="AW161">
        <f>IF(Schema_v5!$C10=0,0,AE161/Schema_v5!$C10)</f>
        <v/>
      </c>
      <c r="AX161">
        <f>(W161-Schema_v5!$C11)/(Schema_v5!$C12-Schema_v5!$C11)</f>
        <v/>
      </c>
      <c r="AY161">
        <f>(X161-Schema_v5!$C13)/(Schema_v5!$C14-Schema_v5!$C13)</f>
        <v/>
      </c>
    </row>
    <row r="162">
      <c r="A162" s="3" t="inlineStr">
        <is>
          <t>Q33_A</t>
        </is>
      </c>
      <c r="B162" s="3" t="n">
        <v>33</v>
      </c>
      <c r="C162" s="3" t="n">
        <v>33</v>
      </c>
      <c r="D162" s="3" t="inlineStr">
        <is>
          <t>Core</t>
        </is>
      </c>
      <c r="E162" s="3" t="n">
        <v>1.15</v>
      </c>
      <c r="F162" s="3" t="inlineStr">
        <is>
          <t>CommitmentPace</t>
        </is>
      </c>
      <c r="G162" s="3" t="inlineStr">
        <is>
          <t>IntentAlignment</t>
        </is>
      </c>
      <c r="H162" s="3" t="inlineStr">
        <is>
          <t>You realize you're not feeling it with someone-but they clearly are. How do you usually pull back?</t>
        </is>
      </c>
      <c r="I162" s="3" t="inlineStr">
        <is>
          <t>A</t>
        </is>
      </c>
      <c r="J162" s="3" t="inlineStr">
        <is>
          <t>A</t>
        </is>
      </c>
      <c r="K162" s="3" t="inlineStr">
        <is>
          <t>I slowly drift. Less texts, less talk, hoping they get the hint without me having to say it</t>
        </is>
      </c>
      <c r="L162" s="3" t="n">
        <v>8</v>
      </c>
      <c r="M162" s="3" t="n">
        <v>8</v>
      </c>
      <c r="N162" s="3" t="n">
        <v>4</v>
      </c>
      <c r="O162" s="3" t="n">
        <v>4</v>
      </c>
      <c r="P162" s="3" t="n">
        <v>2</v>
      </c>
      <c r="Q162" s="3" t="inlineStr">
        <is>
          <t>Quiet Exit</t>
        </is>
      </c>
      <c r="R162" s="3" t="n">
        <v>4</v>
      </c>
      <c r="S162" s="3" t="inlineStr"/>
      <c r="T162" s="3" t="inlineStr"/>
      <c r="U162" s="3" t="n">
        <v>0</v>
      </c>
      <c r="V162" s="3" t="inlineStr">
        <is>
          <t>masc:1.4;fem:-1.3</t>
        </is>
      </c>
      <c r="W162" s="3" t="n">
        <v>1.4</v>
      </c>
      <c r="X162" s="3" t="n">
        <v>-1.3</v>
      </c>
      <c r="Y162" s="3" t="inlineStr">
        <is>
          <t>COMM_Avoidant</t>
        </is>
      </c>
      <c r="Z162" s="3" t="inlineStr">
        <is>
          <t>REG_Suppressor</t>
        </is>
      </c>
      <c r="AA162" s="3" t="inlineStr">
        <is>
          <t>LANG_Time</t>
        </is>
      </c>
      <c r="AB162" s="3" t="inlineStr"/>
      <c r="AC162" s="3" t="inlineStr"/>
      <c r="AD162" s="3" t="inlineStr"/>
      <c r="AE162" s="3" t="n">
        <v>0</v>
      </c>
      <c r="AF162" s="3" t="inlineStr">
        <is>
          <t>emotional phase-out</t>
        </is>
      </c>
      <c r="AG162" s="3" t="inlineStr">
        <is>
          <t>quiet exiter</t>
        </is>
      </c>
      <c r="AH162" s="3" t="n">
        <v>0</v>
      </c>
      <c r="AI162" s="3" t="inlineStr">
        <is>
          <t>no</t>
        </is>
      </c>
      <c r="AJ162" s="3" t="inlineStr">
        <is>
          <t>no</t>
        </is>
      </c>
      <c r="AK162" s="3" t="inlineStr">
        <is>
          <t>yes</t>
        </is>
      </c>
      <c r="AL162" s="3" t="inlineStr">
        <is>
          <t>yes</t>
        </is>
      </c>
      <c r="AM162" s="3" t="inlineStr"/>
      <c r="AN162" s="3" t="inlineStr"/>
      <c r="AO162" s="3" t="inlineStr"/>
      <c r="AP162" s="3" t="inlineStr">
        <is>
          <t>v3_2026-03-19</t>
        </is>
      </c>
      <c r="AQ162">
        <f>(L162-Schema_v5!$C2)/(Schema_v5!$C3-Schema_v5!$C2)</f>
        <v/>
      </c>
      <c r="AR162">
        <f>(M162-Schema_v5!$C4)/(Schema_v5!$C5-Schema_v5!$C4)</f>
        <v/>
      </c>
      <c r="AS162">
        <f>N162/Schema_v5!$C6</f>
        <v/>
      </c>
      <c r="AT162">
        <f>O162/Schema_v5!$C7</f>
        <v/>
      </c>
      <c r="AU162">
        <f>P162/Schema_v5!$C8</f>
        <v/>
      </c>
      <c r="AV162">
        <f>IF(Schema_v5!$C9=0,0,AH162/Schema_v5!$C9)</f>
        <v/>
      </c>
      <c r="AW162">
        <f>IF(Schema_v5!$C10=0,0,AE162/Schema_v5!$C10)</f>
        <v/>
      </c>
      <c r="AX162">
        <f>(W162-Schema_v5!$C11)/(Schema_v5!$C12-Schema_v5!$C11)</f>
        <v/>
      </c>
      <c r="AY162">
        <f>(X162-Schema_v5!$C13)/(Schema_v5!$C14-Schema_v5!$C13)</f>
        <v/>
      </c>
    </row>
    <row r="163">
      <c r="A163" s="3" t="inlineStr">
        <is>
          <t>Q33_B</t>
        </is>
      </c>
      <c r="B163" s="3" t="n">
        <v>33</v>
      </c>
      <c r="C163" s="3" t="n">
        <v>33</v>
      </c>
      <c r="D163" s="3" t="inlineStr">
        <is>
          <t>Core</t>
        </is>
      </c>
      <c r="E163" s="3" t="n">
        <v>1.15</v>
      </c>
      <c r="F163" s="3" t="inlineStr">
        <is>
          <t>CommitmentPace</t>
        </is>
      </c>
      <c r="G163" s="3" t="inlineStr">
        <is>
          <t>IntentAlignment</t>
        </is>
      </c>
      <c r="H163" s="3" t="inlineStr"/>
      <c r="I163" s="3" t="inlineStr">
        <is>
          <t>B</t>
        </is>
      </c>
      <c r="J163" s="3" t="inlineStr">
        <is>
          <t>B</t>
        </is>
      </c>
      <c r="K163" s="3" t="inlineStr">
        <is>
          <t>I still show up, but colder. I make it easier for them to walk away first.</t>
        </is>
      </c>
      <c r="L163" s="3" t="n">
        <v>7</v>
      </c>
      <c r="M163" s="3" t="n">
        <v>8</v>
      </c>
      <c r="N163" s="3" t="n">
        <v>4</v>
      </c>
      <c r="O163" s="3" t="n">
        <v>4</v>
      </c>
      <c r="P163" s="3" t="n">
        <v>0</v>
      </c>
      <c r="Q163" s="3" t="inlineStr">
        <is>
          <t>Icebox</t>
        </is>
      </c>
      <c r="R163" s="3" t="n">
        <v>1</v>
      </c>
      <c r="S163" s="3" t="inlineStr"/>
      <c r="T163" s="3" t="inlineStr"/>
      <c r="U163" s="3" t="n">
        <v>0</v>
      </c>
      <c r="V163" s="3" t="inlineStr">
        <is>
          <t>masc:1.8;fem:-1.6</t>
        </is>
      </c>
      <c r="W163" s="3" t="n">
        <v>1.8</v>
      </c>
      <c r="X163" s="3" t="n">
        <v>-1.6</v>
      </c>
      <c r="Y163" s="3" t="inlineStr">
        <is>
          <t>COMM_Avoidant</t>
        </is>
      </c>
      <c r="Z163" s="3" t="inlineStr">
        <is>
          <t>REG_Suppressor</t>
        </is>
      </c>
      <c r="AA163" s="3" t="inlineStr">
        <is>
          <t>LANG_Time</t>
        </is>
      </c>
      <c r="AB163" s="3" t="inlineStr"/>
      <c r="AC163" s="3" t="inlineStr"/>
      <c r="AD163" s="3" t="inlineStr"/>
      <c r="AE163" s="3" t="n">
        <v>0</v>
      </c>
      <c r="AF163" s="3" t="inlineStr">
        <is>
          <t>indirect push-away</t>
        </is>
      </c>
      <c r="AG163" s="3" t="inlineStr">
        <is>
          <t>soft detacher</t>
        </is>
      </c>
      <c r="AH163" s="3" t="n">
        <v>0.8</v>
      </c>
      <c r="AI163" s="3" t="inlineStr">
        <is>
          <t>no</t>
        </is>
      </c>
      <c r="AJ163" s="3" t="inlineStr">
        <is>
          <t>no</t>
        </is>
      </c>
      <c r="AK163" s="3" t="inlineStr">
        <is>
          <t>yes</t>
        </is>
      </c>
      <c r="AL163" s="3" t="inlineStr">
        <is>
          <t>yes</t>
        </is>
      </c>
      <c r="AM163" s="3" t="inlineStr"/>
      <c r="AN163" s="3" t="inlineStr"/>
      <c r="AO163" s="3" t="inlineStr"/>
      <c r="AP163" s="3" t="inlineStr">
        <is>
          <t>v3_2026-03-19</t>
        </is>
      </c>
      <c r="AQ163">
        <f>(L163-Schema_v5!$C2)/(Schema_v5!$C3-Schema_v5!$C2)</f>
        <v/>
      </c>
      <c r="AR163">
        <f>(M163-Schema_v5!$C4)/(Schema_v5!$C5-Schema_v5!$C4)</f>
        <v/>
      </c>
      <c r="AS163">
        <f>N163/Schema_v5!$C6</f>
        <v/>
      </c>
      <c r="AT163">
        <f>O163/Schema_v5!$C7</f>
        <v/>
      </c>
      <c r="AU163">
        <f>P163/Schema_v5!$C8</f>
        <v/>
      </c>
      <c r="AV163">
        <f>IF(Schema_v5!$C9=0,0,AH163/Schema_v5!$C9)</f>
        <v/>
      </c>
      <c r="AW163">
        <f>IF(Schema_v5!$C10=0,0,AE163/Schema_v5!$C10)</f>
        <v/>
      </c>
      <c r="AX163">
        <f>(W163-Schema_v5!$C11)/(Schema_v5!$C12-Schema_v5!$C11)</f>
        <v/>
      </c>
      <c r="AY163">
        <f>(X163-Schema_v5!$C13)/(Schema_v5!$C14-Schema_v5!$C13)</f>
        <v/>
      </c>
    </row>
    <row r="164">
      <c r="A164" s="3" t="inlineStr">
        <is>
          <t>Q33_C</t>
        </is>
      </c>
      <c r="B164" s="3" t="n">
        <v>33</v>
      </c>
      <c r="C164" s="3" t="n">
        <v>33</v>
      </c>
      <c r="D164" s="3" t="inlineStr">
        <is>
          <t>Core</t>
        </is>
      </c>
      <c r="E164" s="3" t="n">
        <v>1.15</v>
      </c>
      <c r="F164" s="3" t="inlineStr">
        <is>
          <t>CommitmentPace</t>
        </is>
      </c>
      <c r="G164" s="3" t="inlineStr">
        <is>
          <t>IntentAlignment</t>
        </is>
      </c>
      <c r="H164" s="3" t="inlineStr"/>
      <c r="I164" s="3" t="inlineStr">
        <is>
          <t>C</t>
        </is>
      </c>
      <c r="J164" s="3" t="inlineStr">
        <is>
          <t>C</t>
        </is>
      </c>
      <c r="K164" s="3" t="inlineStr">
        <is>
          <t>I stay a little longer than I mean to. I don't want to hurt them, and part of me feels responsible for how they feel.</t>
        </is>
      </c>
      <c r="L164" s="3" t="n">
        <v>5</v>
      </c>
      <c r="M164" s="3" t="n">
        <v>6</v>
      </c>
      <c r="N164" s="3" t="n">
        <v>4</v>
      </c>
      <c r="O164" s="3" t="n">
        <v>4</v>
      </c>
      <c r="P164" s="3" t="n">
        <v>4</v>
      </c>
      <c r="Q164" s="3" t="inlineStr">
        <is>
          <t>Fixer</t>
        </is>
      </c>
      <c r="R164" s="3" t="n">
        <v>5</v>
      </c>
      <c r="S164" s="3" t="inlineStr"/>
      <c r="T164" s="3" t="inlineStr"/>
      <c r="U164" s="3" t="n">
        <v>0</v>
      </c>
      <c r="V164" s="3" t="inlineStr">
        <is>
          <t>masc:-0.4;fem:2.0</t>
        </is>
      </c>
      <c r="W164" s="3" t="n">
        <v>-0.4</v>
      </c>
      <c r="X164" s="3" t="n">
        <v>2</v>
      </c>
      <c r="Y164" s="3" t="inlineStr">
        <is>
          <t>COMM_Emotional</t>
        </is>
      </c>
      <c r="Z164" s="3" t="inlineStr">
        <is>
          <t>REG_CoRegulator</t>
        </is>
      </c>
      <c r="AA164" s="3" t="inlineStr">
        <is>
          <t>LANG_Service</t>
        </is>
      </c>
      <c r="AB164" s="3" t="inlineStr">
        <is>
          <t>Vulnerability_Loop</t>
        </is>
      </c>
      <c r="AC164" s="3" t="inlineStr">
        <is>
          <t>Vulnerability_Loop</t>
        </is>
      </c>
      <c r="AD164" s="3" t="inlineStr"/>
      <c r="AE164" s="3" t="n">
        <v>5</v>
      </c>
      <c r="AF164" s="3" t="inlineStr">
        <is>
          <t>guilt-fueled delay</t>
        </is>
      </c>
      <c r="AG164" s="3" t="inlineStr">
        <is>
          <t>hesitant leaver</t>
        </is>
      </c>
      <c r="AH164" s="3" t="n">
        <v>0.2</v>
      </c>
      <c r="AI164" s="3" t="inlineStr">
        <is>
          <t>yes</t>
        </is>
      </c>
      <c r="AJ164" s="3" t="inlineStr">
        <is>
          <t>no</t>
        </is>
      </c>
      <c r="AK164" s="3" t="inlineStr">
        <is>
          <t>yes</t>
        </is>
      </c>
      <c r="AL164" s="3" t="inlineStr">
        <is>
          <t>yes</t>
        </is>
      </c>
      <c r="AM164" s="3" t="inlineStr"/>
      <c r="AN164" s="3" t="inlineStr"/>
      <c r="AO164" s="3" t="inlineStr"/>
      <c r="AP164" s="3" t="inlineStr">
        <is>
          <t>v3_2026-03-19</t>
        </is>
      </c>
      <c r="AQ164">
        <f>(L164-Schema_v5!$C2)/(Schema_v5!$C3-Schema_v5!$C2)</f>
        <v/>
      </c>
      <c r="AR164">
        <f>(M164-Schema_v5!$C4)/(Schema_v5!$C5-Schema_v5!$C4)</f>
        <v/>
      </c>
      <c r="AS164">
        <f>N164/Schema_v5!$C6</f>
        <v/>
      </c>
      <c r="AT164">
        <f>O164/Schema_v5!$C7</f>
        <v/>
      </c>
      <c r="AU164">
        <f>P164/Schema_v5!$C8</f>
        <v/>
      </c>
      <c r="AV164">
        <f>IF(Schema_v5!$C9=0,0,AH164/Schema_v5!$C9)</f>
        <v/>
      </c>
      <c r="AW164">
        <f>IF(Schema_v5!$C10=0,0,AE164/Schema_v5!$C10)</f>
        <v/>
      </c>
      <c r="AX164">
        <f>(W164-Schema_v5!$C11)/(Schema_v5!$C12-Schema_v5!$C11)</f>
        <v/>
      </c>
      <c r="AY164">
        <f>(X164-Schema_v5!$C13)/(Schema_v5!$C14-Schema_v5!$C13)</f>
        <v/>
      </c>
    </row>
    <row r="165">
      <c r="A165" s="3" t="inlineStr">
        <is>
          <t>Q33_D</t>
        </is>
      </c>
      <c r="B165" s="3" t="n">
        <v>33</v>
      </c>
      <c r="C165" s="3" t="n">
        <v>33</v>
      </c>
      <c r="D165" s="3" t="inlineStr">
        <is>
          <t>Core</t>
        </is>
      </c>
      <c r="E165" s="3" t="n">
        <v>1.15</v>
      </c>
      <c r="F165" s="3" t="inlineStr">
        <is>
          <t>CommitmentPace</t>
        </is>
      </c>
      <c r="G165" s="3" t="inlineStr">
        <is>
          <t>IntentAlignment</t>
        </is>
      </c>
      <c r="H165" s="3" t="inlineStr"/>
      <c r="I165" s="3" t="inlineStr">
        <is>
          <t>D</t>
        </is>
      </c>
      <c r="J165" s="3" t="inlineStr">
        <is>
          <t>D</t>
        </is>
      </c>
      <c r="K165" s="3" t="inlineStr">
        <is>
          <t>I avoid the conversation by blaming timing or saying "I'm just not in the right headspace," even if that's not the full truth.</t>
        </is>
      </c>
      <c r="L165" s="3" t="n">
        <v>5</v>
      </c>
      <c r="M165" s="3" t="n">
        <v>6</v>
      </c>
      <c r="N165" s="3" t="n">
        <v>2</v>
      </c>
      <c r="O165" s="3" t="n">
        <v>2</v>
      </c>
      <c r="P165" s="3" t="n">
        <v>0</v>
      </c>
      <c r="Q165" s="3" t="inlineStr">
        <is>
          <t>Performer</t>
        </is>
      </c>
      <c r="R165" s="3" t="n">
        <v>7</v>
      </c>
      <c r="S165" s="3" t="inlineStr"/>
      <c r="T165" s="3" t="inlineStr"/>
      <c r="U165" s="3" t="n">
        <v>0</v>
      </c>
      <c r="V165" s="3" t="inlineStr">
        <is>
          <t>masc:0.3;fem:0.5</t>
        </is>
      </c>
      <c r="W165" s="3" t="n">
        <v>0.3</v>
      </c>
      <c r="X165" s="3" t="n">
        <v>0.5</v>
      </c>
      <c r="Y165" s="3" t="inlineStr">
        <is>
          <t>COMM_Indirect</t>
        </is>
      </c>
      <c r="Z165" s="3" t="inlineStr">
        <is>
          <t>REG_Distractor</t>
        </is>
      </c>
      <c r="AA165" s="3" t="inlineStr">
        <is>
          <t>LANG_Gifts</t>
        </is>
      </c>
      <c r="AB165" s="3" t="inlineStr">
        <is>
          <t>Vulnerability_Loop</t>
        </is>
      </c>
      <c r="AC165" s="3" t="inlineStr">
        <is>
          <t>Vulnerability_Loop</t>
        </is>
      </c>
      <c r="AD165" s="3" t="inlineStr"/>
      <c r="AE165" s="3" t="n">
        <v>5</v>
      </c>
      <c r="AF165" s="3" t="inlineStr">
        <is>
          <t>exit with surface excuse</t>
        </is>
      </c>
      <c r="AG165" s="3" t="inlineStr">
        <is>
          <t>impression manager</t>
        </is>
      </c>
      <c r="AH165" s="3" t="n">
        <v>0.6</v>
      </c>
      <c r="AI165" s="3" t="inlineStr">
        <is>
          <t>yes</t>
        </is>
      </c>
      <c r="AJ165" s="3" t="inlineStr">
        <is>
          <t>no</t>
        </is>
      </c>
      <c r="AK165" s="3" t="inlineStr">
        <is>
          <t>yes</t>
        </is>
      </c>
      <c r="AL165" s="3" t="inlineStr">
        <is>
          <t>yes</t>
        </is>
      </c>
      <c r="AM165" s="3" t="inlineStr"/>
      <c r="AN165" s="3" t="inlineStr"/>
      <c r="AO165" s="3" t="inlineStr"/>
      <c r="AP165" s="3" t="inlineStr">
        <is>
          <t>v3_2026-03-19</t>
        </is>
      </c>
      <c r="AQ165">
        <f>(L165-Schema_v5!$C2)/(Schema_v5!$C3-Schema_v5!$C2)</f>
        <v/>
      </c>
      <c r="AR165">
        <f>(M165-Schema_v5!$C4)/(Schema_v5!$C5-Schema_v5!$C4)</f>
        <v/>
      </c>
      <c r="AS165">
        <f>N165/Schema_v5!$C6</f>
        <v/>
      </c>
      <c r="AT165">
        <f>O165/Schema_v5!$C7</f>
        <v/>
      </c>
      <c r="AU165">
        <f>P165/Schema_v5!$C8</f>
        <v/>
      </c>
      <c r="AV165">
        <f>IF(Schema_v5!$C9=0,0,AH165/Schema_v5!$C9)</f>
        <v/>
      </c>
      <c r="AW165">
        <f>IF(Schema_v5!$C10=0,0,AE165/Schema_v5!$C10)</f>
        <v/>
      </c>
      <c r="AX165">
        <f>(W165-Schema_v5!$C11)/(Schema_v5!$C12-Schema_v5!$C11)</f>
        <v/>
      </c>
      <c r="AY165">
        <f>(X165-Schema_v5!$C13)/(Schema_v5!$C14-Schema_v5!$C13)</f>
        <v/>
      </c>
    </row>
    <row r="166">
      <c r="A166" s="3" t="inlineStr">
        <is>
          <t>Q33_E</t>
        </is>
      </c>
      <c r="B166" s="3" t="n">
        <v>33</v>
      </c>
      <c r="C166" s="3" t="n">
        <v>33</v>
      </c>
      <c r="D166" s="3" t="inlineStr">
        <is>
          <t>Core</t>
        </is>
      </c>
      <c r="E166" s="3" t="n">
        <v>1.15</v>
      </c>
      <c r="F166" s="3" t="inlineStr">
        <is>
          <t>CommitmentPace</t>
        </is>
      </c>
      <c r="G166" s="3" t="inlineStr">
        <is>
          <t>IntentAlignment</t>
        </is>
      </c>
      <c r="H166" s="3" t="inlineStr"/>
      <c r="I166" s="3" t="inlineStr">
        <is>
          <t>E</t>
        </is>
      </c>
      <c r="J166" s="3" t="inlineStr">
        <is>
          <t>E</t>
        </is>
      </c>
      <c r="K166" s="3" t="inlineStr">
        <is>
          <t>I act casual, like we're just vibing, but inside I'm already out. I don't like being the one to say it.</t>
        </is>
      </c>
      <c r="L166" s="3" t="n">
        <v>4</v>
      </c>
      <c r="M166" s="3" t="n">
        <v>5</v>
      </c>
      <c r="N166" s="3" t="n">
        <v>0</v>
      </c>
      <c r="O166" s="3" t="n">
        <v>2</v>
      </c>
      <c r="P166" s="3" t="n">
        <v>0</v>
      </c>
      <c r="Q166" s="3" t="inlineStr">
        <is>
          <t>Phantom Seeker</t>
        </is>
      </c>
      <c r="R166" s="3" t="n">
        <v>10</v>
      </c>
      <c r="S166" s="3" t="inlineStr"/>
      <c r="T166" s="3" t="inlineStr"/>
      <c r="U166" s="3" t="n">
        <v>0</v>
      </c>
      <c r="V166" s="3" t="inlineStr">
        <is>
          <t>masc:-0.2;fem:1.5</t>
        </is>
      </c>
      <c r="W166" s="3" t="n">
        <v>-0.2</v>
      </c>
      <c r="X166" s="3" t="n">
        <v>1.5</v>
      </c>
      <c r="Y166" s="3" t="inlineStr">
        <is>
          <t>COMM_Emotional</t>
        </is>
      </c>
      <c r="Z166" s="3" t="inlineStr">
        <is>
          <t>REG_SelfSoother</t>
        </is>
      </c>
      <c r="AA166" s="3" t="inlineStr">
        <is>
          <t>LANG_Touch</t>
        </is>
      </c>
      <c r="AB166" s="3" t="inlineStr">
        <is>
          <t>Vulnerability_Loop</t>
        </is>
      </c>
      <c r="AC166" s="3" t="inlineStr">
        <is>
          <t>Vulnerability_Loop</t>
        </is>
      </c>
      <c r="AD166" s="3" t="inlineStr"/>
      <c r="AE166" s="3" t="n">
        <v>5</v>
      </c>
      <c r="AF166" s="3" t="inlineStr">
        <is>
          <t>discomfort avoidance</t>
        </is>
      </c>
      <c r="AG166" s="3" t="inlineStr">
        <is>
          <t>quiet escape</t>
        </is>
      </c>
      <c r="AH166" s="3" t="n">
        <v>0.6</v>
      </c>
      <c r="AI166" s="3" t="inlineStr">
        <is>
          <t>yes</t>
        </is>
      </c>
      <c r="AJ166" s="3" t="inlineStr">
        <is>
          <t>no</t>
        </is>
      </c>
      <c r="AK166" s="3" t="inlineStr">
        <is>
          <t>yes</t>
        </is>
      </c>
      <c r="AL166" s="3" t="inlineStr">
        <is>
          <t>yes</t>
        </is>
      </c>
      <c r="AM166" s="3" t="inlineStr"/>
      <c r="AN166" s="3" t="inlineStr"/>
      <c r="AO166" s="3" t="inlineStr"/>
      <c r="AP166" s="3" t="inlineStr">
        <is>
          <t>v3_2026-03-19</t>
        </is>
      </c>
      <c r="AQ166">
        <f>(L166-Schema_v5!$C2)/(Schema_v5!$C3-Schema_v5!$C2)</f>
        <v/>
      </c>
      <c r="AR166">
        <f>(M166-Schema_v5!$C4)/(Schema_v5!$C5-Schema_v5!$C4)</f>
        <v/>
      </c>
      <c r="AS166">
        <f>N166/Schema_v5!$C6</f>
        <v/>
      </c>
      <c r="AT166">
        <f>O166/Schema_v5!$C7</f>
        <v/>
      </c>
      <c r="AU166">
        <f>P166/Schema_v5!$C8</f>
        <v/>
      </c>
      <c r="AV166">
        <f>IF(Schema_v5!$C9=0,0,AH166/Schema_v5!$C9)</f>
        <v/>
      </c>
      <c r="AW166">
        <f>IF(Schema_v5!$C10=0,0,AE166/Schema_v5!$C10)</f>
        <v/>
      </c>
      <c r="AX166">
        <f>(W166-Schema_v5!$C11)/(Schema_v5!$C12-Schema_v5!$C11)</f>
        <v/>
      </c>
      <c r="AY166">
        <f>(X166-Schema_v5!$C13)/(Schema_v5!$C14-Schema_v5!$C13)</f>
        <v/>
      </c>
    </row>
    <row r="167">
      <c r="A167" s="3" t="inlineStr">
        <is>
          <t>Q34_A</t>
        </is>
      </c>
      <c r="B167" s="3" t="n">
        <v>34</v>
      </c>
      <c r="C167" s="3" t="n">
        <v>34</v>
      </c>
      <c r="D167" s="3" t="inlineStr">
        <is>
          <t>Core</t>
        </is>
      </c>
      <c r="E167" s="3" t="n">
        <v>1.15</v>
      </c>
      <c r="F167" s="3" t="inlineStr">
        <is>
          <t>CommitmentPace</t>
        </is>
      </c>
      <c r="G167" s="3" t="inlineStr">
        <is>
          <t>IntentAlignment</t>
        </is>
      </c>
      <c r="H167" s="3" t="inlineStr">
        <is>
          <t>You start noticing they only really show up when it benefits them-emotionally or otherwise. What's your instinct?</t>
        </is>
      </c>
      <c r="I167" s="3" t="inlineStr">
        <is>
          <t>A</t>
        </is>
      </c>
      <c r="J167" s="3" t="inlineStr">
        <is>
          <t>A</t>
        </is>
      </c>
      <c r="K167" s="3" t="inlineStr">
        <is>
          <t>I don't say a word. I just clock it and start shifting out. I don't play loyalty with users.</t>
        </is>
      </c>
      <c r="L167" s="3" t="n">
        <v>9</v>
      </c>
      <c r="M167" s="3" t="n">
        <v>9</v>
      </c>
      <c r="N167" s="3" t="n">
        <v>6</v>
      </c>
      <c r="O167" s="3" t="n">
        <v>6</v>
      </c>
      <c r="P167" s="3" t="n">
        <v>2</v>
      </c>
      <c r="Q167" s="3" t="inlineStr">
        <is>
          <t>Icebox</t>
        </is>
      </c>
      <c r="R167" s="3" t="n">
        <v>1</v>
      </c>
      <c r="S167" s="3" t="inlineStr"/>
      <c r="T167" s="3" t="inlineStr"/>
      <c r="U167" s="3" t="n">
        <v>0</v>
      </c>
      <c r="V167" s="3" t="inlineStr">
        <is>
          <t>masc:1.8;fem:-1.6</t>
        </is>
      </c>
      <c r="W167" s="3" t="n">
        <v>1.8</v>
      </c>
      <c r="X167" s="3" t="n">
        <v>-1.6</v>
      </c>
      <c r="Y167" s="3" t="inlineStr">
        <is>
          <t>COMM_Avoidant</t>
        </is>
      </c>
      <c r="Z167" s="3" t="inlineStr">
        <is>
          <t>REG_Suppressor</t>
        </is>
      </c>
      <c r="AA167" s="3" t="inlineStr">
        <is>
          <t>LANG_Time</t>
        </is>
      </c>
      <c r="AB167" s="3" t="inlineStr"/>
      <c r="AC167" s="3" t="inlineStr"/>
      <c r="AD167" s="3" t="inlineStr"/>
      <c r="AE167" s="3" t="n">
        <v>0</v>
      </c>
      <c r="AF167" s="3" t="inlineStr">
        <is>
          <t>silent pattern cut-off</t>
        </is>
      </c>
      <c r="AG167" s="3" t="inlineStr">
        <is>
          <t>boundary enforcer</t>
        </is>
      </c>
      <c r="AH167" s="3" t="n">
        <v>0.2</v>
      </c>
      <c r="AI167" s="3" t="inlineStr">
        <is>
          <t>no</t>
        </is>
      </c>
      <c r="AJ167" s="3" t="inlineStr">
        <is>
          <t>no</t>
        </is>
      </c>
      <c r="AK167" s="3" t="inlineStr">
        <is>
          <t>yes</t>
        </is>
      </c>
      <c r="AL167" s="3" t="inlineStr">
        <is>
          <t>yes</t>
        </is>
      </c>
      <c r="AM167" s="3" t="inlineStr"/>
      <c r="AN167" s="3" t="inlineStr"/>
      <c r="AO167" s="3" t="inlineStr"/>
      <c r="AP167" s="3" t="inlineStr">
        <is>
          <t>v3_2026-03-19</t>
        </is>
      </c>
      <c r="AQ167">
        <f>(L167-Schema_v5!$C2)/(Schema_v5!$C3-Schema_v5!$C2)</f>
        <v/>
      </c>
      <c r="AR167">
        <f>(M167-Schema_v5!$C4)/(Schema_v5!$C5-Schema_v5!$C4)</f>
        <v/>
      </c>
      <c r="AS167">
        <f>N167/Schema_v5!$C6</f>
        <v/>
      </c>
      <c r="AT167">
        <f>O167/Schema_v5!$C7</f>
        <v/>
      </c>
      <c r="AU167">
        <f>P167/Schema_v5!$C8</f>
        <v/>
      </c>
      <c r="AV167">
        <f>IF(Schema_v5!$C9=0,0,AH167/Schema_v5!$C9)</f>
        <v/>
      </c>
      <c r="AW167">
        <f>IF(Schema_v5!$C10=0,0,AE167/Schema_v5!$C10)</f>
        <v/>
      </c>
      <c r="AX167">
        <f>(W167-Schema_v5!$C11)/(Schema_v5!$C12-Schema_v5!$C11)</f>
        <v/>
      </c>
      <c r="AY167">
        <f>(X167-Schema_v5!$C13)/(Schema_v5!$C14-Schema_v5!$C13)</f>
        <v/>
      </c>
    </row>
    <row r="168">
      <c r="A168" s="3" t="inlineStr">
        <is>
          <t>Q34_B</t>
        </is>
      </c>
      <c r="B168" s="3" t="n">
        <v>34</v>
      </c>
      <c r="C168" s="3" t="n">
        <v>34</v>
      </c>
      <c r="D168" s="3" t="inlineStr">
        <is>
          <t>Core</t>
        </is>
      </c>
      <c r="E168" s="3" t="n">
        <v>1.15</v>
      </c>
      <c r="F168" s="3" t="inlineStr">
        <is>
          <t>CommitmentPace</t>
        </is>
      </c>
      <c r="G168" s="3" t="inlineStr">
        <is>
          <t>IntentAlignment</t>
        </is>
      </c>
      <c r="H168" s="3" t="inlineStr"/>
      <c r="I168" s="3" t="inlineStr">
        <is>
          <t>B</t>
        </is>
      </c>
      <c r="J168" s="3" t="inlineStr">
        <is>
          <t>B</t>
        </is>
      </c>
      <c r="K168" s="3" t="inlineStr">
        <is>
          <t>I try to be okay with it, but it messes with my head. I keep wondering if I'm reading too much into it.</t>
        </is>
      </c>
      <c r="L168" s="3" t="n">
        <v>5</v>
      </c>
      <c r="M168" s="3" t="n">
        <v>6</v>
      </c>
      <c r="N168" s="3" t="n">
        <v>2</v>
      </c>
      <c r="O168" s="3" t="n">
        <v>4</v>
      </c>
      <c r="P168" s="3" t="n">
        <v>2</v>
      </c>
      <c r="Q168" s="3" t="inlineStr">
        <is>
          <t>Phantom Seeker</t>
        </is>
      </c>
      <c r="R168" s="3" t="n">
        <v>10</v>
      </c>
      <c r="S168" s="3" t="inlineStr"/>
      <c r="T168" s="3" t="inlineStr"/>
      <c r="U168" s="3" t="n">
        <v>0</v>
      </c>
      <c r="V168" s="3" t="inlineStr">
        <is>
          <t>masc:-0.2;fem:1.5</t>
        </is>
      </c>
      <c r="W168" s="3" t="n">
        <v>-0.2</v>
      </c>
      <c r="X168" s="3" t="n">
        <v>1.5</v>
      </c>
      <c r="Y168" s="3" t="inlineStr">
        <is>
          <t>COMM_Emotional</t>
        </is>
      </c>
      <c r="Z168" s="3" t="inlineStr">
        <is>
          <t>REG_SelfSoother</t>
        </is>
      </c>
      <c r="AA168" s="3" t="inlineStr">
        <is>
          <t>LANG_Touch</t>
        </is>
      </c>
      <c r="AB168" s="3" t="inlineStr">
        <is>
          <t>Vulnerability_Loop</t>
        </is>
      </c>
      <c r="AC168" s="3" t="inlineStr">
        <is>
          <t>Vulnerability_Loop</t>
        </is>
      </c>
      <c r="AD168" s="3" t="inlineStr"/>
      <c r="AE168" s="3" t="n">
        <v>5</v>
      </c>
      <c r="AF168" s="3" t="inlineStr">
        <is>
          <t>self-doubt spiral</t>
        </is>
      </c>
      <c r="AG168" s="3" t="inlineStr">
        <is>
          <t>uncertain assessor</t>
        </is>
      </c>
      <c r="AH168" s="3" t="n">
        <v>0</v>
      </c>
      <c r="AI168" s="3" t="inlineStr">
        <is>
          <t>yes</t>
        </is>
      </c>
      <c r="AJ168" s="3" t="inlineStr">
        <is>
          <t>no</t>
        </is>
      </c>
      <c r="AK168" s="3" t="inlineStr">
        <is>
          <t>yes</t>
        </is>
      </c>
      <c r="AL168" s="3" t="inlineStr">
        <is>
          <t>yes</t>
        </is>
      </c>
      <c r="AM168" s="3" t="inlineStr"/>
      <c r="AN168" s="3" t="inlineStr"/>
      <c r="AO168" s="3" t="inlineStr"/>
      <c r="AP168" s="3" t="inlineStr">
        <is>
          <t>v3_2026-03-19</t>
        </is>
      </c>
      <c r="AQ168">
        <f>(L168-Schema_v5!$C2)/(Schema_v5!$C3-Schema_v5!$C2)</f>
        <v/>
      </c>
      <c r="AR168">
        <f>(M168-Schema_v5!$C4)/(Schema_v5!$C5-Schema_v5!$C4)</f>
        <v/>
      </c>
      <c r="AS168">
        <f>N168/Schema_v5!$C6</f>
        <v/>
      </c>
      <c r="AT168">
        <f>O168/Schema_v5!$C7</f>
        <v/>
      </c>
      <c r="AU168">
        <f>P168/Schema_v5!$C8</f>
        <v/>
      </c>
      <c r="AV168">
        <f>IF(Schema_v5!$C9=0,0,AH168/Schema_v5!$C9)</f>
        <v/>
      </c>
      <c r="AW168">
        <f>IF(Schema_v5!$C10=0,0,AE168/Schema_v5!$C10)</f>
        <v/>
      </c>
      <c r="AX168">
        <f>(W168-Schema_v5!$C11)/(Schema_v5!$C12-Schema_v5!$C11)</f>
        <v/>
      </c>
      <c r="AY168">
        <f>(X168-Schema_v5!$C13)/(Schema_v5!$C14-Schema_v5!$C13)</f>
        <v/>
      </c>
    </row>
    <row r="169">
      <c r="A169" s="3" t="inlineStr">
        <is>
          <t>Q34_C</t>
        </is>
      </c>
      <c r="B169" s="3" t="n">
        <v>34</v>
      </c>
      <c r="C169" s="3" t="n">
        <v>34</v>
      </c>
      <c r="D169" s="3" t="inlineStr">
        <is>
          <t>Core</t>
        </is>
      </c>
      <c r="E169" s="3" t="n">
        <v>1.15</v>
      </c>
      <c r="F169" s="3" t="inlineStr">
        <is>
          <t>CommitmentPace</t>
        </is>
      </c>
      <c r="G169" s="3" t="inlineStr">
        <is>
          <t>IntentAlignment</t>
        </is>
      </c>
      <c r="H169" s="3" t="inlineStr"/>
      <c r="I169" s="3" t="inlineStr">
        <is>
          <t>C</t>
        </is>
      </c>
      <c r="J169" s="3" t="inlineStr">
        <is>
          <t>C</t>
        </is>
      </c>
      <c r="K169" s="3" t="inlineStr">
        <is>
          <t>I adjust. If they only come around for certain things, I act like that's all I want too.</t>
        </is>
      </c>
      <c r="L169" s="3" t="n">
        <v>5</v>
      </c>
      <c r="M169" s="3" t="n">
        <v>6</v>
      </c>
      <c r="N169" s="3" t="n">
        <v>2</v>
      </c>
      <c r="O169" s="3" t="n">
        <v>2</v>
      </c>
      <c r="P169" s="3" t="n">
        <v>0</v>
      </c>
      <c r="Q169" s="3" t="inlineStr">
        <is>
          <t>Performer</t>
        </is>
      </c>
      <c r="R169" s="3" t="n">
        <v>7</v>
      </c>
      <c r="S169" s="3" t="inlineStr"/>
      <c r="T169" s="3" t="inlineStr"/>
      <c r="U169" s="3" t="n">
        <v>0</v>
      </c>
      <c r="V169" s="3" t="inlineStr">
        <is>
          <t>masc:0.3;fem:0.5</t>
        </is>
      </c>
      <c r="W169" s="3" t="n">
        <v>0.3</v>
      </c>
      <c r="X169" s="3" t="n">
        <v>0.5</v>
      </c>
      <c r="Y169" s="3" t="inlineStr">
        <is>
          <t>COMM_Indirect</t>
        </is>
      </c>
      <c r="Z169" s="3" t="inlineStr">
        <is>
          <t>REG_Distractor</t>
        </is>
      </c>
      <c r="AA169" s="3" t="inlineStr">
        <is>
          <t>LANG_Gifts</t>
        </is>
      </c>
      <c r="AB169" s="3" t="inlineStr">
        <is>
          <t>Vulnerability_Loop</t>
        </is>
      </c>
      <c r="AC169" s="3" t="inlineStr">
        <is>
          <t>Vulnerability_Loop</t>
        </is>
      </c>
      <c r="AD169" s="3" t="inlineStr"/>
      <c r="AE169" s="3" t="n">
        <v>5</v>
      </c>
      <c r="AF169" s="3" t="inlineStr">
        <is>
          <t>emotional roleplay reflex</t>
        </is>
      </c>
      <c r="AG169" s="3" t="inlineStr">
        <is>
          <t>adaptive masker</t>
        </is>
      </c>
      <c r="AH169" s="3" t="n">
        <v>0.6</v>
      </c>
      <c r="AI169" s="3" t="inlineStr">
        <is>
          <t>yes</t>
        </is>
      </c>
      <c r="AJ169" s="3" t="inlineStr">
        <is>
          <t>no</t>
        </is>
      </c>
      <c r="AK169" s="3" t="inlineStr">
        <is>
          <t>yes</t>
        </is>
      </c>
      <c r="AL169" s="3" t="inlineStr">
        <is>
          <t>yes</t>
        </is>
      </c>
      <c r="AM169" s="3" t="inlineStr"/>
      <c r="AN169" s="3" t="inlineStr"/>
      <c r="AO169" s="3" t="inlineStr"/>
      <c r="AP169" s="3" t="inlineStr">
        <is>
          <t>v3_2026-03-19</t>
        </is>
      </c>
      <c r="AQ169">
        <f>(L169-Schema_v5!$C2)/(Schema_v5!$C3-Schema_v5!$C2)</f>
        <v/>
      </c>
      <c r="AR169">
        <f>(M169-Schema_v5!$C4)/(Schema_v5!$C5-Schema_v5!$C4)</f>
        <v/>
      </c>
      <c r="AS169">
        <f>N169/Schema_v5!$C6</f>
        <v/>
      </c>
      <c r="AT169">
        <f>O169/Schema_v5!$C7</f>
        <v/>
      </c>
      <c r="AU169">
        <f>P169/Schema_v5!$C8</f>
        <v/>
      </c>
      <c r="AV169">
        <f>IF(Schema_v5!$C9=0,0,AH169/Schema_v5!$C9)</f>
        <v/>
      </c>
      <c r="AW169">
        <f>IF(Schema_v5!$C10=0,0,AE169/Schema_v5!$C10)</f>
        <v/>
      </c>
      <c r="AX169">
        <f>(W169-Schema_v5!$C11)/(Schema_v5!$C12-Schema_v5!$C11)</f>
        <v/>
      </c>
      <c r="AY169">
        <f>(X169-Schema_v5!$C13)/(Schema_v5!$C14-Schema_v5!$C13)</f>
        <v/>
      </c>
    </row>
    <row r="170">
      <c r="A170" s="3" t="inlineStr">
        <is>
          <t>Q34_D</t>
        </is>
      </c>
      <c r="B170" s="3" t="n">
        <v>34</v>
      </c>
      <c r="C170" s="3" t="n">
        <v>34</v>
      </c>
      <c r="D170" s="3" t="inlineStr">
        <is>
          <t>Core</t>
        </is>
      </c>
      <c r="E170" s="3" t="n">
        <v>1.15</v>
      </c>
      <c r="F170" s="3" t="inlineStr">
        <is>
          <t>CommitmentPace</t>
        </is>
      </c>
      <c r="G170" s="3" t="inlineStr">
        <is>
          <t>IntentAlignment</t>
        </is>
      </c>
      <c r="H170" s="3" t="inlineStr"/>
      <c r="I170" s="3" t="inlineStr">
        <is>
          <t>D</t>
        </is>
      </c>
      <c r="J170" s="3" t="inlineStr">
        <is>
          <t>D</t>
        </is>
      </c>
      <c r="K170" s="3" t="inlineStr">
        <is>
          <t>I make excuses for them. Maybe they're going through something. Maybe they don't even realize they're doing it.</t>
        </is>
      </c>
      <c r="L170" s="3" t="n">
        <v>4</v>
      </c>
      <c r="M170" s="3" t="n">
        <v>5</v>
      </c>
      <c r="N170" s="3" t="n">
        <v>2</v>
      </c>
      <c r="O170" s="3" t="n">
        <v>2</v>
      </c>
      <c r="P170" s="3" t="n">
        <v>2</v>
      </c>
      <c r="Q170" s="3" t="inlineStr">
        <is>
          <t>Fixer</t>
        </is>
      </c>
      <c r="R170" s="3" t="n">
        <v>5</v>
      </c>
      <c r="S170" s="3" t="inlineStr"/>
      <c r="T170" s="3" t="inlineStr"/>
      <c r="U170" s="3" t="n">
        <v>0</v>
      </c>
      <c r="V170" s="3" t="inlineStr">
        <is>
          <t>masc:-0.4;fem:2.0</t>
        </is>
      </c>
      <c r="W170" s="3" t="n">
        <v>-0.4</v>
      </c>
      <c r="X170" s="3" t="n">
        <v>2</v>
      </c>
      <c r="Y170" s="3" t="inlineStr">
        <is>
          <t>COMM_Emotional</t>
        </is>
      </c>
      <c r="Z170" s="3" t="inlineStr">
        <is>
          <t>REG_CoRegulator</t>
        </is>
      </c>
      <c r="AA170" s="3" t="inlineStr">
        <is>
          <t>LANG_Service</t>
        </is>
      </c>
      <c r="AB170" s="3" t="inlineStr">
        <is>
          <t>Commitment_Ambiguity</t>
        </is>
      </c>
      <c r="AC170" s="3" t="inlineStr">
        <is>
          <t>Commitment_Ambiguity</t>
        </is>
      </c>
      <c r="AD170" s="3" t="inlineStr"/>
      <c r="AE170" s="3" t="n">
        <v>5</v>
      </c>
      <c r="AF170" s="3" t="inlineStr">
        <is>
          <t>justification loop</t>
        </is>
      </c>
      <c r="AG170" s="3" t="inlineStr">
        <is>
          <t>excuse maker</t>
        </is>
      </c>
      <c r="AH170" s="3" t="n">
        <v>0</v>
      </c>
      <c r="AI170" s="3" t="inlineStr">
        <is>
          <t>yes</t>
        </is>
      </c>
      <c r="AJ170" s="3" t="inlineStr">
        <is>
          <t>no</t>
        </is>
      </c>
      <c r="AK170" s="3" t="inlineStr">
        <is>
          <t>yes</t>
        </is>
      </c>
      <c r="AL170" s="3" t="inlineStr">
        <is>
          <t>yes</t>
        </is>
      </c>
      <c r="AM170" s="3" t="inlineStr"/>
      <c r="AN170" s="3" t="inlineStr"/>
      <c r="AO170" s="3" t="inlineStr"/>
      <c r="AP170" s="3" t="inlineStr">
        <is>
          <t>v3_2026-03-19</t>
        </is>
      </c>
      <c r="AQ170">
        <f>(L170-Schema_v5!$C2)/(Schema_v5!$C3-Schema_v5!$C2)</f>
        <v/>
      </c>
      <c r="AR170">
        <f>(M170-Schema_v5!$C4)/(Schema_v5!$C5-Schema_v5!$C4)</f>
        <v/>
      </c>
      <c r="AS170">
        <f>N170/Schema_v5!$C6</f>
        <v/>
      </c>
      <c r="AT170">
        <f>O170/Schema_v5!$C7</f>
        <v/>
      </c>
      <c r="AU170">
        <f>P170/Schema_v5!$C8</f>
        <v/>
      </c>
      <c r="AV170">
        <f>IF(Schema_v5!$C9=0,0,AH170/Schema_v5!$C9)</f>
        <v/>
      </c>
      <c r="AW170">
        <f>IF(Schema_v5!$C10=0,0,AE170/Schema_v5!$C10)</f>
        <v/>
      </c>
      <c r="AX170">
        <f>(W170-Schema_v5!$C11)/(Schema_v5!$C12-Schema_v5!$C11)</f>
        <v/>
      </c>
      <c r="AY170">
        <f>(X170-Schema_v5!$C13)/(Schema_v5!$C14-Schema_v5!$C13)</f>
        <v/>
      </c>
    </row>
    <row r="171">
      <c r="A171" s="3" t="inlineStr">
        <is>
          <t>Q34_E</t>
        </is>
      </c>
      <c r="B171" s="3" t="n">
        <v>34</v>
      </c>
      <c r="C171" s="3" t="n">
        <v>34</v>
      </c>
      <c r="D171" s="3" t="inlineStr">
        <is>
          <t>Core</t>
        </is>
      </c>
      <c r="E171" s="3" t="n">
        <v>1.15</v>
      </c>
      <c r="F171" s="3" t="inlineStr">
        <is>
          <t>CommitmentPace</t>
        </is>
      </c>
      <c r="G171" s="3" t="inlineStr">
        <is>
          <t>IntentAlignment</t>
        </is>
      </c>
      <c r="H171" s="3" t="inlineStr"/>
      <c r="I171" s="3" t="inlineStr">
        <is>
          <t>E</t>
        </is>
      </c>
      <c r="J171" s="3" t="inlineStr">
        <is>
          <t>E</t>
        </is>
      </c>
      <c r="K171" s="3" t="inlineStr">
        <is>
          <t>I start testing it, pull back on what I give and see how long it takes for them to disappear.</t>
        </is>
      </c>
      <c r="L171" s="3" t="n">
        <v>8</v>
      </c>
      <c r="M171" s="3" t="n">
        <v>9</v>
      </c>
      <c r="N171" s="3" t="n">
        <v>8</v>
      </c>
      <c r="O171" s="3" t="n">
        <v>8</v>
      </c>
      <c r="P171" s="3" t="n">
        <v>6</v>
      </c>
      <c r="Q171" s="3" t="inlineStr">
        <is>
          <t>Analyzer</t>
        </is>
      </c>
      <c r="R171" s="3" t="n">
        <v>2</v>
      </c>
      <c r="S171" s="3" t="inlineStr"/>
      <c r="T171" s="3" t="inlineStr"/>
      <c r="U171" s="3" t="n">
        <v>0</v>
      </c>
      <c r="V171" s="3" t="inlineStr">
        <is>
          <t>masc:1.4;fem:0.1</t>
        </is>
      </c>
      <c r="W171" s="3" t="n">
        <v>1.4</v>
      </c>
      <c r="X171" s="3" t="n">
        <v>0.1</v>
      </c>
      <c r="Y171" s="3" t="inlineStr">
        <is>
          <t>COMM_Logical</t>
        </is>
      </c>
      <c r="Z171" s="3" t="inlineStr">
        <is>
          <t>REG_SelfSoother</t>
        </is>
      </c>
      <c r="AA171" s="3" t="inlineStr">
        <is>
          <t>LANG_Service</t>
        </is>
      </c>
      <c r="AB171" s="3" t="inlineStr"/>
      <c r="AC171" s="3" t="inlineStr"/>
      <c r="AD171" s="3" t="inlineStr"/>
      <c r="AE171" s="3" t="n">
        <v>0</v>
      </c>
      <c r="AF171" s="3" t="inlineStr">
        <is>
          <t>value-to-effort gauge</t>
        </is>
      </c>
      <c r="AG171" s="3" t="inlineStr">
        <is>
          <t>behavioral tester</t>
        </is>
      </c>
      <c r="AH171" s="3" t="n">
        <v>1.8</v>
      </c>
      <c r="AI171" s="3" t="inlineStr">
        <is>
          <t>no</t>
        </is>
      </c>
      <c r="AJ171" s="3" t="inlineStr">
        <is>
          <t>no</t>
        </is>
      </c>
      <c r="AK171" s="3" t="inlineStr">
        <is>
          <t>yes</t>
        </is>
      </c>
      <c r="AL171" s="3" t="inlineStr">
        <is>
          <t>yes</t>
        </is>
      </c>
      <c r="AM171" s="3" t="inlineStr"/>
      <c r="AN171" s="3" t="inlineStr"/>
      <c r="AO171" s="3" t="inlineStr"/>
      <c r="AP171" s="3" t="inlineStr">
        <is>
          <t>v3_2026-03-19</t>
        </is>
      </c>
      <c r="AQ171">
        <f>(L171-Schema_v5!$C2)/(Schema_v5!$C3-Schema_v5!$C2)</f>
        <v/>
      </c>
      <c r="AR171">
        <f>(M171-Schema_v5!$C4)/(Schema_v5!$C5-Schema_v5!$C4)</f>
        <v/>
      </c>
      <c r="AS171">
        <f>N171/Schema_v5!$C6</f>
        <v/>
      </c>
      <c r="AT171">
        <f>O171/Schema_v5!$C7</f>
        <v/>
      </c>
      <c r="AU171">
        <f>P171/Schema_v5!$C8</f>
        <v/>
      </c>
      <c r="AV171">
        <f>IF(Schema_v5!$C9=0,0,AH171/Schema_v5!$C9)</f>
        <v/>
      </c>
      <c r="AW171">
        <f>IF(Schema_v5!$C10=0,0,AE171/Schema_v5!$C10)</f>
        <v/>
      </c>
      <c r="AX171">
        <f>(W171-Schema_v5!$C11)/(Schema_v5!$C12-Schema_v5!$C11)</f>
        <v/>
      </c>
      <c r="AY171">
        <f>(X171-Schema_v5!$C13)/(Schema_v5!$C14-Schema_v5!$C13)</f>
        <v/>
      </c>
    </row>
    <row r="172">
      <c r="A172" s="3" t="inlineStr">
        <is>
          <t>Q35_A</t>
        </is>
      </c>
      <c r="B172" s="3" t="n">
        <v>35</v>
      </c>
      <c r="C172" s="3" t="n">
        <v>35</v>
      </c>
      <c r="D172" s="3" t="inlineStr">
        <is>
          <t>Core</t>
        </is>
      </c>
      <c r="E172" s="3" t="n">
        <v>1.15</v>
      </c>
      <c r="F172" s="3" t="inlineStr">
        <is>
          <t>CommitmentPace</t>
        </is>
      </c>
      <c r="G172" s="3" t="inlineStr">
        <is>
          <t>IntentAlignment</t>
        </is>
      </c>
      <c r="H172" s="3" t="inlineStr">
        <is>
          <t>Someone calls you out-not mean, but honest. Says you hurt them or dropped the ball emotionally. What's your first reaction?</t>
        </is>
      </c>
      <c r="I172" s="3" t="inlineStr">
        <is>
          <t>A</t>
        </is>
      </c>
      <c r="J172" s="3" t="inlineStr">
        <is>
          <t>A</t>
        </is>
      </c>
      <c r="K172" s="3" t="inlineStr">
        <is>
          <t>I get quiet. My instinct is to pull away until I can think through what they said.</t>
        </is>
      </c>
      <c r="L172" s="3" t="n">
        <v>8</v>
      </c>
      <c r="M172" s="3" t="n">
        <v>8</v>
      </c>
      <c r="N172" s="3" t="n">
        <v>4</v>
      </c>
      <c r="O172" s="3" t="n">
        <v>4</v>
      </c>
      <c r="P172" s="3" t="n">
        <v>2</v>
      </c>
      <c r="Q172" s="3" t="inlineStr">
        <is>
          <t>Icebox</t>
        </is>
      </c>
      <c r="R172" s="3" t="n">
        <v>1</v>
      </c>
      <c r="S172" s="3" t="inlineStr"/>
      <c r="T172" s="3" t="inlineStr"/>
      <c r="U172" s="3" t="n">
        <v>0</v>
      </c>
      <c r="V172" s="3" t="inlineStr">
        <is>
          <t>masc:1.8;fem:-1.6</t>
        </is>
      </c>
      <c r="W172" s="3" t="n">
        <v>1.8</v>
      </c>
      <c r="X172" s="3" t="n">
        <v>-1.6</v>
      </c>
      <c r="Y172" s="3" t="inlineStr">
        <is>
          <t>COMM_Avoidant</t>
        </is>
      </c>
      <c r="Z172" s="3" t="inlineStr">
        <is>
          <t>REG_Suppressor</t>
        </is>
      </c>
      <c r="AA172" s="3" t="inlineStr">
        <is>
          <t>LANG_Time</t>
        </is>
      </c>
      <c r="AB172" s="3" t="inlineStr"/>
      <c r="AC172" s="3" t="inlineStr"/>
      <c r="AD172" s="3" t="inlineStr"/>
      <c r="AE172" s="3" t="n">
        <v>0</v>
      </c>
      <c r="AF172" s="3" t="inlineStr">
        <is>
          <t>internal processing lockdown</t>
        </is>
      </c>
      <c r="AG172" s="3" t="inlineStr">
        <is>
          <t>space taker</t>
        </is>
      </c>
      <c r="AH172" s="3" t="n">
        <v>0</v>
      </c>
      <c r="AI172" s="3" t="inlineStr">
        <is>
          <t>no</t>
        </is>
      </c>
      <c r="AJ172" s="3" t="inlineStr">
        <is>
          <t>no</t>
        </is>
      </c>
      <c r="AK172" s="3" t="inlineStr">
        <is>
          <t>yes</t>
        </is>
      </c>
      <c r="AL172" s="3" t="inlineStr">
        <is>
          <t>yes</t>
        </is>
      </c>
      <c r="AM172" s="3" t="inlineStr"/>
      <c r="AN172" s="3" t="inlineStr"/>
      <c r="AO172" s="3" t="inlineStr"/>
      <c r="AP172" s="3" t="inlineStr">
        <is>
          <t>v3_2026-03-19</t>
        </is>
      </c>
      <c r="AQ172">
        <f>(L172-Schema_v5!$C2)/(Schema_v5!$C3-Schema_v5!$C2)</f>
        <v/>
      </c>
      <c r="AR172">
        <f>(M172-Schema_v5!$C4)/(Schema_v5!$C5-Schema_v5!$C4)</f>
        <v/>
      </c>
      <c r="AS172">
        <f>N172/Schema_v5!$C6</f>
        <v/>
      </c>
      <c r="AT172">
        <f>O172/Schema_v5!$C7</f>
        <v/>
      </c>
      <c r="AU172">
        <f>P172/Schema_v5!$C8</f>
        <v/>
      </c>
      <c r="AV172">
        <f>IF(Schema_v5!$C9=0,0,AH172/Schema_v5!$C9)</f>
        <v/>
      </c>
      <c r="AW172">
        <f>IF(Schema_v5!$C10=0,0,AE172/Schema_v5!$C10)</f>
        <v/>
      </c>
      <c r="AX172">
        <f>(W172-Schema_v5!$C11)/(Schema_v5!$C12-Schema_v5!$C11)</f>
        <v/>
      </c>
      <c r="AY172">
        <f>(X172-Schema_v5!$C13)/(Schema_v5!$C14-Schema_v5!$C13)</f>
        <v/>
      </c>
    </row>
    <row r="173">
      <c r="A173" s="3" t="inlineStr">
        <is>
          <t>Q35_B</t>
        </is>
      </c>
      <c r="B173" s="3" t="n">
        <v>35</v>
      </c>
      <c r="C173" s="3" t="n">
        <v>35</v>
      </c>
      <c r="D173" s="3" t="inlineStr">
        <is>
          <t>Core</t>
        </is>
      </c>
      <c r="E173" s="3" t="n">
        <v>1.15</v>
      </c>
      <c r="F173" s="3" t="inlineStr">
        <is>
          <t>CommitmentPace</t>
        </is>
      </c>
      <c r="G173" s="3" t="inlineStr">
        <is>
          <t>IntentAlignment</t>
        </is>
      </c>
      <c r="H173" s="3" t="inlineStr"/>
      <c r="I173" s="3" t="inlineStr">
        <is>
          <t>B</t>
        </is>
      </c>
      <c r="J173" s="3" t="inlineStr">
        <is>
          <t>B</t>
        </is>
      </c>
      <c r="K173" s="3" t="inlineStr">
        <is>
          <t>I feel awful. I start apologizing right away, even if I don't fully understand it yet.</t>
        </is>
      </c>
      <c r="L173" s="3" t="n">
        <v>6</v>
      </c>
      <c r="M173" s="3" t="n">
        <v>7</v>
      </c>
      <c r="N173" s="3" t="n">
        <v>4</v>
      </c>
      <c r="O173" s="3" t="n">
        <v>4</v>
      </c>
      <c r="P173" s="3" t="n">
        <v>2</v>
      </c>
      <c r="Q173" s="3" t="inlineStr">
        <is>
          <t>Phantom Seeker</t>
        </is>
      </c>
      <c r="R173" s="3" t="n">
        <v>10</v>
      </c>
      <c r="S173" s="3" t="inlineStr"/>
      <c r="T173" s="3" t="inlineStr"/>
      <c r="U173" s="3" t="n">
        <v>0</v>
      </c>
      <c r="V173" s="3" t="inlineStr">
        <is>
          <t>masc:-0.2;fem:1.5</t>
        </is>
      </c>
      <c r="W173" s="3" t="n">
        <v>-0.2</v>
      </c>
      <c r="X173" s="3" t="n">
        <v>1.5</v>
      </c>
      <c r="Y173" s="3" t="inlineStr">
        <is>
          <t>COMM_Emotional</t>
        </is>
      </c>
      <c r="Z173" s="3" t="inlineStr">
        <is>
          <t>REG_SelfSoother</t>
        </is>
      </c>
      <c r="AA173" s="3" t="inlineStr">
        <is>
          <t>LANG_Touch</t>
        </is>
      </c>
      <c r="AB173" s="3" t="inlineStr">
        <is>
          <t>Vulnerability_Loop</t>
        </is>
      </c>
      <c r="AC173" s="3" t="inlineStr">
        <is>
          <t>Vulnerability_Loop</t>
        </is>
      </c>
      <c r="AD173" s="3" t="inlineStr"/>
      <c r="AE173" s="3" t="n">
        <v>5</v>
      </c>
      <c r="AF173" s="3" t="inlineStr">
        <is>
          <t>guilt-fueled repair attempt</t>
        </is>
      </c>
      <c r="AG173" s="3" t="inlineStr">
        <is>
          <t>quick apologizer</t>
        </is>
      </c>
      <c r="AH173" s="3" t="n">
        <v>0.2</v>
      </c>
      <c r="AI173" s="3" t="inlineStr">
        <is>
          <t>yes</t>
        </is>
      </c>
      <c r="AJ173" s="3" t="inlineStr">
        <is>
          <t>no</t>
        </is>
      </c>
      <c r="AK173" s="3" t="inlineStr">
        <is>
          <t>yes</t>
        </is>
      </c>
      <c r="AL173" s="3" t="inlineStr">
        <is>
          <t>yes</t>
        </is>
      </c>
      <c r="AM173" s="3" t="inlineStr"/>
      <c r="AN173" s="3" t="inlineStr"/>
      <c r="AO173" s="3" t="inlineStr"/>
      <c r="AP173" s="3" t="inlineStr">
        <is>
          <t>v3_2026-03-19</t>
        </is>
      </c>
      <c r="AQ173">
        <f>(L173-Schema_v5!$C2)/(Schema_v5!$C3-Schema_v5!$C2)</f>
        <v/>
      </c>
      <c r="AR173">
        <f>(M173-Schema_v5!$C4)/(Schema_v5!$C5-Schema_v5!$C4)</f>
        <v/>
      </c>
      <c r="AS173">
        <f>N173/Schema_v5!$C6</f>
        <v/>
      </c>
      <c r="AT173">
        <f>O173/Schema_v5!$C7</f>
        <v/>
      </c>
      <c r="AU173">
        <f>P173/Schema_v5!$C8</f>
        <v/>
      </c>
      <c r="AV173">
        <f>IF(Schema_v5!$C9=0,0,AH173/Schema_v5!$C9)</f>
        <v/>
      </c>
      <c r="AW173">
        <f>IF(Schema_v5!$C10=0,0,AE173/Schema_v5!$C10)</f>
        <v/>
      </c>
      <c r="AX173">
        <f>(W173-Schema_v5!$C11)/(Schema_v5!$C12-Schema_v5!$C11)</f>
        <v/>
      </c>
      <c r="AY173">
        <f>(X173-Schema_v5!$C13)/(Schema_v5!$C14-Schema_v5!$C13)</f>
        <v/>
      </c>
    </row>
    <row r="174">
      <c r="A174" s="3" t="inlineStr">
        <is>
          <t>Q35_C</t>
        </is>
      </c>
      <c r="B174" s="3" t="n">
        <v>35</v>
      </c>
      <c r="C174" s="3" t="n">
        <v>35</v>
      </c>
      <c r="D174" s="3" t="inlineStr">
        <is>
          <t>Core</t>
        </is>
      </c>
      <c r="E174" s="3" t="n">
        <v>1.15</v>
      </c>
      <c r="F174" s="3" t="inlineStr">
        <is>
          <t>CommitmentPace</t>
        </is>
      </c>
      <c r="G174" s="3" t="inlineStr">
        <is>
          <t>IntentAlignment</t>
        </is>
      </c>
      <c r="H174" s="3" t="inlineStr"/>
      <c r="I174" s="3" t="inlineStr">
        <is>
          <t>C</t>
        </is>
      </c>
      <c r="J174" s="3" t="inlineStr">
        <is>
          <t>C</t>
        </is>
      </c>
      <c r="K174" s="3" t="inlineStr">
        <is>
          <t>I get defensive at first. Then I think about it later, sometimes for way too long.</t>
        </is>
      </c>
      <c r="L174" s="3" t="n">
        <v>6</v>
      </c>
      <c r="M174" s="3" t="n">
        <v>7</v>
      </c>
      <c r="N174" s="3" t="n">
        <v>4</v>
      </c>
      <c r="O174" s="3" t="n">
        <v>6</v>
      </c>
      <c r="P174" s="3" t="n">
        <v>4</v>
      </c>
      <c r="Q174" s="3" t="inlineStr">
        <is>
          <t>Analyzer</t>
        </is>
      </c>
      <c r="R174" s="3" t="n">
        <v>2</v>
      </c>
      <c r="S174" s="3" t="inlineStr"/>
      <c r="T174" s="3" t="inlineStr"/>
      <c r="U174" s="3" t="n">
        <v>0</v>
      </c>
      <c r="V174" s="3" t="inlineStr">
        <is>
          <t>masc:1.4;fem:0.1</t>
        </is>
      </c>
      <c r="W174" s="3" t="n">
        <v>1.4</v>
      </c>
      <c r="X174" s="3" t="n">
        <v>0.1</v>
      </c>
      <c r="Y174" s="3" t="inlineStr">
        <is>
          <t>COMM_Logical</t>
        </is>
      </c>
      <c r="Z174" s="3" t="inlineStr">
        <is>
          <t>REG_SelfSoother</t>
        </is>
      </c>
      <c r="AA174" s="3" t="inlineStr">
        <is>
          <t>LANG_Service</t>
        </is>
      </c>
      <c r="AB174" s="3" t="inlineStr">
        <is>
          <t>Commitment_Ambiguity</t>
        </is>
      </c>
      <c r="AC174" s="3" t="inlineStr">
        <is>
          <t>Commitment_Ambiguity</t>
        </is>
      </c>
      <c r="AD174" s="3" t="inlineStr"/>
      <c r="AE174" s="3" t="n">
        <v>5</v>
      </c>
      <c r="AF174" s="3" t="inlineStr">
        <is>
          <t>delayed accountability</t>
        </is>
      </c>
      <c r="AG174" s="3" t="inlineStr">
        <is>
          <t>defensive processor</t>
        </is>
      </c>
      <c r="AH174" s="3" t="n">
        <v>0</v>
      </c>
      <c r="AI174" s="3" t="inlineStr">
        <is>
          <t>yes</t>
        </is>
      </c>
      <c r="AJ174" s="3" t="inlineStr">
        <is>
          <t>no</t>
        </is>
      </c>
      <c r="AK174" s="3" t="inlineStr">
        <is>
          <t>yes</t>
        </is>
      </c>
      <c r="AL174" s="3" t="inlineStr">
        <is>
          <t>yes</t>
        </is>
      </c>
      <c r="AM174" s="3" t="inlineStr"/>
      <c r="AN174" s="3" t="inlineStr"/>
      <c r="AO174" s="3" t="inlineStr"/>
      <c r="AP174" s="3" t="inlineStr">
        <is>
          <t>v3_2026-03-19</t>
        </is>
      </c>
      <c r="AQ174">
        <f>(L174-Schema_v5!$C2)/(Schema_v5!$C3-Schema_v5!$C2)</f>
        <v/>
      </c>
      <c r="AR174">
        <f>(M174-Schema_v5!$C4)/(Schema_v5!$C5-Schema_v5!$C4)</f>
        <v/>
      </c>
      <c r="AS174">
        <f>N174/Schema_v5!$C6</f>
        <v/>
      </c>
      <c r="AT174">
        <f>O174/Schema_v5!$C7</f>
        <v/>
      </c>
      <c r="AU174">
        <f>P174/Schema_v5!$C8</f>
        <v/>
      </c>
      <c r="AV174">
        <f>IF(Schema_v5!$C9=0,0,AH174/Schema_v5!$C9)</f>
        <v/>
      </c>
      <c r="AW174">
        <f>IF(Schema_v5!$C10=0,0,AE174/Schema_v5!$C10)</f>
        <v/>
      </c>
      <c r="AX174">
        <f>(W174-Schema_v5!$C11)/(Schema_v5!$C12-Schema_v5!$C11)</f>
        <v/>
      </c>
      <c r="AY174">
        <f>(X174-Schema_v5!$C13)/(Schema_v5!$C14-Schema_v5!$C13)</f>
        <v/>
      </c>
    </row>
    <row r="175">
      <c r="A175" s="3" t="inlineStr">
        <is>
          <t>Q35_D</t>
        </is>
      </c>
      <c r="B175" s="3" t="n">
        <v>35</v>
      </c>
      <c r="C175" s="3" t="n">
        <v>35</v>
      </c>
      <c r="D175" s="3" t="inlineStr">
        <is>
          <t>Core</t>
        </is>
      </c>
      <c r="E175" s="3" t="n">
        <v>1.15</v>
      </c>
      <c r="F175" s="3" t="inlineStr">
        <is>
          <t>CommitmentPace</t>
        </is>
      </c>
      <c r="G175" s="3" t="inlineStr">
        <is>
          <t>IntentAlignment</t>
        </is>
      </c>
      <c r="H175" s="3" t="inlineStr"/>
      <c r="I175" s="3" t="inlineStr">
        <is>
          <t>D</t>
        </is>
      </c>
      <c r="J175" s="3" t="inlineStr">
        <is>
          <t>D</t>
        </is>
      </c>
      <c r="K175" s="3" t="inlineStr">
        <is>
          <t>I try to fix it immediately, ask what they need, how I can make it right. I don't want them sitting in pain.</t>
        </is>
      </c>
      <c r="L175" s="3" t="n">
        <v>9</v>
      </c>
      <c r="M175" s="3" t="n">
        <v>9</v>
      </c>
      <c r="N175" s="3" t="n">
        <v>10</v>
      </c>
      <c r="O175" s="3" t="n">
        <v>10</v>
      </c>
      <c r="P175" s="3" t="n">
        <v>10</v>
      </c>
      <c r="Q175" s="3" t="inlineStr">
        <is>
          <t>Fixer</t>
        </is>
      </c>
      <c r="R175" s="3" t="n">
        <v>5</v>
      </c>
      <c r="S175" s="3" t="inlineStr"/>
      <c r="T175" s="3" t="inlineStr"/>
      <c r="U175" s="3" t="n">
        <v>0</v>
      </c>
      <c r="V175" s="3" t="inlineStr">
        <is>
          <t>masc:-0.4;fem:2.0</t>
        </is>
      </c>
      <c r="W175" s="3" t="n">
        <v>-0.4</v>
      </c>
      <c r="X175" s="3" t="n">
        <v>2</v>
      </c>
      <c r="Y175" s="3" t="inlineStr">
        <is>
          <t>COMM_Emotional</t>
        </is>
      </c>
      <c r="Z175" s="3" t="inlineStr">
        <is>
          <t>REG_CoRegulator</t>
        </is>
      </c>
      <c r="AA175" s="3" t="inlineStr">
        <is>
          <t>LANG_Service</t>
        </is>
      </c>
      <c r="AB175" s="3" t="inlineStr"/>
      <c r="AC175" s="3" t="inlineStr"/>
      <c r="AD175" s="3" t="inlineStr"/>
      <c r="AE175" s="3" t="n">
        <v>0</v>
      </c>
      <c r="AF175" s="3" t="inlineStr">
        <is>
          <t>urgent repair mode</t>
        </is>
      </c>
      <c r="AG175" s="3" t="inlineStr">
        <is>
          <t>immediate fixer</t>
        </is>
      </c>
      <c r="AH175" s="3" t="n">
        <v>0</v>
      </c>
      <c r="AI175" s="3" t="inlineStr">
        <is>
          <t>no</t>
        </is>
      </c>
      <c r="AJ175" s="3" t="inlineStr">
        <is>
          <t>no</t>
        </is>
      </c>
      <c r="AK175" s="3" t="inlineStr">
        <is>
          <t>yes</t>
        </is>
      </c>
      <c r="AL175" s="3" t="inlineStr">
        <is>
          <t>yes</t>
        </is>
      </c>
      <c r="AM175" s="3" t="inlineStr"/>
      <c r="AN175" s="3" t="inlineStr"/>
      <c r="AO175" s="3" t="inlineStr"/>
      <c r="AP175" s="3" t="inlineStr">
        <is>
          <t>v3_2026-03-19</t>
        </is>
      </c>
      <c r="AQ175">
        <f>(L175-Schema_v5!$C2)/(Schema_v5!$C3-Schema_v5!$C2)</f>
        <v/>
      </c>
      <c r="AR175">
        <f>(M175-Schema_v5!$C4)/(Schema_v5!$C5-Schema_v5!$C4)</f>
        <v/>
      </c>
      <c r="AS175">
        <f>N175/Schema_v5!$C6</f>
        <v/>
      </c>
      <c r="AT175">
        <f>O175/Schema_v5!$C7</f>
        <v/>
      </c>
      <c r="AU175">
        <f>P175/Schema_v5!$C8</f>
        <v/>
      </c>
      <c r="AV175">
        <f>IF(Schema_v5!$C9=0,0,AH175/Schema_v5!$C9)</f>
        <v/>
      </c>
      <c r="AW175">
        <f>IF(Schema_v5!$C10=0,0,AE175/Schema_v5!$C10)</f>
        <v/>
      </c>
      <c r="AX175">
        <f>(W175-Schema_v5!$C11)/(Schema_v5!$C12-Schema_v5!$C11)</f>
        <v/>
      </c>
      <c r="AY175">
        <f>(X175-Schema_v5!$C13)/(Schema_v5!$C14-Schema_v5!$C13)</f>
        <v/>
      </c>
    </row>
    <row r="176">
      <c r="A176" s="3" t="inlineStr">
        <is>
          <t>Q35_E</t>
        </is>
      </c>
      <c r="B176" s="3" t="n">
        <v>35</v>
      </c>
      <c r="C176" s="3" t="n">
        <v>35</v>
      </c>
      <c r="D176" s="3" t="inlineStr">
        <is>
          <t>Core</t>
        </is>
      </c>
      <c r="E176" s="3" t="n">
        <v>1.15</v>
      </c>
      <c r="F176" s="3" t="inlineStr">
        <is>
          <t>CommitmentPace</t>
        </is>
      </c>
      <c r="G176" s="3" t="inlineStr">
        <is>
          <t>IntentAlignment</t>
        </is>
      </c>
      <c r="H176" s="3" t="inlineStr"/>
      <c r="I176" s="3" t="inlineStr">
        <is>
          <t>E</t>
        </is>
      </c>
      <c r="J176" s="3" t="inlineStr">
        <is>
          <t>E</t>
        </is>
      </c>
      <c r="K176" s="3" t="inlineStr">
        <is>
          <t>I make a joke or shift the vibe. I hate heavy stuff, so I try to steer it back to calm</t>
        </is>
      </c>
      <c r="L176" s="3" t="n">
        <v>5</v>
      </c>
      <c r="M176" s="3" t="n">
        <v>6</v>
      </c>
      <c r="N176" s="3" t="n">
        <v>2</v>
      </c>
      <c r="O176" s="3" t="n">
        <v>2</v>
      </c>
      <c r="P176" s="3" t="n">
        <v>0</v>
      </c>
      <c r="Q176" s="3" t="inlineStr">
        <is>
          <t>Performer</t>
        </is>
      </c>
      <c r="R176" s="3" t="n">
        <v>7</v>
      </c>
      <c r="S176" s="3" t="inlineStr"/>
      <c r="T176" s="3" t="inlineStr"/>
      <c r="U176" s="3" t="n">
        <v>0</v>
      </c>
      <c r="V176" s="3" t="inlineStr">
        <is>
          <t>masc:0.3;fem:0.5</t>
        </is>
      </c>
      <c r="W176" s="3" t="n">
        <v>0.3</v>
      </c>
      <c r="X176" s="3" t="n">
        <v>0.5</v>
      </c>
      <c r="Y176" s="3" t="inlineStr">
        <is>
          <t>COMM_Indirect</t>
        </is>
      </c>
      <c r="Z176" s="3" t="inlineStr">
        <is>
          <t>REG_Distractor</t>
        </is>
      </c>
      <c r="AA176" s="3" t="inlineStr">
        <is>
          <t>LANG_Gifts</t>
        </is>
      </c>
      <c r="AB176" s="3" t="inlineStr">
        <is>
          <t>Humor_Shield</t>
        </is>
      </c>
      <c r="AC176" s="3" t="inlineStr">
        <is>
          <t>Humor_Shield</t>
        </is>
      </c>
      <c r="AD176" s="3" t="inlineStr"/>
      <c r="AE176" s="3" t="n">
        <v>3</v>
      </c>
      <c r="AF176" s="3" t="inlineStr">
        <is>
          <t>emotional re-route reflex</t>
        </is>
      </c>
      <c r="AG176" s="3" t="inlineStr">
        <is>
          <t>mood deflector</t>
        </is>
      </c>
      <c r="AH176" s="3" t="n">
        <v>0.2</v>
      </c>
      <c r="AI176" s="3" t="inlineStr">
        <is>
          <t>yes</t>
        </is>
      </c>
      <c r="AJ176" s="3" t="inlineStr">
        <is>
          <t>no</t>
        </is>
      </c>
      <c r="AK176" s="3" t="inlineStr">
        <is>
          <t>yes</t>
        </is>
      </c>
      <c r="AL176" s="3" t="inlineStr">
        <is>
          <t>yes</t>
        </is>
      </c>
      <c r="AM176" s="3" t="inlineStr"/>
      <c r="AN176" s="3" t="inlineStr"/>
      <c r="AO176" s="3" t="inlineStr"/>
      <c r="AP176" s="3" t="inlineStr">
        <is>
          <t>v3_2026-03-19</t>
        </is>
      </c>
      <c r="AQ176">
        <f>(L176-Schema_v5!$C2)/(Schema_v5!$C3-Schema_v5!$C2)</f>
        <v/>
      </c>
      <c r="AR176">
        <f>(M176-Schema_v5!$C4)/(Schema_v5!$C5-Schema_v5!$C4)</f>
        <v/>
      </c>
      <c r="AS176">
        <f>N176/Schema_v5!$C6</f>
        <v/>
      </c>
      <c r="AT176">
        <f>O176/Schema_v5!$C7</f>
        <v/>
      </c>
      <c r="AU176">
        <f>P176/Schema_v5!$C8</f>
        <v/>
      </c>
      <c r="AV176">
        <f>IF(Schema_v5!$C9=0,0,AH176/Schema_v5!$C9)</f>
        <v/>
      </c>
      <c r="AW176">
        <f>IF(Schema_v5!$C10=0,0,AE176/Schema_v5!$C10)</f>
        <v/>
      </c>
      <c r="AX176">
        <f>(W176-Schema_v5!$C11)/(Schema_v5!$C12-Schema_v5!$C11)</f>
        <v/>
      </c>
      <c r="AY176">
        <f>(X176-Schema_v5!$C13)/(Schema_v5!$C14-Schema_v5!$C13)</f>
        <v/>
      </c>
    </row>
    <row r="177">
      <c r="A177" s="3" t="inlineStr">
        <is>
          <t>Q36_A</t>
        </is>
      </c>
      <c r="B177" s="3" t="n">
        <v>36</v>
      </c>
      <c r="C177" s="3" t="n">
        <v>36</v>
      </c>
      <c r="D177" s="3" t="inlineStr">
        <is>
          <t>Core</t>
        </is>
      </c>
      <c r="E177" s="3" t="n">
        <v>1.15</v>
      </c>
      <c r="F177" s="3" t="inlineStr">
        <is>
          <t>CommitmentPace</t>
        </is>
      </c>
      <c r="G177" s="3" t="inlineStr">
        <is>
          <t>IntentAlignment</t>
        </is>
      </c>
      <c r="H177" s="3" t="inlineStr">
        <is>
          <t>You were consistent, showed up, and stayed real-but they still chose someone else. What's your honest reaction?</t>
        </is>
      </c>
      <c r="I177" s="3" t="inlineStr">
        <is>
          <t>A</t>
        </is>
      </c>
      <c r="J177" s="3" t="inlineStr">
        <is>
          <t>A</t>
        </is>
      </c>
      <c r="K177" s="3" t="inlineStr">
        <is>
          <t>I start comparing myself to the person they picked, quietly trying to figure out what they had that I didn't.</t>
        </is>
      </c>
      <c r="L177" s="3" t="n">
        <v>5</v>
      </c>
      <c r="M177" s="3" t="n">
        <v>6</v>
      </c>
      <c r="N177" s="3" t="n">
        <v>4</v>
      </c>
      <c r="O177" s="3" t="n">
        <v>4</v>
      </c>
      <c r="P177" s="3" t="n">
        <v>2</v>
      </c>
      <c r="Q177" s="3" t="inlineStr">
        <is>
          <t>Analyzer</t>
        </is>
      </c>
      <c r="R177" s="3" t="n">
        <v>2</v>
      </c>
      <c r="S177" s="3" t="inlineStr"/>
      <c r="T177" s="3" t="inlineStr"/>
      <c r="U177" s="3" t="n">
        <v>0</v>
      </c>
      <c r="V177" s="3" t="inlineStr">
        <is>
          <t>masc:1.4;fem:0.1</t>
        </is>
      </c>
      <c r="W177" s="3" t="n">
        <v>1.4</v>
      </c>
      <c r="X177" s="3" t="n">
        <v>0.1</v>
      </c>
      <c r="Y177" s="3" t="inlineStr">
        <is>
          <t>COMM_Logical</t>
        </is>
      </c>
      <c r="Z177" s="3" t="inlineStr">
        <is>
          <t>REG_SelfSoother</t>
        </is>
      </c>
      <c r="AA177" s="3" t="inlineStr">
        <is>
          <t>LANG_Service</t>
        </is>
      </c>
      <c r="AB177" s="3" t="inlineStr">
        <is>
          <t>Vulnerability_Loop</t>
        </is>
      </c>
      <c r="AC177" s="3" t="inlineStr">
        <is>
          <t>Vulnerability_Loop</t>
        </is>
      </c>
      <c r="AD177" s="3" t="inlineStr"/>
      <c r="AE177" s="3" t="n">
        <v>5</v>
      </c>
      <c r="AF177" s="3" t="inlineStr">
        <is>
          <t>post-rejection audit</t>
        </is>
      </c>
      <c r="AG177" s="3" t="inlineStr">
        <is>
          <t>comparison seeker</t>
        </is>
      </c>
      <c r="AH177" s="3" t="n">
        <v>0</v>
      </c>
      <c r="AI177" s="3" t="inlineStr">
        <is>
          <t>yes</t>
        </is>
      </c>
      <c r="AJ177" s="3" t="inlineStr">
        <is>
          <t>no</t>
        </is>
      </c>
      <c r="AK177" s="3" t="inlineStr">
        <is>
          <t>yes</t>
        </is>
      </c>
      <c r="AL177" s="3" t="inlineStr">
        <is>
          <t>yes</t>
        </is>
      </c>
      <c r="AM177" s="3" t="inlineStr"/>
      <c r="AN177" s="3" t="inlineStr"/>
      <c r="AO177" s="3" t="inlineStr"/>
      <c r="AP177" s="3" t="inlineStr">
        <is>
          <t>v3_2026-03-19</t>
        </is>
      </c>
      <c r="AQ177">
        <f>(L177-Schema_v5!$C2)/(Schema_v5!$C3-Schema_v5!$C2)</f>
        <v/>
      </c>
      <c r="AR177">
        <f>(M177-Schema_v5!$C4)/(Schema_v5!$C5-Schema_v5!$C4)</f>
        <v/>
      </c>
      <c r="AS177">
        <f>N177/Schema_v5!$C6</f>
        <v/>
      </c>
      <c r="AT177">
        <f>O177/Schema_v5!$C7</f>
        <v/>
      </c>
      <c r="AU177">
        <f>P177/Schema_v5!$C8</f>
        <v/>
      </c>
      <c r="AV177">
        <f>IF(Schema_v5!$C9=0,0,AH177/Schema_v5!$C9)</f>
        <v/>
      </c>
      <c r="AW177">
        <f>IF(Schema_v5!$C10=0,0,AE177/Schema_v5!$C10)</f>
        <v/>
      </c>
      <c r="AX177">
        <f>(W177-Schema_v5!$C11)/(Schema_v5!$C12-Schema_v5!$C11)</f>
        <v/>
      </c>
      <c r="AY177">
        <f>(X177-Schema_v5!$C13)/(Schema_v5!$C14-Schema_v5!$C13)</f>
        <v/>
      </c>
    </row>
    <row r="178">
      <c r="A178" s="3" t="inlineStr">
        <is>
          <t>Q36_B</t>
        </is>
      </c>
      <c r="B178" s="3" t="n">
        <v>36</v>
      </c>
      <c r="C178" s="3" t="n">
        <v>36</v>
      </c>
      <c r="D178" s="3" t="inlineStr">
        <is>
          <t>Core</t>
        </is>
      </c>
      <c r="E178" s="3" t="n">
        <v>1.15</v>
      </c>
      <c r="F178" s="3" t="inlineStr">
        <is>
          <t>CommitmentPace</t>
        </is>
      </c>
      <c r="G178" s="3" t="inlineStr">
        <is>
          <t>IntentAlignment</t>
        </is>
      </c>
      <c r="H178" s="3" t="inlineStr"/>
      <c r="I178" s="3" t="inlineStr">
        <is>
          <t>B</t>
        </is>
      </c>
      <c r="J178" s="3" t="inlineStr">
        <is>
          <t>B</t>
        </is>
      </c>
      <c r="K178" s="3" t="inlineStr">
        <is>
          <t>I shut down emotionally. If that wasn't enough, then nothing will be.</t>
        </is>
      </c>
      <c r="L178" s="3" t="n">
        <v>4</v>
      </c>
      <c r="M178" s="3" t="n">
        <v>5</v>
      </c>
      <c r="N178" s="3" t="n">
        <v>0</v>
      </c>
      <c r="O178" s="3" t="n">
        <v>0</v>
      </c>
      <c r="P178" s="3" t="n">
        <v>0</v>
      </c>
      <c r="Q178" s="3" t="inlineStr">
        <is>
          <t>Icebox</t>
        </is>
      </c>
      <c r="R178" s="3" t="n">
        <v>1</v>
      </c>
      <c r="S178" s="3" t="inlineStr"/>
      <c r="T178" s="3" t="inlineStr"/>
      <c r="U178" s="3" t="n">
        <v>0</v>
      </c>
      <c r="V178" s="3" t="inlineStr">
        <is>
          <t>masc:1.8;fem:-1.6</t>
        </is>
      </c>
      <c r="W178" s="3" t="n">
        <v>1.8</v>
      </c>
      <c r="X178" s="3" t="n">
        <v>-1.6</v>
      </c>
      <c r="Y178" s="3" t="inlineStr">
        <is>
          <t>COMM_Avoidant</t>
        </is>
      </c>
      <c r="Z178" s="3" t="inlineStr">
        <is>
          <t>REG_Suppressor</t>
        </is>
      </c>
      <c r="AA178" s="3" t="inlineStr">
        <is>
          <t>LANG_Time</t>
        </is>
      </c>
      <c r="AB178" s="3" t="inlineStr">
        <is>
          <t>Vulnerability_Loop , Pursuer_Distancer</t>
        </is>
      </c>
      <c r="AC178" s="3" t="inlineStr">
        <is>
          <t>Vulnerability_Loop</t>
        </is>
      </c>
      <c r="AD178" s="3" t="inlineStr">
        <is>
          <t>Pursuer_Distancer</t>
        </is>
      </c>
      <c r="AE178" s="3" t="n">
        <v>11</v>
      </c>
      <c r="AF178" s="3" t="inlineStr">
        <is>
          <t>proof of unlovability</t>
        </is>
      </c>
      <c r="AG178" s="3" t="inlineStr">
        <is>
          <t>emotional closer</t>
        </is>
      </c>
      <c r="AH178" s="3" t="n">
        <v>0</v>
      </c>
      <c r="AI178" s="3" t="inlineStr">
        <is>
          <t>yes</t>
        </is>
      </c>
      <c r="AJ178" s="3" t="inlineStr">
        <is>
          <t>no</t>
        </is>
      </c>
      <c r="AK178" s="3" t="inlineStr">
        <is>
          <t>yes</t>
        </is>
      </c>
      <c r="AL178" s="3" t="inlineStr">
        <is>
          <t>yes</t>
        </is>
      </c>
      <c r="AM178" s="3" t="inlineStr"/>
      <c r="AN178" s="3" t="inlineStr"/>
      <c r="AO178" s="3" t="inlineStr"/>
      <c r="AP178" s="3" t="inlineStr">
        <is>
          <t>v3_2026-03-19</t>
        </is>
      </c>
      <c r="AQ178">
        <f>(L178-Schema_v5!$C2)/(Schema_v5!$C3-Schema_v5!$C2)</f>
        <v/>
      </c>
      <c r="AR178">
        <f>(M178-Schema_v5!$C4)/(Schema_v5!$C5-Schema_v5!$C4)</f>
        <v/>
      </c>
      <c r="AS178">
        <f>N178/Schema_v5!$C6</f>
        <v/>
      </c>
      <c r="AT178">
        <f>O178/Schema_v5!$C7</f>
        <v/>
      </c>
      <c r="AU178">
        <f>P178/Schema_v5!$C8</f>
        <v/>
      </c>
      <c r="AV178">
        <f>IF(Schema_v5!$C9=0,0,AH178/Schema_v5!$C9)</f>
        <v/>
      </c>
      <c r="AW178">
        <f>IF(Schema_v5!$C10=0,0,AE178/Schema_v5!$C10)</f>
        <v/>
      </c>
      <c r="AX178">
        <f>(W178-Schema_v5!$C11)/(Schema_v5!$C12-Schema_v5!$C11)</f>
        <v/>
      </c>
      <c r="AY178">
        <f>(X178-Schema_v5!$C13)/(Schema_v5!$C14-Schema_v5!$C13)</f>
        <v/>
      </c>
    </row>
    <row r="179">
      <c r="A179" s="3" t="inlineStr">
        <is>
          <t>Q36_C</t>
        </is>
      </c>
      <c r="B179" s="3" t="n">
        <v>36</v>
      </c>
      <c r="C179" s="3" t="n">
        <v>36</v>
      </c>
      <c r="D179" s="3" t="inlineStr">
        <is>
          <t>Core</t>
        </is>
      </c>
      <c r="E179" s="3" t="n">
        <v>1.15</v>
      </c>
      <c r="F179" s="3" t="inlineStr">
        <is>
          <t>CommitmentPace</t>
        </is>
      </c>
      <c r="G179" s="3" t="inlineStr">
        <is>
          <t>IntentAlignment</t>
        </is>
      </c>
      <c r="H179" s="3" t="inlineStr"/>
      <c r="I179" s="3" t="inlineStr">
        <is>
          <t>C</t>
        </is>
      </c>
      <c r="J179" s="3" t="inlineStr">
        <is>
          <t>C</t>
        </is>
      </c>
      <c r="K179" s="3" t="inlineStr">
        <is>
          <t>I act like I'm fine, but I replay everything. I wonder if I was too much or not enough.</t>
        </is>
      </c>
      <c r="L179" s="3" t="n">
        <v>5</v>
      </c>
      <c r="M179" s="3" t="n">
        <v>6</v>
      </c>
      <c r="N179" s="3" t="n">
        <v>2</v>
      </c>
      <c r="O179" s="3" t="n">
        <v>4</v>
      </c>
      <c r="P179" s="3" t="n">
        <v>2</v>
      </c>
      <c r="Q179" s="3" t="inlineStr">
        <is>
          <t>Phantom Seeker</t>
        </is>
      </c>
      <c r="R179" s="3" t="n">
        <v>10</v>
      </c>
      <c r="S179" s="3" t="inlineStr"/>
      <c r="T179" s="3" t="inlineStr"/>
      <c r="U179" s="3" t="n">
        <v>0</v>
      </c>
      <c r="V179" s="3" t="inlineStr">
        <is>
          <t>masc:-0.2;fem:1.5</t>
        </is>
      </c>
      <c r="W179" s="3" t="n">
        <v>-0.2</v>
      </c>
      <c r="X179" s="3" t="n">
        <v>1.5</v>
      </c>
      <c r="Y179" s="3" t="inlineStr">
        <is>
          <t>COMM_Emotional</t>
        </is>
      </c>
      <c r="Z179" s="3" t="inlineStr">
        <is>
          <t>REG_SelfSoother</t>
        </is>
      </c>
      <c r="AA179" s="3" t="inlineStr">
        <is>
          <t>LANG_Touch</t>
        </is>
      </c>
      <c r="AB179" s="3" t="inlineStr">
        <is>
          <t>Vulnerability_Loop</t>
        </is>
      </c>
      <c r="AC179" s="3" t="inlineStr">
        <is>
          <t>Vulnerability_Loop</t>
        </is>
      </c>
      <c r="AD179" s="3" t="inlineStr"/>
      <c r="AE179" s="3" t="n">
        <v>5</v>
      </c>
      <c r="AF179" s="3" t="inlineStr">
        <is>
          <t>internal replay loop</t>
        </is>
      </c>
      <c r="AG179" s="3" t="inlineStr">
        <is>
          <t>self-doubter</t>
        </is>
      </c>
      <c r="AH179" s="3" t="n">
        <v>0</v>
      </c>
      <c r="AI179" s="3" t="inlineStr">
        <is>
          <t>yes</t>
        </is>
      </c>
      <c r="AJ179" s="3" t="inlineStr">
        <is>
          <t>no</t>
        </is>
      </c>
      <c r="AK179" s="3" t="inlineStr">
        <is>
          <t>yes</t>
        </is>
      </c>
      <c r="AL179" s="3" t="inlineStr">
        <is>
          <t>yes</t>
        </is>
      </c>
      <c r="AM179" s="3" t="inlineStr"/>
      <c r="AN179" s="3" t="inlineStr"/>
      <c r="AO179" s="3" t="inlineStr"/>
      <c r="AP179" s="3" t="inlineStr">
        <is>
          <t>v3_2026-03-19</t>
        </is>
      </c>
      <c r="AQ179">
        <f>(L179-Schema_v5!$C2)/(Schema_v5!$C3-Schema_v5!$C2)</f>
        <v/>
      </c>
      <c r="AR179">
        <f>(M179-Schema_v5!$C4)/(Schema_v5!$C5-Schema_v5!$C4)</f>
        <v/>
      </c>
      <c r="AS179">
        <f>N179/Schema_v5!$C6</f>
        <v/>
      </c>
      <c r="AT179">
        <f>O179/Schema_v5!$C7</f>
        <v/>
      </c>
      <c r="AU179">
        <f>P179/Schema_v5!$C8</f>
        <v/>
      </c>
      <c r="AV179">
        <f>IF(Schema_v5!$C9=0,0,AH179/Schema_v5!$C9)</f>
        <v/>
      </c>
      <c r="AW179">
        <f>IF(Schema_v5!$C10=0,0,AE179/Schema_v5!$C10)</f>
        <v/>
      </c>
      <c r="AX179">
        <f>(W179-Schema_v5!$C11)/(Schema_v5!$C12-Schema_v5!$C11)</f>
        <v/>
      </c>
      <c r="AY179">
        <f>(X179-Schema_v5!$C13)/(Schema_v5!$C14-Schema_v5!$C13)</f>
        <v/>
      </c>
    </row>
    <row r="180">
      <c r="A180" s="3" t="inlineStr">
        <is>
          <t>Q36_D</t>
        </is>
      </c>
      <c r="B180" s="3" t="n">
        <v>36</v>
      </c>
      <c r="C180" s="3" t="n">
        <v>36</v>
      </c>
      <c r="D180" s="3" t="inlineStr">
        <is>
          <t>Core</t>
        </is>
      </c>
      <c r="E180" s="3" t="n">
        <v>1.15</v>
      </c>
      <c r="F180" s="3" t="inlineStr">
        <is>
          <t>CommitmentPace</t>
        </is>
      </c>
      <c r="G180" s="3" t="inlineStr">
        <is>
          <t>IntentAlignment</t>
        </is>
      </c>
      <c r="H180" s="3" t="inlineStr"/>
      <c r="I180" s="3" t="inlineStr">
        <is>
          <t>D</t>
        </is>
      </c>
      <c r="J180" s="3" t="inlineStr">
        <is>
          <t>D</t>
        </is>
      </c>
      <c r="K180" s="3" t="inlineStr">
        <is>
          <t>I make a joke about it or post something slick. If I'm gonna lose, I'm losing with style</t>
        </is>
      </c>
      <c r="L180" s="3" t="n">
        <v>6</v>
      </c>
      <c r="M180" s="3" t="n">
        <v>7</v>
      </c>
      <c r="N180" s="3" t="n">
        <v>2</v>
      </c>
      <c r="O180" s="3" t="n">
        <v>4</v>
      </c>
      <c r="P180" s="3" t="n">
        <v>2</v>
      </c>
      <c r="Q180" s="3" t="inlineStr">
        <is>
          <t>Performer</t>
        </is>
      </c>
      <c r="R180" s="3" t="n">
        <v>7</v>
      </c>
      <c r="S180" s="3" t="inlineStr"/>
      <c r="T180" s="3" t="inlineStr"/>
      <c r="U180" s="3" t="n">
        <v>0</v>
      </c>
      <c r="V180" s="3" t="inlineStr">
        <is>
          <t>masc:0.3;fem:0.5</t>
        </is>
      </c>
      <c r="W180" s="3" t="n">
        <v>0.3</v>
      </c>
      <c r="X180" s="3" t="n">
        <v>0.5</v>
      </c>
      <c r="Y180" s="3" t="inlineStr">
        <is>
          <t>COMM_Indirect</t>
        </is>
      </c>
      <c r="Z180" s="3" t="inlineStr">
        <is>
          <t>REG_Distractor</t>
        </is>
      </c>
      <c r="AA180" s="3" t="inlineStr">
        <is>
          <t>LANG_Gifts</t>
        </is>
      </c>
      <c r="AB180" s="3" t="inlineStr"/>
      <c r="AC180" s="3" t="inlineStr"/>
      <c r="AD180" s="3" t="inlineStr"/>
      <c r="AE180" s="3" t="n">
        <v>0</v>
      </c>
      <c r="AF180" s="3" t="inlineStr">
        <is>
          <t>deflect with cool</t>
        </is>
      </c>
      <c r="AG180" s="3" t="inlineStr">
        <is>
          <t>image protector</t>
        </is>
      </c>
      <c r="AH180" s="3" t="n">
        <v>0.6</v>
      </c>
      <c r="AI180" s="3" t="inlineStr">
        <is>
          <t>no</t>
        </is>
      </c>
      <c r="AJ180" s="3" t="inlineStr">
        <is>
          <t>no</t>
        </is>
      </c>
      <c r="AK180" s="3" t="inlineStr">
        <is>
          <t>yes</t>
        </is>
      </c>
      <c r="AL180" s="3" t="inlineStr">
        <is>
          <t>yes</t>
        </is>
      </c>
      <c r="AM180" s="3" t="inlineStr"/>
      <c r="AN180" s="3" t="inlineStr"/>
      <c r="AO180" s="3" t="inlineStr"/>
      <c r="AP180" s="3" t="inlineStr">
        <is>
          <t>v3_2026-03-19</t>
        </is>
      </c>
      <c r="AQ180">
        <f>(L180-Schema_v5!$C2)/(Schema_v5!$C3-Schema_v5!$C2)</f>
        <v/>
      </c>
      <c r="AR180">
        <f>(M180-Schema_v5!$C4)/(Schema_v5!$C5-Schema_v5!$C4)</f>
        <v/>
      </c>
      <c r="AS180">
        <f>N180/Schema_v5!$C6</f>
        <v/>
      </c>
      <c r="AT180">
        <f>O180/Schema_v5!$C7</f>
        <v/>
      </c>
      <c r="AU180">
        <f>P180/Schema_v5!$C8</f>
        <v/>
      </c>
      <c r="AV180">
        <f>IF(Schema_v5!$C9=0,0,AH180/Schema_v5!$C9)</f>
        <v/>
      </c>
      <c r="AW180">
        <f>IF(Schema_v5!$C10=0,0,AE180/Schema_v5!$C10)</f>
        <v/>
      </c>
      <c r="AX180">
        <f>(W180-Schema_v5!$C11)/(Schema_v5!$C12-Schema_v5!$C11)</f>
        <v/>
      </c>
      <c r="AY180">
        <f>(X180-Schema_v5!$C13)/(Schema_v5!$C14-Schema_v5!$C13)</f>
        <v/>
      </c>
    </row>
    <row r="181">
      <c r="A181" s="3" t="inlineStr">
        <is>
          <t>Q36_E</t>
        </is>
      </c>
      <c r="B181" s="3" t="n">
        <v>36</v>
      </c>
      <c r="C181" s="3" t="n">
        <v>36</v>
      </c>
      <c r="D181" s="3" t="inlineStr">
        <is>
          <t>Core</t>
        </is>
      </c>
      <c r="E181" s="3" t="n">
        <v>1.15</v>
      </c>
      <c r="F181" s="3" t="inlineStr">
        <is>
          <t>CommitmentPace</t>
        </is>
      </c>
      <c r="G181" s="3" t="inlineStr">
        <is>
          <t>IntentAlignment</t>
        </is>
      </c>
      <c r="H181" s="3" t="inlineStr"/>
      <c r="I181" s="3" t="inlineStr">
        <is>
          <t>E</t>
        </is>
      </c>
      <c r="J181" s="3" t="inlineStr">
        <is>
          <t>E</t>
        </is>
      </c>
      <c r="K181" s="3" t="inlineStr">
        <is>
          <t>I convince myself it was never real to begin with. If it was, they wouldn't have left.</t>
        </is>
      </c>
      <c r="L181" s="3" t="n">
        <v>6</v>
      </c>
      <c r="M181" s="3" t="n">
        <v>7</v>
      </c>
      <c r="N181" s="3" t="n">
        <v>4</v>
      </c>
      <c r="O181" s="3" t="n">
        <v>6</v>
      </c>
      <c r="P181" s="3" t="n">
        <v>6</v>
      </c>
      <c r="Q181" s="3" t="inlineStr">
        <is>
          <t>Survivor</t>
        </is>
      </c>
      <c r="R181" s="3" t="n">
        <v>8</v>
      </c>
      <c r="S181" s="3" t="inlineStr"/>
      <c r="T181" s="3" t="inlineStr"/>
      <c r="U181" s="3" t="n">
        <v>0</v>
      </c>
      <c r="V181" s="3" t="inlineStr">
        <is>
          <t>masc:0.3;fem:1.3</t>
        </is>
      </c>
      <c r="W181" s="3" t="n">
        <v>0.3</v>
      </c>
      <c r="X181" s="3" t="n">
        <v>1.3</v>
      </c>
      <c r="Y181" s="3" t="inlineStr">
        <is>
          <t>COMM_Emotional</t>
        </is>
      </c>
      <c r="Z181" s="3" t="inlineStr">
        <is>
          <t>REG_SelfSoother</t>
        </is>
      </c>
      <c r="AA181" s="3" t="inlineStr">
        <is>
          <t>LANG_Service</t>
        </is>
      </c>
      <c r="AB181" s="3" t="inlineStr"/>
      <c r="AC181" s="3" t="inlineStr"/>
      <c r="AD181" s="3" t="inlineStr"/>
      <c r="AE181" s="3" t="n">
        <v>0</v>
      </c>
      <c r="AF181" s="3" t="inlineStr">
        <is>
          <t>protective rewrite</t>
        </is>
      </c>
      <c r="AG181" s="3" t="inlineStr">
        <is>
          <t>narrative reframer</t>
        </is>
      </c>
      <c r="AH181" s="3" t="n">
        <v>0</v>
      </c>
      <c r="AI181" s="3" t="inlineStr">
        <is>
          <t>no</t>
        </is>
      </c>
      <c r="AJ181" s="3" t="inlineStr">
        <is>
          <t>no</t>
        </is>
      </c>
      <c r="AK181" s="3" t="inlineStr">
        <is>
          <t>yes</t>
        </is>
      </c>
      <c r="AL181" s="3" t="inlineStr">
        <is>
          <t>yes</t>
        </is>
      </c>
      <c r="AM181" s="3" t="inlineStr"/>
      <c r="AN181" s="3" t="inlineStr"/>
      <c r="AO181" s="3" t="inlineStr"/>
      <c r="AP181" s="3" t="inlineStr">
        <is>
          <t>v3_2026-03-19</t>
        </is>
      </c>
      <c r="AQ181">
        <f>(L181-Schema_v5!$C2)/(Schema_v5!$C3-Schema_v5!$C2)</f>
        <v/>
      </c>
      <c r="AR181">
        <f>(M181-Schema_v5!$C4)/(Schema_v5!$C5-Schema_v5!$C4)</f>
        <v/>
      </c>
      <c r="AS181">
        <f>N181/Schema_v5!$C6</f>
        <v/>
      </c>
      <c r="AT181">
        <f>O181/Schema_v5!$C7</f>
        <v/>
      </c>
      <c r="AU181">
        <f>P181/Schema_v5!$C8</f>
        <v/>
      </c>
      <c r="AV181">
        <f>IF(Schema_v5!$C9=0,0,AH181/Schema_v5!$C9)</f>
        <v/>
      </c>
      <c r="AW181">
        <f>IF(Schema_v5!$C10=0,0,AE181/Schema_v5!$C10)</f>
        <v/>
      </c>
      <c r="AX181">
        <f>(W181-Schema_v5!$C11)/(Schema_v5!$C12-Schema_v5!$C11)</f>
        <v/>
      </c>
      <c r="AY181">
        <f>(X181-Schema_v5!$C13)/(Schema_v5!$C14-Schema_v5!$C13)</f>
        <v/>
      </c>
    </row>
    <row r="182">
      <c r="A182" s="3" t="inlineStr">
        <is>
          <t>Q37_A</t>
        </is>
      </c>
      <c r="B182" s="3" t="n">
        <v>37</v>
      </c>
      <c r="C182" s="3" t="n">
        <v>37</v>
      </c>
      <c r="D182" s="3" t="inlineStr">
        <is>
          <t>Core</t>
        </is>
      </c>
      <c r="E182" s="3" t="n">
        <v>1.2</v>
      </c>
      <c r="F182" s="3" t="inlineStr">
        <is>
          <t>CommitmentPace</t>
        </is>
      </c>
      <c r="G182" s="3" t="inlineStr">
        <is>
          <t>IntentAlignment</t>
        </is>
      </c>
      <c r="H182" s="3" t="inlineStr">
        <is>
          <t>You feel emotionally overloaded-something triggered you, but you don't want to show it. What usually happens next?</t>
        </is>
      </c>
      <c r="I182" s="3" t="inlineStr">
        <is>
          <t>A</t>
        </is>
      </c>
      <c r="J182" s="3" t="inlineStr">
        <is>
          <t>A</t>
        </is>
      </c>
      <c r="K182" s="3" t="inlineStr">
        <is>
          <t>I analyze it in my head, trying to figure out if I even should be this upset. I don't trust my first reaction.</t>
        </is>
      </c>
      <c r="L182" s="3" t="n">
        <v>7</v>
      </c>
      <c r="M182" s="3" t="n">
        <v>8</v>
      </c>
      <c r="N182" s="3" t="n">
        <v>6</v>
      </c>
      <c r="O182" s="3" t="n">
        <v>8</v>
      </c>
      <c r="P182" s="3" t="n">
        <v>6</v>
      </c>
      <c r="Q182" s="3" t="inlineStr">
        <is>
          <t>Analyzer</t>
        </is>
      </c>
      <c r="R182" s="3" t="n">
        <v>2</v>
      </c>
      <c r="S182" s="3" t="inlineStr"/>
      <c r="T182" s="3" t="inlineStr"/>
      <c r="U182" s="3" t="n">
        <v>0</v>
      </c>
      <c r="V182" s="3" t="inlineStr">
        <is>
          <t>masc:1.4;fem:0.1</t>
        </is>
      </c>
      <c r="W182" s="3" t="n">
        <v>1.4</v>
      </c>
      <c r="X182" s="3" t="n">
        <v>0.1</v>
      </c>
      <c r="Y182" s="3" t="inlineStr">
        <is>
          <t>COMM_Logical</t>
        </is>
      </c>
      <c r="Z182" s="3" t="inlineStr">
        <is>
          <t>REG_SelfSoother</t>
        </is>
      </c>
      <c r="AA182" s="3" t="inlineStr">
        <is>
          <t>LANG_Service</t>
        </is>
      </c>
      <c r="AB182" s="3" t="inlineStr"/>
      <c r="AC182" s="3" t="inlineStr"/>
      <c r="AD182" s="3" t="inlineStr"/>
      <c r="AE182" s="3" t="n">
        <v>0</v>
      </c>
      <c r="AF182" s="3" t="inlineStr">
        <is>
          <t>internal emotional filter</t>
        </is>
      </c>
      <c r="AG182" s="3" t="inlineStr">
        <is>
          <t>reaction assessor</t>
        </is>
      </c>
      <c r="AH182" s="3" t="n">
        <v>0</v>
      </c>
      <c r="AI182" s="3" t="inlineStr">
        <is>
          <t>no</t>
        </is>
      </c>
      <c r="AJ182" s="3" t="inlineStr">
        <is>
          <t>no</t>
        </is>
      </c>
      <c r="AK182" s="3" t="inlineStr">
        <is>
          <t>yes</t>
        </is>
      </c>
      <c r="AL182" s="3" t="inlineStr">
        <is>
          <t>yes</t>
        </is>
      </c>
      <c r="AM182" s="3" t="inlineStr"/>
      <c r="AN182" s="3" t="inlineStr"/>
      <c r="AO182" s="3" t="inlineStr"/>
      <c r="AP182" s="3" t="inlineStr">
        <is>
          <t>v3_2026-03-19</t>
        </is>
      </c>
      <c r="AQ182">
        <f>(L182-Schema_v5!$C2)/(Schema_v5!$C3-Schema_v5!$C2)</f>
        <v/>
      </c>
      <c r="AR182">
        <f>(M182-Schema_v5!$C4)/(Schema_v5!$C5-Schema_v5!$C4)</f>
        <v/>
      </c>
      <c r="AS182">
        <f>N182/Schema_v5!$C6</f>
        <v/>
      </c>
      <c r="AT182">
        <f>O182/Schema_v5!$C7</f>
        <v/>
      </c>
      <c r="AU182">
        <f>P182/Schema_v5!$C8</f>
        <v/>
      </c>
      <c r="AV182">
        <f>IF(Schema_v5!$C9=0,0,AH182/Schema_v5!$C9)</f>
        <v/>
      </c>
      <c r="AW182">
        <f>IF(Schema_v5!$C10=0,0,AE182/Schema_v5!$C10)</f>
        <v/>
      </c>
      <c r="AX182">
        <f>(W182-Schema_v5!$C11)/(Schema_v5!$C12-Schema_v5!$C11)</f>
        <v/>
      </c>
      <c r="AY182">
        <f>(X182-Schema_v5!$C13)/(Schema_v5!$C14-Schema_v5!$C13)</f>
        <v/>
      </c>
    </row>
    <row r="183">
      <c r="A183" s="3" t="inlineStr">
        <is>
          <t>Q37_B</t>
        </is>
      </c>
      <c r="B183" s="3" t="n">
        <v>37</v>
      </c>
      <c r="C183" s="3" t="n">
        <v>37</v>
      </c>
      <c r="D183" s="3" t="inlineStr">
        <is>
          <t>Core</t>
        </is>
      </c>
      <c r="E183" s="3" t="n">
        <v>1.2</v>
      </c>
      <c r="F183" s="3" t="inlineStr">
        <is>
          <t>CommitmentPace</t>
        </is>
      </c>
      <c r="G183" s="3" t="inlineStr">
        <is>
          <t>IntentAlignment</t>
        </is>
      </c>
      <c r="H183" s="3" t="inlineStr"/>
      <c r="I183" s="3" t="inlineStr">
        <is>
          <t>B</t>
        </is>
      </c>
      <c r="J183" s="3" t="inlineStr">
        <is>
          <t>B</t>
        </is>
      </c>
      <c r="K183" s="3" t="inlineStr">
        <is>
          <t>I shift the conversation fast or start asking questions about them. I'd rather be in control of the vibe than risk them seeing me spiral.</t>
        </is>
      </c>
      <c r="L183" s="3" t="n">
        <v>6</v>
      </c>
      <c r="M183" s="3" t="n">
        <v>7</v>
      </c>
      <c r="N183" s="3" t="n">
        <v>2</v>
      </c>
      <c r="O183" s="3" t="n">
        <v>4</v>
      </c>
      <c r="P183" s="3" t="n">
        <v>0</v>
      </c>
      <c r="Q183" s="3" t="inlineStr">
        <is>
          <t>Performer</t>
        </is>
      </c>
      <c r="R183" s="3" t="n">
        <v>7</v>
      </c>
      <c r="S183" s="3" t="inlineStr"/>
      <c r="T183" s="3" t="inlineStr"/>
      <c r="U183" s="3" t="n">
        <v>0</v>
      </c>
      <c r="V183" s="3" t="inlineStr">
        <is>
          <t>masc:0.3;fem:0.5</t>
        </is>
      </c>
      <c r="W183" s="3" t="n">
        <v>0.3</v>
      </c>
      <c r="X183" s="3" t="n">
        <v>0.5</v>
      </c>
      <c r="Y183" s="3" t="inlineStr">
        <is>
          <t>COMM_Indirect</t>
        </is>
      </c>
      <c r="Z183" s="3" t="inlineStr">
        <is>
          <t>REG_Distractor</t>
        </is>
      </c>
      <c r="AA183" s="3" t="inlineStr">
        <is>
          <t>LANG_Gifts</t>
        </is>
      </c>
      <c r="AB183" s="3" t="inlineStr">
        <is>
          <t>Control_Avoidance</t>
        </is>
      </c>
      <c r="AC183" s="3" t="inlineStr">
        <is>
          <t>Control_Avoidance</t>
        </is>
      </c>
      <c r="AD183" s="3" t="inlineStr"/>
      <c r="AE183" s="3" t="n">
        <v>6</v>
      </c>
      <c r="AF183" s="3" t="inlineStr">
        <is>
          <t>vibe manager reflex</t>
        </is>
      </c>
      <c r="AG183" s="3" t="inlineStr">
        <is>
          <t>tone shifter</t>
        </is>
      </c>
      <c r="AH183" s="3" t="n">
        <v>0</v>
      </c>
      <c r="AI183" s="3" t="inlineStr">
        <is>
          <t>yes</t>
        </is>
      </c>
      <c r="AJ183" s="3" t="inlineStr">
        <is>
          <t>no</t>
        </is>
      </c>
      <c r="AK183" s="3" t="inlineStr">
        <is>
          <t>yes</t>
        </is>
      </c>
      <c r="AL183" s="3" t="inlineStr">
        <is>
          <t>yes</t>
        </is>
      </c>
      <c r="AM183" s="3" t="inlineStr"/>
      <c r="AN183" s="3" t="inlineStr"/>
      <c r="AO183" s="3" t="inlineStr"/>
      <c r="AP183" s="3" t="inlineStr">
        <is>
          <t>v3_2026-03-19</t>
        </is>
      </c>
      <c r="AQ183">
        <f>(L183-Schema_v5!$C2)/(Schema_v5!$C3-Schema_v5!$C2)</f>
        <v/>
      </c>
      <c r="AR183">
        <f>(M183-Schema_v5!$C4)/(Schema_v5!$C5-Schema_v5!$C4)</f>
        <v/>
      </c>
      <c r="AS183">
        <f>N183/Schema_v5!$C6</f>
        <v/>
      </c>
      <c r="AT183">
        <f>O183/Schema_v5!$C7</f>
        <v/>
      </c>
      <c r="AU183">
        <f>P183/Schema_v5!$C8</f>
        <v/>
      </c>
      <c r="AV183">
        <f>IF(Schema_v5!$C9=0,0,AH183/Schema_v5!$C9)</f>
        <v/>
      </c>
      <c r="AW183">
        <f>IF(Schema_v5!$C10=0,0,AE183/Schema_v5!$C10)</f>
        <v/>
      </c>
      <c r="AX183">
        <f>(W183-Schema_v5!$C11)/(Schema_v5!$C12-Schema_v5!$C11)</f>
        <v/>
      </c>
      <c r="AY183">
        <f>(X183-Schema_v5!$C13)/(Schema_v5!$C14-Schema_v5!$C13)</f>
        <v/>
      </c>
    </row>
    <row r="184">
      <c r="A184" s="3" t="inlineStr">
        <is>
          <t>Q37_C</t>
        </is>
      </c>
      <c r="B184" s="3" t="n">
        <v>37</v>
      </c>
      <c r="C184" s="3" t="n">
        <v>37</v>
      </c>
      <c r="D184" s="3" t="inlineStr">
        <is>
          <t>Core</t>
        </is>
      </c>
      <c r="E184" s="3" t="n">
        <v>1.2</v>
      </c>
      <c r="F184" s="3" t="inlineStr">
        <is>
          <t>CommitmentPace</t>
        </is>
      </c>
      <c r="G184" s="3" t="inlineStr">
        <is>
          <t>IntentAlignment</t>
        </is>
      </c>
      <c r="H184" s="3" t="inlineStr"/>
      <c r="I184" s="3" t="inlineStr">
        <is>
          <t>C</t>
        </is>
      </c>
      <c r="J184" s="3" t="inlineStr">
        <is>
          <t>C</t>
        </is>
      </c>
      <c r="K184" s="3" t="inlineStr">
        <is>
          <t>I act extra calm or even helpful. I overcorrect so no one sees the mess I'm carrying underneath.</t>
        </is>
      </c>
      <c r="L184" s="3" t="n">
        <v>6</v>
      </c>
      <c r="M184" s="3" t="n">
        <v>7</v>
      </c>
      <c r="N184" s="3" t="n">
        <v>4</v>
      </c>
      <c r="O184" s="3" t="n">
        <v>6</v>
      </c>
      <c r="P184" s="3" t="n">
        <v>4</v>
      </c>
      <c r="Q184" s="3" t="inlineStr">
        <is>
          <t>Fixer</t>
        </is>
      </c>
      <c r="R184" s="3" t="n">
        <v>5</v>
      </c>
      <c r="S184" s="3" t="inlineStr"/>
      <c r="T184" s="3" t="inlineStr"/>
      <c r="U184" s="3" t="n">
        <v>0</v>
      </c>
      <c r="V184" s="3" t="inlineStr">
        <is>
          <t>masc:-0.4;fem:2.0</t>
        </is>
      </c>
      <c r="W184" s="3" t="n">
        <v>-0.4</v>
      </c>
      <c r="X184" s="3" t="n">
        <v>2</v>
      </c>
      <c r="Y184" s="3" t="inlineStr">
        <is>
          <t>COMM_Emotional</t>
        </is>
      </c>
      <c r="Z184" s="3" t="inlineStr">
        <is>
          <t>REG_CoRegulator</t>
        </is>
      </c>
      <c r="AA184" s="3" t="inlineStr">
        <is>
          <t>LANG_Service</t>
        </is>
      </c>
      <c r="AB184" s="3" t="inlineStr">
        <is>
          <t>Vulnerability_Loop</t>
        </is>
      </c>
      <c r="AC184" s="3" t="inlineStr">
        <is>
          <t>Vulnerability_Loop</t>
        </is>
      </c>
      <c r="AD184" s="3" t="inlineStr"/>
      <c r="AE184" s="3" t="n">
        <v>5</v>
      </c>
      <c r="AF184" s="3" t="inlineStr">
        <is>
          <t>composed but cracked</t>
        </is>
      </c>
      <c r="AG184" s="3" t="inlineStr">
        <is>
          <t>appearance keeper</t>
        </is>
      </c>
      <c r="AH184" s="3" t="n">
        <v>0</v>
      </c>
      <c r="AI184" s="3" t="inlineStr">
        <is>
          <t>yes</t>
        </is>
      </c>
      <c r="AJ184" s="3" t="inlineStr">
        <is>
          <t>no</t>
        </is>
      </c>
      <c r="AK184" s="3" t="inlineStr">
        <is>
          <t>yes</t>
        </is>
      </c>
      <c r="AL184" s="3" t="inlineStr">
        <is>
          <t>yes</t>
        </is>
      </c>
      <c r="AM184" s="3" t="inlineStr"/>
      <c r="AN184" s="3" t="inlineStr"/>
      <c r="AO184" s="3" t="inlineStr"/>
      <c r="AP184" s="3" t="inlineStr">
        <is>
          <t>v3_2026-03-19</t>
        </is>
      </c>
      <c r="AQ184">
        <f>(L184-Schema_v5!$C2)/(Schema_v5!$C3-Schema_v5!$C2)</f>
        <v/>
      </c>
      <c r="AR184">
        <f>(M184-Schema_v5!$C4)/(Schema_v5!$C5-Schema_v5!$C4)</f>
        <v/>
      </c>
      <c r="AS184">
        <f>N184/Schema_v5!$C6</f>
        <v/>
      </c>
      <c r="AT184">
        <f>O184/Schema_v5!$C7</f>
        <v/>
      </c>
      <c r="AU184">
        <f>P184/Schema_v5!$C8</f>
        <v/>
      </c>
      <c r="AV184">
        <f>IF(Schema_v5!$C9=0,0,AH184/Schema_v5!$C9)</f>
        <v/>
      </c>
      <c r="AW184">
        <f>IF(Schema_v5!$C10=0,0,AE184/Schema_v5!$C10)</f>
        <v/>
      </c>
      <c r="AX184">
        <f>(W184-Schema_v5!$C11)/(Schema_v5!$C12-Schema_v5!$C11)</f>
        <v/>
      </c>
      <c r="AY184">
        <f>(X184-Schema_v5!$C13)/(Schema_v5!$C14-Schema_v5!$C13)</f>
        <v/>
      </c>
    </row>
    <row r="185">
      <c r="A185" s="3" t="inlineStr">
        <is>
          <t>Q37_D</t>
        </is>
      </c>
      <c r="B185" s="3" t="n">
        <v>37</v>
      </c>
      <c r="C185" s="3" t="n">
        <v>37</v>
      </c>
      <c r="D185" s="3" t="inlineStr">
        <is>
          <t>Core</t>
        </is>
      </c>
      <c r="E185" s="3" t="n">
        <v>1.2</v>
      </c>
      <c r="F185" s="3" t="inlineStr">
        <is>
          <t>CommitmentPace</t>
        </is>
      </c>
      <c r="G185" s="3" t="inlineStr">
        <is>
          <t>IntentAlignment</t>
        </is>
      </c>
      <c r="H185" s="3" t="inlineStr"/>
      <c r="I185" s="3" t="inlineStr">
        <is>
          <t>D</t>
        </is>
      </c>
      <c r="J185" s="3" t="inlineStr">
        <is>
          <t>D</t>
        </is>
      </c>
      <c r="K185" s="3" t="inlineStr">
        <is>
          <t>I pretend I'm fine, but inside I'm spiraling. I don't say anything, just shut down and let it fester.</t>
        </is>
      </c>
      <c r="L185" s="3" t="n">
        <v>4</v>
      </c>
      <c r="M185" s="3" t="n">
        <v>5</v>
      </c>
      <c r="N185" s="3" t="n">
        <v>0</v>
      </c>
      <c r="O185" s="3" t="n">
        <v>0</v>
      </c>
      <c r="P185" s="3" t="n">
        <v>0</v>
      </c>
      <c r="Q185" s="3" t="inlineStr">
        <is>
          <t>Phantom Seeker</t>
        </is>
      </c>
      <c r="R185" s="3" t="n">
        <v>10</v>
      </c>
      <c r="S185" s="3" t="inlineStr"/>
      <c r="T185" s="3" t="inlineStr"/>
      <c r="U185" s="3" t="n">
        <v>0</v>
      </c>
      <c r="V185" s="3" t="inlineStr">
        <is>
          <t>masc:-0.2;fem:1.5</t>
        </is>
      </c>
      <c r="W185" s="3" t="n">
        <v>-0.2</v>
      </c>
      <c r="X185" s="3" t="n">
        <v>1.5</v>
      </c>
      <c r="Y185" s="3" t="inlineStr">
        <is>
          <t>COMM_Emotional</t>
        </is>
      </c>
      <c r="Z185" s="3" t="inlineStr">
        <is>
          <t>REG_SelfSoother</t>
        </is>
      </c>
      <c r="AA185" s="3" t="inlineStr">
        <is>
          <t>LANG_Touch</t>
        </is>
      </c>
      <c r="AB185" s="3" t="inlineStr">
        <is>
          <t>Vulnerability_Loop , Pursuer_Distancer</t>
        </is>
      </c>
      <c r="AC185" s="3" t="inlineStr">
        <is>
          <t>Vulnerability_Loop</t>
        </is>
      </c>
      <c r="AD185" s="3" t="inlineStr">
        <is>
          <t>Pursuer_Distancer</t>
        </is>
      </c>
      <c r="AE185" s="3" t="n">
        <v>11</v>
      </c>
      <c r="AF185" s="3" t="inlineStr">
        <is>
          <t>silent sufferer reflex</t>
        </is>
      </c>
      <c r="AG185" s="3" t="inlineStr">
        <is>
          <t>internalizer</t>
        </is>
      </c>
      <c r="AH185" s="3" t="n">
        <v>0.6</v>
      </c>
      <c r="AI185" s="3" t="inlineStr">
        <is>
          <t>yes</t>
        </is>
      </c>
      <c r="AJ185" s="3" t="inlineStr">
        <is>
          <t>no</t>
        </is>
      </c>
      <c r="AK185" s="3" t="inlineStr">
        <is>
          <t>yes</t>
        </is>
      </c>
      <c r="AL185" s="3" t="inlineStr">
        <is>
          <t>yes</t>
        </is>
      </c>
      <c r="AM185" s="3" t="inlineStr"/>
      <c r="AN185" s="3" t="inlineStr"/>
      <c r="AO185" s="3" t="inlineStr"/>
      <c r="AP185" s="3" t="inlineStr">
        <is>
          <t>v3_2026-03-19</t>
        </is>
      </c>
      <c r="AQ185">
        <f>(L185-Schema_v5!$C2)/(Schema_v5!$C3-Schema_v5!$C2)</f>
        <v/>
      </c>
      <c r="AR185">
        <f>(M185-Schema_v5!$C4)/(Schema_v5!$C5-Schema_v5!$C4)</f>
        <v/>
      </c>
      <c r="AS185">
        <f>N185/Schema_v5!$C6</f>
        <v/>
      </c>
      <c r="AT185">
        <f>O185/Schema_v5!$C7</f>
        <v/>
      </c>
      <c r="AU185">
        <f>P185/Schema_v5!$C8</f>
        <v/>
      </c>
      <c r="AV185">
        <f>IF(Schema_v5!$C9=0,0,AH185/Schema_v5!$C9)</f>
        <v/>
      </c>
      <c r="AW185">
        <f>IF(Schema_v5!$C10=0,0,AE185/Schema_v5!$C10)</f>
        <v/>
      </c>
      <c r="AX185">
        <f>(W185-Schema_v5!$C11)/(Schema_v5!$C12-Schema_v5!$C11)</f>
        <v/>
      </c>
      <c r="AY185">
        <f>(X185-Schema_v5!$C13)/(Schema_v5!$C14-Schema_v5!$C13)</f>
        <v/>
      </c>
    </row>
    <row r="186">
      <c r="A186" s="3" t="inlineStr">
        <is>
          <t>Q37_E</t>
        </is>
      </c>
      <c r="B186" s="3" t="n">
        <v>37</v>
      </c>
      <c r="C186" s="3" t="n">
        <v>37</v>
      </c>
      <c r="D186" s="3" t="inlineStr">
        <is>
          <t>Core</t>
        </is>
      </c>
      <c r="E186" s="3" t="n">
        <v>1.2</v>
      </c>
      <c r="F186" s="3" t="inlineStr">
        <is>
          <t>CommitmentPace</t>
        </is>
      </c>
      <c r="G186" s="3" t="inlineStr">
        <is>
          <t>IntentAlignment</t>
        </is>
      </c>
      <c r="H186" s="3" t="inlineStr"/>
      <c r="I186" s="3" t="inlineStr">
        <is>
          <t>E</t>
        </is>
      </c>
      <c r="J186" s="3" t="inlineStr">
        <is>
          <t>E</t>
        </is>
      </c>
      <c r="K186" s="3" t="inlineStr">
        <is>
          <t>I go cold. I don't mean to, but I get short or distant until I can reset.</t>
        </is>
      </c>
      <c r="L186" s="3" t="n">
        <v>6</v>
      </c>
      <c r="M186" s="3" t="n">
        <v>7</v>
      </c>
      <c r="N186" s="3" t="n">
        <v>2</v>
      </c>
      <c r="O186" s="3" t="n">
        <v>2</v>
      </c>
      <c r="P186" s="3" t="n">
        <v>0</v>
      </c>
      <c r="Q186" s="3" t="inlineStr">
        <is>
          <t>Icebox</t>
        </is>
      </c>
      <c r="R186" s="3" t="n">
        <v>1</v>
      </c>
      <c r="S186" s="3" t="inlineStr"/>
      <c r="T186" s="3" t="inlineStr"/>
      <c r="U186" s="3" t="n">
        <v>0</v>
      </c>
      <c r="V186" s="3" t="inlineStr">
        <is>
          <t>masc:1.8;fem:-1.6</t>
        </is>
      </c>
      <c r="W186" s="3" t="n">
        <v>1.8</v>
      </c>
      <c r="X186" s="3" t="n">
        <v>-1.6</v>
      </c>
      <c r="Y186" s="3" t="inlineStr">
        <is>
          <t>COMM_Avoidant</t>
        </is>
      </c>
      <c r="Z186" s="3" t="inlineStr">
        <is>
          <t>REG_Suppressor</t>
        </is>
      </c>
      <c r="AA186" s="3" t="inlineStr">
        <is>
          <t>LANG_Time</t>
        </is>
      </c>
      <c r="AB186" s="3" t="inlineStr">
        <is>
          <t>Vulnerability_Loop , Affection_Mismatch</t>
        </is>
      </c>
      <c r="AC186" s="3" t="inlineStr">
        <is>
          <t>Vulnerability_Loop</t>
        </is>
      </c>
      <c r="AD186" s="3" t="inlineStr">
        <is>
          <t>Affection_Mismatch</t>
        </is>
      </c>
      <c r="AE186" s="3" t="n">
        <v>9</v>
      </c>
      <c r="AF186" s="3" t="inlineStr">
        <is>
          <t>emotional lockdown</t>
        </is>
      </c>
      <c r="AG186" s="3" t="inlineStr">
        <is>
          <t>space taker</t>
        </is>
      </c>
      <c r="AH186" s="3" t="n">
        <v>0.6</v>
      </c>
      <c r="AI186" s="3" t="inlineStr">
        <is>
          <t>yes</t>
        </is>
      </c>
      <c r="AJ186" s="3" t="inlineStr">
        <is>
          <t>no</t>
        </is>
      </c>
      <c r="AK186" s="3" t="inlineStr">
        <is>
          <t>yes</t>
        </is>
      </c>
      <c r="AL186" s="3" t="inlineStr">
        <is>
          <t>yes</t>
        </is>
      </c>
      <c r="AM186" s="3" t="inlineStr"/>
      <c r="AN186" s="3" t="inlineStr"/>
      <c r="AO186" s="3" t="inlineStr"/>
      <c r="AP186" s="3" t="inlineStr">
        <is>
          <t>v3_2026-03-19</t>
        </is>
      </c>
      <c r="AQ186">
        <f>(L186-Schema_v5!$C2)/(Schema_v5!$C3-Schema_v5!$C2)</f>
        <v/>
      </c>
      <c r="AR186">
        <f>(M186-Schema_v5!$C4)/(Schema_v5!$C5-Schema_v5!$C4)</f>
        <v/>
      </c>
      <c r="AS186">
        <f>N186/Schema_v5!$C6</f>
        <v/>
      </c>
      <c r="AT186">
        <f>O186/Schema_v5!$C7</f>
        <v/>
      </c>
      <c r="AU186">
        <f>P186/Schema_v5!$C8</f>
        <v/>
      </c>
      <c r="AV186">
        <f>IF(Schema_v5!$C9=0,0,AH186/Schema_v5!$C9)</f>
        <v/>
      </c>
      <c r="AW186">
        <f>IF(Schema_v5!$C10=0,0,AE186/Schema_v5!$C10)</f>
        <v/>
      </c>
      <c r="AX186">
        <f>(W186-Schema_v5!$C11)/(Schema_v5!$C12-Schema_v5!$C11)</f>
        <v/>
      </c>
      <c r="AY186">
        <f>(X186-Schema_v5!$C13)/(Schema_v5!$C14-Schema_v5!$C13)</f>
        <v/>
      </c>
    </row>
    <row r="187">
      <c r="A187" s="3" t="inlineStr">
        <is>
          <t>Q38_A</t>
        </is>
      </c>
      <c r="B187" s="3" t="n">
        <v>38</v>
      </c>
      <c r="C187" s="3" t="n">
        <v>38</v>
      </c>
      <c r="D187" s="3" t="inlineStr">
        <is>
          <t>Core</t>
        </is>
      </c>
      <c r="E187" s="3" t="n">
        <v>1.2</v>
      </c>
      <c r="F187" s="3" t="inlineStr">
        <is>
          <t>CommitmentPace</t>
        </is>
      </c>
      <c r="G187" s="3" t="inlineStr">
        <is>
          <t>IntentAlignment</t>
        </is>
      </c>
      <c r="H187" s="3" t="inlineStr">
        <is>
          <t>Someone starts seeing the real you-your fears, flaws, the stuff you don't usually show. What happens next?</t>
        </is>
      </c>
      <c r="I187" s="3" t="inlineStr">
        <is>
          <t>A</t>
        </is>
      </c>
      <c r="J187" s="3" t="inlineStr">
        <is>
          <t>A</t>
        </is>
      </c>
      <c r="K187" s="3" t="inlineStr">
        <is>
          <t>I act normal on the surface, but I start scanning everything they say after that, looking for proof they meant it.</t>
        </is>
      </c>
      <c r="L187" s="3" t="n">
        <v>7</v>
      </c>
      <c r="M187" s="3" t="n">
        <v>8</v>
      </c>
      <c r="N187" s="3" t="n">
        <v>6</v>
      </c>
      <c r="O187" s="3" t="n">
        <v>8</v>
      </c>
      <c r="P187" s="3" t="n">
        <v>6</v>
      </c>
      <c r="Q187" s="3" t="inlineStr">
        <is>
          <t>Analyzer</t>
        </is>
      </c>
      <c r="R187" s="3" t="n">
        <v>2</v>
      </c>
      <c r="S187" s="3" t="inlineStr"/>
      <c r="T187" s="3" t="inlineStr"/>
      <c r="U187" s="3" t="n">
        <v>0</v>
      </c>
      <c r="V187" s="3" t="inlineStr">
        <is>
          <t>masc:1.4;fem:0.1</t>
        </is>
      </c>
      <c r="W187" s="3" t="n">
        <v>1.4</v>
      </c>
      <c r="X187" s="3" t="n">
        <v>0.1</v>
      </c>
      <c r="Y187" s="3" t="inlineStr">
        <is>
          <t>COMM_Logical</t>
        </is>
      </c>
      <c r="Z187" s="3" t="inlineStr">
        <is>
          <t>REG_SelfSoother</t>
        </is>
      </c>
      <c r="AA187" s="3" t="inlineStr">
        <is>
          <t>LANG_Service</t>
        </is>
      </c>
      <c r="AB187" s="3" t="inlineStr"/>
      <c r="AC187" s="3" t="inlineStr"/>
      <c r="AD187" s="3" t="inlineStr"/>
      <c r="AE187" s="3" t="n">
        <v>0</v>
      </c>
      <c r="AF187" s="3" t="inlineStr">
        <is>
          <t>authenticity investigator</t>
        </is>
      </c>
      <c r="AG187" s="3" t="inlineStr">
        <is>
          <t>intent checker</t>
        </is>
      </c>
      <c r="AH187" s="3" t="n">
        <v>0</v>
      </c>
      <c r="AI187" s="3" t="inlineStr">
        <is>
          <t>no</t>
        </is>
      </c>
      <c r="AJ187" s="3" t="inlineStr">
        <is>
          <t>no</t>
        </is>
      </c>
      <c r="AK187" s="3" t="inlineStr">
        <is>
          <t>yes</t>
        </is>
      </c>
      <c r="AL187" s="3" t="inlineStr">
        <is>
          <t>yes</t>
        </is>
      </c>
      <c r="AM187" s="3" t="inlineStr"/>
      <c r="AN187" s="3" t="inlineStr"/>
      <c r="AO187" s="3" t="inlineStr"/>
      <c r="AP187" s="3" t="inlineStr">
        <is>
          <t>v3_2026-03-19</t>
        </is>
      </c>
      <c r="AQ187">
        <f>(L187-Schema_v5!$C2)/(Schema_v5!$C3-Schema_v5!$C2)</f>
        <v/>
      </c>
      <c r="AR187">
        <f>(M187-Schema_v5!$C4)/(Schema_v5!$C5-Schema_v5!$C4)</f>
        <v/>
      </c>
      <c r="AS187">
        <f>N187/Schema_v5!$C6</f>
        <v/>
      </c>
      <c r="AT187">
        <f>O187/Schema_v5!$C7</f>
        <v/>
      </c>
      <c r="AU187">
        <f>P187/Schema_v5!$C8</f>
        <v/>
      </c>
      <c r="AV187">
        <f>IF(Schema_v5!$C9=0,0,AH187/Schema_v5!$C9)</f>
        <v/>
      </c>
      <c r="AW187">
        <f>IF(Schema_v5!$C10=0,0,AE187/Schema_v5!$C10)</f>
        <v/>
      </c>
      <c r="AX187">
        <f>(W187-Schema_v5!$C11)/(Schema_v5!$C12-Schema_v5!$C11)</f>
        <v/>
      </c>
      <c r="AY187">
        <f>(X187-Schema_v5!$C13)/(Schema_v5!$C14-Schema_v5!$C13)</f>
        <v/>
      </c>
    </row>
    <row r="188">
      <c r="A188" s="3" t="inlineStr">
        <is>
          <t>Q38_B</t>
        </is>
      </c>
      <c r="B188" s="3" t="n">
        <v>38</v>
      </c>
      <c r="C188" s="3" t="n">
        <v>38</v>
      </c>
      <c r="D188" s="3" t="inlineStr">
        <is>
          <t>Core</t>
        </is>
      </c>
      <c r="E188" s="3" t="n">
        <v>1.2</v>
      </c>
      <c r="F188" s="3" t="inlineStr">
        <is>
          <t>CommitmentPace</t>
        </is>
      </c>
      <c r="G188" s="3" t="inlineStr">
        <is>
          <t>IntentAlignment</t>
        </is>
      </c>
      <c r="H188" s="3" t="inlineStr"/>
      <c r="I188" s="3" t="inlineStr">
        <is>
          <t>B</t>
        </is>
      </c>
      <c r="J188" s="3" t="inlineStr">
        <is>
          <t>B</t>
        </is>
      </c>
      <c r="K188" s="3" t="inlineStr">
        <is>
          <t>I keep it light. They think they're seeing the real me, but I know what I hold back.</t>
        </is>
      </c>
      <c r="L188" s="3" t="n">
        <v>6</v>
      </c>
      <c r="M188" s="3" t="n">
        <v>7</v>
      </c>
      <c r="N188" s="3" t="n">
        <v>4</v>
      </c>
      <c r="O188" s="3" t="n">
        <v>4</v>
      </c>
      <c r="P188" s="3" t="n">
        <v>2</v>
      </c>
      <c r="Q188" s="3" t="inlineStr">
        <is>
          <t>Performer</t>
        </is>
      </c>
      <c r="R188" s="3" t="n">
        <v>7</v>
      </c>
      <c r="S188" s="3" t="inlineStr"/>
      <c r="T188" s="3" t="inlineStr"/>
      <c r="U188" s="3" t="n">
        <v>0</v>
      </c>
      <c r="V188" s="3" t="inlineStr">
        <is>
          <t>masc:0.3;fem:0.5</t>
        </is>
      </c>
      <c r="W188" s="3" t="n">
        <v>0.3</v>
      </c>
      <c r="X188" s="3" t="n">
        <v>0.5</v>
      </c>
      <c r="Y188" s="3" t="inlineStr">
        <is>
          <t>COMM_Indirect</t>
        </is>
      </c>
      <c r="Z188" s="3" t="inlineStr">
        <is>
          <t>REG_Distractor</t>
        </is>
      </c>
      <c r="AA188" s="3" t="inlineStr">
        <is>
          <t>LANG_Gifts</t>
        </is>
      </c>
      <c r="AB188" s="3" t="inlineStr">
        <is>
          <t>Conflict_Flip</t>
        </is>
      </c>
      <c r="AC188" s="3" t="inlineStr">
        <is>
          <t>Conflict_Flip</t>
        </is>
      </c>
      <c r="AD188" s="3" t="inlineStr"/>
      <c r="AE188" s="3" t="n">
        <v>4</v>
      </c>
      <c r="AF188" s="3" t="inlineStr">
        <is>
          <t>strategic revelation</t>
        </is>
      </c>
      <c r="AG188" s="3" t="inlineStr">
        <is>
          <t>controlled sharer</t>
        </is>
      </c>
      <c r="AH188" s="3" t="n">
        <v>0</v>
      </c>
      <c r="AI188" s="3" t="inlineStr">
        <is>
          <t>yes</t>
        </is>
      </c>
      <c r="AJ188" s="3" t="inlineStr">
        <is>
          <t>no</t>
        </is>
      </c>
      <c r="AK188" s="3" t="inlineStr">
        <is>
          <t>yes</t>
        </is>
      </c>
      <c r="AL188" s="3" t="inlineStr">
        <is>
          <t>yes</t>
        </is>
      </c>
      <c r="AM188" s="3" t="inlineStr"/>
      <c r="AN188" s="3" t="inlineStr"/>
      <c r="AO188" s="3" t="inlineStr"/>
      <c r="AP188" s="3" t="inlineStr">
        <is>
          <t>v3_2026-03-19</t>
        </is>
      </c>
      <c r="AQ188">
        <f>(L188-Schema_v5!$C2)/(Schema_v5!$C3-Schema_v5!$C2)</f>
        <v/>
      </c>
      <c r="AR188">
        <f>(M188-Schema_v5!$C4)/(Schema_v5!$C5-Schema_v5!$C4)</f>
        <v/>
      </c>
      <c r="AS188">
        <f>N188/Schema_v5!$C6</f>
        <v/>
      </c>
      <c r="AT188">
        <f>O188/Schema_v5!$C7</f>
        <v/>
      </c>
      <c r="AU188">
        <f>P188/Schema_v5!$C8</f>
        <v/>
      </c>
      <c r="AV188">
        <f>IF(Schema_v5!$C9=0,0,AH188/Schema_v5!$C9)</f>
        <v/>
      </c>
      <c r="AW188">
        <f>IF(Schema_v5!$C10=0,0,AE188/Schema_v5!$C10)</f>
        <v/>
      </c>
      <c r="AX188">
        <f>(W188-Schema_v5!$C11)/(Schema_v5!$C12-Schema_v5!$C11)</f>
        <v/>
      </c>
      <c r="AY188">
        <f>(X188-Schema_v5!$C13)/(Schema_v5!$C14-Schema_v5!$C13)</f>
        <v/>
      </c>
    </row>
    <row r="189">
      <c r="A189" s="3" t="inlineStr">
        <is>
          <t>Q38_C</t>
        </is>
      </c>
      <c r="B189" s="3" t="n">
        <v>38</v>
      </c>
      <c r="C189" s="3" t="n">
        <v>38</v>
      </c>
      <c r="D189" s="3" t="inlineStr">
        <is>
          <t>Core</t>
        </is>
      </c>
      <c r="E189" s="3" t="n">
        <v>1.2</v>
      </c>
      <c r="F189" s="3" t="inlineStr">
        <is>
          <t>CommitmentPace</t>
        </is>
      </c>
      <c r="G189" s="3" t="inlineStr">
        <is>
          <t>IntentAlignment</t>
        </is>
      </c>
      <c r="H189" s="3" t="inlineStr"/>
      <c r="I189" s="3" t="inlineStr">
        <is>
          <t>C</t>
        </is>
      </c>
      <c r="J189" s="3" t="inlineStr">
        <is>
          <t>C</t>
        </is>
      </c>
      <c r="K189" s="3" t="inlineStr">
        <is>
          <t>I pull back a little. It's not that I don't want to be seen, it's that I don't trust what they'll do with it.</t>
        </is>
      </c>
      <c r="L189" s="3" t="n">
        <v>7</v>
      </c>
      <c r="M189" s="3" t="n">
        <v>8</v>
      </c>
      <c r="N189" s="3" t="n">
        <v>4</v>
      </c>
      <c r="O189" s="3" t="n">
        <v>4</v>
      </c>
      <c r="P189" s="3" t="n">
        <v>0</v>
      </c>
      <c r="Q189" s="3" t="inlineStr">
        <is>
          <t>Icebox</t>
        </is>
      </c>
      <c r="R189" s="3" t="n">
        <v>1</v>
      </c>
      <c r="S189" s="3" t="inlineStr"/>
      <c r="T189" s="3" t="inlineStr"/>
      <c r="U189" s="3" t="n">
        <v>0</v>
      </c>
      <c r="V189" s="3" t="inlineStr">
        <is>
          <t>masc:1.8;fem:-1.6</t>
        </is>
      </c>
      <c r="W189" s="3" t="n">
        <v>1.8</v>
      </c>
      <c r="X189" s="3" t="n">
        <v>-1.6</v>
      </c>
      <c r="Y189" s="3" t="inlineStr">
        <is>
          <t>COMM_Avoidant</t>
        </is>
      </c>
      <c r="Z189" s="3" t="inlineStr">
        <is>
          <t>REG_Suppressor</t>
        </is>
      </c>
      <c r="AA189" s="3" t="inlineStr">
        <is>
          <t>LANG_Time</t>
        </is>
      </c>
      <c r="AB189" s="3" t="inlineStr"/>
      <c r="AC189" s="3" t="inlineStr"/>
      <c r="AD189" s="3" t="inlineStr"/>
      <c r="AE189" s="3" t="n">
        <v>0</v>
      </c>
      <c r="AF189" s="3" t="inlineStr">
        <is>
          <t>defensive vulnerability delay</t>
        </is>
      </c>
      <c r="AG189" s="3" t="inlineStr">
        <is>
          <t>cautious opener</t>
        </is>
      </c>
      <c r="AH189" s="3" t="n">
        <v>0.6</v>
      </c>
      <c r="AI189" s="3" t="inlineStr">
        <is>
          <t>no</t>
        </is>
      </c>
      <c r="AJ189" s="3" t="inlineStr">
        <is>
          <t>no</t>
        </is>
      </c>
      <c r="AK189" s="3" t="inlineStr">
        <is>
          <t>yes</t>
        </is>
      </c>
      <c r="AL189" s="3" t="inlineStr">
        <is>
          <t>yes</t>
        </is>
      </c>
      <c r="AM189" s="3" t="inlineStr"/>
      <c r="AN189" s="3" t="inlineStr"/>
      <c r="AO189" s="3" t="inlineStr"/>
      <c r="AP189" s="3" t="inlineStr">
        <is>
          <t>v3_2026-03-19</t>
        </is>
      </c>
      <c r="AQ189">
        <f>(L189-Schema_v5!$C2)/(Schema_v5!$C3-Schema_v5!$C2)</f>
        <v/>
      </c>
      <c r="AR189">
        <f>(M189-Schema_v5!$C4)/(Schema_v5!$C5-Schema_v5!$C4)</f>
        <v/>
      </c>
      <c r="AS189">
        <f>N189/Schema_v5!$C6</f>
        <v/>
      </c>
      <c r="AT189">
        <f>O189/Schema_v5!$C7</f>
        <v/>
      </c>
      <c r="AU189">
        <f>P189/Schema_v5!$C8</f>
        <v/>
      </c>
      <c r="AV189">
        <f>IF(Schema_v5!$C9=0,0,AH189/Schema_v5!$C9)</f>
        <v/>
      </c>
      <c r="AW189">
        <f>IF(Schema_v5!$C10=0,0,AE189/Schema_v5!$C10)</f>
        <v/>
      </c>
      <c r="AX189">
        <f>(W189-Schema_v5!$C11)/(Schema_v5!$C12-Schema_v5!$C11)</f>
        <v/>
      </c>
      <c r="AY189">
        <f>(X189-Schema_v5!$C13)/(Schema_v5!$C14-Schema_v5!$C13)</f>
        <v/>
      </c>
    </row>
    <row r="190">
      <c r="A190" s="3" t="inlineStr">
        <is>
          <t>Q38_D</t>
        </is>
      </c>
      <c r="B190" s="3" t="n">
        <v>38</v>
      </c>
      <c r="C190" s="3" t="n">
        <v>38</v>
      </c>
      <c r="D190" s="3" t="inlineStr">
        <is>
          <t>Core</t>
        </is>
      </c>
      <c r="E190" s="3" t="n">
        <v>1.2</v>
      </c>
      <c r="F190" s="3" t="inlineStr">
        <is>
          <t>CommitmentPace</t>
        </is>
      </c>
      <c r="G190" s="3" t="inlineStr">
        <is>
          <t>IntentAlignment</t>
        </is>
      </c>
      <c r="H190" s="3" t="inlineStr"/>
      <c r="I190" s="3" t="inlineStr">
        <is>
          <t>D</t>
        </is>
      </c>
      <c r="J190" s="3" t="inlineStr">
        <is>
          <t>D</t>
        </is>
      </c>
      <c r="K190" s="3" t="inlineStr">
        <is>
          <t>I start thinking it's too good to be true. I wonder how long until they get tired of the real me.</t>
        </is>
      </c>
      <c r="L190" s="3" t="n">
        <v>5</v>
      </c>
      <c r="M190" s="3" t="n">
        <v>6</v>
      </c>
      <c r="N190" s="3" t="n">
        <v>2</v>
      </c>
      <c r="O190" s="3" t="n">
        <v>4</v>
      </c>
      <c r="P190" s="3" t="n">
        <v>2</v>
      </c>
      <c r="Q190" s="3" t="inlineStr">
        <is>
          <t>Phantom Seeker</t>
        </is>
      </c>
      <c r="R190" s="3" t="n">
        <v>10</v>
      </c>
      <c r="S190" s="3" t="inlineStr"/>
      <c r="T190" s="3" t="inlineStr"/>
      <c r="U190" s="3" t="n">
        <v>0</v>
      </c>
      <c r="V190" s="3" t="inlineStr">
        <is>
          <t>masc:-0.2;fem:1.5</t>
        </is>
      </c>
      <c r="W190" s="3" t="n">
        <v>-0.2</v>
      </c>
      <c r="X190" s="3" t="n">
        <v>1.5</v>
      </c>
      <c r="Y190" s="3" t="inlineStr">
        <is>
          <t>COMM_Emotional</t>
        </is>
      </c>
      <c r="Z190" s="3" t="inlineStr">
        <is>
          <t>REG_SelfSoother</t>
        </is>
      </c>
      <c r="AA190" s="3" t="inlineStr">
        <is>
          <t>LANG_Touch</t>
        </is>
      </c>
      <c r="AB190" s="3" t="inlineStr">
        <is>
          <t>Vulnerability_Loop</t>
        </is>
      </c>
      <c r="AC190" s="3" t="inlineStr">
        <is>
          <t>Vulnerability_Loop</t>
        </is>
      </c>
      <c r="AD190" s="3" t="inlineStr"/>
      <c r="AE190" s="3" t="n">
        <v>5</v>
      </c>
      <c r="AF190" s="3" t="inlineStr">
        <is>
          <t>impostor attachment</t>
        </is>
      </c>
      <c r="AG190" s="3" t="inlineStr">
        <is>
          <t>doubtful connector</t>
        </is>
      </c>
      <c r="AH190" s="3" t="n">
        <v>0</v>
      </c>
      <c r="AI190" s="3" t="inlineStr">
        <is>
          <t>yes</t>
        </is>
      </c>
      <c r="AJ190" s="3" t="inlineStr">
        <is>
          <t>no</t>
        </is>
      </c>
      <c r="AK190" s="3" t="inlineStr">
        <is>
          <t>yes</t>
        </is>
      </c>
      <c r="AL190" s="3" t="inlineStr">
        <is>
          <t>yes</t>
        </is>
      </c>
      <c r="AM190" s="3" t="inlineStr"/>
      <c r="AN190" s="3" t="inlineStr"/>
      <c r="AO190" s="3" t="inlineStr"/>
      <c r="AP190" s="3" t="inlineStr">
        <is>
          <t>v3_2026-03-19</t>
        </is>
      </c>
      <c r="AQ190">
        <f>(L190-Schema_v5!$C2)/(Schema_v5!$C3-Schema_v5!$C2)</f>
        <v/>
      </c>
      <c r="AR190">
        <f>(M190-Schema_v5!$C4)/(Schema_v5!$C5-Schema_v5!$C4)</f>
        <v/>
      </c>
      <c r="AS190">
        <f>N190/Schema_v5!$C6</f>
        <v/>
      </c>
      <c r="AT190">
        <f>O190/Schema_v5!$C7</f>
        <v/>
      </c>
      <c r="AU190">
        <f>P190/Schema_v5!$C8</f>
        <v/>
      </c>
      <c r="AV190">
        <f>IF(Schema_v5!$C9=0,0,AH190/Schema_v5!$C9)</f>
        <v/>
      </c>
      <c r="AW190">
        <f>IF(Schema_v5!$C10=0,0,AE190/Schema_v5!$C10)</f>
        <v/>
      </c>
      <c r="AX190">
        <f>(W190-Schema_v5!$C11)/(Schema_v5!$C12-Schema_v5!$C11)</f>
        <v/>
      </c>
      <c r="AY190">
        <f>(X190-Schema_v5!$C13)/(Schema_v5!$C14-Schema_v5!$C13)</f>
        <v/>
      </c>
    </row>
    <row r="191">
      <c r="A191" s="3" t="inlineStr">
        <is>
          <t>Q38_E</t>
        </is>
      </c>
      <c r="B191" s="3" t="n">
        <v>38</v>
      </c>
      <c r="C191" s="3" t="n">
        <v>38</v>
      </c>
      <c r="D191" s="3" t="inlineStr">
        <is>
          <t>Core</t>
        </is>
      </c>
      <c r="E191" s="3" t="n">
        <v>1.2</v>
      </c>
      <c r="F191" s="3" t="inlineStr">
        <is>
          <t>CommitmentPace</t>
        </is>
      </c>
      <c r="G191" s="3" t="inlineStr">
        <is>
          <t>IntentAlignment</t>
        </is>
      </c>
      <c r="H191" s="3" t="inlineStr"/>
      <c r="I191" s="3" t="inlineStr">
        <is>
          <t>E</t>
        </is>
      </c>
      <c r="J191" s="3" t="inlineStr">
        <is>
          <t>E</t>
        </is>
      </c>
      <c r="K191" s="3" t="inlineStr">
        <is>
          <t>I try to prove I'm worth staying for-get more helpful, more thoughtful, like I need to earn that kind of care.</t>
        </is>
      </c>
      <c r="L191" s="3" t="n">
        <v>5</v>
      </c>
      <c r="M191" s="3" t="n">
        <v>6</v>
      </c>
      <c r="N191" s="3" t="n">
        <v>4</v>
      </c>
      <c r="O191" s="3" t="n">
        <v>4</v>
      </c>
      <c r="P191" s="3" t="n">
        <v>4</v>
      </c>
      <c r="Q191" s="3" t="inlineStr">
        <is>
          <t>Fixer</t>
        </is>
      </c>
      <c r="R191" s="3" t="n">
        <v>5</v>
      </c>
      <c r="S191" s="3" t="inlineStr"/>
      <c r="T191" s="3" t="inlineStr"/>
      <c r="U191" s="3" t="n">
        <v>0</v>
      </c>
      <c r="V191" s="3" t="inlineStr">
        <is>
          <t>masc:-0.4;fem:2.0</t>
        </is>
      </c>
      <c r="W191" s="3" t="n">
        <v>-0.4</v>
      </c>
      <c r="X191" s="3" t="n">
        <v>2</v>
      </c>
      <c r="Y191" s="3" t="inlineStr">
        <is>
          <t>COMM_Emotional</t>
        </is>
      </c>
      <c r="Z191" s="3" t="inlineStr">
        <is>
          <t>REG_CoRegulator</t>
        </is>
      </c>
      <c r="AA191" s="3" t="inlineStr">
        <is>
          <t>LANG_Service</t>
        </is>
      </c>
      <c r="AB191" s="3" t="inlineStr">
        <is>
          <t>Vulnerability_Loop</t>
        </is>
      </c>
      <c r="AC191" s="3" t="inlineStr">
        <is>
          <t>Vulnerability_Loop</t>
        </is>
      </c>
      <c r="AD191" s="3" t="inlineStr"/>
      <c r="AE191" s="3" t="n">
        <v>5</v>
      </c>
      <c r="AF191" s="3" t="inlineStr">
        <is>
          <t>worth-proving reflex</t>
        </is>
      </c>
      <c r="AG191" s="3" t="inlineStr">
        <is>
          <t>service justifier</t>
        </is>
      </c>
      <c r="AH191" s="3" t="n">
        <v>0</v>
      </c>
      <c r="AI191" s="3" t="inlineStr">
        <is>
          <t>yes</t>
        </is>
      </c>
      <c r="AJ191" s="3" t="inlineStr">
        <is>
          <t>no</t>
        </is>
      </c>
      <c r="AK191" s="3" t="inlineStr">
        <is>
          <t>yes</t>
        </is>
      </c>
      <c r="AL191" s="3" t="inlineStr">
        <is>
          <t>yes</t>
        </is>
      </c>
      <c r="AM191" s="3" t="inlineStr"/>
      <c r="AN191" s="3" t="inlineStr"/>
      <c r="AO191" s="3" t="inlineStr"/>
      <c r="AP191" s="3" t="inlineStr">
        <is>
          <t>v3_2026-03-19</t>
        </is>
      </c>
      <c r="AQ191">
        <f>(L191-Schema_v5!$C2)/(Schema_v5!$C3-Schema_v5!$C2)</f>
        <v/>
      </c>
      <c r="AR191">
        <f>(M191-Schema_v5!$C4)/(Schema_v5!$C5-Schema_v5!$C4)</f>
        <v/>
      </c>
      <c r="AS191">
        <f>N191/Schema_v5!$C6</f>
        <v/>
      </c>
      <c r="AT191">
        <f>O191/Schema_v5!$C7</f>
        <v/>
      </c>
      <c r="AU191">
        <f>P191/Schema_v5!$C8</f>
        <v/>
      </c>
      <c r="AV191">
        <f>IF(Schema_v5!$C9=0,0,AH191/Schema_v5!$C9)</f>
        <v/>
      </c>
      <c r="AW191">
        <f>IF(Schema_v5!$C10=0,0,AE191/Schema_v5!$C10)</f>
        <v/>
      </c>
      <c r="AX191">
        <f>(W191-Schema_v5!$C11)/(Schema_v5!$C12-Schema_v5!$C11)</f>
        <v/>
      </c>
      <c r="AY191">
        <f>(X191-Schema_v5!$C13)/(Schema_v5!$C14-Schema_v5!$C13)</f>
        <v/>
      </c>
    </row>
    <row r="192">
      <c r="A192" s="3" t="inlineStr">
        <is>
          <t>Q39_A</t>
        </is>
      </c>
      <c r="B192" s="3" t="n">
        <v>39</v>
      </c>
      <c r="C192" s="3" t="n">
        <v>39</v>
      </c>
      <c r="D192" s="3" t="inlineStr">
        <is>
          <t>Core</t>
        </is>
      </c>
      <c r="E192" s="3" t="n">
        <v>1.2</v>
      </c>
      <c r="F192" s="3" t="inlineStr">
        <is>
          <t>CommitmentPace</t>
        </is>
      </c>
      <c r="G192" s="3" t="inlineStr">
        <is>
          <t>IntentAlignment</t>
        </is>
      </c>
      <c r="H192" s="3" t="inlineStr">
        <is>
          <t>Someone you care about starts spiraling emotionally-maybe crying, venting, or breaking down. What's your honest first instinct?</t>
        </is>
      </c>
      <c r="I192" s="3" t="inlineStr">
        <is>
          <t>A</t>
        </is>
      </c>
      <c r="J192" s="3" t="inlineStr">
        <is>
          <t>A</t>
        </is>
      </c>
      <c r="K192" s="3" t="inlineStr">
        <is>
          <t>I freeze a little. I care, but I don't always know what to do when it gets intense.</t>
        </is>
      </c>
      <c r="L192" s="3" t="n">
        <v>6</v>
      </c>
      <c r="M192" s="3" t="n">
        <v>7</v>
      </c>
      <c r="N192" s="3" t="n">
        <v>2</v>
      </c>
      <c r="O192" s="3" t="n">
        <v>2</v>
      </c>
      <c r="P192" s="3" t="n">
        <v>0</v>
      </c>
      <c r="Q192" s="3" t="inlineStr">
        <is>
          <t>Icebox</t>
        </is>
      </c>
      <c r="R192" s="3" t="n">
        <v>1</v>
      </c>
      <c r="S192" s="3" t="inlineStr"/>
      <c r="T192" s="3" t="inlineStr"/>
      <c r="U192" s="3" t="n">
        <v>0</v>
      </c>
      <c r="V192" s="3" t="inlineStr">
        <is>
          <t>masc:1.8;fem:-1.6</t>
        </is>
      </c>
      <c r="W192" s="3" t="n">
        <v>1.8</v>
      </c>
      <c r="X192" s="3" t="n">
        <v>-1.6</v>
      </c>
      <c r="Y192" s="3" t="inlineStr">
        <is>
          <t>COMM_Avoidant</t>
        </is>
      </c>
      <c r="Z192" s="3" t="inlineStr">
        <is>
          <t>REG_Suppressor</t>
        </is>
      </c>
      <c r="AA192" s="3" t="inlineStr">
        <is>
          <t>LANG_Time</t>
        </is>
      </c>
      <c r="AB192" s="3" t="inlineStr">
        <is>
          <t>Vulnerability_Loop</t>
        </is>
      </c>
      <c r="AC192" s="3" t="inlineStr">
        <is>
          <t>Vulnerability_Loop</t>
        </is>
      </c>
      <c r="AD192" s="3" t="inlineStr"/>
      <c r="AE192" s="3" t="n">
        <v>5</v>
      </c>
      <c r="AF192" s="3" t="inlineStr">
        <is>
          <t>empathic freeze response</t>
        </is>
      </c>
      <c r="AG192" s="3" t="inlineStr">
        <is>
          <t>unsure supporter</t>
        </is>
      </c>
      <c r="AH192" s="3" t="n">
        <v>0</v>
      </c>
      <c r="AI192" s="3" t="inlineStr">
        <is>
          <t>yes</t>
        </is>
      </c>
      <c r="AJ192" s="3" t="inlineStr">
        <is>
          <t>no</t>
        </is>
      </c>
      <c r="AK192" s="3" t="inlineStr">
        <is>
          <t>yes</t>
        </is>
      </c>
      <c r="AL192" s="3" t="inlineStr">
        <is>
          <t>yes</t>
        </is>
      </c>
      <c r="AM192" s="3" t="inlineStr"/>
      <c r="AN192" s="3" t="inlineStr"/>
      <c r="AO192" s="3" t="inlineStr"/>
      <c r="AP192" s="3" t="inlineStr">
        <is>
          <t>v3_2026-03-19</t>
        </is>
      </c>
      <c r="AQ192">
        <f>(L192-Schema_v5!$C2)/(Schema_v5!$C3-Schema_v5!$C2)</f>
        <v/>
      </c>
      <c r="AR192">
        <f>(M192-Schema_v5!$C4)/(Schema_v5!$C5-Schema_v5!$C4)</f>
        <v/>
      </c>
      <c r="AS192">
        <f>N192/Schema_v5!$C6</f>
        <v/>
      </c>
      <c r="AT192">
        <f>O192/Schema_v5!$C7</f>
        <v/>
      </c>
      <c r="AU192">
        <f>P192/Schema_v5!$C8</f>
        <v/>
      </c>
      <c r="AV192">
        <f>IF(Schema_v5!$C9=0,0,AH192/Schema_v5!$C9)</f>
        <v/>
      </c>
      <c r="AW192">
        <f>IF(Schema_v5!$C10=0,0,AE192/Schema_v5!$C10)</f>
        <v/>
      </c>
      <c r="AX192">
        <f>(W192-Schema_v5!$C11)/(Schema_v5!$C12-Schema_v5!$C11)</f>
        <v/>
      </c>
      <c r="AY192">
        <f>(X192-Schema_v5!$C13)/(Schema_v5!$C14-Schema_v5!$C13)</f>
        <v/>
      </c>
    </row>
    <row r="193">
      <c r="A193" s="3" t="inlineStr">
        <is>
          <t>Q39_B</t>
        </is>
      </c>
      <c r="B193" s="3" t="n">
        <v>39</v>
      </c>
      <c r="C193" s="3" t="n">
        <v>39</v>
      </c>
      <c r="D193" s="3" t="inlineStr">
        <is>
          <t>Core</t>
        </is>
      </c>
      <c r="E193" s="3" t="n">
        <v>1.2</v>
      </c>
      <c r="F193" s="3" t="inlineStr">
        <is>
          <t>CommitmentPace</t>
        </is>
      </c>
      <c r="G193" s="3" t="inlineStr">
        <is>
          <t>IntentAlignment</t>
        </is>
      </c>
      <c r="H193" s="3" t="inlineStr"/>
      <c r="I193" s="3" t="inlineStr">
        <is>
          <t>B</t>
        </is>
      </c>
      <c r="J193" s="3" t="inlineStr">
        <is>
          <t>B</t>
        </is>
      </c>
      <c r="K193" s="3" t="inlineStr">
        <is>
          <t>I jump into soothe mode-even if I'm overwhelmed too. I just want to make it stop for them.</t>
        </is>
      </c>
      <c r="L193" s="3" t="n">
        <v>8</v>
      </c>
      <c r="M193" s="3" t="n">
        <v>9</v>
      </c>
      <c r="N193" s="3" t="n">
        <v>8</v>
      </c>
      <c r="O193" s="3" t="n">
        <v>10</v>
      </c>
      <c r="P193" s="3" t="n">
        <v>8</v>
      </c>
      <c r="Q193" s="3" t="inlineStr">
        <is>
          <t>Fixer</t>
        </is>
      </c>
      <c r="R193" s="3" t="n">
        <v>5</v>
      </c>
      <c r="S193" s="3" t="inlineStr"/>
      <c r="T193" s="3" t="inlineStr"/>
      <c r="U193" s="3" t="n">
        <v>0</v>
      </c>
      <c r="V193" s="3" t="inlineStr">
        <is>
          <t>masc:-0.4;fem:2.0</t>
        </is>
      </c>
      <c r="W193" s="3" t="n">
        <v>-0.4</v>
      </c>
      <c r="X193" s="3" t="n">
        <v>2</v>
      </c>
      <c r="Y193" s="3" t="inlineStr">
        <is>
          <t>COMM_Emotional</t>
        </is>
      </c>
      <c r="Z193" s="3" t="inlineStr">
        <is>
          <t>REG_CoRegulator</t>
        </is>
      </c>
      <c r="AA193" s="3" t="inlineStr">
        <is>
          <t>LANG_Service</t>
        </is>
      </c>
      <c r="AB193" s="3" t="inlineStr"/>
      <c r="AC193" s="3" t="inlineStr"/>
      <c r="AD193" s="3" t="inlineStr"/>
      <c r="AE193" s="3" t="n">
        <v>0</v>
      </c>
      <c r="AF193" s="3" t="inlineStr">
        <is>
          <t>emotional rescue reflex</t>
        </is>
      </c>
      <c r="AG193" s="3" t="inlineStr">
        <is>
          <t>active comforter</t>
        </is>
      </c>
      <c r="AH193" s="3" t="n">
        <v>0</v>
      </c>
      <c r="AI193" s="3" t="inlineStr">
        <is>
          <t>no</t>
        </is>
      </c>
      <c r="AJ193" s="3" t="inlineStr">
        <is>
          <t>no</t>
        </is>
      </c>
      <c r="AK193" s="3" t="inlineStr">
        <is>
          <t>yes</t>
        </is>
      </c>
      <c r="AL193" s="3" t="inlineStr">
        <is>
          <t>yes</t>
        </is>
      </c>
      <c r="AM193" s="3" t="inlineStr"/>
      <c r="AN193" s="3" t="inlineStr"/>
      <c r="AO193" s="3" t="inlineStr"/>
      <c r="AP193" s="3" t="inlineStr">
        <is>
          <t>v3_2026-03-19</t>
        </is>
      </c>
      <c r="AQ193">
        <f>(L193-Schema_v5!$C2)/(Schema_v5!$C3-Schema_v5!$C2)</f>
        <v/>
      </c>
      <c r="AR193">
        <f>(M193-Schema_v5!$C4)/(Schema_v5!$C5-Schema_v5!$C4)</f>
        <v/>
      </c>
      <c r="AS193">
        <f>N193/Schema_v5!$C6</f>
        <v/>
      </c>
      <c r="AT193">
        <f>O193/Schema_v5!$C7</f>
        <v/>
      </c>
      <c r="AU193">
        <f>P193/Schema_v5!$C8</f>
        <v/>
      </c>
      <c r="AV193">
        <f>IF(Schema_v5!$C9=0,0,AH193/Schema_v5!$C9)</f>
        <v/>
      </c>
      <c r="AW193">
        <f>IF(Schema_v5!$C10=0,0,AE193/Schema_v5!$C10)</f>
        <v/>
      </c>
      <c r="AX193">
        <f>(W193-Schema_v5!$C11)/(Schema_v5!$C12-Schema_v5!$C11)</f>
        <v/>
      </c>
      <c r="AY193">
        <f>(X193-Schema_v5!$C13)/(Schema_v5!$C14-Schema_v5!$C13)</f>
        <v/>
      </c>
    </row>
    <row r="194">
      <c r="A194" s="3" t="inlineStr">
        <is>
          <t>Q39_C</t>
        </is>
      </c>
      <c r="B194" s="3" t="n">
        <v>39</v>
      </c>
      <c r="C194" s="3" t="n">
        <v>39</v>
      </c>
      <c r="D194" s="3" t="inlineStr">
        <is>
          <t>Core</t>
        </is>
      </c>
      <c r="E194" s="3" t="n">
        <v>1.2</v>
      </c>
      <c r="F194" s="3" t="inlineStr">
        <is>
          <t>CommitmentPace</t>
        </is>
      </c>
      <c r="G194" s="3" t="inlineStr">
        <is>
          <t>IntentAlignment</t>
        </is>
      </c>
      <c r="H194" s="3" t="inlineStr"/>
      <c r="I194" s="3" t="inlineStr">
        <is>
          <t>C</t>
        </is>
      </c>
      <c r="J194" s="3" t="inlineStr">
        <is>
          <t>C</t>
        </is>
      </c>
      <c r="K194" s="3" t="inlineStr">
        <is>
          <t>I try to keep my face calm while scanning for the root of what triggered it. I want to understand more than react.</t>
        </is>
      </c>
      <c r="L194" s="3" t="n">
        <v>8</v>
      </c>
      <c r="M194" s="3" t="n">
        <v>9</v>
      </c>
      <c r="N194" s="3" t="n">
        <v>8</v>
      </c>
      <c r="O194" s="3" t="n">
        <v>8</v>
      </c>
      <c r="P194" s="3" t="n">
        <v>8</v>
      </c>
      <c r="Q194" s="3" t="inlineStr">
        <is>
          <t>Analyzer</t>
        </is>
      </c>
      <c r="R194" s="3" t="n">
        <v>2</v>
      </c>
      <c r="S194" s="3" t="inlineStr"/>
      <c r="T194" s="3" t="inlineStr"/>
      <c r="U194" s="3" t="n">
        <v>0</v>
      </c>
      <c r="V194" s="3" t="inlineStr">
        <is>
          <t>masc:1.4;fem:0.1</t>
        </is>
      </c>
      <c r="W194" s="3" t="n">
        <v>1.4</v>
      </c>
      <c r="X194" s="3" t="n">
        <v>0.1</v>
      </c>
      <c r="Y194" s="3" t="inlineStr">
        <is>
          <t>COMM_Logical</t>
        </is>
      </c>
      <c r="Z194" s="3" t="inlineStr">
        <is>
          <t>REG_SelfSoother</t>
        </is>
      </c>
      <c r="AA194" s="3" t="inlineStr">
        <is>
          <t>LANG_Service</t>
        </is>
      </c>
      <c r="AB194" s="3" t="inlineStr"/>
      <c r="AC194" s="3" t="inlineStr"/>
      <c r="AD194" s="3" t="inlineStr"/>
      <c r="AE194" s="3" t="n">
        <v>0</v>
      </c>
      <c r="AF194" s="3" t="inlineStr">
        <is>
          <t>real-time emotional investigator</t>
        </is>
      </c>
      <c r="AG194" s="3" t="inlineStr">
        <is>
          <t>cause finder</t>
        </is>
      </c>
      <c r="AH194" s="3" t="n">
        <v>0</v>
      </c>
      <c r="AI194" s="3" t="inlineStr">
        <is>
          <t>no</t>
        </is>
      </c>
      <c r="AJ194" s="3" t="inlineStr">
        <is>
          <t>no</t>
        </is>
      </c>
      <c r="AK194" s="3" t="inlineStr">
        <is>
          <t>yes</t>
        </is>
      </c>
      <c r="AL194" s="3" t="inlineStr">
        <is>
          <t>yes</t>
        </is>
      </c>
      <c r="AM194" s="3" t="inlineStr"/>
      <c r="AN194" s="3" t="inlineStr"/>
      <c r="AO194" s="3" t="inlineStr"/>
      <c r="AP194" s="3" t="inlineStr">
        <is>
          <t>v3_2026-03-19</t>
        </is>
      </c>
      <c r="AQ194">
        <f>(L194-Schema_v5!$C2)/(Schema_v5!$C3-Schema_v5!$C2)</f>
        <v/>
      </c>
      <c r="AR194">
        <f>(M194-Schema_v5!$C4)/(Schema_v5!$C5-Schema_v5!$C4)</f>
        <v/>
      </c>
      <c r="AS194">
        <f>N194/Schema_v5!$C6</f>
        <v/>
      </c>
      <c r="AT194">
        <f>O194/Schema_v5!$C7</f>
        <v/>
      </c>
      <c r="AU194">
        <f>P194/Schema_v5!$C8</f>
        <v/>
      </c>
      <c r="AV194">
        <f>IF(Schema_v5!$C9=0,0,AH194/Schema_v5!$C9)</f>
        <v/>
      </c>
      <c r="AW194">
        <f>IF(Schema_v5!$C10=0,0,AE194/Schema_v5!$C10)</f>
        <v/>
      </c>
      <c r="AX194">
        <f>(W194-Schema_v5!$C11)/(Schema_v5!$C12-Schema_v5!$C11)</f>
        <v/>
      </c>
      <c r="AY194">
        <f>(X194-Schema_v5!$C13)/(Schema_v5!$C14-Schema_v5!$C13)</f>
        <v/>
      </c>
    </row>
    <row r="195">
      <c r="A195" s="3" t="inlineStr">
        <is>
          <t>Q39_D</t>
        </is>
      </c>
      <c r="B195" s="3" t="n">
        <v>39</v>
      </c>
      <c r="C195" s="3" t="n">
        <v>39</v>
      </c>
      <c r="D195" s="3" t="inlineStr">
        <is>
          <t>Core</t>
        </is>
      </c>
      <c r="E195" s="3" t="n">
        <v>1.2</v>
      </c>
      <c r="F195" s="3" t="inlineStr">
        <is>
          <t>CommitmentPace</t>
        </is>
      </c>
      <c r="G195" s="3" t="inlineStr">
        <is>
          <t>IntentAlignment</t>
        </is>
      </c>
      <c r="H195" s="3" t="inlineStr"/>
      <c r="I195" s="3" t="inlineStr">
        <is>
          <t>D</t>
        </is>
      </c>
      <c r="J195" s="3" t="inlineStr">
        <is>
          <t>D</t>
        </is>
      </c>
      <c r="K195" s="3" t="inlineStr">
        <is>
          <t>I stay with them, but I don't say much. I figure they'll talk when they're ready-I just try to hold space without pressure.</t>
        </is>
      </c>
      <c r="L195" s="3" t="n">
        <v>8</v>
      </c>
      <c r="M195" s="3" t="n">
        <v>9</v>
      </c>
      <c r="N195" s="3" t="n">
        <v>8</v>
      </c>
      <c r="O195" s="3" t="n">
        <v>8</v>
      </c>
      <c r="P195" s="3" t="n">
        <v>8</v>
      </c>
      <c r="Q195" s="3" t="inlineStr">
        <is>
          <t>Survivor</t>
        </is>
      </c>
      <c r="R195" s="3" t="n">
        <v>8</v>
      </c>
      <c r="S195" s="3" t="inlineStr"/>
      <c r="T195" s="3" t="inlineStr"/>
      <c r="U195" s="3" t="n">
        <v>0</v>
      </c>
      <c r="V195" s="3" t="inlineStr">
        <is>
          <t>masc:0.3;fem:1.3</t>
        </is>
      </c>
      <c r="W195" s="3" t="n">
        <v>0.3</v>
      </c>
      <c r="X195" s="3" t="n">
        <v>1.3</v>
      </c>
      <c r="Y195" s="3" t="inlineStr">
        <is>
          <t>COMM_Emotional</t>
        </is>
      </c>
      <c r="Z195" s="3" t="inlineStr">
        <is>
          <t>REG_SelfSoother</t>
        </is>
      </c>
      <c r="AA195" s="3" t="inlineStr">
        <is>
          <t>LANG_Service</t>
        </is>
      </c>
      <c r="AB195" s="3" t="inlineStr"/>
      <c r="AC195" s="3" t="inlineStr"/>
      <c r="AD195" s="3" t="inlineStr"/>
      <c r="AE195" s="3" t="n">
        <v>0</v>
      </c>
      <c r="AF195" s="3" t="inlineStr">
        <is>
          <t>quiet steady presence</t>
        </is>
      </c>
      <c r="AG195" s="3" t="inlineStr">
        <is>
          <t>silent anchor</t>
        </is>
      </c>
      <c r="AH195" s="3" t="n">
        <v>0.6</v>
      </c>
      <c r="AI195" s="3" t="inlineStr">
        <is>
          <t>no</t>
        </is>
      </c>
      <c r="AJ195" s="3" t="inlineStr">
        <is>
          <t>no</t>
        </is>
      </c>
      <c r="AK195" s="3" t="inlineStr">
        <is>
          <t>yes</t>
        </is>
      </c>
      <c r="AL195" s="3" t="inlineStr">
        <is>
          <t>yes</t>
        </is>
      </c>
      <c r="AM195" s="3" t="inlineStr"/>
      <c r="AN195" s="3" t="inlineStr"/>
      <c r="AO195" s="3" t="inlineStr"/>
      <c r="AP195" s="3" t="inlineStr">
        <is>
          <t>v3_2026-03-19</t>
        </is>
      </c>
      <c r="AQ195">
        <f>(L195-Schema_v5!$C2)/(Schema_v5!$C3-Schema_v5!$C2)</f>
        <v/>
      </c>
      <c r="AR195">
        <f>(M195-Schema_v5!$C4)/(Schema_v5!$C5-Schema_v5!$C4)</f>
        <v/>
      </c>
      <c r="AS195">
        <f>N195/Schema_v5!$C6</f>
        <v/>
      </c>
      <c r="AT195">
        <f>O195/Schema_v5!$C7</f>
        <v/>
      </c>
      <c r="AU195">
        <f>P195/Schema_v5!$C8</f>
        <v/>
      </c>
      <c r="AV195">
        <f>IF(Schema_v5!$C9=0,0,AH195/Schema_v5!$C9)</f>
        <v/>
      </c>
      <c r="AW195">
        <f>IF(Schema_v5!$C10=0,0,AE195/Schema_v5!$C10)</f>
        <v/>
      </c>
      <c r="AX195">
        <f>(W195-Schema_v5!$C11)/(Schema_v5!$C12-Schema_v5!$C11)</f>
        <v/>
      </c>
      <c r="AY195">
        <f>(X195-Schema_v5!$C13)/(Schema_v5!$C14-Schema_v5!$C13)</f>
        <v/>
      </c>
    </row>
    <row r="196">
      <c r="A196" s="3" t="inlineStr">
        <is>
          <t>Q39_E</t>
        </is>
      </c>
      <c r="B196" s="3" t="n">
        <v>39</v>
      </c>
      <c r="C196" s="3" t="n">
        <v>39</v>
      </c>
      <c r="D196" s="3" t="inlineStr">
        <is>
          <t>Core</t>
        </is>
      </c>
      <c r="E196" s="3" t="n">
        <v>1.2</v>
      </c>
      <c r="F196" s="3" t="inlineStr">
        <is>
          <t>CommitmentPace</t>
        </is>
      </c>
      <c r="G196" s="3" t="inlineStr">
        <is>
          <t>IntentAlignment</t>
        </is>
      </c>
      <c r="H196" s="3" t="inlineStr"/>
      <c r="I196" s="3" t="inlineStr">
        <is>
          <t>E</t>
        </is>
      </c>
      <c r="J196" s="3" t="inlineStr">
        <is>
          <t>E</t>
        </is>
      </c>
      <c r="K196" s="3" t="inlineStr">
        <is>
          <t>I redirect. Ask if they wanna get food or watch something-anything to ground them and shift the energy.</t>
        </is>
      </c>
      <c r="L196" s="3" t="n">
        <v>6</v>
      </c>
      <c r="M196" s="3" t="n">
        <v>7</v>
      </c>
      <c r="N196" s="3" t="n">
        <v>4</v>
      </c>
      <c r="O196" s="3" t="n">
        <v>4</v>
      </c>
      <c r="P196" s="3" t="n">
        <v>2</v>
      </c>
      <c r="Q196" s="3" t="inlineStr">
        <is>
          <t>Performer</t>
        </is>
      </c>
      <c r="R196" s="3" t="n">
        <v>7</v>
      </c>
      <c r="S196" s="3" t="inlineStr"/>
      <c r="T196" s="3" t="inlineStr"/>
      <c r="U196" s="3" t="n">
        <v>0</v>
      </c>
      <c r="V196" s="3" t="inlineStr">
        <is>
          <t>masc:0.3;fem:0.5</t>
        </is>
      </c>
      <c r="W196" s="3" t="n">
        <v>0.3</v>
      </c>
      <c r="X196" s="3" t="n">
        <v>0.5</v>
      </c>
      <c r="Y196" s="3" t="inlineStr">
        <is>
          <t>COMM_Indirect</t>
        </is>
      </c>
      <c r="Z196" s="3" t="inlineStr">
        <is>
          <t>REG_Distractor</t>
        </is>
      </c>
      <c r="AA196" s="3" t="inlineStr">
        <is>
          <t>LANG_Gifts</t>
        </is>
      </c>
      <c r="AB196" s="3" t="inlineStr">
        <is>
          <t>Conflict_Flip</t>
        </is>
      </c>
      <c r="AC196" s="3" t="inlineStr">
        <is>
          <t>Conflict_Flip</t>
        </is>
      </c>
      <c r="AD196" s="3" t="inlineStr"/>
      <c r="AE196" s="3" t="n">
        <v>4</v>
      </c>
      <c r="AF196" s="3" t="inlineStr">
        <is>
          <t>soothing through distraction</t>
        </is>
      </c>
      <c r="AG196" s="3" t="inlineStr">
        <is>
          <t>light energy shifter</t>
        </is>
      </c>
      <c r="AH196" s="3" t="n">
        <v>0</v>
      </c>
      <c r="AI196" s="3" t="inlineStr">
        <is>
          <t>yes</t>
        </is>
      </c>
      <c r="AJ196" s="3" t="inlineStr">
        <is>
          <t>no</t>
        </is>
      </c>
      <c r="AK196" s="3" t="inlineStr">
        <is>
          <t>yes</t>
        </is>
      </c>
      <c r="AL196" s="3" t="inlineStr">
        <is>
          <t>yes</t>
        </is>
      </c>
      <c r="AM196" s="3" t="inlineStr"/>
      <c r="AN196" s="3" t="inlineStr"/>
      <c r="AO196" s="3" t="inlineStr"/>
      <c r="AP196" s="3" t="inlineStr">
        <is>
          <t>v3_2026-03-19</t>
        </is>
      </c>
      <c r="AQ196">
        <f>(L196-Schema_v5!$C2)/(Schema_v5!$C3-Schema_v5!$C2)</f>
        <v/>
      </c>
      <c r="AR196">
        <f>(M196-Schema_v5!$C4)/(Schema_v5!$C5-Schema_v5!$C4)</f>
        <v/>
      </c>
      <c r="AS196">
        <f>N196/Schema_v5!$C6</f>
        <v/>
      </c>
      <c r="AT196">
        <f>O196/Schema_v5!$C7</f>
        <v/>
      </c>
      <c r="AU196">
        <f>P196/Schema_v5!$C8</f>
        <v/>
      </c>
      <c r="AV196">
        <f>IF(Schema_v5!$C9=0,0,AH196/Schema_v5!$C9)</f>
        <v/>
      </c>
      <c r="AW196">
        <f>IF(Schema_v5!$C10=0,0,AE196/Schema_v5!$C10)</f>
        <v/>
      </c>
      <c r="AX196">
        <f>(W196-Schema_v5!$C11)/(Schema_v5!$C12-Schema_v5!$C11)</f>
        <v/>
      </c>
      <c r="AY196">
        <f>(X196-Schema_v5!$C13)/(Schema_v5!$C14-Schema_v5!$C13)</f>
        <v/>
      </c>
    </row>
    <row r="197">
      <c r="A197" s="3" t="inlineStr">
        <is>
          <t>Q40_A</t>
        </is>
      </c>
      <c r="B197" s="3" t="n">
        <v>40</v>
      </c>
      <c r="C197" s="3" t="n">
        <v>40</v>
      </c>
      <c r="D197" s="3" t="inlineStr">
        <is>
          <t>Core</t>
        </is>
      </c>
      <c r="E197" s="3" t="n">
        <v>1.2</v>
      </c>
      <c r="F197" s="3" t="inlineStr">
        <is>
          <t>CommitmentPace</t>
        </is>
      </c>
      <c r="G197" s="3" t="inlineStr">
        <is>
          <t>IntentAlignment</t>
        </is>
      </c>
      <c r="H197" s="3" t="inlineStr">
        <is>
          <t>If you're being honest-what's usually the real reason you try to win someone over?</t>
        </is>
      </c>
      <c r="I197" s="3" t="inlineStr">
        <is>
          <t>A</t>
        </is>
      </c>
      <c r="J197" s="3" t="inlineStr">
        <is>
          <t>A</t>
        </is>
      </c>
      <c r="K197" s="3" t="inlineStr">
        <is>
          <t>To prove I'm wanted. If I'm chosen, it means I'm not as forgettable as I feel.</t>
        </is>
      </c>
      <c r="L197" s="3" t="n">
        <v>4</v>
      </c>
      <c r="M197" s="3" t="n">
        <v>5</v>
      </c>
      <c r="N197" s="3" t="n">
        <v>2</v>
      </c>
      <c r="O197" s="3" t="n">
        <v>2</v>
      </c>
      <c r="P197" s="3" t="n">
        <v>0</v>
      </c>
      <c r="Q197" s="3" t="inlineStr">
        <is>
          <t>Phantom Seeker</t>
        </is>
      </c>
      <c r="R197" s="3" t="n">
        <v>10</v>
      </c>
      <c r="S197" s="3" t="inlineStr"/>
      <c r="T197" s="3" t="inlineStr"/>
      <c r="U197" s="3" t="n">
        <v>0</v>
      </c>
      <c r="V197" s="3" t="inlineStr">
        <is>
          <t>masc:-0.2;fem:1.5</t>
        </is>
      </c>
      <c r="W197" s="3" t="n">
        <v>-0.2</v>
      </c>
      <c r="X197" s="3" t="n">
        <v>1.5</v>
      </c>
      <c r="Y197" s="3" t="inlineStr">
        <is>
          <t>COMM_Emotional</t>
        </is>
      </c>
      <c r="Z197" s="3" t="inlineStr">
        <is>
          <t>REG_SelfSoother</t>
        </is>
      </c>
      <c r="AA197" s="3" t="inlineStr">
        <is>
          <t>LANG_Touch</t>
        </is>
      </c>
      <c r="AB197" s="3" t="inlineStr">
        <is>
          <t>Vulnerability_Loop</t>
        </is>
      </c>
      <c r="AC197" s="3" t="inlineStr">
        <is>
          <t>Vulnerability_Loop</t>
        </is>
      </c>
      <c r="AD197" s="3" t="inlineStr"/>
      <c r="AE197" s="3" t="n">
        <v>5</v>
      </c>
      <c r="AF197" s="3" t="inlineStr">
        <is>
          <t>longing for proof</t>
        </is>
      </c>
      <c r="AG197" s="3" t="inlineStr">
        <is>
          <t>validation seeker</t>
        </is>
      </c>
      <c r="AH197" s="3" t="n">
        <v>0</v>
      </c>
      <c r="AI197" s="3" t="inlineStr">
        <is>
          <t>yes</t>
        </is>
      </c>
      <c r="AJ197" s="3" t="inlineStr">
        <is>
          <t>no</t>
        </is>
      </c>
      <c r="AK197" s="3" t="inlineStr">
        <is>
          <t>yes</t>
        </is>
      </c>
      <c r="AL197" s="3" t="inlineStr">
        <is>
          <t>yes</t>
        </is>
      </c>
      <c r="AM197" s="3" t="inlineStr"/>
      <c r="AN197" s="3" t="inlineStr"/>
      <c r="AO197" s="3" t="inlineStr"/>
      <c r="AP197" s="3" t="inlineStr">
        <is>
          <t>v3_2026-03-19</t>
        </is>
      </c>
      <c r="AQ197">
        <f>(L197-Schema_v5!$C2)/(Schema_v5!$C3-Schema_v5!$C2)</f>
        <v/>
      </c>
      <c r="AR197">
        <f>(M197-Schema_v5!$C4)/(Schema_v5!$C5-Schema_v5!$C4)</f>
        <v/>
      </c>
      <c r="AS197">
        <f>N197/Schema_v5!$C6</f>
        <v/>
      </c>
      <c r="AT197">
        <f>O197/Schema_v5!$C7</f>
        <v/>
      </c>
      <c r="AU197">
        <f>P197/Schema_v5!$C8</f>
        <v/>
      </c>
      <c r="AV197">
        <f>IF(Schema_v5!$C9=0,0,AH197/Schema_v5!$C9)</f>
        <v/>
      </c>
      <c r="AW197">
        <f>IF(Schema_v5!$C10=0,0,AE197/Schema_v5!$C10)</f>
        <v/>
      </c>
      <c r="AX197">
        <f>(W197-Schema_v5!$C11)/(Schema_v5!$C12-Schema_v5!$C11)</f>
        <v/>
      </c>
      <c r="AY197">
        <f>(X197-Schema_v5!$C13)/(Schema_v5!$C14-Schema_v5!$C13)</f>
        <v/>
      </c>
    </row>
    <row r="198">
      <c r="A198" s="3" t="inlineStr">
        <is>
          <t>Q40_B</t>
        </is>
      </c>
      <c r="B198" s="3" t="n">
        <v>40</v>
      </c>
      <c r="C198" s="3" t="n">
        <v>40</v>
      </c>
      <c r="D198" s="3" t="inlineStr">
        <is>
          <t>Core</t>
        </is>
      </c>
      <c r="E198" s="3" t="n">
        <v>1.2</v>
      </c>
      <c r="F198" s="3" t="inlineStr">
        <is>
          <t>CommitmentPace</t>
        </is>
      </c>
      <c r="G198" s="3" t="inlineStr">
        <is>
          <t>IntentAlignment</t>
        </is>
      </c>
      <c r="H198" s="3" t="inlineStr"/>
      <c r="I198" s="3" t="inlineStr">
        <is>
          <t>B</t>
        </is>
      </c>
      <c r="J198" s="3" t="inlineStr">
        <is>
          <t>B</t>
        </is>
      </c>
      <c r="K198" s="3" t="inlineStr">
        <is>
          <t>To stay in control. If I keep the upper hand, I can leave before I get left.</t>
        </is>
      </c>
      <c r="L198" s="3" t="n">
        <v>6</v>
      </c>
      <c r="M198" s="3" t="n">
        <v>7</v>
      </c>
      <c r="N198" s="3" t="n">
        <v>2</v>
      </c>
      <c r="O198" s="3" t="n">
        <v>2</v>
      </c>
      <c r="P198" s="3" t="n">
        <v>0</v>
      </c>
      <c r="Q198" s="3" t="inlineStr">
        <is>
          <t>Icebox</t>
        </is>
      </c>
      <c r="R198" s="3" t="n">
        <v>1</v>
      </c>
      <c r="S198" s="3" t="inlineStr"/>
      <c r="T198" s="3" t="inlineStr"/>
      <c r="U198" s="3" t="n">
        <v>0</v>
      </c>
      <c r="V198" s="3" t="inlineStr">
        <is>
          <t>masc:1.8;fem:-1.6</t>
        </is>
      </c>
      <c r="W198" s="3" t="n">
        <v>1.8</v>
      </c>
      <c r="X198" s="3" t="n">
        <v>-1.6</v>
      </c>
      <c r="Y198" s="3" t="inlineStr">
        <is>
          <t>COMM_Avoidant</t>
        </is>
      </c>
      <c r="Z198" s="3" t="inlineStr">
        <is>
          <t>REG_Suppressor</t>
        </is>
      </c>
      <c r="AA198" s="3" t="inlineStr">
        <is>
          <t>LANG_Time</t>
        </is>
      </c>
      <c r="AB198" s="3" t="inlineStr">
        <is>
          <t>Control_Avoidance</t>
        </is>
      </c>
      <c r="AC198" s="3" t="inlineStr">
        <is>
          <t>Control_Avoidance</t>
        </is>
      </c>
      <c r="AD198" s="3" t="inlineStr"/>
      <c r="AE198" s="3" t="n">
        <v>6</v>
      </c>
      <c r="AF198" s="3" t="inlineStr">
        <is>
          <t>power preservation pattern</t>
        </is>
      </c>
      <c r="AG198" s="3" t="inlineStr">
        <is>
          <t>emotional guard</t>
        </is>
      </c>
      <c r="AH198" s="3" t="n">
        <v>0</v>
      </c>
      <c r="AI198" s="3" t="inlineStr">
        <is>
          <t>yes</t>
        </is>
      </c>
      <c r="AJ198" s="3" t="inlineStr">
        <is>
          <t>no</t>
        </is>
      </c>
      <c r="AK198" s="3" t="inlineStr">
        <is>
          <t>yes</t>
        </is>
      </c>
      <c r="AL198" s="3" t="inlineStr">
        <is>
          <t>yes</t>
        </is>
      </c>
      <c r="AM198" s="3" t="inlineStr"/>
      <c r="AN198" s="3" t="inlineStr"/>
      <c r="AO198" s="3" t="inlineStr"/>
      <c r="AP198" s="3" t="inlineStr">
        <is>
          <t>v3_2026-03-19</t>
        </is>
      </c>
      <c r="AQ198">
        <f>(L198-Schema_v5!$C2)/(Schema_v5!$C3-Schema_v5!$C2)</f>
        <v/>
      </c>
      <c r="AR198">
        <f>(M198-Schema_v5!$C4)/(Schema_v5!$C5-Schema_v5!$C4)</f>
        <v/>
      </c>
      <c r="AS198">
        <f>N198/Schema_v5!$C6</f>
        <v/>
      </c>
      <c r="AT198">
        <f>O198/Schema_v5!$C7</f>
        <v/>
      </c>
      <c r="AU198">
        <f>P198/Schema_v5!$C8</f>
        <v/>
      </c>
      <c r="AV198">
        <f>IF(Schema_v5!$C9=0,0,AH198/Schema_v5!$C9)</f>
        <v/>
      </c>
      <c r="AW198">
        <f>IF(Schema_v5!$C10=0,0,AE198/Schema_v5!$C10)</f>
        <v/>
      </c>
      <c r="AX198">
        <f>(W198-Schema_v5!$C11)/(Schema_v5!$C12-Schema_v5!$C11)</f>
        <v/>
      </c>
      <c r="AY198">
        <f>(X198-Schema_v5!$C13)/(Schema_v5!$C14-Schema_v5!$C13)</f>
        <v/>
      </c>
    </row>
    <row r="199">
      <c r="A199" s="3" t="inlineStr">
        <is>
          <t>Q40_C</t>
        </is>
      </c>
      <c r="B199" s="3" t="n">
        <v>40</v>
      </c>
      <c r="C199" s="3" t="n">
        <v>40</v>
      </c>
      <c r="D199" s="3" t="inlineStr">
        <is>
          <t>Core</t>
        </is>
      </c>
      <c r="E199" s="3" t="n">
        <v>1.2</v>
      </c>
      <c r="F199" s="3" t="inlineStr">
        <is>
          <t>CommitmentPace</t>
        </is>
      </c>
      <c r="G199" s="3" t="inlineStr">
        <is>
          <t>IntentAlignment</t>
        </is>
      </c>
      <c r="H199" s="3" t="inlineStr"/>
      <c r="I199" s="3" t="inlineStr">
        <is>
          <t>C</t>
        </is>
      </c>
      <c r="J199" s="3" t="inlineStr">
        <is>
          <t>C</t>
        </is>
      </c>
      <c r="K199" s="3" t="inlineStr">
        <is>
          <t>To matter. If I'm helpful or healing, it gives me a reason to be kept around.</t>
        </is>
      </c>
      <c r="L199" s="3" t="n">
        <v>8</v>
      </c>
      <c r="M199" s="3" t="n">
        <v>9</v>
      </c>
      <c r="N199" s="3" t="n">
        <v>8</v>
      </c>
      <c r="O199" s="3" t="n">
        <v>10</v>
      </c>
      <c r="P199" s="3" t="n">
        <v>8</v>
      </c>
      <c r="Q199" s="3" t="inlineStr">
        <is>
          <t>Fixer</t>
        </is>
      </c>
      <c r="R199" s="3" t="n">
        <v>5</v>
      </c>
      <c r="S199" s="3" t="inlineStr"/>
      <c r="T199" s="3" t="inlineStr"/>
      <c r="U199" s="3" t="n">
        <v>0</v>
      </c>
      <c r="V199" s="3" t="inlineStr">
        <is>
          <t>masc:-0.4;fem:2.0</t>
        </is>
      </c>
      <c r="W199" s="3" t="n">
        <v>-0.4</v>
      </c>
      <c r="X199" s="3" t="n">
        <v>2</v>
      </c>
      <c r="Y199" s="3" t="inlineStr">
        <is>
          <t>COMM_Emotional</t>
        </is>
      </c>
      <c r="Z199" s="3" t="inlineStr">
        <is>
          <t>REG_CoRegulator</t>
        </is>
      </c>
      <c r="AA199" s="3" t="inlineStr">
        <is>
          <t>LANG_Service</t>
        </is>
      </c>
      <c r="AB199" s="3" t="inlineStr"/>
      <c r="AC199" s="3" t="inlineStr"/>
      <c r="AD199" s="3" t="inlineStr"/>
      <c r="AE199" s="3" t="n">
        <v>0</v>
      </c>
      <c r="AF199" s="3" t="inlineStr">
        <is>
          <t>value-by-function reflex</t>
        </is>
      </c>
      <c r="AG199" s="3" t="inlineStr">
        <is>
          <t>role fulfiller</t>
        </is>
      </c>
      <c r="AH199" s="3" t="n">
        <v>0</v>
      </c>
      <c r="AI199" s="3" t="inlineStr">
        <is>
          <t>no</t>
        </is>
      </c>
      <c r="AJ199" s="3" t="inlineStr">
        <is>
          <t>no</t>
        </is>
      </c>
      <c r="AK199" s="3" t="inlineStr">
        <is>
          <t>yes</t>
        </is>
      </c>
      <c r="AL199" s="3" t="inlineStr">
        <is>
          <t>yes</t>
        </is>
      </c>
      <c r="AM199" s="3" t="inlineStr"/>
      <c r="AN199" s="3" t="inlineStr"/>
      <c r="AO199" s="3" t="inlineStr"/>
      <c r="AP199" s="3" t="inlineStr">
        <is>
          <t>v3_2026-03-19</t>
        </is>
      </c>
      <c r="AQ199">
        <f>(L199-Schema_v5!$C2)/(Schema_v5!$C3-Schema_v5!$C2)</f>
        <v/>
      </c>
      <c r="AR199">
        <f>(M199-Schema_v5!$C4)/(Schema_v5!$C5-Schema_v5!$C4)</f>
        <v/>
      </c>
      <c r="AS199">
        <f>N199/Schema_v5!$C6</f>
        <v/>
      </c>
      <c r="AT199">
        <f>O199/Schema_v5!$C7</f>
        <v/>
      </c>
      <c r="AU199">
        <f>P199/Schema_v5!$C8</f>
        <v/>
      </c>
      <c r="AV199">
        <f>IF(Schema_v5!$C9=0,0,AH199/Schema_v5!$C9)</f>
        <v/>
      </c>
      <c r="AW199">
        <f>IF(Schema_v5!$C10=0,0,AE199/Schema_v5!$C10)</f>
        <v/>
      </c>
      <c r="AX199">
        <f>(W199-Schema_v5!$C11)/(Schema_v5!$C12-Schema_v5!$C11)</f>
        <v/>
      </c>
      <c r="AY199">
        <f>(X199-Schema_v5!$C13)/(Schema_v5!$C14-Schema_v5!$C13)</f>
        <v/>
      </c>
    </row>
    <row r="200">
      <c r="A200" s="3" t="inlineStr">
        <is>
          <t>Q40_D</t>
        </is>
      </c>
      <c r="B200" s="3" t="n">
        <v>40</v>
      </c>
      <c r="C200" s="3" t="n">
        <v>40</v>
      </c>
      <c r="D200" s="3" t="inlineStr">
        <is>
          <t>Core</t>
        </is>
      </c>
      <c r="E200" s="3" t="n">
        <v>1.2</v>
      </c>
      <c r="F200" s="3" t="inlineStr">
        <is>
          <t>CommitmentPace</t>
        </is>
      </c>
      <c r="G200" s="3" t="inlineStr">
        <is>
          <t>IntentAlignment</t>
        </is>
      </c>
      <c r="H200" s="3" t="inlineStr"/>
      <c r="I200" s="3" t="inlineStr">
        <is>
          <t>D</t>
        </is>
      </c>
      <c r="J200" s="3" t="inlineStr">
        <is>
          <t>D</t>
        </is>
      </c>
      <c r="K200" s="3" t="inlineStr">
        <is>
          <t>To finally feel safe. If someone sees me fully and stays, that rewrites everything.</t>
        </is>
      </c>
      <c r="L200" s="3" t="n">
        <v>9</v>
      </c>
      <c r="M200" s="3" t="n">
        <v>9</v>
      </c>
      <c r="N200" s="3" t="n">
        <v>8</v>
      </c>
      <c r="O200" s="3" t="n">
        <v>8</v>
      </c>
      <c r="P200" s="3" t="n">
        <v>6</v>
      </c>
      <c r="Q200" s="3" t="inlineStr">
        <is>
          <t>Romantic Idealist</t>
        </is>
      </c>
      <c r="R200" s="3" t="n">
        <v>6</v>
      </c>
      <c r="S200" s="3" t="inlineStr"/>
      <c r="T200" s="3" t="inlineStr"/>
      <c r="U200" s="3" t="n">
        <v>0</v>
      </c>
      <c r="V200" s="3" t="inlineStr">
        <is>
          <t>masc:-0.4;fem:1.5</t>
        </is>
      </c>
      <c r="W200" s="3" t="n">
        <v>-0.4</v>
      </c>
      <c r="X200" s="3" t="n">
        <v>1.5</v>
      </c>
      <c r="Y200" s="3" t="inlineStr">
        <is>
          <t>COMM_Emotional</t>
        </is>
      </c>
      <c r="Z200" s="3" t="inlineStr">
        <is>
          <t>REG_Distractor</t>
        </is>
      </c>
      <c r="AA200" s="3" t="inlineStr">
        <is>
          <t>LANG_Gifts</t>
        </is>
      </c>
      <c r="AB200" s="3" t="inlineStr"/>
      <c r="AC200" s="3" t="inlineStr"/>
      <c r="AD200" s="3" t="inlineStr"/>
      <c r="AE200" s="3" t="n">
        <v>0</v>
      </c>
      <c r="AF200" s="3" t="inlineStr">
        <is>
          <t>redemption arc seeker</t>
        </is>
      </c>
      <c r="AG200" s="3" t="inlineStr">
        <is>
          <t>trust rebuilder</t>
        </is>
      </c>
      <c r="AH200" s="3" t="n">
        <v>0</v>
      </c>
      <c r="AI200" s="3" t="inlineStr">
        <is>
          <t>no</t>
        </is>
      </c>
      <c r="AJ200" s="3" t="inlineStr">
        <is>
          <t>no</t>
        </is>
      </c>
      <c r="AK200" s="3" t="inlineStr">
        <is>
          <t>yes</t>
        </is>
      </c>
      <c r="AL200" s="3" t="inlineStr">
        <is>
          <t>yes</t>
        </is>
      </c>
      <c r="AM200" s="3" t="inlineStr"/>
      <c r="AN200" s="3" t="inlineStr"/>
      <c r="AO200" s="3" t="inlineStr"/>
      <c r="AP200" s="3" t="inlineStr">
        <is>
          <t>v3_2026-03-19</t>
        </is>
      </c>
      <c r="AQ200">
        <f>(L200-Schema_v5!$C2)/(Schema_v5!$C3-Schema_v5!$C2)</f>
        <v/>
      </c>
      <c r="AR200">
        <f>(M200-Schema_v5!$C4)/(Schema_v5!$C5-Schema_v5!$C4)</f>
        <v/>
      </c>
      <c r="AS200">
        <f>N200/Schema_v5!$C6</f>
        <v/>
      </c>
      <c r="AT200">
        <f>O200/Schema_v5!$C7</f>
        <v/>
      </c>
      <c r="AU200">
        <f>P200/Schema_v5!$C8</f>
        <v/>
      </c>
      <c r="AV200">
        <f>IF(Schema_v5!$C9=0,0,AH200/Schema_v5!$C9)</f>
        <v/>
      </c>
      <c r="AW200">
        <f>IF(Schema_v5!$C10=0,0,AE200/Schema_v5!$C10)</f>
        <v/>
      </c>
      <c r="AX200">
        <f>(W200-Schema_v5!$C11)/(Schema_v5!$C12-Schema_v5!$C11)</f>
        <v/>
      </c>
      <c r="AY200">
        <f>(X200-Schema_v5!$C13)/(Schema_v5!$C14-Schema_v5!$C13)</f>
        <v/>
      </c>
    </row>
    <row r="201">
      <c r="A201" s="3" t="inlineStr">
        <is>
          <t>Q40_E</t>
        </is>
      </c>
      <c r="B201" s="3" t="n">
        <v>40</v>
      </c>
      <c r="C201" s="3" t="n">
        <v>40</v>
      </c>
      <c r="D201" s="3" t="inlineStr">
        <is>
          <t>Core</t>
        </is>
      </c>
      <c r="E201" s="3" t="n">
        <v>1.2</v>
      </c>
      <c r="F201" s="3" t="inlineStr">
        <is>
          <t>CommitmentPace</t>
        </is>
      </c>
      <c r="G201" s="3" t="inlineStr">
        <is>
          <t>IntentAlignment</t>
        </is>
      </c>
      <c r="H201" s="3" t="inlineStr"/>
      <c r="I201" s="3" t="inlineStr">
        <is>
          <t>E</t>
        </is>
      </c>
      <c r="J201" s="3" t="inlineStr">
        <is>
          <t>E</t>
        </is>
      </c>
      <c r="K201" s="3" t="inlineStr">
        <is>
          <t>To be mirrored. If someone gets me and reflects me back clearly, that's where I feel most alive</t>
        </is>
      </c>
      <c r="L201" s="3" t="n">
        <v>9</v>
      </c>
      <c r="M201" s="3" t="n">
        <v>9</v>
      </c>
      <c r="N201" s="3" t="n">
        <v>10</v>
      </c>
      <c r="O201" s="3" t="n">
        <v>8</v>
      </c>
      <c r="P201" s="3" t="n">
        <v>8</v>
      </c>
      <c r="Q201" s="3" t="inlineStr">
        <is>
          <t>Analyzer</t>
        </is>
      </c>
      <c r="R201" s="3" t="n">
        <v>2</v>
      </c>
      <c r="S201" s="3" t="inlineStr"/>
      <c r="T201" s="3" t="inlineStr"/>
      <c r="U201" s="3" t="n">
        <v>0</v>
      </c>
      <c r="V201" s="3" t="inlineStr">
        <is>
          <t>masc:1.4;fem:0.1</t>
        </is>
      </c>
      <c r="W201" s="3" t="n">
        <v>1.4</v>
      </c>
      <c r="X201" s="3" t="n">
        <v>0.1</v>
      </c>
      <c r="Y201" s="3" t="inlineStr">
        <is>
          <t>COMM_Logical</t>
        </is>
      </c>
      <c r="Z201" s="3" t="inlineStr">
        <is>
          <t>REG_SelfSoother</t>
        </is>
      </c>
      <c r="AA201" s="3" t="inlineStr">
        <is>
          <t>LANG_Service</t>
        </is>
      </c>
      <c r="AB201" s="3" t="inlineStr"/>
      <c r="AC201" s="3" t="inlineStr"/>
      <c r="AD201" s="3" t="inlineStr"/>
      <c r="AE201" s="3" t="n">
        <v>0</v>
      </c>
      <c r="AF201" s="3" t="inlineStr">
        <is>
          <t>emotional validation logic</t>
        </is>
      </c>
      <c r="AG201" s="3" t="inlineStr">
        <is>
          <t>reflective bond seeker</t>
        </is>
      </c>
      <c r="AH201" s="3" t="n">
        <v>0</v>
      </c>
      <c r="AI201" s="3" t="inlineStr">
        <is>
          <t>no</t>
        </is>
      </c>
      <c r="AJ201" s="3" t="inlineStr">
        <is>
          <t>no</t>
        </is>
      </c>
      <c r="AK201" s="3" t="inlineStr">
        <is>
          <t>yes</t>
        </is>
      </c>
      <c r="AL201" s="3" t="inlineStr">
        <is>
          <t>yes</t>
        </is>
      </c>
      <c r="AM201" s="3" t="inlineStr"/>
      <c r="AN201" s="3" t="inlineStr"/>
      <c r="AO201" s="3" t="inlineStr"/>
      <c r="AP201" s="3" t="inlineStr">
        <is>
          <t>v3_2026-03-19</t>
        </is>
      </c>
      <c r="AQ201">
        <f>(L201-Schema_v5!$C2)/(Schema_v5!$C3-Schema_v5!$C2)</f>
        <v/>
      </c>
      <c r="AR201">
        <f>(M201-Schema_v5!$C4)/(Schema_v5!$C5-Schema_v5!$C4)</f>
        <v/>
      </c>
      <c r="AS201">
        <f>N201/Schema_v5!$C6</f>
        <v/>
      </c>
      <c r="AT201">
        <f>O201/Schema_v5!$C7</f>
        <v/>
      </c>
      <c r="AU201">
        <f>P201/Schema_v5!$C8</f>
        <v/>
      </c>
      <c r="AV201">
        <f>IF(Schema_v5!$C9=0,0,AH201/Schema_v5!$C9)</f>
        <v/>
      </c>
      <c r="AW201">
        <f>IF(Schema_v5!$C10=0,0,AE201/Schema_v5!$C10)</f>
        <v/>
      </c>
      <c r="AX201">
        <f>(W201-Schema_v5!$C11)/(Schema_v5!$C12-Schema_v5!$C11)</f>
        <v/>
      </c>
      <c r="AY201">
        <f>(X201-Schema_v5!$C13)/(Schema_v5!$C14-Schema_v5!$C13)</f>
        <v/>
      </c>
    </row>
    <row r="202">
      <c r="A202" s="3" t="inlineStr">
        <is>
          <t>Q41_A</t>
        </is>
      </c>
      <c r="B202" s="3" t="n">
        <v>41</v>
      </c>
      <c r="C202" s="3" t="n">
        <v>41</v>
      </c>
      <c r="D202" s="3" t="inlineStr">
        <is>
          <t>Core</t>
        </is>
      </c>
      <c r="E202" s="3" t="n">
        <v>1.3</v>
      </c>
      <c r="F202" s="3" t="inlineStr">
        <is>
          <t>EmotionalNeeds</t>
        </is>
      </c>
      <c r="G202" s="3" t="inlineStr">
        <is>
          <t>IntimacyThreshold</t>
        </is>
      </c>
      <c r="H202" s="3" t="inlineStr">
        <is>
          <t>You say you want connection, but what do you actually chase without realizing it?</t>
        </is>
      </c>
      <c r="I202" s="3" t="inlineStr">
        <is>
          <t>A</t>
        </is>
      </c>
      <c r="J202" s="3" t="inlineStr">
        <is>
          <t>A</t>
        </is>
      </c>
      <c r="K202" s="3" t="inlineStr">
        <is>
          <t>People who feel just out of reach. If it's too easy, I question it.</t>
        </is>
      </c>
      <c r="L202" s="3" t="n">
        <v>5</v>
      </c>
      <c r="M202" s="3" t="n">
        <v>6</v>
      </c>
      <c r="N202" s="3" t="n">
        <v>2</v>
      </c>
      <c r="O202" s="3" t="n">
        <v>4</v>
      </c>
      <c r="P202" s="3" t="n">
        <v>2</v>
      </c>
      <c r="Q202" s="3" t="inlineStr">
        <is>
          <t>Phantom Seeker</t>
        </is>
      </c>
      <c r="R202" s="3" t="n">
        <v>10</v>
      </c>
      <c r="S202" s="3" t="inlineStr"/>
      <c r="T202" s="3" t="inlineStr"/>
      <c r="U202" s="3" t="n">
        <v>0</v>
      </c>
      <c r="V202" s="3" t="inlineStr">
        <is>
          <t>masc:-0.2;fem:1.5</t>
        </is>
      </c>
      <c r="W202" s="3" t="n">
        <v>-0.2</v>
      </c>
      <c r="X202" s="3" t="n">
        <v>1.5</v>
      </c>
      <c r="Y202" s="3" t="inlineStr">
        <is>
          <t>COMM_Emotional</t>
        </is>
      </c>
      <c r="Z202" s="3" t="inlineStr">
        <is>
          <t>REG_SelfSoother</t>
        </is>
      </c>
      <c r="AA202" s="3" t="inlineStr">
        <is>
          <t>LANG_Touch</t>
        </is>
      </c>
      <c r="AB202" s="3" t="inlineStr">
        <is>
          <t>Vulnerability_Loop</t>
        </is>
      </c>
      <c r="AC202" s="3" t="inlineStr">
        <is>
          <t>Vulnerability_Loop</t>
        </is>
      </c>
      <c r="AD202" s="3" t="inlineStr"/>
      <c r="AE202" s="3" t="n">
        <v>5</v>
      </c>
      <c r="AF202" s="3" t="inlineStr">
        <is>
          <t>familiar distance</t>
        </is>
      </c>
      <c r="AG202" s="3" t="inlineStr">
        <is>
          <t>unattainable chaser</t>
        </is>
      </c>
      <c r="AH202" s="3" t="n">
        <v>0</v>
      </c>
      <c r="AI202" s="3" t="inlineStr">
        <is>
          <t>yes</t>
        </is>
      </c>
      <c r="AJ202" s="3" t="inlineStr">
        <is>
          <t>no</t>
        </is>
      </c>
      <c r="AK202" s="3" t="inlineStr">
        <is>
          <t>no</t>
        </is>
      </c>
      <c r="AL202" s="3" t="inlineStr">
        <is>
          <t>no</t>
        </is>
      </c>
      <c r="AM202" s="3" t="inlineStr"/>
      <c r="AN202" s="3" t="inlineStr"/>
      <c r="AO202" s="3" t="inlineStr"/>
      <c r="AP202" s="3" t="inlineStr">
        <is>
          <t>v3_2026-03-19</t>
        </is>
      </c>
      <c r="AQ202">
        <f>(L202-Schema_v5!$C2)/(Schema_v5!$C3-Schema_v5!$C2)</f>
        <v/>
      </c>
      <c r="AR202">
        <f>(M202-Schema_v5!$C4)/(Schema_v5!$C5-Schema_v5!$C4)</f>
        <v/>
      </c>
      <c r="AS202">
        <f>N202/Schema_v5!$C6</f>
        <v/>
      </c>
      <c r="AT202">
        <f>O202/Schema_v5!$C7</f>
        <v/>
      </c>
      <c r="AU202">
        <f>P202/Schema_v5!$C8</f>
        <v/>
      </c>
      <c r="AV202">
        <f>IF(Schema_v5!$C9=0,0,AH202/Schema_v5!$C9)</f>
        <v/>
      </c>
      <c r="AW202">
        <f>IF(Schema_v5!$C10=0,0,AE202/Schema_v5!$C10)</f>
        <v/>
      </c>
      <c r="AX202">
        <f>(W202-Schema_v5!$C11)/(Schema_v5!$C12-Schema_v5!$C11)</f>
        <v/>
      </c>
      <c r="AY202">
        <f>(X202-Schema_v5!$C13)/(Schema_v5!$C14-Schema_v5!$C13)</f>
        <v/>
      </c>
    </row>
    <row r="203">
      <c r="A203" s="3" t="inlineStr">
        <is>
          <t>Q41_B</t>
        </is>
      </c>
      <c r="B203" s="3" t="n">
        <v>41</v>
      </c>
      <c r="C203" s="3" t="n">
        <v>41</v>
      </c>
      <c r="D203" s="3" t="inlineStr">
        <is>
          <t>Core</t>
        </is>
      </c>
      <c r="E203" s="3" t="n">
        <v>1.3</v>
      </c>
      <c r="F203" s="3" t="inlineStr">
        <is>
          <t>EmotionalNeeds</t>
        </is>
      </c>
      <c r="G203" s="3" t="inlineStr">
        <is>
          <t>IntimacyThreshold</t>
        </is>
      </c>
      <c r="H203" s="3" t="inlineStr"/>
      <c r="I203" s="3" t="inlineStr">
        <is>
          <t>B</t>
        </is>
      </c>
      <c r="J203" s="3" t="inlineStr">
        <is>
          <t>B</t>
        </is>
      </c>
      <c r="K203" s="3" t="inlineStr">
        <is>
          <t>The ones who don't really need me. If I win them over, it means I'm finally enough.</t>
        </is>
      </c>
      <c r="L203" s="3" t="n">
        <v>6</v>
      </c>
      <c r="M203" s="3" t="n">
        <v>7</v>
      </c>
      <c r="N203" s="3" t="n">
        <v>4</v>
      </c>
      <c r="O203" s="3" t="n">
        <v>6</v>
      </c>
      <c r="P203" s="3" t="n">
        <v>4</v>
      </c>
      <c r="Q203" s="3" t="inlineStr">
        <is>
          <t>Fixer</t>
        </is>
      </c>
      <c r="R203" s="3" t="n">
        <v>5</v>
      </c>
      <c r="S203" s="3" t="inlineStr"/>
      <c r="T203" s="3" t="inlineStr"/>
      <c r="U203" s="3" t="n">
        <v>0</v>
      </c>
      <c r="V203" s="3" t="inlineStr">
        <is>
          <t>masc:-0.4;fem:2.0</t>
        </is>
      </c>
      <c r="W203" s="3" t="n">
        <v>-0.4</v>
      </c>
      <c r="X203" s="3" t="n">
        <v>2</v>
      </c>
      <c r="Y203" s="3" t="inlineStr">
        <is>
          <t>COMM_Emotional</t>
        </is>
      </c>
      <c r="Z203" s="3" t="inlineStr">
        <is>
          <t>REG_CoRegulator</t>
        </is>
      </c>
      <c r="AA203" s="3" t="inlineStr">
        <is>
          <t>LANG_Service</t>
        </is>
      </c>
      <c r="AB203" s="3" t="inlineStr">
        <is>
          <t>Vulnerability_Loop</t>
        </is>
      </c>
      <c r="AC203" s="3" t="inlineStr">
        <is>
          <t>Vulnerability_Loop</t>
        </is>
      </c>
      <c r="AD203" s="3" t="inlineStr"/>
      <c r="AE203" s="3" t="n">
        <v>5</v>
      </c>
      <c r="AF203" s="3" t="inlineStr">
        <is>
          <t>approval through resistance</t>
        </is>
      </c>
      <c r="AG203" s="3" t="inlineStr">
        <is>
          <t>fixer targeter</t>
        </is>
      </c>
      <c r="AH203" s="3" t="n">
        <v>0</v>
      </c>
      <c r="AI203" s="3" t="inlineStr">
        <is>
          <t>yes</t>
        </is>
      </c>
      <c r="AJ203" s="3" t="inlineStr">
        <is>
          <t>no</t>
        </is>
      </c>
      <c r="AK203" s="3" t="inlineStr">
        <is>
          <t>no</t>
        </is>
      </c>
      <c r="AL203" s="3" t="inlineStr">
        <is>
          <t>no</t>
        </is>
      </c>
      <c r="AM203" s="3" t="inlineStr"/>
      <c r="AN203" s="3" t="inlineStr"/>
      <c r="AO203" s="3" t="inlineStr"/>
      <c r="AP203" s="3" t="inlineStr">
        <is>
          <t>v3_2026-03-19</t>
        </is>
      </c>
      <c r="AQ203">
        <f>(L203-Schema_v5!$C2)/(Schema_v5!$C3-Schema_v5!$C2)</f>
        <v/>
      </c>
      <c r="AR203">
        <f>(M203-Schema_v5!$C4)/(Schema_v5!$C5-Schema_v5!$C4)</f>
        <v/>
      </c>
      <c r="AS203">
        <f>N203/Schema_v5!$C6</f>
        <v/>
      </c>
      <c r="AT203">
        <f>O203/Schema_v5!$C7</f>
        <v/>
      </c>
      <c r="AU203">
        <f>P203/Schema_v5!$C8</f>
        <v/>
      </c>
      <c r="AV203">
        <f>IF(Schema_v5!$C9=0,0,AH203/Schema_v5!$C9)</f>
        <v/>
      </c>
      <c r="AW203">
        <f>IF(Schema_v5!$C10=0,0,AE203/Schema_v5!$C10)</f>
        <v/>
      </c>
      <c r="AX203">
        <f>(W203-Schema_v5!$C11)/(Schema_v5!$C12-Schema_v5!$C11)</f>
        <v/>
      </c>
      <c r="AY203">
        <f>(X203-Schema_v5!$C13)/(Schema_v5!$C14-Schema_v5!$C13)</f>
        <v/>
      </c>
    </row>
    <row r="204">
      <c r="A204" s="3" t="inlineStr">
        <is>
          <t>Q41_C</t>
        </is>
      </c>
      <c r="B204" s="3" t="n">
        <v>41</v>
      </c>
      <c r="C204" s="3" t="n">
        <v>41</v>
      </c>
      <c r="D204" s="3" t="inlineStr">
        <is>
          <t>Core</t>
        </is>
      </c>
      <c r="E204" s="3" t="n">
        <v>1.3</v>
      </c>
      <c r="F204" s="3" t="inlineStr">
        <is>
          <t>EmotionalNeeds</t>
        </is>
      </c>
      <c r="G204" s="3" t="inlineStr">
        <is>
          <t>IntimacyThreshold</t>
        </is>
      </c>
      <c r="H204" s="3" t="inlineStr"/>
      <c r="I204" s="3" t="inlineStr">
        <is>
          <t>C</t>
        </is>
      </c>
      <c r="J204" s="3" t="inlineStr">
        <is>
          <t>C</t>
        </is>
      </c>
      <c r="K204" s="3" t="inlineStr">
        <is>
          <t>People who match my energy but not my depth. It lets me stay in control.</t>
        </is>
      </c>
      <c r="L204" s="3" t="n">
        <v>5</v>
      </c>
      <c r="M204" s="3" t="n">
        <v>6</v>
      </c>
      <c r="N204" s="3" t="n">
        <v>2</v>
      </c>
      <c r="O204" s="3" t="n">
        <v>2</v>
      </c>
      <c r="P204" s="3" t="n">
        <v>0</v>
      </c>
      <c r="Q204" s="3" t="inlineStr">
        <is>
          <t>Performer</t>
        </is>
      </c>
      <c r="R204" s="3" t="n">
        <v>7</v>
      </c>
      <c r="S204" s="3" t="inlineStr"/>
      <c r="T204" s="3" t="inlineStr"/>
      <c r="U204" s="3" t="n">
        <v>0</v>
      </c>
      <c r="V204" s="3" t="inlineStr">
        <is>
          <t>masc:0.3;fem:0.5</t>
        </is>
      </c>
      <c r="W204" s="3" t="n">
        <v>0.3</v>
      </c>
      <c r="X204" s="3" t="n">
        <v>0.5</v>
      </c>
      <c r="Y204" s="3" t="inlineStr">
        <is>
          <t>COMM_Indirect</t>
        </is>
      </c>
      <c r="Z204" s="3" t="inlineStr">
        <is>
          <t>REG_Distractor</t>
        </is>
      </c>
      <c r="AA204" s="3" t="inlineStr">
        <is>
          <t>LANG_Gifts</t>
        </is>
      </c>
      <c r="AB204" s="3" t="inlineStr">
        <is>
          <t>Control_Avoidance</t>
        </is>
      </c>
      <c r="AC204" s="3" t="inlineStr">
        <is>
          <t>Control_Avoidance</t>
        </is>
      </c>
      <c r="AD204" s="3" t="inlineStr"/>
      <c r="AE204" s="3" t="n">
        <v>6</v>
      </c>
      <c r="AF204" s="3" t="inlineStr">
        <is>
          <t>surface compatibility loop</t>
        </is>
      </c>
      <c r="AG204" s="3" t="inlineStr">
        <is>
          <t>vibe manager</t>
        </is>
      </c>
      <c r="AH204" s="3" t="n">
        <v>0</v>
      </c>
      <c r="AI204" s="3" t="inlineStr">
        <is>
          <t>yes</t>
        </is>
      </c>
      <c r="AJ204" s="3" t="inlineStr">
        <is>
          <t>no</t>
        </is>
      </c>
      <c r="AK204" s="3" t="inlineStr">
        <is>
          <t>no</t>
        </is>
      </c>
      <c r="AL204" s="3" t="inlineStr">
        <is>
          <t>no</t>
        </is>
      </c>
      <c r="AM204" s="3" t="inlineStr"/>
      <c r="AN204" s="3" t="inlineStr"/>
      <c r="AO204" s="3" t="inlineStr"/>
      <c r="AP204" s="3" t="inlineStr">
        <is>
          <t>v3_2026-03-19</t>
        </is>
      </c>
      <c r="AQ204">
        <f>(L204-Schema_v5!$C2)/(Schema_v5!$C3-Schema_v5!$C2)</f>
        <v/>
      </c>
      <c r="AR204">
        <f>(M204-Schema_v5!$C4)/(Schema_v5!$C5-Schema_v5!$C4)</f>
        <v/>
      </c>
      <c r="AS204">
        <f>N204/Schema_v5!$C6</f>
        <v/>
      </c>
      <c r="AT204">
        <f>O204/Schema_v5!$C7</f>
        <v/>
      </c>
      <c r="AU204">
        <f>P204/Schema_v5!$C8</f>
        <v/>
      </c>
      <c r="AV204">
        <f>IF(Schema_v5!$C9=0,0,AH204/Schema_v5!$C9)</f>
        <v/>
      </c>
      <c r="AW204">
        <f>IF(Schema_v5!$C10=0,0,AE204/Schema_v5!$C10)</f>
        <v/>
      </c>
      <c r="AX204">
        <f>(W204-Schema_v5!$C11)/(Schema_v5!$C12-Schema_v5!$C11)</f>
        <v/>
      </c>
      <c r="AY204">
        <f>(X204-Schema_v5!$C13)/(Schema_v5!$C14-Schema_v5!$C13)</f>
        <v/>
      </c>
    </row>
    <row r="205">
      <c r="A205" s="3" t="inlineStr">
        <is>
          <t>Q41_D</t>
        </is>
      </c>
      <c r="B205" s="3" t="n">
        <v>41</v>
      </c>
      <c r="C205" s="3" t="n">
        <v>41</v>
      </c>
      <c r="D205" s="3" t="inlineStr">
        <is>
          <t>Core</t>
        </is>
      </c>
      <c r="E205" s="3" t="n">
        <v>1.3</v>
      </c>
      <c r="F205" s="3" t="inlineStr">
        <is>
          <t>EmotionalNeeds</t>
        </is>
      </c>
      <c r="G205" s="3" t="inlineStr">
        <is>
          <t>IntimacyThreshold</t>
        </is>
      </c>
      <c r="H205" s="3" t="inlineStr"/>
      <c r="I205" s="3" t="inlineStr">
        <is>
          <t>D</t>
        </is>
      </c>
      <c r="J205" s="3" t="inlineStr">
        <is>
          <t>D</t>
        </is>
      </c>
      <c r="K205" s="3" t="inlineStr">
        <is>
          <t>Intellectual equals. If they can't meet me mentally, I lose interest, fast.</t>
        </is>
      </c>
      <c r="L205" s="3" t="n">
        <v>9</v>
      </c>
      <c r="M205" s="3" t="n">
        <v>9</v>
      </c>
      <c r="N205" s="3" t="n">
        <v>10</v>
      </c>
      <c r="O205" s="3" t="n">
        <v>8</v>
      </c>
      <c r="P205" s="3" t="n">
        <v>8</v>
      </c>
      <c r="Q205" s="3" t="inlineStr">
        <is>
          <t>Analyzer</t>
        </is>
      </c>
      <c r="R205" s="3" t="n">
        <v>2</v>
      </c>
      <c r="S205" s="3" t="inlineStr"/>
      <c r="T205" s="3" t="inlineStr"/>
      <c r="U205" s="3" t="n">
        <v>0</v>
      </c>
      <c r="V205" s="3" t="inlineStr">
        <is>
          <t>masc:1.4;fem:0.1</t>
        </is>
      </c>
      <c r="W205" s="3" t="n">
        <v>1.4</v>
      </c>
      <c r="X205" s="3" t="n">
        <v>0.1</v>
      </c>
      <c r="Y205" s="3" t="inlineStr">
        <is>
          <t>COMM_Logical</t>
        </is>
      </c>
      <c r="Z205" s="3" t="inlineStr">
        <is>
          <t>REG_SelfSoother</t>
        </is>
      </c>
      <c r="AA205" s="3" t="inlineStr">
        <is>
          <t>LANG_Service</t>
        </is>
      </c>
      <c r="AB205" s="3" t="inlineStr"/>
      <c r="AC205" s="3" t="inlineStr"/>
      <c r="AD205" s="3" t="inlineStr"/>
      <c r="AE205" s="3" t="n">
        <v>0</v>
      </c>
      <c r="AF205" s="3" t="inlineStr">
        <is>
          <t>mind-first filtering</t>
        </is>
      </c>
      <c r="AG205" s="3" t="inlineStr">
        <is>
          <t>cerebral matcher</t>
        </is>
      </c>
      <c r="AH205" s="3" t="n">
        <v>0</v>
      </c>
      <c r="AI205" s="3" t="inlineStr">
        <is>
          <t>no</t>
        </is>
      </c>
      <c r="AJ205" s="3" t="inlineStr">
        <is>
          <t>no</t>
        </is>
      </c>
      <c r="AK205" s="3" t="inlineStr">
        <is>
          <t>no</t>
        </is>
      </c>
      <c r="AL205" s="3" t="inlineStr">
        <is>
          <t>no</t>
        </is>
      </c>
      <c r="AM205" s="3" t="inlineStr"/>
      <c r="AN205" s="3" t="inlineStr"/>
      <c r="AO205" s="3" t="inlineStr"/>
      <c r="AP205" s="3" t="inlineStr">
        <is>
          <t>v3_2026-03-19</t>
        </is>
      </c>
      <c r="AQ205">
        <f>(L205-Schema_v5!$C2)/(Schema_v5!$C3-Schema_v5!$C2)</f>
        <v/>
      </c>
      <c r="AR205">
        <f>(M205-Schema_v5!$C4)/(Schema_v5!$C5-Schema_v5!$C4)</f>
        <v/>
      </c>
      <c r="AS205">
        <f>N205/Schema_v5!$C6</f>
        <v/>
      </c>
      <c r="AT205">
        <f>O205/Schema_v5!$C7</f>
        <v/>
      </c>
      <c r="AU205">
        <f>P205/Schema_v5!$C8</f>
        <v/>
      </c>
      <c r="AV205">
        <f>IF(Schema_v5!$C9=0,0,AH205/Schema_v5!$C9)</f>
        <v/>
      </c>
      <c r="AW205">
        <f>IF(Schema_v5!$C10=0,0,AE205/Schema_v5!$C10)</f>
        <v/>
      </c>
      <c r="AX205">
        <f>(W205-Schema_v5!$C11)/(Schema_v5!$C12-Schema_v5!$C11)</f>
        <v/>
      </c>
      <c r="AY205">
        <f>(X205-Schema_v5!$C13)/(Schema_v5!$C14-Schema_v5!$C13)</f>
        <v/>
      </c>
    </row>
    <row r="206">
      <c r="A206" s="3" t="inlineStr">
        <is>
          <t>Q41_E</t>
        </is>
      </c>
      <c r="B206" s="3" t="n">
        <v>41</v>
      </c>
      <c r="C206" s="3" t="n">
        <v>41</v>
      </c>
      <c r="D206" s="3" t="inlineStr">
        <is>
          <t>Core</t>
        </is>
      </c>
      <c r="E206" s="3" t="n">
        <v>1.3</v>
      </c>
      <c r="F206" s="3" t="inlineStr">
        <is>
          <t>EmotionalNeeds</t>
        </is>
      </c>
      <c r="G206" s="3" t="inlineStr">
        <is>
          <t>IntimacyThreshold</t>
        </is>
      </c>
      <c r="H206" s="3" t="inlineStr"/>
      <c r="I206" s="3" t="inlineStr">
        <is>
          <t>E</t>
        </is>
      </c>
      <c r="J206" s="3" t="inlineStr">
        <is>
          <t>E</t>
        </is>
      </c>
      <c r="K206" s="3" t="inlineStr">
        <is>
          <t>Safe people I don't fully open up to. That way, if they leave, they never really had me.</t>
        </is>
      </c>
      <c r="L206" s="3" t="n">
        <v>8</v>
      </c>
      <c r="M206" s="3" t="n">
        <v>8</v>
      </c>
      <c r="N206" s="3" t="n">
        <v>4</v>
      </c>
      <c r="O206" s="3" t="n">
        <v>4</v>
      </c>
      <c r="P206" s="3" t="n">
        <v>2</v>
      </c>
      <c r="Q206" s="3" t="inlineStr">
        <is>
          <t>Icebox</t>
        </is>
      </c>
      <c r="R206" s="3" t="n">
        <v>1</v>
      </c>
      <c r="S206" s="3" t="inlineStr"/>
      <c r="T206" s="3" t="inlineStr"/>
      <c r="U206" s="3" t="n">
        <v>0</v>
      </c>
      <c r="V206" s="3" t="inlineStr">
        <is>
          <t>masc:1.8;fem:-1.6</t>
        </is>
      </c>
      <c r="W206" s="3" t="n">
        <v>1.8</v>
      </c>
      <c r="X206" s="3" t="n">
        <v>-1.6</v>
      </c>
      <c r="Y206" s="3" t="inlineStr">
        <is>
          <t>COMM_Avoidant</t>
        </is>
      </c>
      <c r="Z206" s="3" t="inlineStr">
        <is>
          <t>REG_Suppressor</t>
        </is>
      </c>
      <c r="AA206" s="3" t="inlineStr">
        <is>
          <t>LANG_Time</t>
        </is>
      </c>
      <c r="AB206" s="3" t="inlineStr"/>
      <c r="AC206" s="3" t="inlineStr"/>
      <c r="AD206" s="3" t="inlineStr"/>
      <c r="AE206" s="3" t="n">
        <v>0</v>
      </c>
      <c r="AF206" s="3" t="inlineStr">
        <is>
          <t>emotional exit strategy</t>
        </is>
      </c>
      <c r="AG206" s="3" t="inlineStr">
        <is>
          <t>risk avoider</t>
        </is>
      </c>
      <c r="AH206" s="3" t="n">
        <v>0.2</v>
      </c>
      <c r="AI206" s="3" t="inlineStr">
        <is>
          <t>no</t>
        </is>
      </c>
      <c r="AJ206" s="3" t="inlineStr">
        <is>
          <t>no</t>
        </is>
      </c>
      <c r="AK206" s="3" t="inlineStr">
        <is>
          <t>no</t>
        </is>
      </c>
      <c r="AL206" s="3" t="inlineStr">
        <is>
          <t>no</t>
        </is>
      </c>
      <c r="AM206" s="3" t="inlineStr"/>
      <c r="AN206" s="3" t="inlineStr"/>
      <c r="AO206" s="3" t="inlineStr"/>
      <c r="AP206" s="3" t="inlineStr">
        <is>
          <t>v3_2026-03-19</t>
        </is>
      </c>
      <c r="AQ206">
        <f>(L206-Schema_v5!$C2)/(Schema_v5!$C3-Schema_v5!$C2)</f>
        <v/>
      </c>
      <c r="AR206">
        <f>(M206-Schema_v5!$C4)/(Schema_v5!$C5-Schema_v5!$C4)</f>
        <v/>
      </c>
      <c r="AS206">
        <f>N206/Schema_v5!$C6</f>
        <v/>
      </c>
      <c r="AT206">
        <f>O206/Schema_v5!$C7</f>
        <v/>
      </c>
      <c r="AU206">
        <f>P206/Schema_v5!$C8</f>
        <v/>
      </c>
      <c r="AV206">
        <f>IF(Schema_v5!$C9=0,0,AH206/Schema_v5!$C9)</f>
        <v/>
      </c>
      <c r="AW206">
        <f>IF(Schema_v5!$C10=0,0,AE206/Schema_v5!$C10)</f>
        <v/>
      </c>
      <c r="AX206">
        <f>(W206-Schema_v5!$C11)/(Schema_v5!$C12-Schema_v5!$C11)</f>
        <v/>
      </c>
      <c r="AY206">
        <f>(X206-Schema_v5!$C13)/(Schema_v5!$C14-Schema_v5!$C13)</f>
        <v/>
      </c>
    </row>
    <row r="207">
      <c r="A207" s="3" t="inlineStr">
        <is>
          <t>Q42_A</t>
        </is>
      </c>
      <c r="B207" s="3" t="n">
        <v>42</v>
      </c>
      <c r="C207" s="3" t="n">
        <v>42</v>
      </c>
      <c r="D207" s="3" t="inlineStr">
        <is>
          <t>Core</t>
        </is>
      </c>
      <c r="E207" s="3" t="n">
        <v>1.3</v>
      </c>
      <c r="F207" s="3" t="inlineStr">
        <is>
          <t>EmotionalNeeds</t>
        </is>
      </c>
      <c r="G207" s="3" t="inlineStr">
        <is>
          <t>IntimacyThreshold</t>
        </is>
      </c>
      <c r="H207" s="3" t="inlineStr">
        <is>
          <t>What part of your personality do you secretly think makes you harder to love?</t>
        </is>
      </c>
      <c r="I207" s="3" t="inlineStr">
        <is>
          <t>A</t>
        </is>
      </c>
      <c r="J207" s="3" t="inlineStr">
        <is>
          <t>A</t>
        </is>
      </c>
      <c r="K207" s="3" t="inlineStr">
        <is>
          <t>I don't let people in all the way. Even when I care, I keep a part of me tucked away.</t>
        </is>
      </c>
      <c r="L207" s="3" t="n">
        <v>7</v>
      </c>
      <c r="M207" s="3" t="n">
        <v>8</v>
      </c>
      <c r="N207" s="3" t="n">
        <v>4</v>
      </c>
      <c r="O207" s="3" t="n">
        <v>4</v>
      </c>
      <c r="P207" s="3" t="n">
        <v>0</v>
      </c>
      <c r="Q207" s="3" t="inlineStr">
        <is>
          <t>Icebox</t>
        </is>
      </c>
      <c r="R207" s="3" t="n">
        <v>1</v>
      </c>
      <c r="S207" s="3" t="inlineStr"/>
      <c r="T207" s="3" t="inlineStr"/>
      <c r="U207" s="3" t="n">
        <v>0</v>
      </c>
      <c r="V207" s="3" t="inlineStr">
        <is>
          <t>masc:1.8;fem:-1.6</t>
        </is>
      </c>
      <c r="W207" s="3" t="n">
        <v>1.8</v>
      </c>
      <c r="X207" s="3" t="n">
        <v>-1.6</v>
      </c>
      <c r="Y207" s="3" t="inlineStr">
        <is>
          <t>COMM_Avoidant</t>
        </is>
      </c>
      <c r="Z207" s="3" t="inlineStr">
        <is>
          <t>REG_Suppressor</t>
        </is>
      </c>
      <c r="AA207" s="3" t="inlineStr">
        <is>
          <t>LANG_Time</t>
        </is>
      </c>
      <c r="AB207" s="3" t="inlineStr"/>
      <c r="AC207" s="3" t="inlineStr"/>
      <c r="AD207" s="3" t="inlineStr"/>
      <c r="AE207" s="3" t="n">
        <v>0</v>
      </c>
      <c r="AF207" s="3" t="inlineStr">
        <is>
          <t>controlled vulnerability</t>
        </is>
      </c>
      <c r="AG207" s="3" t="inlineStr">
        <is>
          <t>emotional protector</t>
        </is>
      </c>
      <c r="AH207" s="3" t="n">
        <v>0</v>
      </c>
      <c r="AI207" s="3" t="inlineStr">
        <is>
          <t>no</t>
        </is>
      </c>
      <c r="AJ207" s="3" t="inlineStr">
        <is>
          <t>no</t>
        </is>
      </c>
      <c r="AK207" s="3" t="inlineStr">
        <is>
          <t>no</t>
        </is>
      </c>
      <c r="AL207" s="3" t="inlineStr">
        <is>
          <t>no</t>
        </is>
      </c>
      <c r="AM207" s="3" t="inlineStr"/>
      <c r="AN207" s="3" t="inlineStr"/>
      <c r="AO207" s="3" t="inlineStr"/>
      <c r="AP207" s="3" t="inlineStr">
        <is>
          <t>v3_2026-03-19</t>
        </is>
      </c>
      <c r="AQ207">
        <f>(L207-Schema_v5!$C2)/(Schema_v5!$C3-Schema_v5!$C2)</f>
        <v/>
      </c>
      <c r="AR207">
        <f>(M207-Schema_v5!$C4)/(Schema_v5!$C5-Schema_v5!$C4)</f>
        <v/>
      </c>
      <c r="AS207">
        <f>N207/Schema_v5!$C6</f>
        <v/>
      </c>
      <c r="AT207">
        <f>O207/Schema_v5!$C7</f>
        <v/>
      </c>
      <c r="AU207">
        <f>P207/Schema_v5!$C8</f>
        <v/>
      </c>
      <c r="AV207">
        <f>IF(Schema_v5!$C9=0,0,AH207/Schema_v5!$C9)</f>
        <v/>
      </c>
      <c r="AW207">
        <f>IF(Schema_v5!$C10=0,0,AE207/Schema_v5!$C10)</f>
        <v/>
      </c>
      <c r="AX207">
        <f>(W207-Schema_v5!$C11)/(Schema_v5!$C12-Schema_v5!$C11)</f>
        <v/>
      </c>
      <c r="AY207">
        <f>(X207-Schema_v5!$C13)/(Schema_v5!$C14-Schema_v5!$C13)</f>
        <v/>
      </c>
    </row>
    <row r="208">
      <c r="A208" s="3" t="inlineStr">
        <is>
          <t>Q42_B</t>
        </is>
      </c>
      <c r="B208" s="3" t="n">
        <v>42</v>
      </c>
      <c r="C208" s="3" t="n">
        <v>42</v>
      </c>
      <c r="D208" s="3" t="inlineStr">
        <is>
          <t>Core</t>
        </is>
      </c>
      <c r="E208" s="3" t="n">
        <v>1.3</v>
      </c>
      <c r="F208" s="3" t="inlineStr">
        <is>
          <t>EmotionalNeeds</t>
        </is>
      </c>
      <c r="G208" s="3" t="inlineStr">
        <is>
          <t>IntimacyThreshold</t>
        </is>
      </c>
      <c r="H208" s="3" t="inlineStr"/>
      <c r="I208" s="3" t="inlineStr">
        <is>
          <t>B</t>
        </is>
      </c>
      <c r="J208" s="3" t="inlineStr">
        <is>
          <t>B</t>
        </is>
      </c>
      <c r="K208" s="3" t="inlineStr">
        <is>
          <t>I overthink everything. Even when things are good, my mind finds the cracks.</t>
        </is>
      </c>
      <c r="L208" s="3" t="n">
        <v>6</v>
      </c>
      <c r="M208" s="3" t="n">
        <v>7</v>
      </c>
      <c r="N208" s="3" t="n">
        <v>4</v>
      </c>
      <c r="O208" s="3" t="n">
        <v>6</v>
      </c>
      <c r="P208" s="3" t="n">
        <v>4</v>
      </c>
      <c r="Q208" s="3" t="inlineStr">
        <is>
          <t>Analyzer</t>
        </is>
      </c>
      <c r="R208" s="3" t="n">
        <v>2</v>
      </c>
      <c r="S208" s="3" t="inlineStr"/>
      <c r="T208" s="3" t="inlineStr"/>
      <c r="U208" s="3" t="n">
        <v>0</v>
      </c>
      <c r="V208" s="3" t="inlineStr">
        <is>
          <t>masc:1.4;fem:0.1</t>
        </is>
      </c>
      <c r="W208" s="3" t="n">
        <v>1.4</v>
      </c>
      <c r="X208" s="3" t="n">
        <v>0.1</v>
      </c>
      <c r="Y208" s="3" t="inlineStr">
        <is>
          <t>COMM_Logical</t>
        </is>
      </c>
      <c r="Z208" s="3" t="inlineStr">
        <is>
          <t>REG_SelfSoother</t>
        </is>
      </c>
      <c r="AA208" s="3" t="inlineStr">
        <is>
          <t>LANG_Service</t>
        </is>
      </c>
      <c r="AB208" s="3" t="inlineStr">
        <is>
          <t>Vulnerability_Loop</t>
        </is>
      </c>
      <c r="AC208" s="3" t="inlineStr">
        <is>
          <t>Vulnerability_Loop</t>
        </is>
      </c>
      <c r="AD208" s="3" t="inlineStr"/>
      <c r="AE208" s="3" t="n">
        <v>5</v>
      </c>
      <c r="AF208" s="3" t="inlineStr">
        <is>
          <t>hyper-awareness loop</t>
        </is>
      </c>
      <c r="AG208" s="3" t="inlineStr">
        <is>
          <t>doubt scanner</t>
        </is>
      </c>
      <c r="AH208" s="3" t="n">
        <v>0</v>
      </c>
      <c r="AI208" s="3" t="inlineStr">
        <is>
          <t>yes</t>
        </is>
      </c>
      <c r="AJ208" s="3" t="inlineStr">
        <is>
          <t>no</t>
        </is>
      </c>
      <c r="AK208" s="3" t="inlineStr">
        <is>
          <t>no</t>
        </is>
      </c>
      <c r="AL208" s="3" t="inlineStr">
        <is>
          <t>no</t>
        </is>
      </c>
      <c r="AM208" s="3" t="inlineStr"/>
      <c r="AN208" s="3" t="inlineStr"/>
      <c r="AO208" s="3" t="inlineStr"/>
      <c r="AP208" s="3" t="inlineStr">
        <is>
          <t>v3_2026-03-19</t>
        </is>
      </c>
      <c r="AQ208">
        <f>(L208-Schema_v5!$C2)/(Schema_v5!$C3-Schema_v5!$C2)</f>
        <v/>
      </c>
      <c r="AR208">
        <f>(M208-Schema_v5!$C4)/(Schema_v5!$C5-Schema_v5!$C4)</f>
        <v/>
      </c>
      <c r="AS208">
        <f>N208/Schema_v5!$C6</f>
        <v/>
      </c>
      <c r="AT208">
        <f>O208/Schema_v5!$C7</f>
        <v/>
      </c>
      <c r="AU208">
        <f>P208/Schema_v5!$C8</f>
        <v/>
      </c>
      <c r="AV208">
        <f>IF(Schema_v5!$C9=0,0,AH208/Schema_v5!$C9)</f>
        <v/>
      </c>
      <c r="AW208">
        <f>IF(Schema_v5!$C10=0,0,AE208/Schema_v5!$C10)</f>
        <v/>
      </c>
      <c r="AX208">
        <f>(W208-Schema_v5!$C11)/(Schema_v5!$C12-Schema_v5!$C11)</f>
        <v/>
      </c>
      <c r="AY208">
        <f>(X208-Schema_v5!$C13)/(Schema_v5!$C14-Schema_v5!$C13)</f>
        <v/>
      </c>
    </row>
    <row r="209">
      <c r="A209" s="3" t="inlineStr">
        <is>
          <t>Q42_C</t>
        </is>
      </c>
      <c r="B209" s="3" t="n">
        <v>42</v>
      </c>
      <c r="C209" s="3" t="n">
        <v>42</v>
      </c>
      <c r="D209" s="3" t="inlineStr">
        <is>
          <t>Core</t>
        </is>
      </c>
      <c r="E209" s="3" t="n">
        <v>1.3</v>
      </c>
      <c r="F209" s="3" t="inlineStr">
        <is>
          <t>EmotionalNeeds</t>
        </is>
      </c>
      <c r="G209" s="3" t="inlineStr">
        <is>
          <t>IntimacyThreshold</t>
        </is>
      </c>
      <c r="H209" s="3" t="inlineStr"/>
      <c r="I209" s="3" t="inlineStr">
        <is>
          <t>C</t>
        </is>
      </c>
      <c r="J209" s="3" t="inlineStr">
        <is>
          <t>C</t>
        </is>
      </c>
      <c r="K209" s="3" t="inlineStr">
        <is>
          <t>I give too much. I show up too hard, too fast, and it never feels like it's enough.</t>
        </is>
      </c>
      <c r="L209" s="3" t="n">
        <v>6</v>
      </c>
      <c r="M209" s="3" t="n">
        <v>7</v>
      </c>
      <c r="N209" s="3" t="n">
        <v>4</v>
      </c>
      <c r="O209" s="3" t="n">
        <v>6</v>
      </c>
      <c r="P209" s="3" t="n">
        <v>4</v>
      </c>
      <c r="Q209" s="3" t="inlineStr">
        <is>
          <t>Fixer</t>
        </is>
      </c>
      <c r="R209" s="3" t="n">
        <v>5</v>
      </c>
      <c r="S209" s="3" t="inlineStr"/>
      <c r="T209" s="3" t="inlineStr"/>
      <c r="U209" s="3" t="n">
        <v>0</v>
      </c>
      <c r="V209" s="3" t="inlineStr">
        <is>
          <t>masc:-0.4;fem:2.0</t>
        </is>
      </c>
      <c r="W209" s="3" t="n">
        <v>-0.4</v>
      </c>
      <c r="X209" s="3" t="n">
        <v>2</v>
      </c>
      <c r="Y209" s="3" t="inlineStr">
        <is>
          <t>COMM_Emotional</t>
        </is>
      </c>
      <c r="Z209" s="3" t="inlineStr">
        <is>
          <t>REG_CoRegulator</t>
        </is>
      </c>
      <c r="AA209" s="3" t="inlineStr">
        <is>
          <t>LANG_Service</t>
        </is>
      </c>
      <c r="AB209" s="3" t="inlineStr">
        <is>
          <t>Vulnerability_Loop</t>
        </is>
      </c>
      <c r="AC209" s="3" t="inlineStr">
        <is>
          <t>Vulnerability_Loop</t>
        </is>
      </c>
      <c r="AD209" s="3" t="inlineStr"/>
      <c r="AE209" s="3" t="n">
        <v>5</v>
      </c>
      <c r="AF209" s="3" t="inlineStr">
        <is>
          <t>emotional overexertion</t>
        </is>
      </c>
      <c r="AG209" s="3" t="inlineStr">
        <is>
          <t>approval laborer</t>
        </is>
      </c>
      <c r="AH209" s="3" t="n">
        <v>0</v>
      </c>
      <c r="AI209" s="3" t="inlineStr">
        <is>
          <t>yes</t>
        </is>
      </c>
      <c r="AJ209" s="3" t="inlineStr">
        <is>
          <t>no</t>
        </is>
      </c>
      <c r="AK209" s="3" t="inlineStr">
        <is>
          <t>no</t>
        </is>
      </c>
      <c r="AL209" s="3" t="inlineStr">
        <is>
          <t>no</t>
        </is>
      </c>
      <c r="AM209" s="3" t="inlineStr"/>
      <c r="AN209" s="3" t="inlineStr"/>
      <c r="AO209" s="3" t="inlineStr"/>
      <c r="AP209" s="3" t="inlineStr">
        <is>
          <t>v3_2026-03-19</t>
        </is>
      </c>
      <c r="AQ209">
        <f>(L209-Schema_v5!$C2)/(Schema_v5!$C3-Schema_v5!$C2)</f>
        <v/>
      </c>
      <c r="AR209">
        <f>(M209-Schema_v5!$C4)/(Schema_v5!$C5-Schema_v5!$C4)</f>
        <v/>
      </c>
      <c r="AS209">
        <f>N209/Schema_v5!$C6</f>
        <v/>
      </c>
      <c r="AT209">
        <f>O209/Schema_v5!$C7</f>
        <v/>
      </c>
      <c r="AU209">
        <f>P209/Schema_v5!$C8</f>
        <v/>
      </c>
      <c r="AV209">
        <f>IF(Schema_v5!$C9=0,0,AH209/Schema_v5!$C9)</f>
        <v/>
      </c>
      <c r="AW209">
        <f>IF(Schema_v5!$C10=0,0,AE209/Schema_v5!$C10)</f>
        <v/>
      </c>
      <c r="AX209">
        <f>(W209-Schema_v5!$C11)/(Schema_v5!$C12-Schema_v5!$C11)</f>
        <v/>
      </c>
      <c r="AY209">
        <f>(X209-Schema_v5!$C13)/(Schema_v5!$C14-Schema_v5!$C13)</f>
        <v/>
      </c>
    </row>
    <row r="210">
      <c r="A210" s="3" t="inlineStr">
        <is>
          <t>Q42_D</t>
        </is>
      </c>
      <c r="B210" s="3" t="n">
        <v>42</v>
      </c>
      <c r="C210" s="3" t="n">
        <v>42</v>
      </c>
      <c r="D210" s="3" t="inlineStr">
        <is>
          <t>Core</t>
        </is>
      </c>
      <c r="E210" s="3" t="n">
        <v>1.3</v>
      </c>
      <c r="F210" s="3" t="inlineStr">
        <is>
          <t>EmotionalNeeds</t>
        </is>
      </c>
      <c r="G210" s="3" t="inlineStr">
        <is>
          <t>IntimacyThreshold</t>
        </is>
      </c>
      <c r="H210" s="3" t="inlineStr"/>
      <c r="I210" s="3" t="inlineStr">
        <is>
          <t>D</t>
        </is>
      </c>
      <c r="J210" s="3" t="inlineStr">
        <is>
          <t>D</t>
        </is>
      </c>
      <c r="K210" s="3" t="inlineStr">
        <is>
          <t>I second-guess my worth constantly. I know I come off cool, but underneath, I'm never really sure why anyone stays.</t>
        </is>
      </c>
      <c r="L210" s="3" t="n">
        <v>5</v>
      </c>
      <c r="M210" s="3" t="n">
        <v>6</v>
      </c>
      <c r="N210" s="3" t="n">
        <v>2</v>
      </c>
      <c r="O210" s="3" t="n">
        <v>4</v>
      </c>
      <c r="P210" s="3" t="n">
        <v>2</v>
      </c>
      <c r="Q210" s="3" t="inlineStr">
        <is>
          <t>Phantom Seeker</t>
        </is>
      </c>
      <c r="R210" s="3" t="n">
        <v>10</v>
      </c>
      <c r="S210" s="3" t="inlineStr"/>
      <c r="T210" s="3" t="inlineStr"/>
      <c r="U210" s="3" t="n">
        <v>0</v>
      </c>
      <c r="V210" s="3" t="inlineStr">
        <is>
          <t>masc:-0.2;fem:1.5</t>
        </is>
      </c>
      <c r="W210" s="3" t="n">
        <v>-0.2</v>
      </c>
      <c r="X210" s="3" t="n">
        <v>1.5</v>
      </c>
      <c r="Y210" s="3" t="inlineStr">
        <is>
          <t>COMM_Emotional</t>
        </is>
      </c>
      <c r="Z210" s="3" t="inlineStr">
        <is>
          <t>REG_SelfSoother</t>
        </is>
      </c>
      <c r="AA210" s="3" t="inlineStr">
        <is>
          <t>LANG_Touch</t>
        </is>
      </c>
      <c r="AB210" s="3" t="inlineStr">
        <is>
          <t>Vulnerability_Loop</t>
        </is>
      </c>
      <c r="AC210" s="3" t="inlineStr">
        <is>
          <t>Vulnerability_Loop</t>
        </is>
      </c>
      <c r="AD210" s="3" t="inlineStr"/>
      <c r="AE210" s="3" t="n">
        <v>5</v>
      </c>
      <c r="AF210" s="3" t="inlineStr">
        <is>
          <t>insecure core</t>
        </is>
      </c>
      <c r="AG210" s="3" t="inlineStr">
        <is>
          <t>internal doubter</t>
        </is>
      </c>
      <c r="AH210" s="3" t="n">
        <v>0.2</v>
      </c>
      <c r="AI210" s="3" t="inlineStr">
        <is>
          <t>yes</t>
        </is>
      </c>
      <c r="AJ210" s="3" t="inlineStr">
        <is>
          <t>no</t>
        </is>
      </c>
      <c r="AK210" s="3" t="inlineStr">
        <is>
          <t>no</t>
        </is>
      </c>
      <c r="AL210" s="3" t="inlineStr">
        <is>
          <t>no</t>
        </is>
      </c>
      <c r="AM210" s="3" t="inlineStr"/>
      <c r="AN210" s="3" t="inlineStr"/>
      <c r="AO210" s="3" t="inlineStr"/>
      <c r="AP210" s="3" t="inlineStr">
        <is>
          <t>v3_2026-03-19</t>
        </is>
      </c>
      <c r="AQ210">
        <f>(L210-Schema_v5!$C2)/(Schema_v5!$C3-Schema_v5!$C2)</f>
        <v/>
      </c>
      <c r="AR210">
        <f>(M210-Schema_v5!$C4)/(Schema_v5!$C5-Schema_v5!$C4)</f>
        <v/>
      </c>
      <c r="AS210">
        <f>N210/Schema_v5!$C6</f>
        <v/>
      </c>
      <c r="AT210">
        <f>O210/Schema_v5!$C7</f>
        <v/>
      </c>
      <c r="AU210">
        <f>P210/Schema_v5!$C8</f>
        <v/>
      </c>
      <c r="AV210">
        <f>IF(Schema_v5!$C9=0,0,AH210/Schema_v5!$C9)</f>
        <v/>
      </c>
      <c r="AW210">
        <f>IF(Schema_v5!$C10=0,0,AE210/Schema_v5!$C10)</f>
        <v/>
      </c>
      <c r="AX210">
        <f>(W210-Schema_v5!$C11)/(Schema_v5!$C12-Schema_v5!$C11)</f>
        <v/>
      </c>
      <c r="AY210">
        <f>(X210-Schema_v5!$C13)/(Schema_v5!$C14-Schema_v5!$C13)</f>
        <v/>
      </c>
    </row>
    <row r="211">
      <c r="A211" s="3" t="inlineStr">
        <is>
          <t>Q42_E</t>
        </is>
      </c>
      <c r="B211" s="3" t="n">
        <v>42</v>
      </c>
      <c r="C211" s="3" t="n">
        <v>42</v>
      </c>
      <c r="D211" s="3" t="inlineStr">
        <is>
          <t>Core</t>
        </is>
      </c>
      <c r="E211" s="3" t="n">
        <v>1.3</v>
      </c>
      <c r="F211" s="3" t="inlineStr">
        <is>
          <t>EmotionalNeeds</t>
        </is>
      </c>
      <c r="G211" s="3" t="inlineStr">
        <is>
          <t>IntimacyThreshold</t>
        </is>
      </c>
      <c r="H211" s="3" t="inlineStr"/>
      <c r="I211" s="3" t="inlineStr">
        <is>
          <t>E</t>
        </is>
      </c>
      <c r="J211" s="3" t="inlineStr">
        <is>
          <t>E</t>
        </is>
      </c>
      <c r="K211" s="3" t="inlineStr">
        <is>
          <t>I perform who I think they want, until I don't even know what the real version of me looks like</t>
        </is>
      </c>
      <c r="L211" s="3" t="n">
        <v>5</v>
      </c>
      <c r="M211" s="3" t="n">
        <v>6</v>
      </c>
      <c r="N211" s="3" t="n">
        <v>2</v>
      </c>
      <c r="O211" s="3" t="n">
        <v>2</v>
      </c>
      <c r="P211" s="3" t="n">
        <v>0</v>
      </c>
      <c r="Q211" s="3" t="inlineStr">
        <is>
          <t>Performer</t>
        </is>
      </c>
      <c r="R211" s="3" t="n">
        <v>7</v>
      </c>
      <c r="S211" s="3" t="inlineStr"/>
      <c r="T211" s="3" t="inlineStr"/>
      <c r="U211" s="3" t="n">
        <v>0</v>
      </c>
      <c r="V211" s="3" t="inlineStr">
        <is>
          <t>masc:0.3;fem:0.5</t>
        </is>
      </c>
      <c r="W211" s="3" t="n">
        <v>0.3</v>
      </c>
      <c r="X211" s="3" t="n">
        <v>0.5</v>
      </c>
      <c r="Y211" s="3" t="inlineStr">
        <is>
          <t>COMM_Indirect</t>
        </is>
      </c>
      <c r="Z211" s="3" t="inlineStr">
        <is>
          <t>REG_Distractor</t>
        </is>
      </c>
      <c r="AA211" s="3" t="inlineStr">
        <is>
          <t>LANG_Gifts</t>
        </is>
      </c>
      <c r="AB211" s="3" t="inlineStr">
        <is>
          <t>Vulnerability_Loop</t>
        </is>
      </c>
      <c r="AC211" s="3" t="inlineStr">
        <is>
          <t>Vulnerability_Loop</t>
        </is>
      </c>
      <c r="AD211" s="3" t="inlineStr"/>
      <c r="AE211" s="3" t="n">
        <v>5</v>
      </c>
      <c r="AF211" s="3" t="inlineStr">
        <is>
          <t>identity mirror complex</t>
        </is>
      </c>
      <c r="AG211" s="3" t="inlineStr">
        <is>
          <t>emotional mimic</t>
        </is>
      </c>
      <c r="AH211" s="3" t="n">
        <v>0</v>
      </c>
      <c r="AI211" s="3" t="inlineStr">
        <is>
          <t>yes</t>
        </is>
      </c>
      <c r="AJ211" s="3" t="inlineStr">
        <is>
          <t>no</t>
        </is>
      </c>
      <c r="AK211" s="3" t="inlineStr">
        <is>
          <t>no</t>
        </is>
      </c>
      <c r="AL211" s="3" t="inlineStr">
        <is>
          <t>no</t>
        </is>
      </c>
      <c r="AM211" s="3" t="inlineStr"/>
      <c r="AN211" s="3" t="inlineStr"/>
      <c r="AO211" s="3" t="inlineStr"/>
      <c r="AP211" s="3" t="inlineStr">
        <is>
          <t>v3_2026-03-19</t>
        </is>
      </c>
      <c r="AQ211">
        <f>(L211-Schema_v5!$C2)/(Schema_v5!$C3-Schema_v5!$C2)</f>
        <v/>
      </c>
      <c r="AR211">
        <f>(M211-Schema_v5!$C4)/(Schema_v5!$C5-Schema_v5!$C4)</f>
        <v/>
      </c>
      <c r="AS211">
        <f>N211/Schema_v5!$C6</f>
        <v/>
      </c>
      <c r="AT211">
        <f>O211/Schema_v5!$C7</f>
        <v/>
      </c>
      <c r="AU211">
        <f>P211/Schema_v5!$C8</f>
        <v/>
      </c>
      <c r="AV211">
        <f>IF(Schema_v5!$C9=0,0,AH211/Schema_v5!$C9)</f>
        <v/>
      </c>
      <c r="AW211">
        <f>IF(Schema_v5!$C10=0,0,AE211/Schema_v5!$C10)</f>
        <v/>
      </c>
      <c r="AX211">
        <f>(W211-Schema_v5!$C11)/(Schema_v5!$C12-Schema_v5!$C11)</f>
        <v/>
      </c>
      <c r="AY211">
        <f>(X211-Schema_v5!$C13)/(Schema_v5!$C14-Schema_v5!$C13)</f>
        <v/>
      </c>
    </row>
    <row r="212">
      <c r="A212" s="3" t="inlineStr">
        <is>
          <t>Q43_A</t>
        </is>
      </c>
      <c r="B212" s="3" t="n">
        <v>43</v>
      </c>
      <c r="C212" s="3" t="n">
        <v>43</v>
      </c>
      <c r="D212" s="3" t="inlineStr">
        <is>
          <t>Core</t>
        </is>
      </c>
      <c r="E212" s="3" t="n">
        <v>1.3</v>
      </c>
      <c r="F212" s="3" t="inlineStr">
        <is>
          <t>EmotionalNeeds</t>
        </is>
      </c>
      <c r="G212" s="3" t="inlineStr">
        <is>
          <t>IntimacyThreshold</t>
        </is>
      </c>
      <c r="H212" s="3" t="inlineStr">
        <is>
          <t>When things are actually going well with someone... what's the quiet fear you don't usually admit?</t>
        </is>
      </c>
      <c r="I212" s="3" t="inlineStr">
        <is>
          <t>A</t>
        </is>
      </c>
      <c r="J212" s="3" t="inlineStr">
        <is>
          <t>A</t>
        </is>
      </c>
      <c r="K212" s="3" t="inlineStr">
        <is>
          <t>They'll lose interest once they see the parts I keep hidden.</t>
        </is>
      </c>
      <c r="L212" s="3" t="n">
        <v>6</v>
      </c>
      <c r="M212" s="3" t="n">
        <v>7</v>
      </c>
      <c r="N212" s="3" t="n">
        <v>4</v>
      </c>
      <c r="O212" s="3" t="n">
        <v>4</v>
      </c>
      <c r="P212" s="3" t="n">
        <v>2</v>
      </c>
      <c r="Q212" s="3" t="inlineStr">
        <is>
          <t>Performer</t>
        </is>
      </c>
      <c r="R212" s="3" t="n">
        <v>7</v>
      </c>
      <c r="S212" s="3" t="inlineStr"/>
      <c r="T212" s="3" t="inlineStr"/>
      <c r="U212" s="3" t="n">
        <v>0</v>
      </c>
      <c r="V212" s="3" t="inlineStr">
        <is>
          <t>masc:0.3;fem:0.5</t>
        </is>
      </c>
      <c r="W212" s="3" t="n">
        <v>0.3</v>
      </c>
      <c r="X212" s="3" t="n">
        <v>0.5</v>
      </c>
      <c r="Y212" s="3" t="inlineStr">
        <is>
          <t>COMM_Indirect</t>
        </is>
      </c>
      <c r="Z212" s="3" t="inlineStr">
        <is>
          <t>REG_Distractor</t>
        </is>
      </c>
      <c r="AA212" s="3" t="inlineStr">
        <is>
          <t>LANG_Gifts</t>
        </is>
      </c>
      <c r="AB212" s="3" t="inlineStr">
        <is>
          <t>Vulnerability_Loop</t>
        </is>
      </c>
      <c r="AC212" s="3" t="inlineStr">
        <is>
          <t>Vulnerability_Loop</t>
        </is>
      </c>
      <c r="AD212" s="3" t="inlineStr"/>
      <c r="AE212" s="3" t="n">
        <v>5</v>
      </c>
      <c r="AF212" s="3" t="inlineStr">
        <is>
          <t>impostor connection fear</t>
        </is>
      </c>
      <c r="AG212" s="3" t="inlineStr">
        <is>
          <t>self-concealer</t>
        </is>
      </c>
      <c r="AH212" s="3" t="n">
        <v>0</v>
      </c>
      <c r="AI212" s="3" t="inlineStr">
        <is>
          <t>yes</t>
        </is>
      </c>
      <c r="AJ212" s="3" t="inlineStr">
        <is>
          <t>no</t>
        </is>
      </c>
      <c r="AK212" s="3" t="inlineStr">
        <is>
          <t>no</t>
        </is>
      </c>
      <c r="AL212" s="3" t="inlineStr">
        <is>
          <t>no</t>
        </is>
      </c>
      <c r="AM212" s="3" t="inlineStr"/>
      <c r="AN212" s="3" t="inlineStr"/>
      <c r="AO212" s="3" t="inlineStr"/>
      <c r="AP212" s="3" t="inlineStr">
        <is>
          <t>v3_2026-03-19</t>
        </is>
      </c>
      <c r="AQ212">
        <f>(L212-Schema_v5!$C2)/(Schema_v5!$C3-Schema_v5!$C2)</f>
        <v/>
      </c>
      <c r="AR212">
        <f>(M212-Schema_v5!$C4)/(Schema_v5!$C5-Schema_v5!$C4)</f>
        <v/>
      </c>
      <c r="AS212">
        <f>N212/Schema_v5!$C6</f>
        <v/>
      </c>
      <c r="AT212">
        <f>O212/Schema_v5!$C7</f>
        <v/>
      </c>
      <c r="AU212">
        <f>P212/Schema_v5!$C8</f>
        <v/>
      </c>
      <c r="AV212">
        <f>IF(Schema_v5!$C9=0,0,AH212/Schema_v5!$C9)</f>
        <v/>
      </c>
      <c r="AW212">
        <f>IF(Schema_v5!$C10=0,0,AE212/Schema_v5!$C10)</f>
        <v/>
      </c>
      <c r="AX212">
        <f>(W212-Schema_v5!$C11)/(Schema_v5!$C12-Schema_v5!$C11)</f>
        <v/>
      </c>
      <c r="AY212">
        <f>(X212-Schema_v5!$C13)/(Schema_v5!$C14-Schema_v5!$C13)</f>
        <v/>
      </c>
    </row>
    <row r="213">
      <c r="A213" s="3" t="inlineStr">
        <is>
          <t>Q43_B</t>
        </is>
      </c>
      <c r="B213" s="3" t="n">
        <v>43</v>
      </c>
      <c r="C213" s="3" t="n">
        <v>43</v>
      </c>
      <c r="D213" s="3" t="inlineStr">
        <is>
          <t>Core</t>
        </is>
      </c>
      <c r="E213" s="3" t="n">
        <v>1.3</v>
      </c>
      <c r="F213" s="3" t="inlineStr">
        <is>
          <t>EmotionalNeeds</t>
        </is>
      </c>
      <c r="G213" s="3" t="inlineStr">
        <is>
          <t>IntimacyThreshold</t>
        </is>
      </c>
      <c r="H213" s="3" t="inlineStr"/>
      <c r="I213" s="3" t="inlineStr">
        <is>
          <t>B</t>
        </is>
      </c>
      <c r="J213" s="3" t="inlineStr">
        <is>
          <t>B</t>
        </is>
      </c>
      <c r="K213" s="3" t="inlineStr">
        <is>
          <t>I'll mess it up by needing too much or being too sensitive.</t>
        </is>
      </c>
      <c r="L213" s="3" t="n">
        <v>5</v>
      </c>
      <c r="M213" s="3" t="n">
        <v>6</v>
      </c>
      <c r="N213" s="3" t="n">
        <v>2</v>
      </c>
      <c r="O213" s="3" t="n">
        <v>2</v>
      </c>
      <c r="P213" s="3" t="n">
        <v>2</v>
      </c>
      <c r="Q213" s="3" t="inlineStr">
        <is>
          <t>Phantom Seeker</t>
        </is>
      </c>
      <c r="R213" s="3" t="n">
        <v>10</v>
      </c>
      <c r="S213" s="3" t="inlineStr"/>
      <c r="T213" s="3" t="inlineStr"/>
      <c r="U213" s="3" t="n">
        <v>0</v>
      </c>
      <c r="V213" s="3" t="inlineStr">
        <is>
          <t>masc:-0.2;fem:1.5</t>
        </is>
      </c>
      <c r="W213" s="3" t="n">
        <v>-0.2</v>
      </c>
      <c r="X213" s="3" t="n">
        <v>1.5</v>
      </c>
      <c r="Y213" s="3" t="inlineStr">
        <is>
          <t>COMM_Emotional</t>
        </is>
      </c>
      <c r="Z213" s="3" t="inlineStr">
        <is>
          <t>REG_SelfSoother</t>
        </is>
      </c>
      <c r="AA213" s="3" t="inlineStr">
        <is>
          <t>LANG_Touch</t>
        </is>
      </c>
      <c r="AB213" s="3" t="inlineStr">
        <is>
          <t>Vulnerability_Loop</t>
        </is>
      </c>
      <c r="AC213" s="3" t="inlineStr">
        <is>
          <t>Vulnerability_Loop</t>
        </is>
      </c>
      <c r="AD213" s="3" t="inlineStr"/>
      <c r="AE213" s="3" t="n">
        <v>5</v>
      </c>
      <c r="AF213" s="3" t="inlineStr">
        <is>
          <t>shame-based worth doubt</t>
        </is>
      </c>
      <c r="AG213" s="3" t="inlineStr">
        <is>
          <t>emotional risk avoider</t>
        </is>
      </c>
      <c r="AH213" s="3" t="n">
        <v>0.6</v>
      </c>
      <c r="AI213" s="3" t="inlineStr">
        <is>
          <t>yes</t>
        </is>
      </c>
      <c r="AJ213" s="3" t="inlineStr">
        <is>
          <t>no</t>
        </is>
      </c>
      <c r="AK213" s="3" t="inlineStr">
        <is>
          <t>no</t>
        </is>
      </c>
      <c r="AL213" s="3" t="inlineStr">
        <is>
          <t>no</t>
        </is>
      </c>
      <c r="AM213" s="3" t="inlineStr"/>
      <c r="AN213" s="3" t="inlineStr"/>
      <c r="AO213" s="3" t="inlineStr"/>
      <c r="AP213" s="3" t="inlineStr">
        <is>
          <t>v3_2026-03-19</t>
        </is>
      </c>
      <c r="AQ213">
        <f>(L213-Schema_v5!$C2)/(Schema_v5!$C3-Schema_v5!$C2)</f>
        <v/>
      </c>
      <c r="AR213">
        <f>(M213-Schema_v5!$C4)/(Schema_v5!$C5-Schema_v5!$C4)</f>
        <v/>
      </c>
      <c r="AS213">
        <f>N213/Schema_v5!$C6</f>
        <v/>
      </c>
      <c r="AT213">
        <f>O213/Schema_v5!$C7</f>
        <v/>
      </c>
      <c r="AU213">
        <f>P213/Schema_v5!$C8</f>
        <v/>
      </c>
      <c r="AV213">
        <f>IF(Schema_v5!$C9=0,0,AH213/Schema_v5!$C9)</f>
        <v/>
      </c>
      <c r="AW213">
        <f>IF(Schema_v5!$C10=0,0,AE213/Schema_v5!$C10)</f>
        <v/>
      </c>
      <c r="AX213">
        <f>(W213-Schema_v5!$C11)/(Schema_v5!$C12-Schema_v5!$C11)</f>
        <v/>
      </c>
      <c r="AY213">
        <f>(X213-Schema_v5!$C13)/(Schema_v5!$C14-Schema_v5!$C13)</f>
        <v/>
      </c>
    </row>
    <row r="214">
      <c r="A214" s="3" t="inlineStr">
        <is>
          <t>Q43_C</t>
        </is>
      </c>
      <c r="B214" s="3" t="n">
        <v>43</v>
      </c>
      <c r="C214" s="3" t="n">
        <v>43</v>
      </c>
      <c r="D214" s="3" t="inlineStr">
        <is>
          <t>Core</t>
        </is>
      </c>
      <c r="E214" s="3" t="n">
        <v>1.3</v>
      </c>
      <c r="F214" s="3" t="inlineStr">
        <is>
          <t>EmotionalNeeds</t>
        </is>
      </c>
      <c r="G214" s="3" t="inlineStr">
        <is>
          <t>IntimacyThreshold</t>
        </is>
      </c>
      <c r="H214" s="3" t="inlineStr"/>
      <c r="I214" s="3" t="inlineStr">
        <is>
          <t>C</t>
        </is>
      </c>
      <c r="J214" s="3" t="inlineStr">
        <is>
          <t>C</t>
        </is>
      </c>
      <c r="K214" s="3" t="inlineStr">
        <is>
          <t>They'll depend on me too much, and I'll feel trapped again.</t>
        </is>
      </c>
      <c r="L214" s="3" t="n">
        <v>6</v>
      </c>
      <c r="M214" s="3" t="n">
        <v>7</v>
      </c>
      <c r="N214" s="3" t="n">
        <v>2</v>
      </c>
      <c r="O214" s="3" t="n">
        <v>2</v>
      </c>
      <c r="P214" s="3" t="n">
        <v>0</v>
      </c>
      <c r="Q214" s="3" t="inlineStr">
        <is>
          <t>Icebox</t>
        </is>
      </c>
      <c r="R214" s="3" t="n">
        <v>1</v>
      </c>
      <c r="S214" s="3" t="inlineStr"/>
      <c r="T214" s="3" t="inlineStr"/>
      <c r="U214" s="3" t="n">
        <v>0</v>
      </c>
      <c r="V214" s="3" t="inlineStr">
        <is>
          <t>masc:1.8;fem:-1.6</t>
        </is>
      </c>
      <c r="W214" s="3" t="n">
        <v>1.8</v>
      </c>
      <c r="X214" s="3" t="n">
        <v>-1.6</v>
      </c>
      <c r="Y214" s="3" t="inlineStr">
        <is>
          <t>COMM_Avoidant</t>
        </is>
      </c>
      <c r="Z214" s="3" t="inlineStr">
        <is>
          <t>REG_Suppressor</t>
        </is>
      </c>
      <c r="AA214" s="3" t="inlineStr">
        <is>
          <t>LANG_Time</t>
        </is>
      </c>
      <c r="AB214" s="3" t="inlineStr">
        <is>
          <t>Vulnerability_Loop</t>
        </is>
      </c>
      <c r="AC214" s="3" t="inlineStr">
        <is>
          <t>Vulnerability_Loop</t>
        </is>
      </c>
      <c r="AD214" s="3" t="inlineStr"/>
      <c r="AE214" s="3" t="n">
        <v>5</v>
      </c>
      <c r="AF214" s="3" t="inlineStr">
        <is>
          <t>fear of emotional containment</t>
        </is>
      </c>
      <c r="AG214" s="3" t="inlineStr">
        <is>
          <t>closeness resistor</t>
        </is>
      </c>
      <c r="AH214" s="3" t="n">
        <v>0</v>
      </c>
      <c r="AI214" s="3" t="inlineStr">
        <is>
          <t>yes</t>
        </is>
      </c>
      <c r="AJ214" s="3" t="inlineStr">
        <is>
          <t>no</t>
        </is>
      </c>
      <c r="AK214" s="3" t="inlineStr">
        <is>
          <t>no</t>
        </is>
      </c>
      <c r="AL214" s="3" t="inlineStr">
        <is>
          <t>no</t>
        </is>
      </c>
      <c r="AM214" s="3" t="inlineStr"/>
      <c r="AN214" s="3" t="inlineStr"/>
      <c r="AO214" s="3" t="inlineStr"/>
      <c r="AP214" s="3" t="inlineStr">
        <is>
          <t>v3_2026-03-19</t>
        </is>
      </c>
      <c r="AQ214">
        <f>(L214-Schema_v5!$C2)/(Schema_v5!$C3-Schema_v5!$C2)</f>
        <v/>
      </c>
      <c r="AR214">
        <f>(M214-Schema_v5!$C4)/(Schema_v5!$C5-Schema_v5!$C4)</f>
        <v/>
      </c>
      <c r="AS214">
        <f>N214/Schema_v5!$C6</f>
        <v/>
      </c>
      <c r="AT214">
        <f>O214/Schema_v5!$C7</f>
        <v/>
      </c>
      <c r="AU214">
        <f>P214/Schema_v5!$C8</f>
        <v/>
      </c>
      <c r="AV214">
        <f>IF(Schema_v5!$C9=0,0,AH214/Schema_v5!$C9)</f>
        <v/>
      </c>
      <c r="AW214">
        <f>IF(Schema_v5!$C10=0,0,AE214/Schema_v5!$C10)</f>
        <v/>
      </c>
      <c r="AX214">
        <f>(W214-Schema_v5!$C11)/(Schema_v5!$C12-Schema_v5!$C11)</f>
        <v/>
      </c>
      <c r="AY214">
        <f>(X214-Schema_v5!$C13)/(Schema_v5!$C14-Schema_v5!$C13)</f>
        <v/>
      </c>
    </row>
    <row r="215">
      <c r="A215" s="3" t="inlineStr">
        <is>
          <t>Q43_D</t>
        </is>
      </c>
      <c r="B215" s="3" t="n">
        <v>43</v>
      </c>
      <c r="C215" s="3" t="n">
        <v>43</v>
      </c>
      <c r="D215" s="3" t="inlineStr">
        <is>
          <t>Core</t>
        </is>
      </c>
      <c r="E215" s="3" t="n">
        <v>1.3</v>
      </c>
      <c r="F215" s="3" t="inlineStr">
        <is>
          <t>EmotionalNeeds</t>
        </is>
      </c>
      <c r="G215" s="3" t="inlineStr">
        <is>
          <t>IntimacyThreshold</t>
        </is>
      </c>
      <c r="H215" s="3" t="inlineStr"/>
      <c r="I215" s="3" t="inlineStr">
        <is>
          <t>D</t>
        </is>
      </c>
      <c r="J215" s="3" t="inlineStr">
        <is>
          <t>D</t>
        </is>
      </c>
      <c r="K215" s="3" t="inlineStr">
        <is>
          <t>It's not real. I assume it'll shift once they get comfortable. I just don't trust the early glow.</t>
        </is>
      </c>
      <c r="L215" s="3" t="n">
        <v>8</v>
      </c>
      <c r="M215" s="3" t="n">
        <v>9</v>
      </c>
      <c r="N215" s="3" t="n">
        <v>8</v>
      </c>
      <c r="O215" s="3" t="n">
        <v>8</v>
      </c>
      <c r="P215" s="3" t="n">
        <v>8</v>
      </c>
      <c r="Q215" s="3" t="inlineStr">
        <is>
          <t>Analyzer</t>
        </is>
      </c>
      <c r="R215" s="3" t="n">
        <v>2</v>
      </c>
      <c r="S215" s="3" t="inlineStr"/>
      <c r="T215" s="3" t="inlineStr"/>
      <c r="U215" s="3" t="n">
        <v>0</v>
      </c>
      <c r="V215" s="3" t="inlineStr">
        <is>
          <t>masc:1.4;fem:0.1</t>
        </is>
      </c>
      <c r="W215" s="3" t="n">
        <v>1.4</v>
      </c>
      <c r="X215" s="3" t="n">
        <v>0.1</v>
      </c>
      <c r="Y215" s="3" t="inlineStr">
        <is>
          <t>COMM_Logical</t>
        </is>
      </c>
      <c r="Z215" s="3" t="inlineStr">
        <is>
          <t>REG_SelfSoother</t>
        </is>
      </c>
      <c r="AA215" s="3" t="inlineStr">
        <is>
          <t>LANG_Service</t>
        </is>
      </c>
      <c r="AB215" s="3" t="inlineStr"/>
      <c r="AC215" s="3" t="inlineStr"/>
      <c r="AD215" s="3" t="inlineStr"/>
      <c r="AE215" s="3" t="n">
        <v>0</v>
      </c>
      <c r="AF215" s="3" t="inlineStr">
        <is>
          <t>anticipated disappointment</t>
        </is>
      </c>
      <c r="AG215" s="3" t="inlineStr">
        <is>
          <t>skepticism filter</t>
        </is>
      </c>
      <c r="AH215" s="3" t="n">
        <v>0</v>
      </c>
      <c r="AI215" s="3" t="inlineStr">
        <is>
          <t>no</t>
        </is>
      </c>
      <c r="AJ215" s="3" t="inlineStr">
        <is>
          <t>no</t>
        </is>
      </c>
      <c r="AK215" s="3" t="inlineStr">
        <is>
          <t>no</t>
        </is>
      </c>
      <c r="AL215" s="3" t="inlineStr">
        <is>
          <t>no</t>
        </is>
      </c>
      <c r="AM215" s="3" t="inlineStr"/>
      <c r="AN215" s="3" t="inlineStr"/>
      <c r="AO215" s="3" t="inlineStr"/>
      <c r="AP215" s="3" t="inlineStr">
        <is>
          <t>v3_2026-03-19</t>
        </is>
      </c>
      <c r="AQ215">
        <f>(L215-Schema_v5!$C2)/(Schema_v5!$C3-Schema_v5!$C2)</f>
        <v/>
      </c>
      <c r="AR215">
        <f>(M215-Schema_v5!$C4)/(Schema_v5!$C5-Schema_v5!$C4)</f>
        <v/>
      </c>
      <c r="AS215">
        <f>N215/Schema_v5!$C6</f>
        <v/>
      </c>
      <c r="AT215">
        <f>O215/Schema_v5!$C7</f>
        <v/>
      </c>
      <c r="AU215">
        <f>P215/Schema_v5!$C8</f>
        <v/>
      </c>
      <c r="AV215">
        <f>IF(Schema_v5!$C9=0,0,AH215/Schema_v5!$C9)</f>
        <v/>
      </c>
      <c r="AW215">
        <f>IF(Schema_v5!$C10=0,0,AE215/Schema_v5!$C10)</f>
        <v/>
      </c>
      <c r="AX215">
        <f>(W215-Schema_v5!$C11)/(Schema_v5!$C12-Schema_v5!$C11)</f>
        <v/>
      </c>
      <c r="AY215">
        <f>(X215-Schema_v5!$C13)/(Schema_v5!$C14-Schema_v5!$C13)</f>
        <v/>
      </c>
    </row>
    <row r="216">
      <c r="A216" s="3" t="inlineStr">
        <is>
          <t>Q43_E</t>
        </is>
      </c>
      <c r="B216" s="3" t="n">
        <v>43</v>
      </c>
      <c r="C216" s="3" t="n">
        <v>43</v>
      </c>
      <c r="D216" s="3" t="inlineStr">
        <is>
          <t>Core</t>
        </is>
      </c>
      <c r="E216" s="3" t="n">
        <v>1.3</v>
      </c>
      <c r="F216" s="3" t="inlineStr">
        <is>
          <t>EmotionalNeeds</t>
        </is>
      </c>
      <c r="G216" s="3" t="inlineStr">
        <is>
          <t>IntimacyThreshold</t>
        </is>
      </c>
      <c r="H216" s="3" t="inlineStr"/>
      <c r="I216" s="3" t="inlineStr">
        <is>
          <t>E</t>
        </is>
      </c>
      <c r="J216" s="3" t="inlineStr">
        <is>
          <t>E</t>
        </is>
      </c>
      <c r="K216" s="3" t="inlineStr">
        <is>
          <t>They'll ask me to slow down, and I won't know how. I fall hard and then wonder why they didn't catch me.</t>
        </is>
      </c>
      <c r="L216" s="3" t="n">
        <v>7</v>
      </c>
      <c r="M216" s="3" t="n">
        <v>8</v>
      </c>
      <c r="N216" s="3" t="n">
        <v>6</v>
      </c>
      <c r="O216" s="3" t="n">
        <v>8</v>
      </c>
      <c r="P216" s="3" t="n">
        <v>6</v>
      </c>
      <c r="Q216" s="3" t="inlineStr">
        <is>
          <t>Fixer</t>
        </is>
      </c>
      <c r="R216" s="3" t="n">
        <v>5</v>
      </c>
      <c r="S216" s="3" t="inlineStr"/>
      <c r="T216" s="3" t="inlineStr"/>
      <c r="U216" s="3" t="n">
        <v>0</v>
      </c>
      <c r="V216" s="3" t="inlineStr">
        <is>
          <t>masc:-0.4;fem:2.0</t>
        </is>
      </c>
      <c r="W216" s="3" t="n">
        <v>-0.4</v>
      </c>
      <c r="X216" s="3" t="n">
        <v>2</v>
      </c>
      <c r="Y216" s="3" t="inlineStr">
        <is>
          <t>COMM_Emotional</t>
        </is>
      </c>
      <c r="Z216" s="3" t="inlineStr">
        <is>
          <t>REG_CoRegulator</t>
        </is>
      </c>
      <c r="AA216" s="3" t="inlineStr">
        <is>
          <t>LANG_Service</t>
        </is>
      </c>
      <c r="AB216" s="3" t="inlineStr"/>
      <c r="AC216" s="3" t="inlineStr"/>
      <c r="AD216" s="3" t="inlineStr"/>
      <c r="AE216" s="3" t="n">
        <v>0</v>
      </c>
      <c r="AF216" s="3" t="inlineStr">
        <is>
          <t>speed of love fear</t>
        </is>
      </c>
      <c r="AG216" s="3" t="inlineStr">
        <is>
          <t>fast feeler</t>
        </is>
      </c>
      <c r="AH216" s="3" t="n">
        <v>0</v>
      </c>
      <c r="AI216" s="3" t="inlineStr">
        <is>
          <t>no</t>
        </is>
      </c>
      <c r="AJ216" s="3" t="inlineStr">
        <is>
          <t>no</t>
        </is>
      </c>
      <c r="AK216" s="3" t="inlineStr">
        <is>
          <t>no</t>
        </is>
      </c>
      <c r="AL216" s="3" t="inlineStr">
        <is>
          <t>no</t>
        </is>
      </c>
      <c r="AM216" s="3" t="inlineStr"/>
      <c r="AN216" s="3" t="inlineStr"/>
      <c r="AO216" s="3" t="inlineStr"/>
      <c r="AP216" s="3" t="inlineStr">
        <is>
          <t>v3_2026-03-19</t>
        </is>
      </c>
      <c r="AQ216">
        <f>(L216-Schema_v5!$C2)/(Schema_v5!$C3-Schema_v5!$C2)</f>
        <v/>
      </c>
      <c r="AR216">
        <f>(M216-Schema_v5!$C4)/(Schema_v5!$C5-Schema_v5!$C4)</f>
        <v/>
      </c>
      <c r="AS216">
        <f>N216/Schema_v5!$C6</f>
        <v/>
      </c>
      <c r="AT216">
        <f>O216/Schema_v5!$C7</f>
        <v/>
      </c>
      <c r="AU216">
        <f>P216/Schema_v5!$C8</f>
        <v/>
      </c>
      <c r="AV216">
        <f>IF(Schema_v5!$C9=0,0,AH216/Schema_v5!$C9)</f>
        <v/>
      </c>
      <c r="AW216">
        <f>IF(Schema_v5!$C10=0,0,AE216/Schema_v5!$C10)</f>
        <v/>
      </c>
      <c r="AX216">
        <f>(W216-Schema_v5!$C11)/(Schema_v5!$C12-Schema_v5!$C11)</f>
        <v/>
      </c>
      <c r="AY216">
        <f>(X216-Schema_v5!$C13)/(Schema_v5!$C14-Schema_v5!$C13)</f>
        <v/>
      </c>
    </row>
    <row r="217">
      <c r="A217" s="3" t="inlineStr">
        <is>
          <t>Q44_A</t>
        </is>
      </c>
      <c r="B217" s="3" t="n">
        <v>44</v>
      </c>
      <c r="C217" s="3" t="n">
        <v>44</v>
      </c>
      <c r="D217" s="3" t="inlineStr">
        <is>
          <t>Core</t>
        </is>
      </c>
      <c r="E217" s="3" t="n">
        <v>1.3</v>
      </c>
      <c r="F217" s="3" t="inlineStr">
        <is>
          <t>EmotionalNeeds</t>
        </is>
      </c>
      <c r="G217" s="3" t="inlineStr">
        <is>
          <t>IntimacyThreshold</t>
        </is>
      </c>
      <c r="H217" s="3" t="inlineStr">
        <is>
          <t>You care about someone. You're hurt by something they did. You could say something... but what usually stops you?</t>
        </is>
      </c>
      <c r="I217" s="3" t="inlineStr">
        <is>
          <t>A</t>
        </is>
      </c>
      <c r="J217" s="3" t="inlineStr">
        <is>
          <t>A</t>
        </is>
      </c>
      <c r="K217" s="3" t="inlineStr">
        <is>
          <t>I don't want to seem dramatic. I've learned silence protects me better than honesty does.</t>
        </is>
      </c>
      <c r="L217" s="3" t="n">
        <v>6</v>
      </c>
      <c r="M217" s="3" t="n">
        <v>7</v>
      </c>
      <c r="N217" s="3" t="n">
        <v>2</v>
      </c>
      <c r="O217" s="3" t="n">
        <v>2</v>
      </c>
      <c r="P217" s="3" t="n">
        <v>0</v>
      </c>
      <c r="Q217" s="3" t="inlineStr">
        <is>
          <t>Icebox</t>
        </is>
      </c>
      <c r="R217" s="3" t="n">
        <v>1</v>
      </c>
      <c r="S217" s="3" t="inlineStr"/>
      <c r="T217" s="3" t="inlineStr"/>
      <c r="U217" s="3" t="n">
        <v>0</v>
      </c>
      <c r="V217" s="3" t="inlineStr">
        <is>
          <t>masc:1.8;fem:-1.6</t>
        </is>
      </c>
      <c r="W217" s="3" t="n">
        <v>1.8</v>
      </c>
      <c r="X217" s="3" t="n">
        <v>-1.6</v>
      </c>
      <c r="Y217" s="3" t="inlineStr">
        <is>
          <t>COMM_Avoidant</t>
        </is>
      </c>
      <c r="Z217" s="3" t="inlineStr">
        <is>
          <t>REG_Suppressor</t>
        </is>
      </c>
      <c r="AA217" s="3" t="inlineStr">
        <is>
          <t>LANG_Time</t>
        </is>
      </c>
      <c r="AB217" s="3" t="inlineStr">
        <is>
          <t>Vulnerability_Loop</t>
        </is>
      </c>
      <c r="AC217" s="3" t="inlineStr">
        <is>
          <t>Vulnerability_Loop</t>
        </is>
      </c>
      <c r="AD217" s="3" t="inlineStr"/>
      <c r="AE217" s="3" t="n">
        <v>5</v>
      </c>
      <c r="AF217" s="3" t="inlineStr">
        <is>
          <t>self-protection over expression</t>
        </is>
      </c>
      <c r="AG217" s="3" t="inlineStr"/>
      <c r="AH217" s="3" t="n">
        <v>0</v>
      </c>
      <c r="AI217" s="3" t="inlineStr">
        <is>
          <t>yes</t>
        </is>
      </c>
      <c r="AJ217" s="3" t="inlineStr">
        <is>
          <t>no</t>
        </is>
      </c>
      <c r="AK217" s="3" t="inlineStr">
        <is>
          <t>no</t>
        </is>
      </c>
      <c r="AL217" s="3" t="inlineStr">
        <is>
          <t>no</t>
        </is>
      </c>
      <c r="AM217" s="3" t="inlineStr"/>
      <c r="AN217" s="3" t="inlineStr"/>
      <c r="AO217" s="3" t="inlineStr"/>
      <c r="AP217" s="3" t="inlineStr">
        <is>
          <t>v3_2026-03-19</t>
        </is>
      </c>
      <c r="AQ217">
        <f>(L217-Schema_v5!$C2)/(Schema_v5!$C3-Schema_v5!$C2)</f>
        <v/>
      </c>
      <c r="AR217">
        <f>(M217-Schema_v5!$C4)/(Schema_v5!$C5-Schema_v5!$C4)</f>
        <v/>
      </c>
      <c r="AS217">
        <f>N217/Schema_v5!$C6</f>
        <v/>
      </c>
      <c r="AT217">
        <f>O217/Schema_v5!$C7</f>
        <v/>
      </c>
      <c r="AU217">
        <f>P217/Schema_v5!$C8</f>
        <v/>
      </c>
      <c r="AV217">
        <f>IF(Schema_v5!$C9=0,0,AH217/Schema_v5!$C9)</f>
        <v/>
      </c>
      <c r="AW217">
        <f>IF(Schema_v5!$C10=0,0,AE217/Schema_v5!$C10)</f>
        <v/>
      </c>
      <c r="AX217">
        <f>(W217-Schema_v5!$C11)/(Schema_v5!$C12-Schema_v5!$C11)</f>
        <v/>
      </c>
      <c r="AY217">
        <f>(X217-Schema_v5!$C13)/(Schema_v5!$C14-Schema_v5!$C13)</f>
        <v/>
      </c>
    </row>
    <row r="218">
      <c r="A218" s="3" t="inlineStr">
        <is>
          <t>Q44_B</t>
        </is>
      </c>
      <c r="B218" s="3" t="n">
        <v>44</v>
      </c>
      <c r="C218" s="3" t="n">
        <v>44</v>
      </c>
      <c r="D218" s="3" t="inlineStr">
        <is>
          <t>Core</t>
        </is>
      </c>
      <c r="E218" s="3" t="n">
        <v>1.3</v>
      </c>
      <c r="F218" s="3" t="inlineStr">
        <is>
          <t>EmotionalNeeds</t>
        </is>
      </c>
      <c r="G218" s="3" t="inlineStr">
        <is>
          <t>IntimacyThreshold</t>
        </is>
      </c>
      <c r="H218" s="3" t="inlineStr"/>
      <c r="I218" s="3" t="inlineStr">
        <is>
          <t>B</t>
        </is>
      </c>
      <c r="J218" s="3" t="inlineStr">
        <is>
          <t>B</t>
        </is>
      </c>
      <c r="K218" s="3" t="inlineStr">
        <is>
          <t>I'm scared they'll think I'm too much, or worse, they'll leave.</t>
        </is>
      </c>
      <c r="L218" s="3" t="n">
        <v>5</v>
      </c>
      <c r="M218" s="3" t="n">
        <v>6</v>
      </c>
      <c r="N218" s="3" t="n">
        <v>2</v>
      </c>
      <c r="O218" s="3" t="n">
        <v>4</v>
      </c>
      <c r="P218" s="3" t="n">
        <v>2</v>
      </c>
      <c r="Q218" s="3" t="inlineStr">
        <is>
          <t>Phantom Seeker</t>
        </is>
      </c>
      <c r="R218" s="3" t="n">
        <v>10</v>
      </c>
      <c r="S218" s="3" t="inlineStr"/>
      <c r="T218" s="3" t="inlineStr"/>
      <c r="U218" s="3" t="n">
        <v>0</v>
      </c>
      <c r="V218" s="3" t="inlineStr">
        <is>
          <t>masc:-0.2;fem:1.5</t>
        </is>
      </c>
      <c r="W218" s="3" t="n">
        <v>-0.2</v>
      </c>
      <c r="X218" s="3" t="n">
        <v>1.5</v>
      </c>
      <c r="Y218" s="3" t="inlineStr">
        <is>
          <t>COMM_Emotional</t>
        </is>
      </c>
      <c r="Z218" s="3" t="inlineStr">
        <is>
          <t>REG_SelfSoother</t>
        </is>
      </c>
      <c r="AA218" s="3" t="inlineStr">
        <is>
          <t>LANG_Touch</t>
        </is>
      </c>
      <c r="AB218" s="3" t="inlineStr">
        <is>
          <t>Vulnerability_Loop</t>
        </is>
      </c>
      <c r="AC218" s="3" t="inlineStr">
        <is>
          <t>Vulnerability_Loop</t>
        </is>
      </c>
      <c r="AD218" s="3" t="inlineStr"/>
      <c r="AE218" s="3" t="n">
        <v>5</v>
      </c>
      <c r="AF218" s="3" t="inlineStr">
        <is>
          <t>fear of abandonment</t>
        </is>
      </c>
      <c r="AG218" s="3" t="inlineStr">
        <is>
          <t>hesitant truther</t>
        </is>
      </c>
      <c r="AH218" s="3" t="n">
        <v>0</v>
      </c>
      <c r="AI218" s="3" t="inlineStr">
        <is>
          <t>yes</t>
        </is>
      </c>
      <c r="AJ218" s="3" t="inlineStr">
        <is>
          <t>no</t>
        </is>
      </c>
      <c r="AK218" s="3" t="inlineStr">
        <is>
          <t>no</t>
        </is>
      </c>
      <c r="AL218" s="3" t="inlineStr">
        <is>
          <t>no</t>
        </is>
      </c>
      <c r="AM218" s="3" t="inlineStr"/>
      <c r="AN218" s="3" t="inlineStr"/>
      <c r="AO218" s="3" t="inlineStr"/>
      <c r="AP218" s="3" t="inlineStr">
        <is>
          <t>v3_2026-03-19</t>
        </is>
      </c>
      <c r="AQ218">
        <f>(L218-Schema_v5!$C2)/(Schema_v5!$C3-Schema_v5!$C2)</f>
        <v/>
      </c>
      <c r="AR218">
        <f>(M218-Schema_v5!$C4)/(Schema_v5!$C5-Schema_v5!$C4)</f>
        <v/>
      </c>
      <c r="AS218">
        <f>N218/Schema_v5!$C6</f>
        <v/>
      </c>
      <c r="AT218">
        <f>O218/Schema_v5!$C7</f>
        <v/>
      </c>
      <c r="AU218">
        <f>P218/Schema_v5!$C8</f>
        <v/>
      </c>
      <c r="AV218">
        <f>IF(Schema_v5!$C9=0,0,AH218/Schema_v5!$C9)</f>
        <v/>
      </c>
      <c r="AW218">
        <f>IF(Schema_v5!$C10=0,0,AE218/Schema_v5!$C10)</f>
        <v/>
      </c>
      <c r="AX218">
        <f>(W218-Schema_v5!$C11)/(Schema_v5!$C12-Schema_v5!$C11)</f>
        <v/>
      </c>
      <c r="AY218">
        <f>(X218-Schema_v5!$C13)/(Schema_v5!$C14-Schema_v5!$C13)</f>
        <v/>
      </c>
    </row>
    <row r="219">
      <c r="A219" s="3" t="inlineStr">
        <is>
          <t>Q44_C</t>
        </is>
      </c>
      <c r="B219" s="3" t="n">
        <v>44</v>
      </c>
      <c r="C219" s="3" t="n">
        <v>44</v>
      </c>
      <c r="D219" s="3" t="inlineStr">
        <is>
          <t>Core</t>
        </is>
      </c>
      <c r="E219" s="3" t="n">
        <v>1.3</v>
      </c>
      <c r="F219" s="3" t="inlineStr">
        <is>
          <t>EmotionalNeeds</t>
        </is>
      </c>
      <c r="G219" s="3" t="inlineStr">
        <is>
          <t>IntimacyThreshold</t>
        </is>
      </c>
      <c r="H219" s="3" t="inlineStr"/>
      <c r="I219" s="3" t="inlineStr">
        <is>
          <t>C</t>
        </is>
      </c>
      <c r="J219" s="3" t="inlineStr">
        <is>
          <t>C</t>
        </is>
      </c>
      <c r="K219" s="3" t="inlineStr">
        <is>
          <t>I can't always tell if I'm overreacting or just reacting late... so I keep it in.</t>
        </is>
      </c>
      <c r="L219" s="3" t="n">
        <v>6</v>
      </c>
      <c r="M219" s="3" t="n">
        <v>7</v>
      </c>
      <c r="N219" s="3" t="n">
        <v>4</v>
      </c>
      <c r="O219" s="3" t="n">
        <v>6</v>
      </c>
      <c r="P219" s="3" t="n">
        <v>4</v>
      </c>
      <c r="Q219" s="3" t="inlineStr">
        <is>
          <t>Analyzer</t>
        </is>
      </c>
      <c r="R219" s="3" t="n">
        <v>2</v>
      </c>
      <c r="S219" s="3" t="inlineStr"/>
      <c r="T219" s="3" t="inlineStr"/>
      <c r="U219" s="3" t="n">
        <v>0</v>
      </c>
      <c r="V219" s="3" t="inlineStr">
        <is>
          <t>masc:1.4;fem:0.1</t>
        </is>
      </c>
      <c r="W219" s="3" t="n">
        <v>1.4</v>
      </c>
      <c r="X219" s="3" t="n">
        <v>0.1</v>
      </c>
      <c r="Y219" s="3" t="inlineStr">
        <is>
          <t>COMM_Logical</t>
        </is>
      </c>
      <c r="Z219" s="3" t="inlineStr">
        <is>
          <t>REG_SelfSoother</t>
        </is>
      </c>
      <c r="AA219" s="3" t="inlineStr">
        <is>
          <t>LANG_Service</t>
        </is>
      </c>
      <c r="AB219" s="3" t="inlineStr">
        <is>
          <t>Vulnerability_Loop</t>
        </is>
      </c>
      <c r="AC219" s="3" t="inlineStr">
        <is>
          <t>Vulnerability_Loop</t>
        </is>
      </c>
      <c r="AD219" s="3" t="inlineStr"/>
      <c r="AE219" s="3" t="n">
        <v>5</v>
      </c>
      <c r="AF219" s="3" t="inlineStr">
        <is>
          <t>emotional validity confusion</t>
        </is>
      </c>
      <c r="AG219" s="3" t="inlineStr">
        <is>
          <t>suppressed responder</t>
        </is>
      </c>
      <c r="AH219" s="3" t="n">
        <v>0</v>
      </c>
      <c r="AI219" s="3" t="inlineStr">
        <is>
          <t>yes</t>
        </is>
      </c>
      <c r="AJ219" s="3" t="inlineStr">
        <is>
          <t>no</t>
        </is>
      </c>
      <c r="AK219" s="3" t="inlineStr">
        <is>
          <t>no</t>
        </is>
      </c>
      <c r="AL219" s="3" t="inlineStr">
        <is>
          <t>no</t>
        </is>
      </c>
      <c r="AM219" s="3" t="inlineStr"/>
      <c r="AN219" s="3" t="inlineStr"/>
      <c r="AO219" s="3" t="inlineStr"/>
      <c r="AP219" s="3" t="inlineStr">
        <is>
          <t>v3_2026-03-19</t>
        </is>
      </c>
      <c r="AQ219">
        <f>(L219-Schema_v5!$C2)/(Schema_v5!$C3-Schema_v5!$C2)</f>
        <v/>
      </c>
      <c r="AR219">
        <f>(M219-Schema_v5!$C4)/(Schema_v5!$C5-Schema_v5!$C4)</f>
        <v/>
      </c>
      <c r="AS219">
        <f>N219/Schema_v5!$C6</f>
        <v/>
      </c>
      <c r="AT219">
        <f>O219/Schema_v5!$C7</f>
        <v/>
      </c>
      <c r="AU219">
        <f>P219/Schema_v5!$C8</f>
        <v/>
      </c>
      <c r="AV219">
        <f>IF(Schema_v5!$C9=0,0,AH219/Schema_v5!$C9)</f>
        <v/>
      </c>
      <c r="AW219">
        <f>IF(Schema_v5!$C10=0,0,AE219/Schema_v5!$C10)</f>
        <v/>
      </c>
      <c r="AX219">
        <f>(W219-Schema_v5!$C11)/(Schema_v5!$C12-Schema_v5!$C11)</f>
        <v/>
      </c>
      <c r="AY219">
        <f>(X219-Schema_v5!$C13)/(Schema_v5!$C14-Schema_v5!$C13)</f>
        <v/>
      </c>
    </row>
    <row r="220">
      <c r="A220" s="3" t="inlineStr">
        <is>
          <t>Q44_D</t>
        </is>
      </c>
      <c r="B220" s="3" t="n">
        <v>44</v>
      </c>
      <c r="C220" s="3" t="n">
        <v>44</v>
      </c>
      <c r="D220" s="3" t="inlineStr">
        <is>
          <t>Core</t>
        </is>
      </c>
      <c r="E220" s="3" t="n">
        <v>1.3</v>
      </c>
      <c r="F220" s="3" t="inlineStr">
        <is>
          <t>EmotionalNeeds</t>
        </is>
      </c>
      <c r="G220" s="3" t="inlineStr">
        <is>
          <t>IntimacyThreshold</t>
        </is>
      </c>
      <c r="H220" s="3" t="inlineStr"/>
      <c r="I220" s="3" t="inlineStr">
        <is>
          <t>D</t>
        </is>
      </c>
      <c r="J220" s="3" t="inlineStr">
        <is>
          <t>D</t>
        </is>
      </c>
      <c r="K220" s="3" t="inlineStr">
        <is>
          <t>I wait for the right moment to bring it up, but that moment never comes. So I smile through it and let it fester.</t>
        </is>
      </c>
      <c r="L220" s="3" t="n">
        <v>5</v>
      </c>
      <c r="M220" s="3" t="n">
        <v>6</v>
      </c>
      <c r="N220" s="3" t="n">
        <v>2</v>
      </c>
      <c r="O220" s="3" t="n">
        <v>2</v>
      </c>
      <c r="P220" s="3" t="n">
        <v>0</v>
      </c>
      <c r="Q220" s="3" t="inlineStr">
        <is>
          <t>Performer</t>
        </is>
      </c>
      <c r="R220" s="3" t="n">
        <v>7</v>
      </c>
      <c r="S220" s="3" t="inlineStr"/>
      <c r="T220" s="3" t="inlineStr"/>
      <c r="U220" s="3" t="n">
        <v>0</v>
      </c>
      <c r="V220" s="3" t="inlineStr">
        <is>
          <t>masc:0.3;fem:0.5</t>
        </is>
      </c>
      <c r="W220" s="3" t="n">
        <v>0.3</v>
      </c>
      <c r="X220" s="3" t="n">
        <v>0.5</v>
      </c>
      <c r="Y220" s="3" t="inlineStr">
        <is>
          <t>COMM_Indirect</t>
        </is>
      </c>
      <c r="Z220" s="3" t="inlineStr">
        <is>
          <t>REG_Distractor</t>
        </is>
      </c>
      <c r="AA220" s="3" t="inlineStr">
        <is>
          <t>LANG_Gifts</t>
        </is>
      </c>
      <c r="AB220" s="3" t="inlineStr">
        <is>
          <t>Vulnerability_Loop</t>
        </is>
      </c>
      <c r="AC220" s="3" t="inlineStr">
        <is>
          <t>Vulnerability_Loop</t>
        </is>
      </c>
      <c r="AD220" s="3" t="inlineStr"/>
      <c r="AE220" s="3" t="n">
        <v>5</v>
      </c>
      <c r="AF220" s="3" t="inlineStr">
        <is>
          <t>delayed conflict avoidance</t>
        </is>
      </c>
      <c r="AG220" s="3" t="inlineStr">
        <is>
          <t>festering avoider</t>
        </is>
      </c>
      <c r="AH220" s="3" t="n">
        <v>1.2</v>
      </c>
      <c r="AI220" s="3" t="inlineStr">
        <is>
          <t>yes</t>
        </is>
      </c>
      <c r="AJ220" s="3" t="inlineStr">
        <is>
          <t>no</t>
        </is>
      </c>
      <c r="AK220" s="3" t="inlineStr">
        <is>
          <t>no</t>
        </is>
      </c>
      <c r="AL220" s="3" t="inlineStr">
        <is>
          <t>no</t>
        </is>
      </c>
      <c r="AM220" s="3" t="inlineStr"/>
      <c r="AN220" s="3" t="inlineStr"/>
      <c r="AO220" s="3" t="inlineStr"/>
      <c r="AP220" s="3" t="inlineStr">
        <is>
          <t>v3_2026-03-19</t>
        </is>
      </c>
      <c r="AQ220">
        <f>(L220-Schema_v5!$C2)/(Schema_v5!$C3-Schema_v5!$C2)</f>
        <v/>
      </c>
      <c r="AR220">
        <f>(M220-Schema_v5!$C4)/(Schema_v5!$C5-Schema_v5!$C4)</f>
        <v/>
      </c>
      <c r="AS220">
        <f>N220/Schema_v5!$C6</f>
        <v/>
      </c>
      <c r="AT220">
        <f>O220/Schema_v5!$C7</f>
        <v/>
      </c>
      <c r="AU220">
        <f>P220/Schema_v5!$C8</f>
        <v/>
      </c>
      <c r="AV220">
        <f>IF(Schema_v5!$C9=0,0,AH220/Schema_v5!$C9)</f>
        <v/>
      </c>
      <c r="AW220">
        <f>IF(Schema_v5!$C10=0,0,AE220/Schema_v5!$C10)</f>
        <v/>
      </c>
      <c r="AX220">
        <f>(W220-Schema_v5!$C11)/(Schema_v5!$C12-Schema_v5!$C11)</f>
        <v/>
      </c>
      <c r="AY220">
        <f>(X220-Schema_v5!$C13)/(Schema_v5!$C14-Schema_v5!$C13)</f>
        <v/>
      </c>
    </row>
    <row r="221">
      <c r="A221" s="3" t="inlineStr">
        <is>
          <t>Q44_E</t>
        </is>
      </c>
      <c r="B221" s="3" t="n">
        <v>44</v>
      </c>
      <c r="C221" s="3" t="n">
        <v>44</v>
      </c>
      <c r="D221" s="3" t="inlineStr">
        <is>
          <t>Core</t>
        </is>
      </c>
      <c r="E221" s="3" t="n">
        <v>1.3</v>
      </c>
      <c r="F221" s="3" t="inlineStr">
        <is>
          <t>EmotionalNeeds</t>
        </is>
      </c>
      <c r="G221" s="3" t="inlineStr">
        <is>
          <t>IntimacyThreshold</t>
        </is>
      </c>
      <c r="H221" s="3" t="inlineStr"/>
      <c r="I221" s="3" t="inlineStr">
        <is>
          <t>E</t>
        </is>
      </c>
      <c r="J221" s="3" t="inlineStr">
        <is>
          <t>E</t>
        </is>
      </c>
      <c r="K221" s="3" t="inlineStr">
        <is>
          <t>I try to fix it without saying anything. If I love you, I'd rather work around the pain than risk more of it.</t>
        </is>
      </c>
      <c r="L221" s="3" t="n">
        <v>8</v>
      </c>
      <c r="M221" s="3" t="n">
        <v>9</v>
      </c>
      <c r="N221" s="3" t="n">
        <v>8</v>
      </c>
      <c r="O221" s="3" t="n">
        <v>10</v>
      </c>
      <c r="P221" s="3" t="n">
        <v>8</v>
      </c>
      <c r="Q221" s="3" t="inlineStr">
        <is>
          <t>Fixer</t>
        </is>
      </c>
      <c r="R221" s="3" t="n">
        <v>5</v>
      </c>
      <c r="S221" s="3" t="inlineStr"/>
      <c r="T221" s="3" t="inlineStr"/>
      <c r="U221" s="3" t="n">
        <v>0</v>
      </c>
      <c r="V221" s="3" t="inlineStr">
        <is>
          <t>masc:-0.4;fem:2.0</t>
        </is>
      </c>
      <c r="W221" s="3" t="n">
        <v>-0.4</v>
      </c>
      <c r="X221" s="3" t="n">
        <v>2</v>
      </c>
      <c r="Y221" s="3" t="inlineStr">
        <is>
          <t>COMM_Emotional</t>
        </is>
      </c>
      <c r="Z221" s="3" t="inlineStr">
        <is>
          <t>REG_CoRegulator</t>
        </is>
      </c>
      <c r="AA221" s="3" t="inlineStr">
        <is>
          <t>LANG_Service</t>
        </is>
      </c>
      <c r="AB221" s="3" t="inlineStr"/>
      <c r="AC221" s="3" t="inlineStr"/>
      <c r="AD221" s="3" t="inlineStr"/>
      <c r="AE221" s="3" t="n">
        <v>0</v>
      </c>
      <c r="AF221" s="3" t="inlineStr">
        <is>
          <t>love through labor mechanism</t>
        </is>
      </c>
      <c r="AG221" s="3" t="inlineStr">
        <is>
          <t>invisible repairer</t>
        </is>
      </c>
      <c r="AH221" s="3" t="n">
        <v>0</v>
      </c>
      <c r="AI221" s="3" t="inlineStr">
        <is>
          <t>no</t>
        </is>
      </c>
      <c r="AJ221" s="3" t="inlineStr">
        <is>
          <t>no</t>
        </is>
      </c>
      <c r="AK221" s="3" t="inlineStr">
        <is>
          <t>no</t>
        </is>
      </c>
      <c r="AL221" s="3" t="inlineStr">
        <is>
          <t>no</t>
        </is>
      </c>
      <c r="AM221" s="3" t="inlineStr"/>
      <c r="AN221" s="3" t="inlineStr"/>
      <c r="AO221" s="3" t="inlineStr"/>
      <c r="AP221" s="3" t="inlineStr">
        <is>
          <t>v3_2026-03-19</t>
        </is>
      </c>
      <c r="AQ221">
        <f>(L221-Schema_v5!$C2)/(Schema_v5!$C3-Schema_v5!$C2)</f>
        <v/>
      </c>
      <c r="AR221">
        <f>(M221-Schema_v5!$C4)/(Schema_v5!$C5-Schema_v5!$C4)</f>
        <v/>
      </c>
      <c r="AS221">
        <f>N221/Schema_v5!$C6</f>
        <v/>
      </c>
      <c r="AT221">
        <f>O221/Schema_v5!$C7</f>
        <v/>
      </c>
      <c r="AU221">
        <f>P221/Schema_v5!$C8</f>
        <v/>
      </c>
      <c r="AV221">
        <f>IF(Schema_v5!$C9=0,0,AH221/Schema_v5!$C9)</f>
        <v/>
      </c>
      <c r="AW221">
        <f>IF(Schema_v5!$C10=0,0,AE221/Schema_v5!$C10)</f>
        <v/>
      </c>
      <c r="AX221">
        <f>(W221-Schema_v5!$C11)/(Schema_v5!$C12-Schema_v5!$C11)</f>
        <v/>
      </c>
      <c r="AY221">
        <f>(X221-Schema_v5!$C13)/(Schema_v5!$C14-Schema_v5!$C13)</f>
        <v/>
      </c>
    </row>
    <row r="222">
      <c r="A222" s="3" t="inlineStr">
        <is>
          <t>Q45_A</t>
        </is>
      </c>
      <c r="B222" s="3" t="n">
        <v>45</v>
      </c>
      <c r="C222" s="3" t="n">
        <v>45</v>
      </c>
      <c r="D222" s="3" t="inlineStr">
        <is>
          <t>Core</t>
        </is>
      </c>
      <c r="E222" s="3" t="n">
        <v>1.35</v>
      </c>
      <c r="F222" s="3" t="inlineStr">
        <is>
          <t>EmotionalNeeds</t>
        </is>
      </c>
      <c r="G222" s="3" t="inlineStr">
        <is>
          <t>IntimacyThreshold</t>
        </is>
      </c>
      <c r="H222" s="3" t="inlineStr">
        <is>
          <t>The vibe is off. You're quieter. Distant. But you haven't said anything yet. What would actually make you feel safe again?</t>
        </is>
      </c>
      <c r="I222" s="3" t="inlineStr">
        <is>
          <t>A</t>
        </is>
      </c>
      <c r="J222" s="3" t="inlineStr">
        <is>
          <t>A</t>
        </is>
      </c>
      <c r="K222" s="3" t="inlineStr">
        <is>
          <t>If they noticed without me having to say anything , just read me and pulled me back in.</t>
        </is>
      </c>
      <c r="L222" s="3" t="n">
        <v>5</v>
      </c>
      <c r="M222" s="3" t="n">
        <v>6</v>
      </c>
      <c r="N222" s="3" t="n">
        <v>2</v>
      </c>
      <c r="O222" s="3" t="n">
        <v>2</v>
      </c>
      <c r="P222" s="3" t="n">
        <v>2</v>
      </c>
      <c r="Q222" s="3" t="inlineStr">
        <is>
          <t>Phantom Seeker</t>
        </is>
      </c>
      <c r="R222" s="3" t="n">
        <v>10</v>
      </c>
      <c r="S222" s="3" t="inlineStr"/>
      <c r="T222" s="3" t="inlineStr"/>
      <c r="U222" s="3" t="n">
        <v>0</v>
      </c>
      <c r="V222" s="3" t="inlineStr">
        <is>
          <t>masc:-0.2;fem:1.5</t>
        </is>
      </c>
      <c r="W222" s="3" t="n">
        <v>-0.2</v>
      </c>
      <c r="X222" s="3" t="n">
        <v>1.5</v>
      </c>
      <c r="Y222" s="3" t="inlineStr">
        <is>
          <t>COMM_Emotional</t>
        </is>
      </c>
      <c r="Z222" s="3" t="inlineStr">
        <is>
          <t>REG_SelfSoother</t>
        </is>
      </c>
      <c r="AA222" s="3" t="inlineStr">
        <is>
          <t>LANG_Touch</t>
        </is>
      </c>
      <c r="AB222" s="3" t="inlineStr">
        <is>
          <t>Vulnerability_Loop</t>
        </is>
      </c>
      <c r="AC222" s="3" t="inlineStr">
        <is>
          <t>Vulnerability_Loop</t>
        </is>
      </c>
      <c r="AD222" s="3" t="inlineStr"/>
      <c r="AE222" s="3" t="n">
        <v>5</v>
      </c>
      <c r="AF222" s="3" t="inlineStr">
        <is>
          <t>unspoken rescue desire</t>
        </is>
      </c>
      <c r="AG222" s="3" t="inlineStr">
        <is>
          <t>silent hope holder</t>
        </is>
      </c>
      <c r="AH222" s="3" t="n">
        <v>0.6</v>
      </c>
      <c r="AI222" s="3" t="inlineStr">
        <is>
          <t>yes</t>
        </is>
      </c>
      <c r="AJ222" s="3" t="inlineStr">
        <is>
          <t>no</t>
        </is>
      </c>
      <c r="AK222" s="3" t="inlineStr">
        <is>
          <t>no</t>
        </is>
      </c>
      <c r="AL222" s="3" t="inlineStr">
        <is>
          <t>no</t>
        </is>
      </c>
      <c r="AM222" s="3" t="inlineStr"/>
      <c r="AN222" s="3" t="inlineStr"/>
      <c r="AO222" s="3" t="inlineStr"/>
      <c r="AP222" s="3" t="inlineStr">
        <is>
          <t>v3_2026-03-19</t>
        </is>
      </c>
      <c r="AQ222">
        <f>(L222-Schema_v5!$C2)/(Schema_v5!$C3-Schema_v5!$C2)</f>
        <v/>
      </c>
      <c r="AR222">
        <f>(M222-Schema_v5!$C4)/(Schema_v5!$C5-Schema_v5!$C4)</f>
        <v/>
      </c>
      <c r="AS222">
        <f>N222/Schema_v5!$C6</f>
        <v/>
      </c>
      <c r="AT222">
        <f>O222/Schema_v5!$C7</f>
        <v/>
      </c>
      <c r="AU222">
        <f>P222/Schema_v5!$C8</f>
        <v/>
      </c>
      <c r="AV222">
        <f>IF(Schema_v5!$C9=0,0,AH222/Schema_v5!$C9)</f>
        <v/>
      </c>
      <c r="AW222">
        <f>IF(Schema_v5!$C10=0,0,AE222/Schema_v5!$C10)</f>
        <v/>
      </c>
      <c r="AX222">
        <f>(W222-Schema_v5!$C11)/(Schema_v5!$C12-Schema_v5!$C11)</f>
        <v/>
      </c>
      <c r="AY222">
        <f>(X222-Schema_v5!$C13)/(Schema_v5!$C14-Schema_v5!$C13)</f>
        <v/>
      </c>
    </row>
    <row r="223">
      <c r="A223" s="3" t="inlineStr">
        <is>
          <t>Q45_B</t>
        </is>
      </c>
      <c r="B223" s="3" t="n">
        <v>45</v>
      </c>
      <c r="C223" s="3" t="n">
        <v>45</v>
      </c>
      <c r="D223" s="3" t="inlineStr">
        <is>
          <t>Core</t>
        </is>
      </c>
      <c r="E223" s="3" t="n">
        <v>1.35</v>
      </c>
      <c r="F223" s="3" t="inlineStr">
        <is>
          <t>EmotionalNeeds</t>
        </is>
      </c>
      <c r="G223" s="3" t="inlineStr">
        <is>
          <t>IntimacyThreshold</t>
        </is>
      </c>
      <c r="H223" s="3" t="inlineStr"/>
      <c r="I223" s="3" t="inlineStr">
        <is>
          <t>B</t>
        </is>
      </c>
      <c r="J223" s="3" t="inlineStr">
        <is>
          <t>B</t>
        </is>
      </c>
      <c r="K223" s="3" t="inlineStr">
        <is>
          <t>If they gave me space without making me feel guilty , just stayed steady in the background.</t>
        </is>
      </c>
      <c r="L223" s="3" t="n">
        <v>8</v>
      </c>
      <c r="M223" s="3" t="n">
        <v>9</v>
      </c>
      <c r="N223" s="3" t="n">
        <v>4</v>
      </c>
      <c r="O223" s="3" t="n">
        <v>6</v>
      </c>
      <c r="P223" s="3" t="n">
        <v>2</v>
      </c>
      <c r="Q223" s="3" t="inlineStr">
        <is>
          <t>Icebox</t>
        </is>
      </c>
      <c r="R223" s="3" t="n">
        <v>1</v>
      </c>
      <c r="S223" s="3" t="inlineStr"/>
      <c r="T223" s="3" t="inlineStr"/>
      <c r="U223" s="3" t="n">
        <v>0</v>
      </c>
      <c r="V223" s="3" t="inlineStr">
        <is>
          <t>masc:1.8;fem:-1.6</t>
        </is>
      </c>
      <c r="W223" s="3" t="n">
        <v>1.8</v>
      </c>
      <c r="X223" s="3" t="n">
        <v>-1.6</v>
      </c>
      <c r="Y223" s="3" t="inlineStr">
        <is>
          <t>COMM_Avoidant</t>
        </is>
      </c>
      <c r="Z223" s="3" t="inlineStr">
        <is>
          <t>REG_Suppressor</t>
        </is>
      </c>
      <c r="AA223" s="3" t="inlineStr">
        <is>
          <t>LANG_Time</t>
        </is>
      </c>
      <c r="AB223" s="3" t="inlineStr"/>
      <c r="AC223" s="3" t="inlineStr"/>
      <c r="AD223" s="3" t="inlineStr"/>
      <c r="AE223" s="3" t="n">
        <v>0</v>
      </c>
      <c r="AF223" s="3" t="inlineStr">
        <is>
          <t>stability without intrusion</t>
        </is>
      </c>
      <c r="AG223" s="3" t="inlineStr">
        <is>
          <t>distance-aware supporter</t>
        </is>
      </c>
      <c r="AH223" s="3" t="n">
        <v>0.6</v>
      </c>
      <c r="AI223" s="3" t="inlineStr">
        <is>
          <t>no</t>
        </is>
      </c>
      <c r="AJ223" s="3" t="inlineStr">
        <is>
          <t>no</t>
        </is>
      </c>
      <c r="AK223" s="3" t="inlineStr">
        <is>
          <t>no</t>
        </is>
      </c>
      <c r="AL223" s="3" t="inlineStr">
        <is>
          <t>no</t>
        </is>
      </c>
      <c r="AM223" s="3" t="inlineStr"/>
      <c r="AN223" s="3" t="inlineStr"/>
      <c r="AO223" s="3" t="inlineStr"/>
      <c r="AP223" s="3" t="inlineStr">
        <is>
          <t>v3_2026-03-19</t>
        </is>
      </c>
      <c r="AQ223">
        <f>(L223-Schema_v5!$C2)/(Schema_v5!$C3-Schema_v5!$C2)</f>
        <v/>
      </c>
      <c r="AR223">
        <f>(M223-Schema_v5!$C4)/(Schema_v5!$C5-Schema_v5!$C4)</f>
        <v/>
      </c>
      <c r="AS223">
        <f>N223/Schema_v5!$C6</f>
        <v/>
      </c>
      <c r="AT223">
        <f>O223/Schema_v5!$C7</f>
        <v/>
      </c>
      <c r="AU223">
        <f>P223/Schema_v5!$C8</f>
        <v/>
      </c>
      <c r="AV223">
        <f>IF(Schema_v5!$C9=0,0,AH223/Schema_v5!$C9)</f>
        <v/>
      </c>
      <c r="AW223">
        <f>IF(Schema_v5!$C10=0,0,AE223/Schema_v5!$C10)</f>
        <v/>
      </c>
      <c r="AX223">
        <f>(W223-Schema_v5!$C11)/(Schema_v5!$C12-Schema_v5!$C11)</f>
        <v/>
      </c>
      <c r="AY223">
        <f>(X223-Schema_v5!$C13)/(Schema_v5!$C14-Schema_v5!$C13)</f>
        <v/>
      </c>
    </row>
    <row r="224">
      <c r="A224" s="3" t="inlineStr">
        <is>
          <t>Q45_C</t>
        </is>
      </c>
      <c r="B224" s="3" t="n">
        <v>45</v>
      </c>
      <c r="C224" s="3" t="n">
        <v>45</v>
      </c>
      <c r="D224" s="3" t="inlineStr">
        <is>
          <t>Core</t>
        </is>
      </c>
      <c r="E224" s="3" t="n">
        <v>1.35</v>
      </c>
      <c r="F224" s="3" t="inlineStr">
        <is>
          <t>EmotionalNeeds</t>
        </is>
      </c>
      <c r="G224" s="3" t="inlineStr">
        <is>
          <t>IntimacyThreshold</t>
        </is>
      </c>
      <c r="H224" s="3" t="inlineStr"/>
      <c r="I224" s="3" t="inlineStr">
        <is>
          <t>C</t>
        </is>
      </c>
      <c r="J224" s="3" t="inlineStr">
        <is>
          <t>C</t>
        </is>
      </c>
      <c r="K224" s="3" t="inlineStr">
        <is>
          <t>If they directly asked, "You good?" but gently , just enough to open the door.</t>
        </is>
      </c>
      <c r="L224" s="3" t="n">
        <v>9</v>
      </c>
      <c r="M224" s="3" t="n">
        <v>9</v>
      </c>
      <c r="N224" s="3" t="n">
        <v>10</v>
      </c>
      <c r="O224" s="3" t="n">
        <v>8</v>
      </c>
      <c r="P224" s="3" t="n">
        <v>8</v>
      </c>
      <c r="Q224" s="3" t="inlineStr">
        <is>
          <t>Analyzer</t>
        </is>
      </c>
      <c r="R224" s="3" t="n">
        <v>2</v>
      </c>
      <c r="S224" s="3" t="inlineStr"/>
      <c r="T224" s="3" t="inlineStr"/>
      <c r="U224" s="3" t="n">
        <v>0</v>
      </c>
      <c r="V224" s="3" t="inlineStr">
        <is>
          <t>masc:1.4;fem:0.1</t>
        </is>
      </c>
      <c r="W224" s="3" t="n">
        <v>1.4</v>
      </c>
      <c r="X224" s="3" t="n">
        <v>0.1</v>
      </c>
      <c r="Y224" s="3" t="inlineStr">
        <is>
          <t>COMM_Logical</t>
        </is>
      </c>
      <c r="Z224" s="3" t="inlineStr">
        <is>
          <t>REG_SelfSoother</t>
        </is>
      </c>
      <c r="AA224" s="3" t="inlineStr">
        <is>
          <t>LANG_Service</t>
        </is>
      </c>
      <c r="AB224" s="3" t="inlineStr"/>
      <c r="AC224" s="3" t="inlineStr"/>
      <c r="AD224" s="3" t="inlineStr"/>
      <c r="AE224" s="3" t="n">
        <v>0</v>
      </c>
      <c r="AF224" s="3" t="inlineStr">
        <is>
          <t>soft prompt, no pressure</t>
        </is>
      </c>
      <c r="AG224" s="3" t="inlineStr">
        <is>
          <t>curious empath</t>
        </is>
      </c>
      <c r="AH224" s="3" t="n">
        <v>0</v>
      </c>
      <c r="AI224" s="3" t="inlineStr">
        <is>
          <t>no</t>
        </is>
      </c>
      <c r="AJ224" s="3" t="inlineStr">
        <is>
          <t>no</t>
        </is>
      </c>
      <c r="AK224" s="3" t="inlineStr">
        <is>
          <t>no</t>
        </is>
      </c>
      <c r="AL224" s="3" t="inlineStr">
        <is>
          <t>no</t>
        </is>
      </c>
      <c r="AM224" s="3" t="inlineStr"/>
      <c r="AN224" s="3" t="inlineStr"/>
      <c r="AO224" s="3" t="inlineStr"/>
      <c r="AP224" s="3" t="inlineStr">
        <is>
          <t>v3_2026-03-19</t>
        </is>
      </c>
      <c r="AQ224">
        <f>(L224-Schema_v5!$C2)/(Schema_v5!$C3-Schema_v5!$C2)</f>
        <v/>
      </c>
      <c r="AR224">
        <f>(M224-Schema_v5!$C4)/(Schema_v5!$C5-Schema_v5!$C4)</f>
        <v/>
      </c>
      <c r="AS224">
        <f>N224/Schema_v5!$C6</f>
        <v/>
      </c>
      <c r="AT224">
        <f>O224/Schema_v5!$C7</f>
        <v/>
      </c>
      <c r="AU224">
        <f>P224/Schema_v5!$C8</f>
        <v/>
      </c>
      <c r="AV224">
        <f>IF(Schema_v5!$C9=0,0,AH224/Schema_v5!$C9)</f>
        <v/>
      </c>
      <c r="AW224">
        <f>IF(Schema_v5!$C10=0,0,AE224/Schema_v5!$C10)</f>
        <v/>
      </c>
      <c r="AX224">
        <f>(W224-Schema_v5!$C11)/(Schema_v5!$C12-Schema_v5!$C11)</f>
        <v/>
      </c>
      <c r="AY224">
        <f>(X224-Schema_v5!$C13)/(Schema_v5!$C14-Schema_v5!$C13)</f>
        <v/>
      </c>
    </row>
    <row r="225">
      <c r="A225" s="3" t="inlineStr">
        <is>
          <t>Q45_D</t>
        </is>
      </c>
      <c r="B225" s="3" t="n">
        <v>45</v>
      </c>
      <c r="C225" s="3" t="n">
        <v>45</v>
      </c>
      <c r="D225" s="3" t="inlineStr">
        <is>
          <t>Core</t>
        </is>
      </c>
      <c r="E225" s="3" t="n">
        <v>1.35</v>
      </c>
      <c r="F225" s="3" t="inlineStr">
        <is>
          <t>EmotionalNeeds</t>
        </is>
      </c>
      <c r="G225" s="3" t="inlineStr">
        <is>
          <t>IntimacyThreshold</t>
        </is>
      </c>
      <c r="H225" s="3" t="inlineStr"/>
      <c r="I225" s="3" t="inlineStr">
        <is>
          <t>D</t>
        </is>
      </c>
      <c r="J225" s="3" t="inlineStr">
        <is>
          <t>D</t>
        </is>
      </c>
      <c r="K225" s="3" t="inlineStr">
        <is>
          <t>If they reminded me what we are , through words, effort, or energy. Something consistent.</t>
        </is>
      </c>
      <c r="L225" s="3" t="n">
        <v>9</v>
      </c>
      <c r="M225" s="3" t="n">
        <v>9</v>
      </c>
      <c r="N225" s="3" t="n">
        <v>10</v>
      </c>
      <c r="O225" s="3" t="n">
        <v>10</v>
      </c>
      <c r="P225" s="3" t="n">
        <v>10</v>
      </c>
      <c r="Q225" s="3" t="inlineStr">
        <is>
          <t>Fixer</t>
        </is>
      </c>
      <c r="R225" s="3" t="n">
        <v>5</v>
      </c>
      <c r="S225" s="3" t="inlineStr"/>
      <c r="T225" s="3" t="inlineStr"/>
      <c r="U225" s="3" t="n">
        <v>0</v>
      </c>
      <c r="V225" s="3" t="inlineStr">
        <is>
          <t>masc:-0.4;fem:2.0</t>
        </is>
      </c>
      <c r="W225" s="3" t="n">
        <v>-0.4</v>
      </c>
      <c r="X225" s="3" t="n">
        <v>2</v>
      </c>
      <c r="Y225" s="3" t="inlineStr">
        <is>
          <t>COMM_Emotional</t>
        </is>
      </c>
      <c r="Z225" s="3" t="inlineStr">
        <is>
          <t>REG_CoRegulator</t>
        </is>
      </c>
      <c r="AA225" s="3" t="inlineStr">
        <is>
          <t>LANG_Service</t>
        </is>
      </c>
      <c r="AB225" s="3" t="inlineStr"/>
      <c r="AC225" s="3" t="inlineStr"/>
      <c r="AD225" s="3" t="inlineStr"/>
      <c r="AE225" s="3" t="n">
        <v>0</v>
      </c>
      <c r="AF225" s="3" t="inlineStr">
        <is>
          <t>reassurance via reinforcement</t>
        </is>
      </c>
      <c r="AG225" s="3" t="inlineStr">
        <is>
          <t>consistent affirmer</t>
        </is>
      </c>
      <c r="AH225" s="3" t="n">
        <v>0</v>
      </c>
      <c r="AI225" s="3" t="inlineStr">
        <is>
          <t>no</t>
        </is>
      </c>
      <c r="AJ225" s="3" t="inlineStr">
        <is>
          <t>no</t>
        </is>
      </c>
      <c r="AK225" s="3" t="inlineStr">
        <is>
          <t>no</t>
        </is>
      </c>
      <c r="AL225" s="3" t="inlineStr">
        <is>
          <t>no</t>
        </is>
      </c>
      <c r="AM225" s="3" t="inlineStr"/>
      <c r="AN225" s="3" t="inlineStr"/>
      <c r="AO225" s="3" t="inlineStr"/>
      <c r="AP225" s="3" t="inlineStr">
        <is>
          <t>v3_2026-03-19</t>
        </is>
      </c>
      <c r="AQ225">
        <f>(L225-Schema_v5!$C2)/(Schema_v5!$C3-Schema_v5!$C2)</f>
        <v/>
      </c>
      <c r="AR225">
        <f>(M225-Schema_v5!$C4)/(Schema_v5!$C5-Schema_v5!$C4)</f>
        <v/>
      </c>
      <c r="AS225">
        <f>N225/Schema_v5!$C6</f>
        <v/>
      </c>
      <c r="AT225">
        <f>O225/Schema_v5!$C7</f>
        <v/>
      </c>
      <c r="AU225">
        <f>P225/Schema_v5!$C8</f>
        <v/>
      </c>
      <c r="AV225">
        <f>IF(Schema_v5!$C9=0,0,AH225/Schema_v5!$C9)</f>
        <v/>
      </c>
      <c r="AW225">
        <f>IF(Schema_v5!$C10=0,0,AE225/Schema_v5!$C10)</f>
        <v/>
      </c>
      <c r="AX225">
        <f>(W225-Schema_v5!$C11)/(Schema_v5!$C12-Schema_v5!$C11)</f>
        <v/>
      </c>
      <c r="AY225">
        <f>(X225-Schema_v5!$C13)/(Schema_v5!$C14-Schema_v5!$C13)</f>
        <v/>
      </c>
    </row>
    <row r="226">
      <c r="A226" s="3" t="inlineStr">
        <is>
          <t>Q45_E</t>
        </is>
      </c>
      <c r="B226" s="3" t="n">
        <v>45</v>
      </c>
      <c r="C226" s="3" t="n">
        <v>45</v>
      </c>
      <c r="D226" s="3" t="inlineStr">
        <is>
          <t>Core</t>
        </is>
      </c>
      <c r="E226" s="3" t="n">
        <v>1.35</v>
      </c>
      <c r="F226" s="3" t="inlineStr">
        <is>
          <t>EmotionalNeeds</t>
        </is>
      </c>
      <c r="G226" s="3" t="inlineStr">
        <is>
          <t>IntimacyThreshold</t>
        </is>
      </c>
      <c r="H226" s="3" t="inlineStr"/>
      <c r="I226" s="3" t="inlineStr">
        <is>
          <t>E</t>
        </is>
      </c>
      <c r="J226" s="3" t="inlineStr">
        <is>
          <t>E</t>
        </is>
      </c>
      <c r="K226" s="3" t="inlineStr">
        <is>
          <t>If they didn't try to solve it , just sat with me in it. Showed me they don't need me to be okay to stay.</t>
        </is>
      </c>
      <c r="L226" s="3" t="n">
        <v>10</v>
      </c>
      <c r="M226" s="3" t="n">
        <v>10</v>
      </c>
      <c r="N226" s="3" t="n">
        <v>10</v>
      </c>
      <c r="O226" s="3" t="n">
        <v>10</v>
      </c>
      <c r="P226" s="3" t="n">
        <v>10</v>
      </c>
      <c r="Q226" s="3" t="inlineStr">
        <is>
          <t>Regulated Grown-Up</t>
        </is>
      </c>
      <c r="R226" s="3" t="n">
        <v>9</v>
      </c>
      <c r="S226" s="3" t="inlineStr"/>
      <c r="T226" s="3" t="inlineStr"/>
      <c r="U226" s="3" t="n">
        <v>0</v>
      </c>
      <c r="V226" s="3" t="inlineStr">
        <is>
          <t>masc:1.1;fem:0.9</t>
        </is>
      </c>
      <c r="W226" s="3" t="n">
        <v>1.1</v>
      </c>
      <c r="X226" s="3" t="n">
        <v>0.9</v>
      </c>
      <c r="Y226" s="3" t="inlineStr">
        <is>
          <t>COMM_Direct</t>
        </is>
      </c>
      <c r="Z226" s="3" t="inlineStr">
        <is>
          <t>REG_CoRegulator</t>
        </is>
      </c>
      <c r="AA226" s="3" t="inlineStr">
        <is>
          <t>LANG_Words</t>
        </is>
      </c>
      <c r="AB226" s="3" t="inlineStr"/>
      <c r="AC226" s="3" t="inlineStr"/>
      <c r="AD226" s="3" t="inlineStr"/>
      <c r="AE226" s="3" t="n">
        <v>0</v>
      </c>
      <c r="AF226" s="3" t="inlineStr">
        <is>
          <t>emotional co-anchor</t>
        </is>
      </c>
      <c r="AG226" s="3" t="inlineStr">
        <is>
          <t>steady attuner</t>
        </is>
      </c>
      <c r="AH226" s="3" t="n">
        <v>0</v>
      </c>
      <c r="AI226" s="3" t="inlineStr">
        <is>
          <t>no</t>
        </is>
      </c>
      <c r="AJ226" s="3" t="inlineStr">
        <is>
          <t>no</t>
        </is>
      </c>
      <c r="AK226" s="3" t="inlineStr">
        <is>
          <t>no</t>
        </is>
      </c>
      <c r="AL226" s="3" t="inlineStr">
        <is>
          <t>no</t>
        </is>
      </c>
      <c r="AM226" s="3" t="inlineStr"/>
      <c r="AN226" s="3" t="inlineStr"/>
      <c r="AO226" s="3" t="inlineStr"/>
      <c r="AP226" s="3" t="inlineStr">
        <is>
          <t>v3_2026-03-19</t>
        </is>
      </c>
      <c r="AQ226">
        <f>(L226-Schema_v5!$C2)/(Schema_v5!$C3-Schema_v5!$C2)</f>
        <v/>
      </c>
      <c r="AR226">
        <f>(M226-Schema_v5!$C4)/(Schema_v5!$C5-Schema_v5!$C4)</f>
        <v/>
      </c>
      <c r="AS226">
        <f>N226/Schema_v5!$C6</f>
        <v/>
      </c>
      <c r="AT226">
        <f>O226/Schema_v5!$C7</f>
        <v/>
      </c>
      <c r="AU226">
        <f>P226/Schema_v5!$C8</f>
        <v/>
      </c>
      <c r="AV226">
        <f>IF(Schema_v5!$C9=0,0,AH226/Schema_v5!$C9)</f>
        <v/>
      </c>
      <c r="AW226">
        <f>IF(Schema_v5!$C10=0,0,AE226/Schema_v5!$C10)</f>
        <v/>
      </c>
      <c r="AX226">
        <f>(W226-Schema_v5!$C11)/(Schema_v5!$C12-Schema_v5!$C11)</f>
        <v/>
      </c>
      <c r="AY226">
        <f>(X226-Schema_v5!$C13)/(Schema_v5!$C14-Schema_v5!$C13)</f>
        <v/>
      </c>
    </row>
    <row r="227">
      <c r="A227" s="3" t="inlineStr">
        <is>
          <t>Q46_A</t>
        </is>
      </c>
      <c r="B227" s="3" t="n">
        <v>46</v>
      </c>
      <c r="C227" s="3" t="n">
        <v>46</v>
      </c>
      <c r="D227" s="3" t="inlineStr">
        <is>
          <t>Core</t>
        </is>
      </c>
      <c r="E227" s="3" t="n">
        <v>1.35</v>
      </c>
      <c r="F227" s="3" t="inlineStr">
        <is>
          <t>EmotionalNeeds</t>
        </is>
      </c>
      <c r="G227" s="3" t="inlineStr">
        <is>
          <t>IntimacyThreshold</t>
        </is>
      </c>
      <c r="H227" s="3" t="inlineStr">
        <is>
          <t>You've just ended something heavy , a breakup, a fallout, a disappointment. What's your first move to reset?</t>
        </is>
      </c>
      <c r="I227" s="3" t="inlineStr">
        <is>
          <t>A</t>
        </is>
      </c>
      <c r="J227" s="3" t="inlineStr">
        <is>
          <t>A</t>
        </is>
      </c>
      <c r="K227" s="3" t="inlineStr">
        <is>
          <t>I isolate. Silence helps me sort what's mine vs. what was theirs.</t>
        </is>
      </c>
      <c r="L227" s="3" t="n">
        <v>8</v>
      </c>
      <c r="M227" s="3" t="n">
        <v>8</v>
      </c>
      <c r="N227" s="3" t="n">
        <v>4</v>
      </c>
      <c r="O227" s="3" t="n">
        <v>4</v>
      </c>
      <c r="P227" s="3" t="n">
        <v>2</v>
      </c>
      <c r="Q227" s="3" t="inlineStr">
        <is>
          <t>Icebox</t>
        </is>
      </c>
      <c r="R227" s="3" t="n">
        <v>1</v>
      </c>
      <c r="S227" s="3" t="inlineStr"/>
      <c r="T227" s="3" t="inlineStr"/>
      <c r="U227" s="3" t="n">
        <v>0</v>
      </c>
      <c r="V227" s="3" t="inlineStr">
        <is>
          <t>masc:1.8;fem:-1.6</t>
        </is>
      </c>
      <c r="W227" s="3" t="n">
        <v>1.8</v>
      </c>
      <c r="X227" s="3" t="n">
        <v>-1.6</v>
      </c>
      <c r="Y227" s="3" t="inlineStr">
        <is>
          <t>COMM_Avoidant</t>
        </is>
      </c>
      <c r="Z227" s="3" t="inlineStr">
        <is>
          <t>REG_Suppressor</t>
        </is>
      </c>
      <c r="AA227" s="3" t="inlineStr">
        <is>
          <t>LANG_Time</t>
        </is>
      </c>
      <c r="AB227" s="3" t="inlineStr"/>
      <c r="AC227" s="3" t="inlineStr"/>
      <c r="AD227" s="3" t="inlineStr"/>
      <c r="AE227" s="3" t="n">
        <v>0</v>
      </c>
      <c r="AF227" s="3" t="inlineStr">
        <is>
          <t>solitary cleanse</t>
        </is>
      </c>
      <c r="AG227" s="3" t="inlineStr">
        <is>
          <t>self-resetter</t>
        </is>
      </c>
      <c r="AH227" s="3" t="n">
        <v>0</v>
      </c>
      <c r="AI227" s="3" t="inlineStr">
        <is>
          <t>no</t>
        </is>
      </c>
      <c r="AJ227" s="3" t="inlineStr">
        <is>
          <t>no</t>
        </is>
      </c>
      <c r="AK227" s="3" t="inlineStr">
        <is>
          <t>no</t>
        </is>
      </c>
      <c r="AL227" s="3" t="inlineStr">
        <is>
          <t>no</t>
        </is>
      </c>
      <c r="AM227" s="3" t="inlineStr"/>
      <c r="AN227" s="3" t="inlineStr"/>
      <c r="AO227" s="3" t="inlineStr"/>
      <c r="AP227" s="3" t="inlineStr">
        <is>
          <t>v3_2026-03-19</t>
        </is>
      </c>
      <c r="AQ227">
        <f>(L227-Schema_v5!$C2)/(Schema_v5!$C3-Schema_v5!$C2)</f>
        <v/>
      </c>
      <c r="AR227">
        <f>(M227-Schema_v5!$C4)/(Schema_v5!$C5-Schema_v5!$C4)</f>
        <v/>
      </c>
      <c r="AS227">
        <f>N227/Schema_v5!$C6</f>
        <v/>
      </c>
      <c r="AT227">
        <f>O227/Schema_v5!$C7</f>
        <v/>
      </c>
      <c r="AU227">
        <f>P227/Schema_v5!$C8</f>
        <v/>
      </c>
      <c r="AV227">
        <f>IF(Schema_v5!$C9=0,0,AH227/Schema_v5!$C9)</f>
        <v/>
      </c>
      <c r="AW227">
        <f>IF(Schema_v5!$C10=0,0,AE227/Schema_v5!$C10)</f>
        <v/>
      </c>
      <c r="AX227">
        <f>(W227-Schema_v5!$C11)/(Schema_v5!$C12-Schema_v5!$C11)</f>
        <v/>
      </c>
      <c r="AY227">
        <f>(X227-Schema_v5!$C13)/(Schema_v5!$C14-Schema_v5!$C13)</f>
        <v/>
      </c>
    </row>
    <row r="228">
      <c r="A228" s="3" t="inlineStr">
        <is>
          <t>Q46_B</t>
        </is>
      </c>
      <c r="B228" s="3" t="n">
        <v>46</v>
      </c>
      <c r="C228" s="3" t="n">
        <v>46</v>
      </c>
      <c r="D228" s="3" t="inlineStr">
        <is>
          <t>Core</t>
        </is>
      </c>
      <c r="E228" s="3" t="n">
        <v>1.35</v>
      </c>
      <c r="F228" s="3" t="inlineStr">
        <is>
          <t>EmotionalNeeds</t>
        </is>
      </c>
      <c r="G228" s="3" t="inlineStr">
        <is>
          <t>IntimacyThreshold</t>
        </is>
      </c>
      <c r="H228" s="3" t="inlineStr"/>
      <c r="I228" s="3" t="inlineStr">
        <is>
          <t>B</t>
        </is>
      </c>
      <c r="J228" s="3" t="inlineStr">
        <is>
          <t>B</t>
        </is>
      </c>
      <c r="K228" s="3" t="inlineStr">
        <is>
          <t>I spiral a bit, replaying everything, wondering what I could've done differently.</t>
        </is>
      </c>
      <c r="L228" s="3" t="n">
        <v>4</v>
      </c>
      <c r="M228" s="3" t="n">
        <v>5</v>
      </c>
      <c r="N228" s="3" t="n">
        <v>2</v>
      </c>
      <c r="O228" s="3" t="n">
        <v>2</v>
      </c>
      <c r="P228" s="3" t="n">
        <v>0</v>
      </c>
      <c r="Q228" s="3" t="inlineStr">
        <is>
          <t>Phantom Seeker</t>
        </is>
      </c>
      <c r="R228" s="3" t="n">
        <v>10</v>
      </c>
      <c r="S228" s="3" t="inlineStr"/>
      <c r="T228" s="3" t="inlineStr"/>
      <c r="U228" s="3" t="n">
        <v>0</v>
      </c>
      <c r="V228" s="3" t="inlineStr">
        <is>
          <t>masc:-0.2;fem:1.5</t>
        </is>
      </c>
      <c r="W228" s="3" t="n">
        <v>-0.2</v>
      </c>
      <c r="X228" s="3" t="n">
        <v>1.5</v>
      </c>
      <c r="Y228" s="3" t="inlineStr">
        <is>
          <t>COMM_Emotional</t>
        </is>
      </c>
      <c r="Z228" s="3" t="inlineStr">
        <is>
          <t>REG_SelfSoother</t>
        </is>
      </c>
      <c r="AA228" s="3" t="inlineStr">
        <is>
          <t>LANG_Touch</t>
        </is>
      </c>
      <c r="AB228" s="3" t="inlineStr">
        <is>
          <t>Vulnerability_Loop</t>
        </is>
      </c>
      <c r="AC228" s="3" t="inlineStr">
        <is>
          <t>Vulnerability_Loop</t>
        </is>
      </c>
      <c r="AD228" s="3" t="inlineStr"/>
      <c r="AE228" s="3" t="n">
        <v>5</v>
      </c>
      <c r="AF228" s="3" t="inlineStr">
        <is>
          <t>regret loop recovery</t>
        </is>
      </c>
      <c r="AG228" s="3" t="inlineStr">
        <is>
          <t>self-blamer</t>
        </is>
      </c>
      <c r="AH228" s="3" t="n">
        <v>0</v>
      </c>
      <c r="AI228" s="3" t="inlineStr">
        <is>
          <t>yes</t>
        </is>
      </c>
      <c r="AJ228" s="3" t="inlineStr">
        <is>
          <t>no</t>
        </is>
      </c>
      <c r="AK228" s="3" t="inlineStr">
        <is>
          <t>no</t>
        </is>
      </c>
      <c r="AL228" s="3" t="inlineStr">
        <is>
          <t>no</t>
        </is>
      </c>
      <c r="AM228" s="3" t="inlineStr"/>
      <c r="AN228" s="3" t="inlineStr"/>
      <c r="AO228" s="3" t="inlineStr"/>
      <c r="AP228" s="3" t="inlineStr">
        <is>
          <t>v3_2026-03-19</t>
        </is>
      </c>
      <c r="AQ228">
        <f>(L228-Schema_v5!$C2)/(Schema_v5!$C3-Schema_v5!$C2)</f>
        <v/>
      </c>
      <c r="AR228">
        <f>(M228-Schema_v5!$C4)/(Schema_v5!$C5-Schema_v5!$C4)</f>
        <v/>
      </c>
      <c r="AS228">
        <f>N228/Schema_v5!$C6</f>
        <v/>
      </c>
      <c r="AT228">
        <f>O228/Schema_v5!$C7</f>
        <v/>
      </c>
      <c r="AU228">
        <f>P228/Schema_v5!$C8</f>
        <v/>
      </c>
      <c r="AV228">
        <f>IF(Schema_v5!$C9=0,0,AH228/Schema_v5!$C9)</f>
        <v/>
      </c>
      <c r="AW228">
        <f>IF(Schema_v5!$C10=0,0,AE228/Schema_v5!$C10)</f>
        <v/>
      </c>
      <c r="AX228">
        <f>(W228-Schema_v5!$C11)/(Schema_v5!$C12-Schema_v5!$C11)</f>
        <v/>
      </c>
      <c r="AY228">
        <f>(X228-Schema_v5!$C13)/(Schema_v5!$C14-Schema_v5!$C13)</f>
        <v/>
      </c>
    </row>
    <row r="229">
      <c r="A229" s="3" t="inlineStr">
        <is>
          <t>Q46_C</t>
        </is>
      </c>
      <c r="B229" s="3" t="n">
        <v>46</v>
      </c>
      <c r="C229" s="3" t="n">
        <v>46</v>
      </c>
      <c r="D229" s="3" t="inlineStr">
        <is>
          <t>Core</t>
        </is>
      </c>
      <c r="E229" s="3" t="n">
        <v>1.35</v>
      </c>
      <c r="F229" s="3" t="inlineStr">
        <is>
          <t>EmotionalNeeds</t>
        </is>
      </c>
      <c r="G229" s="3" t="inlineStr">
        <is>
          <t>IntimacyThreshold</t>
        </is>
      </c>
      <c r="H229" s="3" t="inlineStr"/>
      <c r="I229" s="3" t="inlineStr">
        <is>
          <t>C</t>
        </is>
      </c>
      <c r="J229" s="3" t="inlineStr">
        <is>
          <t>C</t>
        </is>
      </c>
      <c r="K229" s="3" t="inlineStr">
        <is>
          <t>I try to understand the pattern. If I can decode it, maybe I won't repeat it.</t>
        </is>
      </c>
      <c r="L229" s="3" t="n">
        <v>9</v>
      </c>
      <c r="M229" s="3" t="n">
        <v>9</v>
      </c>
      <c r="N229" s="3" t="n">
        <v>10</v>
      </c>
      <c r="O229" s="3" t="n">
        <v>8</v>
      </c>
      <c r="P229" s="3" t="n">
        <v>8</v>
      </c>
      <c r="Q229" s="3" t="inlineStr">
        <is>
          <t>Analyzer</t>
        </is>
      </c>
      <c r="R229" s="3" t="n">
        <v>2</v>
      </c>
      <c r="S229" s="3" t="inlineStr"/>
      <c r="T229" s="3" t="inlineStr"/>
      <c r="U229" s="3" t="n">
        <v>0</v>
      </c>
      <c r="V229" s="3" t="inlineStr">
        <is>
          <t>masc:1.4;fem:0.1</t>
        </is>
      </c>
      <c r="W229" s="3" t="n">
        <v>1.4</v>
      </c>
      <c r="X229" s="3" t="n">
        <v>0.1</v>
      </c>
      <c r="Y229" s="3" t="inlineStr">
        <is>
          <t>COMM_Logical</t>
        </is>
      </c>
      <c r="Z229" s="3" t="inlineStr">
        <is>
          <t>REG_SelfSoother</t>
        </is>
      </c>
      <c r="AA229" s="3" t="inlineStr">
        <is>
          <t>LANG_Service</t>
        </is>
      </c>
      <c r="AB229" s="3" t="inlineStr"/>
      <c r="AC229" s="3" t="inlineStr"/>
      <c r="AD229" s="3" t="inlineStr"/>
      <c r="AE229" s="3" t="n">
        <v>0</v>
      </c>
      <c r="AF229" s="3" t="inlineStr">
        <is>
          <t>postmortem patterning</t>
        </is>
      </c>
      <c r="AG229" s="3" t="inlineStr">
        <is>
          <t>clarity seeker</t>
        </is>
      </c>
      <c r="AH229" s="3" t="n">
        <v>0</v>
      </c>
      <c r="AI229" s="3" t="inlineStr">
        <is>
          <t>no</t>
        </is>
      </c>
      <c r="AJ229" s="3" t="inlineStr">
        <is>
          <t>no</t>
        </is>
      </c>
      <c r="AK229" s="3" t="inlineStr">
        <is>
          <t>no</t>
        </is>
      </c>
      <c r="AL229" s="3" t="inlineStr">
        <is>
          <t>no</t>
        </is>
      </c>
      <c r="AM229" s="3" t="inlineStr"/>
      <c r="AN229" s="3" t="inlineStr"/>
      <c r="AO229" s="3" t="inlineStr"/>
      <c r="AP229" s="3" t="inlineStr">
        <is>
          <t>v3_2026-03-19</t>
        </is>
      </c>
      <c r="AQ229">
        <f>(L229-Schema_v5!$C2)/(Schema_v5!$C3-Schema_v5!$C2)</f>
        <v/>
      </c>
      <c r="AR229">
        <f>(M229-Schema_v5!$C4)/(Schema_v5!$C5-Schema_v5!$C4)</f>
        <v/>
      </c>
      <c r="AS229">
        <f>N229/Schema_v5!$C6</f>
        <v/>
      </c>
      <c r="AT229">
        <f>O229/Schema_v5!$C7</f>
        <v/>
      </c>
      <c r="AU229">
        <f>P229/Schema_v5!$C8</f>
        <v/>
      </c>
      <c r="AV229">
        <f>IF(Schema_v5!$C9=0,0,AH229/Schema_v5!$C9)</f>
        <v/>
      </c>
      <c r="AW229">
        <f>IF(Schema_v5!$C10=0,0,AE229/Schema_v5!$C10)</f>
        <v/>
      </c>
      <c r="AX229">
        <f>(W229-Schema_v5!$C11)/(Schema_v5!$C12-Schema_v5!$C11)</f>
        <v/>
      </c>
      <c r="AY229">
        <f>(X229-Schema_v5!$C13)/(Schema_v5!$C14-Schema_v5!$C13)</f>
        <v/>
      </c>
    </row>
    <row r="230">
      <c r="A230" s="3" t="inlineStr">
        <is>
          <t>Q46_D</t>
        </is>
      </c>
      <c r="B230" s="3" t="n">
        <v>46</v>
      </c>
      <c r="C230" s="3" t="n">
        <v>46</v>
      </c>
      <c r="D230" s="3" t="inlineStr">
        <is>
          <t>Core</t>
        </is>
      </c>
      <c r="E230" s="3" t="n">
        <v>1.35</v>
      </c>
      <c r="F230" s="3" t="inlineStr">
        <is>
          <t>EmotionalNeeds</t>
        </is>
      </c>
      <c r="G230" s="3" t="inlineStr">
        <is>
          <t>IntimacyThreshold</t>
        </is>
      </c>
      <c r="H230" s="3" t="inlineStr"/>
      <c r="I230" s="3" t="inlineStr">
        <is>
          <t>D</t>
        </is>
      </c>
      <c r="J230" s="3" t="inlineStr">
        <is>
          <t>D</t>
        </is>
      </c>
      <c r="K230" s="3" t="inlineStr">
        <is>
          <t>I stay in motion. Work, plans, people. Anything but stillness.</t>
        </is>
      </c>
      <c r="L230" s="3" t="n">
        <v>5</v>
      </c>
      <c r="M230" s="3" t="n">
        <v>6</v>
      </c>
      <c r="N230" s="3" t="n">
        <v>2</v>
      </c>
      <c r="O230" s="3" t="n">
        <v>2</v>
      </c>
      <c r="P230" s="3" t="n">
        <v>0</v>
      </c>
      <c r="Q230" s="3" t="inlineStr">
        <is>
          <t>Performer</t>
        </is>
      </c>
      <c r="R230" s="3" t="n">
        <v>7</v>
      </c>
      <c r="S230" s="3" t="inlineStr"/>
      <c r="T230" s="3" t="inlineStr"/>
      <c r="U230" s="3" t="n">
        <v>0</v>
      </c>
      <c r="V230" s="3" t="inlineStr">
        <is>
          <t>masc:0.3;fem:0.5</t>
        </is>
      </c>
      <c r="W230" s="3" t="n">
        <v>0.3</v>
      </c>
      <c r="X230" s="3" t="n">
        <v>0.5</v>
      </c>
      <c r="Y230" s="3" t="inlineStr">
        <is>
          <t>COMM_Indirect</t>
        </is>
      </c>
      <c r="Z230" s="3" t="inlineStr">
        <is>
          <t>REG_Distractor</t>
        </is>
      </c>
      <c r="AA230" s="3" t="inlineStr">
        <is>
          <t>LANG_Gifts</t>
        </is>
      </c>
      <c r="AB230" s="3" t="inlineStr">
        <is>
          <t>Vulnerability_Loop</t>
        </is>
      </c>
      <c r="AC230" s="3" t="inlineStr">
        <is>
          <t>Vulnerability_Loop</t>
        </is>
      </c>
      <c r="AD230" s="3" t="inlineStr"/>
      <c r="AE230" s="3" t="n">
        <v>5</v>
      </c>
      <c r="AF230" s="3" t="inlineStr">
        <is>
          <t>distraction sprint</t>
        </is>
      </c>
      <c r="AG230" s="3" t="inlineStr">
        <is>
          <t>motion masker</t>
        </is>
      </c>
      <c r="AH230" s="3" t="n">
        <v>0.6</v>
      </c>
      <c r="AI230" s="3" t="inlineStr">
        <is>
          <t>yes</t>
        </is>
      </c>
      <c r="AJ230" s="3" t="inlineStr">
        <is>
          <t>no</t>
        </is>
      </c>
      <c r="AK230" s="3" t="inlineStr">
        <is>
          <t>no</t>
        </is>
      </c>
      <c r="AL230" s="3" t="inlineStr">
        <is>
          <t>no</t>
        </is>
      </c>
      <c r="AM230" s="3" t="inlineStr"/>
      <c r="AN230" s="3" t="inlineStr"/>
      <c r="AO230" s="3" t="inlineStr"/>
      <c r="AP230" s="3" t="inlineStr">
        <is>
          <t>v3_2026-03-19</t>
        </is>
      </c>
      <c r="AQ230">
        <f>(L230-Schema_v5!$C2)/(Schema_v5!$C3-Schema_v5!$C2)</f>
        <v/>
      </c>
      <c r="AR230">
        <f>(M230-Schema_v5!$C4)/(Schema_v5!$C5-Schema_v5!$C4)</f>
        <v/>
      </c>
      <c r="AS230">
        <f>N230/Schema_v5!$C6</f>
        <v/>
      </c>
      <c r="AT230">
        <f>O230/Schema_v5!$C7</f>
        <v/>
      </c>
      <c r="AU230">
        <f>P230/Schema_v5!$C8</f>
        <v/>
      </c>
      <c r="AV230">
        <f>IF(Schema_v5!$C9=0,0,AH230/Schema_v5!$C9)</f>
        <v/>
      </c>
      <c r="AW230">
        <f>IF(Schema_v5!$C10=0,0,AE230/Schema_v5!$C10)</f>
        <v/>
      </c>
      <c r="AX230">
        <f>(W230-Schema_v5!$C11)/(Schema_v5!$C12-Schema_v5!$C11)</f>
        <v/>
      </c>
      <c r="AY230">
        <f>(X230-Schema_v5!$C13)/(Schema_v5!$C14-Schema_v5!$C13)</f>
        <v/>
      </c>
    </row>
    <row r="231">
      <c r="A231" s="3" t="inlineStr">
        <is>
          <t>Q46_E</t>
        </is>
      </c>
      <c r="B231" s="3" t="n">
        <v>46</v>
      </c>
      <c r="C231" s="3" t="n">
        <v>46</v>
      </c>
      <c r="D231" s="3" t="inlineStr">
        <is>
          <t>Core</t>
        </is>
      </c>
      <c r="E231" s="3" t="n">
        <v>1.35</v>
      </c>
      <c r="F231" s="3" t="inlineStr">
        <is>
          <t>EmotionalNeeds</t>
        </is>
      </c>
      <c r="G231" s="3" t="inlineStr">
        <is>
          <t>IntimacyThreshold</t>
        </is>
      </c>
      <c r="H231" s="3" t="inlineStr"/>
      <c r="I231" s="3" t="inlineStr">
        <is>
          <t>E</t>
        </is>
      </c>
      <c r="J231" s="3" t="inlineStr">
        <is>
          <t>E</t>
        </is>
      </c>
      <c r="K231" s="3" t="inlineStr">
        <is>
          <t>I sit with it. Write, reflect, pray. I don't rush the grief, I honor it.</t>
        </is>
      </c>
      <c r="L231" s="3" t="n">
        <v>10</v>
      </c>
      <c r="M231" s="3" t="n">
        <v>10</v>
      </c>
      <c r="N231" s="3" t="n">
        <v>10</v>
      </c>
      <c r="O231" s="3" t="n">
        <v>10</v>
      </c>
      <c r="P231" s="3" t="n">
        <v>10</v>
      </c>
      <c r="Q231" s="3" t="inlineStr">
        <is>
          <t>Regulated Grown-Up</t>
        </is>
      </c>
      <c r="R231" s="3" t="n">
        <v>9</v>
      </c>
      <c r="S231" s="3" t="inlineStr"/>
      <c r="T231" s="3" t="inlineStr"/>
      <c r="U231" s="3" t="n">
        <v>0</v>
      </c>
      <c r="V231" s="3" t="inlineStr">
        <is>
          <t>masc:1.1;fem:0.9</t>
        </is>
      </c>
      <c r="W231" s="3" t="n">
        <v>1.1</v>
      </c>
      <c r="X231" s="3" t="n">
        <v>0.9</v>
      </c>
      <c r="Y231" s="3" t="inlineStr">
        <is>
          <t>COMM_Direct</t>
        </is>
      </c>
      <c r="Z231" s="3" t="inlineStr">
        <is>
          <t>REG_CoRegulator</t>
        </is>
      </c>
      <c r="AA231" s="3" t="inlineStr">
        <is>
          <t>LANG_Words</t>
        </is>
      </c>
      <c r="AB231" s="3" t="inlineStr"/>
      <c r="AC231" s="3" t="inlineStr"/>
      <c r="AD231" s="3" t="inlineStr"/>
      <c r="AE231" s="3" t="n">
        <v>0</v>
      </c>
      <c r="AF231" s="3" t="inlineStr">
        <is>
          <t>intentional processing</t>
        </is>
      </c>
      <c r="AG231" s="3" t="inlineStr">
        <is>
          <t>mindful processor</t>
        </is>
      </c>
      <c r="AH231" s="3" t="n">
        <v>0</v>
      </c>
      <c r="AI231" s="3" t="inlineStr">
        <is>
          <t>no</t>
        </is>
      </c>
      <c r="AJ231" s="3" t="inlineStr">
        <is>
          <t>no</t>
        </is>
      </c>
      <c r="AK231" s="3" t="inlineStr">
        <is>
          <t>no</t>
        </is>
      </c>
      <c r="AL231" s="3" t="inlineStr">
        <is>
          <t>no</t>
        </is>
      </c>
      <c r="AM231" s="3" t="inlineStr"/>
      <c r="AN231" s="3" t="inlineStr"/>
      <c r="AO231" s="3" t="inlineStr"/>
      <c r="AP231" s="3" t="inlineStr">
        <is>
          <t>v3_2026-03-19</t>
        </is>
      </c>
      <c r="AQ231">
        <f>(L231-Schema_v5!$C2)/(Schema_v5!$C3-Schema_v5!$C2)</f>
        <v/>
      </c>
      <c r="AR231">
        <f>(M231-Schema_v5!$C4)/(Schema_v5!$C5-Schema_v5!$C4)</f>
        <v/>
      </c>
      <c r="AS231">
        <f>N231/Schema_v5!$C6</f>
        <v/>
      </c>
      <c r="AT231">
        <f>O231/Schema_v5!$C7</f>
        <v/>
      </c>
      <c r="AU231">
        <f>P231/Schema_v5!$C8</f>
        <v/>
      </c>
      <c r="AV231">
        <f>IF(Schema_v5!$C9=0,0,AH231/Schema_v5!$C9)</f>
        <v/>
      </c>
      <c r="AW231">
        <f>IF(Schema_v5!$C10=0,0,AE231/Schema_v5!$C10)</f>
        <v/>
      </c>
      <c r="AX231">
        <f>(W231-Schema_v5!$C11)/(Schema_v5!$C12-Schema_v5!$C11)</f>
        <v/>
      </c>
      <c r="AY231">
        <f>(X231-Schema_v5!$C13)/(Schema_v5!$C14-Schema_v5!$C13)</f>
        <v/>
      </c>
    </row>
    <row r="232">
      <c r="A232" s="3" t="inlineStr">
        <is>
          <t>Q47_A</t>
        </is>
      </c>
      <c r="B232" s="3" t="n">
        <v>47</v>
      </c>
      <c r="C232" s="3" t="n">
        <v>47</v>
      </c>
      <c r="D232" s="3" t="inlineStr">
        <is>
          <t>Core</t>
        </is>
      </c>
      <c r="E232" s="3" t="n">
        <v>1.35</v>
      </c>
      <c r="F232" s="3" t="inlineStr">
        <is>
          <t>EmotionalNeeds</t>
        </is>
      </c>
      <c r="G232" s="3" t="inlineStr">
        <is>
          <t>IntimacyThreshold</t>
        </is>
      </c>
      <c r="H232" s="3" t="inlineStr">
        <is>
          <t>When someone shows up for you without you asking, emotionally, practically, consistently, how do you usually feel?</t>
        </is>
      </c>
      <c r="I232" s="3" t="inlineStr">
        <is>
          <t>A</t>
        </is>
      </c>
      <c r="J232" s="3" t="inlineStr">
        <is>
          <t>A</t>
        </is>
      </c>
      <c r="K232" s="3" t="inlineStr">
        <is>
          <t>Guilty. I'm not used to people giving without a reason.</t>
        </is>
      </c>
      <c r="L232" s="3" t="n">
        <v>5</v>
      </c>
      <c r="M232" s="3" t="n">
        <v>6</v>
      </c>
      <c r="N232" s="3" t="n">
        <v>4</v>
      </c>
      <c r="O232" s="3" t="n">
        <v>4</v>
      </c>
      <c r="P232" s="3" t="n">
        <v>4</v>
      </c>
      <c r="Q232" s="3" t="inlineStr">
        <is>
          <t>Fixer</t>
        </is>
      </c>
      <c r="R232" s="3" t="n">
        <v>5</v>
      </c>
      <c r="S232" s="3" t="inlineStr"/>
      <c r="T232" s="3" t="inlineStr"/>
      <c r="U232" s="3" t="n">
        <v>0</v>
      </c>
      <c r="V232" s="3" t="inlineStr">
        <is>
          <t>masc:-0.4;fem:2.0</t>
        </is>
      </c>
      <c r="W232" s="3" t="n">
        <v>-0.4</v>
      </c>
      <c r="X232" s="3" t="n">
        <v>2</v>
      </c>
      <c r="Y232" s="3" t="inlineStr">
        <is>
          <t>COMM_Emotional</t>
        </is>
      </c>
      <c r="Z232" s="3" t="inlineStr">
        <is>
          <t>REG_CoRegulator</t>
        </is>
      </c>
      <c r="AA232" s="3" t="inlineStr">
        <is>
          <t>LANG_Service</t>
        </is>
      </c>
      <c r="AB232" s="3" t="inlineStr">
        <is>
          <t>Vulnerability_Loop</t>
        </is>
      </c>
      <c r="AC232" s="3" t="inlineStr">
        <is>
          <t>Vulnerability_Loop</t>
        </is>
      </c>
      <c r="AD232" s="3" t="inlineStr"/>
      <c r="AE232" s="3" t="n">
        <v>5</v>
      </c>
      <c r="AF232" s="3" t="inlineStr">
        <is>
          <t>reciprocity anxiety</t>
        </is>
      </c>
      <c r="AG232" s="3" t="inlineStr">
        <is>
          <t>uneasy receiver</t>
        </is>
      </c>
      <c r="AH232" s="3" t="n">
        <v>0.6</v>
      </c>
      <c r="AI232" s="3" t="inlineStr">
        <is>
          <t>yes</t>
        </is>
      </c>
      <c r="AJ232" s="3" t="inlineStr">
        <is>
          <t>no</t>
        </is>
      </c>
      <c r="AK232" s="3" t="inlineStr">
        <is>
          <t>no</t>
        </is>
      </c>
      <c r="AL232" s="3" t="inlineStr">
        <is>
          <t>no</t>
        </is>
      </c>
      <c r="AM232" s="3" t="inlineStr"/>
      <c r="AN232" s="3" t="inlineStr"/>
      <c r="AO232" s="3" t="inlineStr"/>
      <c r="AP232" s="3" t="inlineStr">
        <is>
          <t>v3_2026-03-19</t>
        </is>
      </c>
      <c r="AQ232">
        <f>(L232-Schema_v5!$C2)/(Schema_v5!$C3-Schema_v5!$C2)</f>
        <v/>
      </c>
      <c r="AR232">
        <f>(M232-Schema_v5!$C4)/(Schema_v5!$C5-Schema_v5!$C4)</f>
        <v/>
      </c>
      <c r="AS232">
        <f>N232/Schema_v5!$C6</f>
        <v/>
      </c>
      <c r="AT232">
        <f>O232/Schema_v5!$C7</f>
        <v/>
      </c>
      <c r="AU232">
        <f>P232/Schema_v5!$C8</f>
        <v/>
      </c>
      <c r="AV232">
        <f>IF(Schema_v5!$C9=0,0,AH232/Schema_v5!$C9)</f>
        <v/>
      </c>
      <c r="AW232">
        <f>IF(Schema_v5!$C10=0,0,AE232/Schema_v5!$C10)</f>
        <v/>
      </c>
      <c r="AX232">
        <f>(W232-Schema_v5!$C11)/(Schema_v5!$C12-Schema_v5!$C11)</f>
        <v/>
      </c>
      <c r="AY232">
        <f>(X232-Schema_v5!$C13)/(Schema_v5!$C14-Schema_v5!$C13)</f>
        <v/>
      </c>
    </row>
    <row r="233">
      <c r="A233" s="3" t="inlineStr">
        <is>
          <t>Q47_B</t>
        </is>
      </c>
      <c r="B233" s="3" t="n">
        <v>47</v>
      </c>
      <c r="C233" s="3" t="n">
        <v>47</v>
      </c>
      <c r="D233" s="3" t="inlineStr">
        <is>
          <t>Core</t>
        </is>
      </c>
      <c r="E233" s="3" t="n">
        <v>1.35</v>
      </c>
      <c r="F233" s="3" t="inlineStr">
        <is>
          <t>EmotionalNeeds</t>
        </is>
      </c>
      <c r="G233" s="3" t="inlineStr">
        <is>
          <t>IntimacyThreshold</t>
        </is>
      </c>
      <c r="H233" s="3" t="inlineStr"/>
      <c r="I233" s="3" t="inlineStr">
        <is>
          <t>B</t>
        </is>
      </c>
      <c r="J233" s="3" t="inlineStr">
        <is>
          <t>B</t>
        </is>
      </c>
      <c r="K233" s="3" t="inlineStr">
        <is>
          <t>Exposed. I wonder what they'll expect in return.</t>
        </is>
      </c>
      <c r="L233" s="3" t="n">
        <v>6</v>
      </c>
      <c r="M233" s="3" t="n">
        <v>7</v>
      </c>
      <c r="N233" s="3" t="n">
        <v>2</v>
      </c>
      <c r="O233" s="3" t="n">
        <v>2</v>
      </c>
      <c r="P233" s="3" t="n">
        <v>0</v>
      </c>
      <c r="Q233" s="3" t="inlineStr">
        <is>
          <t>Icebox</t>
        </is>
      </c>
      <c r="R233" s="3" t="n">
        <v>1</v>
      </c>
      <c r="S233" s="3" t="inlineStr"/>
      <c r="T233" s="3" t="inlineStr"/>
      <c r="U233" s="3" t="n">
        <v>0</v>
      </c>
      <c r="V233" s="3" t="inlineStr">
        <is>
          <t>masc:1.8;fem:-1.6</t>
        </is>
      </c>
      <c r="W233" s="3" t="n">
        <v>1.8</v>
      </c>
      <c r="X233" s="3" t="n">
        <v>-1.6</v>
      </c>
      <c r="Y233" s="3" t="inlineStr">
        <is>
          <t>COMM_Avoidant</t>
        </is>
      </c>
      <c r="Z233" s="3" t="inlineStr">
        <is>
          <t>REG_Suppressor</t>
        </is>
      </c>
      <c r="AA233" s="3" t="inlineStr">
        <is>
          <t>LANG_Time</t>
        </is>
      </c>
      <c r="AB233" s="3" t="inlineStr">
        <is>
          <t>Vulnerability_Loop</t>
        </is>
      </c>
      <c r="AC233" s="3" t="inlineStr">
        <is>
          <t>Vulnerability_Loop</t>
        </is>
      </c>
      <c r="AD233" s="3" t="inlineStr"/>
      <c r="AE233" s="3" t="n">
        <v>5</v>
      </c>
      <c r="AF233" s="3" t="inlineStr">
        <is>
          <t>transaction suspicion</t>
        </is>
      </c>
      <c r="AG233" s="3" t="inlineStr">
        <is>
          <t>guarded accepter</t>
        </is>
      </c>
      <c r="AH233" s="3" t="n">
        <v>0</v>
      </c>
      <c r="AI233" s="3" t="inlineStr">
        <is>
          <t>yes</t>
        </is>
      </c>
      <c r="AJ233" s="3" t="inlineStr">
        <is>
          <t>no</t>
        </is>
      </c>
      <c r="AK233" s="3" t="inlineStr">
        <is>
          <t>no</t>
        </is>
      </c>
      <c r="AL233" s="3" t="inlineStr">
        <is>
          <t>no</t>
        </is>
      </c>
      <c r="AM233" s="3" t="inlineStr"/>
      <c r="AN233" s="3" t="inlineStr"/>
      <c r="AO233" s="3" t="inlineStr"/>
      <c r="AP233" s="3" t="inlineStr">
        <is>
          <t>v3_2026-03-19</t>
        </is>
      </c>
      <c r="AQ233">
        <f>(L233-Schema_v5!$C2)/(Schema_v5!$C3-Schema_v5!$C2)</f>
        <v/>
      </c>
      <c r="AR233">
        <f>(M233-Schema_v5!$C4)/(Schema_v5!$C5-Schema_v5!$C4)</f>
        <v/>
      </c>
      <c r="AS233">
        <f>N233/Schema_v5!$C6</f>
        <v/>
      </c>
      <c r="AT233">
        <f>O233/Schema_v5!$C7</f>
        <v/>
      </c>
      <c r="AU233">
        <f>P233/Schema_v5!$C8</f>
        <v/>
      </c>
      <c r="AV233">
        <f>IF(Schema_v5!$C9=0,0,AH233/Schema_v5!$C9)</f>
        <v/>
      </c>
      <c r="AW233">
        <f>IF(Schema_v5!$C10=0,0,AE233/Schema_v5!$C10)</f>
        <v/>
      </c>
      <c r="AX233">
        <f>(W233-Schema_v5!$C11)/(Schema_v5!$C12-Schema_v5!$C11)</f>
        <v/>
      </c>
      <c r="AY233">
        <f>(X233-Schema_v5!$C13)/(Schema_v5!$C14-Schema_v5!$C13)</f>
        <v/>
      </c>
    </row>
    <row r="234">
      <c r="A234" s="3" t="inlineStr">
        <is>
          <t>Q47_C</t>
        </is>
      </c>
      <c r="B234" s="3" t="n">
        <v>47</v>
      </c>
      <c r="C234" s="3" t="n">
        <v>47</v>
      </c>
      <c r="D234" s="3" t="inlineStr">
        <is>
          <t>Core</t>
        </is>
      </c>
      <c r="E234" s="3" t="n">
        <v>1.35</v>
      </c>
      <c r="F234" s="3" t="inlineStr">
        <is>
          <t>EmotionalNeeds</t>
        </is>
      </c>
      <c r="G234" s="3" t="inlineStr">
        <is>
          <t>IntimacyThreshold</t>
        </is>
      </c>
      <c r="H234" s="3" t="inlineStr"/>
      <c r="I234" s="3" t="inlineStr">
        <is>
          <t>C</t>
        </is>
      </c>
      <c r="J234" s="3" t="inlineStr">
        <is>
          <t>C</t>
        </is>
      </c>
      <c r="K234" s="3" t="inlineStr">
        <is>
          <t>Relieved. It's rare. I try not to get too used to it.</t>
        </is>
      </c>
      <c r="L234" s="3" t="n">
        <v>7</v>
      </c>
      <c r="M234" s="3" t="n">
        <v>8</v>
      </c>
      <c r="N234" s="3" t="n">
        <v>6</v>
      </c>
      <c r="O234" s="3" t="n">
        <v>8</v>
      </c>
      <c r="P234" s="3" t="n">
        <v>6</v>
      </c>
      <c r="Q234" s="3" t="inlineStr">
        <is>
          <t>Survivor</t>
        </is>
      </c>
      <c r="R234" s="3" t="n">
        <v>8</v>
      </c>
      <c r="S234" s="3" t="inlineStr"/>
      <c r="T234" s="3" t="inlineStr"/>
      <c r="U234" s="3" t="n">
        <v>0</v>
      </c>
      <c r="V234" s="3" t="inlineStr">
        <is>
          <t>masc:0.3;fem:1.3</t>
        </is>
      </c>
      <c r="W234" s="3" t="n">
        <v>0.3</v>
      </c>
      <c r="X234" s="3" t="n">
        <v>1.3</v>
      </c>
      <c r="Y234" s="3" t="inlineStr">
        <is>
          <t>COMM_Emotional</t>
        </is>
      </c>
      <c r="Z234" s="3" t="inlineStr">
        <is>
          <t>REG_SelfSoother</t>
        </is>
      </c>
      <c r="AA234" s="3" t="inlineStr">
        <is>
          <t>LANG_Service</t>
        </is>
      </c>
      <c r="AB234" s="3" t="inlineStr"/>
      <c r="AC234" s="3" t="inlineStr"/>
      <c r="AD234" s="3" t="inlineStr"/>
      <c r="AE234" s="3" t="n">
        <v>0</v>
      </c>
      <c r="AF234" s="3" t="inlineStr">
        <is>
          <t>conditional ease</t>
        </is>
      </c>
      <c r="AG234" s="3" t="inlineStr">
        <is>
          <t>cautious truster</t>
        </is>
      </c>
      <c r="AH234" s="3" t="n">
        <v>0</v>
      </c>
      <c r="AI234" s="3" t="inlineStr">
        <is>
          <t>no</t>
        </is>
      </c>
      <c r="AJ234" s="3" t="inlineStr">
        <is>
          <t>no</t>
        </is>
      </c>
      <c r="AK234" s="3" t="inlineStr">
        <is>
          <t>no</t>
        </is>
      </c>
      <c r="AL234" s="3" t="inlineStr">
        <is>
          <t>no</t>
        </is>
      </c>
      <c r="AM234" s="3" t="inlineStr"/>
      <c r="AN234" s="3" t="inlineStr"/>
      <c r="AO234" s="3" t="inlineStr"/>
      <c r="AP234" s="3" t="inlineStr">
        <is>
          <t>v3_2026-03-19</t>
        </is>
      </c>
      <c r="AQ234">
        <f>(L234-Schema_v5!$C2)/(Schema_v5!$C3-Schema_v5!$C2)</f>
        <v/>
      </c>
      <c r="AR234">
        <f>(M234-Schema_v5!$C4)/(Schema_v5!$C5-Schema_v5!$C4)</f>
        <v/>
      </c>
      <c r="AS234">
        <f>N234/Schema_v5!$C6</f>
        <v/>
      </c>
      <c r="AT234">
        <f>O234/Schema_v5!$C7</f>
        <v/>
      </c>
      <c r="AU234">
        <f>P234/Schema_v5!$C8</f>
        <v/>
      </c>
      <c r="AV234">
        <f>IF(Schema_v5!$C9=0,0,AH234/Schema_v5!$C9)</f>
        <v/>
      </c>
      <c r="AW234">
        <f>IF(Schema_v5!$C10=0,0,AE234/Schema_v5!$C10)</f>
        <v/>
      </c>
      <c r="AX234">
        <f>(W234-Schema_v5!$C11)/(Schema_v5!$C12-Schema_v5!$C11)</f>
        <v/>
      </c>
      <c r="AY234">
        <f>(X234-Schema_v5!$C13)/(Schema_v5!$C14-Schema_v5!$C13)</f>
        <v/>
      </c>
    </row>
    <row r="235">
      <c r="A235" s="3" t="inlineStr">
        <is>
          <t>Q47_D</t>
        </is>
      </c>
      <c r="B235" s="3" t="n">
        <v>47</v>
      </c>
      <c r="C235" s="3" t="n">
        <v>47</v>
      </c>
      <c r="D235" s="3" t="inlineStr">
        <is>
          <t>Core</t>
        </is>
      </c>
      <c r="E235" s="3" t="n">
        <v>1.35</v>
      </c>
      <c r="F235" s="3" t="inlineStr">
        <is>
          <t>EmotionalNeeds</t>
        </is>
      </c>
      <c r="G235" s="3" t="inlineStr">
        <is>
          <t>IntimacyThreshold</t>
        </is>
      </c>
      <c r="H235" s="3" t="inlineStr"/>
      <c r="I235" s="3" t="inlineStr">
        <is>
          <t>D</t>
        </is>
      </c>
      <c r="J235" s="3" t="inlineStr">
        <is>
          <t>D</t>
        </is>
      </c>
      <c r="K235" s="3" t="inlineStr">
        <is>
          <t>Skeptical. I question whether it's genuine or just temporary.</t>
        </is>
      </c>
      <c r="L235" s="3" t="n">
        <v>6</v>
      </c>
      <c r="M235" s="3" t="n">
        <v>7</v>
      </c>
      <c r="N235" s="3" t="n">
        <v>4</v>
      </c>
      <c r="O235" s="3" t="n">
        <v>6</v>
      </c>
      <c r="P235" s="3" t="n">
        <v>4</v>
      </c>
      <c r="Q235" s="3" t="inlineStr">
        <is>
          <t>Analyzer</t>
        </is>
      </c>
      <c r="R235" s="3" t="n">
        <v>2</v>
      </c>
      <c r="S235" s="3" t="inlineStr"/>
      <c r="T235" s="3" t="inlineStr"/>
      <c r="U235" s="3" t="n">
        <v>0</v>
      </c>
      <c r="V235" s="3" t="inlineStr">
        <is>
          <t>masc:1.4;fem:0.1</t>
        </is>
      </c>
      <c r="W235" s="3" t="n">
        <v>1.4</v>
      </c>
      <c r="X235" s="3" t="n">
        <v>0.1</v>
      </c>
      <c r="Y235" s="3" t="inlineStr">
        <is>
          <t>COMM_Logical</t>
        </is>
      </c>
      <c r="Z235" s="3" t="inlineStr">
        <is>
          <t>REG_SelfSoother</t>
        </is>
      </c>
      <c r="AA235" s="3" t="inlineStr">
        <is>
          <t>LANG_Service</t>
        </is>
      </c>
      <c r="AB235" s="3" t="inlineStr">
        <is>
          <t>Vulnerability_Loop</t>
        </is>
      </c>
      <c r="AC235" s="3" t="inlineStr">
        <is>
          <t>Vulnerability_Loop</t>
        </is>
      </c>
      <c r="AD235" s="3" t="inlineStr"/>
      <c r="AE235" s="3" t="n">
        <v>5</v>
      </c>
      <c r="AF235" s="3" t="inlineStr">
        <is>
          <t>authenticity test mode</t>
        </is>
      </c>
      <c r="AG235" s="3" t="inlineStr">
        <is>
          <t>motive checker</t>
        </is>
      </c>
      <c r="AH235" s="3" t="n">
        <v>0.6</v>
      </c>
      <c r="AI235" s="3" t="inlineStr">
        <is>
          <t>yes</t>
        </is>
      </c>
      <c r="AJ235" s="3" t="inlineStr">
        <is>
          <t>no</t>
        </is>
      </c>
      <c r="AK235" s="3" t="inlineStr">
        <is>
          <t>no</t>
        </is>
      </c>
      <c r="AL235" s="3" t="inlineStr">
        <is>
          <t>no</t>
        </is>
      </c>
      <c r="AM235" s="3" t="inlineStr"/>
      <c r="AN235" s="3" t="inlineStr"/>
      <c r="AO235" s="3" t="inlineStr"/>
      <c r="AP235" s="3" t="inlineStr">
        <is>
          <t>v3_2026-03-19</t>
        </is>
      </c>
      <c r="AQ235">
        <f>(L235-Schema_v5!$C2)/(Schema_v5!$C3-Schema_v5!$C2)</f>
        <v/>
      </c>
      <c r="AR235">
        <f>(M235-Schema_v5!$C4)/(Schema_v5!$C5-Schema_v5!$C4)</f>
        <v/>
      </c>
      <c r="AS235">
        <f>N235/Schema_v5!$C6</f>
        <v/>
      </c>
      <c r="AT235">
        <f>O235/Schema_v5!$C7</f>
        <v/>
      </c>
      <c r="AU235">
        <f>P235/Schema_v5!$C8</f>
        <v/>
      </c>
      <c r="AV235">
        <f>IF(Schema_v5!$C9=0,0,AH235/Schema_v5!$C9)</f>
        <v/>
      </c>
      <c r="AW235">
        <f>IF(Schema_v5!$C10=0,0,AE235/Schema_v5!$C10)</f>
        <v/>
      </c>
      <c r="AX235">
        <f>(W235-Schema_v5!$C11)/(Schema_v5!$C12-Schema_v5!$C11)</f>
        <v/>
      </c>
      <c r="AY235">
        <f>(X235-Schema_v5!$C13)/(Schema_v5!$C14-Schema_v5!$C13)</f>
        <v/>
      </c>
    </row>
    <row r="236">
      <c r="A236" s="3" t="inlineStr">
        <is>
          <t>Q47_E</t>
        </is>
      </c>
      <c r="B236" s="3" t="n">
        <v>47</v>
      </c>
      <c r="C236" s="3" t="n">
        <v>47</v>
      </c>
      <c r="D236" s="3" t="inlineStr">
        <is>
          <t>Core</t>
        </is>
      </c>
      <c r="E236" s="3" t="n">
        <v>1.35</v>
      </c>
      <c r="F236" s="3" t="inlineStr">
        <is>
          <t>EmotionalNeeds</t>
        </is>
      </c>
      <c r="G236" s="3" t="inlineStr">
        <is>
          <t>IntimacyThreshold</t>
        </is>
      </c>
      <c r="H236" s="3" t="inlineStr"/>
      <c r="I236" s="3" t="inlineStr">
        <is>
          <t>E</t>
        </is>
      </c>
      <c r="J236" s="3" t="inlineStr">
        <is>
          <t>E</t>
        </is>
      </c>
      <c r="K236" s="3" t="inlineStr">
        <is>
          <t>Grateful. It feels earned somehow, like the healing version of what I always needed.</t>
        </is>
      </c>
      <c r="L236" s="3" t="n">
        <v>9</v>
      </c>
      <c r="M236" s="3" t="n">
        <v>9</v>
      </c>
      <c r="N236" s="3" t="n">
        <v>8</v>
      </c>
      <c r="O236" s="3" t="n">
        <v>8</v>
      </c>
      <c r="P236" s="3" t="n">
        <v>6</v>
      </c>
      <c r="Q236" s="3" t="inlineStr">
        <is>
          <t>Romantic Idealist</t>
        </is>
      </c>
      <c r="R236" s="3" t="n">
        <v>6</v>
      </c>
      <c r="S236" s="3" t="inlineStr"/>
      <c r="T236" s="3" t="inlineStr"/>
      <c r="U236" s="3" t="n">
        <v>0</v>
      </c>
      <c r="V236" s="3" t="inlineStr">
        <is>
          <t>masc:-0.4;fem:1.5</t>
        </is>
      </c>
      <c r="W236" s="3" t="n">
        <v>-0.4</v>
      </c>
      <c r="X236" s="3" t="n">
        <v>1.5</v>
      </c>
      <c r="Y236" s="3" t="inlineStr">
        <is>
          <t>COMM_Emotional</t>
        </is>
      </c>
      <c r="Z236" s="3" t="inlineStr">
        <is>
          <t>REG_Distractor</t>
        </is>
      </c>
      <c r="AA236" s="3" t="inlineStr">
        <is>
          <t>LANG_Gifts</t>
        </is>
      </c>
      <c r="AB236" s="3" t="inlineStr"/>
      <c r="AC236" s="3" t="inlineStr"/>
      <c r="AD236" s="3" t="inlineStr"/>
      <c r="AE236" s="3" t="n">
        <v>0</v>
      </c>
      <c r="AF236" s="3" t="inlineStr">
        <is>
          <t>fulfilled longing</t>
        </is>
      </c>
      <c r="AG236" s="3" t="inlineStr">
        <is>
          <t>open-hearted receiver</t>
        </is>
      </c>
      <c r="AH236" s="3" t="n">
        <v>0</v>
      </c>
      <c r="AI236" s="3" t="inlineStr">
        <is>
          <t>no</t>
        </is>
      </c>
      <c r="AJ236" s="3" t="inlineStr">
        <is>
          <t>no</t>
        </is>
      </c>
      <c r="AK236" s="3" t="inlineStr">
        <is>
          <t>no</t>
        </is>
      </c>
      <c r="AL236" s="3" t="inlineStr">
        <is>
          <t>no</t>
        </is>
      </c>
      <c r="AM236" s="3" t="inlineStr"/>
      <c r="AN236" s="3" t="inlineStr"/>
      <c r="AO236" s="3" t="inlineStr"/>
      <c r="AP236" s="3" t="inlineStr">
        <is>
          <t>v3_2026-03-19</t>
        </is>
      </c>
      <c r="AQ236">
        <f>(L236-Schema_v5!$C2)/(Schema_v5!$C3-Schema_v5!$C2)</f>
        <v/>
      </c>
      <c r="AR236">
        <f>(M236-Schema_v5!$C4)/(Schema_v5!$C5-Schema_v5!$C4)</f>
        <v/>
      </c>
      <c r="AS236">
        <f>N236/Schema_v5!$C6</f>
        <v/>
      </c>
      <c r="AT236">
        <f>O236/Schema_v5!$C7</f>
        <v/>
      </c>
      <c r="AU236">
        <f>P236/Schema_v5!$C8</f>
        <v/>
      </c>
      <c r="AV236">
        <f>IF(Schema_v5!$C9=0,0,AH236/Schema_v5!$C9)</f>
        <v/>
      </c>
      <c r="AW236">
        <f>IF(Schema_v5!$C10=0,0,AE236/Schema_v5!$C10)</f>
        <v/>
      </c>
      <c r="AX236">
        <f>(W236-Schema_v5!$C11)/(Schema_v5!$C12-Schema_v5!$C11)</f>
        <v/>
      </c>
      <c r="AY236">
        <f>(X236-Schema_v5!$C13)/(Schema_v5!$C14-Schema_v5!$C13)</f>
        <v/>
      </c>
    </row>
    <row r="237">
      <c r="A237" s="3" t="inlineStr">
        <is>
          <t>Q48_A</t>
        </is>
      </c>
      <c r="B237" s="3" t="n">
        <v>48</v>
      </c>
      <c r="C237" s="3" t="n">
        <v>48</v>
      </c>
      <c r="D237" s="3" t="inlineStr">
        <is>
          <t>Core</t>
        </is>
      </c>
      <c r="E237" s="3" t="n">
        <v>1.35</v>
      </c>
      <c r="F237" s="3" t="inlineStr">
        <is>
          <t>EmotionalNeeds</t>
        </is>
      </c>
      <c r="G237" s="3" t="inlineStr">
        <is>
          <t>IntimacyThreshold</t>
        </is>
      </c>
      <c r="H237" s="3" t="inlineStr">
        <is>
          <t>Things are going well. Emotionally steady, mutual effort, real connection. What's the moment you usually flinch?</t>
        </is>
      </c>
      <c r="I237" s="3" t="inlineStr">
        <is>
          <t>A</t>
        </is>
      </c>
      <c r="J237" s="3" t="inlineStr">
        <is>
          <t>A</t>
        </is>
      </c>
      <c r="K237" s="3" t="inlineStr">
        <is>
          <t>When they start asking deeper questions. I don't like being studied.</t>
        </is>
      </c>
      <c r="L237" s="3" t="n">
        <v>6</v>
      </c>
      <c r="M237" s="3" t="n">
        <v>7</v>
      </c>
      <c r="N237" s="3" t="n">
        <v>2</v>
      </c>
      <c r="O237" s="3" t="n">
        <v>2</v>
      </c>
      <c r="P237" s="3" t="n">
        <v>0</v>
      </c>
      <c r="Q237" s="3" t="inlineStr">
        <is>
          <t>Icebox</t>
        </is>
      </c>
      <c r="R237" s="3" t="n">
        <v>1</v>
      </c>
      <c r="S237" s="3" t="inlineStr"/>
      <c r="T237" s="3" t="inlineStr"/>
      <c r="U237" s="3" t="n">
        <v>0</v>
      </c>
      <c r="V237" s="3" t="inlineStr">
        <is>
          <t>masc:1.8;fem:-1.6</t>
        </is>
      </c>
      <c r="W237" s="3" t="n">
        <v>1.8</v>
      </c>
      <c r="X237" s="3" t="n">
        <v>-1.6</v>
      </c>
      <c r="Y237" s="3" t="inlineStr">
        <is>
          <t>COMM_Avoidant</t>
        </is>
      </c>
      <c r="Z237" s="3" t="inlineStr">
        <is>
          <t>REG_Suppressor</t>
        </is>
      </c>
      <c r="AA237" s="3" t="inlineStr">
        <is>
          <t>LANG_Time</t>
        </is>
      </c>
      <c r="AB237" s="3" t="inlineStr">
        <is>
          <t>Vulnerability_Loop</t>
        </is>
      </c>
      <c r="AC237" s="3" t="inlineStr">
        <is>
          <t>Vulnerability_Loop</t>
        </is>
      </c>
      <c r="AD237" s="3" t="inlineStr"/>
      <c r="AE237" s="3" t="n">
        <v>5</v>
      </c>
      <c r="AF237" s="3" t="inlineStr">
        <is>
          <t>intimacy evasion reflex</t>
        </is>
      </c>
      <c r="AG237" s="3" t="inlineStr">
        <is>
          <t>guarded sharer</t>
        </is>
      </c>
      <c r="AH237" s="3" t="n">
        <v>0</v>
      </c>
      <c r="AI237" s="3" t="inlineStr">
        <is>
          <t>yes</t>
        </is>
      </c>
      <c r="AJ237" s="3" t="inlineStr">
        <is>
          <t>no</t>
        </is>
      </c>
      <c r="AK237" s="3" t="inlineStr">
        <is>
          <t>no</t>
        </is>
      </c>
      <c r="AL237" s="3" t="inlineStr">
        <is>
          <t>no</t>
        </is>
      </c>
      <c r="AM237" s="3" t="inlineStr"/>
      <c r="AN237" s="3" t="inlineStr"/>
      <c r="AO237" s="3" t="inlineStr"/>
      <c r="AP237" s="3" t="inlineStr">
        <is>
          <t>v3_2026-03-19</t>
        </is>
      </c>
      <c r="AQ237">
        <f>(L237-Schema_v5!$C2)/(Schema_v5!$C3-Schema_v5!$C2)</f>
        <v/>
      </c>
      <c r="AR237">
        <f>(M237-Schema_v5!$C4)/(Schema_v5!$C5-Schema_v5!$C4)</f>
        <v/>
      </c>
      <c r="AS237">
        <f>N237/Schema_v5!$C6</f>
        <v/>
      </c>
      <c r="AT237">
        <f>O237/Schema_v5!$C7</f>
        <v/>
      </c>
      <c r="AU237">
        <f>P237/Schema_v5!$C8</f>
        <v/>
      </c>
      <c r="AV237">
        <f>IF(Schema_v5!$C9=0,0,AH237/Schema_v5!$C9)</f>
        <v/>
      </c>
      <c r="AW237">
        <f>IF(Schema_v5!$C10=0,0,AE237/Schema_v5!$C10)</f>
        <v/>
      </c>
      <c r="AX237">
        <f>(W237-Schema_v5!$C11)/(Schema_v5!$C12-Schema_v5!$C11)</f>
        <v/>
      </c>
      <c r="AY237">
        <f>(X237-Schema_v5!$C13)/(Schema_v5!$C14-Schema_v5!$C13)</f>
        <v/>
      </c>
    </row>
    <row r="238">
      <c r="A238" s="3" t="inlineStr">
        <is>
          <t>Q48_B</t>
        </is>
      </c>
      <c r="B238" s="3" t="n">
        <v>48</v>
      </c>
      <c r="C238" s="3" t="n">
        <v>48</v>
      </c>
      <c r="D238" s="3" t="inlineStr">
        <is>
          <t>Core</t>
        </is>
      </c>
      <c r="E238" s="3" t="n">
        <v>1.35</v>
      </c>
      <c r="F238" s="3" t="inlineStr">
        <is>
          <t>EmotionalNeeds</t>
        </is>
      </c>
      <c r="G238" s="3" t="inlineStr">
        <is>
          <t>IntimacyThreshold</t>
        </is>
      </c>
      <c r="H238" s="3" t="inlineStr"/>
      <c r="I238" s="3" t="inlineStr">
        <is>
          <t>B</t>
        </is>
      </c>
      <c r="J238" s="3" t="inlineStr">
        <is>
          <t>B</t>
        </is>
      </c>
      <c r="K238" s="3" t="inlineStr">
        <is>
          <t>When I can't tell how they're really feeling. I hate guessing.</t>
        </is>
      </c>
      <c r="L238" s="3" t="n">
        <v>5</v>
      </c>
      <c r="M238" s="3" t="n">
        <v>6</v>
      </c>
      <c r="N238" s="3" t="n">
        <v>2</v>
      </c>
      <c r="O238" s="3" t="n">
        <v>4</v>
      </c>
      <c r="P238" s="3" t="n">
        <v>2</v>
      </c>
      <c r="Q238" s="3" t="inlineStr">
        <is>
          <t>Phantom Seeker</t>
        </is>
      </c>
      <c r="R238" s="3" t="n">
        <v>10</v>
      </c>
      <c r="S238" s="3" t="inlineStr"/>
      <c r="T238" s="3" t="inlineStr"/>
      <c r="U238" s="3" t="n">
        <v>0</v>
      </c>
      <c r="V238" s="3" t="inlineStr">
        <is>
          <t>masc:-0.2;fem:1.5</t>
        </is>
      </c>
      <c r="W238" s="3" t="n">
        <v>-0.2</v>
      </c>
      <c r="X238" s="3" t="n">
        <v>1.5</v>
      </c>
      <c r="Y238" s="3" t="inlineStr">
        <is>
          <t>COMM_Emotional</t>
        </is>
      </c>
      <c r="Z238" s="3" t="inlineStr">
        <is>
          <t>REG_SelfSoother</t>
        </is>
      </c>
      <c r="AA238" s="3" t="inlineStr">
        <is>
          <t>LANG_Touch</t>
        </is>
      </c>
      <c r="AB238" s="3" t="inlineStr">
        <is>
          <t>Vulnerability_Loop</t>
        </is>
      </c>
      <c r="AC238" s="3" t="inlineStr">
        <is>
          <t>Vulnerability_Loop</t>
        </is>
      </c>
      <c r="AD238" s="3" t="inlineStr"/>
      <c r="AE238" s="3" t="n">
        <v>5</v>
      </c>
      <c r="AF238" s="3" t="inlineStr">
        <is>
          <t>emotional uncertainty freeze</t>
        </is>
      </c>
      <c r="AG238" s="3" t="inlineStr">
        <is>
          <t>clarity craver</t>
        </is>
      </c>
      <c r="AH238" s="3" t="n">
        <v>0.2</v>
      </c>
      <c r="AI238" s="3" t="inlineStr">
        <is>
          <t>yes</t>
        </is>
      </c>
      <c r="AJ238" s="3" t="inlineStr">
        <is>
          <t>no</t>
        </is>
      </c>
      <c r="AK238" s="3" t="inlineStr">
        <is>
          <t>no</t>
        </is>
      </c>
      <c r="AL238" s="3" t="inlineStr">
        <is>
          <t>no</t>
        </is>
      </c>
      <c r="AM238" s="3" t="inlineStr"/>
      <c r="AN238" s="3" t="inlineStr"/>
      <c r="AO238" s="3" t="inlineStr"/>
      <c r="AP238" s="3" t="inlineStr">
        <is>
          <t>v3_2026-03-19</t>
        </is>
      </c>
      <c r="AQ238">
        <f>(L238-Schema_v5!$C2)/(Schema_v5!$C3-Schema_v5!$C2)</f>
        <v/>
      </c>
      <c r="AR238">
        <f>(M238-Schema_v5!$C4)/(Schema_v5!$C5-Schema_v5!$C4)</f>
        <v/>
      </c>
      <c r="AS238">
        <f>N238/Schema_v5!$C6</f>
        <v/>
      </c>
      <c r="AT238">
        <f>O238/Schema_v5!$C7</f>
        <v/>
      </c>
      <c r="AU238">
        <f>P238/Schema_v5!$C8</f>
        <v/>
      </c>
      <c r="AV238">
        <f>IF(Schema_v5!$C9=0,0,AH238/Schema_v5!$C9)</f>
        <v/>
      </c>
      <c r="AW238">
        <f>IF(Schema_v5!$C10=0,0,AE238/Schema_v5!$C10)</f>
        <v/>
      </c>
      <c r="AX238">
        <f>(W238-Schema_v5!$C11)/(Schema_v5!$C12-Schema_v5!$C11)</f>
        <v/>
      </c>
      <c r="AY238">
        <f>(X238-Schema_v5!$C13)/(Schema_v5!$C14-Schema_v5!$C13)</f>
        <v/>
      </c>
    </row>
    <row r="239">
      <c r="A239" s="3" t="inlineStr">
        <is>
          <t>Q48_C</t>
        </is>
      </c>
      <c r="B239" s="3" t="n">
        <v>48</v>
      </c>
      <c r="C239" s="3" t="n">
        <v>48</v>
      </c>
      <c r="D239" s="3" t="inlineStr">
        <is>
          <t>Core</t>
        </is>
      </c>
      <c r="E239" s="3" t="n">
        <v>1.35</v>
      </c>
      <c r="F239" s="3" t="inlineStr">
        <is>
          <t>EmotionalNeeds</t>
        </is>
      </c>
      <c r="G239" s="3" t="inlineStr">
        <is>
          <t>IntimacyThreshold</t>
        </is>
      </c>
      <c r="H239" s="3" t="inlineStr"/>
      <c r="I239" s="3" t="inlineStr">
        <is>
          <t>C</t>
        </is>
      </c>
      <c r="J239" s="3" t="inlineStr">
        <is>
          <t>C</t>
        </is>
      </c>
      <c r="K239" s="3" t="inlineStr">
        <is>
          <t>When they stop doing the little things-I start wondering if I misread it all.</t>
        </is>
      </c>
      <c r="L239" s="3" t="n">
        <v>7</v>
      </c>
      <c r="M239" s="3" t="n">
        <v>8</v>
      </c>
      <c r="N239" s="3" t="n">
        <v>6</v>
      </c>
      <c r="O239" s="3" t="n">
        <v>8</v>
      </c>
      <c r="P239" s="3" t="n">
        <v>6</v>
      </c>
      <c r="Q239" s="3" t="inlineStr">
        <is>
          <t>Analyzer</t>
        </is>
      </c>
      <c r="R239" s="3" t="n">
        <v>2</v>
      </c>
      <c r="S239" s="3" t="inlineStr"/>
      <c r="T239" s="3" t="inlineStr"/>
      <c r="U239" s="3" t="n">
        <v>0</v>
      </c>
      <c r="V239" s="3" t="inlineStr">
        <is>
          <t>masc:1.4;fem:0.1</t>
        </is>
      </c>
      <c r="W239" s="3" t="n">
        <v>1.4</v>
      </c>
      <c r="X239" s="3" t="n">
        <v>0.1</v>
      </c>
      <c r="Y239" s="3" t="inlineStr">
        <is>
          <t>COMM_Logical</t>
        </is>
      </c>
      <c r="Z239" s="3" t="inlineStr">
        <is>
          <t>REG_SelfSoother</t>
        </is>
      </c>
      <c r="AA239" s="3" t="inlineStr">
        <is>
          <t>LANG_Service</t>
        </is>
      </c>
      <c r="AB239" s="3" t="inlineStr"/>
      <c r="AC239" s="3" t="inlineStr"/>
      <c r="AD239" s="3" t="inlineStr"/>
      <c r="AE239" s="3" t="n">
        <v>0</v>
      </c>
      <c r="AF239" s="3" t="inlineStr">
        <is>
          <t>micro-shift alarm system</t>
        </is>
      </c>
      <c r="AG239" s="3" t="inlineStr">
        <is>
          <t>detail watcher</t>
        </is>
      </c>
      <c r="AH239" s="3" t="n">
        <v>0</v>
      </c>
      <c r="AI239" s="3" t="inlineStr">
        <is>
          <t>no</t>
        </is>
      </c>
      <c r="AJ239" s="3" t="inlineStr">
        <is>
          <t>no</t>
        </is>
      </c>
      <c r="AK239" s="3" t="inlineStr">
        <is>
          <t>no</t>
        </is>
      </c>
      <c r="AL239" s="3" t="inlineStr">
        <is>
          <t>no</t>
        </is>
      </c>
      <c r="AM239" s="3" t="inlineStr"/>
      <c r="AN239" s="3" t="inlineStr"/>
      <c r="AO239" s="3" t="inlineStr"/>
      <c r="AP239" s="3" t="inlineStr">
        <is>
          <t>v3_2026-03-19</t>
        </is>
      </c>
      <c r="AQ239">
        <f>(L239-Schema_v5!$C2)/(Schema_v5!$C3-Schema_v5!$C2)</f>
        <v/>
      </c>
      <c r="AR239">
        <f>(M239-Schema_v5!$C4)/(Schema_v5!$C5-Schema_v5!$C4)</f>
        <v/>
      </c>
      <c r="AS239">
        <f>N239/Schema_v5!$C6</f>
        <v/>
      </c>
      <c r="AT239">
        <f>O239/Schema_v5!$C7</f>
        <v/>
      </c>
      <c r="AU239">
        <f>P239/Schema_v5!$C8</f>
        <v/>
      </c>
      <c r="AV239">
        <f>IF(Schema_v5!$C9=0,0,AH239/Schema_v5!$C9)</f>
        <v/>
      </c>
      <c r="AW239">
        <f>IF(Schema_v5!$C10=0,0,AE239/Schema_v5!$C10)</f>
        <v/>
      </c>
      <c r="AX239">
        <f>(W239-Schema_v5!$C11)/(Schema_v5!$C12-Schema_v5!$C11)</f>
        <v/>
      </c>
      <c r="AY239">
        <f>(X239-Schema_v5!$C13)/(Schema_v5!$C14-Schema_v5!$C13)</f>
        <v/>
      </c>
    </row>
    <row r="240">
      <c r="A240" s="3" t="inlineStr">
        <is>
          <t>Q48_D</t>
        </is>
      </c>
      <c r="B240" s="3" t="n">
        <v>48</v>
      </c>
      <c r="C240" s="3" t="n">
        <v>48</v>
      </c>
      <c r="D240" s="3" t="inlineStr">
        <is>
          <t>Core</t>
        </is>
      </c>
      <c r="E240" s="3" t="n">
        <v>1.35</v>
      </c>
      <c r="F240" s="3" t="inlineStr">
        <is>
          <t>EmotionalNeeds</t>
        </is>
      </c>
      <c r="G240" s="3" t="inlineStr">
        <is>
          <t>IntimacyThreshold</t>
        </is>
      </c>
      <c r="H240" s="3" t="inlineStr"/>
      <c r="I240" s="3" t="inlineStr">
        <is>
          <t>D</t>
        </is>
      </c>
      <c r="J240" s="3" t="inlineStr">
        <is>
          <t>D</t>
        </is>
      </c>
      <c r="K240" s="3" t="inlineStr">
        <is>
          <t>When they show up too much. I get overwhelmed and start backing up.</t>
        </is>
      </c>
      <c r="L240" s="3" t="n">
        <v>5</v>
      </c>
      <c r="M240" s="3" t="n">
        <v>6</v>
      </c>
      <c r="N240" s="3" t="n">
        <v>4</v>
      </c>
      <c r="O240" s="3" t="n">
        <v>4</v>
      </c>
      <c r="P240" s="3" t="n">
        <v>4</v>
      </c>
      <c r="Q240" s="3" t="inlineStr">
        <is>
          <t>Survivor</t>
        </is>
      </c>
      <c r="R240" s="3" t="n">
        <v>8</v>
      </c>
      <c r="S240" s="3" t="inlineStr"/>
      <c r="T240" s="3" t="inlineStr"/>
      <c r="U240" s="3" t="n">
        <v>0</v>
      </c>
      <c r="V240" s="3" t="inlineStr">
        <is>
          <t>masc:0.3;fem:1.3</t>
        </is>
      </c>
      <c r="W240" s="3" t="n">
        <v>0.3</v>
      </c>
      <c r="X240" s="3" t="n">
        <v>1.3</v>
      </c>
      <c r="Y240" s="3" t="inlineStr">
        <is>
          <t>COMM_Emotional</t>
        </is>
      </c>
      <c r="Z240" s="3" t="inlineStr">
        <is>
          <t>REG_SelfSoother</t>
        </is>
      </c>
      <c r="AA240" s="3" t="inlineStr">
        <is>
          <t>LANG_Service</t>
        </is>
      </c>
      <c r="AB240" s="3" t="inlineStr">
        <is>
          <t>Vulnerability_Loop</t>
        </is>
      </c>
      <c r="AC240" s="3" t="inlineStr">
        <is>
          <t>Vulnerability_Loop</t>
        </is>
      </c>
      <c r="AD240" s="3" t="inlineStr"/>
      <c r="AE240" s="3" t="n">
        <v>5</v>
      </c>
      <c r="AF240" s="3" t="inlineStr">
        <is>
          <t>safety overload reflex</t>
        </is>
      </c>
      <c r="AG240" s="3" t="inlineStr">
        <is>
          <t>slow stepper</t>
        </is>
      </c>
      <c r="AH240" s="3" t="n">
        <v>0</v>
      </c>
      <c r="AI240" s="3" t="inlineStr">
        <is>
          <t>yes</t>
        </is>
      </c>
      <c r="AJ240" s="3" t="inlineStr">
        <is>
          <t>no</t>
        </is>
      </c>
      <c r="AK240" s="3" t="inlineStr">
        <is>
          <t>no</t>
        </is>
      </c>
      <c r="AL240" s="3" t="inlineStr">
        <is>
          <t>no</t>
        </is>
      </c>
      <c r="AM240" s="3" t="inlineStr"/>
      <c r="AN240" s="3" t="inlineStr"/>
      <c r="AO240" s="3" t="inlineStr"/>
      <c r="AP240" s="3" t="inlineStr">
        <is>
          <t>v3_2026-03-19</t>
        </is>
      </c>
      <c r="AQ240">
        <f>(L240-Schema_v5!$C2)/(Schema_v5!$C3-Schema_v5!$C2)</f>
        <v/>
      </c>
      <c r="AR240">
        <f>(M240-Schema_v5!$C4)/(Schema_v5!$C5-Schema_v5!$C4)</f>
        <v/>
      </c>
      <c r="AS240">
        <f>N240/Schema_v5!$C6</f>
        <v/>
      </c>
      <c r="AT240">
        <f>O240/Schema_v5!$C7</f>
        <v/>
      </c>
      <c r="AU240">
        <f>P240/Schema_v5!$C8</f>
        <v/>
      </c>
      <c r="AV240">
        <f>IF(Schema_v5!$C9=0,0,AH240/Schema_v5!$C9)</f>
        <v/>
      </c>
      <c r="AW240">
        <f>IF(Schema_v5!$C10=0,0,AE240/Schema_v5!$C10)</f>
        <v/>
      </c>
      <c r="AX240">
        <f>(W240-Schema_v5!$C11)/(Schema_v5!$C12-Schema_v5!$C11)</f>
        <v/>
      </c>
      <c r="AY240">
        <f>(X240-Schema_v5!$C13)/(Schema_v5!$C14-Schema_v5!$C13)</f>
        <v/>
      </c>
    </row>
    <row r="241">
      <c r="A241" s="3" t="inlineStr">
        <is>
          <t>Q48_E</t>
        </is>
      </c>
      <c r="B241" s="3" t="n">
        <v>48</v>
      </c>
      <c r="C241" s="3" t="n">
        <v>48</v>
      </c>
      <c r="D241" s="3" t="inlineStr">
        <is>
          <t>Core</t>
        </is>
      </c>
      <c r="E241" s="3" t="n">
        <v>1.35</v>
      </c>
      <c r="F241" s="3" t="inlineStr">
        <is>
          <t>EmotionalNeeds</t>
        </is>
      </c>
      <c r="G241" s="3" t="inlineStr">
        <is>
          <t>IntimacyThreshold</t>
        </is>
      </c>
      <c r="H241" s="3" t="inlineStr"/>
      <c r="I241" s="3" t="inlineStr">
        <is>
          <t>E</t>
        </is>
      </c>
      <c r="J241" s="3" t="inlineStr">
        <is>
          <t>E</t>
        </is>
      </c>
      <c r="K241" s="3" t="inlineStr">
        <is>
          <t>When I finally exhale-and realize I don't fully trust that peace yet.</t>
        </is>
      </c>
      <c r="L241" s="3" t="n">
        <v>8</v>
      </c>
      <c r="M241" s="3" t="n">
        <v>9</v>
      </c>
      <c r="N241" s="3" t="n">
        <v>6</v>
      </c>
      <c r="O241" s="3" t="n">
        <v>8</v>
      </c>
      <c r="P241" s="3" t="n">
        <v>6</v>
      </c>
      <c r="Q241" s="3" t="inlineStr">
        <is>
          <t>Romantic Idealist</t>
        </is>
      </c>
      <c r="R241" s="3" t="n">
        <v>6</v>
      </c>
      <c r="S241" s="3" t="inlineStr"/>
      <c r="T241" s="3" t="inlineStr"/>
      <c r="U241" s="3" t="n">
        <v>0</v>
      </c>
      <c r="V241" s="3" t="inlineStr">
        <is>
          <t>masc:-0.4;fem:1.5</t>
        </is>
      </c>
      <c r="W241" s="3" t="n">
        <v>-0.4</v>
      </c>
      <c r="X241" s="3" t="n">
        <v>1.5</v>
      </c>
      <c r="Y241" s="3" t="inlineStr">
        <is>
          <t>COMM_Emotional</t>
        </is>
      </c>
      <c r="Z241" s="3" t="inlineStr">
        <is>
          <t>REG_Distractor</t>
        </is>
      </c>
      <c r="AA241" s="3" t="inlineStr">
        <is>
          <t>LANG_Gifts</t>
        </is>
      </c>
      <c r="AB241" s="3" t="inlineStr"/>
      <c r="AC241" s="3" t="inlineStr"/>
      <c r="AD241" s="3" t="inlineStr"/>
      <c r="AE241" s="3" t="n">
        <v>0</v>
      </c>
      <c r="AF241" s="3" t="inlineStr">
        <is>
          <t>joy with a flinch</t>
        </is>
      </c>
      <c r="AG241" s="3" t="inlineStr">
        <is>
          <t>wary dreamer</t>
        </is>
      </c>
      <c r="AH241" s="3" t="n">
        <v>0</v>
      </c>
      <c r="AI241" s="3" t="inlineStr">
        <is>
          <t>no</t>
        </is>
      </c>
      <c r="AJ241" s="3" t="inlineStr">
        <is>
          <t>no</t>
        </is>
      </c>
      <c r="AK241" s="3" t="inlineStr">
        <is>
          <t>no</t>
        </is>
      </c>
      <c r="AL241" s="3" t="inlineStr">
        <is>
          <t>no</t>
        </is>
      </c>
      <c r="AM241" s="3" t="inlineStr"/>
      <c r="AN241" s="3" t="inlineStr"/>
      <c r="AO241" s="3" t="inlineStr"/>
      <c r="AP241" s="3" t="inlineStr">
        <is>
          <t>v3_2026-03-19</t>
        </is>
      </c>
      <c r="AQ241">
        <f>(L241-Schema_v5!$C2)/(Schema_v5!$C3-Schema_v5!$C2)</f>
        <v/>
      </c>
      <c r="AR241">
        <f>(M241-Schema_v5!$C4)/(Schema_v5!$C5-Schema_v5!$C4)</f>
        <v/>
      </c>
      <c r="AS241">
        <f>N241/Schema_v5!$C6</f>
        <v/>
      </c>
      <c r="AT241">
        <f>O241/Schema_v5!$C7</f>
        <v/>
      </c>
      <c r="AU241">
        <f>P241/Schema_v5!$C8</f>
        <v/>
      </c>
      <c r="AV241">
        <f>IF(Schema_v5!$C9=0,0,AH241/Schema_v5!$C9)</f>
        <v/>
      </c>
      <c r="AW241">
        <f>IF(Schema_v5!$C10=0,0,AE241/Schema_v5!$C10)</f>
        <v/>
      </c>
      <c r="AX241">
        <f>(W241-Schema_v5!$C11)/(Schema_v5!$C12-Schema_v5!$C11)</f>
        <v/>
      </c>
      <c r="AY241">
        <f>(X241-Schema_v5!$C13)/(Schema_v5!$C14-Schema_v5!$C13)</f>
        <v/>
      </c>
    </row>
    <row r="242">
      <c r="A242" s="3" t="inlineStr">
        <is>
          <t>Q49_A</t>
        </is>
      </c>
      <c r="B242" s="3" t="n">
        <v>49</v>
      </c>
      <c r="C242" s="3" t="n">
        <v>49</v>
      </c>
      <c r="D242" s="3" t="inlineStr">
        <is>
          <t>Core</t>
        </is>
      </c>
      <c r="E242" s="3" t="n">
        <v>1.4</v>
      </c>
      <c r="F242" s="3" t="inlineStr">
        <is>
          <t>EmotionalNeeds</t>
        </is>
      </c>
      <c r="G242" s="3" t="inlineStr">
        <is>
          <t>IntimacyThreshold</t>
        </is>
      </c>
      <c r="H242" s="3" t="inlineStr">
        <is>
          <t>When love starts to feel familiar... what part of your past does it usually remind you of?</t>
        </is>
      </c>
      <c r="I242" s="3" t="inlineStr">
        <is>
          <t>A</t>
        </is>
      </c>
      <c r="J242" s="3" t="inlineStr">
        <is>
          <t>A</t>
        </is>
      </c>
      <c r="K242" s="3" t="inlineStr">
        <is>
          <t>That feeling of being needed for what I could give, not for who I was.</t>
        </is>
      </c>
      <c r="L242" s="3" t="n">
        <v>5</v>
      </c>
      <c r="M242" s="3" t="n">
        <v>6</v>
      </c>
      <c r="N242" s="3" t="n">
        <v>4</v>
      </c>
      <c r="O242" s="3" t="n">
        <v>4</v>
      </c>
      <c r="P242" s="3" t="n">
        <v>4</v>
      </c>
      <c r="Q242" s="3" t="inlineStr">
        <is>
          <t>Fixer</t>
        </is>
      </c>
      <c r="R242" s="3" t="n">
        <v>5</v>
      </c>
      <c r="S242" s="3" t="inlineStr"/>
      <c r="T242" s="3" t="inlineStr"/>
      <c r="U242" s="3" t="n">
        <v>0</v>
      </c>
      <c r="V242" s="3" t="inlineStr">
        <is>
          <t>masc:-0.4;fem:2.0</t>
        </is>
      </c>
      <c r="W242" s="3" t="n">
        <v>-0.4</v>
      </c>
      <c r="X242" s="3" t="n">
        <v>2</v>
      </c>
      <c r="Y242" s="3" t="inlineStr">
        <is>
          <t>COMM_Emotional</t>
        </is>
      </c>
      <c r="Z242" s="3" t="inlineStr">
        <is>
          <t>REG_CoRegulator</t>
        </is>
      </c>
      <c r="AA242" s="3" t="inlineStr">
        <is>
          <t>LANG_Service</t>
        </is>
      </c>
      <c r="AB242" s="3" t="inlineStr">
        <is>
          <t>Vulnerability_Loop</t>
        </is>
      </c>
      <c r="AC242" s="3" t="inlineStr">
        <is>
          <t>Vulnerability_Loop</t>
        </is>
      </c>
      <c r="AD242" s="3" t="inlineStr"/>
      <c r="AE242" s="3" t="n">
        <v>5</v>
      </c>
      <c r="AF242" s="3" t="inlineStr">
        <is>
          <t>transactional love imprint</t>
        </is>
      </c>
      <c r="AG242" s="3" t="inlineStr">
        <is>
          <t>role-based connector</t>
        </is>
      </c>
      <c r="AH242" s="3" t="n">
        <v>0</v>
      </c>
      <c r="AI242" s="3" t="inlineStr">
        <is>
          <t>yes</t>
        </is>
      </c>
      <c r="AJ242" s="3" t="inlineStr">
        <is>
          <t>no</t>
        </is>
      </c>
      <c r="AK242" s="3" t="inlineStr">
        <is>
          <t>no</t>
        </is>
      </c>
      <c r="AL242" s="3" t="inlineStr">
        <is>
          <t>no</t>
        </is>
      </c>
      <c r="AM242" s="3" t="inlineStr"/>
      <c r="AN242" s="3" t="inlineStr"/>
      <c r="AO242" s="3" t="inlineStr"/>
      <c r="AP242" s="3" t="inlineStr">
        <is>
          <t>v3_2026-03-19</t>
        </is>
      </c>
      <c r="AQ242">
        <f>(L242-Schema_v5!$C2)/(Schema_v5!$C3-Schema_v5!$C2)</f>
        <v/>
      </c>
      <c r="AR242">
        <f>(M242-Schema_v5!$C4)/(Schema_v5!$C5-Schema_v5!$C4)</f>
        <v/>
      </c>
      <c r="AS242">
        <f>N242/Schema_v5!$C6</f>
        <v/>
      </c>
      <c r="AT242">
        <f>O242/Schema_v5!$C7</f>
        <v/>
      </c>
      <c r="AU242">
        <f>P242/Schema_v5!$C8</f>
        <v/>
      </c>
      <c r="AV242">
        <f>IF(Schema_v5!$C9=0,0,AH242/Schema_v5!$C9)</f>
        <v/>
      </c>
      <c r="AW242">
        <f>IF(Schema_v5!$C10=0,0,AE242/Schema_v5!$C10)</f>
        <v/>
      </c>
      <c r="AX242">
        <f>(W242-Schema_v5!$C11)/(Schema_v5!$C12-Schema_v5!$C11)</f>
        <v/>
      </c>
      <c r="AY242">
        <f>(X242-Schema_v5!$C13)/(Schema_v5!$C14-Schema_v5!$C13)</f>
        <v/>
      </c>
    </row>
    <row r="243">
      <c r="A243" s="3" t="inlineStr">
        <is>
          <t>Q49_B</t>
        </is>
      </c>
      <c r="B243" s="3" t="n">
        <v>49</v>
      </c>
      <c r="C243" s="3" t="n">
        <v>49</v>
      </c>
      <c r="D243" s="3" t="inlineStr">
        <is>
          <t>Core</t>
        </is>
      </c>
      <c r="E243" s="3" t="n">
        <v>1.4</v>
      </c>
      <c r="F243" s="3" t="inlineStr">
        <is>
          <t>EmotionalNeeds</t>
        </is>
      </c>
      <c r="G243" s="3" t="inlineStr">
        <is>
          <t>IntimacyThreshold</t>
        </is>
      </c>
      <c r="H243" s="3" t="inlineStr"/>
      <c r="I243" s="3" t="inlineStr">
        <is>
          <t>B</t>
        </is>
      </c>
      <c r="J243" s="3" t="inlineStr">
        <is>
          <t>B</t>
        </is>
      </c>
      <c r="K243" s="3" t="inlineStr">
        <is>
          <t>The fear that if I say how I really feel, they'll leave-or worse, stay but pull away.</t>
        </is>
      </c>
      <c r="L243" s="3" t="n">
        <v>4</v>
      </c>
      <c r="M243" s="3" t="n">
        <v>5</v>
      </c>
      <c r="N243" s="3" t="n">
        <v>2</v>
      </c>
      <c r="O243" s="3" t="n">
        <v>2</v>
      </c>
      <c r="P243" s="3" t="n">
        <v>0</v>
      </c>
      <c r="Q243" s="3" t="inlineStr">
        <is>
          <t>Phantom Seeker</t>
        </is>
      </c>
      <c r="R243" s="3" t="n">
        <v>10</v>
      </c>
      <c r="S243" s="3" t="inlineStr"/>
      <c r="T243" s="3" t="inlineStr"/>
      <c r="U243" s="3" t="n">
        <v>0</v>
      </c>
      <c r="V243" s="3" t="inlineStr">
        <is>
          <t>masc:-0.2;fem:1.5</t>
        </is>
      </c>
      <c r="W243" s="3" t="n">
        <v>-0.2</v>
      </c>
      <c r="X243" s="3" t="n">
        <v>1.5</v>
      </c>
      <c r="Y243" s="3" t="inlineStr">
        <is>
          <t>COMM_Emotional</t>
        </is>
      </c>
      <c r="Z243" s="3" t="inlineStr">
        <is>
          <t>REG_SelfSoother</t>
        </is>
      </c>
      <c r="AA243" s="3" t="inlineStr">
        <is>
          <t>LANG_Touch</t>
        </is>
      </c>
      <c r="AB243" s="3" t="inlineStr">
        <is>
          <t>Vulnerability_Loop</t>
        </is>
      </c>
      <c r="AC243" s="3" t="inlineStr">
        <is>
          <t>Vulnerability_Loop</t>
        </is>
      </c>
      <c r="AD243" s="3" t="inlineStr"/>
      <c r="AE243" s="3" t="n">
        <v>5</v>
      </c>
      <c r="AF243" s="3" t="inlineStr">
        <is>
          <t>emotional abandonment echo</t>
        </is>
      </c>
      <c r="AG243" s="3" t="inlineStr">
        <is>
          <t>closeness doubter</t>
        </is>
      </c>
      <c r="AH243" s="3" t="n">
        <v>0</v>
      </c>
      <c r="AI243" s="3" t="inlineStr">
        <is>
          <t>yes</t>
        </is>
      </c>
      <c r="AJ243" s="3" t="inlineStr">
        <is>
          <t>no</t>
        </is>
      </c>
      <c r="AK243" s="3" t="inlineStr">
        <is>
          <t>no</t>
        </is>
      </c>
      <c r="AL243" s="3" t="inlineStr">
        <is>
          <t>no</t>
        </is>
      </c>
      <c r="AM243" s="3" t="inlineStr"/>
      <c r="AN243" s="3" t="inlineStr"/>
      <c r="AO243" s="3" t="inlineStr"/>
      <c r="AP243" s="3" t="inlineStr">
        <is>
          <t>v3_2026-03-19</t>
        </is>
      </c>
      <c r="AQ243">
        <f>(L243-Schema_v5!$C2)/(Schema_v5!$C3-Schema_v5!$C2)</f>
        <v/>
      </c>
      <c r="AR243">
        <f>(M243-Schema_v5!$C4)/(Schema_v5!$C5-Schema_v5!$C4)</f>
        <v/>
      </c>
      <c r="AS243">
        <f>N243/Schema_v5!$C6</f>
        <v/>
      </c>
      <c r="AT243">
        <f>O243/Schema_v5!$C7</f>
        <v/>
      </c>
      <c r="AU243">
        <f>P243/Schema_v5!$C8</f>
        <v/>
      </c>
      <c r="AV243">
        <f>IF(Schema_v5!$C9=0,0,AH243/Schema_v5!$C9)</f>
        <v/>
      </c>
      <c r="AW243">
        <f>IF(Schema_v5!$C10=0,0,AE243/Schema_v5!$C10)</f>
        <v/>
      </c>
      <c r="AX243">
        <f>(W243-Schema_v5!$C11)/(Schema_v5!$C12-Schema_v5!$C11)</f>
        <v/>
      </c>
      <c r="AY243">
        <f>(X243-Schema_v5!$C13)/(Schema_v5!$C14-Schema_v5!$C13)</f>
        <v/>
      </c>
    </row>
    <row r="244">
      <c r="A244" s="3" t="inlineStr">
        <is>
          <t>Q49_C</t>
        </is>
      </c>
      <c r="B244" s="3" t="n">
        <v>49</v>
      </c>
      <c r="C244" s="3" t="n">
        <v>49</v>
      </c>
      <c r="D244" s="3" t="inlineStr">
        <is>
          <t>Core</t>
        </is>
      </c>
      <c r="E244" s="3" t="n">
        <v>1.4</v>
      </c>
      <c r="F244" s="3" t="inlineStr">
        <is>
          <t>EmotionalNeeds</t>
        </is>
      </c>
      <c r="G244" s="3" t="inlineStr">
        <is>
          <t>IntimacyThreshold</t>
        </is>
      </c>
      <c r="H244" s="3" t="inlineStr"/>
      <c r="I244" s="3" t="inlineStr">
        <is>
          <t>C</t>
        </is>
      </c>
      <c r="J244" s="3" t="inlineStr">
        <is>
          <t>C</t>
        </is>
      </c>
      <c r="K244" s="3" t="inlineStr">
        <is>
          <t>Those moments where I felt like the adult in the room, even as a kid.</t>
        </is>
      </c>
      <c r="L244" s="3" t="n">
        <v>7</v>
      </c>
      <c r="M244" s="3" t="n">
        <v>8</v>
      </c>
      <c r="N244" s="3" t="n">
        <v>6</v>
      </c>
      <c r="O244" s="3" t="n">
        <v>8</v>
      </c>
      <c r="P244" s="3" t="n">
        <v>6</v>
      </c>
      <c r="Q244" s="3" t="inlineStr">
        <is>
          <t>Analyzer</t>
        </is>
      </c>
      <c r="R244" s="3" t="n">
        <v>2</v>
      </c>
      <c r="S244" s="3" t="inlineStr"/>
      <c r="T244" s="3" t="inlineStr"/>
      <c r="U244" s="3" t="n">
        <v>0</v>
      </c>
      <c r="V244" s="3" t="inlineStr">
        <is>
          <t>masc:1.4;fem:0.1</t>
        </is>
      </c>
      <c r="W244" s="3" t="n">
        <v>1.4</v>
      </c>
      <c r="X244" s="3" t="n">
        <v>0.1</v>
      </c>
      <c r="Y244" s="3" t="inlineStr">
        <is>
          <t>COMM_Logical</t>
        </is>
      </c>
      <c r="Z244" s="3" t="inlineStr">
        <is>
          <t>REG_SelfSoother</t>
        </is>
      </c>
      <c r="AA244" s="3" t="inlineStr">
        <is>
          <t>LANG_Service</t>
        </is>
      </c>
      <c r="AB244" s="3" t="inlineStr"/>
      <c r="AC244" s="3" t="inlineStr"/>
      <c r="AD244" s="3" t="inlineStr"/>
      <c r="AE244" s="3" t="n">
        <v>0</v>
      </c>
      <c r="AF244" s="3" t="inlineStr">
        <is>
          <t>early emotional burden</t>
        </is>
      </c>
      <c r="AG244" s="3" t="inlineStr">
        <is>
          <t>responsibility carrier</t>
        </is>
      </c>
      <c r="AH244" s="3" t="n">
        <v>0</v>
      </c>
      <c r="AI244" s="3" t="inlineStr">
        <is>
          <t>no</t>
        </is>
      </c>
      <c r="AJ244" s="3" t="inlineStr">
        <is>
          <t>no</t>
        </is>
      </c>
      <c r="AK244" s="3" t="inlineStr">
        <is>
          <t>no</t>
        </is>
      </c>
      <c r="AL244" s="3" t="inlineStr">
        <is>
          <t>no</t>
        </is>
      </c>
      <c r="AM244" s="3" t="inlineStr"/>
      <c r="AN244" s="3" t="inlineStr"/>
      <c r="AO244" s="3" t="inlineStr"/>
      <c r="AP244" s="3" t="inlineStr">
        <is>
          <t>v3_2026-03-19</t>
        </is>
      </c>
      <c r="AQ244">
        <f>(L244-Schema_v5!$C2)/(Schema_v5!$C3-Schema_v5!$C2)</f>
        <v/>
      </c>
      <c r="AR244">
        <f>(M244-Schema_v5!$C4)/(Schema_v5!$C5-Schema_v5!$C4)</f>
        <v/>
      </c>
      <c r="AS244">
        <f>N244/Schema_v5!$C6</f>
        <v/>
      </c>
      <c r="AT244">
        <f>O244/Schema_v5!$C7</f>
        <v/>
      </c>
      <c r="AU244">
        <f>P244/Schema_v5!$C8</f>
        <v/>
      </c>
      <c r="AV244">
        <f>IF(Schema_v5!$C9=0,0,AH244/Schema_v5!$C9)</f>
        <v/>
      </c>
      <c r="AW244">
        <f>IF(Schema_v5!$C10=0,0,AE244/Schema_v5!$C10)</f>
        <v/>
      </c>
      <c r="AX244">
        <f>(W244-Schema_v5!$C11)/(Schema_v5!$C12-Schema_v5!$C11)</f>
        <v/>
      </c>
      <c r="AY244">
        <f>(X244-Schema_v5!$C13)/(Schema_v5!$C14-Schema_v5!$C13)</f>
        <v/>
      </c>
    </row>
    <row r="245">
      <c r="A245" s="3" t="inlineStr">
        <is>
          <t>Q49_D</t>
        </is>
      </c>
      <c r="B245" s="3" t="n">
        <v>49</v>
      </c>
      <c r="C245" s="3" t="n">
        <v>49</v>
      </c>
      <c r="D245" s="3" t="inlineStr">
        <is>
          <t>Core</t>
        </is>
      </c>
      <c r="E245" s="3" t="n">
        <v>1.4</v>
      </c>
      <c r="F245" s="3" t="inlineStr">
        <is>
          <t>EmotionalNeeds</t>
        </is>
      </c>
      <c r="G245" s="3" t="inlineStr">
        <is>
          <t>IntimacyThreshold</t>
        </is>
      </c>
      <c r="H245" s="3" t="inlineStr"/>
      <c r="I245" s="3" t="inlineStr">
        <is>
          <t>D</t>
        </is>
      </c>
      <c r="J245" s="3" t="inlineStr">
        <is>
          <t>D</t>
        </is>
      </c>
      <c r="K245" s="3" t="inlineStr">
        <is>
          <t>The peace of being invisible. No demands, no chaos, just quiet.</t>
        </is>
      </c>
      <c r="L245" s="3" t="n">
        <v>8</v>
      </c>
      <c r="M245" s="3" t="n">
        <v>9</v>
      </c>
      <c r="N245" s="3" t="n">
        <v>4</v>
      </c>
      <c r="O245" s="3" t="n">
        <v>6</v>
      </c>
      <c r="P245" s="3" t="n">
        <v>2</v>
      </c>
      <c r="Q245" s="3" t="inlineStr">
        <is>
          <t>Icebox</t>
        </is>
      </c>
      <c r="R245" s="3" t="n">
        <v>1</v>
      </c>
      <c r="S245" s="3" t="inlineStr"/>
      <c r="T245" s="3" t="inlineStr"/>
      <c r="U245" s="3" t="n">
        <v>0</v>
      </c>
      <c r="V245" s="3" t="inlineStr">
        <is>
          <t>masc:1.8;fem:-1.6</t>
        </is>
      </c>
      <c r="W245" s="3" t="n">
        <v>1.8</v>
      </c>
      <c r="X245" s="3" t="n">
        <v>-1.6</v>
      </c>
      <c r="Y245" s="3" t="inlineStr">
        <is>
          <t>COMM_Avoidant</t>
        </is>
      </c>
      <c r="Z245" s="3" t="inlineStr">
        <is>
          <t>REG_Suppressor</t>
        </is>
      </c>
      <c r="AA245" s="3" t="inlineStr">
        <is>
          <t>LANG_Time</t>
        </is>
      </c>
      <c r="AB245" s="3" t="inlineStr"/>
      <c r="AC245" s="3" t="inlineStr"/>
      <c r="AD245" s="3" t="inlineStr"/>
      <c r="AE245" s="3" t="n">
        <v>0</v>
      </c>
      <c r="AF245" s="3" t="inlineStr">
        <is>
          <t>safety through distance</t>
        </is>
      </c>
      <c r="AG245" s="3" t="inlineStr">
        <is>
          <t>presence minimizer</t>
        </is>
      </c>
      <c r="AH245" s="3" t="n">
        <v>0</v>
      </c>
      <c r="AI245" s="3" t="inlineStr">
        <is>
          <t>no</t>
        </is>
      </c>
      <c r="AJ245" s="3" t="inlineStr">
        <is>
          <t>no</t>
        </is>
      </c>
      <c r="AK245" s="3" t="inlineStr">
        <is>
          <t>no</t>
        </is>
      </c>
      <c r="AL245" s="3" t="inlineStr">
        <is>
          <t>no</t>
        </is>
      </c>
      <c r="AM245" s="3" t="inlineStr"/>
      <c r="AN245" s="3" t="inlineStr"/>
      <c r="AO245" s="3" t="inlineStr"/>
      <c r="AP245" s="3" t="inlineStr">
        <is>
          <t>v3_2026-03-19</t>
        </is>
      </c>
      <c r="AQ245">
        <f>(L245-Schema_v5!$C2)/(Schema_v5!$C3-Schema_v5!$C2)</f>
        <v/>
      </c>
      <c r="AR245">
        <f>(M245-Schema_v5!$C4)/(Schema_v5!$C5-Schema_v5!$C4)</f>
        <v/>
      </c>
      <c r="AS245">
        <f>N245/Schema_v5!$C6</f>
        <v/>
      </c>
      <c r="AT245">
        <f>O245/Schema_v5!$C7</f>
        <v/>
      </c>
      <c r="AU245">
        <f>P245/Schema_v5!$C8</f>
        <v/>
      </c>
      <c r="AV245">
        <f>IF(Schema_v5!$C9=0,0,AH245/Schema_v5!$C9)</f>
        <v/>
      </c>
      <c r="AW245">
        <f>IF(Schema_v5!$C10=0,0,AE245/Schema_v5!$C10)</f>
        <v/>
      </c>
      <c r="AX245">
        <f>(W245-Schema_v5!$C11)/(Schema_v5!$C12-Schema_v5!$C11)</f>
        <v/>
      </c>
      <c r="AY245">
        <f>(X245-Schema_v5!$C13)/(Schema_v5!$C14-Schema_v5!$C13)</f>
        <v/>
      </c>
    </row>
    <row r="246">
      <c r="A246" s="3" t="inlineStr">
        <is>
          <t>Q49_E</t>
        </is>
      </c>
      <c r="B246" s="3" t="n">
        <v>49</v>
      </c>
      <c r="C246" s="3" t="n">
        <v>49</v>
      </c>
      <c r="D246" s="3" t="inlineStr">
        <is>
          <t>Core</t>
        </is>
      </c>
      <c r="E246" s="3" t="n">
        <v>1.4</v>
      </c>
      <c r="F246" s="3" t="inlineStr">
        <is>
          <t>EmotionalNeeds</t>
        </is>
      </c>
      <c r="G246" s="3" t="inlineStr">
        <is>
          <t>IntimacyThreshold</t>
        </is>
      </c>
      <c r="H246" s="3" t="inlineStr"/>
      <c r="I246" s="3" t="inlineStr">
        <is>
          <t>E</t>
        </is>
      </c>
      <c r="J246" s="3" t="inlineStr">
        <is>
          <t>E</t>
        </is>
      </c>
      <c r="K246" s="3" t="inlineStr">
        <is>
          <t>The hope that this time, someone might actually stay long enough to prove me wrong.</t>
        </is>
      </c>
      <c r="L246" s="3" t="n">
        <v>9</v>
      </c>
      <c r="M246" s="3" t="n">
        <v>9</v>
      </c>
      <c r="N246" s="3" t="n">
        <v>8</v>
      </c>
      <c r="O246" s="3" t="n">
        <v>8</v>
      </c>
      <c r="P246" s="3" t="n">
        <v>6</v>
      </c>
      <c r="Q246" s="3" t="inlineStr">
        <is>
          <t>Romantic Idealist</t>
        </is>
      </c>
      <c r="R246" s="3" t="n">
        <v>6</v>
      </c>
      <c r="S246" s="3" t="inlineStr"/>
      <c r="T246" s="3" t="inlineStr"/>
      <c r="U246" s="3" t="n">
        <v>0</v>
      </c>
      <c r="V246" s="3" t="inlineStr">
        <is>
          <t>masc:-0.4;fem:1.5</t>
        </is>
      </c>
      <c r="W246" s="3" t="n">
        <v>-0.4</v>
      </c>
      <c r="X246" s="3" t="n">
        <v>1.5</v>
      </c>
      <c r="Y246" s="3" t="inlineStr">
        <is>
          <t>COMM_Emotional</t>
        </is>
      </c>
      <c r="Z246" s="3" t="inlineStr">
        <is>
          <t>REG_Distractor</t>
        </is>
      </c>
      <c r="AA246" s="3" t="inlineStr">
        <is>
          <t>LANG_Gifts</t>
        </is>
      </c>
      <c r="AB246" s="3" t="inlineStr"/>
      <c r="AC246" s="3" t="inlineStr"/>
      <c r="AD246" s="3" t="inlineStr"/>
      <c r="AE246" s="3" t="n">
        <v>0</v>
      </c>
      <c r="AF246" s="3" t="inlineStr">
        <is>
          <t>redemption fantasy loop</t>
        </is>
      </c>
      <c r="AG246" s="3" t="inlineStr">
        <is>
          <t>hopeful believer</t>
        </is>
      </c>
      <c r="AH246" s="3" t="n">
        <v>0</v>
      </c>
      <c r="AI246" s="3" t="inlineStr">
        <is>
          <t>no</t>
        </is>
      </c>
      <c r="AJ246" s="3" t="inlineStr">
        <is>
          <t>no</t>
        </is>
      </c>
      <c r="AK246" s="3" t="inlineStr">
        <is>
          <t>no</t>
        </is>
      </c>
      <c r="AL246" s="3" t="inlineStr">
        <is>
          <t>no</t>
        </is>
      </c>
      <c r="AM246" s="3" t="inlineStr"/>
      <c r="AN246" s="3" t="inlineStr"/>
      <c r="AO246" s="3" t="inlineStr"/>
      <c r="AP246" s="3" t="inlineStr">
        <is>
          <t>v3_2026-03-19</t>
        </is>
      </c>
      <c r="AQ246">
        <f>(L246-Schema_v5!$C2)/(Schema_v5!$C3-Schema_v5!$C2)</f>
        <v/>
      </c>
      <c r="AR246">
        <f>(M246-Schema_v5!$C4)/(Schema_v5!$C5-Schema_v5!$C4)</f>
        <v/>
      </c>
      <c r="AS246">
        <f>N246/Schema_v5!$C6</f>
        <v/>
      </c>
      <c r="AT246">
        <f>O246/Schema_v5!$C7</f>
        <v/>
      </c>
      <c r="AU246">
        <f>P246/Schema_v5!$C8</f>
        <v/>
      </c>
      <c r="AV246">
        <f>IF(Schema_v5!$C9=0,0,AH246/Schema_v5!$C9)</f>
        <v/>
      </c>
      <c r="AW246">
        <f>IF(Schema_v5!$C10=0,0,AE246/Schema_v5!$C10)</f>
        <v/>
      </c>
      <c r="AX246">
        <f>(W246-Schema_v5!$C11)/(Schema_v5!$C12-Schema_v5!$C11)</f>
        <v/>
      </c>
      <c r="AY246">
        <f>(X246-Schema_v5!$C13)/(Schema_v5!$C14-Schema_v5!$C13)</f>
        <v/>
      </c>
    </row>
    <row r="247">
      <c r="A247" s="3" t="inlineStr">
        <is>
          <t>Q50_A</t>
        </is>
      </c>
      <c r="B247" s="3" t="n">
        <v>50</v>
      </c>
      <c r="C247" s="3" t="n">
        <v>50</v>
      </c>
      <c r="D247" s="3" t="inlineStr">
        <is>
          <t>Core</t>
        </is>
      </c>
      <c r="E247" s="3" t="n">
        <v>1.4</v>
      </c>
      <c r="F247" s="3" t="inlineStr">
        <is>
          <t>EmotionalNeeds</t>
        </is>
      </c>
      <c r="G247" s="3" t="inlineStr">
        <is>
          <t>IntimacyThreshold</t>
        </is>
      </c>
      <c r="H247" s="3" t="inlineStr">
        <is>
          <t>Someone loves you deeply. Sees your flaws. Stays anyway. What scares you most about letting that kind of love in?</t>
        </is>
      </c>
      <c r="I247" s="3" t="inlineStr">
        <is>
          <t>A</t>
        </is>
      </c>
      <c r="J247" s="3" t="inlineStr">
        <is>
          <t>A</t>
        </is>
      </c>
      <c r="K247" s="3" t="inlineStr">
        <is>
          <t>That I'll get used to it... and then lose it. I don't survive things twice.</t>
        </is>
      </c>
      <c r="L247" s="3" t="n">
        <v>6</v>
      </c>
      <c r="M247" s="3" t="n">
        <v>7</v>
      </c>
      <c r="N247" s="3" t="n">
        <v>4</v>
      </c>
      <c r="O247" s="3" t="n">
        <v>6</v>
      </c>
      <c r="P247" s="3" t="n">
        <v>4</v>
      </c>
      <c r="Q247" s="3" t="inlineStr">
        <is>
          <t>Survivor</t>
        </is>
      </c>
      <c r="R247" s="3" t="n">
        <v>1</v>
      </c>
      <c r="S247" s="3" t="inlineStr"/>
      <c r="T247" s="3" t="inlineStr"/>
      <c r="U247" s="3" t="n">
        <v>0</v>
      </c>
      <c r="V247" s="3" t="inlineStr">
        <is>
          <t>masc:0.3;fem:1.3</t>
        </is>
      </c>
      <c r="W247" s="3" t="n">
        <v>0.3</v>
      </c>
      <c r="X247" s="3" t="n">
        <v>1.3</v>
      </c>
      <c r="Y247" s="3" t="inlineStr">
        <is>
          <t>COMM_Emotional</t>
        </is>
      </c>
      <c r="Z247" s="3" t="inlineStr">
        <is>
          <t>REG_SelfSoother</t>
        </is>
      </c>
      <c r="AA247" s="3" t="inlineStr">
        <is>
          <t>LANG_Service</t>
        </is>
      </c>
      <c r="AB247" s="3" t="inlineStr">
        <is>
          <t>Vulnerability_Loop</t>
        </is>
      </c>
      <c r="AC247" s="3" t="inlineStr">
        <is>
          <t>Vulnerability_Loop</t>
        </is>
      </c>
      <c r="AD247" s="3" t="inlineStr"/>
      <c r="AE247" s="3" t="n">
        <v>5</v>
      </c>
      <c r="AF247" s="3" t="inlineStr">
        <is>
          <t>abandonment after safety</t>
        </is>
      </c>
      <c r="AG247" s="3" t="inlineStr">
        <is>
          <t>loss avoider</t>
        </is>
      </c>
      <c r="AH247" s="3" t="n">
        <v>0.2</v>
      </c>
      <c r="AI247" s="3" t="inlineStr">
        <is>
          <t>yes</t>
        </is>
      </c>
      <c r="AJ247" s="3" t="inlineStr">
        <is>
          <t>no</t>
        </is>
      </c>
      <c r="AK247" s="3" t="inlineStr">
        <is>
          <t>no</t>
        </is>
      </c>
      <c r="AL247" s="3" t="inlineStr">
        <is>
          <t>no</t>
        </is>
      </c>
      <c r="AM247" s="3" t="inlineStr"/>
      <c r="AN247" s="3" t="inlineStr"/>
      <c r="AO247" s="3" t="inlineStr"/>
      <c r="AP247" s="3" t="inlineStr">
        <is>
          <t>v3_2026-03-19</t>
        </is>
      </c>
      <c r="AQ247">
        <f>(L247-Schema_v5!$C2)/(Schema_v5!$C3-Schema_v5!$C2)</f>
        <v/>
      </c>
      <c r="AR247">
        <f>(M247-Schema_v5!$C4)/(Schema_v5!$C5-Schema_v5!$C4)</f>
        <v/>
      </c>
      <c r="AS247">
        <f>N247/Schema_v5!$C6</f>
        <v/>
      </c>
      <c r="AT247">
        <f>O247/Schema_v5!$C7</f>
        <v/>
      </c>
      <c r="AU247">
        <f>P247/Schema_v5!$C8</f>
        <v/>
      </c>
      <c r="AV247">
        <f>IF(Schema_v5!$C9=0,0,AH247/Schema_v5!$C9)</f>
        <v/>
      </c>
      <c r="AW247">
        <f>IF(Schema_v5!$C10=0,0,AE247/Schema_v5!$C10)</f>
        <v/>
      </c>
      <c r="AX247">
        <f>(W247-Schema_v5!$C11)/(Schema_v5!$C12-Schema_v5!$C11)</f>
        <v/>
      </c>
      <c r="AY247">
        <f>(X247-Schema_v5!$C13)/(Schema_v5!$C14-Schema_v5!$C13)</f>
        <v/>
      </c>
    </row>
    <row r="248">
      <c r="A248" s="3" t="inlineStr">
        <is>
          <t>Q50_B</t>
        </is>
      </c>
      <c r="B248" s="3" t="n">
        <v>50</v>
      </c>
      <c r="C248" s="3" t="n">
        <v>50</v>
      </c>
      <c r="D248" s="3" t="inlineStr">
        <is>
          <t>Core</t>
        </is>
      </c>
      <c r="E248" s="3" t="n">
        <v>1.4</v>
      </c>
      <c r="F248" s="3" t="inlineStr">
        <is>
          <t>EmotionalNeeds</t>
        </is>
      </c>
      <c r="G248" s="3" t="inlineStr">
        <is>
          <t>IntimacyThreshold</t>
        </is>
      </c>
      <c r="H248" s="3" t="inlineStr"/>
      <c r="I248" s="3" t="inlineStr">
        <is>
          <t>B</t>
        </is>
      </c>
      <c r="J248" s="3" t="inlineStr">
        <is>
          <t>B</t>
        </is>
      </c>
      <c r="K248" s="3" t="inlineStr">
        <is>
          <t>That they'll see the real me and change their mind. I always feel like I'm on borrowed time.</t>
        </is>
      </c>
      <c r="L248" s="3" t="n">
        <v>4</v>
      </c>
      <c r="M248" s="3" t="n">
        <v>5</v>
      </c>
      <c r="N248" s="3" t="n">
        <v>2</v>
      </c>
      <c r="O248" s="3" t="n">
        <v>2</v>
      </c>
      <c r="P248" s="3" t="n">
        <v>0</v>
      </c>
      <c r="Q248" s="3" t="inlineStr">
        <is>
          <t>Phantom Seeker</t>
        </is>
      </c>
      <c r="R248" s="3" t="n">
        <v>10</v>
      </c>
      <c r="S248" s="3" t="inlineStr"/>
      <c r="T248" s="3" t="inlineStr"/>
      <c r="U248" s="3" t="n">
        <v>0</v>
      </c>
      <c r="V248" s="3" t="inlineStr">
        <is>
          <t>masc:-0.2;fem:1.5</t>
        </is>
      </c>
      <c r="W248" s="3" t="n">
        <v>-0.2</v>
      </c>
      <c r="X248" s="3" t="n">
        <v>1.5</v>
      </c>
      <c r="Y248" s="3" t="inlineStr">
        <is>
          <t>COMM_Emotional</t>
        </is>
      </c>
      <c r="Z248" s="3" t="inlineStr">
        <is>
          <t>REG_SelfSoother</t>
        </is>
      </c>
      <c r="AA248" s="3" t="inlineStr">
        <is>
          <t>LANG_Touch</t>
        </is>
      </c>
      <c r="AB248" s="3" t="inlineStr">
        <is>
          <t>Vulnerability_Loop</t>
        </is>
      </c>
      <c r="AC248" s="3" t="inlineStr">
        <is>
          <t>Vulnerability_Loop</t>
        </is>
      </c>
      <c r="AD248" s="3" t="inlineStr"/>
      <c r="AE248" s="3" t="n">
        <v>5</v>
      </c>
      <c r="AF248" s="3" t="inlineStr">
        <is>
          <t>imposter in intimacy</t>
        </is>
      </c>
      <c r="AG248" s="3" t="inlineStr">
        <is>
          <t>worth doubter</t>
        </is>
      </c>
      <c r="AH248" s="3" t="n">
        <v>0</v>
      </c>
      <c r="AI248" s="3" t="inlineStr">
        <is>
          <t>yes</t>
        </is>
      </c>
      <c r="AJ248" s="3" t="inlineStr">
        <is>
          <t>no</t>
        </is>
      </c>
      <c r="AK248" s="3" t="inlineStr">
        <is>
          <t>no</t>
        </is>
      </c>
      <c r="AL248" s="3" t="inlineStr">
        <is>
          <t>no</t>
        </is>
      </c>
      <c r="AM248" s="3" t="inlineStr"/>
      <c r="AN248" s="3" t="inlineStr"/>
      <c r="AO248" s="3" t="inlineStr"/>
      <c r="AP248" s="3" t="inlineStr">
        <is>
          <t>v3_2026-03-19</t>
        </is>
      </c>
      <c r="AQ248">
        <f>(L248-Schema_v5!$C2)/(Schema_v5!$C3-Schema_v5!$C2)</f>
        <v/>
      </c>
      <c r="AR248">
        <f>(M248-Schema_v5!$C4)/(Schema_v5!$C5-Schema_v5!$C4)</f>
        <v/>
      </c>
      <c r="AS248">
        <f>N248/Schema_v5!$C6</f>
        <v/>
      </c>
      <c r="AT248">
        <f>O248/Schema_v5!$C7</f>
        <v/>
      </c>
      <c r="AU248">
        <f>P248/Schema_v5!$C8</f>
        <v/>
      </c>
      <c r="AV248">
        <f>IF(Schema_v5!$C9=0,0,AH248/Schema_v5!$C9)</f>
        <v/>
      </c>
      <c r="AW248">
        <f>IF(Schema_v5!$C10=0,0,AE248/Schema_v5!$C10)</f>
        <v/>
      </c>
      <c r="AX248">
        <f>(W248-Schema_v5!$C11)/(Schema_v5!$C12-Schema_v5!$C11)</f>
        <v/>
      </c>
      <c r="AY248">
        <f>(X248-Schema_v5!$C13)/(Schema_v5!$C14-Schema_v5!$C13)</f>
        <v/>
      </c>
    </row>
    <row r="249">
      <c r="A249" s="3" t="inlineStr">
        <is>
          <t>Q50_C</t>
        </is>
      </c>
      <c r="B249" s="3" t="n">
        <v>50</v>
      </c>
      <c r="C249" s="3" t="n">
        <v>50</v>
      </c>
      <c r="D249" s="3" t="inlineStr">
        <is>
          <t>Core</t>
        </is>
      </c>
      <c r="E249" s="3" t="n">
        <v>1.4</v>
      </c>
      <c r="F249" s="3" t="inlineStr">
        <is>
          <t>EmotionalNeeds</t>
        </is>
      </c>
      <c r="G249" s="3" t="inlineStr">
        <is>
          <t>IntimacyThreshold</t>
        </is>
      </c>
      <c r="H249" s="3" t="inlineStr"/>
      <c r="I249" s="3" t="inlineStr">
        <is>
          <t>C</t>
        </is>
      </c>
      <c r="J249" s="3" t="inlineStr">
        <is>
          <t>C</t>
        </is>
      </c>
      <c r="K249" s="3" t="inlineStr">
        <is>
          <t>That I'll owe them softness forever. I don't know how to stay open without feeling exposed.</t>
        </is>
      </c>
      <c r="L249" s="3" t="n">
        <v>7</v>
      </c>
      <c r="M249" s="3" t="n">
        <v>8</v>
      </c>
      <c r="N249" s="3" t="n">
        <v>4</v>
      </c>
      <c r="O249" s="3" t="n">
        <v>4</v>
      </c>
      <c r="P249" s="3" t="n">
        <v>0</v>
      </c>
      <c r="Q249" s="3" t="inlineStr">
        <is>
          <t>Icebox</t>
        </is>
      </c>
      <c r="R249" s="3" t="n">
        <v>1</v>
      </c>
      <c r="S249" s="3" t="inlineStr"/>
      <c r="T249" s="3" t="inlineStr"/>
      <c r="U249" s="3" t="n">
        <v>0</v>
      </c>
      <c r="V249" s="3" t="inlineStr">
        <is>
          <t>masc:1.8;fem:-1.6</t>
        </is>
      </c>
      <c r="W249" s="3" t="n">
        <v>1.8</v>
      </c>
      <c r="X249" s="3" t="n">
        <v>-1.6</v>
      </c>
      <c r="Y249" s="3" t="inlineStr">
        <is>
          <t>COMM_Avoidant</t>
        </is>
      </c>
      <c r="Z249" s="3" t="inlineStr">
        <is>
          <t>REG_Suppressor</t>
        </is>
      </c>
      <c r="AA249" s="3" t="inlineStr">
        <is>
          <t>LANG_Time</t>
        </is>
      </c>
      <c r="AB249" s="3" t="inlineStr"/>
      <c r="AC249" s="3" t="inlineStr"/>
      <c r="AD249" s="3" t="inlineStr"/>
      <c r="AE249" s="3" t="n">
        <v>0</v>
      </c>
      <c r="AF249" s="3" t="inlineStr">
        <is>
          <t>vulnerability debt</t>
        </is>
      </c>
      <c r="AG249" s="3" t="inlineStr">
        <is>
          <t>emotional limiter</t>
        </is>
      </c>
      <c r="AH249" s="3" t="n">
        <v>0</v>
      </c>
      <c r="AI249" s="3" t="inlineStr">
        <is>
          <t>no</t>
        </is>
      </c>
      <c r="AJ249" s="3" t="inlineStr">
        <is>
          <t>no</t>
        </is>
      </c>
      <c r="AK249" s="3" t="inlineStr">
        <is>
          <t>no</t>
        </is>
      </c>
      <c r="AL249" s="3" t="inlineStr">
        <is>
          <t>no</t>
        </is>
      </c>
      <c r="AM249" s="3" t="inlineStr"/>
      <c r="AN249" s="3" t="inlineStr"/>
      <c r="AO249" s="3" t="inlineStr"/>
      <c r="AP249" s="3" t="inlineStr">
        <is>
          <t>v3_2026-03-19</t>
        </is>
      </c>
      <c r="AQ249">
        <f>(L249-Schema_v5!$C2)/(Schema_v5!$C3-Schema_v5!$C2)</f>
        <v/>
      </c>
      <c r="AR249">
        <f>(M249-Schema_v5!$C4)/(Schema_v5!$C5-Schema_v5!$C4)</f>
        <v/>
      </c>
      <c r="AS249">
        <f>N249/Schema_v5!$C6</f>
        <v/>
      </c>
      <c r="AT249">
        <f>O249/Schema_v5!$C7</f>
        <v/>
      </c>
      <c r="AU249">
        <f>P249/Schema_v5!$C8</f>
        <v/>
      </c>
      <c r="AV249">
        <f>IF(Schema_v5!$C9=0,0,AH249/Schema_v5!$C9)</f>
        <v/>
      </c>
      <c r="AW249">
        <f>IF(Schema_v5!$C10=0,0,AE249/Schema_v5!$C10)</f>
        <v/>
      </c>
      <c r="AX249">
        <f>(W249-Schema_v5!$C11)/(Schema_v5!$C12-Schema_v5!$C11)</f>
        <v/>
      </c>
      <c r="AY249">
        <f>(X249-Schema_v5!$C13)/(Schema_v5!$C14-Schema_v5!$C13)</f>
        <v/>
      </c>
    </row>
    <row r="250">
      <c r="A250" s="3" t="inlineStr">
        <is>
          <t>Q50_D</t>
        </is>
      </c>
      <c r="B250" s="3" t="n">
        <v>50</v>
      </c>
      <c r="C250" s="3" t="n">
        <v>50</v>
      </c>
      <c r="D250" s="3" t="inlineStr">
        <is>
          <t>Core</t>
        </is>
      </c>
      <c r="E250" s="3" t="n">
        <v>1.4</v>
      </c>
      <c r="F250" s="3" t="inlineStr">
        <is>
          <t>EmotionalNeeds</t>
        </is>
      </c>
      <c r="G250" s="3" t="inlineStr">
        <is>
          <t>IntimacyThreshold</t>
        </is>
      </c>
      <c r="H250" s="3" t="inlineStr"/>
      <c r="I250" s="3" t="inlineStr">
        <is>
          <t>D</t>
        </is>
      </c>
      <c r="J250" s="3" t="inlineStr">
        <is>
          <t>D</t>
        </is>
      </c>
      <c r="K250" s="3" t="inlineStr">
        <is>
          <t>That I'll mess it up. I take on so much, but I don't always know how to receive.</t>
        </is>
      </c>
      <c r="L250" s="3" t="n">
        <v>8</v>
      </c>
      <c r="M250" s="3" t="n">
        <v>9</v>
      </c>
      <c r="N250" s="3" t="n">
        <v>8</v>
      </c>
      <c r="O250" s="3" t="n">
        <v>10</v>
      </c>
      <c r="P250" s="3" t="n">
        <v>8</v>
      </c>
      <c r="Q250" s="3" t="inlineStr">
        <is>
          <t>Fixer</t>
        </is>
      </c>
      <c r="R250" s="3" t="n">
        <v>5</v>
      </c>
      <c r="S250" s="3" t="inlineStr"/>
      <c r="T250" s="3" t="inlineStr"/>
      <c r="U250" s="3" t="n">
        <v>0</v>
      </c>
      <c r="V250" s="3" t="inlineStr">
        <is>
          <t>masc:-0.4;fem:2.0</t>
        </is>
      </c>
      <c r="W250" s="3" t="n">
        <v>-0.4</v>
      </c>
      <c r="X250" s="3" t="n">
        <v>2</v>
      </c>
      <c r="Y250" s="3" t="inlineStr">
        <is>
          <t>COMM_Emotional</t>
        </is>
      </c>
      <c r="Z250" s="3" t="inlineStr">
        <is>
          <t>REG_CoRegulator</t>
        </is>
      </c>
      <c r="AA250" s="3" t="inlineStr">
        <is>
          <t>LANG_Service</t>
        </is>
      </c>
      <c r="AB250" s="3" t="inlineStr"/>
      <c r="AC250" s="3" t="inlineStr"/>
      <c r="AD250" s="3" t="inlineStr"/>
      <c r="AE250" s="3" t="n">
        <v>0</v>
      </c>
      <c r="AF250" s="3" t="inlineStr">
        <is>
          <t>love with no exit plan</t>
        </is>
      </c>
      <c r="AG250" s="3" t="inlineStr">
        <is>
          <t>overfunctioning partner</t>
        </is>
      </c>
      <c r="AH250" s="3" t="n">
        <v>0</v>
      </c>
      <c r="AI250" s="3" t="inlineStr">
        <is>
          <t>no</t>
        </is>
      </c>
      <c r="AJ250" s="3" t="inlineStr">
        <is>
          <t>no</t>
        </is>
      </c>
      <c r="AK250" s="3" t="inlineStr">
        <is>
          <t>no</t>
        </is>
      </c>
      <c r="AL250" s="3" t="inlineStr">
        <is>
          <t>no</t>
        </is>
      </c>
      <c r="AM250" s="3" t="inlineStr"/>
      <c r="AN250" s="3" t="inlineStr"/>
      <c r="AO250" s="3" t="inlineStr"/>
      <c r="AP250" s="3" t="inlineStr">
        <is>
          <t>v3_2026-03-19</t>
        </is>
      </c>
      <c r="AQ250">
        <f>(L250-Schema_v5!$C2)/(Schema_v5!$C3-Schema_v5!$C2)</f>
        <v/>
      </c>
      <c r="AR250">
        <f>(M250-Schema_v5!$C4)/(Schema_v5!$C5-Schema_v5!$C4)</f>
        <v/>
      </c>
      <c r="AS250">
        <f>N250/Schema_v5!$C6</f>
        <v/>
      </c>
      <c r="AT250">
        <f>O250/Schema_v5!$C7</f>
        <v/>
      </c>
      <c r="AU250">
        <f>P250/Schema_v5!$C8</f>
        <v/>
      </c>
      <c r="AV250">
        <f>IF(Schema_v5!$C9=0,0,AH250/Schema_v5!$C9)</f>
        <v/>
      </c>
      <c r="AW250">
        <f>IF(Schema_v5!$C10=0,0,AE250/Schema_v5!$C10)</f>
        <v/>
      </c>
      <c r="AX250">
        <f>(W250-Schema_v5!$C11)/(Schema_v5!$C12-Schema_v5!$C11)</f>
        <v/>
      </c>
      <c r="AY250">
        <f>(X250-Schema_v5!$C13)/(Schema_v5!$C14-Schema_v5!$C13)</f>
        <v/>
      </c>
    </row>
    <row r="251">
      <c r="A251" s="3" t="inlineStr">
        <is>
          <t>Q50_E</t>
        </is>
      </c>
      <c r="B251" s="3" t="n">
        <v>50</v>
      </c>
      <c r="C251" s="3" t="n">
        <v>50</v>
      </c>
      <c r="D251" s="3" t="inlineStr">
        <is>
          <t>Core</t>
        </is>
      </c>
      <c r="E251" s="3" t="n">
        <v>1.4</v>
      </c>
      <c r="F251" s="3" t="inlineStr">
        <is>
          <t>EmotionalNeeds</t>
        </is>
      </c>
      <c r="G251" s="3" t="inlineStr">
        <is>
          <t>IntimacyThreshold</t>
        </is>
      </c>
      <c r="H251" s="3" t="inlineStr"/>
      <c r="I251" s="3" t="inlineStr">
        <is>
          <t>E</t>
        </is>
      </c>
      <c r="J251" s="3" t="inlineStr">
        <is>
          <t>E</t>
        </is>
      </c>
      <c r="K251" s="3" t="inlineStr">
        <is>
          <t>That it won't last. Even good things leave. Even love like that.</t>
        </is>
      </c>
      <c r="L251" s="3" t="n">
        <v>9</v>
      </c>
      <c r="M251" s="3" t="n">
        <v>9</v>
      </c>
      <c r="N251" s="3" t="n">
        <v>8</v>
      </c>
      <c r="O251" s="3" t="n">
        <v>8</v>
      </c>
      <c r="P251" s="3" t="n">
        <v>6</v>
      </c>
      <c r="Q251" s="3" t="inlineStr">
        <is>
          <t>Romantic Idealist</t>
        </is>
      </c>
      <c r="R251" s="3" t="n">
        <v>6</v>
      </c>
      <c r="S251" s="3" t="inlineStr"/>
      <c r="T251" s="3" t="inlineStr"/>
      <c r="U251" s="3" t="n">
        <v>0</v>
      </c>
      <c r="V251" s="3" t="inlineStr">
        <is>
          <t>masc:-0.4;fem:1.5</t>
        </is>
      </c>
      <c r="W251" s="3" t="n">
        <v>-0.4</v>
      </c>
      <c r="X251" s="3" t="n">
        <v>1.5</v>
      </c>
      <c r="Y251" s="3" t="inlineStr">
        <is>
          <t>COMM_Emotional</t>
        </is>
      </c>
      <c r="Z251" s="3" t="inlineStr">
        <is>
          <t>REG_Distractor</t>
        </is>
      </c>
      <c r="AA251" s="3" t="inlineStr">
        <is>
          <t>LANG_Gifts</t>
        </is>
      </c>
      <c r="AB251" s="3" t="inlineStr"/>
      <c r="AC251" s="3" t="inlineStr"/>
      <c r="AD251" s="3" t="inlineStr"/>
      <c r="AE251" s="3" t="n">
        <v>0</v>
      </c>
      <c r="AF251" s="3" t="inlineStr">
        <is>
          <t>hope tainted by history</t>
        </is>
      </c>
      <c r="AG251" s="3" t="inlineStr">
        <is>
          <t>cautious romantic</t>
        </is>
      </c>
      <c r="AH251" s="3" t="n">
        <v>0</v>
      </c>
      <c r="AI251" s="3" t="inlineStr">
        <is>
          <t>no</t>
        </is>
      </c>
      <c r="AJ251" s="3" t="inlineStr">
        <is>
          <t>no</t>
        </is>
      </c>
      <c r="AK251" s="3" t="inlineStr">
        <is>
          <t>no</t>
        </is>
      </c>
      <c r="AL251" s="3" t="inlineStr">
        <is>
          <t>no</t>
        </is>
      </c>
      <c r="AM251" s="3" t="inlineStr"/>
      <c r="AN251" s="3" t="inlineStr"/>
      <c r="AO251" s="3" t="inlineStr"/>
      <c r="AP251" s="3" t="inlineStr">
        <is>
          <t>v3_2026-03-19</t>
        </is>
      </c>
      <c r="AQ251">
        <f>(L251-Schema_v5!$C2)/(Schema_v5!$C3-Schema_v5!$C2)</f>
        <v/>
      </c>
      <c r="AR251">
        <f>(M251-Schema_v5!$C4)/(Schema_v5!$C5-Schema_v5!$C4)</f>
        <v/>
      </c>
      <c r="AS251">
        <f>N251/Schema_v5!$C6</f>
        <v/>
      </c>
      <c r="AT251">
        <f>O251/Schema_v5!$C7</f>
        <v/>
      </c>
      <c r="AU251">
        <f>P251/Schema_v5!$C8</f>
        <v/>
      </c>
      <c r="AV251">
        <f>IF(Schema_v5!$C9=0,0,AH251/Schema_v5!$C9)</f>
        <v/>
      </c>
      <c r="AW251">
        <f>IF(Schema_v5!$C10=0,0,AE251/Schema_v5!$C10)</f>
        <v/>
      </c>
      <c r="AX251">
        <f>(W251-Schema_v5!$C11)/(Schema_v5!$C12-Schema_v5!$C11)</f>
        <v/>
      </c>
      <c r="AY251">
        <f>(X251-Schema_v5!$C13)/(Schema_v5!$C14-Schema_v5!$C13)</f>
        <v/>
      </c>
    </row>
    <row r="252">
      <c r="A252" s="3" t="inlineStr">
        <is>
          <t>Q51_A</t>
        </is>
      </c>
      <c r="B252" s="3" t="n">
        <v>51</v>
      </c>
      <c r="C252" s="3" t="n">
        <v>100</v>
      </c>
      <c r="D252" s="3" t="inlineStr">
        <is>
          <t>Shadow</t>
        </is>
      </c>
      <c r="E252" s="3" t="n">
        <v>1.3</v>
      </c>
      <c r="F252" s="3" t="inlineStr">
        <is>
          <t>ShadowPattern</t>
        </is>
      </c>
      <c r="G252" s="3" t="inlineStr">
        <is>
          <t>IntegrityRisk</t>
        </is>
      </c>
      <c r="H252" s="3" t="inlineStr">
        <is>
          <t>You realize they like you more than you like them. What do you do?</t>
        </is>
      </c>
      <c r="I252" s="3" t="inlineStr">
        <is>
          <t>A</t>
        </is>
      </c>
      <c r="J252" s="3" t="inlineStr">
        <is>
          <t>A</t>
        </is>
      </c>
      <c r="K252" s="3" t="inlineStr">
        <is>
          <t>I turn it into a game-see how far they'll go.</t>
        </is>
      </c>
      <c r="L252" s="3" t="n">
        <v>4</v>
      </c>
      <c r="M252" s="3" t="inlineStr"/>
      <c r="N252" s="3" t="n">
        <v>4</v>
      </c>
      <c r="O252" s="3" t="n">
        <v>4</v>
      </c>
      <c r="P252" s="3" t="n">
        <v>4</v>
      </c>
      <c r="Q252" s="3" t="inlineStr"/>
      <c r="R252" s="3" t="inlineStr"/>
      <c r="S252" s="3" t="inlineStr">
        <is>
          <t>Manipulator</t>
        </is>
      </c>
      <c r="T252" s="3" t="n">
        <v>1</v>
      </c>
      <c r="U252" s="3" t="n">
        <v>6</v>
      </c>
      <c r="V252" s="3" t="inlineStr">
        <is>
          <t>masc:0.0;fem:0.0</t>
        </is>
      </c>
      <c r="W252" s="3" t="n">
        <v>0</v>
      </c>
      <c r="X252" s="3" t="n">
        <v>0</v>
      </c>
      <c r="Y252" s="3" t="inlineStr"/>
      <c r="Z252" s="3" t="inlineStr"/>
      <c r="AA252" s="3" t="inlineStr"/>
      <c r="AB252" s="3" t="inlineStr"/>
      <c r="AC252" s="3" t="inlineStr"/>
      <c r="AD252" s="3" t="inlineStr"/>
      <c r="AE252" s="3" t="n">
        <v>0</v>
      </c>
      <c r="AF252" s="3" t="inlineStr"/>
      <c r="AG252" s="3" t="inlineStr"/>
      <c r="AH252" s="3" t="n">
        <v>0.6</v>
      </c>
      <c r="AI252" s="3" t="inlineStr">
        <is>
          <t>no</t>
        </is>
      </c>
      <c r="AJ252" s="3" t="inlineStr">
        <is>
          <t>yes</t>
        </is>
      </c>
      <c r="AK252" s="3" t="inlineStr">
        <is>
          <t>no</t>
        </is>
      </c>
      <c r="AL252" s="3" t="inlineStr">
        <is>
          <t>no</t>
        </is>
      </c>
      <c r="AM252" s="3" t="inlineStr"/>
      <c r="AN252" s="3" t="inlineStr"/>
      <c r="AO252" s="3" t="inlineStr"/>
      <c r="AP252" s="3" t="inlineStr">
        <is>
          <t>v3_2026-03-19</t>
        </is>
      </c>
      <c r="AQ252">
        <f>(L252-Schema_v5!$C2)/(Schema_v5!$C3-Schema_v5!$C2)</f>
        <v/>
      </c>
      <c r="AR252">
        <f>(M252-Schema_v5!$C4)/(Schema_v5!$C5-Schema_v5!$C4)</f>
        <v/>
      </c>
      <c r="AS252">
        <f>N252/Schema_v5!$C6</f>
        <v/>
      </c>
      <c r="AT252">
        <f>O252/Schema_v5!$C7</f>
        <v/>
      </c>
      <c r="AU252">
        <f>P252/Schema_v5!$C8</f>
        <v/>
      </c>
      <c r="AV252">
        <f>IF(Schema_v5!$C9=0,0,AH252/Schema_v5!$C9)</f>
        <v/>
      </c>
      <c r="AW252">
        <f>IF(Schema_v5!$C10=0,0,AE252/Schema_v5!$C10)</f>
        <v/>
      </c>
      <c r="AX252">
        <f>(W252-Schema_v5!$C11)/(Schema_v5!$C12-Schema_v5!$C11)</f>
        <v/>
      </c>
      <c r="AY252">
        <f>(X252-Schema_v5!$C13)/(Schema_v5!$C14-Schema_v5!$C13)</f>
        <v/>
      </c>
    </row>
    <row r="253">
      <c r="A253" s="3" t="inlineStr">
        <is>
          <t>Q51_B</t>
        </is>
      </c>
      <c r="B253" s="3" t="n">
        <v>51</v>
      </c>
      <c r="C253" s="3" t="n">
        <v>100</v>
      </c>
      <c r="D253" s="3" t="inlineStr">
        <is>
          <t>Shadow</t>
        </is>
      </c>
      <c r="E253" s="3" t="n">
        <v>1.3</v>
      </c>
      <c r="F253" s="3" t="inlineStr">
        <is>
          <t>ShadowPattern</t>
        </is>
      </c>
      <c r="G253" s="3" t="inlineStr">
        <is>
          <t>IntegrityRisk</t>
        </is>
      </c>
      <c r="H253" s="3" t="inlineStr"/>
      <c r="I253" s="3" t="inlineStr">
        <is>
          <t>B</t>
        </is>
      </c>
      <c r="J253" s="3" t="inlineStr">
        <is>
          <t>B</t>
        </is>
      </c>
      <c r="K253" s="3" t="inlineStr">
        <is>
          <t>I get colder. They'll back off eventually.</t>
        </is>
      </c>
      <c r="L253" s="3" t="n">
        <v>3</v>
      </c>
      <c r="M253" s="3" t="inlineStr"/>
      <c r="N253" s="3" t="n">
        <v>6</v>
      </c>
      <c r="O253" s="3" t="n">
        <v>6</v>
      </c>
      <c r="P253" s="3" t="n">
        <v>6</v>
      </c>
      <c r="Q253" s="3" t="inlineStr"/>
      <c r="R253" s="3" t="inlineStr"/>
      <c r="S253" s="3" t="inlineStr">
        <is>
          <t>Stonewaller</t>
        </is>
      </c>
      <c r="T253" s="3" t="n">
        <v>2</v>
      </c>
      <c r="U253" s="3" t="n">
        <v>4</v>
      </c>
      <c r="V253" s="3" t="inlineStr">
        <is>
          <t>masc:0.0;fem:0.0</t>
        </is>
      </c>
      <c r="W253" s="3" t="n">
        <v>0</v>
      </c>
      <c r="X253" s="3" t="n">
        <v>0</v>
      </c>
      <c r="Y253" s="3" t="inlineStr"/>
      <c r="Z253" s="3" t="inlineStr"/>
      <c r="AA253" s="3" t="inlineStr"/>
      <c r="AB253" s="3" t="inlineStr"/>
      <c r="AC253" s="3" t="inlineStr"/>
      <c r="AD253" s="3" t="inlineStr"/>
      <c r="AE253" s="3" t="n">
        <v>0</v>
      </c>
      <c r="AF253" s="3" t="inlineStr"/>
      <c r="AG253" s="3" t="inlineStr"/>
      <c r="AH253" s="3" t="n">
        <v>1.2</v>
      </c>
      <c r="AI253" s="3" t="inlineStr">
        <is>
          <t>no</t>
        </is>
      </c>
      <c r="AJ253" s="3" t="inlineStr">
        <is>
          <t>yes</t>
        </is>
      </c>
      <c r="AK253" s="3" t="inlineStr">
        <is>
          <t>no</t>
        </is>
      </c>
      <c r="AL253" s="3" t="inlineStr">
        <is>
          <t>no</t>
        </is>
      </c>
      <c r="AM253" s="3" t="inlineStr"/>
      <c r="AN253" s="3" t="inlineStr"/>
      <c r="AO253" s="3" t="inlineStr"/>
      <c r="AP253" s="3" t="inlineStr">
        <is>
          <t>v3_2026-03-19</t>
        </is>
      </c>
      <c r="AQ253">
        <f>(L253-Schema_v5!$C2)/(Schema_v5!$C3-Schema_v5!$C2)</f>
        <v/>
      </c>
      <c r="AR253">
        <f>(M253-Schema_v5!$C4)/(Schema_v5!$C5-Schema_v5!$C4)</f>
        <v/>
      </c>
      <c r="AS253">
        <f>N253/Schema_v5!$C6</f>
        <v/>
      </c>
      <c r="AT253">
        <f>O253/Schema_v5!$C7</f>
        <v/>
      </c>
      <c r="AU253">
        <f>P253/Schema_v5!$C8</f>
        <v/>
      </c>
      <c r="AV253">
        <f>IF(Schema_v5!$C9=0,0,AH253/Schema_v5!$C9)</f>
        <v/>
      </c>
      <c r="AW253">
        <f>IF(Schema_v5!$C10=0,0,AE253/Schema_v5!$C10)</f>
        <v/>
      </c>
      <c r="AX253">
        <f>(W253-Schema_v5!$C11)/(Schema_v5!$C12-Schema_v5!$C11)</f>
        <v/>
      </c>
      <c r="AY253">
        <f>(X253-Schema_v5!$C13)/(Schema_v5!$C14-Schema_v5!$C13)</f>
        <v/>
      </c>
    </row>
    <row r="254">
      <c r="A254" s="3" t="inlineStr">
        <is>
          <t>Q51_C</t>
        </is>
      </c>
      <c r="B254" s="3" t="n">
        <v>51</v>
      </c>
      <c r="C254" s="3" t="n">
        <v>100</v>
      </c>
      <c r="D254" s="3" t="inlineStr">
        <is>
          <t>Shadow</t>
        </is>
      </c>
      <c r="E254" s="3" t="n">
        <v>1.3</v>
      </c>
      <c r="F254" s="3" t="inlineStr">
        <is>
          <t>ShadowPattern</t>
        </is>
      </c>
      <c r="G254" s="3" t="inlineStr">
        <is>
          <t>IntegrityRisk</t>
        </is>
      </c>
      <c r="H254" s="3" t="inlineStr"/>
      <c r="I254" s="3" t="inlineStr">
        <is>
          <t>C</t>
        </is>
      </c>
      <c r="J254" s="3" t="inlineStr">
        <is>
          <t>C</t>
        </is>
      </c>
      <c r="K254" s="3" t="inlineStr">
        <is>
          <t>I say the right things... even if I don't mean them.</t>
        </is>
      </c>
      <c r="L254" s="3" t="n">
        <v>5</v>
      </c>
      <c r="M254" s="3" t="inlineStr"/>
      <c r="N254" s="3" t="n">
        <v>4</v>
      </c>
      <c r="O254" s="3" t="n">
        <v>4</v>
      </c>
      <c r="P254" s="3" t="n">
        <v>4</v>
      </c>
      <c r="Q254" s="3" t="inlineStr"/>
      <c r="R254" s="3" t="inlineStr"/>
      <c r="S254" s="3" t="inlineStr">
        <is>
          <t>Love Bomber</t>
        </is>
      </c>
      <c r="T254" s="3" t="n">
        <v>3</v>
      </c>
      <c r="U254" s="3" t="n">
        <v>6</v>
      </c>
      <c r="V254" s="3" t="inlineStr">
        <is>
          <t>masc:0.0;fem:0.0</t>
        </is>
      </c>
      <c r="W254" s="3" t="n">
        <v>0</v>
      </c>
      <c r="X254" s="3" t="n">
        <v>0</v>
      </c>
      <c r="Y254" s="3" t="inlineStr"/>
      <c r="Z254" s="3" t="inlineStr"/>
      <c r="AA254" s="3" t="inlineStr"/>
      <c r="AB254" s="3" t="inlineStr"/>
      <c r="AC254" s="3" t="inlineStr"/>
      <c r="AD254" s="3" t="inlineStr"/>
      <c r="AE254" s="3" t="n">
        <v>0</v>
      </c>
      <c r="AF254" s="3" t="inlineStr"/>
      <c r="AG254" s="3" t="inlineStr"/>
      <c r="AH254" s="3" t="n">
        <v>0</v>
      </c>
      <c r="AI254" s="3" t="inlineStr">
        <is>
          <t>no</t>
        </is>
      </c>
      <c r="AJ254" s="3" t="inlineStr">
        <is>
          <t>no</t>
        </is>
      </c>
      <c r="AK254" s="3" t="inlineStr">
        <is>
          <t>no</t>
        </is>
      </c>
      <c r="AL254" s="3" t="inlineStr">
        <is>
          <t>no</t>
        </is>
      </c>
      <c r="AM254" s="3" t="inlineStr"/>
      <c r="AN254" s="3" t="inlineStr"/>
      <c r="AO254" s="3" t="inlineStr"/>
      <c r="AP254" s="3" t="inlineStr">
        <is>
          <t>v3_2026-03-19</t>
        </is>
      </c>
      <c r="AQ254">
        <f>(L254-Schema_v5!$C2)/(Schema_v5!$C3-Schema_v5!$C2)</f>
        <v/>
      </c>
      <c r="AR254">
        <f>(M254-Schema_v5!$C4)/(Schema_v5!$C5-Schema_v5!$C4)</f>
        <v/>
      </c>
      <c r="AS254">
        <f>N254/Schema_v5!$C6</f>
        <v/>
      </c>
      <c r="AT254">
        <f>O254/Schema_v5!$C7</f>
        <v/>
      </c>
      <c r="AU254">
        <f>P254/Schema_v5!$C8</f>
        <v/>
      </c>
      <c r="AV254">
        <f>IF(Schema_v5!$C9=0,0,AH254/Schema_v5!$C9)</f>
        <v/>
      </c>
      <c r="AW254">
        <f>IF(Schema_v5!$C10=0,0,AE254/Schema_v5!$C10)</f>
        <v/>
      </c>
      <c r="AX254">
        <f>(W254-Schema_v5!$C11)/(Schema_v5!$C12-Schema_v5!$C11)</f>
        <v/>
      </c>
      <c r="AY254">
        <f>(X254-Schema_v5!$C13)/(Schema_v5!$C14-Schema_v5!$C13)</f>
        <v/>
      </c>
    </row>
    <row r="255">
      <c r="A255" s="3" t="inlineStr">
        <is>
          <t>Q51_D</t>
        </is>
      </c>
      <c r="B255" s="3" t="n">
        <v>51</v>
      </c>
      <c r="C255" s="3" t="n">
        <v>100</v>
      </c>
      <c r="D255" s="3" t="inlineStr">
        <is>
          <t>Shadow</t>
        </is>
      </c>
      <c r="E255" s="3" t="n">
        <v>1.3</v>
      </c>
      <c r="F255" s="3" t="inlineStr">
        <is>
          <t>ShadowPattern</t>
        </is>
      </c>
      <c r="G255" s="3" t="inlineStr">
        <is>
          <t>IntegrityRisk</t>
        </is>
      </c>
      <c r="H255" s="3" t="inlineStr"/>
      <c r="I255" s="3" t="inlineStr">
        <is>
          <t>D</t>
        </is>
      </c>
      <c r="J255" s="3" t="inlineStr">
        <is>
          <t>D</t>
        </is>
      </c>
      <c r="K255" s="3" t="inlineStr">
        <is>
          <t>I shape-shift a little to match their energy.</t>
        </is>
      </c>
      <c r="L255" s="3" t="n">
        <v>6</v>
      </c>
      <c r="M255" s="3" t="inlineStr"/>
      <c r="N255" s="3" t="n">
        <v>4</v>
      </c>
      <c r="O255" s="3" t="n">
        <v>4</v>
      </c>
      <c r="P255" s="3" t="n">
        <v>4</v>
      </c>
      <c r="Q255" s="3" t="inlineStr"/>
      <c r="R255" s="3" t="inlineStr"/>
      <c r="S255" s="3" t="inlineStr">
        <is>
          <t>Chameleon</t>
        </is>
      </c>
      <c r="T255" s="3" t="n">
        <v>4</v>
      </c>
      <c r="U255" s="3" t="n">
        <v>6</v>
      </c>
      <c r="V255" s="3" t="inlineStr">
        <is>
          <t>masc:0.0;fem:0.0</t>
        </is>
      </c>
      <c r="W255" s="3" t="n">
        <v>0</v>
      </c>
      <c r="X255" s="3" t="n">
        <v>0</v>
      </c>
      <c r="Y255" s="3" t="inlineStr"/>
      <c r="Z255" s="3" t="inlineStr"/>
      <c r="AA255" s="3" t="inlineStr"/>
      <c r="AB255" s="3" t="inlineStr"/>
      <c r="AC255" s="3" t="inlineStr"/>
      <c r="AD255" s="3" t="inlineStr"/>
      <c r="AE255" s="3" t="n">
        <v>0</v>
      </c>
      <c r="AF255" s="3" t="inlineStr"/>
      <c r="AG255" s="3" t="inlineStr"/>
      <c r="AH255" s="3" t="n">
        <v>0.6</v>
      </c>
      <c r="AI255" s="3" t="inlineStr"/>
      <c r="AJ255" s="3" t="inlineStr">
        <is>
          <t>no</t>
        </is>
      </c>
      <c r="AK255" s="3" t="inlineStr">
        <is>
          <t>no</t>
        </is>
      </c>
      <c r="AL255" s="3" t="inlineStr">
        <is>
          <t>no</t>
        </is>
      </c>
      <c r="AM255" s="3" t="inlineStr"/>
      <c r="AN255" s="3" t="inlineStr"/>
      <c r="AO255" s="3" t="inlineStr"/>
      <c r="AP255" s="3" t="inlineStr">
        <is>
          <t>v3_2026-03-19</t>
        </is>
      </c>
      <c r="AQ255">
        <f>(L255-Schema_v5!$C2)/(Schema_v5!$C3-Schema_v5!$C2)</f>
        <v/>
      </c>
      <c r="AR255">
        <f>(M255-Schema_v5!$C4)/(Schema_v5!$C5-Schema_v5!$C4)</f>
        <v/>
      </c>
      <c r="AS255">
        <f>N255/Schema_v5!$C6</f>
        <v/>
      </c>
      <c r="AT255">
        <f>O255/Schema_v5!$C7</f>
        <v/>
      </c>
      <c r="AU255">
        <f>P255/Schema_v5!$C8</f>
        <v/>
      </c>
      <c r="AV255">
        <f>IF(Schema_v5!$C9=0,0,AH255/Schema_v5!$C9)</f>
        <v/>
      </c>
      <c r="AW255">
        <f>IF(Schema_v5!$C10=0,0,AE255/Schema_v5!$C10)</f>
        <v/>
      </c>
      <c r="AX255">
        <f>(W255-Schema_v5!$C11)/(Schema_v5!$C12-Schema_v5!$C11)</f>
        <v/>
      </c>
      <c r="AY255">
        <f>(X255-Schema_v5!$C13)/(Schema_v5!$C14-Schema_v5!$C13)</f>
        <v/>
      </c>
    </row>
    <row r="256">
      <c r="A256" s="3" t="inlineStr">
        <is>
          <t>Q51_E</t>
        </is>
      </c>
      <c r="B256" s="3" t="n">
        <v>51</v>
      </c>
      <c r="C256" s="3" t="n">
        <v>100</v>
      </c>
      <c r="D256" s="3" t="inlineStr">
        <is>
          <t>Shadow</t>
        </is>
      </c>
      <c r="E256" s="3" t="n">
        <v>1.3</v>
      </c>
      <c r="F256" s="3" t="inlineStr">
        <is>
          <t>ShadowPattern</t>
        </is>
      </c>
      <c r="G256" s="3" t="inlineStr">
        <is>
          <t>IntegrityRisk</t>
        </is>
      </c>
      <c r="H256" s="3" t="inlineStr"/>
      <c r="I256" s="3" t="inlineStr">
        <is>
          <t>E</t>
        </is>
      </c>
      <c r="J256" s="3" t="inlineStr">
        <is>
          <t>E</t>
        </is>
      </c>
      <c r="K256" s="3" t="inlineStr">
        <is>
          <t>I start pulling back affection to make it feel "fair."</t>
        </is>
      </c>
      <c r="L256" s="3" t="n">
        <v>7</v>
      </c>
      <c r="M256" s="3" t="inlineStr"/>
      <c r="N256" s="3" t="n">
        <v>2</v>
      </c>
      <c r="O256" s="3" t="n">
        <v>2</v>
      </c>
      <c r="P256" s="3" t="n">
        <v>2</v>
      </c>
      <c r="Q256" s="3" t="inlineStr"/>
      <c r="R256" s="3" t="inlineStr"/>
      <c r="S256" s="3" t="inlineStr">
        <is>
          <t>Scorekeeper</t>
        </is>
      </c>
      <c r="T256" s="3" t="n">
        <v>5</v>
      </c>
      <c r="U256" s="3" t="n">
        <v>8</v>
      </c>
      <c r="V256" s="3" t="inlineStr">
        <is>
          <t>masc:0.0;fem:0.0</t>
        </is>
      </c>
      <c r="W256" s="3" t="n">
        <v>0</v>
      </c>
      <c r="X256" s="3" t="n">
        <v>0</v>
      </c>
      <c r="Y256" s="3" t="inlineStr"/>
      <c r="Z256" s="3" t="inlineStr"/>
      <c r="AA256" s="3" t="inlineStr"/>
      <c r="AB256" s="3" t="inlineStr"/>
      <c r="AC256" s="3" t="inlineStr"/>
      <c r="AD256" s="3" t="inlineStr"/>
      <c r="AE256" s="3" t="n">
        <v>0</v>
      </c>
      <c r="AF256" s="3" t="inlineStr"/>
      <c r="AG256" s="3" t="inlineStr"/>
      <c r="AH256" s="3" t="n">
        <v>0</v>
      </c>
      <c r="AI256" s="3" t="inlineStr"/>
      <c r="AJ256" s="3" t="inlineStr">
        <is>
          <t>no</t>
        </is>
      </c>
      <c r="AK256" s="3" t="inlineStr">
        <is>
          <t>no</t>
        </is>
      </c>
      <c r="AL256" s="3" t="inlineStr">
        <is>
          <t>no</t>
        </is>
      </c>
      <c r="AM256" s="3" t="inlineStr"/>
      <c r="AN256" s="3" t="inlineStr"/>
      <c r="AO256" s="3" t="inlineStr"/>
      <c r="AP256" s="3" t="inlineStr">
        <is>
          <t>v3_2026-03-19</t>
        </is>
      </c>
      <c r="AQ256">
        <f>(L256-Schema_v5!$C2)/(Schema_v5!$C3-Schema_v5!$C2)</f>
        <v/>
      </c>
      <c r="AR256">
        <f>(M256-Schema_v5!$C4)/(Schema_v5!$C5-Schema_v5!$C4)</f>
        <v/>
      </c>
      <c r="AS256">
        <f>N256/Schema_v5!$C6</f>
        <v/>
      </c>
      <c r="AT256">
        <f>O256/Schema_v5!$C7</f>
        <v/>
      </c>
      <c r="AU256">
        <f>P256/Schema_v5!$C8</f>
        <v/>
      </c>
      <c r="AV256">
        <f>IF(Schema_v5!$C9=0,0,AH256/Schema_v5!$C9)</f>
        <v/>
      </c>
      <c r="AW256">
        <f>IF(Schema_v5!$C10=0,0,AE256/Schema_v5!$C10)</f>
        <v/>
      </c>
      <c r="AX256">
        <f>(W256-Schema_v5!$C11)/(Schema_v5!$C12-Schema_v5!$C11)</f>
        <v/>
      </c>
      <c r="AY256">
        <f>(X256-Schema_v5!$C13)/(Schema_v5!$C14-Schema_v5!$C13)</f>
        <v/>
      </c>
    </row>
    <row r="257">
      <c r="A257" s="3" t="inlineStr">
        <is>
          <t>Q51_F</t>
        </is>
      </c>
      <c r="B257" s="3" t="n">
        <v>51</v>
      </c>
      <c r="C257" s="3" t="n">
        <v>100</v>
      </c>
      <c r="D257" s="3" t="inlineStr">
        <is>
          <t>Shadow</t>
        </is>
      </c>
      <c r="E257" s="3" t="n">
        <v>1.3</v>
      </c>
      <c r="F257" s="3" t="inlineStr">
        <is>
          <t>ShadowPattern</t>
        </is>
      </c>
      <c r="G257" s="3" t="inlineStr">
        <is>
          <t>IntegrityRisk</t>
        </is>
      </c>
      <c r="H257" s="3" t="inlineStr"/>
      <c r="I257" s="3" t="inlineStr">
        <is>
          <t>F</t>
        </is>
      </c>
      <c r="J257" s="3" t="inlineStr">
        <is>
          <t>F</t>
        </is>
      </c>
      <c r="K257" s="3" t="inlineStr">
        <is>
          <t>I blame myself for not liking them more</t>
        </is>
      </c>
      <c r="L257" s="3" t="n">
        <v>8</v>
      </c>
      <c r="M257" s="3" t="inlineStr"/>
      <c r="N257" s="3" t="n">
        <v>2</v>
      </c>
      <c r="O257" s="3" t="n">
        <v>2</v>
      </c>
      <c r="P257" s="3" t="n">
        <v>2</v>
      </c>
      <c r="Q257" s="3" t="inlineStr"/>
      <c r="R257" s="3" t="inlineStr"/>
      <c r="S257" s="3" t="inlineStr">
        <is>
          <t>Self-Saboteur</t>
        </is>
      </c>
      <c r="T257" s="3" t="n">
        <v>6</v>
      </c>
      <c r="U257" s="3" t="n">
        <v>8</v>
      </c>
      <c r="V257" s="3" t="inlineStr">
        <is>
          <t>masc:0.0;fem:0.0</t>
        </is>
      </c>
      <c r="W257" s="3" t="n">
        <v>0</v>
      </c>
      <c r="X257" s="3" t="n">
        <v>0</v>
      </c>
      <c r="Y257" s="3" t="inlineStr"/>
      <c r="Z257" s="3" t="inlineStr"/>
      <c r="AA257" s="3" t="inlineStr"/>
      <c r="AB257" s="3" t="inlineStr"/>
      <c r="AC257" s="3" t="inlineStr"/>
      <c r="AD257" s="3" t="inlineStr"/>
      <c r="AE257" s="3" t="n">
        <v>0</v>
      </c>
      <c r="AF257" s="3" t="inlineStr"/>
      <c r="AG257" s="3" t="inlineStr"/>
      <c r="AH257" s="3" t="n">
        <v>0.6</v>
      </c>
      <c r="AI257" s="3" t="inlineStr"/>
      <c r="AJ257" s="3" t="inlineStr">
        <is>
          <t>no</t>
        </is>
      </c>
      <c r="AK257" s="3" t="inlineStr">
        <is>
          <t>no</t>
        </is>
      </c>
      <c r="AL257" s="3" t="inlineStr">
        <is>
          <t>no</t>
        </is>
      </c>
      <c r="AM257" s="3" t="inlineStr"/>
      <c r="AN257" s="3" t="inlineStr"/>
      <c r="AO257" s="3" t="inlineStr"/>
      <c r="AP257" s="3" t="inlineStr">
        <is>
          <t>v3_2026-03-19</t>
        </is>
      </c>
      <c r="AQ257">
        <f>(L257-Schema_v5!$C2)/(Schema_v5!$C3-Schema_v5!$C2)</f>
        <v/>
      </c>
      <c r="AR257">
        <f>(M257-Schema_v5!$C4)/(Schema_v5!$C5-Schema_v5!$C4)</f>
        <v/>
      </c>
      <c r="AS257">
        <f>N257/Schema_v5!$C6</f>
        <v/>
      </c>
      <c r="AT257">
        <f>O257/Schema_v5!$C7</f>
        <v/>
      </c>
      <c r="AU257">
        <f>P257/Schema_v5!$C8</f>
        <v/>
      </c>
      <c r="AV257">
        <f>IF(Schema_v5!$C9=0,0,AH257/Schema_v5!$C9)</f>
        <v/>
      </c>
      <c r="AW257">
        <f>IF(Schema_v5!$C10=0,0,AE257/Schema_v5!$C10)</f>
        <v/>
      </c>
      <c r="AX257">
        <f>(W257-Schema_v5!$C11)/(Schema_v5!$C12-Schema_v5!$C11)</f>
        <v/>
      </c>
      <c r="AY257">
        <f>(X257-Schema_v5!$C13)/(Schema_v5!$C14-Schema_v5!$C13)</f>
        <v/>
      </c>
    </row>
    <row r="258">
      <c r="A258" s="3" t="inlineStr">
        <is>
          <t>Q52_A</t>
        </is>
      </c>
      <c r="B258" s="3" t="n">
        <v>52</v>
      </c>
      <c r="C258" s="3" t="n">
        <v>101</v>
      </c>
      <c r="D258" s="3" t="inlineStr">
        <is>
          <t>Shadow</t>
        </is>
      </c>
      <c r="E258" s="3" t="n">
        <v>1.3</v>
      </c>
      <c r="F258" s="3" t="inlineStr">
        <is>
          <t>ShadowPattern</t>
        </is>
      </c>
      <c r="G258" s="3" t="inlineStr">
        <is>
          <t>IntegrityRisk</t>
        </is>
      </c>
      <c r="H258" s="3" t="inlineStr">
        <is>
          <t>You get caught in a lie, but only a small one. What's your instinct?</t>
        </is>
      </c>
      <c r="I258" s="3" t="inlineStr">
        <is>
          <t>A</t>
        </is>
      </c>
      <c r="J258" s="3" t="inlineStr">
        <is>
          <t>A</t>
        </is>
      </c>
      <c r="K258" s="3" t="inlineStr">
        <is>
          <t>I flip it on them: Why were they snooping anyway?</t>
        </is>
      </c>
      <c r="L258" s="3" t="n">
        <v>4</v>
      </c>
      <c r="M258" s="3" t="inlineStr"/>
      <c r="N258" s="3" t="n">
        <v>4</v>
      </c>
      <c r="O258" s="3" t="n">
        <v>4</v>
      </c>
      <c r="P258" s="3" t="n">
        <v>4</v>
      </c>
      <c r="Q258" s="3" t="inlineStr"/>
      <c r="R258" s="3" t="inlineStr"/>
      <c r="S258" s="3" t="inlineStr">
        <is>
          <t>Manipulator</t>
        </is>
      </c>
      <c r="T258" s="3" t="n">
        <v>1</v>
      </c>
      <c r="U258" s="3" t="n">
        <v>6</v>
      </c>
      <c r="V258" s="3" t="inlineStr">
        <is>
          <t>masc:0.0;fem:0.0</t>
        </is>
      </c>
      <c r="W258" s="3" t="n">
        <v>0</v>
      </c>
      <c r="X258" s="3" t="n">
        <v>0</v>
      </c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0</v>
      </c>
      <c r="AF258" s="3" t="inlineStr"/>
      <c r="AG258" s="3" t="inlineStr"/>
      <c r="AH258" s="3" t="n">
        <v>0</v>
      </c>
      <c r="AI258" s="3" t="inlineStr"/>
      <c r="AJ258" s="3" t="inlineStr">
        <is>
          <t>yes</t>
        </is>
      </c>
      <c r="AK258" s="3" t="inlineStr">
        <is>
          <t>no</t>
        </is>
      </c>
      <c r="AL258" s="3" t="inlineStr">
        <is>
          <t>no</t>
        </is>
      </c>
      <c r="AM258" s="3" t="inlineStr"/>
      <c r="AN258" s="3" t="inlineStr"/>
      <c r="AO258" s="3" t="inlineStr"/>
      <c r="AP258" s="3" t="inlineStr">
        <is>
          <t>v3_2026-03-19</t>
        </is>
      </c>
      <c r="AQ258">
        <f>(L258-Schema_v5!$C2)/(Schema_v5!$C3-Schema_v5!$C2)</f>
        <v/>
      </c>
      <c r="AR258">
        <f>(M258-Schema_v5!$C4)/(Schema_v5!$C5-Schema_v5!$C4)</f>
        <v/>
      </c>
      <c r="AS258">
        <f>N258/Schema_v5!$C6</f>
        <v/>
      </c>
      <c r="AT258">
        <f>O258/Schema_v5!$C7</f>
        <v/>
      </c>
      <c r="AU258">
        <f>P258/Schema_v5!$C8</f>
        <v/>
      </c>
      <c r="AV258">
        <f>IF(Schema_v5!$C9=0,0,AH258/Schema_v5!$C9)</f>
        <v/>
      </c>
      <c r="AW258">
        <f>IF(Schema_v5!$C10=0,0,AE258/Schema_v5!$C10)</f>
        <v/>
      </c>
      <c r="AX258">
        <f>(W258-Schema_v5!$C11)/(Schema_v5!$C12-Schema_v5!$C11)</f>
        <v/>
      </c>
      <c r="AY258">
        <f>(X258-Schema_v5!$C13)/(Schema_v5!$C14-Schema_v5!$C13)</f>
        <v/>
      </c>
    </row>
    <row r="259">
      <c r="A259" s="3" t="inlineStr">
        <is>
          <t>Q52_B</t>
        </is>
      </c>
      <c r="B259" s="3" t="n">
        <v>52</v>
      </c>
      <c r="C259" s="3" t="n">
        <v>101</v>
      </c>
      <c r="D259" s="3" t="inlineStr">
        <is>
          <t>Shadow</t>
        </is>
      </c>
      <c r="E259" s="3" t="n">
        <v>1.3</v>
      </c>
      <c r="F259" s="3" t="inlineStr">
        <is>
          <t>ShadowPattern</t>
        </is>
      </c>
      <c r="G259" s="3" t="inlineStr">
        <is>
          <t>IntegrityRisk</t>
        </is>
      </c>
      <c r="H259" s="3" t="inlineStr"/>
      <c r="I259" s="3" t="inlineStr">
        <is>
          <t>B</t>
        </is>
      </c>
      <c r="J259" s="3" t="inlineStr">
        <is>
          <t>B</t>
        </is>
      </c>
      <c r="K259" s="3" t="inlineStr">
        <is>
          <t>I freeze and change the subject.</t>
        </is>
      </c>
      <c r="L259" s="3" t="n">
        <v>3</v>
      </c>
      <c r="M259" s="3" t="inlineStr"/>
      <c r="N259" s="3" t="n">
        <v>6</v>
      </c>
      <c r="O259" s="3" t="n">
        <v>6</v>
      </c>
      <c r="P259" s="3" t="n">
        <v>6</v>
      </c>
      <c r="Q259" s="3" t="inlineStr"/>
      <c r="R259" s="3" t="inlineStr"/>
      <c r="S259" s="3" t="inlineStr">
        <is>
          <t>Stonewaller</t>
        </is>
      </c>
      <c r="T259" s="3" t="n">
        <v>2</v>
      </c>
      <c r="U259" s="3" t="n">
        <v>4</v>
      </c>
      <c r="V259" s="3" t="inlineStr">
        <is>
          <t>masc:0.0;fem:0.0</t>
        </is>
      </c>
      <c r="W259" s="3" t="n">
        <v>0</v>
      </c>
      <c r="X259" s="3" t="n">
        <v>0</v>
      </c>
      <c r="Y259" s="3" t="inlineStr"/>
      <c r="Z259" s="3" t="inlineStr"/>
      <c r="AA259" s="3" t="inlineStr"/>
      <c r="AB259" s="3" t="inlineStr"/>
      <c r="AC259" s="3" t="inlineStr"/>
      <c r="AD259" s="3" t="inlineStr"/>
      <c r="AE259" s="3" t="n">
        <v>0</v>
      </c>
      <c r="AF259" s="3" t="inlineStr"/>
      <c r="AG259" s="3" t="inlineStr"/>
      <c r="AH259" s="3" t="n">
        <v>0</v>
      </c>
      <c r="AI259" s="3" t="inlineStr"/>
      <c r="AJ259" s="3" t="inlineStr">
        <is>
          <t>yes</t>
        </is>
      </c>
      <c r="AK259" s="3" t="inlineStr">
        <is>
          <t>no</t>
        </is>
      </c>
      <c r="AL259" s="3" t="inlineStr">
        <is>
          <t>no</t>
        </is>
      </c>
      <c r="AM259" s="3" t="inlineStr"/>
      <c r="AN259" s="3" t="inlineStr"/>
      <c r="AO259" s="3" t="inlineStr"/>
      <c r="AP259" s="3" t="inlineStr">
        <is>
          <t>v3_2026-03-19</t>
        </is>
      </c>
      <c r="AQ259">
        <f>(L259-Schema_v5!$C2)/(Schema_v5!$C3-Schema_v5!$C2)</f>
        <v/>
      </c>
      <c r="AR259">
        <f>(M259-Schema_v5!$C4)/(Schema_v5!$C5-Schema_v5!$C4)</f>
        <v/>
      </c>
      <c r="AS259">
        <f>N259/Schema_v5!$C6</f>
        <v/>
      </c>
      <c r="AT259">
        <f>O259/Schema_v5!$C7</f>
        <v/>
      </c>
      <c r="AU259">
        <f>P259/Schema_v5!$C8</f>
        <v/>
      </c>
      <c r="AV259">
        <f>IF(Schema_v5!$C9=0,0,AH259/Schema_v5!$C9)</f>
        <v/>
      </c>
      <c r="AW259">
        <f>IF(Schema_v5!$C10=0,0,AE259/Schema_v5!$C10)</f>
        <v/>
      </c>
      <c r="AX259">
        <f>(W259-Schema_v5!$C11)/(Schema_v5!$C12-Schema_v5!$C11)</f>
        <v/>
      </c>
      <c r="AY259">
        <f>(X259-Schema_v5!$C13)/(Schema_v5!$C14-Schema_v5!$C13)</f>
        <v/>
      </c>
    </row>
    <row r="260">
      <c r="A260" s="3" t="inlineStr">
        <is>
          <t>Q52_C</t>
        </is>
      </c>
      <c r="B260" s="3" t="n">
        <v>52</v>
      </c>
      <c r="C260" s="3" t="n">
        <v>101</v>
      </c>
      <c r="D260" s="3" t="inlineStr">
        <is>
          <t>Shadow</t>
        </is>
      </c>
      <c r="E260" s="3" t="n">
        <v>1.3</v>
      </c>
      <c r="F260" s="3" t="inlineStr">
        <is>
          <t>ShadowPattern</t>
        </is>
      </c>
      <c r="G260" s="3" t="inlineStr">
        <is>
          <t>IntegrityRisk</t>
        </is>
      </c>
      <c r="H260" s="3" t="inlineStr"/>
      <c r="I260" s="3" t="inlineStr">
        <is>
          <t>C</t>
        </is>
      </c>
      <c r="J260" s="3" t="inlineStr">
        <is>
          <t>C</t>
        </is>
      </c>
      <c r="K260" s="3" t="inlineStr">
        <is>
          <t>I charm my way out of it. It's no big deal.</t>
        </is>
      </c>
      <c r="L260" s="3" t="n">
        <v>5</v>
      </c>
      <c r="M260" s="3" t="inlineStr"/>
      <c r="N260" s="3" t="n">
        <v>4</v>
      </c>
      <c r="O260" s="3" t="n">
        <v>4</v>
      </c>
      <c r="P260" s="3" t="n">
        <v>4</v>
      </c>
      <c r="Q260" s="3" t="inlineStr"/>
      <c r="R260" s="3" t="inlineStr"/>
      <c r="S260" s="3" t="inlineStr">
        <is>
          <t>Love Bomber</t>
        </is>
      </c>
      <c r="T260" s="3" t="n">
        <v>3</v>
      </c>
      <c r="U260" s="3" t="n">
        <v>6</v>
      </c>
      <c r="V260" s="3" t="inlineStr">
        <is>
          <t>masc:0.0;fem:0.0</t>
        </is>
      </c>
      <c r="W260" s="3" t="n">
        <v>0</v>
      </c>
      <c r="X260" s="3" t="n">
        <v>0</v>
      </c>
      <c r="Y260" s="3" t="inlineStr"/>
      <c r="Z260" s="3" t="inlineStr"/>
      <c r="AA260" s="3" t="inlineStr"/>
      <c r="AB260" s="3" t="inlineStr"/>
      <c r="AC260" s="3" t="inlineStr"/>
      <c r="AD260" s="3" t="inlineStr"/>
      <c r="AE260" s="3" t="n">
        <v>0</v>
      </c>
      <c r="AF260" s="3" t="inlineStr"/>
      <c r="AG260" s="3" t="inlineStr"/>
      <c r="AH260" s="3" t="n">
        <v>0.6</v>
      </c>
      <c r="AI260" s="3" t="inlineStr"/>
      <c r="AJ260" s="3" t="inlineStr">
        <is>
          <t>no</t>
        </is>
      </c>
      <c r="AK260" s="3" t="inlineStr">
        <is>
          <t>no</t>
        </is>
      </c>
      <c r="AL260" s="3" t="inlineStr">
        <is>
          <t>no</t>
        </is>
      </c>
      <c r="AM260" s="3" t="inlineStr"/>
      <c r="AN260" s="3" t="inlineStr"/>
      <c r="AO260" s="3" t="inlineStr"/>
      <c r="AP260" s="3" t="inlineStr">
        <is>
          <t>v3_2026-03-19</t>
        </is>
      </c>
      <c r="AQ260">
        <f>(L260-Schema_v5!$C2)/(Schema_v5!$C3-Schema_v5!$C2)</f>
        <v/>
      </c>
      <c r="AR260">
        <f>(M260-Schema_v5!$C4)/(Schema_v5!$C5-Schema_v5!$C4)</f>
        <v/>
      </c>
      <c r="AS260">
        <f>N260/Schema_v5!$C6</f>
        <v/>
      </c>
      <c r="AT260">
        <f>O260/Schema_v5!$C7</f>
        <v/>
      </c>
      <c r="AU260">
        <f>P260/Schema_v5!$C8</f>
        <v/>
      </c>
      <c r="AV260">
        <f>IF(Schema_v5!$C9=0,0,AH260/Schema_v5!$C9)</f>
        <v/>
      </c>
      <c r="AW260">
        <f>IF(Schema_v5!$C10=0,0,AE260/Schema_v5!$C10)</f>
        <v/>
      </c>
      <c r="AX260">
        <f>(W260-Schema_v5!$C11)/(Schema_v5!$C12-Schema_v5!$C11)</f>
        <v/>
      </c>
      <c r="AY260">
        <f>(X260-Schema_v5!$C13)/(Schema_v5!$C14-Schema_v5!$C13)</f>
        <v/>
      </c>
    </row>
    <row r="261">
      <c r="A261" s="3" t="inlineStr">
        <is>
          <t>Q52_D</t>
        </is>
      </c>
      <c r="B261" s="3" t="n">
        <v>52</v>
      </c>
      <c r="C261" s="3" t="n">
        <v>101</v>
      </c>
      <c r="D261" s="3" t="inlineStr">
        <is>
          <t>Shadow</t>
        </is>
      </c>
      <c r="E261" s="3" t="n">
        <v>1.3</v>
      </c>
      <c r="F261" s="3" t="inlineStr">
        <is>
          <t>ShadowPattern</t>
        </is>
      </c>
      <c r="G261" s="3" t="inlineStr">
        <is>
          <t>IntegrityRisk</t>
        </is>
      </c>
      <c r="H261" s="3" t="inlineStr"/>
      <c r="I261" s="3" t="inlineStr">
        <is>
          <t>D</t>
        </is>
      </c>
      <c r="J261" s="3" t="inlineStr">
        <is>
          <t>D</t>
        </is>
      </c>
      <c r="K261" s="3" t="inlineStr">
        <is>
          <t>I act like I forgot. I'm not even sure which version I told.</t>
        </is>
      </c>
      <c r="L261" s="3" t="n">
        <v>6</v>
      </c>
      <c r="M261" s="3" t="inlineStr"/>
      <c r="N261" s="3" t="n">
        <v>4</v>
      </c>
      <c r="O261" s="3" t="n">
        <v>4</v>
      </c>
      <c r="P261" s="3" t="n">
        <v>4</v>
      </c>
      <c r="Q261" s="3" t="inlineStr"/>
      <c r="R261" s="3" t="inlineStr"/>
      <c r="S261" s="3" t="inlineStr">
        <is>
          <t>Chameleon</t>
        </is>
      </c>
      <c r="T261" s="3" t="n">
        <v>4</v>
      </c>
      <c r="U261" s="3" t="n">
        <v>6</v>
      </c>
      <c r="V261" s="3" t="inlineStr">
        <is>
          <t>masc:0.0;fem:0.0</t>
        </is>
      </c>
      <c r="W261" s="3" t="n">
        <v>0</v>
      </c>
      <c r="X261" s="3" t="n">
        <v>0</v>
      </c>
      <c r="Y261" s="3" t="inlineStr"/>
      <c r="Z261" s="3" t="inlineStr"/>
      <c r="AA261" s="3" t="inlineStr"/>
      <c r="AB261" s="3" t="inlineStr"/>
      <c r="AC261" s="3" t="inlineStr"/>
      <c r="AD261" s="3" t="inlineStr"/>
      <c r="AE261" s="3" t="n">
        <v>0</v>
      </c>
      <c r="AF261" s="3" t="inlineStr"/>
      <c r="AG261" s="3" t="inlineStr"/>
      <c r="AH261" s="3" t="n">
        <v>0</v>
      </c>
      <c r="AI261" s="3" t="inlineStr"/>
      <c r="AJ261" s="3" t="inlineStr">
        <is>
          <t>no</t>
        </is>
      </c>
      <c r="AK261" s="3" t="inlineStr">
        <is>
          <t>no</t>
        </is>
      </c>
      <c r="AL261" s="3" t="inlineStr">
        <is>
          <t>no</t>
        </is>
      </c>
      <c r="AM261" s="3" t="inlineStr"/>
      <c r="AN261" s="3" t="inlineStr"/>
      <c r="AO261" s="3" t="inlineStr"/>
      <c r="AP261" s="3" t="inlineStr">
        <is>
          <t>v3_2026-03-19</t>
        </is>
      </c>
      <c r="AQ261">
        <f>(L261-Schema_v5!$C2)/(Schema_v5!$C3-Schema_v5!$C2)</f>
        <v/>
      </c>
      <c r="AR261">
        <f>(M261-Schema_v5!$C4)/(Schema_v5!$C5-Schema_v5!$C4)</f>
        <v/>
      </c>
      <c r="AS261">
        <f>N261/Schema_v5!$C6</f>
        <v/>
      </c>
      <c r="AT261">
        <f>O261/Schema_v5!$C7</f>
        <v/>
      </c>
      <c r="AU261">
        <f>P261/Schema_v5!$C8</f>
        <v/>
      </c>
      <c r="AV261">
        <f>IF(Schema_v5!$C9=0,0,AH261/Schema_v5!$C9)</f>
        <v/>
      </c>
      <c r="AW261">
        <f>IF(Schema_v5!$C10=0,0,AE261/Schema_v5!$C10)</f>
        <v/>
      </c>
      <c r="AX261">
        <f>(W261-Schema_v5!$C11)/(Schema_v5!$C12-Schema_v5!$C11)</f>
        <v/>
      </c>
      <c r="AY261">
        <f>(X261-Schema_v5!$C13)/(Schema_v5!$C14-Schema_v5!$C13)</f>
        <v/>
      </c>
    </row>
    <row r="262">
      <c r="A262" s="3" t="inlineStr">
        <is>
          <t>Q52_E</t>
        </is>
      </c>
      <c r="B262" s="3" t="n">
        <v>52</v>
      </c>
      <c r="C262" s="3" t="n">
        <v>101</v>
      </c>
      <c r="D262" s="3" t="inlineStr">
        <is>
          <t>Shadow</t>
        </is>
      </c>
      <c r="E262" s="3" t="n">
        <v>1.3</v>
      </c>
      <c r="F262" s="3" t="inlineStr">
        <is>
          <t>ShadowPattern</t>
        </is>
      </c>
      <c r="G262" s="3" t="inlineStr">
        <is>
          <t>IntegrityRisk</t>
        </is>
      </c>
      <c r="H262" s="3" t="inlineStr"/>
      <c r="I262" s="3" t="inlineStr">
        <is>
          <t>E</t>
        </is>
      </c>
      <c r="J262" s="3" t="inlineStr">
        <is>
          <t>E</t>
        </is>
      </c>
      <c r="K262" s="3" t="inlineStr">
        <is>
          <t>I downplay it and bring up something they did wrong.</t>
        </is>
      </c>
      <c r="L262" s="3" t="n">
        <v>7</v>
      </c>
      <c r="M262" s="3" t="inlineStr"/>
      <c r="N262" s="3" t="n">
        <v>2</v>
      </c>
      <c r="O262" s="3" t="n">
        <v>2</v>
      </c>
      <c r="P262" s="3" t="n">
        <v>2</v>
      </c>
      <c r="Q262" s="3" t="inlineStr"/>
      <c r="R262" s="3" t="inlineStr"/>
      <c r="S262" s="3" t="inlineStr">
        <is>
          <t>Scorekeeper</t>
        </is>
      </c>
      <c r="T262" s="3" t="n">
        <v>5</v>
      </c>
      <c r="U262" s="3" t="n">
        <v>8</v>
      </c>
      <c r="V262" s="3" t="inlineStr">
        <is>
          <t>masc:0.0;fem:0.0</t>
        </is>
      </c>
      <c r="W262" s="3" t="n">
        <v>0</v>
      </c>
      <c r="X262" s="3" t="n">
        <v>0</v>
      </c>
      <c r="Y262" s="3" t="inlineStr"/>
      <c r="Z262" s="3" t="inlineStr"/>
      <c r="AA262" s="3" t="inlineStr"/>
      <c r="AB262" s="3" t="inlineStr"/>
      <c r="AC262" s="3" t="inlineStr"/>
      <c r="AD262" s="3" t="inlineStr"/>
      <c r="AE262" s="3" t="n">
        <v>0</v>
      </c>
      <c r="AF262" s="3" t="inlineStr"/>
      <c r="AG262" s="3" t="inlineStr"/>
      <c r="AH262" s="3" t="n">
        <v>0</v>
      </c>
      <c r="AI262" s="3" t="inlineStr"/>
      <c r="AJ262" s="3" t="inlineStr">
        <is>
          <t>no</t>
        </is>
      </c>
      <c r="AK262" s="3" t="inlineStr">
        <is>
          <t>no</t>
        </is>
      </c>
      <c r="AL262" s="3" t="inlineStr">
        <is>
          <t>no</t>
        </is>
      </c>
      <c r="AM262" s="3" t="inlineStr"/>
      <c r="AN262" s="3" t="inlineStr"/>
      <c r="AO262" s="3" t="inlineStr"/>
      <c r="AP262" s="3" t="inlineStr">
        <is>
          <t>v3_2026-03-19</t>
        </is>
      </c>
      <c r="AQ262">
        <f>(L262-Schema_v5!$C2)/(Schema_v5!$C3-Schema_v5!$C2)</f>
        <v/>
      </c>
      <c r="AR262">
        <f>(M262-Schema_v5!$C4)/(Schema_v5!$C5-Schema_v5!$C4)</f>
        <v/>
      </c>
      <c r="AS262">
        <f>N262/Schema_v5!$C6</f>
        <v/>
      </c>
      <c r="AT262">
        <f>O262/Schema_v5!$C7</f>
        <v/>
      </c>
      <c r="AU262">
        <f>P262/Schema_v5!$C8</f>
        <v/>
      </c>
      <c r="AV262">
        <f>IF(Schema_v5!$C9=0,0,AH262/Schema_v5!$C9)</f>
        <v/>
      </c>
      <c r="AW262">
        <f>IF(Schema_v5!$C10=0,0,AE262/Schema_v5!$C10)</f>
        <v/>
      </c>
      <c r="AX262">
        <f>(W262-Schema_v5!$C11)/(Schema_v5!$C12-Schema_v5!$C11)</f>
        <v/>
      </c>
      <c r="AY262">
        <f>(X262-Schema_v5!$C13)/(Schema_v5!$C14-Schema_v5!$C13)</f>
        <v/>
      </c>
    </row>
    <row r="263">
      <c r="A263" s="3" t="inlineStr">
        <is>
          <t>Q52_F</t>
        </is>
      </c>
      <c r="B263" s="3" t="n">
        <v>52</v>
      </c>
      <c r="C263" s="3" t="n">
        <v>101</v>
      </c>
      <c r="D263" s="3" t="inlineStr">
        <is>
          <t>Shadow</t>
        </is>
      </c>
      <c r="E263" s="3" t="n">
        <v>1.3</v>
      </c>
      <c r="F263" s="3" t="inlineStr">
        <is>
          <t>ShadowPattern</t>
        </is>
      </c>
      <c r="G263" s="3" t="inlineStr">
        <is>
          <t>IntegrityRisk</t>
        </is>
      </c>
      <c r="H263" s="3" t="inlineStr"/>
      <c r="I263" s="3" t="inlineStr">
        <is>
          <t>F</t>
        </is>
      </c>
      <c r="J263" s="3" t="inlineStr">
        <is>
          <t>F</t>
        </is>
      </c>
      <c r="K263" s="3" t="inlineStr">
        <is>
          <t>I admit it and punish myself later.</t>
        </is>
      </c>
      <c r="L263" s="3" t="n">
        <v>8</v>
      </c>
      <c r="M263" s="3" t="inlineStr"/>
      <c r="N263" s="3" t="n">
        <v>2</v>
      </c>
      <c r="O263" s="3" t="n">
        <v>2</v>
      </c>
      <c r="P263" s="3" t="n">
        <v>2</v>
      </c>
      <c r="Q263" s="3" t="inlineStr"/>
      <c r="R263" s="3" t="inlineStr"/>
      <c r="S263" s="3" t="inlineStr">
        <is>
          <t>Self-Saboteur</t>
        </is>
      </c>
      <c r="T263" s="3" t="n">
        <v>6</v>
      </c>
      <c r="U263" s="3" t="n">
        <v>8</v>
      </c>
      <c r="V263" s="3" t="inlineStr">
        <is>
          <t>masc:0.0;fem:0.0</t>
        </is>
      </c>
      <c r="W263" s="3" t="n">
        <v>0</v>
      </c>
      <c r="X263" s="3" t="n">
        <v>0</v>
      </c>
      <c r="Y263" s="3" t="inlineStr"/>
      <c r="Z263" s="3" t="inlineStr"/>
      <c r="AA263" s="3" t="inlineStr"/>
      <c r="AB263" s="3" t="inlineStr"/>
      <c r="AC263" s="3" t="inlineStr"/>
      <c r="AD263" s="3" t="inlineStr"/>
      <c r="AE263" s="3" t="n">
        <v>0</v>
      </c>
      <c r="AF263" s="3" t="inlineStr"/>
      <c r="AG263" s="3" t="inlineStr"/>
      <c r="AH263" s="3" t="n">
        <v>0.6</v>
      </c>
      <c r="AI263" s="3" t="inlineStr"/>
      <c r="AJ263" s="3" t="inlineStr">
        <is>
          <t>no</t>
        </is>
      </c>
      <c r="AK263" s="3" t="inlineStr">
        <is>
          <t>no</t>
        </is>
      </c>
      <c r="AL263" s="3" t="inlineStr">
        <is>
          <t>no</t>
        </is>
      </c>
      <c r="AM263" s="3" t="inlineStr"/>
      <c r="AN263" s="3" t="inlineStr"/>
      <c r="AO263" s="3" t="inlineStr"/>
      <c r="AP263" s="3" t="inlineStr">
        <is>
          <t>v3_2026-03-19</t>
        </is>
      </c>
      <c r="AQ263">
        <f>(L263-Schema_v5!$C2)/(Schema_v5!$C3-Schema_v5!$C2)</f>
        <v/>
      </c>
      <c r="AR263">
        <f>(M263-Schema_v5!$C4)/(Schema_v5!$C5-Schema_v5!$C4)</f>
        <v/>
      </c>
      <c r="AS263">
        <f>N263/Schema_v5!$C6</f>
        <v/>
      </c>
      <c r="AT263">
        <f>O263/Schema_v5!$C7</f>
        <v/>
      </c>
      <c r="AU263">
        <f>P263/Schema_v5!$C8</f>
        <v/>
      </c>
      <c r="AV263">
        <f>IF(Schema_v5!$C9=0,0,AH263/Schema_v5!$C9)</f>
        <v/>
      </c>
      <c r="AW263">
        <f>IF(Schema_v5!$C10=0,0,AE263/Schema_v5!$C10)</f>
        <v/>
      </c>
      <c r="AX263">
        <f>(W263-Schema_v5!$C11)/(Schema_v5!$C12-Schema_v5!$C11)</f>
        <v/>
      </c>
      <c r="AY263">
        <f>(X263-Schema_v5!$C13)/(Schema_v5!$C14-Schema_v5!$C13)</f>
        <v/>
      </c>
    </row>
    <row r="264">
      <c r="A264" s="3" t="inlineStr">
        <is>
          <t>Q53_A</t>
        </is>
      </c>
      <c r="B264" s="3" t="n">
        <v>53</v>
      </c>
      <c r="C264" s="3" t="n">
        <v>102</v>
      </c>
      <c r="D264" s="3" t="inlineStr">
        <is>
          <t>Shadow</t>
        </is>
      </c>
      <c r="E264" s="3" t="n">
        <v>1.3</v>
      </c>
      <c r="F264" s="3" t="inlineStr">
        <is>
          <t>ShadowPattern</t>
        </is>
      </c>
      <c r="G264" s="3" t="inlineStr">
        <is>
          <t>IntegrityRisk</t>
        </is>
      </c>
      <c r="H264" s="3" t="inlineStr">
        <is>
          <t>They disappoint you emotionally. No apology, no awareness. What happens next?</t>
        </is>
      </c>
      <c r="I264" s="3" t="inlineStr">
        <is>
          <t>A</t>
        </is>
      </c>
      <c r="J264" s="3" t="inlineStr">
        <is>
          <t>A</t>
        </is>
      </c>
      <c r="K264" s="3" t="inlineStr">
        <is>
          <t>I bring it up in a way that makes them feel guilty.</t>
        </is>
      </c>
      <c r="L264" s="3" t="n">
        <v>4</v>
      </c>
      <c r="M264" s="3" t="inlineStr"/>
      <c r="N264" s="3" t="n">
        <v>4</v>
      </c>
      <c r="O264" s="3" t="n">
        <v>4</v>
      </c>
      <c r="P264" s="3" t="n">
        <v>4</v>
      </c>
      <c r="Q264" s="3" t="inlineStr"/>
      <c r="R264" s="3" t="inlineStr"/>
      <c r="S264" s="3" t="inlineStr">
        <is>
          <t>Manipulator</t>
        </is>
      </c>
      <c r="T264" s="3" t="n">
        <v>1</v>
      </c>
      <c r="U264" s="3" t="n">
        <v>6</v>
      </c>
      <c r="V264" s="3" t="inlineStr">
        <is>
          <t>masc:0.0;fem:0.0</t>
        </is>
      </c>
      <c r="W264" s="3" t="n">
        <v>0</v>
      </c>
      <c r="X264" s="3" t="n">
        <v>0</v>
      </c>
      <c r="Y264" s="3" t="inlineStr"/>
      <c r="Z264" s="3" t="inlineStr"/>
      <c r="AA264" s="3" t="inlineStr"/>
      <c r="AB264" s="3" t="inlineStr"/>
      <c r="AC264" s="3" t="inlineStr"/>
      <c r="AD264" s="3" t="inlineStr"/>
      <c r="AE264" s="3" t="n">
        <v>0</v>
      </c>
      <c r="AF264" s="3" t="inlineStr"/>
      <c r="AG264" s="3" t="inlineStr"/>
      <c r="AH264" s="3" t="n">
        <v>0.6</v>
      </c>
      <c r="AI264" s="3" t="inlineStr"/>
      <c r="AJ264" s="3" t="inlineStr">
        <is>
          <t>yes</t>
        </is>
      </c>
      <c r="AK264" s="3" t="inlineStr">
        <is>
          <t>no</t>
        </is>
      </c>
      <c r="AL264" s="3" t="inlineStr">
        <is>
          <t>no</t>
        </is>
      </c>
      <c r="AM264" s="3" t="inlineStr"/>
      <c r="AN264" s="3" t="inlineStr"/>
      <c r="AO264" s="3" t="inlineStr"/>
      <c r="AP264" s="3" t="inlineStr">
        <is>
          <t>v3_2026-03-19</t>
        </is>
      </c>
      <c r="AQ264">
        <f>(L264-Schema_v5!$C2)/(Schema_v5!$C3-Schema_v5!$C2)</f>
        <v/>
      </c>
      <c r="AR264">
        <f>(M264-Schema_v5!$C4)/(Schema_v5!$C5-Schema_v5!$C4)</f>
        <v/>
      </c>
      <c r="AS264">
        <f>N264/Schema_v5!$C6</f>
        <v/>
      </c>
      <c r="AT264">
        <f>O264/Schema_v5!$C7</f>
        <v/>
      </c>
      <c r="AU264">
        <f>P264/Schema_v5!$C8</f>
        <v/>
      </c>
      <c r="AV264">
        <f>IF(Schema_v5!$C9=0,0,AH264/Schema_v5!$C9)</f>
        <v/>
      </c>
      <c r="AW264">
        <f>IF(Schema_v5!$C10=0,0,AE264/Schema_v5!$C10)</f>
        <v/>
      </c>
      <c r="AX264">
        <f>(W264-Schema_v5!$C11)/(Schema_v5!$C12-Schema_v5!$C11)</f>
        <v/>
      </c>
      <c r="AY264">
        <f>(X264-Schema_v5!$C13)/(Schema_v5!$C14-Schema_v5!$C13)</f>
        <v/>
      </c>
    </row>
    <row r="265">
      <c r="A265" s="3" t="inlineStr">
        <is>
          <t>Q53_B</t>
        </is>
      </c>
      <c r="B265" s="3" t="n">
        <v>53</v>
      </c>
      <c r="C265" s="3" t="n">
        <v>102</v>
      </c>
      <c r="D265" s="3" t="inlineStr">
        <is>
          <t>Shadow</t>
        </is>
      </c>
      <c r="E265" s="3" t="n">
        <v>1.3</v>
      </c>
      <c r="F265" s="3" t="inlineStr">
        <is>
          <t>ShadowPattern</t>
        </is>
      </c>
      <c r="G265" s="3" t="inlineStr">
        <is>
          <t>IntegrityRisk</t>
        </is>
      </c>
      <c r="H265" s="3" t="inlineStr"/>
      <c r="I265" s="3" t="inlineStr">
        <is>
          <t>B</t>
        </is>
      </c>
      <c r="J265" s="3" t="inlineStr">
        <is>
          <t>B</t>
        </is>
      </c>
      <c r="K265" s="3" t="inlineStr">
        <is>
          <t>I go distant and make them guess what's wrong.</t>
        </is>
      </c>
      <c r="L265" s="3" t="n">
        <v>3</v>
      </c>
      <c r="M265" s="3" t="inlineStr"/>
      <c r="N265" s="3" t="n">
        <v>6</v>
      </c>
      <c r="O265" s="3" t="n">
        <v>6</v>
      </c>
      <c r="P265" s="3" t="n">
        <v>6</v>
      </c>
      <c r="Q265" s="3" t="inlineStr"/>
      <c r="R265" s="3" t="inlineStr"/>
      <c r="S265" s="3" t="inlineStr">
        <is>
          <t>Stonewaller</t>
        </is>
      </c>
      <c r="T265" s="3" t="n">
        <v>2</v>
      </c>
      <c r="U265" s="3" t="n">
        <v>4</v>
      </c>
      <c r="V265" s="3" t="inlineStr">
        <is>
          <t>masc:0.0;fem:0.0</t>
        </is>
      </c>
      <c r="W265" s="3" t="n">
        <v>0</v>
      </c>
      <c r="X265" s="3" t="n">
        <v>0</v>
      </c>
      <c r="Y265" s="3" t="inlineStr"/>
      <c r="Z265" s="3" t="inlineStr"/>
      <c r="AA265" s="3" t="inlineStr"/>
      <c r="AB265" s="3" t="inlineStr"/>
      <c r="AC265" s="3" t="inlineStr"/>
      <c r="AD265" s="3" t="inlineStr"/>
      <c r="AE265" s="3" t="n">
        <v>0</v>
      </c>
      <c r="AF265" s="3" t="inlineStr"/>
      <c r="AG265" s="3" t="inlineStr"/>
      <c r="AH265" s="3" t="n">
        <v>0.6</v>
      </c>
      <c r="AI265" s="3" t="inlineStr"/>
      <c r="AJ265" s="3" t="inlineStr">
        <is>
          <t>yes</t>
        </is>
      </c>
      <c r="AK265" s="3" t="inlineStr">
        <is>
          <t>no</t>
        </is>
      </c>
      <c r="AL265" s="3" t="inlineStr">
        <is>
          <t>no</t>
        </is>
      </c>
      <c r="AM265" s="3" t="inlineStr"/>
      <c r="AN265" s="3" t="inlineStr"/>
      <c r="AO265" s="3" t="inlineStr"/>
      <c r="AP265" s="3" t="inlineStr">
        <is>
          <t>v3_2026-03-19</t>
        </is>
      </c>
      <c r="AQ265">
        <f>(L265-Schema_v5!$C2)/(Schema_v5!$C3-Schema_v5!$C2)</f>
        <v/>
      </c>
      <c r="AR265">
        <f>(M265-Schema_v5!$C4)/(Schema_v5!$C5-Schema_v5!$C4)</f>
        <v/>
      </c>
      <c r="AS265">
        <f>N265/Schema_v5!$C6</f>
        <v/>
      </c>
      <c r="AT265">
        <f>O265/Schema_v5!$C7</f>
        <v/>
      </c>
      <c r="AU265">
        <f>P265/Schema_v5!$C8</f>
        <v/>
      </c>
      <c r="AV265">
        <f>IF(Schema_v5!$C9=0,0,AH265/Schema_v5!$C9)</f>
        <v/>
      </c>
      <c r="AW265">
        <f>IF(Schema_v5!$C10=0,0,AE265/Schema_v5!$C10)</f>
        <v/>
      </c>
      <c r="AX265">
        <f>(W265-Schema_v5!$C11)/(Schema_v5!$C12-Schema_v5!$C11)</f>
        <v/>
      </c>
      <c r="AY265">
        <f>(X265-Schema_v5!$C13)/(Schema_v5!$C14-Schema_v5!$C13)</f>
        <v/>
      </c>
    </row>
    <row r="266">
      <c r="A266" s="3" t="inlineStr">
        <is>
          <t>Q53_C</t>
        </is>
      </c>
      <c r="B266" s="3" t="n">
        <v>53</v>
      </c>
      <c r="C266" s="3" t="n">
        <v>102</v>
      </c>
      <c r="D266" s="3" t="inlineStr">
        <is>
          <t>Shadow</t>
        </is>
      </c>
      <c r="E266" s="3" t="n">
        <v>1.3</v>
      </c>
      <c r="F266" s="3" t="inlineStr">
        <is>
          <t>ShadowPattern</t>
        </is>
      </c>
      <c r="G266" s="3" t="inlineStr">
        <is>
          <t>IntegrityRisk</t>
        </is>
      </c>
      <c r="H266" s="3" t="inlineStr"/>
      <c r="I266" s="3" t="inlineStr">
        <is>
          <t>C</t>
        </is>
      </c>
      <c r="J266" s="3" t="inlineStr">
        <is>
          <t>C</t>
        </is>
      </c>
      <c r="K266" s="3" t="inlineStr">
        <is>
          <t>I act like I'm over it, but hold it as ammo for later</t>
        </is>
      </c>
      <c r="L266" s="3" t="n">
        <v>5</v>
      </c>
      <c r="M266" s="3" t="inlineStr"/>
      <c r="N266" s="3" t="n">
        <v>4</v>
      </c>
      <c r="O266" s="3" t="n">
        <v>4</v>
      </c>
      <c r="P266" s="3" t="n">
        <v>4</v>
      </c>
      <c r="Q266" s="3" t="inlineStr"/>
      <c r="R266" s="3" t="inlineStr"/>
      <c r="S266" s="3" t="inlineStr">
        <is>
          <t>Love Bomber</t>
        </is>
      </c>
      <c r="T266" s="3" t="n">
        <v>3</v>
      </c>
      <c r="U266" s="3" t="n">
        <v>6</v>
      </c>
      <c r="V266" s="3" t="inlineStr">
        <is>
          <t>masc:0.0;fem:0.0</t>
        </is>
      </c>
      <c r="W266" s="3" t="n">
        <v>0</v>
      </c>
      <c r="X266" s="3" t="n">
        <v>0</v>
      </c>
      <c r="Y266" s="3" t="inlineStr"/>
      <c r="Z266" s="3" t="inlineStr"/>
      <c r="AA266" s="3" t="inlineStr"/>
      <c r="AB266" s="3" t="inlineStr"/>
      <c r="AC266" s="3" t="inlineStr"/>
      <c r="AD266" s="3" t="inlineStr"/>
      <c r="AE266" s="3" t="n">
        <v>0</v>
      </c>
      <c r="AF266" s="3" t="inlineStr"/>
      <c r="AG266" s="3" t="inlineStr"/>
      <c r="AH266" s="3" t="n">
        <v>0.6</v>
      </c>
      <c r="AI266" s="3" t="inlineStr"/>
      <c r="AJ266" s="3" t="inlineStr">
        <is>
          <t>no</t>
        </is>
      </c>
      <c r="AK266" s="3" t="inlineStr">
        <is>
          <t>no</t>
        </is>
      </c>
      <c r="AL266" s="3" t="inlineStr">
        <is>
          <t>no</t>
        </is>
      </c>
      <c r="AM266" s="3" t="inlineStr"/>
      <c r="AN266" s="3" t="inlineStr"/>
      <c r="AO266" s="3" t="inlineStr"/>
      <c r="AP266" s="3" t="inlineStr">
        <is>
          <t>v3_2026-03-19</t>
        </is>
      </c>
      <c r="AQ266">
        <f>(L266-Schema_v5!$C2)/(Schema_v5!$C3-Schema_v5!$C2)</f>
        <v/>
      </c>
      <c r="AR266">
        <f>(M266-Schema_v5!$C4)/(Schema_v5!$C5-Schema_v5!$C4)</f>
        <v/>
      </c>
      <c r="AS266">
        <f>N266/Schema_v5!$C6</f>
        <v/>
      </c>
      <c r="AT266">
        <f>O266/Schema_v5!$C7</f>
        <v/>
      </c>
      <c r="AU266">
        <f>P266/Schema_v5!$C8</f>
        <v/>
      </c>
      <c r="AV266">
        <f>IF(Schema_v5!$C9=0,0,AH266/Schema_v5!$C9)</f>
        <v/>
      </c>
      <c r="AW266">
        <f>IF(Schema_v5!$C10=0,0,AE266/Schema_v5!$C10)</f>
        <v/>
      </c>
      <c r="AX266">
        <f>(W266-Schema_v5!$C11)/(Schema_v5!$C12-Schema_v5!$C11)</f>
        <v/>
      </c>
      <c r="AY266">
        <f>(X266-Schema_v5!$C13)/(Schema_v5!$C14-Schema_v5!$C13)</f>
        <v/>
      </c>
    </row>
    <row r="267">
      <c r="A267" s="3" t="inlineStr">
        <is>
          <t>Q53_D</t>
        </is>
      </c>
      <c r="B267" s="3" t="n">
        <v>53</v>
      </c>
      <c r="C267" s="3" t="n">
        <v>102</v>
      </c>
      <c r="D267" s="3" t="inlineStr">
        <is>
          <t>Shadow</t>
        </is>
      </c>
      <c r="E267" s="3" t="n">
        <v>1.3</v>
      </c>
      <c r="F267" s="3" t="inlineStr">
        <is>
          <t>ShadowPattern</t>
        </is>
      </c>
      <c r="G267" s="3" t="inlineStr">
        <is>
          <t>IntegrityRisk</t>
        </is>
      </c>
      <c r="H267" s="3" t="inlineStr"/>
      <c r="I267" s="3" t="inlineStr">
        <is>
          <t>D</t>
        </is>
      </c>
      <c r="J267" s="3" t="inlineStr">
        <is>
          <t>D</t>
        </is>
      </c>
      <c r="K267" s="3" t="inlineStr">
        <is>
          <t>I mirror whatever version of me they liked last time.</t>
        </is>
      </c>
      <c r="L267" s="3" t="n">
        <v>6</v>
      </c>
      <c r="M267" s="3" t="inlineStr"/>
      <c r="N267" s="3" t="n">
        <v>4</v>
      </c>
      <c r="O267" s="3" t="n">
        <v>4</v>
      </c>
      <c r="P267" s="3" t="n">
        <v>4</v>
      </c>
      <c r="Q267" s="3" t="inlineStr"/>
      <c r="R267" s="3" t="inlineStr"/>
      <c r="S267" s="3" t="inlineStr">
        <is>
          <t>Chameleon</t>
        </is>
      </c>
      <c r="T267" s="3" t="n">
        <v>4</v>
      </c>
      <c r="U267" s="3" t="n">
        <v>6</v>
      </c>
      <c r="V267" s="3" t="inlineStr">
        <is>
          <t>masc:0.0;fem:0.0</t>
        </is>
      </c>
      <c r="W267" s="3" t="n">
        <v>0</v>
      </c>
      <c r="X267" s="3" t="n">
        <v>0</v>
      </c>
      <c r="Y267" s="3" t="inlineStr"/>
      <c r="Z267" s="3" t="inlineStr"/>
      <c r="AA267" s="3" t="inlineStr"/>
      <c r="AB267" s="3" t="inlineStr"/>
      <c r="AC267" s="3" t="inlineStr"/>
      <c r="AD267" s="3" t="inlineStr"/>
      <c r="AE267" s="3" t="n">
        <v>0</v>
      </c>
      <c r="AF267" s="3" t="inlineStr"/>
      <c r="AG267" s="3" t="inlineStr"/>
      <c r="AH267" s="3" t="n">
        <v>0</v>
      </c>
      <c r="AI267" s="3" t="inlineStr"/>
      <c r="AJ267" s="3" t="inlineStr">
        <is>
          <t>no</t>
        </is>
      </c>
      <c r="AK267" s="3" t="inlineStr">
        <is>
          <t>no</t>
        </is>
      </c>
      <c r="AL267" s="3" t="inlineStr">
        <is>
          <t>no</t>
        </is>
      </c>
      <c r="AM267" s="3" t="inlineStr"/>
      <c r="AN267" s="3" t="inlineStr"/>
      <c r="AO267" s="3" t="inlineStr"/>
      <c r="AP267" s="3" t="inlineStr">
        <is>
          <t>v3_2026-03-19</t>
        </is>
      </c>
      <c r="AQ267">
        <f>(L267-Schema_v5!$C2)/(Schema_v5!$C3-Schema_v5!$C2)</f>
        <v/>
      </c>
      <c r="AR267">
        <f>(M267-Schema_v5!$C4)/(Schema_v5!$C5-Schema_v5!$C4)</f>
        <v/>
      </c>
      <c r="AS267">
        <f>N267/Schema_v5!$C6</f>
        <v/>
      </c>
      <c r="AT267">
        <f>O267/Schema_v5!$C7</f>
        <v/>
      </c>
      <c r="AU267">
        <f>P267/Schema_v5!$C8</f>
        <v/>
      </c>
      <c r="AV267">
        <f>IF(Schema_v5!$C9=0,0,AH267/Schema_v5!$C9)</f>
        <v/>
      </c>
      <c r="AW267">
        <f>IF(Schema_v5!$C10=0,0,AE267/Schema_v5!$C10)</f>
        <v/>
      </c>
      <c r="AX267">
        <f>(W267-Schema_v5!$C11)/(Schema_v5!$C12-Schema_v5!$C11)</f>
        <v/>
      </c>
      <c r="AY267">
        <f>(X267-Schema_v5!$C13)/(Schema_v5!$C14-Schema_v5!$C13)</f>
        <v/>
      </c>
    </row>
    <row r="268">
      <c r="A268" s="3" t="inlineStr">
        <is>
          <t>Q53_E</t>
        </is>
      </c>
      <c r="B268" s="3" t="n">
        <v>53</v>
      </c>
      <c r="C268" s="3" t="n">
        <v>102</v>
      </c>
      <c r="D268" s="3" t="inlineStr">
        <is>
          <t>Shadow</t>
        </is>
      </c>
      <c r="E268" s="3" t="n">
        <v>1.3</v>
      </c>
      <c r="F268" s="3" t="inlineStr">
        <is>
          <t>ShadowPattern</t>
        </is>
      </c>
      <c r="G268" s="3" t="inlineStr">
        <is>
          <t>IntegrityRisk</t>
        </is>
      </c>
      <c r="H268" s="3" t="inlineStr"/>
      <c r="I268" s="3" t="inlineStr">
        <is>
          <t>E</t>
        </is>
      </c>
      <c r="J268" s="3" t="inlineStr">
        <is>
          <t>E</t>
        </is>
      </c>
      <c r="K268" s="3" t="inlineStr">
        <is>
          <t>I start tracking every moment they come up short.</t>
        </is>
      </c>
      <c r="L268" s="3" t="n">
        <v>7</v>
      </c>
      <c r="M268" s="3" t="inlineStr"/>
      <c r="N268" s="3" t="n">
        <v>2</v>
      </c>
      <c r="O268" s="3" t="n">
        <v>2</v>
      </c>
      <c r="P268" s="3" t="n">
        <v>2</v>
      </c>
      <c r="Q268" s="3" t="inlineStr"/>
      <c r="R268" s="3" t="inlineStr"/>
      <c r="S268" s="3" t="inlineStr">
        <is>
          <t>Scorekeeper</t>
        </is>
      </c>
      <c r="T268" s="3" t="n">
        <v>5</v>
      </c>
      <c r="U268" s="3" t="n">
        <v>8</v>
      </c>
      <c r="V268" s="3" t="inlineStr">
        <is>
          <t>masc:0.0;fem:0.0</t>
        </is>
      </c>
      <c r="W268" s="3" t="n">
        <v>0</v>
      </c>
      <c r="X268" s="3" t="n">
        <v>0</v>
      </c>
      <c r="Y268" s="3" t="inlineStr"/>
      <c r="Z268" s="3" t="inlineStr"/>
      <c r="AA268" s="3" t="inlineStr"/>
      <c r="AB268" s="3" t="inlineStr"/>
      <c r="AC268" s="3" t="inlineStr"/>
      <c r="AD268" s="3" t="inlineStr"/>
      <c r="AE268" s="3" t="n">
        <v>0</v>
      </c>
      <c r="AF268" s="3" t="inlineStr"/>
      <c r="AG268" s="3" t="inlineStr"/>
      <c r="AH268" s="3" t="n">
        <v>0</v>
      </c>
      <c r="AI268" s="3" t="inlineStr"/>
      <c r="AJ268" s="3" t="inlineStr">
        <is>
          <t>no</t>
        </is>
      </c>
      <c r="AK268" s="3" t="inlineStr">
        <is>
          <t>no</t>
        </is>
      </c>
      <c r="AL268" s="3" t="inlineStr">
        <is>
          <t>no</t>
        </is>
      </c>
      <c r="AM268" s="3" t="inlineStr"/>
      <c r="AN268" s="3" t="inlineStr"/>
      <c r="AO268" s="3" t="inlineStr"/>
      <c r="AP268" s="3" t="inlineStr">
        <is>
          <t>v3_2026-03-19</t>
        </is>
      </c>
      <c r="AQ268">
        <f>(L268-Schema_v5!$C2)/(Schema_v5!$C3-Schema_v5!$C2)</f>
        <v/>
      </c>
      <c r="AR268">
        <f>(M268-Schema_v5!$C4)/(Schema_v5!$C5-Schema_v5!$C4)</f>
        <v/>
      </c>
      <c r="AS268">
        <f>N268/Schema_v5!$C6</f>
        <v/>
      </c>
      <c r="AT268">
        <f>O268/Schema_v5!$C7</f>
        <v/>
      </c>
      <c r="AU268">
        <f>P268/Schema_v5!$C8</f>
        <v/>
      </c>
      <c r="AV268">
        <f>IF(Schema_v5!$C9=0,0,AH268/Schema_v5!$C9)</f>
        <v/>
      </c>
      <c r="AW268">
        <f>IF(Schema_v5!$C10=0,0,AE268/Schema_v5!$C10)</f>
        <v/>
      </c>
      <c r="AX268">
        <f>(W268-Schema_v5!$C11)/(Schema_v5!$C12-Schema_v5!$C11)</f>
        <v/>
      </c>
      <c r="AY268">
        <f>(X268-Schema_v5!$C13)/(Schema_v5!$C14-Schema_v5!$C13)</f>
        <v/>
      </c>
    </row>
    <row r="269">
      <c r="A269" s="3" t="inlineStr">
        <is>
          <t>Q53_F</t>
        </is>
      </c>
      <c r="B269" s="3" t="n">
        <v>53</v>
      </c>
      <c r="C269" s="3" t="n">
        <v>102</v>
      </c>
      <c r="D269" s="3" t="inlineStr">
        <is>
          <t>Shadow</t>
        </is>
      </c>
      <c r="E269" s="3" t="n">
        <v>1.3</v>
      </c>
      <c r="F269" s="3" t="inlineStr">
        <is>
          <t>ShadowPattern</t>
        </is>
      </c>
      <c r="G269" s="3" t="inlineStr">
        <is>
          <t>IntegrityRisk</t>
        </is>
      </c>
      <c r="H269" s="3" t="inlineStr"/>
      <c r="I269" s="3" t="inlineStr">
        <is>
          <t>F</t>
        </is>
      </c>
      <c r="J269" s="3" t="inlineStr">
        <is>
          <t>F</t>
        </is>
      </c>
      <c r="K269" s="3" t="inlineStr">
        <is>
          <t>I decide it's probably my fault and try harder to earn their care.</t>
        </is>
      </c>
      <c r="L269" s="3" t="n">
        <v>8</v>
      </c>
      <c r="M269" s="3" t="inlineStr"/>
      <c r="N269" s="3" t="n">
        <v>2</v>
      </c>
      <c r="O269" s="3" t="n">
        <v>2</v>
      </c>
      <c r="P269" s="3" t="n">
        <v>2</v>
      </c>
      <c r="Q269" s="3" t="inlineStr"/>
      <c r="R269" s="3" t="inlineStr"/>
      <c r="S269" s="3" t="inlineStr">
        <is>
          <t>Self-Saboteur</t>
        </is>
      </c>
      <c r="T269" s="3" t="n">
        <v>6</v>
      </c>
      <c r="U269" s="3" t="n">
        <v>8</v>
      </c>
      <c r="V269" s="3" t="inlineStr">
        <is>
          <t>masc:0.0;fem:0.0</t>
        </is>
      </c>
      <c r="W269" s="3" t="n">
        <v>0</v>
      </c>
      <c r="X269" s="3" t="n">
        <v>0</v>
      </c>
      <c r="Y269" s="3" t="inlineStr"/>
      <c r="Z269" s="3" t="inlineStr"/>
      <c r="AA269" s="3" t="inlineStr"/>
      <c r="AB269" s="3" t="inlineStr"/>
      <c r="AC269" s="3" t="inlineStr"/>
      <c r="AD269" s="3" t="inlineStr"/>
      <c r="AE269" s="3" t="n">
        <v>0</v>
      </c>
      <c r="AF269" s="3" t="inlineStr"/>
      <c r="AG269" s="3" t="inlineStr"/>
      <c r="AH269" s="3" t="n">
        <v>0</v>
      </c>
      <c r="AI269" s="3" t="inlineStr"/>
      <c r="AJ269" s="3" t="inlineStr">
        <is>
          <t>no</t>
        </is>
      </c>
      <c r="AK269" s="3" t="inlineStr">
        <is>
          <t>no</t>
        </is>
      </c>
      <c r="AL269" s="3" t="inlineStr">
        <is>
          <t>no</t>
        </is>
      </c>
      <c r="AM269" s="3" t="inlineStr"/>
      <c r="AN269" s="3" t="inlineStr"/>
      <c r="AO269" s="3" t="inlineStr"/>
      <c r="AP269" s="3" t="inlineStr">
        <is>
          <t>v3_2026-03-19</t>
        </is>
      </c>
      <c r="AQ269">
        <f>(L269-Schema_v5!$C2)/(Schema_v5!$C3-Schema_v5!$C2)</f>
        <v/>
      </c>
      <c r="AR269">
        <f>(M269-Schema_v5!$C4)/(Schema_v5!$C5-Schema_v5!$C4)</f>
        <v/>
      </c>
      <c r="AS269">
        <f>N269/Schema_v5!$C6</f>
        <v/>
      </c>
      <c r="AT269">
        <f>O269/Schema_v5!$C7</f>
        <v/>
      </c>
      <c r="AU269">
        <f>P269/Schema_v5!$C8</f>
        <v/>
      </c>
      <c r="AV269">
        <f>IF(Schema_v5!$C9=0,0,AH269/Schema_v5!$C9)</f>
        <v/>
      </c>
      <c r="AW269">
        <f>IF(Schema_v5!$C10=0,0,AE269/Schema_v5!$C10)</f>
        <v/>
      </c>
      <c r="AX269">
        <f>(W269-Schema_v5!$C11)/(Schema_v5!$C12-Schema_v5!$C11)</f>
        <v/>
      </c>
      <c r="AY269">
        <f>(X269-Schema_v5!$C13)/(Schema_v5!$C14-Schema_v5!$C13)</f>
        <v/>
      </c>
    </row>
    <row r="270">
      <c r="A270" s="3" t="inlineStr">
        <is>
          <t>Q54_A</t>
        </is>
      </c>
      <c r="B270" s="3" t="n">
        <v>54</v>
      </c>
      <c r="C270" s="3" t="n">
        <v>103</v>
      </c>
      <c r="D270" s="3" t="inlineStr">
        <is>
          <t>Shadow</t>
        </is>
      </c>
      <c r="E270" s="3" t="n">
        <v>1.3</v>
      </c>
      <c r="F270" s="3" t="inlineStr">
        <is>
          <t>ShadowPattern</t>
        </is>
      </c>
      <c r="G270" s="3" t="inlineStr">
        <is>
          <t>IntegrityRisk</t>
        </is>
      </c>
      <c r="H270" s="3" t="inlineStr">
        <is>
          <t>They suddenly need space. How do you respond?</t>
        </is>
      </c>
      <c r="I270" s="3" t="inlineStr">
        <is>
          <t>A</t>
        </is>
      </c>
      <c r="J270" s="3" t="inlineStr">
        <is>
          <t>A</t>
        </is>
      </c>
      <c r="K270" s="3" t="inlineStr">
        <is>
          <t>I fake my own distance so they feel what I felt.</t>
        </is>
      </c>
      <c r="L270" s="3" t="n">
        <v>4</v>
      </c>
      <c r="M270" s="3" t="inlineStr"/>
      <c r="N270" s="3" t="n">
        <v>4</v>
      </c>
      <c r="O270" s="3" t="n">
        <v>4</v>
      </c>
      <c r="P270" s="3" t="n">
        <v>4</v>
      </c>
      <c r="Q270" s="3" t="inlineStr"/>
      <c r="R270" s="3" t="inlineStr"/>
      <c r="S270" s="3" t="inlineStr">
        <is>
          <t>Manipulator</t>
        </is>
      </c>
      <c r="T270" s="3" t="n">
        <v>1</v>
      </c>
      <c r="U270" s="3" t="n">
        <v>6</v>
      </c>
      <c r="V270" s="3" t="inlineStr">
        <is>
          <t>masc:0.0;fem:0.0</t>
        </is>
      </c>
      <c r="W270" s="3" t="n">
        <v>0</v>
      </c>
      <c r="X270" s="3" t="n">
        <v>0</v>
      </c>
      <c r="Y270" s="3" t="inlineStr"/>
      <c r="Z270" s="3" t="inlineStr"/>
      <c r="AA270" s="3" t="inlineStr"/>
      <c r="AB270" s="3" t="inlineStr"/>
      <c r="AC270" s="3" t="inlineStr"/>
      <c r="AD270" s="3" t="inlineStr"/>
      <c r="AE270" s="3" t="n">
        <v>0</v>
      </c>
      <c r="AF270" s="3" t="inlineStr"/>
      <c r="AG270" s="3" t="inlineStr"/>
      <c r="AH270" s="3" t="n">
        <v>0</v>
      </c>
      <c r="AI270" s="3" t="inlineStr"/>
      <c r="AJ270" s="3" t="inlineStr">
        <is>
          <t>yes</t>
        </is>
      </c>
      <c r="AK270" s="3" t="inlineStr">
        <is>
          <t>no</t>
        </is>
      </c>
      <c r="AL270" s="3" t="inlineStr">
        <is>
          <t>no</t>
        </is>
      </c>
      <c r="AM270" s="3" t="inlineStr"/>
      <c r="AN270" s="3" t="inlineStr"/>
      <c r="AO270" s="3" t="inlineStr"/>
      <c r="AP270" s="3" t="inlineStr">
        <is>
          <t>v3_2026-03-19</t>
        </is>
      </c>
      <c r="AQ270">
        <f>(L270-Schema_v5!$C2)/(Schema_v5!$C3-Schema_v5!$C2)</f>
        <v/>
      </c>
      <c r="AR270">
        <f>(M270-Schema_v5!$C4)/(Schema_v5!$C5-Schema_v5!$C4)</f>
        <v/>
      </c>
      <c r="AS270">
        <f>N270/Schema_v5!$C6</f>
        <v/>
      </c>
      <c r="AT270">
        <f>O270/Schema_v5!$C7</f>
        <v/>
      </c>
      <c r="AU270">
        <f>P270/Schema_v5!$C8</f>
        <v/>
      </c>
      <c r="AV270">
        <f>IF(Schema_v5!$C9=0,0,AH270/Schema_v5!$C9)</f>
        <v/>
      </c>
      <c r="AW270">
        <f>IF(Schema_v5!$C10=0,0,AE270/Schema_v5!$C10)</f>
        <v/>
      </c>
      <c r="AX270">
        <f>(W270-Schema_v5!$C11)/(Schema_v5!$C12-Schema_v5!$C11)</f>
        <v/>
      </c>
      <c r="AY270">
        <f>(X270-Schema_v5!$C13)/(Schema_v5!$C14-Schema_v5!$C13)</f>
        <v/>
      </c>
    </row>
    <row r="271">
      <c r="A271" s="3" t="inlineStr">
        <is>
          <t>Q54_B</t>
        </is>
      </c>
      <c r="B271" s="3" t="n">
        <v>54</v>
      </c>
      <c r="C271" s="3" t="n">
        <v>103</v>
      </c>
      <c r="D271" s="3" t="inlineStr">
        <is>
          <t>Shadow</t>
        </is>
      </c>
      <c r="E271" s="3" t="n">
        <v>1.3</v>
      </c>
      <c r="F271" s="3" t="inlineStr">
        <is>
          <t>ShadowPattern</t>
        </is>
      </c>
      <c r="G271" s="3" t="inlineStr">
        <is>
          <t>IntegrityRisk</t>
        </is>
      </c>
      <c r="H271" s="3" t="inlineStr"/>
      <c r="I271" s="3" t="inlineStr">
        <is>
          <t>B</t>
        </is>
      </c>
      <c r="J271" s="3" t="inlineStr">
        <is>
          <t>B</t>
        </is>
      </c>
      <c r="K271" s="3" t="inlineStr">
        <is>
          <t>I just go quiet-if they want space, they got it</t>
        </is>
      </c>
      <c r="L271" s="3" t="n">
        <v>3</v>
      </c>
      <c r="M271" s="3" t="inlineStr"/>
      <c r="N271" s="3" t="n">
        <v>6</v>
      </c>
      <c r="O271" s="3" t="n">
        <v>6</v>
      </c>
      <c r="P271" s="3" t="n">
        <v>6</v>
      </c>
      <c r="Q271" s="3" t="inlineStr"/>
      <c r="R271" s="3" t="inlineStr"/>
      <c r="S271" s="3" t="inlineStr">
        <is>
          <t>Stonewaller</t>
        </is>
      </c>
      <c r="T271" s="3" t="n">
        <v>2</v>
      </c>
      <c r="U271" s="3" t="n">
        <v>4</v>
      </c>
      <c r="V271" s="3" t="inlineStr">
        <is>
          <t>masc:0.0;fem:0.0</t>
        </is>
      </c>
      <c r="W271" s="3" t="n">
        <v>0</v>
      </c>
      <c r="X271" s="3" t="n">
        <v>0</v>
      </c>
      <c r="Y271" s="3" t="inlineStr"/>
      <c r="Z271" s="3" t="inlineStr"/>
      <c r="AA271" s="3" t="inlineStr"/>
      <c r="AB271" s="3" t="inlineStr"/>
      <c r="AC271" s="3" t="inlineStr"/>
      <c r="AD271" s="3" t="inlineStr"/>
      <c r="AE271" s="3" t="n">
        <v>0</v>
      </c>
      <c r="AF271" s="3" t="inlineStr"/>
      <c r="AG271" s="3" t="inlineStr"/>
      <c r="AH271" s="3" t="n">
        <v>0</v>
      </c>
      <c r="AI271" s="3" t="inlineStr"/>
      <c r="AJ271" s="3" t="inlineStr">
        <is>
          <t>yes</t>
        </is>
      </c>
      <c r="AK271" s="3" t="inlineStr">
        <is>
          <t>no</t>
        </is>
      </c>
      <c r="AL271" s="3" t="inlineStr">
        <is>
          <t>no</t>
        </is>
      </c>
      <c r="AM271" s="3" t="inlineStr"/>
      <c r="AN271" s="3" t="inlineStr"/>
      <c r="AO271" s="3" t="inlineStr"/>
      <c r="AP271" s="3" t="inlineStr">
        <is>
          <t>v3_2026-03-19</t>
        </is>
      </c>
      <c r="AQ271">
        <f>(L271-Schema_v5!$C2)/(Schema_v5!$C3-Schema_v5!$C2)</f>
        <v/>
      </c>
      <c r="AR271">
        <f>(M271-Schema_v5!$C4)/(Schema_v5!$C5-Schema_v5!$C4)</f>
        <v/>
      </c>
      <c r="AS271">
        <f>N271/Schema_v5!$C6</f>
        <v/>
      </c>
      <c r="AT271">
        <f>O271/Schema_v5!$C7</f>
        <v/>
      </c>
      <c r="AU271">
        <f>P271/Schema_v5!$C8</f>
        <v/>
      </c>
      <c r="AV271">
        <f>IF(Schema_v5!$C9=0,0,AH271/Schema_v5!$C9)</f>
        <v/>
      </c>
      <c r="AW271">
        <f>IF(Schema_v5!$C10=0,0,AE271/Schema_v5!$C10)</f>
        <v/>
      </c>
      <c r="AX271">
        <f>(W271-Schema_v5!$C11)/(Schema_v5!$C12-Schema_v5!$C11)</f>
        <v/>
      </c>
      <c r="AY271">
        <f>(X271-Schema_v5!$C13)/(Schema_v5!$C14-Schema_v5!$C13)</f>
        <v/>
      </c>
    </row>
    <row r="272">
      <c r="A272" s="3" t="inlineStr">
        <is>
          <t>Q54_C</t>
        </is>
      </c>
      <c r="B272" s="3" t="n">
        <v>54</v>
      </c>
      <c r="C272" s="3" t="n">
        <v>103</v>
      </c>
      <c r="D272" s="3" t="inlineStr">
        <is>
          <t>Shadow</t>
        </is>
      </c>
      <c r="E272" s="3" t="n">
        <v>1.3</v>
      </c>
      <c r="F272" s="3" t="inlineStr">
        <is>
          <t>ShadowPattern</t>
        </is>
      </c>
      <c r="G272" s="3" t="inlineStr">
        <is>
          <t>IntegrityRisk</t>
        </is>
      </c>
      <c r="H272" s="3" t="inlineStr"/>
      <c r="I272" s="3" t="inlineStr">
        <is>
          <t>C</t>
        </is>
      </c>
      <c r="J272" s="3" t="inlineStr">
        <is>
          <t>C</t>
        </is>
      </c>
      <c r="K272" s="3" t="inlineStr">
        <is>
          <t>I throw out a casual "lol okay" then go post something spicy.</t>
        </is>
      </c>
      <c r="L272" s="3" t="n">
        <v>5</v>
      </c>
      <c r="M272" s="3" t="inlineStr"/>
      <c r="N272" s="3" t="n">
        <v>4</v>
      </c>
      <c r="O272" s="3" t="n">
        <v>4</v>
      </c>
      <c r="P272" s="3" t="n">
        <v>4</v>
      </c>
      <c r="Q272" s="3" t="inlineStr"/>
      <c r="R272" s="3" t="inlineStr"/>
      <c r="S272" s="3" t="inlineStr">
        <is>
          <t>Love Bomber</t>
        </is>
      </c>
      <c r="T272" s="3" t="n">
        <v>3</v>
      </c>
      <c r="U272" s="3" t="n">
        <v>6</v>
      </c>
      <c r="V272" s="3" t="inlineStr">
        <is>
          <t>masc:0.0;fem:0.0</t>
        </is>
      </c>
      <c r="W272" s="3" t="n">
        <v>0</v>
      </c>
      <c r="X272" s="3" t="n">
        <v>0</v>
      </c>
      <c r="Y272" s="3" t="inlineStr"/>
      <c r="Z272" s="3" t="inlineStr"/>
      <c r="AA272" s="3" t="inlineStr"/>
      <c r="AB272" s="3" t="inlineStr"/>
      <c r="AC272" s="3" t="inlineStr"/>
      <c r="AD272" s="3" t="inlineStr"/>
      <c r="AE272" s="3" t="n">
        <v>0</v>
      </c>
      <c r="AF272" s="3" t="inlineStr"/>
      <c r="AG272" s="3" t="inlineStr"/>
      <c r="AH272" s="3" t="n">
        <v>0</v>
      </c>
      <c r="AI272" s="3" t="inlineStr"/>
      <c r="AJ272" s="3" t="inlineStr">
        <is>
          <t>no</t>
        </is>
      </c>
      <c r="AK272" s="3" t="inlineStr">
        <is>
          <t>no</t>
        </is>
      </c>
      <c r="AL272" s="3" t="inlineStr">
        <is>
          <t>no</t>
        </is>
      </c>
      <c r="AM272" s="3" t="inlineStr"/>
      <c r="AN272" s="3" t="inlineStr"/>
      <c r="AO272" s="3" t="inlineStr"/>
      <c r="AP272" s="3" t="inlineStr">
        <is>
          <t>v3_2026-03-19</t>
        </is>
      </c>
      <c r="AQ272">
        <f>(L272-Schema_v5!$C2)/(Schema_v5!$C3-Schema_v5!$C2)</f>
        <v/>
      </c>
      <c r="AR272">
        <f>(M272-Schema_v5!$C4)/(Schema_v5!$C5-Schema_v5!$C4)</f>
        <v/>
      </c>
      <c r="AS272">
        <f>N272/Schema_v5!$C6</f>
        <v/>
      </c>
      <c r="AT272">
        <f>O272/Schema_v5!$C7</f>
        <v/>
      </c>
      <c r="AU272">
        <f>P272/Schema_v5!$C8</f>
        <v/>
      </c>
      <c r="AV272">
        <f>IF(Schema_v5!$C9=0,0,AH272/Schema_v5!$C9)</f>
        <v/>
      </c>
      <c r="AW272">
        <f>IF(Schema_v5!$C10=0,0,AE272/Schema_v5!$C10)</f>
        <v/>
      </c>
      <c r="AX272">
        <f>(W272-Schema_v5!$C11)/(Schema_v5!$C12-Schema_v5!$C11)</f>
        <v/>
      </c>
      <c r="AY272">
        <f>(X272-Schema_v5!$C13)/(Schema_v5!$C14-Schema_v5!$C13)</f>
        <v/>
      </c>
    </row>
    <row r="273">
      <c r="A273" s="3" t="inlineStr">
        <is>
          <t>Q54_D</t>
        </is>
      </c>
      <c r="B273" s="3" t="n">
        <v>54</v>
      </c>
      <c r="C273" s="3" t="n">
        <v>103</v>
      </c>
      <c r="D273" s="3" t="inlineStr">
        <is>
          <t>Shadow</t>
        </is>
      </c>
      <c r="E273" s="3" t="n">
        <v>1.3</v>
      </c>
      <c r="F273" s="3" t="inlineStr">
        <is>
          <t>ShadowPattern</t>
        </is>
      </c>
      <c r="G273" s="3" t="inlineStr">
        <is>
          <t>IntegrityRisk</t>
        </is>
      </c>
      <c r="H273" s="3" t="inlineStr"/>
      <c r="I273" s="3" t="inlineStr">
        <is>
          <t>D</t>
        </is>
      </c>
      <c r="J273" s="3" t="inlineStr">
        <is>
          <t>D</t>
        </is>
      </c>
      <c r="K273" s="3" t="inlineStr">
        <is>
          <t>I change my tone and energy to whatever feels safest now.</t>
        </is>
      </c>
      <c r="L273" s="3" t="n">
        <v>6</v>
      </c>
      <c r="M273" s="3" t="inlineStr"/>
      <c r="N273" s="3" t="n">
        <v>4</v>
      </c>
      <c r="O273" s="3" t="n">
        <v>4</v>
      </c>
      <c r="P273" s="3" t="n">
        <v>4</v>
      </c>
      <c r="Q273" s="3" t="inlineStr"/>
      <c r="R273" s="3" t="inlineStr"/>
      <c r="S273" s="3" t="inlineStr">
        <is>
          <t>Chameleon</t>
        </is>
      </c>
      <c r="T273" s="3" t="n">
        <v>4</v>
      </c>
      <c r="U273" s="3" t="n">
        <v>6</v>
      </c>
      <c r="V273" s="3" t="inlineStr">
        <is>
          <t>masc:0.0;fem:0.0</t>
        </is>
      </c>
      <c r="W273" s="3" t="n">
        <v>0</v>
      </c>
      <c r="X273" s="3" t="n">
        <v>0</v>
      </c>
      <c r="Y273" s="3" t="inlineStr"/>
      <c r="Z273" s="3" t="inlineStr"/>
      <c r="AA273" s="3" t="inlineStr"/>
      <c r="AB273" s="3" t="inlineStr"/>
      <c r="AC273" s="3" t="inlineStr"/>
      <c r="AD273" s="3" t="inlineStr"/>
      <c r="AE273" s="3" t="n">
        <v>0</v>
      </c>
      <c r="AF273" s="3" t="inlineStr"/>
      <c r="AG273" s="3" t="inlineStr"/>
      <c r="AH273" s="3" t="n">
        <v>0</v>
      </c>
      <c r="AI273" s="3" t="inlineStr"/>
      <c r="AJ273" s="3" t="inlineStr">
        <is>
          <t>no</t>
        </is>
      </c>
      <c r="AK273" s="3" t="inlineStr">
        <is>
          <t>no</t>
        </is>
      </c>
      <c r="AL273" s="3" t="inlineStr">
        <is>
          <t>no</t>
        </is>
      </c>
      <c r="AM273" s="3" t="inlineStr"/>
      <c r="AN273" s="3" t="inlineStr"/>
      <c r="AO273" s="3" t="inlineStr"/>
      <c r="AP273" s="3" t="inlineStr">
        <is>
          <t>v3_2026-03-19</t>
        </is>
      </c>
      <c r="AQ273">
        <f>(L273-Schema_v5!$C2)/(Schema_v5!$C3-Schema_v5!$C2)</f>
        <v/>
      </c>
      <c r="AR273">
        <f>(M273-Schema_v5!$C4)/(Schema_v5!$C5-Schema_v5!$C4)</f>
        <v/>
      </c>
      <c r="AS273">
        <f>N273/Schema_v5!$C6</f>
        <v/>
      </c>
      <c r="AT273">
        <f>O273/Schema_v5!$C7</f>
        <v/>
      </c>
      <c r="AU273">
        <f>P273/Schema_v5!$C8</f>
        <v/>
      </c>
      <c r="AV273">
        <f>IF(Schema_v5!$C9=0,0,AH273/Schema_v5!$C9)</f>
        <v/>
      </c>
      <c r="AW273">
        <f>IF(Schema_v5!$C10=0,0,AE273/Schema_v5!$C10)</f>
        <v/>
      </c>
      <c r="AX273">
        <f>(W273-Schema_v5!$C11)/(Schema_v5!$C12-Schema_v5!$C11)</f>
        <v/>
      </c>
      <c r="AY273">
        <f>(X273-Schema_v5!$C13)/(Schema_v5!$C14-Schema_v5!$C13)</f>
        <v/>
      </c>
    </row>
    <row r="274">
      <c r="A274" s="3" t="inlineStr">
        <is>
          <t>Q54_E</t>
        </is>
      </c>
      <c r="B274" s="3" t="n">
        <v>54</v>
      </c>
      <c r="C274" s="3" t="n">
        <v>103</v>
      </c>
      <c r="D274" s="3" t="inlineStr">
        <is>
          <t>Shadow</t>
        </is>
      </c>
      <c r="E274" s="3" t="n">
        <v>1.3</v>
      </c>
      <c r="F274" s="3" t="inlineStr">
        <is>
          <t>ShadowPattern</t>
        </is>
      </c>
      <c r="G274" s="3" t="inlineStr">
        <is>
          <t>IntegrityRisk</t>
        </is>
      </c>
      <c r="H274" s="3" t="inlineStr"/>
      <c r="I274" s="3" t="inlineStr">
        <is>
          <t>E</t>
        </is>
      </c>
      <c r="J274" s="3" t="inlineStr">
        <is>
          <t>E</t>
        </is>
      </c>
      <c r="K274" s="3" t="inlineStr">
        <is>
          <t>I mentally log it and wait to match the behavior later.</t>
        </is>
      </c>
      <c r="L274" s="3" t="n">
        <v>7</v>
      </c>
      <c r="M274" s="3" t="inlineStr"/>
      <c r="N274" s="3" t="n">
        <v>2</v>
      </c>
      <c r="O274" s="3" t="n">
        <v>2</v>
      </c>
      <c r="P274" s="3" t="n">
        <v>2</v>
      </c>
      <c r="Q274" s="3" t="inlineStr"/>
      <c r="R274" s="3" t="inlineStr"/>
      <c r="S274" s="3" t="inlineStr">
        <is>
          <t>Scorekeeper</t>
        </is>
      </c>
      <c r="T274" s="3" t="n">
        <v>5</v>
      </c>
      <c r="U274" s="3" t="n">
        <v>8</v>
      </c>
      <c r="V274" s="3" t="inlineStr">
        <is>
          <t>masc:0.0;fem:0.0</t>
        </is>
      </c>
      <c r="W274" s="3" t="n">
        <v>0</v>
      </c>
      <c r="X274" s="3" t="n">
        <v>0</v>
      </c>
      <c r="Y274" s="3" t="inlineStr"/>
      <c r="Z274" s="3" t="inlineStr"/>
      <c r="AA274" s="3" t="inlineStr"/>
      <c r="AB274" s="3" t="inlineStr"/>
      <c r="AC274" s="3" t="inlineStr"/>
      <c r="AD274" s="3" t="inlineStr"/>
      <c r="AE274" s="3" t="n">
        <v>0</v>
      </c>
      <c r="AF274" s="3" t="inlineStr"/>
      <c r="AG274" s="3" t="inlineStr"/>
      <c r="AH274" s="3" t="n">
        <v>0</v>
      </c>
      <c r="AI274" s="3" t="inlineStr"/>
      <c r="AJ274" s="3" t="inlineStr">
        <is>
          <t>no</t>
        </is>
      </c>
      <c r="AK274" s="3" t="inlineStr">
        <is>
          <t>no</t>
        </is>
      </c>
      <c r="AL274" s="3" t="inlineStr">
        <is>
          <t>no</t>
        </is>
      </c>
      <c r="AM274" s="3" t="inlineStr"/>
      <c r="AN274" s="3" t="inlineStr"/>
      <c r="AO274" s="3" t="inlineStr"/>
      <c r="AP274" s="3" t="inlineStr">
        <is>
          <t>v3_2026-03-19</t>
        </is>
      </c>
      <c r="AQ274">
        <f>(L274-Schema_v5!$C2)/(Schema_v5!$C3-Schema_v5!$C2)</f>
        <v/>
      </c>
      <c r="AR274">
        <f>(M274-Schema_v5!$C4)/(Schema_v5!$C5-Schema_v5!$C4)</f>
        <v/>
      </c>
      <c r="AS274">
        <f>N274/Schema_v5!$C6</f>
        <v/>
      </c>
      <c r="AT274">
        <f>O274/Schema_v5!$C7</f>
        <v/>
      </c>
      <c r="AU274">
        <f>P274/Schema_v5!$C8</f>
        <v/>
      </c>
      <c r="AV274">
        <f>IF(Schema_v5!$C9=0,0,AH274/Schema_v5!$C9)</f>
        <v/>
      </c>
      <c r="AW274">
        <f>IF(Schema_v5!$C10=0,0,AE274/Schema_v5!$C10)</f>
        <v/>
      </c>
      <c r="AX274">
        <f>(W274-Schema_v5!$C11)/(Schema_v5!$C12-Schema_v5!$C11)</f>
        <v/>
      </c>
      <c r="AY274">
        <f>(X274-Schema_v5!$C13)/(Schema_v5!$C14-Schema_v5!$C13)</f>
        <v/>
      </c>
    </row>
    <row r="275">
      <c r="A275" s="3" t="inlineStr">
        <is>
          <t>Q54_F</t>
        </is>
      </c>
      <c r="B275" s="3" t="n">
        <v>54</v>
      </c>
      <c r="C275" s="3" t="n">
        <v>103</v>
      </c>
      <c r="D275" s="3" t="inlineStr">
        <is>
          <t>Shadow</t>
        </is>
      </c>
      <c r="E275" s="3" t="n">
        <v>1.3</v>
      </c>
      <c r="F275" s="3" t="inlineStr">
        <is>
          <t>ShadowPattern</t>
        </is>
      </c>
      <c r="G275" s="3" t="inlineStr">
        <is>
          <t>IntegrityRisk</t>
        </is>
      </c>
      <c r="H275" s="3" t="inlineStr"/>
      <c r="I275" s="3" t="inlineStr">
        <is>
          <t>F</t>
        </is>
      </c>
      <c r="J275" s="3" t="inlineStr">
        <is>
          <t>F</t>
        </is>
      </c>
      <c r="K275" s="3" t="inlineStr">
        <is>
          <t>I panic a little and assume I pushed them away.</t>
        </is>
      </c>
      <c r="L275" s="3" t="n">
        <v>8</v>
      </c>
      <c r="M275" s="3" t="inlineStr"/>
      <c r="N275" s="3" t="n">
        <v>2</v>
      </c>
      <c r="O275" s="3" t="n">
        <v>2</v>
      </c>
      <c r="P275" s="3" t="n">
        <v>2</v>
      </c>
      <c r="Q275" s="3" t="inlineStr"/>
      <c r="R275" s="3" t="inlineStr"/>
      <c r="S275" s="3" t="inlineStr">
        <is>
          <t>Self-Saboteur</t>
        </is>
      </c>
      <c r="T275" s="3" t="n">
        <v>6</v>
      </c>
      <c r="U275" s="3" t="n">
        <v>8</v>
      </c>
      <c r="V275" s="3" t="inlineStr">
        <is>
          <t>masc:0.0;fem:0.0</t>
        </is>
      </c>
      <c r="W275" s="3" t="n">
        <v>0</v>
      </c>
      <c r="X275" s="3" t="n">
        <v>0</v>
      </c>
      <c r="Y275" s="3" t="inlineStr"/>
      <c r="Z275" s="3" t="inlineStr"/>
      <c r="AA275" s="3" t="inlineStr"/>
      <c r="AB275" s="3" t="inlineStr"/>
      <c r="AC275" s="3" t="inlineStr"/>
      <c r="AD275" s="3" t="inlineStr"/>
      <c r="AE275" s="3" t="n">
        <v>0</v>
      </c>
      <c r="AF275" s="3" t="inlineStr"/>
      <c r="AG275" s="3" t="inlineStr"/>
      <c r="AH275" s="3" t="n">
        <v>0</v>
      </c>
      <c r="AI275" s="3" t="inlineStr"/>
      <c r="AJ275" s="3" t="inlineStr">
        <is>
          <t>no</t>
        </is>
      </c>
      <c r="AK275" s="3" t="inlineStr">
        <is>
          <t>no</t>
        </is>
      </c>
      <c r="AL275" s="3" t="inlineStr">
        <is>
          <t>no</t>
        </is>
      </c>
      <c r="AM275" s="3" t="inlineStr"/>
      <c r="AN275" s="3" t="inlineStr"/>
      <c r="AO275" s="3" t="inlineStr"/>
      <c r="AP275" s="3" t="inlineStr">
        <is>
          <t>v3_2026-03-19</t>
        </is>
      </c>
      <c r="AQ275">
        <f>(L275-Schema_v5!$C2)/(Schema_v5!$C3-Schema_v5!$C2)</f>
        <v/>
      </c>
      <c r="AR275">
        <f>(M275-Schema_v5!$C4)/(Schema_v5!$C5-Schema_v5!$C4)</f>
        <v/>
      </c>
      <c r="AS275">
        <f>N275/Schema_v5!$C6</f>
        <v/>
      </c>
      <c r="AT275">
        <f>O275/Schema_v5!$C7</f>
        <v/>
      </c>
      <c r="AU275">
        <f>P275/Schema_v5!$C8</f>
        <v/>
      </c>
      <c r="AV275">
        <f>IF(Schema_v5!$C9=0,0,AH275/Schema_v5!$C9)</f>
        <v/>
      </c>
      <c r="AW275">
        <f>IF(Schema_v5!$C10=0,0,AE275/Schema_v5!$C10)</f>
        <v/>
      </c>
      <c r="AX275">
        <f>(W275-Schema_v5!$C11)/(Schema_v5!$C12-Schema_v5!$C11)</f>
        <v/>
      </c>
      <c r="AY275">
        <f>(X275-Schema_v5!$C13)/(Schema_v5!$C14-Schema_v5!$C13)</f>
        <v/>
      </c>
    </row>
    <row r="276">
      <c r="A276" s="3" t="inlineStr">
        <is>
          <t>Q55_A</t>
        </is>
      </c>
      <c r="B276" s="3" t="n">
        <v>55</v>
      </c>
      <c r="C276" s="3" t="n">
        <v>104</v>
      </c>
      <c r="D276" s="3" t="inlineStr">
        <is>
          <t>Shadow</t>
        </is>
      </c>
      <c r="E276" s="3" t="n">
        <v>1.35</v>
      </c>
      <c r="F276" s="3" t="inlineStr">
        <is>
          <t>ShadowPattern</t>
        </is>
      </c>
      <c r="G276" s="3" t="inlineStr">
        <is>
          <t>IntegrityRisk</t>
        </is>
      </c>
      <c r="H276" s="3" t="inlineStr">
        <is>
          <t>You open up about something hard, but they respond awkwardly. What's your reflex?</t>
        </is>
      </c>
      <c r="I276" s="3" t="inlineStr">
        <is>
          <t>A</t>
        </is>
      </c>
      <c r="J276" s="3" t="inlineStr">
        <is>
          <t>A</t>
        </is>
      </c>
      <c r="K276" s="3" t="inlineStr">
        <is>
          <t>I redirect with sarcasm or ask a deeper question about them.</t>
        </is>
      </c>
      <c r="L276" s="3" t="n">
        <v>4</v>
      </c>
      <c r="M276" s="3" t="inlineStr"/>
      <c r="N276" s="3" t="n">
        <v>4</v>
      </c>
      <c r="O276" s="3" t="n">
        <v>4</v>
      </c>
      <c r="P276" s="3" t="n">
        <v>4</v>
      </c>
      <c r="Q276" s="3" t="inlineStr"/>
      <c r="R276" s="3" t="inlineStr"/>
      <c r="S276" s="3" t="inlineStr">
        <is>
          <t>Manipulator</t>
        </is>
      </c>
      <c r="T276" s="3" t="n">
        <v>1</v>
      </c>
      <c r="U276" s="3" t="n">
        <v>6</v>
      </c>
      <c r="V276" s="3" t="inlineStr">
        <is>
          <t>masc:0.0;fem:0.0</t>
        </is>
      </c>
      <c r="W276" s="3" t="n">
        <v>0</v>
      </c>
      <c r="X276" s="3" t="n">
        <v>0</v>
      </c>
      <c r="Y276" s="3" t="inlineStr"/>
      <c r="Z276" s="3" t="inlineStr"/>
      <c r="AA276" s="3" t="inlineStr"/>
      <c r="AB276" s="3" t="inlineStr"/>
      <c r="AC276" s="3" t="inlineStr"/>
      <c r="AD276" s="3" t="inlineStr"/>
      <c r="AE276" s="3" t="n">
        <v>0</v>
      </c>
      <c r="AF276" s="3" t="inlineStr"/>
      <c r="AG276" s="3" t="inlineStr"/>
      <c r="AH276" s="3" t="n">
        <v>0</v>
      </c>
      <c r="AI276" s="3" t="inlineStr"/>
      <c r="AJ276" s="3" t="inlineStr">
        <is>
          <t>yes</t>
        </is>
      </c>
      <c r="AK276" s="3" t="inlineStr">
        <is>
          <t>no</t>
        </is>
      </c>
      <c r="AL276" s="3" t="inlineStr">
        <is>
          <t>no</t>
        </is>
      </c>
      <c r="AM276" s="3" t="inlineStr"/>
      <c r="AN276" s="3" t="inlineStr"/>
      <c r="AO276" s="3" t="inlineStr"/>
      <c r="AP276" s="3" t="inlineStr">
        <is>
          <t>v3_2026-03-19</t>
        </is>
      </c>
      <c r="AQ276">
        <f>(L276-Schema_v5!$C2)/(Schema_v5!$C3-Schema_v5!$C2)</f>
        <v/>
      </c>
      <c r="AR276">
        <f>(M276-Schema_v5!$C4)/(Schema_v5!$C5-Schema_v5!$C4)</f>
        <v/>
      </c>
      <c r="AS276">
        <f>N276/Schema_v5!$C6</f>
        <v/>
      </c>
      <c r="AT276">
        <f>O276/Schema_v5!$C7</f>
        <v/>
      </c>
      <c r="AU276">
        <f>P276/Schema_v5!$C8</f>
        <v/>
      </c>
      <c r="AV276">
        <f>IF(Schema_v5!$C9=0,0,AH276/Schema_v5!$C9)</f>
        <v/>
      </c>
      <c r="AW276">
        <f>IF(Schema_v5!$C10=0,0,AE276/Schema_v5!$C10)</f>
        <v/>
      </c>
      <c r="AX276">
        <f>(W276-Schema_v5!$C11)/(Schema_v5!$C12-Schema_v5!$C11)</f>
        <v/>
      </c>
      <c r="AY276">
        <f>(X276-Schema_v5!$C13)/(Schema_v5!$C14-Schema_v5!$C13)</f>
        <v/>
      </c>
    </row>
    <row r="277">
      <c r="A277" s="3" t="inlineStr">
        <is>
          <t>Q55_B</t>
        </is>
      </c>
      <c r="B277" s="3" t="n">
        <v>55</v>
      </c>
      <c r="C277" s="3" t="n">
        <v>104</v>
      </c>
      <c r="D277" s="3" t="inlineStr">
        <is>
          <t>Shadow</t>
        </is>
      </c>
      <c r="E277" s="3" t="n">
        <v>1.35</v>
      </c>
      <c r="F277" s="3" t="inlineStr">
        <is>
          <t>ShadowPattern</t>
        </is>
      </c>
      <c r="G277" s="3" t="inlineStr">
        <is>
          <t>IntegrityRisk</t>
        </is>
      </c>
      <c r="H277" s="3" t="inlineStr"/>
      <c r="I277" s="3" t="inlineStr">
        <is>
          <t>B</t>
        </is>
      </c>
      <c r="J277" s="3" t="inlineStr">
        <is>
          <t>B</t>
        </is>
      </c>
      <c r="K277" s="3" t="inlineStr">
        <is>
          <t>I shut down. You'll never hear that side again.</t>
        </is>
      </c>
      <c r="L277" s="3" t="n">
        <v>3</v>
      </c>
      <c r="M277" s="3" t="inlineStr"/>
      <c r="N277" s="3" t="n">
        <v>6</v>
      </c>
      <c r="O277" s="3" t="n">
        <v>6</v>
      </c>
      <c r="P277" s="3" t="n">
        <v>6</v>
      </c>
      <c r="Q277" s="3" t="inlineStr"/>
      <c r="R277" s="3" t="inlineStr"/>
      <c r="S277" s="3" t="inlineStr">
        <is>
          <t>Stonewaller</t>
        </is>
      </c>
      <c r="T277" s="3" t="n">
        <v>2</v>
      </c>
      <c r="U277" s="3" t="n">
        <v>4</v>
      </c>
      <c r="V277" s="3" t="inlineStr">
        <is>
          <t>masc:0.0;fem:0.0</t>
        </is>
      </c>
      <c r="W277" s="3" t="n">
        <v>0</v>
      </c>
      <c r="X277" s="3" t="n">
        <v>0</v>
      </c>
      <c r="Y277" s="3" t="inlineStr"/>
      <c r="Z277" s="3" t="inlineStr"/>
      <c r="AA277" s="3" t="inlineStr"/>
      <c r="AB277" s="3" t="inlineStr"/>
      <c r="AC277" s="3" t="inlineStr"/>
      <c r="AD277" s="3" t="inlineStr"/>
      <c r="AE277" s="3" t="n">
        <v>0</v>
      </c>
      <c r="AF277" s="3" t="inlineStr"/>
      <c r="AG277" s="3" t="inlineStr"/>
      <c r="AH277" s="3" t="n">
        <v>0</v>
      </c>
      <c r="AI277" s="3" t="inlineStr"/>
      <c r="AJ277" s="3" t="inlineStr">
        <is>
          <t>yes</t>
        </is>
      </c>
      <c r="AK277" s="3" t="inlineStr">
        <is>
          <t>no</t>
        </is>
      </c>
      <c r="AL277" s="3" t="inlineStr">
        <is>
          <t>no</t>
        </is>
      </c>
      <c r="AM277" s="3" t="inlineStr"/>
      <c r="AN277" s="3" t="inlineStr"/>
      <c r="AO277" s="3" t="inlineStr"/>
      <c r="AP277" s="3" t="inlineStr">
        <is>
          <t>v3_2026-03-19</t>
        </is>
      </c>
      <c r="AQ277">
        <f>(L277-Schema_v5!$C2)/(Schema_v5!$C3-Schema_v5!$C2)</f>
        <v/>
      </c>
      <c r="AR277">
        <f>(M277-Schema_v5!$C4)/(Schema_v5!$C5-Schema_v5!$C4)</f>
        <v/>
      </c>
      <c r="AS277">
        <f>N277/Schema_v5!$C6</f>
        <v/>
      </c>
      <c r="AT277">
        <f>O277/Schema_v5!$C7</f>
        <v/>
      </c>
      <c r="AU277">
        <f>P277/Schema_v5!$C8</f>
        <v/>
      </c>
      <c r="AV277">
        <f>IF(Schema_v5!$C9=0,0,AH277/Schema_v5!$C9)</f>
        <v/>
      </c>
      <c r="AW277">
        <f>IF(Schema_v5!$C10=0,0,AE277/Schema_v5!$C10)</f>
        <v/>
      </c>
      <c r="AX277">
        <f>(W277-Schema_v5!$C11)/(Schema_v5!$C12-Schema_v5!$C11)</f>
        <v/>
      </c>
      <c r="AY277">
        <f>(X277-Schema_v5!$C13)/(Schema_v5!$C14-Schema_v5!$C13)</f>
        <v/>
      </c>
    </row>
    <row r="278">
      <c r="A278" s="3" t="inlineStr">
        <is>
          <t>Q55_C</t>
        </is>
      </c>
      <c r="B278" s="3" t="n">
        <v>55</v>
      </c>
      <c r="C278" s="3" t="n">
        <v>104</v>
      </c>
      <c r="D278" s="3" t="inlineStr">
        <is>
          <t>Shadow</t>
        </is>
      </c>
      <c r="E278" s="3" t="n">
        <v>1.35</v>
      </c>
      <c r="F278" s="3" t="inlineStr">
        <is>
          <t>ShadowPattern</t>
        </is>
      </c>
      <c r="G278" s="3" t="inlineStr">
        <is>
          <t>IntegrityRisk</t>
        </is>
      </c>
      <c r="H278" s="3" t="inlineStr"/>
      <c r="I278" s="3" t="inlineStr">
        <is>
          <t>C</t>
        </is>
      </c>
      <c r="J278" s="3" t="inlineStr">
        <is>
          <t>C</t>
        </is>
      </c>
      <c r="K278" s="3" t="inlineStr">
        <is>
          <t>I act like I was just joking. Can't let them see too much.</t>
        </is>
      </c>
      <c r="L278" s="3" t="n">
        <v>5</v>
      </c>
      <c r="M278" s="3" t="inlineStr"/>
      <c r="N278" s="3" t="n">
        <v>4</v>
      </c>
      <c r="O278" s="3" t="n">
        <v>4</v>
      </c>
      <c r="P278" s="3" t="n">
        <v>4</v>
      </c>
      <c r="Q278" s="3" t="inlineStr"/>
      <c r="R278" s="3" t="inlineStr"/>
      <c r="S278" s="3" t="inlineStr">
        <is>
          <t>Love Bomber</t>
        </is>
      </c>
      <c r="T278" s="3" t="n">
        <v>3</v>
      </c>
      <c r="U278" s="3" t="n">
        <v>6</v>
      </c>
      <c r="V278" s="3" t="inlineStr">
        <is>
          <t>masc:0.0;fem:0.0</t>
        </is>
      </c>
      <c r="W278" s="3" t="n">
        <v>0</v>
      </c>
      <c r="X278" s="3" t="n">
        <v>0</v>
      </c>
      <c r="Y278" s="3" t="inlineStr"/>
      <c r="Z278" s="3" t="inlineStr"/>
      <c r="AA278" s="3" t="inlineStr"/>
      <c r="AB278" s="3" t="inlineStr"/>
      <c r="AC278" s="3" t="inlineStr"/>
      <c r="AD278" s="3" t="inlineStr"/>
      <c r="AE278" s="3" t="n">
        <v>0</v>
      </c>
      <c r="AF278" s="3" t="inlineStr"/>
      <c r="AG278" s="3" t="inlineStr"/>
      <c r="AH278" s="3" t="n">
        <v>0</v>
      </c>
      <c r="AI278" s="3" t="inlineStr"/>
      <c r="AJ278" s="3" t="inlineStr">
        <is>
          <t>no</t>
        </is>
      </c>
      <c r="AK278" s="3" t="inlineStr">
        <is>
          <t>no</t>
        </is>
      </c>
      <c r="AL278" s="3" t="inlineStr">
        <is>
          <t>no</t>
        </is>
      </c>
      <c r="AM278" s="3" t="inlineStr"/>
      <c r="AN278" s="3" t="inlineStr"/>
      <c r="AO278" s="3" t="inlineStr"/>
      <c r="AP278" s="3" t="inlineStr">
        <is>
          <t>v3_2026-03-19</t>
        </is>
      </c>
      <c r="AQ278">
        <f>(L278-Schema_v5!$C2)/(Schema_v5!$C3-Schema_v5!$C2)</f>
        <v/>
      </c>
      <c r="AR278">
        <f>(M278-Schema_v5!$C4)/(Schema_v5!$C5-Schema_v5!$C4)</f>
        <v/>
      </c>
      <c r="AS278">
        <f>N278/Schema_v5!$C6</f>
        <v/>
      </c>
      <c r="AT278">
        <f>O278/Schema_v5!$C7</f>
        <v/>
      </c>
      <c r="AU278">
        <f>P278/Schema_v5!$C8</f>
        <v/>
      </c>
      <c r="AV278">
        <f>IF(Schema_v5!$C9=0,0,AH278/Schema_v5!$C9)</f>
        <v/>
      </c>
      <c r="AW278">
        <f>IF(Schema_v5!$C10=0,0,AE278/Schema_v5!$C10)</f>
        <v/>
      </c>
      <c r="AX278">
        <f>(W278-Schema_v5!$C11)/(Schema_v5!$C12-Schema_v5!$C11)</f>
        <v/>
      </c>
      <c r="AY278">
        <f>(X278-Schema_v5!$C13)/(Schema_v5!$C14-Schema_v5!$C13)</f>
        <v/>
      </c>
    </row>
    <row r="279">
      <c r="A279" s="3" t="inlineStr">
        <is>
          <t>Q55_D</t>
        </is>
      </c>
      <c r="B279" s="3" t="n">
        <v>55</v>
      </c>
      <c r="C279" s="3" t="n">
        <v>104</v>
      </c>
      <c r="D279" s="3" t="inlineStr">
        <is>
          <t>Shadow</t>
        </is>
      </c>
      <c r="E279" s="3" t="n">
        <v>1.35</v>
      </c>
      <c r="F279" s="3" t="inlineStr">
        <is>
          <t>ShadowPattern</t>
        </is>
      </c>
      <c r="G279" s="3" t="inlineStr">
        <is>
          <t>IntegrityRisk</t>
        </is>
      </c>
      <c r="H279" s="3" t="inlineStr"/>
      <c r="I279" s="3" t="inlineStr">
        <is>
          <t>D</t>
        </is>
      </c>
      <c r="J279" s="3" t="inlineStr">
        <is>
          <t>D</t>
        </is>
      </c>
      <c r="K279" s="3" t="inlineStr">
        <is>
          <t>I nod like it didn't matter. Then replay the whole convo later.</t>
        </is>
      </c>
      <c r="L279" s="3" t="n">
        <v>6</v>
      </c>
      <c r="M279" s="3" t="inlineStr"/>
      <c r="N279" s="3" t="n">
        <v>4</v>
      </c>
      <c r="O279" s="3" t="n">
        <v>4</v>
      </c>
      <c r="P279" s="3" t="n">
        <v>4</v>
      </c>
      <c r="Q279" s="3" t="inlineStr"/>
      <c r="R279" s="3" t="inlineStr"/>
      <c r="S279" s="3" t="inlineStr">
        <is>
          <t>Chameleon</t>
        </is>
      </c>
      <c r="T279" s="3" t="n">
        <v>4</v>
      </c>
      <c r="U279" s="3" t="n">
        <v>6</v>
      </c>
      <c r="V279" s="3" t="inlineStr">
        <is>
          <t>masc:0.0;fem:0.0</t>
        </is>
      </c>
      <c r="W279" s="3" t="n">
        <v>0</v>
      </c>
      <c r="X279" s="3" t="n">
        <v>0</v>
      </c>
      <c r="Y279" s="3" t="inlineStr"/>
      <c r="Z279" s="3" t="inlineStr"/>
      <c r="AA279" s="3" t="inlineStr"/>
      <c r="AB279" s="3" t="inlineStr"/>
      <c r="AC279" s="3" t="inlineStr"/>
      <c r="AD279" s="3" t="inlineStr"/>
      <c r="AE279" s="3" t="n">
        <v>0</v>
      </c>
      <c r="AF279" s="3" t="inlineStr"/>
      <c r="AG279" s="3" t="inlineStr"/>
      <c r="AH279" s="3" t="n">
        <v>0</v>
      </c>
      <c r="AI279" s="3" t="inlineStr"/>
      <c r="AJ279" s="3" t="inlineStr">
        <is>
          <t>no</t>
        </is>
      </c>
      <c r="AK279" s="3" t="inlineStr">
        <is>
          <t>no</t>
        </is>
      </c>
      <c r="AL279" s="3" t="inlineStr">
        <is>
          <t>no</t>
        </is>
      </c>
      <c r="AM279" s="3" t="inlineStr"/>
      <c r="AN279" s="3" t="inlineStr"/>
      <c r="AO279" s="3" t="inlineStr"/>
      <c r="AP279" s="3" t="inlineStr">
        <is>
          <t>v3_2026-03-19</t>
        </is>
      </c>
      <c r="AQ279">
        <f>(L279-Schema_v5!$C2)/(Schema_v5!$C3-Schema_v5!$C2)</f>
        <v/>
      </c>
      <c r="AR279">
        <f>(M279-Schema_v5!$C4)/(Schema_v5!$C5-Schema_v5!$C4)</f>
        <v/>
      </c>
      <c r="AS279">
        <f>N279/Schema_v5!$C6</f>
        <v/>
      </c>
      <c r="AT279">
        <f>O279/Schema_v5!$C7</f>
        <v/>
      </c>
      <c r="AU279">
        <f>P279/Schema_v5!$C8</f>
        <v/>
      </c>
      <c r="AV279">
        <f>IF(Schema_v5!$C9=0,0,AH279/Schema_v5!$C9)</f>
        <v/>
      </c>
      <c r="AW279">
        <f>IF(Schema_v5!$C10=0,0,AE279/Schema_v5!$C10)</f>
        <v/>
      </c>
      <c r="AX279">
        <f>(W279-Schema_v5!$C11)/(Schema_v5!$C12-Schema_v5!$C11)</f>
        <v/>
      </c>
      <c r="AY279">
        <f>(X279-Schema_v5!$C13)/(Schema_v5!$C14-Schema_v5!$C13)</f>
        <v/>
      </c>
    </row>
    <row r="280">
      <c r="A280" s="3" t="inlineStr">
        <is>
          <t>Q55_E</t>
        </is>
      </c>
      <c r="B280" s="3" t="n">
        <v>55</v>
      </c>
      <c r="C280" s="3" t="n">
        <v>104</v>
      </c>
      <c r="D280" s="3" t="inlineStr">
        <is>
          <t>Shadow</t>
        </is>
      </c>
      <c r="E280" s="3" t="n">
        <v>1.35</v>
      </c>
      <c r="F280" s="3" t="inlineStr">
        <is>
          <t>ShadowPattern</t>
        </is>
      </c>
      <c r="G280" s="3" t="inlineStr">
        <is>
          <t>IntegrityRisk</t>
        </is>
      </c>
      <c r="H280" s="3" t="inlineStr"/>
      <c r="I280" s="3" t="inlineStr">
        <is>
          <t>E</t>
        </is>
      </c>
      <c r="J280" s="3" t="inlineStr">
        <is>
          <t>E</t>
        </is>
      </c>
      <c r="K280" s="3" t="inlineStr">
        <is>
          <t>I tell myself not to open up again until they earn it.</t>
        </is>
      </c>
      <c r="L280" s="3" t="n">
        <v>7</v>
      </c>
      <c r="M280" s="3" t="inlineStr"/>
      <c r="N280" s="3" t="n">
        <v>2</v>
      </c>
      <c r="O280" s="3" t="n">
        <v>2</v>
      </c>
      <c r="P280" s="3" t="n">
        <v>2</v>
      </c>
      <c r="Q280" s="3" t="inlineStr"/>
      <c r="R280" s="3" t="inlineStr"/>
      <c r="S280" s="3" t="inlineStr">
        <is>
          <t>Scorekeeper</t>
        </is>
      </c>
      <c r="T280" s="3" t="n">
        <v>5</v>
      </c>
      <c r="U280" s="3" t="n">
        <v>8</v>
      </c>
      <c r="V280" s="3" t="inlineStr">
        <is>
          <t>masc:0.0;fem:0.0</t>
        </is>
      </c>
      <c r="W280" s="3" t="n">
        <v>0</v>
      </c>
      <c r="X280" s="3" t="n">
        <v>0</v>
      </c>
      <c r="Y280" s="3" t="inlineStr"/>
      <c r="Z280" s="3" t="inlineStr"/>
      <c r="AA280" s="3" t="inlineStr"/>
      <c r="AB280" s="3" t="inlineStr"/>
      <c r="AC280" s="3" t="inlineStr"/>
      <c r="AD280" s="3" t="inlineStr"/>
      <c r="AE280" s="3" t="n">
        <v>0</v>
      </c>
      <c r="AF280" s="3" t="inlineStr"/>
      <c r="AG280" s="3" t="inlineStr"/>
      <c r="AH280" s="3" t="n">
        <v>0</v>
      </c>
      <c r="AI280" s="3" t="inlineStr"/>
      <c r="AJ280" s="3" t="inlineStr">
        <is>
          <t>no</t>
        </is>
      </c>
      <c r="AK280" s="3" t="inlineStr">
        <is>
          <t>no</t>
        </is>
      </c>
      <c r="AL280" s="3" t="inlineStr">
        <is>
          <t>no</t>
        </is>
      </c>
      <c r="AM280" s="3" t="inlineStr"/>
      <c r="AN280" s="3" t="inlineStr"/>
      <c r="AO280" s="3" t="inlineStr"/>
      <c r="AP280" s="3" t="inlineStr">
        <is>
          <t>v3_2026-03-19</t>
        </is>
      </c>
      <c r="AQ280">
        <f>(L280-Schema_v5!$C2)/(Schema_v5!$C3-Schema_v5!$C2)</f>
        <v/>
      </c>
      <c r="AR280">
        <f>(M280-Schema_v5!$C4)/(Schema_v5!$C5-Schema_v5!$C4)</f>
        <v/>
      </c>
      <c r="AS280">
        <f>N280/Schema_v5!$C6</f>
        <v/>
      </c>
      <c r="AT280">
        <f>O280/Schema_v5!$C7</f>
        <v/>
      </c>
      <c r="AU280">
        <f>P280/Schema_v5!$C8</f>
        <v/>
      </c>
      <c r="AV280">
        <f>IF(Schema_v5!$C9=0,0,AH280/Schema_v5!$C9)</f>
        <v/>
      </c>
      <c r="AW280">
        <f>IF(Schema_v5!$C10=0,0,AE280/Schema_v5!$C10)</f>
        <v/>
      </c>
      <c r="AX280">
        <f>(W280-Schema_v5!$C11)/(Schema_v5!$C12-Schema_v5!$C11)</f>
        <v/>
      </c>
      <c r="AY280">
        <f>(X280-Schema_v5!$C13)/(Schema_v5!$C14-Schema_v5!$C13)</f>
        <v/>
      </c>
    </row>
    <row r="281">
      <c r="A281" s="3" t="inlineStr">
        <is>
          <t>Q55_F</t>
        </is>
      </c>
      <c r="B281" s="3" t="n">
        <v>55</v>
      </c>
      <c r="C281" s="3" t="n">
        <v>104</v>
      </c>
      <c r="D281" s="3" t="inlineStr">
        <is>
          <t>Shadow</t>
        </is>
      </c>
      <c r="E281" s="3" t="n">
        <v>1.35</v>
      </c>
      <c r="F281" s="3" t="inlineStr">
        <is>
          <t>ShadowPattern</t>
        </is>
      </c>
      <c r="G281" s="3" t="inlineStr">
        <is>
          <t>IntegrityRisk</t>
        </is>
      </c>
      <c r="H281" s="3" t="inlineStr"/>
      <c r="I281" s="3" t="inlineStr">
        <is>
          <t>F</t>
        </is>
      </c>
      <c r="J281" s="3" t="inlineStr">
        <is>
          <t>F</t>
        </is>
      </c>
      <c r="K281" s="3" t="inlineStr">
        <is>
          <t>I feel embarrassed for trying and want to disappear.</t>
        </is>
      </c>
      <c r="L281" s="3" t="n">
        <v>8</v>
      </c>
      <c r="M281" s="3" t="inlineStr"/>
      <c r="N281" s="3" t="n">
        <v>2</v>
      </c>
      <c r="O281" s="3" t="n">
        <v>2</v>
      </c>
      <c r="P281" s="3" t="n">
        <v>2</v>
      </c>
      <c r="Q281" s="3" t="inlineStr"/>
      <c r="R281" s="3" t="inlineStr"/>
      <c r="S281" s="3" t="inlineStr">
        <is>
          <t>Self-Saboteur</t>
        </is>
      </c>
      <c r="T281" s="3" t="n">
        <v>6</v>
      </c>
      <c r="U281" s="3" t="n">
        <v>8</v>
      </c>
      <c r="V281" s="3" t="inlineStr">
        <is>
          <t>masc:0.0;fem:0.0</t>
        </is>
      </c>
      <c r="W281" s="3" t="n">
        <v>0</v>
      </c>
      <c r="X281" s="3" t="n">
        <v>0</v>
      </c>
      <c r="Y281" s="3" t="inlineStr"/>
      <c r="Z281" s="3" t="inlineStr"/>
      <c r="AA281" s="3" t="inlineStr"/>
      <c r="AB281" s="3" t="inlineStr"/>
      <c r="AC281" s="3" t="inlineStr"/>
      <c r="AD281" s="3" t="inlineStr"/>
      <c r="AE281" s="3" t="n">
        <v>0</v>
      </c>
      <c r="AF281" s="3" t="inlineStr"/>
      <c r="AG281" s="3" t="inlineStr"/>
      <c r="AH281" s="3" t="n">
        <v>0</v>
      </c>
      <c r="AI281" s="3" t="inlineStr"/>
      <c r="AJ281" s="3" t="inlineStr">
        <is>
          <t>no</t>
        </is>
      </c>
      <c r="AK281" s="3" t="inlineStr">
        <is>
          <t>no</t>
        </is>
      </c>
      <c r="AL281" s="3" t="inlineStr">
        <is>
          <t>no</t>
        </is>
      </c>
      <c r="AM281" s="3" t="inlineStr"/>
      <c r="AN281" s="3" t="inlineStr"/>
      <c r="AO281" s="3" t="inlineStr"/>
      <c r="AP281" s="3" t="inlineStr">
        <is>
          <t>v3_2026-03-19</t>
        </is>
      </c>
      <c r="AQ281">
        <f>(L281-Schema_v5!$C2)/(Schema_v5!$C3-Schema_v5!$C2)</f>
        <v/>
      </c>
      <c r="AR281">
        <f>(M281-Schema_v5!$C4)/(Schema_v5!$C5-Schema_v5!$C4)</f>
        <v/>
      </c>
      <c r="AS281">
        <f>N281/Schema_v5!$C6</f>
        <v/>
      </c>
      <c r="AT281">
        <f>O281/Schema_v5!$C7</f>
        <v/>
      </c>
      <c r="AU281">
        <f>P281/Schema_v5!$C8</f>
        <v/>
      </c>
      <c r="AV281">
        <f>IF(Schema_v5!$C9=0,0,AH281/Schema_v5!$C9)</f>
        <v/>
      </c>
      <c r="AW281">
        <f>IF(Schema_v5!$C10=0,0,AE281/Schema_v5!$C10)</f>
        <v/>
      </c>
      <c r="AX281">
        <f>(W281-Schema_v5!$C11)/(Schema_v5!$C12-Schema_v5!$C11)</f>
        <v/>
      </c>
      <c r="AY281">
        <f>(X281-Schema_v5!$C13)/(Schema_v5!$C14-Schema_v5!$C13)</f>
        <v/>
      </c>
    </row>
    <row r="282">
      <c r="A282" s="3" t="inlineStr">
        <is>
          <t>Q56_A</t>
        </is>
      </c>
      <c r="B282" s="3" t="n">
        <v>56</v>
      </c>
      <c r="C282" s="3" t="n">
        <v>105</v>
      </c>
      <c r="D282" s="3" t="inlineStr">
        <is>
          <t>Shadow</t>
        </is>
      </c>
      <c r="E282" s="3" t="n">
        <v>1.35</v>
      </c>
      <c r="F282" s="3" t="inlineStr">
        <is>
          <t>ShadowPattern</t>
        </is>
      </c>
      <c r="G282" s="3" t="inlineStr">
        <is>
          <t>IntegrityRisk</t>
        </is>
      </c>
      <c r="H282" s="3" t="inlineStr">
        <is>
          <t>They forget something important to you. What happens next?</t>
        </is>
      </c>
      <c r="I282" s="3" t="inlineStr">
        <is>
          <t>A</t>
        </is>
      </c>
      <c r="J282" s="3" t="inlineStr">
        <is>
          <t>A</t>
        </is>
      </c>
      <c r="K282" s="3" t="inlineStr">
        <is>
          <t>I bring it up in a way that sounds playful but stings a little.</t>
        </is>
      </c>
      <c r="L282" s="3" t="n">
        <v>4</v>
      </c>
      <c r="M282" s="3" t="inlineStr"/>
      <c r="N282" s="3" t="n">
        <v>4</v>
      </c>
      <c r="O282" s="3" t="n">
        <v>4</v>
      </c>
      <c r="P282" s="3" t="n">
        <v>4</v>
      </c>
      <c r="Q282" s="3" t="inlineStr"/>
      <c r="R282" s="3" t="inlineStr"/>
      <c r="S282" s="3" t="inlineStr">
        <is>
          <t>Manipulator</t>
        </is>
      </c>
      <c r="T282" s="3" t="n">
        <v>1</v>
      </c>
      <c r="U282" s="3" t="n">
        <v>6</v>
      </c>
      <c r="V282" s="3" t="inlineStr">
        <is>
          <t>masc:0.0;fem:0.0</t>
        </is>
      </c>
      <c r="W282" s="3" t="n">
        <v>0</v>
      </c>
      <c r="X282" s="3" t="n">
        <v>0</v>
      </c>
      <c r="Y282" s="3" t="inlineStr"/>
      <c r="Z282" s="3" t="inlineStr"/>
      <c r="AA282" s="3" t="inlineStr"/>
      <c r="AB282" s="3" t="inlineStr"/>
      <c r="AC282" s="3" t="inlineStr"/>
      <c r="AD282" s="3" t="inlineStr"/>
      <c r="AE282" s="3" t="n">
        <v>0</v>
      </c>
      <c r="AF282" s="3" t="inlineStr"/>
      <c r="AG282" s="3" t="inlineStr"/>
      <c r="AH282" s="3" t="n">
        <v>0</v>
      </c>
      <c r="AI282" s="3" t="inlineStr"/>
      <c r="AJ282" s="3" t="inlineStr">
        <is>
          <t>yes</t>
        </is>
      </c>
      <c r="AK282" s="3" t="inlineStr">
        <is>
          <t>no</t>
        </is>
      </c>
      <c r="AL282" s="3" t="inlineStr">
        <is>
          <t>no</t>
        </is>
      </c>
      <c r="AM282" s="3" t="inlineStr"/>
      <c r="AN282" s="3" t="inlineStr"/>
      <c r="AO282" s="3" t="inlineStr"/>
      <c r="AP282" s="3" t="inlineStr">
        <is>
          <t>v3_2026-03-19</t>
        </is>
      </c>
      <c r="AQ282">
        <f>(L282-Schema_v5!$C2)/(Schema_v5!$C3-Schema_v5!$C2)</f>
        <v/>
      </c>
      <c r="AR282">
        <f>(M282-Schema_v5!$C4)/(Schema_v5!$C5-Schema_v5!$C4)</f>
        <v/>
      </c>
      <c r="AS282">
        <f>N282/Schema_v5!$C6</f>
        <v/>
      </c>
      <c r="AT282">
        <f>O282/Schema_v5!$C7</f>
        <v/>
      </c>
      <c r="AU282">
        <f>P282/Schema_v5!$C8</f>
        <v/>
      </c>
      <c r="AV282">
        <f>IF(Schema_v5!$C9=0,0,AH282/Schema_v5!$C9)</f>
        <v/>
      </c>
      <c r="AW282">
        <f>IF(Schema_v5!$C10=0,0,AE282/Schema_v5!$C10)</f>
        <v/>
      </c>
      <c r="AX282">
        <f>(W282-Schema_v5!$C11)/(Schema_v5!$C12-Schema_v5!$C11)</f>
        <v/>
      </c>
      <c r="AY282">
        <f>(X282-Schema_v5!$C13)/(Schema_v5!$C14-Schema_v5!$C13)</f>
        <v/>
      </c>
    </row>
    <row r="283">
      <c r="A283" s="3" t="inlineStr">
        <is>
          <t>Q56_B</t>
        </is>
      </c>
      <c r="B283" s="3" t="n">
        <v>56</v>
      </c>
      <c r="C283" s="3" t="n">
        <v>105</v>
      </c>
      <c r="D283" s="3" t="inlineStr">
        <is>
          <t>Shadow</t>
        </is>
      </c>
      <c r="E283" s="3" t="n">
        <v>1.35</v>
      </c>
      <c r="F283" s="3" t="inlineStr">
        <is>
          <t>ShadowPattern</t>
        </is>
      </c>
      <c r="G283" s="3" t="inlineStr">
        <is>
          <t>IntegrityRisk</t>
        </is>
      </c>
      <c r="H283" s="3" t="inlineStr"/>
      <c r="I283" s="3" t="inlineStr">
        <is>
          <t>B</t>
        </is>
      </c>
      <c r="J283" s="3" t="inlineStr">
        <is>
          <t>B</t>
        </is>
      </c>
      <c r="K283" s="3" t="inlineStr">
        <is>
          <t>I say it's fine, but I withdraw hard after that.</t>
        </is>
      </c>
      <c r="L283" s="3" t="n">
        <v>3</v>
      </c>
      <c r="M283" s="3" t="inlineStr"/>
      <c r="N283" s="3" t="n">
        <v>6</v>
      </c>
      <c r="O283" s="3" t="n">
        <v>6</v>
      </c>
      <c r="P283" s="3" t="n">
        <v>6</v>
      </c>
      <c r="Q283" s="3" t="inlineStr"/>
      <c r="R283" s="3" t="inlineStr"/>
      <c r="S283" s="3" t="inlineStr">
        <is>
          <t>Stonewaller</t>
        </is>
      </c>
      <c r="T283" s="3" t="n">
        <v>2</v>
      </c>
      <c r="U283" s="3" t="n">
        <v>4</v>
      </c>
      <c r="V283" s="3" t="inlineStr">
        <is>
          <t>masc:0.0;fem:0.0</t>
        </is>
      </c>
      <c r="W283" s="3" t="n">
        <v>0</v>
      </c>
      <c r="X283" s="3" t="n">
        <v>0</v>
      </c>
      <c r="Y283" s="3" t="inlineStr"/>
      <c r="Z283" s="3" t="inlineStr"/>
      <c r="AA283" s="3" t="inlineStr"/>
      <c r="AB283" s="3" t="inlineStr"/>
      <c r="AC283" s="3" t="inlineStr"/>
      <c r="AD283" s="3" t="inlineStr"/>
      <c r="AE283" s="3" t="n">
        <v>0</v>
      </c>
      <c r="AF283" s="3" t="inlineStr"/>
      <c r="AG283" s="3" t="inlineStr"/>
      <c r="AH283" s="3" t="n">
        <v>0.6</v>
      </c>
      <c r="AI283" s="3" t="inlineStr"/>
      <c r="AJ283" s="3" t="inlineStr">
        <is>
          <t>yes</t>
        </is>
      </c>
      <c r="AK283" s="3" t="inlineStr">
        <is>
          <t>no</t>
        </is>
      </c>
      <c r="AL283" s="3" t="inlineStr">
        <is>
          <t>no</t>
        </is>
      </c>
      <c r="AM283" s="3" t="inlineStr"/>
      <c r="AN283" s="3" t="inlineStr"/>
      <c r="AO283" s="3" t="inlineStr"/>
      <c r="AP283" s="3" t="inlineStr">
        <is>
          <t>v3_2026-03-19</t>
        </is>
      </c>
      <c r="AQ283">
        <f>(L283-Schema_v5!$C2)/(Schema_v5!$C3-Schema_v5!$C2)</f>
        <v/>
      </c>
      <c r="AR283">
        <f>(M283-Schema_v5!$C4)/(Schema_v5!$C5-Schema_v5!$C4)</f>
        <v/>
      </c>
      <c r="AS283">
        <f>N283/Schema_v5!$C6</f>
        <v/>
      </c>
      <c r="AT283">
        <f>O283/Schema_v5!$C7</f>
        <v/>
      </c>
      <c r="AU283">
        <f>P283/Schema_v5!$C8</f>
        <v/>
      </c>
      <c r="AV283">
        <f>IF(Schema_v5!$C9=0,0,AH283/Schema_v5!$C9)</f>
        <v/>
      </c>
      <c r="AW283">
        <f>IF(Schema_v5!$C10=0,0,AE283/Schema_v5!$C10)</f>
        <v/>
      </c>
      <c r="AX283">
        <f>(W283-Schema_v5!$C11)/(Schema_v5!$C12-Schema_v5!$C11)</f>
        <v/>
      </c>
      <c r="AY283">
        <f>(X283-Schema_v5!$C13)/(Schema_v5!$C14-Schema_v5!$C13)</f>
        <v/>
      </c>
    </row>
    <row r="284">
      <c r="A284" s="3" t="inlineStr">
        <is>
          <t>Q56_C</t>
        </is>
      </c>
      <c r="B284" s="3" t="n">
        <v>56</v>
      </c>
      <c r="C284" s="3" t="n">
        <v>105</v>
      </c>
      <c r="D284" s="3" t="inlineStr">
        <is>
          <t>Shadow</t>
        </is>
      </c>
      <c r="E284" s="3" t="n">
        <v>1.35</v>
      </c>
      <c r="F284" s="3" t="inlineStr">
        <is>
          <t>ShadowPattern</t>
        </is>
      </c>
      <c r="G284" s="3" t="inlineStr">
        <is>
          <t>IntegrityRisk</t>
        </is>
      </c>
      <c r="H284" s="3" t="inlineStr"/>
      <c r="I284" s="3" t="inlineStr">
        <is>
          <t>C</t>
        </is>
      </c>
      <c r="J284" s="3" t="inlineStr">
        <is>
          <t>C</t>
        </is>
      </c>
      <c r="K284" s="3" t="inlineStr">
        <is>
          <t>I act like I forgot something of theirs too, balance it out.</t>
        </is>
      </c>
      <c r="L284" s="3" t="n">
        <v>5</v>
      </c>
      <c r="M284" s="3" t="inlineStr"/>
      <c r="N284" s="3" t="n">
        <v>4</v>
      </c>
      <c r="O284" s="3" t="n">
        <v>4</v>
      </c>
      <c r="P284" s="3" t="n">
        <v>4</v>
      </c>
      <c r="Q284" s="3" t="inlineStr"/>
      <c r="R284" s="3" t="inlineStr"/>
      <c r="S284" s="3" t="inlineStr">
        <is>
          <t>Love Bomber</t>
        </is>
      </c>
      <c r="T284" s="3" t="n">
        <v>3</v>
      </c>
      <c r="U284" s="3" t="n">
        <v>6</v>
      </c>
      <c r="V284" s="3" t="inlineStr">
        <is>
          <t>masc:0.0;fem:0.0</t>
        </is>
      </c>
      <c r="W284" s="3" t="n">
        <v>0</v>
      </c>
      <c r="X284" s="3" t="n">
        <v>0</v>
      </c>
      <c r="Y284" s="3" t="inlineStr"/>
      <c r="Z284" s="3" t="inlineStr"/>
      <c r="AA284" s="3" t="inlineStr"/>
      <c r="AB284" s="3" t="inlineStr"/>
      <c r="AC284" s="3" t="inlineStr"/>
      <c r="AD284" s="3" t="inlineStr"/>
      <c r="AE284" s="3" t="n">
        <v>0</v>
      </c>
      <c r="AF284" s="3" t="inlineStr"/>
      <c r="AG284" s="3" t="inlineStr"/>
      <c r="AH284" s="3" t="n">
        <v>0</v>
      </c>
      <c r="AI284" s="3" t="inlineStr"/>
      <c r="AJ284" s="3" t="inlineStr">
        <is>
          <t>no</t>
        </is>
      </c>
      <c r="AK284" s="3" t="inlineStr">
        <is>
          <t>no</t>
        </is>
      </c>
      <c r="AL284" s="3" t="inlineStr">
        <is>
          <t>no</t>
        </is>
      </c>
      <c r="AM284" s="3" t="inlineStr"/>
      <c r="AN284" s="3" t="inlineStr"/>
      <c r="AO284" s="3" t="inlineStr"/>
      <c r="AP284" s="3" t="inlineStr">
        <is>
          <t>v3_2026-03-19</t>
        </is>
      </c>
      <c r="AQ284">
        <f>(L284-Schema_v5!$C2)/(Schema_v5!$C3-Schema_v5!$C2)</f>
        <v/>
      </c>
      <c r="AR284">
        <f>(M284-Schema_v5!$C4)/(Schema_v5!$C5-Schema_v5!$C4)</f>
        <v/>
      </c>
      <c r="AS284">
        <f>N284/Schema_v5!$C6</f>
        <v/>
      </c>
      <c r="AT284">
        <f>O284/Schema_v5!$C7</f>
        <v/>
      </c>
      <c r="AU284">
        <f>P284/Schema_v5!$C8</f>
        <v/>
      </c>
      <c r="AV284">
        <f>IF(Schema_v5!$C9=0,0,AH284/Schema_v5!$C9)</f>
        <v/>
      </c>
      <c r="AW284">
        <f>IF(Schema_v5!$C10=0,0,AE284/Schema_v5!$C10)</f>
        <v/>
      </c>
      <c r="AX284">
        <f>(W284-Schema_v5!$C11)/(Schema_v5!$C12-Schema_v5!$C11)</f>
        <v/>
      </c>
      <c r="AY284">
        <f>(X284-Schema_v5!$C13)/(Schema_v5!$C14-Schema_v5!$C13)</f>
        <v/>
      </c>
    </row>
    <row r="285">
      <c r="A285" s="3" t="inlineStr">
        <is>
          <t>Q56_D</t>
        </is>
      </c>
      <c r="B285" s="3" t="n">
        <v>56</v>
      </c>
      <c r="C285" s="3" t="n">
        <v>105</v>
      </c>
      <c r="D285" s="3" t="inlineStr">
        <is>
          <t>Shadow</t>
        </is>
      </c>
      <c r="E285" s="3" t="n">
        <v>1.35</v>
      </c>
      <c r="F285" s="3" t="inlineStr">
        <is>
          <t>ShadowPattern</t>
        </is>
      </c>
      <c r="G285" s="3" t="inlineStr">
        <is>
          <t>IntegrityRisk</t>
        </is>
      </c>
      <c r="H285" s="3" t="inlineStr"/>
      <c r="I285" s="3" t="inlineStr">
        <is>
          <t>D</t>
        </is>
      </c>
      <c r="J285" s="3" t="inlineStr">
        <is>
          <t>D</t>
        </is>
      </c>
      <c r="K285" s="3" t="inlineStr">
        <is>
          <t>I adjust my vibe, act like it didn't matter.</t>
        </is>
      </c>
      <c r="L285" s="3" t="n">
        <v>6</v>
      </c>
      <c r="M285" s="3" t="inlineStr"/>
      <c r="N285" s="3" t="n">
        <v>4</v>
      </c>
      <c r="O285" s="3" t="n">
        <v>4</v>
      </c>
      <c r="P285" s="3" t="n">
        <v>4</v>
      </c>
      <c r="Q285" s="3" t="inlineStr"/>
      <c r="R285" s="3" t="inlineStr"/>
      <c r="S285" s="3" t="inlineStr">
        <is>
          <t>Chameleon</t>
        </is>
      </c>
      <c r="T285" s="3" t="n">
        <v>4</v>
      </c>
      <c r="U285" s="3" t="n">
        <v>6</v>
      </c>
      <c r="V285" s="3" t="inlineStr">
        <is>
          <t>masc:0.0;fem:0.0</t>
        </is>
      </c>
      <c r="W285" s="3" t="n">
        <v>0</v>
      </c>
      <c r="X285" s="3" t="n">
        <v>0</v>
      </c>
      <c r="Y285" s="3" t="inlineStr"/>
      <c r="Z285" s="3" t="inlineStr"/>
      <c r="AA285" s="3" t="inlineStr"/>
      <c r="AB285" s="3" t="inlineStr"/>
      <c r="AC285" s="3" t="inlineStr"/>
      <c r="AD285" s="3" t="inlineStr"/>
      <c r="AE285" s="3" t="n">
        <v>0</v>
      </c>
      <c r="AF285" s="3" t="inlineStr"/>
      <c r="AG285" s="3" t="inlineStr"/>
      <c r="AH285" s="3" t="n">
        <v>0</v>
      </c>
      <c r="AI285" s="3" t="inlineStr"/>
      <c r="AJ285" s="3" t="inlineStr">
        <is>
          <t>no</t>
        </is>
      </c>
      <c r="AK285" s="3" t="inlineStr">
        <is>
          <t>no</t>
        </is>
      </c>
      <c r="AL285" s="3" t="inlineStr">
        <is>
          <t>no</t>
        </is>
      </c>
      <c r="AM285" s="3" t="inlineStr"/>
      <c r="AN285" s="3" t="inlineStr"/>
      <c r="AO285" s="3" t="inlineStr"/>
      <c r="AP285" s="3" t="inlineStr">
        <is>
          <t>v3_2026-03-19</t>
        </is>
      </c>
      <c r="AQ285">
        <f>(L285-Schema_v5!$C2)/(Schema_v5!$C3-Schema_v5!$C2)</f>
        <v/>
      </c>
      <c r="AR285">
        <f>(M285-Schema_v5!$C4)/(Schema_v5!$C5-Schema_v5!$C4)</f>
        <v/>
      </c>
      <c r="AS285">
        <f>N285/Schema_v5!$C6</f>
        <v/>
      </c>
      <c r="AT285">
        <f>O285/Schema_v5!$C7</f>
        <v/>
      </c>
      <c r="AU285">
        <f>P285/Schema_v5!$C8</f>
        <v/>
      </c>
      <c r="AV285">
        <f>IF(Schema_v5!$C9=0,0,AH285/Schema_v5!$C9)</f>
        <v/>
      </c>
      <c r="AW285">
        <f>IF(Schema_v5!$C10=0,0,AE285/Schema_v5!$C10)</f>
        <v/>
      </c>
      <c r="AX285">
        <f>(W285-Schema_v5!$C11)/(Schema_v5!$C12-Schema_v5!$C11)</f>
        <v/>
      </c>
      <c r="AY285">
        <f>(X285-Schema_v5!$C13)/(Schema_v5!$C14-Schema_v5!$C13)</f>
        <v/>
      </c>
    </row>
    <row r="286">
      <c r="A286" s="3" t="inlineStr">
        <is>
          <t>Q56_E</t>
        </is>
      </c>
      <c r="B286" s="3" t="n">
        <v>56</v>
      </c>
      <c r="C286" s="3" t="n">
        <v>105</v>
      </c>
      <c r="D286" s="3" t="inlineStr">
        <is>
          <t>Shadow</t>
        </is>
      </c>
      <c r="E286" s="3" t="n">
        <v>1.35</v>
      </c>
      <c r="F286" s="3" t="inlineStr">
        <is>
          <t>ShadowPattern</t>
        </is>
      </c>
      <c r="G286" s="3" t="inlineStr">
        <is>
          <t>IntegrityRisk</t>
        </is>
      </c>
      <c r="H286" s="3" t="inlineStr"/>
      <c r="I286" s="3" t="inlineStr">
        <is>
          <t>E</t>
        </is>
      </c>
      <c r="J286" s="3" t="inlineStr">
        <is>
          <t>E</t>
        </is>
      </c>
      <c r="K286" s="3" t="inlineStr">
        <is>
          <t>I bring it up later when they mess up again, pattern proof.</t>
        </is>
      </c>
      <c r="L286" s="3" t="n">
        <v>7</v>
      </c>
      <c r="M286" s="3" t="inlineStr"/>
      <c r="N286" s="3" t="n">
        <v>2</v>
      </c>
      <c r="O286" s="3" t="n">
        <v>2</v>
      </c>
      <c r="P286" s="3" t="n">
        <v>2</v>
      </c>
      <c r="Q286" s="3" t="inlineStr"/>
      <c r="R286" s="3" t="inlineStr"/>
      <c r="S286" s="3" t="inlineStr">
        <is>
          <t>Scorekeeper</t>
        </is>
      </c>
      <c r="T286" s="3" t="n">
        <v>5</v>
      </c>
      <c r="U286" s="3" t="n">
        <v>8</v>
      </c>
      <c r="V286" s="3" t="inlineStr">
        <is>
          <t>masc:0.0;fem:0.0</t>
        </is>
      </c>
      <c r="W286" s="3" t="n">
        <v>0</v>
      </c>
      <c r="X286" s="3" t="n">
        <v>0</v>
      </c>
      <c r="Y286" s="3" t="inlineStr"/>
      <c r="Z286" s="3" t="inlineStr"/>
      <c r="AA286" s="3" t="inlineStr"/>
      <c r="AB286" s="3" t="inlineStr"/>
      <c r="AC286" s="3" t="inlineStr"/>
      <c r="AD286" s="3" t="inlineStr"/>
      <c r="AE286" s="3" t="n">
        <v>0</v>
      </c>
      <c r="AF286" s="3" t="inlineStr"/>
      <c r="AG286" s="3" t="inlineStr"/>
      <c r="AH286" s="3" t="n">
        <v>0</v>
      </c>
      <c r="AI286" s="3" t="inlineStr"/>
      <c r="AJ286" s="3" t="inlineStr">
        <is>
          <t>no</t>
        </is>
      </c>
      <c r="AK286" s="3" t="inlineStr">
        <is>
          <t>no</t>
        </is>
      </c>
      <c r="AL286" s="3" t="inlineStr">
        <is>
          <t>no</t>
        </is>
      </c>
      <c r="AM286" s="3" t="inlineStr"/>
      <c r="AN286" s="3" t="inlineStr"/>
      <c r="AO286" s="3" t="inlineStr"/>
      <c r="AP286" s="3" t="inlineStr">
        <is>
          <t>v3_2026-03-19</t>
        </is>
      </c>
      <c r="AQ286">
        <f>(L286-Schema_v5!$C2)/(Schema_v5!$C3-Schema_v5!$C2)</f>
        <v/>
      </c>
      <c r="AR286">
        <f>(M286-Schema_v5!$C4)/(Schema_v5!$C5-Schema_v5!$C4)</f>
        <v/>
      </c>
      <c r="AS286">
        <f>N286/Schema_v5!$C6</f>
        <v/>
      </c>
      <c r="AT286">
        <f>O286/Schema_v5!$C7</f>
        <v/>
      </c>
      <c r="AU286">
        <f>P286/Schema_v5!$C8</f>
        <v/>
      </c>
      <c r="AV286">
        <f>IF(Schema_v5!$C9=0,0,AH286/Schema_v5!$C9)</f>
        <v/>
      </c>
      <c r="AW286">
        <f>IF(Schema_v5!$C10=0,0,AE286/Schema_v5!$C10)</f>
        <v/>
      </c>
      <c r="AX286">
        <f>(W286-Schema_v5!$C11)/(Schema_v5!$C12-Schema_v5!$C11)</f>
        <v/>
      </c>
      <c r="AY286">
        <f>(X286-Schema_v5!$C13)/(Schema_v5!$C14-Schema_v5!$C13)</f>
        <v/>
      </c>
    </row>
    <row r="287">
      <c r="A287" s="3" t="inlineStr">
        <is>
          <t>Q56_F</t>
        </is>
      </c>
      <c r="B287" s="3" t="n">
        <v>56</v>
      </c>
      <c r="C287" s="3" t="n">
        <v>105</v>
      </c>
      <c r="D287" s="3" t="inlineStr">
        <is>
          <t>Shadow</t>
        </is>
      </c>
      <c r="E287" s="3" t="n">
        <v>1.35</v>
      </c>
      <c r="F287" s="3" t="inlineStr">
        <is>
          <t>ShadowPattern</t>
        </is>
      </c>
      <c r="G287" s="3" t="inlineStr">
        <is>
          <t>IntegrityRisk</t>
        </is>
      </c>
      <c r="H287" s="3" t="inlineStr"/>
      <c r="I287" s="3" t="inlineStr">
        <is>
          <t>F</t>
        </is>
      </c>
      <c r="J287" s="3" t="inlineStr">
        <is>
          <t>F</t>
        </is>
      </c>
      <c r="K287" s="3" t="inlineStr">
        <is>
          <t>I wonder if I just wasn't worth remembering.</t>
        </is>
      </c>
      <c r="L287" s="3" t="n">
        <v>8</v>
      </c>
      <c r="M287" s="3" t="inlineStr"/>
      <c r="N287" s="3" t="n">
        <v>2</v>
      </c>
      <c r="O287" s="3" t="n">
        <v>2</v>
      </c>
      <c r="P287" s="3" t="n">
        <v>2</v>
      </c>
      <c r="Q287" s="3" t="inlineStr"/>
      <c r="R287" s="3" t="inlineStr"/>
      <c r="S287" s="3" t="inlineStr">
        <is>
          <t>Self-Saboteur</t>
        </is>
      </c>
      <c r="T287" s="3" t="n">
        <v>6</v>
      </c>
      <c r="U287" s="3" t="n">
        <v>8</v>
      </c>
      <c r="V287" s="3" t="inlineStr">
        <is>
          <t>masc:0.0;fem:0.0</t>
        </is>
      </c>
      <c r="W287" s="3" t="n">
        <v>0</v>
      </c>
      <c r="X287" s="3" t="n">
        <v>0</v>
      </c>
      <c r="Y287" s="3" t="inlineStr"/>
      <c r="Z287" s="3" t="inlineStr"/>
      <c r="AA287" s="3" t="inlineStr"/>
      <c r="AB287" s="3" t="inlineStr"/>
      <c r="AC287" s="3" t="inlineStr"/>
      <c r="AD287" s="3" t="inlineStr"/>
      <c r="AE287" s="3" t="n">
        <v>0</v>
      </c>
      <c r="AF287" s="3" t="inlineStr"/>
      <c r="AG287" s="3" t="inlineStr"/>
      <c r="AH287" s="3" t="n">
        <v>0</v>
      </c>
      <c r="AI287" s="3" t="inlineStr"/>
      <c r="AJ287" s="3" t="inlineStr">
        <is>
          <t>no</t>
        </is>
      </c>
      <c r="AK287" s="3" t="inlineStr">
        <is>
          <t>no</t>
        </is>
      </c>
      <c r="AL287" s="3" t="inlineStr">
        <is>
          <t>no</t>
        </is>
      </c>
      <c r="AM287" s="3" t="inlineStr"/>
      <c r="AN287" s="3" t="inlineStr"/>
      <c r="AO287" s="3" t="inlineStr"/>
      <c r="AP287" s="3" t="inlineStr">
        <is>
          <t>v3_2026-03-19</t>
        </is>
      </c>
      <c r="AQ287">
        <f>(L287-Schema_v5!$C2)/(Schema_v5!$C3-Schema_v5!$C2)</f>
        <v/>
      </c>
      <c r="AR287">
        <f>(M287-Schema_v5!$C4)/(Schema_v5!$C5-Schema_v5!$C4)</f>
        <v/>
      </c>
      <c r="AS287">
        <f>N287/Schema_v5!$C6</f>
        <v/>
      </c>
      <c r="AT287">
        <f>O287/Schema_v5!$C7</f>
        <v/>
      </c>
      <c r="AU287">
        <f>P287/Schema_v5!$C8</f>
        <v/>
      </c>
      <c r="AV287">
        <f>IF(Schema_v5!$C9=0,0,AH287/Schema_v5!$C9)</f>
        <v/>
      </c>
      <c r="AW287">
        <f>IF(Schema_v5!$C10=0,0,AE287/Schema_v5!$C10)</f>
        <v/>
      </c>
      <c r="AX287">
        <f>(W287-Schema_v5!$C11)/(Schema_v5!$C12-Schema_v5!$C11)</f>
        <v/>
      </c>
      <c r="AY287">
        <f>(X287-Schema_v5!$C13)/(Schema_v5!$C14-Schema_v5!$C13)</f>
        <v/>
      </c>
    </row>
    <row r="288">
      <c r="A288" s="3" t="inlineStr">
        <is>
          <t>Q57_A</t>
        </is>
      </c>
      <c r="B288" s="3" t="n">
        <v>57</v>
      </c>
      <c r="C288" s="3" t="n">
        <v>106</v>
      </c>
      <c r="D288" s="3" t="inlineStr">
        <is>
          <t>Shadow</t>
        </is>
      </c>
      <c r="E288" s="3" t="n">
        <v>1.35</v>
      </c>
      <c r="F288" s="3" t="inlineStr">
        <is>
          <t>ShadowPattern</t>
        </is>
      </c>
      <c r="G288" s="3" t="inlineStr">
        <is>
          <t>IntegrityRisk</t>
        </is>
      </c>
      <c r="H288" s="3" t="inlineStr">
        <is>
          <t>You sense someone pulling away, but they haven't said anything. What's your response?</t>
        </is>
      </c>
      <c r="I288" s="3" t="inlineStr">
        <is>
          <t>A</t>
        </is>
      </c>
      <c r="J288" s="3" t="inlineStr">
        <is>
          <t>A</t>
        </is>
      </c>
      <c r="K288" s="3" t="inlineStr">
        <is>
          <t>Drop a dramatic statement or confession to pull them back in emotionally.</t>
        </is>
      </c>
      <c r="L288" s="3" t="n">
        <v>4</v>
      </c>
      <c r="M288" s="3" t="inlineStr"/>
      <c r="N288" s="3" t="n">
        <v>4</v>
      </c>
      <c r="O288" s="3" t="n">
        <v>4</v>
      </c>
      <c r="P288" s="3" t="n">
        <v>4</v>
      </c>
      <c r="Q288" s="3" t="inlineStr"/>
      <c r="R288" s="3" t="inlineStr"/>
      <c r="S288" s="3" t="inlineStr">
        <is>
          <t>Manipulator</t>
        </is>
      </c>
      <c r="T288" s="3" t="n">
        <v>1</v>
      </c>
      <c r="U288" s="3" t="n">
        <v>6</v>
      </c>
      <c r="V288" s="3" t="inlineStr">
        <is>
          <t>masc:0.0;fem:0.0</t>
        </is>
      </c>
      <c r="W288" s="3" t="n">
        <v>0</v>
      </c>
      <c r="X288" s="3" t="n">
        <v>0</v>
      </c>
      <c r="Y288" s="3" t="inlineStr"/>
      <c r="Z288" s="3" t="inlineStr"/>
      <c r="AA288" s="3" t="inlineStr"/>
      <c r="AB288" s="3" t="inlineStr"/>
      <c r="AC288" s="3" t="inlineStr"/>
      <c r="AD288" s="3" t="inlineStr"/>
      <c r="AE288" s="3" t="n">
        <v>0</v>
      </c>
      <c r="AF288" s="3" t="inlineStr"/>
      <c r="AG288" s="3" t="inlineStr"/>
      <c r="AH288" s="3" t="n">
        <v>0</v>
      </c>
      <c r="AI288" s="3" t="inlineStr"/>
      <c r="AJ288" s="3" t="inlineStr">
        <is>
          <t>yes</t>
        </is>
      </c>
      <c r="AK288" s="3" t="inlineStr">
        <is>
          <t>no</t>
        </is>
      </c>
      <c r="AL288" s="3" t="inlineStr">
        <is>
          <t>no</t>
        </is>
      </c>
      <c r="AM288" s="3" t="inlineStr"/>
      <c r="AN288" s="3" t="inlineStr"/>
      <c r="AO288" s="3" t="inlineStr"/>
      <c r="AP288" s="3" t="inlineStr">
        <is>
          <t>v3_2026-03-19</t>
        </is>
      </c>
      <c r="AQ288">
        <f>(L288-Schema_v5!$C2)/(Schema_v5!$C3-Schema_v5!$C2)</f>
        <v/>
      </c>
      <c r="AR288">
        <f>(M288-Schema_v5!$C4)/(Schema_v5!$C5-Schema_v5!$C4)</f>
        <v/>
      </c>
      <c r="AS288">
        <f>N288/Schema_v5!$C6</f>
        <v/>
      </c>
      <c r="AT288">
        <f>O288/Schema_v5!$C7</f>
        <v/>
      </c>
      <c r="AU288">
        <f>P288/Schema_v5!$C8</f>
        <v/>
      </c>
      <c r="AV288">
        <f>IF(Schema_v5!$C9=0,0,AH288/Schema_v5!$C9)</f>
        <v/>
      </c>
      <c r="AW288">
        <f>IF(Schema_v5!$C10=0,0,AE288/Schema_v5!$C10)</f>
        <v/>
      </c>
      <c r="AX288">
        <f>(W288-Schema_v5!$C11)/(Schema_v5!$C12-Schema_v5!$C11)</f>
        <v/>
      </c>
      <c r="AY288">
        <f>(X288-Schema_v5!$C13)/(Schema_v5!$C14-Schema_v5!$C13)</f>
        <v/>
      </c>
    </row>
    <row r="289">
      <c r="A289" s="3" t="inlineStr">
        <is>
          <t>Q57_B</t>
        </is>
      </c>
      <c r="B289" s="3" t="n">
        <v>57</v>
      </c>
      <c r="C289" s="3" t="n">
        <v>106</v>
      </c>
      <c r="D289" s="3" t="inlineStr">
        <is>
          <t>Shadow</t>
        </is>
      </c>
      <c r="E289" s="3" t="n">
        <v>1.35</v>
      </c>
      <c r="F289" s="3" t="inlineStr">
        <is>
          <t>ShadowPattern</t>
        </is>
      </c>
      <c r="G289" s="3" t="inlineStr">
        <is>
          <t>IntegrityRisk</t>
        </is>
      </c>
      <c r="H289" s="3" t="inlineStr"/>
      <c r="I289" s="3" t="inlineStr">
        <is>
          <t>B</t>
        </is>
      </c>
      <c r="J289" s="3" t="inlineStr">
        <is>
          <t>B</t>
        </is>
      </c>
      <c r="K289" s="3" t="inlineStr">
        <is>
          <t>Say nothing, but make myself harder to reach. They'll notice eventually.</t>
        </is>
      </c>
      <c r="L289" s="3" t="n">
        <v>3</v>
      </c>
      <c r="M289" s="3" t="inlineStr"/>
      <c r="N289" s="3" t="n">
        <v>6</v>
      </c>
      <c r="O289" s="3" t="n">
        <v>6</v>
      </c>
      <c r="P289" s="3" t="n">
        <v>6</v>
      </c>
      <c r="Q289" s="3" t="inlineStr"/>
      <c r="R289" s="3" t="inlineStr"/>
      <c r="S289" s="3" t="inlineStr">
        <is>
          <t>Stonewaller</t>
        </is>
      </c>
      <c r="T289" s="3" t="n">
        <v>2</v>
      </c>
      <c r="U289" s="3" t="n">
        <v>4</v>
      </c>
      <c r="V289" s="3" t="inlineStr">
        <is>
          <t>masc:0.0;fem:0.0</t>
        </is>
      </c>
      <c r="W289" s="3" t="n">
        <v>0</v>
      </c>
      <c r="X289" s="3" t="n">
        <v>0</v>
      </c>
      <c r="Y289" s="3" t="inlineStr"/>
      <c r="Z289" s="3" t="inlineStr"/>
      <c r="AA289" s="3" t="inlineStr"/>
      <c r="AB289" s="3" t="inlineStr"/>
      <c r="AC289" s="3" t="inlineStr"/>
      <c r="AD289" s="3" t="inlineStr"/>
      <c r="AE289" s="3" t="n">
        <v>0</v>
      </c>
      <c r="AF289" s="3" t="inlineStr"/>
      <c r="AG289" s="3" t="inlineStr"/>
      <c r="AH289" s="3" t="n">
        <v>0</v>
      </c>
      <c r="AI289" s="3" t="inlineStr"/>
      <c r="AJ289" s="3" t="inlineStr">
        <is>
          <t>yes</t>
        </is>
      </c>
      <c r="AK289" s="3" t="inlineStr">
        <is>
          <t>no</t>
        </is>
      </c>
      <c r="AL289" s="3" t="inlineStr">
        <is>
          <t>no</t>
        </is>
      </c>
      <c r="AM289" s="3" t="inlineStr"/>
      <c r="AN289" s="3" t="inlineStr"/>
      <c r="AO289" s="3" t="inlineStr"/>
      <c r="AP289" s="3" t="inlineStr">
        <is>
          <t>v3_2026-03-19</t>
        </is>
      </c>
      <c r="AQ289">
        <f>(L289-Schema_v5!$C2)/(Schema_v5!$C3-Schema_v5!$C2)</f>
        <v/>
      </c>
      <c r="AR289">
        <f>(M289-Schema_v5!$C4)/(Schema_v5!$C5-Schema_v5!$C4)</f>
        <v/>
      </c>
      <c r="AS289">
        <f>N289/Schema_v5!$C6</f>
        <v/>
      </c>
      <c r="AT289">
        <f>O289/Schema_v5!$C7</f>
        <v/>
      </c>
      <c r="AU289">
        <f>P289/Schema_v5!$C8</f>
        <v/>
      </c>
      <c r="AV289">
        <f>IF(Schema_v5!$C9=0,0,AH289/Schema_v5!$C9)</f>
        <v/>
      </c>
      <c r="AW289">
        <f>IF(Schema_v5!$C10=0,0,AE289/Schema_v5!$C10)</f>
        <v/>
      </c>
      <c r="AX289">
        <f>(W289-Schema_v5!$C11)/(Schema_v5!$C12-Schema_v5!$C11)</f>
        <v/>
      </c>
      <c r="AY289">
        <f>(X289-Schema_v5!$C13)/(Schema_v5!$C14-Schema_v5!$C13)</f>
        <v/>
      </c>
    </row>
    <row r="290">
      <c r="A290" s="3" t="inlineStr">
        <is>
          <t>Q57_C</t>
        </is>
      </c>
      <c r="B290" s="3" t="n">
        <v>57</v>
      </c>
      <c r="C290" s="3" t="n">
        <v>106</v>
      </c>
      <c r="D290" s="3" t="inlineStr">
        <is>
          <t>Shadow</t>
        </is>
      </c>
      <c r="E290" s="3" t="n">
        <v>1.35</v>
      </c>
      <c r="F290" s="3" t="inlineStr">
        <is>
          <t>ShadowPattern</t>
        </is>
      </c>
      <c r="G290" s="3" t="inlineStr">
        <is>
          <t>IntegrityRisk</t>
        </is>
      </c>
      <c r="H290" s="3" t="inlineStr"/>
      <c r="I290" s="3" t="inlineStr">
        <is>
          <t>C</t>
        </is>
      </c>
      <c r="J290" s="3" t="inlineStr">
        <is>
          <t>C</t>
        </is>
      </c>
      <c r="K290" s="3" t="inlineStr">
        <is>
          <t>Text more, call more-prove I'm still here. I get louder when I feel abandoned.</t>
        </is>
      </c>
      <c r="L290" s="3" t="n">
        <v>5</v>
      </c>
      <c r="M290" s="3" t="inlineStr"/>
      <c r="N290" s="3" t="n">
        <v>4</v>
      </c>
      <c r="O290" s="3" t="n">
        <v>4</v>
      </c>
      <c r="P290" s="3" t="n">
        <v>4</v>
      </c>
      <c r="Q290" s="3" t="inlineStr"/>
      <c r="R290" s="3" t="inlineStr"/>
      <c r="S290" s="3" t="inlineStr">
        <is>
          <t>Love Bomber</t>
        </is>
      </c>
      <c r="T290" s="3" t="n">
        <v>3</v>
      </c>
      <c r="U290" s="3" t="n">
        <v>6</v>
      </c>
      <c r="V290" s="3" t="inlineStr">
        <is>
          <t>masc:0.0;fem:0.0</t>
        </is>
      </c>
      <c r="W290" s="3" t="n">
        <v>0</v>
      </c>
      <c r="X290" s="3" t="n">
        <v>0</v>
      </c>
      <c r="Y290" s="3" t="inlineStr"/>
      <c r="Z290" s="3" t="inlineStr"/>
      <c r="AA290" s="3" t="inlineStr"/>
      <c r="AB290" s="3" t="inlineStr"/>
      <c r="AC290" s="3" t="inlineStr"/>
      <c r="AD290" s="3" t="inlineStr"/>
      <c r="AE290" s="3" t="n">
        <v>0</v>
      </c>
      <c r="AF290" s="3" t="inlineStr"/>
      <c r="AG290" s="3" t="inlineStr"/>
      <c r="AH290" s="3" t="n">
        <v>0</v>
      </c>
      <c r="AI290" s="3" t="inlineStr"/>
      <c r="AJ290" s="3" t="inlineStr">
        <is>
          <t>no</t>
        </is>
      </c>
      <c r="AK290" s="3" t="inlineStr">
        <is>
          <t>no</t>
        </is>
      </c>
      <c r="AL290" s="3" t="inlineStr">
        <is>
          <t>no</t>
        </is>
      </c>
      <c r="AM290" s="3" t="inlineStr"/>
      <c r="AN290" s="3" t="inlineStr"/>
      <c r="AO290" s="3" t="inlineStr"/>
      <c r="AP290" s="3" t="inlineStr">
        <is>
          <t>v3_2026-03-19</t>
        </is>
      </c>
      <c r="AQ290">
        <f>(L290-Schema_v5!$C2)/(Schema_v5!$C3-Schema_v5!$C2)</f>
        <v/>
      </c>
      <c r="AR290">
        <f>(M290-Schema_v5!$C4)/(Schema_v5!$C5-Schema_v5!$C4)</f>
        <v/>
      </c>
      <c r="AS290">
        <f>N290/Schema_v5!$C6</f>
        <v/>
      </c>
      <c r="AT290">
        <f>O290/Schema_v5!$C7</f>
        <v/>
      </c>
      <c r="AU290">
        <f>P290/Schema_v5!$C8</f>
        <v/>
      </c>
      <c r="AV290">
        <f>IF(Schema_v5!$C9=0,0,AH290/Schema_v5!$C9)</f>
        <v/>
      </c>
      <c r="AW290">
        <f>IF(Schema_v5!$C10=0,0,AE290/Schema_v5!$C10)</f>
        <v/>
      </c>
      <c r="AX290">
        <f>(W290-Schema_v5!$C11)/(Schema_v5!$C12-Schema_v5!$C11)</f>
        <v/>
      </c>
      <c r="AY290">
        <f>(X290-Schema_v5!$C13)/(Schema_v5!$C14-Schema_v5!$C13)</f>
        <v/>
      </c>
    </row>
    <row r="291">
      <c r="A291" s="3" t="inlineStr">
        <is>
          <t>Q57_D</t>
        </is>
      </c>
      <c r="B291" s="3" t="n">
        <v>57</v>
      </c>
      <c r="C291" s="3" t="n">
        <v>106</v>
      </c>
      <c r="D291" s="3" t="inlineStr">
        <is>
          <t>Shadow</t>
        </is>
      </c>
      <c r="E291" s="3" t="n">
        <v>1.35</v>
      </c>
      <c r="F291" s="3" t="inlineStr">
        <is>
          <t>ShadowPattern</t>
        </is>
      </c>
      <c r="G291" s="3" t="inlineStr">
        <is>
          <t>IntegrityRisk</t>
        </is>
      </c>
      <c r="H291" s="3" t="inlineStr"/>
      <c r="I291" s="3" t="inlineStr">
        <is>
          <t>D</t>
        </is>
      </c>
      <c r="J291" s="3" t="inlineStr">
        <is>
          <t>D</t>
        </is>
      </c>
      <c r="K291" s="3" t="inlineStr">
        <is>
          <t>Mirror their vibe. If they're cold, I'm cooler. I adjust fast.</t>
        </is>
      </c>
      <c r="L291" s="3" t="n">
        <v>6</v>
      </c>
      <c r="M291" s="3" t="inlineStr"/>
      <c r="N291" s="3" t="n">
        <v>4</v>
      </c>
      <c r="O291" s="3" t="n">
        <v>4</v>
      </c>
      <c r="P291" s="3" t="n">
        <v>4</v>
      </c>
      <c r="Q291" s="3" t="inlineStr"/>
      <c r="R291" s="3" t="inlineStr"/>
      <c r="S291" s="3" t="inlineStr">
        <is>
          <t>Chameleon</t>
        </is>
      </c>
      <c r="T291" s="3" t="n">
        <v>4</v>
      </c>
      <c r="U291" s="3" t="n">
        <v>6</v>
      </c>
      <c r="V291" s="3" t="inlineStr">
        <is>
          <t>masc:0.0;fem:0.0</t>
        </is>
      </c>
      <c r="W291" s="3" t="n">
        <v>0</v>
      </c>
      <c r="X291" s="3" t="n">
        <v>0</v>
      </c>
      <c r="Y291" s="3" t="inlineStr"/>
      <c r="Z291" s="3" t="inlineStr"/>
      <c r="AA291" s="3" t="inlineStr"/>
      <c r="AB291" s="3" t="inlineStr"/>
      <c r="AC291" s="3" t="inlineStr"/>
      <c r="AD291" s="3" t="inlineStr"/>
      <c r="AE291" s="3" t="n">
        <v>0</v>
      </c>
      <c r="AF291" s="3" t="inlineStr"/>
      <c r="AG291" s="3" t="inlineStr"/>
      <c r="AH291" s="3" t="n">
        <v>0.6</v>
      </c>
      <c r="AI291" s="3" t="inlineStr"/>
      <c r="AJ291" s="3" t="inlineStr">
        <is>
          <t>no</t>
        </is>
      </c>
      <c r="AK291" s="3" t="inlineStr">
        <is>
          <t>no</t>
        </is>
      </c>
      <c r="AL291" s="3" t="inlineStr">
        <is>
          <t>no</t>
        </is>
      </c>
      <c r="AM291" s="3" t="inlineStr"/>
      <c r="AN291" s="3" t="inlineStr"/>
      <c r="AO291" s="3" t="inlineStr"/>
      <c r="AP291" s="3" t="inlineStr">
        <is>
          <t>v3_2026-03-19</t>
        </is>
      </c>
      <c r="AQ291">
        <f>(L291-Schema_v5!$C2)/(Schema_v5!$C3-Schema_v5!$C2)</f>
        <v/>
      </c>
      <c r="AR291">
        <f>(M291-Schema_v5!$C4)/(Schema_v5!$C5-Schema_v5!$C4)</f>
        <v/>
      </c>
      <c r="AS291">
        <f>N291/Schema_v5!$C6</f>
        <v/>
      </c>
      <c r="AT291">
        <f>O291/Schema_v5!$C7</f>
        <v/>
      </c>
      <c r="AU291">
        <f>P291/Schema_v5!$C8</f>
        <v/>
      </c>
      <c r="AV291">
        <f>IF(Schema_v5!$C9=0,0,AH291/Schema_v5!$C9)</f>
        <v/>
      </c>
      <c r="AW291">
        <f>IF(Schema_v5!$C10=0,0,AE291/Schema_v5!$C10)</f>
        <v/>
      </c>
      <c r="AX291">
        <f>(W291-Schema_v5!$C11)/(Schema_v5!$C12-Schema_v5!$C11)</f>
        <v/>
      </c>
      <c r="AY291">
        <f>(X291-Schema_v5!$C13)/(Schema_v5!$C14-Schema_v5!$C13)</f>
        <v/>
      </c>
    </row>
    <row r="292">
      <c r="A292" s="3" t="inlineStr">
        <is>
          <t>Q57_E</t>
        </is>
      </c>
      <c r="B292" s="3" t="n">
        <v>57</v>
      </c>
      <c r="C292" s="3" t="n">
        <v>106</v>
      </c>
      <c r="D292" s="3" t="inlineStr">
        <is>
          <t>Shadow</t>
        </is>
      </c>
      <c r="E292" s="3" t="n">
        <v>1.35</v>
      </c>
      <c r="F292" s="3" t="inlineStr">
        <is>
          <t>ShadowPattern</t>
        </is>
      </c>
      <c r="G292" s="3" t="inlineStr">
        <is>
          <t>IntegrityRisk</t>
        </is>
      </c>
      <c r="H292" s="3" t="inlineStr"/>
      <c r="I292" s="3" t="inlineStr">
        <is>
          <t>E</t>
        </is>
      </c>
      <c r="J292" s="3" t="inlineStr">
        <is>
          <t>E</t>
        </is>
      </c>
      <c r="K292" s="3" t="inlineStr">
        <is>
          <t>Bring up everything I've done for them-then ask why they're acting different.</t>
        </is>
      </c>
      <c r="L292" s="3" t="n">
        <v>7</v>
      </c>
      <c r="M292" s="3" t="inlineStr"/>
      <c r="N292" s="3" t="n">
        <v>2</v>
      </c>
      <c r="O292" s="3" t="n">
        <v>2</v>
      </c>
      <c r="P292" s="3" t="n">
        <v>2</v>
      </c>
      <c r="Q292" s="3" t="inlineStr"/>
      <c r="R292" s="3" t="inlineStr"/>
      <c r="S292" s="3" t="inlineStr">
        <is>
          <t>Scorekeeper</t>
        </is>
      </c>
      <c r="T292" s="3" t="n">
        <v>5</v>
      </c>
      <c r="U292" s="3" t="n">
        <v>8</v>
      </c>
      <c r="V292" s="3" t="inlineStr">
        <is>
          <t>masc:0.0;fem:0.0</t>
        </is>
      </c>
      <c r="W292" s="3" t="n">
        <v>0</v>
      </c>
      <c r="X292" s="3" t="n">
        <v>0</v>
      </c>
      <c r="Y292" s="3" t="inlineStr"/>
      <c r="Z292" s="3" t="inlineStr"/>
      <c r="AA292" s="3" t="inlineStr"/>
      <c r="AB292" s="3" t="inlineStr"/>
      <c r="AC292" s="3" t="inlineStr"/>
      <c r="AD292" s="3" t="inlineStr"/>
      <c r="AE292" s="3" t="n">
        <v>0</v>
      </c>
      <c r="AF292" s="3" t="inlineStr"/>
      <c r="AG292" s="3" t="inlineStr"/>
      <c r="AH292" s="3" t="n">
        <v>0</v>
      </c>
      <c r="AI292" s="3" t="inlineStr"/>
      <c r="AJ292" s="3" t="inlineStr">
        <is>
          <t>no</t>
        </is>
      </c>
      <c r="AK292" s="3" t="inlineStr">
        <is>
          <t>no</t>
        </is>
      </c>
      <c r="AL292" s="3" t="inlineStr">
        <is>
          <t>no</t>
        </is>
      </c>
      <c r="AM292" s="3" t="inlineStr"/>
      <c r="AN292" s="3" t="inlineStr"/>
      <c r="AO292" s="3" t="inlineStr"/>
      <c r="AP292" s="3" t="inlineStr">
        <is>
          <t>v3_2026-03-19</t>
        </is>
      </c>
      <c r="AQ292">
        <f>(L292-Schema_v5!$C2)/(Schema_v5!$C3-Schema_v5!$C2)</f>
        <v/>
      </c>
      <c r="AR292">
        <f>(M292-Schema_v5!$C4)/(Schema_v5!$C5-Schema_v5!$C4)</f>
        <v/>
      </c>
      <c r="AS292">
        <f>N292/Schema_v5!$C6</f>
        <v/>
      </c>
      <c r="AT292">
        <f>O292/Schema_v5!$C7</f>
        <v/>
      </c>
      <c r="AU292">
        <f>P292/Schema_v5!$C8</f>
        <v/>
      </c>
      <c r="AV292">
        <f>IF(Schema_v5!$C9=0,0,AH292/Schema_v5!$C9)</f>
        <v/>
      </c>
      <c r="AW292">
        <f>IF(Schema_v5!$C10=0,0,AE292/Schema_v5!$C10)</f>
        <v/>
      </c>
      <c r="AX292">
        <f>(W292-Schema_v5!$C11)/(Schema_v5!$C12-Schema_v5!$C11)</f>
        <v/>
      </c>
      <c r="AY292">
        <f>(X292-Schema_v5!$C13)/(Schema_v5!$C14-Schema_v5!$C13)</f>
        <v/>
      </c>
    </row>
    <row r="293">
      <c r="A293" s="3" t="inlineStr">
        <is>
          <t>Q57_F</t>
        </is>
      </c>
      <c r="B293" s="3" t="n">
        <v>57</v>
      </c>
      <c r="C293" s="3" t="n">
        <v>106</v>
      </c>
      <c r="D293" s="3" t="inlineStr">
        <is>
          <t>Shadow</t>
        </is>
      </c>
      <c r="E293" s="3" t="n">
        <v>1.35</v>
      </c>
      <c r="F293" s="3" t="inlineStr">
        <is>
          <t>ShadowPattern</t>
        </is>
      </c>
      <c r="G293" s="3" t="inlineStr">
        <is>
          <t>IntegrityRisk</t>
        </is>
      </c>
      <c r="H293" s="3" t="inlineStr"/>
      <c r="I293" s="3" t="inlineStr">
        <is>
          <t>F</t>
        </is>
      </c>
      <c r="J293" s="3" t="inlineStr">
        <is>
          <t>F</t>
        </is>
      </c>
      <c r="K293" s="3" t="inlineStr">
        <is>
          <t>Assume I did something wrong, and start pulling away before they do.</t>
        </is>
      </c>
      <c r="L293" s="3" t="n">
        <v>8</v>
      </c>
      <c r="M293" s="3" t="inlineStr"/>
      <c r="N293" s="3" t="n">
        <v>2</v>
      </c>
      <c r="O293" s="3" t="n">
        <v>2</v>
      </c>
      <c r="P293" s="3" t="n">
        <v>2</v>
      </c>
      <c r="Q293" s="3" t="inlineStr"/>
      <c r="R293" s="3" t="inlineStr"/>
      <c r="S293" s="3" t="inlineStr">
        <is>
          <t>Self-Saboteur</t>
        </is>
      </c>
      <c r="T293" s="3" t="n">
        <v>6</v>
      </c>
      <c r="U293" s="3" t="n">
        <v>8</v>
      </c>
      <c r="V293" s="3" t="inlineStr">
        <is>
          <t>masc:0.0;fem:0.0</t>
        </is>
      </c>
      <c r="W293" s="3" t="n">
        <v>0</v>
      </c>
      <c r="X293" s="3" t="n">
        <v>0</v>
      </c>
      <c r="Y293" s="3" t="inlineStr"/>
      <c r="Z293" s="3" t="inlineStr"/>
      <c r="AA293" s="3" t="inlineStr"/>
      <c r="AB293" s="3" t="inlineStr"/>
      <c r="AC293" s="3" t="inlineStr"/>
      <c r="AD293" s="3" t="inlineStr"/>
      <c r="AE293" s="3" t="n">
        <v>0</v>
      </c>
      <c r="AF293" s="3" t="inlineStr"/>
      <c r="AG293" s="3" t="inlineStr"/>
      <c r="AH293" s="3" t="n">
        <v>0</v>
      </c>
      <c r="AI293" s="3" t="inlineStr"/>
      <c r="AJ293" s="3" t="inlineStr">
        <is>
          <t>no</t>
        </is>
      </c>
      <c r="AK293" s="3" t="inlineStr">
        <is>
          <t>no</t>
        </is>
      </c>
      <c r="AL293" s="3" t="inlineStr">
        <is>
          <t>no</t>
        </is>
      </c>
      <c r="AM293" s="3" t="inlineStr"/>
      <c r="AN293" s="3" t="inlineStr"/>
      <c r="AO293" s="3" t="inlineStr"/>
      <c r="AP293" s="3" t="inlineStr">
        <is>
          <t>v3_2026-03-19</t>
        </is>
      </c>
      <c r="AQ293">
        <f>(L293-Schema_v5!$C2)/(Schema_v5!$C3-Schema_v5!$C2)</f>
        <v/>
      </c>
      <c r="AR293">
        <f>(M293-Schema_v5!$C4)/(Schema_v5!$C5-Schema_v5!$C4)</f>
        <v/>
      </c>
      <c r="AS293">
        <f>N293/Schema_v5!$C6</f>
        <v/>
      </c>
      <c r="AT293">
        <f>O293/Schema_v5!$C7</f>
        <v/>
      </c>
      <c r="AU293">
        <f>P293/Schema_v5!$C8</f>
        <v/>
      </c>
      <c r="AV293">
        <f>IF(Schema_v5!$C9=0,0,AH293/Schema_v5!$C9)</f>
        <v/>
      </c>
      <c r="AW293">
        <f>IF(Schema_v5!$C10=0,0,AE293/Schema_v5!$C10)</f>
        <v/>
      </c>
      <c r="AX293">
        <f>(W293-Schema_v5!$C11)/(Schema_v5!$C12-Schema_v5!$C11)</f>
        <v/>
      </c>
      <c r="AY293">
        <f>(X293-Schema_v5!$C13)/(Schema_v5!$C14-Schema_v5!$C13)</f>
        <v/>
      </c>
    </row>
    <row r="294">
      <c r="A294" s="3" t="inlineStr">
        <is>
          <t>Q58_A</t>
        </is>
      </c>
      <c r="B294" s="3" t="n">
        <v>58</v>
      </c>
      <c r="C294" s="3" t="n">
        <v>107</v>
      </c>
      <c r="D294" s="3" t="inlineStr">
        <is>
          <t>Shadow</t>
        </is>
      </c>
      <c r="E294" s="3" t="n">
        <v>1.35</v>
      </c>
      <c r="F294" s="3" t="inlineStr">
        <is>
          <t>ShadowPattern</t>
        </is>
      </c>
      <c r="G294" s="3" t="inlineStr">
        <is>
          <t>IntegrityRisk</t>
        </is>
      </c>
      <c r="H294" s="3" t="inlineStr">
        <is>
          <t>You mess up-hurt someone or break a small trust. How do you usually handle it?</t>
        </is>
      </c>
      <c r="I294" s="3" t="inlineStr">
        <is>
          <t>A</t>
        </is>
      </c>
      <c r="J294" s="3" t="inlineStr">
        <is>
          <t>A</t>
        </is>
      </c>
      <c r="K294" s="3" t="inlineStr">
        <is>
          <t>Apologize in a way that makes them feel bad for making me feel bad.</t>
        </is>
      </c>
      <c r="L294" s="3" t="n">
        <v>4</v>
      </c>
      <c r="M294" s="3" t="inlineStr"/>
      <c r="N294" s="3" t="n">
        <v>4</v>
      </c>
      <c r="O294" s="3" t="n">
        <v>4</v>
      </c>
      <c r="P294" s="3" t="n">
        <v>4</v>
      </c>
      <c r="Q294" s="3" t="inlineStr"/>
      <c r="R294" s="3" t="inlineStr"/>
      <c r="S294" s="3" t="inlineStr">
        <is>
          <t>Manipulator</t>
        </is>
      </c>
      <c r="T294" s="3" t="n">
        <v>1</v>
      </c>
      <c r="U294" s="3" t="n">
        <v>6</v>
      </c>
      <c r="V294" s="3" t="inlineStr">
        <is>
          <t>masc:0.0;fem:0.0</t>
        </is>
      </c>
      <c r="W294" s="3" t="n">
        <v>0</v>
      </c>
      <c r="X294" s="3" t="n">
        <v>0</v>
      </c>
      <c r="Y294" s="3" t="inlineStr"/>
      <c r="Z294" s="3" t="inlineStr"/>
      <c r="AA294" s="3" t="inlineStr"/>
      <c r="AB294" s="3" t="inlineStr"/>
      <c r="AC294" s="3" t="inlineStr"/>
      <c r="AD294" s="3" t="inlineStr"/>
      <c r="AE294" s="3" t="n">
        <v>0</v>
      </c>
      <c r="AF294" s="3" t="inlineStr"/>
      <c r="AG294" s="3" t="inlineStr"/>
      <c r="AH294" s="3" t="n">
        <v>0</v>
      </c>
      <c r="AI294" s="3" t="inlineStr"/>
      <c r="AJ294" s="3" t="inlineStr">
        <is>
          <t>yes</t>
        </is>
      </c>
      <c r="AK294" s="3" t="inlineStr">
        <is>
          <t>no</t>
        </is>
      </c>
      <c r="AL294" s="3" t="inlineStr">
        <is>
          <t>no</t>
        </is>
      </c>
      <c r="AM294" s="3" t="inlineStr"/>
      <c r="AN294" s="3" t="inlineStr"/>
      <c r="AO294" s="3" t="inlineStr"/>
      <c r="AP294" s="3" t="inlineStr">
        <is>
          <t>v3_2026-03-19</t>
        </is>
      </c>
      <c r="AQ294">
        <f>(L294-Schema_v5!$C2)/(Schema_v5!$C3-Schema_v5!$C2)</f>
        <v/>
      </c>
      <c r="AR294">
        <f>(M294-Schema_v5!$C4)/(Schema_v5!$C5-Schema_v5!$C4)</f>
        <v/>
      </c>
      <c r="AS294">
        <f>N294/Schema_v5!$C6</f>
        <v/>
      </c>
      <c r="AT294">
        <f>O294/Schema_v5!$C7</f>
        <v/>
      </c>
      <c r="AU294">
        <f>P294/Schema_v5!$C8</f>
        <v/>
      </c>
      <c r="AV294">
        <f>IF(Schema_v5!$C9=0,0,AH294/Schema_v5!$C9)</f>
        <v/>
      </c>
      <c r="AW294">
        <f>IF(Schema_v5!$C10=0,0,AE294/Schema_v5!$C10)</f>
        <v/>
      </c>
      <c r="AX294">
        <f>(W294-Schema_v5!$C11)/(Schema_v5!$C12-Schema_v5!$C11)</f>
        <v/>
      </c>
      <c r="AY294">
        <f>(X294-Schema_v5!$C13)/(Schema_v5!$C14-Schema_v5!$C13)</f>
        <v/>
      </c>
    </row>
    <row r="295">
      <c r="A295" s="3" t="inlineStr">
        <is>
          <t>Q58_B</t>
        </is>
      </c>
      <c r="B295" s="3" t="n">
        <v>58</v>
      </c>
      <c r="C295" s="3" t="n">
        <v>107</v>
      </c>
      <c r="D295" s="3" t="inlineStr">
        <is>
          <t>Shadow</t>
        </is>
      </c>
      <c r="E295" s="3" t="n">
        <v>1.35</v>
      </c>
      <c r="F295" s="3" t="inlineStr">
        <is>
          <t>ShadowPattern</t>
        </is>
      </c>
      <c r="G295" s="3" t="inlineStr">
        <is>
          <t>IntegrityRisk</t>
        </is>
      </c>
      <c r="H295" s="3" t="inlineStr"/>
      <c r="I295" s="3" t="inlineStr">
        <is>
          <t>B</t>
        </is>
      </c>
      <c r="J295" s="3" t="inlineStr">
        <is>
          <t>B</t>
        </is>
      </c>
      <c r="K295" s="3" t="inlineStr">
        <is>
          <t>Say nothing. If they bring it up, I'll deal with it then.</t>
        </is>
      </c>
      <c r="L295" s="3" t="n">
        <v>3</v>
      </c>
      <c r="M295" s="3" t="inlineStr"/>
      <c r="N295" s="3" t="n">
        <v>6</v>
      </c>
      <c r="O295" s="3" t="n">
        <v>6</v>
      </c>
      <c r="P295" s="3" t="n">
        <v>6</v>
      </c>
      <c r="Q295" s="3" t="inlineStr"/>
      <c r="R295" s="3" t="inlineStr"/>
      <c r="S295" s="3" t="inlineStr">
        <is>
          <t>Stonewaller</t>
        </is>
      </c>
      <c r="T295" s="3" t="n">
        <v>2</v>
      </c>
      <c r="U295" s="3" t="n">
        <v>4</v>
      </c>
      <c r="V295" s="3" t="inlineStr">
        <is>
          <t>masc:0.0;fem:0.0</t>
        </is>
      </c>
      <c r="W295" s="3" t="n">
        <v>0</v>
      </c>
      <c r="X295" s="3" t="n">
        <v>0</v>
      </c>
      <c r="Y295" s="3" t="inlineStr"/>
      <c r="Z295" s="3" t="inlineStr"/>
      <c r="AA295" s="3" t="inlineStr"/>
      <c r="AB295" s="3" t="inlineStr"/>
      <c r="AC295" s="3" t="inlineStr"/>
      <c r="AD295" s="3" t="inlineStr"/>
      <c r="AE295" s="3" t="n">
        <v>0</v>
      </c>
      <c r="AF295" s="3" t="inlineStr"/>
      <c r="AG295" s="3" t="inlineStr"/>
      <c r="AH295" s="3" t="n">
        <v>0</v>
      </c>
      <c r="AI295" s="3" t="inlineStr"/>
      <c r="AJ295" s="3" t="inlineStr">
        <is>
          <t>yes</t>
        </is>
      </c>
      <c r="AK295" s="3" t="inlineStr">
        <is>
          <t>no</t>
        </is>
      </c>
      <c r="AL295" s="3" t="inlineStr">
        <is>
          <t>no</t>
        </is>
      </c>
      <c r="AM295" s="3" t="inlineStr"/>
      <c r="AN295" s="3" t="inlineStr"/>
      <c r="AO295" s="3" t="inlineStr"/>
      <c r="AP295" s="3" t="inlineStr">
        <is>
          <t>v3_2026-03-19</t>
        </is>
      </c>
      <c r="AQ295">
        <f>(L295-Schema_v5!$C2)/(Schema_v5!$C3-Schema_v5!$C2)</f>
        <v/>
      </c>
      <c r="AR295">
        <f>(M295-Schema_v5!$C4)/(Schema_v5!$C5-Schema_v5!$C4)</f>
        <v/>
      </c>
      <c r="AS295">
        <f>N295/Schema_v5!$C6</f>
        <v/>
      </c>
      <c r="AT295">
        <f>O295/Schema_v5!$C7</f>
        <v/>
      </c>
      <c r="AU295">
        <f>P295/Schema_v5!$C8</f>
        <v/>
      </c>
      <c r="AV295">
        <f>IF(Schema_v5!$C9=0,0,AH295/Schema_v5!$C9)</f>
        <v/>
      </c>
      <c r="AW295">
        <f>IF(Schema_v5!$C10=0,0,AE295/Schema_v5!$C10)</f>
        <v/>
      </c>
      <c r="AX295">
        <f>(W295-Schema_v5!$C11)/(Schema_v5!$C12-Schema_v5!$C11)</f>
        <v/>
      </c>
      <c r="AY295">
        <f>(X295-Schema_v5!$C13)/(Schema_v5!$C14-Schema_v5!$C13)</f>
        <v/>
      </c>
    </row>
    <row r="296">
      <c r="A296" s="3" t="inlineStr">
        <is>
          <t>Q58_C</t>
        </is>
      </c>
      <c r="B296" s="3" t="n">
        <v>58</v>
      </c>
      <c r="C296" s="3" t="n">
        <v>107</v>
      </c>
      <c r="D296" s="3" t="inlineStr">
        <is>
          <t>Shadow</t>
        </is>
      </c>
      <c r="E296" s="3" t="n">
        <v>1.35</v>
      </c>
      <c r="F296" s="3" t="inlineStr">
        <is>
          <t>ShadowPattern</t>
        </is>
      </c>
      <c r="G296" s="3" t="inlineStr">
        <is>
          <t>IntegrityRisk</t>
        </is>
      </c>
      <c r="H296" s="3" t="inlineStr"/>
      <c r="I296" s="3" t="inlineStr">
        <is>
          <t>C</t>
        </is>
      </c>
      <c r="J296" s="3" t="inlineStr">
        <is>
          <t>C</t>
        </is>
      </c>
      <c r="K296" s="3" t="inlineStr">
        <is>
          <t>Over-apologize, promise the world, and hope they feel how much I care.</t>
        </is>
      </c>
      <c r="L296" s="3" t="n">
        <v>5</v>
      </c>
      <c r="M296" s="3" t="inlineStr"/>
      <c r="N296" s="3" t="n">
        <v>4</v>
      </c>
      <c r="O296" s="3" t="n">
        <v>4</v>
      </c>
      <c r="P296" s="3" t="n">
        <v>4</v>
      </c>
      <c r="Q296" s="3" t="inlineStr"/>
      <c r="R296" s="3" t="inlineStr"/>
      <c r="S296" s="3" t="inlineStr">
        <is>
          <t>Love Bomber</t>
        </is>
      </c>
      <c r="T296" s="3" t="n">
        <v>3</v>
      </c>
      <c r="U296" s="3" t="n">
        <v>6</v>
      </c>
      <c r="V296" s="3" t="inlineStr">
        <is>
          <t>masc:0.0;fem:0.0</t>
        </is>
      </c>
      <c r="W296" s="3" t="n">
        <v>0</v>
      </c>
      <c r="X296" s="3" t="n">
        <v>0</v>
      </c>
      <c r="Y296" s="3" t="inlineStr"/>
      <c r="Z296" s="3" t="inlineStr"/>
      <c r="AA296" s="3" t="inlineStr"/>
      <c r="AB296" s="3" t="inlineStr"/>
      <c r="AC296" s="3" t="inlineStr"/>
      <c r="AD296" s="3" t="inlineStr"/>
      <c r="AE296" s="3" t="n">
        <v>0</v>
      </c>
      <c r="AF296" s="3" t="inlineStr"/>
      <c r="AG296" s="3" t="inlineStr"/>
      <c r="AH296" s="3" t="n">
        <v>0</v>
      </c>
      <c r="AI296" s="3" t="inlineStr"/>
      <c r="AJ296" s="3" t="inlineStr">
        <is>
          <t>no</t>
        </is>
      </c>
      <c r="AK296" s="3" t="inlineStr">
        <is>
          <t>no</t>
        </is>
      </c>
      <c r="AL296" s="3" t="inlineStr">
        <is>
          <t>no</t>
        </is>
      </c>
      <c r="AM296" s="3" t="inlineStr"/>
      <c r="AN296" s="3" t="inlineStr"/>
      <c r="AO296" s="3" t="inlineStr"/>
      <c r="AP296" s="3" t="inlineStr">
        <is>
          <t>v3_2026-03-19</t>
        </is>
      </c>
      <c r="AQ296">
        <f>(L296-Schema_v5!$C2)/(Schema_v5!$C3-Schema_v5!$C2)</f>
        <v/>
      </c>
      <c r="AR296">
        <f>(M296-Schema_v5!$C4)/(Schema_v5!$C5-Schema_v5!$C4)</f>
        <v/>
      </c>
      <c r="AS296">
        <f>N296/Schema_v5!$C6</f>
        <v/>
      </c>
      <c r="AT296">
        <f>O296/Schema_v5!$C7</f>
        <v/>
      </c>
      <c r="AU296">
        <f>P296/Schema_v5!$C8</f>
        <v/>
      </c>
      <c r="AV296">
        <f>IF(Schema_v5!$C9=0,0,AH296/Schema_v5!$C9)</f>
        <v/>
      </c>
      <c r="AW296">
        <f>IF(Schema_v5!$C10=0,0,AE296/Schema_v5!$C10)</f>
        <v/>
      </c>
      <c r="AX296">
        <f>(W296-Schema_v5!$C11)/(Schema_v5!$C12-Schema_v5!$C11)</f>
        <v/>
      </c>
      <c r="AY296">
        <f>(X296-Schema_v5!$C13)/(Schema_v5!$C14-Schema_v5!$C13)</f>
        <v/>
      </c>
    </row>
    <row r="297">
      <c r="A297" s="3" t="inlineStr">
        <is>
          <t>Q58_D</t>
        </is>
      </c>
      <c r="B297" s="3" t="n">
        <v>58</v>
      </c>
      <c r="C297" s="3" t="n">
        <v>107</v>
      </c>
      <c r="D297" s="3" t="inlineStr">
        <is>
          <t>Shadow</t>
        </is>
      </c>
      <c r="E297" s="3" t="n">
        <v>1.35</v>
      </c>
      <c r="F297" s="3" t="inlineStr">
        <is>
          <t>ShadowPattern</t>
        </is>
      </c>
      <c r="G297" s="3" t="inlineStr">
        <is>
          <t>IntegrityRisk</t>
        </is>
      </c>
      <c r="H297" s="3" t="inlineStr"/>
      <c r="I297" s="3" t="inlineStr">
        <is>
          <t>D</t>
        </is>
      </c>
      <c r="J297" s="3" t="inlineStr">
        <is>
          <t>D</t>
        </is>
      </c>
      <c r="K297" s="3" t="inlineStr">
        <is>
          <t>Spin it into a joke or self-deprecating moment. Make it lighter than it feels.</t>
        </is>
      </c>
      <c r="L297" s="3" t="n">
        <v>6</v>
      </c>
      <c r="M297" s="3" t="inlineStr"/>
      <c r="N297" s="3" t="n">
        <v>4</v>
      </c>
      <c r="O297" s="3" t="n">
        <v>4</v>
      </c>
      <c r="P297" s="3" t="n">
        <v>4</v>
      </c>
      <c r="Q297" s="3" t="inlineStr"/>
      <c r="R297" s="3" t="inlineStr"/>
      <c r="S297" s="3" t="inlineStr">
        <is>
          <t>Chameleon</t>
        </is>
      </c>
      <c r="T297" s="3" t="n">
        <v>4</v>
      </c>
      <c r="U297" s="3" t="n">
        <v>6</v>
      </c>
      <c r="V297" s="3" t="inlineStr">
        <is>
          <t>masc:0.0;fem:0.0</t>
        </is>
      </c>
      <c r="W297" s="3" t="n">
        <v>0</v>
      </c>
      <c r="X297" s="3" t="n">
        <v>0</v>
      </c>
      <c r="Y297" s="3" t="inlineStr"/>
      <c r="Z297" s="3" t="inlineStr"/>
      <c r="AA297" s="3" t="inlineStr"/>
      <c r="AB297" s="3" t="inlineStr"/>
      <c r="AC297" s="3" t="inlineStr"/>
      <c r="AD297" s="3" t="inlineStr"/>
      <c r="AE297" s="3" t="n">
        <v>0</v>
      </c>
      <c r="AF297" s="3" t="inlineStr"/>
      <c r="AG297" s="3" t="inlineStr"/>
      <c r="AH297" s="3" t="n">
        <v>0</v>
      </c>
      <c r="AI297" s="3" t="inlineStr"/>
      <c r="AJ297" s="3" t="inlineStr">
        <is>
          <t>no</t>
        </is>
      </c>
      <c r="AK297" s="3" t="inlineStr">
        <is>
          <t>no</t>
        </is>
      </c>
      <c r="AL297" s="3" t="inlineStr">
        <is>
          <t>no</t>
        </is>
      </c>
      <c r="AM297" s="3" t="inlineStr"/>
      <c r="AN297" s="3" t="inlineStr"/>
      <c r="AO297" s="3" t="inlineStr"/>
      <c r="AP297" s="3" t="inlineStr">
        <is>
          <t>v3_2026-03-19</t>
        </is>
      </c>
      <c r="AQ297">
        <f>(L297-Schema_v5!$C2)/(Schema_v5!$C3-Schema_v5!$C2)</f>
        <v/>
      </c>
      <c r="AR297">
        <f>(M297-Schema_v5!$C4)/(Schema_v5!$C5-Schema_v5!$C4)</f>
        <v/>
      </c>
      <c r="AS297">
        <f>N297/Schema_v5!$C6</f>
        <v/>
      </c>
      <c r="AT297">
        <f>O297/Schema_v5!$C7</f>
        <v/>
      </c>
      <c r="AU297">
        <f>P297/Schema_v5!$C8</f>
        <v/>
      </c>
      <c r="AV297">
        <f>IF(Schema_v5!$C9=0,0,AH297/Schema_v5!$C9)</f>
        <v/>
      </c>
      <c r="AW297">
        <f>IF(Schema_v5!$C10=0,0,AE297/Schema_v5!$C10)</f>
        <v/>
      </c>
      <c r="AX297">
        <f>(W297-Schema_v5!$C11)/(Schema_v5!$C12-Schema_v5!$C11)</f>
        <v/>
      </c>
      <c r="AY297">
        <f>(X297-Schema_v5!$C13)/(Schema_v5!$C14-Schema_v5!$C13)</f>
        <v/>
      </c>
    </row>
    <row r="298">
      <c r="A298" s="3" t="inlineStr">
        <is>
          <t>Q58_E</t>
        </is>
      </c>
      <c r="B298" s="3" t="n">
        <v>58</v>
      </c>
      <c r="C298" s="3" t="n">
        <v>107</v>
      </c>
      <c r="D298" s="3" t="inlineStr">
        <is>
          <t>Shadow</t>
        </is>
      </c>
      <c r="E298" s="3" t="n">
        <v>1.35</v>
      </c>
      <c r="F298" s="3" t="inlineStr">
        <is>
          <t>ShadowPattern</t>
        </is>
      </c>
      <c r="G298" s="3" t="inlineStr">
        <is>
          <t>IntegrityRisk</t>
        </is>
      </c>
      <c r="H298" s="3" t="inlineStr"/>
      <c r="I298" s="3" t="inlineStr">
        <is>
          <t>E</t>
        </is>
      </c>
      <c r="J298" s="3" t="inlineStr">
        <is>
          <t>E</t>
        </is>
      </c>
      <c r="K298" s="3" t="inlineStr">
        <is>
          <t>Remind them of how good I usually am. This one thing shouldn't weigh more than all I've given.</t>
        </is>
      </c>
      <c r="L298" s="3" t="n">
        <v>7</v>
      </c>
      <c r="M298" s="3" t="inlineStr"/>
      <c r="N298" s="3" t="n">
        <v>2</v>
      </c>
      <c r="O298" s="3" t="n">
        <v>2</v>
      </c>
      <c r="P298" s="3" t="n">
        <v>2</v>
      </c>
      <c r="Q298" s="3" t="inlineStr"/>
      <c r="R298" s="3" t="inlineStr"/>
      <c r="S298" s="3" t="inlineStr">
        <is>
          <t>Scorekeeper</t>
        </is>
      </c>
      <c r="T298" s="3" t="n">
        <v>5</v>
      </c>
      <c r="U298" s="3" t="n">
        <v>8</v>
      </c>
      <c r="V298" s="3" t="inlineStr">
        <is>
          <t>masc:0.0;fem:0.0</t>
        </is>
      </c>
      <c r="W298" s="3" t="n">
        <v>0</v>
      </c>
      <c r="X298" s="3" t="n">
        <v>0</v>
      </c>
      <c r="Y298" s="3" t="inlineStr"/>
      <c r="Z298" s="3" t="inlineStr"/>
      <c r="AA298" s="3" t="inlineStr"/>
      <c r="AB298" s="3" t="inlineStr"/>
      <c r="AC298" s="3" t="inlineStr"/>
      <c r="AD298" s="3" t="inlineStr"/>
      <c r="AE298" s="3" t="n">
        <v>0</v>
      </c>
      <c r="AF298" s="3" t="inlineStr"/>
      <c r="AG298" s="3" t="inlineStr"/>
      <c r="AH298" s="3" t="n">
        <v>0</v>
      </c>
      <c r="AI298" s="3" t="inlineStr"/>
      <c r="AJ298" s="3" t="inlineStr">
        <is>
          <t>no</t>
        </is>
      </c>
      <c r="AK298" s="3" t="inlineStr">
        <is>
          <t>no</t>
        </is>
      </c>
      <c r="AL298" s="3" t="inlineStr">
        <is>
          <t>no</t>
        </is>
      </c>
      <c r="AM298" s="3" t="inlineStr"/>
      <c r="AN298" s="3" t="inlineStr"/>
      <c r="AO298" s="3" t="inlineStr"/>
      <c r="AP298" s="3" t="inlineStr">
        <is>
          <t>v3_2026-03-19</t>
        </is>
      </c>
      <c r="AQ298">
        <f>(L298-Schema_v5!$C2)/(Schema_v5!$C3-Schema_v5!$C2)</f>
        <v/>
      </c>
      <c r="AR298">
        <f>(M298-Schema_v5!$C4)/(Schema_v5!$C5-Schema_v5!$C4)</f>
        <v/>
      </c>
      <c r="AS298">
        <f>N298/Schema_v5!$C6</f>
        <v/>
      </c>
      <c r="AT298">
        <f>O298/Schema_v5!$C7</f>
        <v/>
      </c>
      <c r="AU298">
        <f>P298/Schema_v5!$C8</f>
        <v/>
      </c>
      <c r="AV298">
        <f>IF(Schema_v5!$C9=0,0,AH298/Schema_v5!$C9)</f>
        <v/>
      </c>
      <c r="AW298">
        <f>IF(Schema_v5!$C10=0,0,AE298/Schema_v5!$C10)</f>
        <v/>
      </c>
      <c r="AX298">
        <f>(W298-Schema_v5!$C11)/(Schema_v5!$C12-Schema_v5!$C11)</f>
        <v/>
      </c>
      <c r="AY298">
        <f>(X298-Schema_v5!$C13)/(Schema_v5!$C14-Schema_v5!$C13)</f>
        <v/>
      </c>
    </row>
    <row r="299">
      <c r="A299" s="3" t="inlineStr">
        <is>
          <t>Q58_F</t>
        </is>
      </c>
      <c r="B299" s="3" t="n">
        <v>58</v>
      </c>
      <c r="C299" s="3" t="n">
        <v>107</v>
      </c>
      <c r="D299" s="3" t="inlineStr">
        <is>
          <t>Shadow</t>
        </is>
      </c>
      <c r="E299" s="3" t="n">
        <v>1.35</v>
      </c>
      <c r="F299" s="3" t="inlineStr">
        <is>
          <t>ShadowPattern</t>
        </is>
      </c>
      <c r="G299" s="3" t="inlineStr">
        <is>
          <t>IntegrityRisk</t>
        </is>
      </c>
      <c r="H299" s="3" t="inlineStr"/>
      <c r="I299" s="3" t="inlineStr">
        <is>
          <t>F</t>
        </is>
      </c>
      <c r="J299" s="3" t="inlineStr">
        <is>
          <t>F</t>
        </is>
      </c>
      <c r="K299" s="3" t="inlineStr">
        <is>
          <t>Replay it in my head a hundred times, then decide they're better off without me.</t>
        </is>
      </c>
      <c r="L299" s="3" t="n">
        <v>8</v>
      </c>
      <c r="M299" s="3" t="inlineStr"/>
      <c r="N299" s="3" t="n">
        <v>2</v>
      </c>
      <c r="O299" s="3" t="n">
        <v>2</v>
      </c>
      <c r="P299" s="3" t="n">
        <v>2</v>
      </c>
      <c r="Q299" s="3" t="inlineStr"/>
      <c r="R299" s="3" t="inlineStr"/>
      <c r="S299" s="3" t="inlineStr">
        <is>
          <t>Self-Saboteur</t>
        </is>
      </c>
      <c r="T299" s="3" t="n">
        <v>6</v>
      </c>
      <c r="U299" s="3" t="n">
        <v>8</v>
      </c>
      <c r="V299" s="3" t="inlineStr">
        <is>
          <t>masc:0.0;fem:0.0</t>
        </is>
      </c>
      <c r="W299" s="3" t="n">
        <v>0</v>
      </c>
      <c r="X299" s="3" t="n">
        <v>0</v>
      </c>
      <c r="Y299" s="3" t="inlineStr"/>
      <c r="Z299" s="3" t="inlineStr"/>
      <c r="AA299" s="3" t="inlineStr"/>
      <c r="AB299" s="3" t="inlineStr"/>
      <c r="AC299" s="3" t="inlineStr"/>
      <c r="AD299" s="3" t="inlineStr"/>
      <c r="AE299" s="3" t="n">
        <v>0</v>
      </c>
      <c r="AF299" s="3" t="inlineStr"/>
      <c r="AG299" s="3" t="inlineStr"/>
      <c r="AH299" s="3" t="n">
        <v>0</v>
      </c>
      <c r="AI299" s="3" t="inlineStr"/>
      <c r="AJ299" s="3" t="inlineStr">
        <is>
          <t>no</t>
        </is>
      </c>
      <c r="AK299" s="3" t="inlineStr">
        <is>
          <t>no</t>
        </is>
      </c>
      <c r="AL299" s="3" t="inlineStr">
        <is>
          <t>no</t>
        </is>
      </c>
      <c r="AM299" s="3" t="inlineStr"/>
      <c r="AN299" s="3" t="inlineStr"/>
      <c r="AO299" s="3" t="inlineStr"/>
      <c r="AP299" s="3" t="inlineStr">
        <is>
          <t>v3_2026-03-19</t>
        </is>
      </c>
      <c r="AQ299">
        <f>(L299-Schema_v5!$C2)/(Schema_v5!$C3-Schema_v5!$C2)</f>
        <v/>
      </c>
      <c r="AR299">
        <f>(M299-Schema_v5!$C4)/(Schema_v5!$C5-Schema_v5!$C4)</f>
        <v/>
      </c>
      <c r="AS299">
        <f>N299/Schema_v5!$C6</f>
        <v/>
      </c>
      <c r="AT299">
        <f>O299/Schema_v5!$C7</f>
        <v/>
      </c>
      <c r="AU299">
        <f>P299/Schema_v5!$C8</f>
        <v/>
      </c>
      <c r="AV299">
        <f>IF(Schema_v5!$C9=0,0,AH299/Schema_v5!$C9)</f>
        <v/>
      </c>
      <c r="AW299">
        <f>IF(Schema_v5!$C10=0,0,AE299/Schema_v5!$C10)</f>
        <v/>
      </c>
      <c r="AX299">
        <f>(W299-Schema_v5!$C11)/(Schema_v5!$C12-Schema_v5!$C11)</f>
        <v/>
      </c>
      <c r="AY299">
        <f>(X299-Schema_v5!$C13)/(Schema_v5!$C14-Schema_v5!$C13)</f>
        <v/>
      </c>
    </row>
    <row r="300">
      <c r="A300" s="3" t="inlineStr">
        <is>
          <t>Q59_A</t>
        </is>
      </c>
      <c r="B300" s="3" t="n">
        <v>59</v>
      </c>
      <c r="C300" s="3" t="n">
        <v>108</v>
      </c>
      <c r="D300" s="3" t="inlineStr">
        <is>
          <t>Shadow</t>
        </is>
      </c>
      <c r="E300" s="3" t="n">
        <v>1.4</v>
      </c>
      <c r="F300" s="3" t="inlineStr">
        <is>
          <t>ShadowPattern</t>
        </is>
      </c>
      <c r="G300" s="3" t="inlineStr">
        <is>
          <t>IntegrityRisk</t>
        </is>
      </c>
      <c r="H300" s="3" t="inlineStr">
        <is>
          <t>You're in a fight. It's heated, and you feel unseen. What comes out?</t>
        </is>
      </c>
      <c r="I300" s="3" t="inlineStr">
        <is>
          <t>A</t>
        </is>
      </c>
      <c r="J300" s="3" t="inlineStr">
        <is>
          <t>A</t>
        </is>
      </c>
      <c r="K300" s="3" t="inlineStr">
        <is>
          <t>Say something sharp that'll stick with them. They should feel what I feel.</t>
        </is>
      </c>
      <c r="L300" s="3" t="n">
        <v>4</v>
      </c>
      <c r="M300" s="3" t="inlineStr"/>
      <c r="N300" s="3" t="n">
        <v>4</v>
      </c>
      <c r="O300" s="3" t="n">
        <v>4</v>
      </c>
      <c r="P300" s="3" t="n">
        <v>4</v>
      </c>
      <c r="Q300" s="3" t="inlineStr"/>
      <c r="R300" s="3" t="inlineStr"/>
      <c r="S300" s="3" t="inlineStr">
        <is>
          <t>Manipulator</t>
        </is>
      </c>
      <c r="T300" s="3" t="n">
        <v>1</v>
      </c>
      <c r="U300" s="3" t="n">
        <v>6</v>
      </c>
      <c r="V300" s="3" t="inlineStr">
        <is>
          <t>masc:0.0;fem:0.0</t>
        </is>
      </c>
      <c r="W300" s="3" t="n">
        <v>0</v>
      </c>
      <c r="X300" s="3" t="n">
        <v>0</v>
      </c>
      <c r="Y300" s="3" t="inlineStr"/>
      <c r="Z300" s="3" t="inlineStr"/>
      <c r="AA300" s="3" t="inlineStr"/>
      <c r="AB300" s="3" t="inlineStr"/>
      <c r="AC300" s="3" t="inlineStr"/>
      <c r="AD300" s="3" t="inlineStr"/>
      <c r="AE300" s="3" t="n">
        <v>0</v>
      </c>
      <c r="AF300" s="3" t="inlineStr"/>
      <c r="AG300" s="3" t="inlineStr"/>
      <c r="AH300" s="3" t="n">
        <v>0</v>
      </c>
      <c r="AI300" s="3" t="inlineStr"/>
      <c r="AJ300" s="3" t="inlineStr">
        <is>
          <t>yes</t>
        </is>
      </c>
      <c r="AK300" s="3" t="inlineStr">
        <is>
          <t>no</t>
        </is>
      </c>
      <c r="AL300" s="3" t="inlineStr">
        <is>
          <t>no</t>
        </is>
      </c>
      <c r="AM300" s="3" t="inlineStr"/>
      <c r="AN300" s="3" t="inlineStr"/>
      <c r="AO300" s="3" t="inlineStr"/>
      <c r="AP300" s="3" t="inlineStr">
        <is>
          <t>v3_2026-03-19</t>
        </is>
      </c>
      <c r="AQ300">
        <f>(L300-Schema_v5!$C2)/(Schema_v5!$C3-Schema_v5!$C2)</f>
        <v/>
      </c>
      <c r="AR300">
        <f>(M300-Schema_v5!$C4)/(Schema_v5!$C5-Schema_v5!$C4)</f>
        <v/>
      </c>
      <c r="AS300">
        <f>N300/Schema_v5!$C6</f>
        <v/>
      </c>
      <c r="AT300">
        <f>O300/Schema_v5!$C7</f>
        <v/>
      </c>
      <c r="AU300">
        <f>P300/Schema_v5!$C8</f>
        <v/>
      </c>
      <c r="AV300">
        <f>IF(Schema_v5!$C9=0,0,AH300/Schema_v5!$C9)</f>
        <v/>
      </c>
      <c r="AW300">
        <f>IF(Schema_v5!$C10=0,0,AE300/Schema_v5!$C10)</f>
        <v/>
      </c>
      <c r="AX300">
        <f>(W300-Schema_v5!$C11)/(Schema_v5!$C12-Schema_v5!$C11)</f>
        <v/>
      </c>
      <c r="AY300">
        <f>(X300-Schema_v5!$C13)/(Schema_v5!$C14-Schema_v5!$C13)</f>
        <v/>
      </c>
    </row>
    <row r="301">
      <c r="A301" s="3" t="inlineStr">
        <is>
          <t>Q59_B</t>
        </is>
      </c>
      <c r="B301" s="3" t="n">
        <v>59</v>
      </c>
      <c r="C301" s="3" t="n">
        <v>108</v>
      </c>
      <c r="D301" s="3" t="inlineStr">
        <is>
          <t>Shadow</t>
        </is>
      </c>
      <c r="E301" s="3" t="n">
        <v>1.4</v>
      </c>
      <c r="F301" s="3" t="inlineStr">
        <is>
          <t>ShadowPattern</t>
        </is>
      </c>
      <c r="G301" s="3" t="inlineStr">
        <is>
          <t>IntegrityRisk</t>
        </is>
      </c>
      <c r="H301" s="3" t="inlineStr"/>
      <c r="I301" s="3" t="inlineStr">
        <is>
          <t>B</t>
        </is>
      </c>
      <c r="J301" s="3" t="inlineStr">
        <is>
          <t>B</t>
        </is>
      </c>
      <c r="K301" s="3" t="inlineStr">
        <is>
          <t>Shut down completely. I won't give them more to twist.</t>
        </is>
      </c>
      <c r="L301" s="3" t="n">
        <v>3</v>
      </c>
      <c r="M301" s="3" t="inlineStr"/>
      <c r="N301" s="3" t="n">
        <v>6</v>
      </c>
      <c r="O301" s="3" t="n">
        <v>6</v>
      </c>
      <c r="P301" s="3" t="n">
        <v>6</v>
      </c>
      <c r="Q301" s="3" t="inlineStr"/>
      <c r="R301" s="3" t="inlineStr"/>
      <c r="S301" s="3" t="inlineStr">
        <is>
          <t>Stonewaller</t>
        </is>
      </c>
      <c r="T301" s="3" t="n">
        <v>2</v>
      </c>
      <c r="U301" s="3" t="n">
        <v>4</v>
      </c>
      <c r="V301" s="3" t="inlineStr">
        <is>
          <t>masc:0.0;fem:0.0</t>
        </is>
      </c>
      <c r="W301" s="3" t="n">
        <v>0</v>
      </c>
      <c r="X301" s="3" t="n">
        <v>0</v>
      </c>
      <c r="Y301" s="3" t="inlineStr"/>
      <c r="Z301" s="3" t="inlineStr"/>
      <c r="AA301" s="3" t="inlineStr"/>
      <c r="AB301" s="3" t="inlineStr"/>
      <c r="AC301" s="3" t="inlineStr"/>
      <c r="AD301" s="3" t="inlineStr"/>
      <c r="AE301" s="3" t="n">
        <v>0</v>
      </c>
      <c r="AF301" s="3" t="inlineStr"/>
      <c r="AG301" s="3" t="inlineStr"/>
      <c r="AH301" s="3" t="n">
        <v>0</v>
      </c>
      <c r="AI301" s="3" t="inlineStr"/>
      <c r="AJ301" s="3" t="inlineStr">
        <is>
          <t>yes</t>
        </is>
      </c>
      <c r="AK301" s="3" t="inlineStr">
        <is>
          <t>no</t>
        </is>
      </c>
      <c r="AL301" s="3" t="inlineStr">
        <is>
          <t>no</t>
        </is>
      </c>
      <c r="AM301" s="3" t="inlineStr"/>
      <c r="AN301" s="3" t="inlineStr"/>
      <c r="AO301" s="3" t="inlineStr"/>
      <c r="AP301" s="3" t="inlineStr">
        <is>
          <t>v3_2026-03-19</t>
        </is>
      </c>
      <c r="AQ301">
        <f>(L301-Schema_v5!$C2)/(Schema_v5!$C3-Schema_v5!$C2)</f>
        <v/>
      </c>
      <c r="AR301">
        <f>(M301-Schema_v5!$C4)/(Schema_v5!$C5-Schema_v5!$C4)</f>
        <v/>
      </c>
      <c r="AS301">
        <f>N301/Schema_v5!$C6</f>
        <v/>
      </c>
      <c r="AT301">
        <f>O301/Schema_v5!$C7</f>
        <v/>
      </c>
      <c r="AU301">
        <f>P301/Schema_v5!$C8</f>
        <v/>
      </c>
      <c r="AV301">
        <f>IF(Schema_v5!$C9=0,0,AH301/Schema_v5!$C9)</f>
        <v/>
      </c>
      <c r="AW301">
        <f>IF(Schema_v5!$C10=0,0,AE301/Schema_v5!$C10)</f>
        <v/>
      </c>
      <c r="AX301">
        <f>(W301-Schema_v5!$C11)/(Schema_v5!$C12-Schema_v5!$C11)</f>
        <v/>
      </c>
      <c r="AY301">
        <f>(X301-Schema_v5!$C13)/(Schema_v5!$C14-Schema_v5!$C13)</f>
        <v/>
      </c>
    </row>
    <row r="302">
      <c r="A302" s="3" t="inlineStr">
        <is>
          <t>Q59_C</t>
        </is>
      </c>
      <c r="B302" s="3" t="n">
        <v>59</v>
      </c>
      <c r="C302" s="3" t="n">
        <v>108</v>
      </c>
      <c r="D302" s="3" t="inlineStr">
        <is>
          <t>Shadow</t>
        </is>
      </c>
      <c r="E302" s="3" t="n">
        <v>1.4</v>
      </c>
      <c r="F302" s="3" t="inlineStr">
        <is>
          <t>ShadowPattern</t>
        </is>
      </c>
      <c r="G302" s="3" t="inlineStr">
        <is>
          <t>IntegrityRisk</t>
        </is>
      </c>
      <c r="H302" s="3" t="inlineStr"/>
      <c r="I302" s="3" t="inlineStr">
        <is>
          <t>C</t>
        </is>
      </c>
      <c r="J302" s="3" t="inlineStr">
        <is>
          <t>C</t>
        </is>
      </c>
      <c r="K302" s="3" t="inlineStr">
        <is>
          <t>Beg, cry, confess everything, I just want them to see me.</t>
        </is>
      </c>
      <c r="L302" s="3" t="n">
        <v>5</v>
      </c>
      <c r="M302" s="3" t="inlineStr"/>
      <c r="N302" s="3" t="n">
        <v>4</v>
      </c>
      <c r="O302" s="3" t="n">
        <v>4</v>
      </c>
      <c r="P302" s="3" t="n">
        <v>4</v>
      </c>
      <c r="Q302" s="3" t="inlineStr"/>
      <c r="R302" s="3" t="inlineStr"/>
      <c r="S302" s="3" t="inlineStr">
        <is>
          <t>Love Bomber</t>
        </is>
      </c>
      <c r="T302" s="3" t="n">
        <v>3</v>
      </c>
      <c r="U302" s="3" t="n">
        <v>6</v>
      </c>
      <c r="V302" s="3" t="inlineStr">
        <is>
          <t>masc:0.0;fem:0.0</t>
        </is>
      </c>
      <c r="W302" s="3" t="n">
        <v>0</v>
      </c>
      <c r="X302" s="3" t="n">
        <v>0</v>
      </c>
      <c r="Y302" s="3" t="inlineStr"/>
      <c r="Z302" s="3" t="inlineStr"/>
      <c r="AA302" s="3" t="inlineStr"/>
      <c r="AB302" s="3" t="inlineStr"/>
      <c r="AC302" s="3" t="inlineStr"/>
      <c r="AD302" s="3" t="inlineStr"/>
      <c r="AE302" s="3" t="n">
        <v>0</v>
      </c>
      <c r="AF302" s="3" t="inlineStr"/>
      <c r="AG302" s="3" t="inlineStr"/>
      <c r="AH302" s="3" t="n">
        <v>0</v>
      </c>
      <c r="AI302" s="3" t="inlineStr"/>
      <c r="AJ302" s="3" t="inlineStr">
        <is>
          <t>no</t>
        </is>
      </c>
      <c r="AK302" s="3" t="inlineStr">
        <is>
          <t>no</t>
        </is>
      </c>
      <c r="AL302" s="3" t="inlineStr">
        <is>
          <t>no</t>
        </is>
      </c>
      <c r="AM302" s="3" t="inlineStr"/>
      <c r="AN302" s="3" t="inlineStr"/>
      <c r="AO302" s="3" t="inlineStr"/>
      <c r="AP302" s="3" t="inlineStr">
        <is>
          <t>v3_2026-03-19</t>
        </is>
      </c>
      <c r="AQ302">
        <f>(L302-Schema_v5!$C2)/(Schema_v5!$C3-Schema_v5!$C2)</f>
        <v/>
      </c>
      <c r="AR302">
        <f>(M302-Schema_v5!$C4)/(Schema_v5!$C5-Schema_v5!$C4)</f>
        <v/>
      </c>
      <c r="AS302">
        <f>N302/Schema_v5!$C6</f>
        <v/>
      </c>
      <c r="AT302">
        <f>O302/Schema_v5!$C7</f>
        <v/>
      </c>
      <c r="AU302">
        <f>P302/Schema_v5!$C8</f>
        <v/>
      </c>
      <c r="AV302">
        <f>IF(Schema_v5!$C9=0,0,AH302/Schema_v5!$C9)</f>
        <v/>
      </c>
      <c r="AW302">
        <f>IF(Schema_v5!$C10=0,0,AE302/Schema_v5!$C10)</f>
        <v/>
      </c>
      <c r="AX302">
        <f>(W302-Schema_v5!$C11)/(Schema_v5!$C12-Schema_v5!$C11)</f>
        <v/>
      </c>
      <c r="AY302">
        <f>(X302-Schema_v5!$C13)/(Schema_v5!$C14-Schema_v5!$C13)</f>
        <v/>
      </c>
    </row>
    <row r="303">
      <c r="A303" s="3" t="inlineStr">
        <is>
          <t>Q59_D</t>
        </is>
      </c>
      <c r="B303" s="3" t="n">
        <v>59</v>
      </c>
      <c r="C303" s="3" t="n">
        <v>108</v>
      </c>
      <c r="D303" s="3" t="inlineStr">
        <is>
          <t>Shadow</t>
        </is>
      </c>
      <c r="E303" s="3" t="n">
        <v>1.4</v>
      </c>
      <c r="F303" s="3" t="inlineStr">
        <is>
          <t>ShadowPattern</t>
        </is>
      </c>
      <c r="G303" s="3" t="inlineStr">
        <is>
          <t>IntegrityRisk</t>
        </is>
      </c>
      <c r="H303" s="3" t="inlineStr"/>
      <c r="I303" s="3" t="inlineStr">
        <is>
          <t>D</t>
        </is>
      </c>
      <c r="J303" s="3" t="inlineStr">
        <is>
          <t>D</t>
        </is>
      </c>
      <c r="K303" s="3" t="inlineStr">
        <is>
          <t>Switch tones, change energy, find a way to make it stop, without fixing it.</t>
        </is>
      </c>
      <c r="L303" s="3" t="n">
        <v>6</v>
      </c>
      <c r="M303" s="3" t="inlineStr"/>
      <c r="N303" s="3" t="n">
        <v>4</v>
      </c>
      <c r="O303" s="3" t="n">
        <v>4</v>
      </c>
      <c r="P303" s="3" t="n">
        <v>4</v>
      </c>
      <c r="Q303" s="3" t="inlineStr"/>
      <c r="R303" s="3" t="inlineStr"/>
      <c r="S303" s="3" t="inlineStr">
        <is>
          <t>Chameleon</t>
        </is>
      </c>
      <c r="T303" s="3" t="n">
        <v>4</v>
      </c>
      <c r="U303" s="3" t="n">
        <v>6</v>
      </c>
      <c r="V303" s="3" t="inlineStr">
        <is>
          <t>masc:0.0;fem:0.0</t>
        </is>
      </c>
      <c r="W303" s="3" t="n">
        <v>0</v>
      </c>
      <c r="X303" s="3" t="n">
        <v>0</v>
      </c>
      <c r="Y303" s="3" t="inlineStr"/>
      <c r="Z303" s="3" t="inlineStr"/>
      <c r="AA303" s="3" t="inlineStr"/>
      <c r="AB303" s="3" t="inlineStr"/>
      <c r="AC303" s="3" t="inlineStr"/>
      <c r="AD303" s="3" t="inlineStr"/>
      <c r="AE303" s="3" t="n">
        <v>0</v>
      </c>
      <c r="AF303" s="3" t="inlineStr"/>
      <c r="AG303" s="3" t="inlineStr"/>
      <c r="AH303" s="3" t="n">
        <v>0</v>
      </c>
      <c r="AI303" s="3" t="inlineStr"/>
      <c r="AJ303" s="3" t="inlineStr">
        <is>
          <t>no</t>
        </is>
      </c>
      <c r="AK303" s="3" t="inlineStr">
        <is>
          <t>no</t>
        </is>
      </c>
      <c r="AL303" s="3" t="inlineStr">
        <is>
          <t>no</t>
        </is>
      </c>
      <c r="AM303" s="3" t="inlineStr"/>
      <c r="AN303" s="3" t="inlineStr"/>
      <c r="AO303" s="3" t="inlineStr"/>
      <c r="AP303" s="3" t="inlineStr">
        <is>
          <t>v3_2026-03-19</t>
        </is>
      </c>
      <c r="AQ303">
        <f>(L303-Schema_v5!$C2)/(Schema_v5!$C3-Schema_v5!$C2)</f>
        <v/>
      </c>
      <c r="AR303">
        <f>(M303-Schema_v5!$C4)/(Schema_v5!$C5-Schema_v5!$C4)</f>
        <v/>
      </c>
      <c r="AS303">
        <f>N303/Schema_v5!$C6</f>
        <v/>
      </c>
      <c r="AT303">
        <f>O303/Schema_v5!$C7</f>
        <v/>
      </c>
      <c r="AU303">
        <f>P303/Schema_v5!$C8</f>
        <v/>
      </c>
      <c r="AV303">
        <f>IF(Schema_v5!$C9=0,0,AH303/Schema_v5!$C9)</f>
        <v/>
      </c>
      <c r="AW303">
        <f>IF(Schema_v5!$C10=0,0,AE303/Schema_v5!$C10)</f>
        <v/>
      </c>
      <c r="AX303">
        <f>(W303-Schema_v5!$C11)/(Schema_v5!$C12-Schema_v5!$C11)</f>
        <v/>
      </c>
      <c r="AY303">
        <f>(X303-Schema_v5!$C13)/(Schema_v5!$C14-Schema_v5!$C13)</f>
        <v/>
      </c>
    </row>
    <row r="304">
      <c r="A304" s="3" t="inlineStr">
        <is>
          <t>Q59_E</t>
        </is>
      </c>
      <c r="B304" s="3" t="n">
        <v>59</v>
      </c>
      <c r="C304" s="3" t="n">
        <v>108</v>
      </c>
      <c r="D304" s="3" t="inlineStr">
        <is>
          <t>Shadow</t>
        </is>
      </c>
      <c r="E304" s="3" t="n">
        <v>1.4</v>
      </c>
      <c r="F304" s="3" t="inlineStr">
        <is>
          <t>ShadowPattern</t>
        </is>
      </c>
      <c r="G304" s="3" t="inlineStr">
        <is>
          <t>IntegrityRisk</t>
        </is>
      </c>
      <c r="H304" s="3" t="inlineStr"/>
      <c r="I304" s="3" t="inlineStr">
        <is>
          <t>E</t>
        </is>
      </c>
      <c r="J304" s="3" t="inlineStr">
        <is>
          <t>E</t>
        </is>
      </c>
      <c r="K304" s="3" t="inlineStr">
        <is>
          <t>Bring up all the other times they've done this. It's never just about now.</t>
        </is>
      </c>
      <c r="L304" s="3" t="n">
        <v>7</v>
      </c>
      <c r="M304" s="3" t="inlineStr"/>
      <c r="N304" s="3" t="n">
        <v>2</v>
      </c>
      <c r="O304" s="3" t="n">
        <v>2</v>
      </c>
      <c r="P304" s="3" t="n">
        <v>2</v>
      </c>
      <c r="Q304" s="3" t="inlineStr"/>
      <c r="R304" s="3" t="inlineStr"/>
      <c r="S304" s="3" t="inlineStr">
        <is>
          <t>Scorekeeper</t>
        </is>
      </c>
      <c r="T304" s="3" t="n">
        <v>5</v>
      </c>
      <c r="U304" s="3" t="n">
        <v>8</v>
      </c>
      <c r="V304" s="3" t="inlineStr">
        <is>
          <t>masc:0.0;fem:0.0</t>
        </is>
      </c>
      <c r="W304" s="3" t="n">
        <v>0</v>
      </c>
      <c r="X304" s="3" t="n">
        <v>0</v>
      </c>
      <c r="Y304" s="3" t="inlineStr"/>
      <c r="Z304" s="3" t="inlineStr"/>
      <c r="AA304" s="3" t="inlineStr"/>
      <c r="AB304" s="3" t="inlineStr"/>
      <c r="AC304" s="3" t="inlineStr"/>
      <c r="AD304" s="3" t="inlineStr"/>
      <c r="AE304" s="3" t="n">
        <v>0</v>
      </c>
      <c r="AF304" s="3" t="inlineStr"/>
      <c r="AG304" s="3" t="inlineStr"/>
      <c r="AH304" s="3" t="n">
        <v>0</v>
      </c>
      <c r="AI304" s="3" t="inlineStr"/>
      <c r="AJ304" s="3" t="inlineStr">
        <is>
          <t>no</t>
        </is>
      </c>
      <c r="AK304" s="3" t="inlineStr">
        <is>
          <t>no</t>
        </is>
      </c>
      <c r="AL304" s="3" t="inlineStr">
        <is>
          <t>no</t>
        </is>
      </c>
      <c r="AM304" s="3" t="inlineStr"/>
      <c r="AN304" s="3" t="inlineStr"/>
      <c r="AO304" s="3" t="inlineStr"/>
      <c r="AP304" s="3" t="inlineStr">
        <is>
          <t>v3_2026-03-19</t>
        </is>
      </c>
      <c r="AQ304">
        <f>(L304-Schema_v5!$C2)/(Schema_v5!$C3-Schema_v5!$C2)</f>
        <v/>
      </c>
      <c r="AR304">
        <f>(M304-Schema_v5!$C4)/(Schema_v5!$C5-Schema_v5!$C4)</f>
        <v/>
      </c>
      <c r="AS304">
        <f>N304/Schema_v5!$C6</f>
        <v/>
      </c>
      <c r="AT304">
        <f>O304/Schema_v5!$C7</f>
        <v/>
      </c>
      <c r="AU304">
        <f>P304/Schema_v5!$C8</f>
        <v/>
      </c>
      <c r="AV304">
        <f>IF(Schema_v5!$C9=0,0,AH304/Schema_v5!$C9)</f>
        <v/>
      </c>
      <c r="AW304">
        <f>IF(Schema_v5!$C10=0,0,AE304/Schema_v5!$C10)</f>
        <v/>
      </c>
      <c r="AX304">
        <f>(W304-Schema_v5!$C11)/(Schema_v5!$C12-Schema_v5!$C11)</f>
        <v/>
      </c>
      <c r="AY304">
        <f>(X304-Schema_v5!$C13)/(Schema_v5!$C14-Schema_v5!$C13)</f>
        <v/>
      </c>
    </row>
    <row r="305">
      <c r="A305" s="3" t="inlineStr">
        <is>
          <t>Q59_F</t>
        </is>
      </c>
      <c r="B305" s="3" t="n">
        <v>59</v>
      </c>
      <c r="C305" s="3" t="n">
        <v>108</v>
      </c>
      <c r="D305" s="3" t="inlineStr">
        <is>
          <t>Shadow</t>
        </is>
      </c>
      <c r="E305" s="3" t="n">
        <v>1.4</v>
      </c>
      <c r="F305" s="3" t="inlineStr">
        <is>
          <t>ShadowPattern</t>
        </is>
      </c>
      <c r="G305" s="3" t="inlineStr">
        <is>
          <t>IntegrityRisk</t>
        </is>
      </c>
      <c r="H305" s="3" t="inlineStr"/>
      <c r="I305" s="3" t="inlineStr">
        <is>
          <t>F</t>
        </is>
      </c>
      <c r="J305" s="3" t="inlineStr">
        <is>
          <t>F</t>
        </is>
      </c>
      <c r="K305" s="3" t="inlineStr">
        <is>
          <t>Tell myself I was wrong for speaking up in the first place.</t>
        </is>
      </c>
      <c r="L305" s="3" t="n">
        <v>8</v>
      </c>
      <c r="M305" s="3" t="inlineStr"/>
      <c r="N305" s="3" t="n">
        <v>2</v>
      </c>
      <c r="O305" s="3" t="n">
        <v>2</v>
      </c>
      <c r="P305" s="3" t="n">
        <v>2</v>
      </c>
      <c r="Q305" s="3" t="inlineStr"/>
      <c r="R305" s="3" t="inlineStr"/>
      <c r="S305" s="3" t="inlineStr">
        <is>
          <t>Self-Saboteur</t>
        </is>
      </c>
      <c r="T305" s="3" t="n">
        <v>6</v>
      </c>
      <c r="U305" s="3" t="n">
        <v>8</v>
      </c>
      <c r="V305" s="3" t="inlineStr">
        <is>
          <t>masc:0.0;fem:0.0</t>
        </is>
      </c>
      <c r="W305" s="3" t="n">
        <v>0</v>
      </c>
      <c r="X305" s="3" t="n">
        <v>0</v>
      </c>
      <c r="Y305" s="3" t="inlineStr"/>
      <c r="Z305" s="3" t="inlineStr"/>
      <c r="AA305" s="3" t="inlineStr"/>
      <c r="AB305" s="3" t="inlineStr"/>
      <c r="AC305" s="3" t="inlineStr"/>
      <c r="AD305" s="3" t="inlineStr"/>
      <c r="AE305" s="3" t="n">
        <v>0</v>
      </c>
      <c r="AF305" s="3" t="inlineStr"/>
      <c r="AG305" s="3" t="inlineStr"/>
      <c r="AH305" s="3" t="n">
        <v>0</v>
      </c>
      <c r="AI305" s="3" t="inlineStr"/>
      <c r="AJ305" s="3" t="inlineStr">
        <is>
          <t>no</t>
        </is>
      </c>
      <c r="AK305" s="3" t="inlineStr">
        <is>
          <t>no</t>
        </is>
      </c>
      <c r="AL305" s="3" t="inlineStr">
        <is>
          <t>no</t>
        </is>
      </c>
      <c r="AM305" s="3" t="inlineStr"/>
      <c r="AN305" s="3" t="inlineStr"/>
      <c r="AO305" s="3" t="inlineStr"/>
      <c r="AP305" s="3" t="inlineStr">
        <is>
          <t>v3_2026-03-19</t>
        </is>
      </c>
      <c r="AQ305">
        <f>(L305-Schema_v5!$C2)/(Schema_v5!$C3-Schema_v5!$C2)</f>
        <v/>
      </c>
      <c r="AR305">
        <f>(M305-Schema_v5!$C4)/(Schema_v5!$C5-Schema_v5!$C4)</f>
        <v/>
      </c>
      <c r="AS305">
        <f>N305/Schema_v5!$C6</f>
        <v/>
      </c>
      <c r="AT305">
        <f>O305/Schema_v5!$C7</f>
        <v/>
      </c>
      <c r="AU305">
        <f>P305/Schema_v5!$C8</f>
        <v/>
      </c>
      <c r="AV305">
        <f>IF(Schema_v5!$C9=0,0,AH305/Schema_v5!$C9)</f>
        <v/>
      </c>
      <c r="AW305">
        <f>IF(Schema_v5!$C10=0,0,AE305/Schema_v5!$C10)</f>
        <v/>
      </c>
      <c r="AX305">
        <f>(W305-Schema_v5!$C11)/(Schema_v5!$C12-Schema_v5!$C11)</f>
        <v/>
      </c>
      <c r="AY305">
        <f>(X305-Schema_v5!$C13)/(Schema_v5!$C14-Schema_v5!$C13)</f>
        <v/>
      </c>
    </row>
    <row r="306">
      <c r="A306" s="3" t="inlineStr">
        <is>
          <t>Q60_A</t>
        </is>
      </c>
      <c r="B306" s="3" t="n">
        <v>60</v>
      </c>
      <c r="C306" s="3" t="n">
        <v>109</v>
      </c>
      <c r="D306" s="3" t="inlineStr">
        <is>
          <t>Shadow</t>
        </is>
      </c>
      <c r="E306" s="3" t="n">
        <v>1.4</v>
      </c>
      <c r="F306" s="3" t="inlineStr">
        <is>
          <t>ShadowPattern</t>
        </is>
      </c>
      <c r="G306" s="3" t="inlineStr">
        <is>
          <t>IntegrityRisk</t>
        </is>
      </c>
      <c r="H306" s="3" t="inlineStr">
        <is>
          <t>You feel something deeply but aren't sure if they'll understand. What do you do?</t>
        </is>
      </c>
      <c r="I306" s="3" t="inlineStr">
        <is>
          <t>A</t>
        </is>
      </c>
      <c r="J306" s="3" t="inlineStr">
        <is>
          <t>A</t>
        </is>
      </c>
      <c r="K306" s="3" t="inlineStr">
        <is>
          <t>Say it in a way that makes them feel guilty if they don't respond how I want.</t>
        </is>
      </c>
      <c r="L306" s="3" t="n">
        <v>4</v>
      </c>
      <c r="M306" s="3" t="inlineStr"/>
      <c r="N306" s="3" t="n">
        <v>4</v>
      </c>
      <c r="O306" s="3" t="n">
        <v>4</v>
      </c>
      <c r="P306" s="3" t="n">
        <v>4</v>
      </c>
      <c r="Q306" s="3" t="inlineStr"/>
      <c r="R306" s="3" t="inlineStr"/>
      <c r="S306" s="3" t="inlineStr">
        <is>
          <t>Manipulator</t>
        </is>
      </c>
      <c r="T306" s="3" t="n">
        <v>1</v>
      </c>
      <c r="U306" s="3" t="n">
        <v>6</v>
      </c>
      <c r="V306" s="3" t="inlineStr">
        <is>
          <t>masc:0.0;fem:0.0</t>
        </is>
      </c>
      <c r="W306" s="3" t="n">
        <v>0</v>
      </c>
      <c r="X306" s="3" t="n">
        <v>0</v>
      </c>
      <c r="Y306" s="3" t="inlineStr"/>
      <c r="Z306" s="3" t="inlineStr"/>
      <c r="AA306" s="3" t="inlineStr"/>
      <c r="AB306" s="3" t="inlineStr"/>
      <c r="AC306" s="3" t="inlineStr"/>
      <c r="AD306" s="3" t="inlineStr"/>
      <c r="AE306" s="3" t="n">
        <v>0</v>
      </c>
      <c r="AF306" s="3" t="inlineStr"/>
      <c r="AG306" s="3" t="inlineStr"/>
      <c r="AH306" s="3" t="n">
        <v>0.6</v>
      </c>
      <c r="AI306" s="3" t="inlineStr"/>
      <c r="AJ306" s="3" t="inlineStr">
        <is>
          <t>yes</t>
        </is>
      </c>
      <c r="AK306" s="3" t="inlineStr">
        <is>
          <t>no</t>
        </is>
      </c>
      <c r="AL306" s="3" t="inlineStr">
        <is>
          <t>no</t>
        </is>
      </c>
      <c r="AM306" s="3" t="inlineStr"/>
      <c r="AN306" s="3" t="inlineStr"/>
      <c r="AO306" s="3" t="inlineStr"/>
      <c r="AP306" s="3" t="inlineStr">
        <is>
          <t>v3_2026-03-19</t>
        </is>
      </c>
      <c r="AQ306">
        <f>(L306-Schema_v5!$C2)/(Schema_v5!$C3-Schema_v5!$C2)</f>
        <v/>
      </c>
      <c r="AR306">
        <f>(M306-Schema_v5!$C4)/(Schema_v5!$C5-Schema_v5!$C4)</f>
        <v/>
      </c>
      <c r="AS306">
        <f>N306/Schema_v5!$C6</f>
        <v/>
      </c>
      <c r="AT306">
        <f>O306/Schema_v5!$C7</f>
        <v/>
      </c>
      <c r="AU306">
        <f>P306/Schema_v5!$C8</f>
        <v/>
      </c>
      <c r="AV306">
        <f>IF(Schema_v5!$C9=0,0,AH306/Schema_v5!$C9)</f>
        <v/>
      </c>
      <c r="AW306">
        <f>IF(Schema_v5!$C10=0,0,AE306/Schema_v5!$C10)</f>
        <v/>
      </c>
      <c r="AX306">
        <f>(W306-Schema_v5!$C11)/(Schema_v5!$C12-Schema_v5!$C11)</f>
        <v/>
      </c>
      <c r="AY306">
        <f>(X306-Schema_v5!$C13)/(Schema_v5!$C14-Schema_v5!$C13)</f>
        <v/>
      </c>
    </row>
    <row r="307">
      <c r="A307" s="3" t="inlineStr">
        <is>
          <t>Q60_B</t>
        </is>
      </c>
      <c r="B307" s="3" t="n">
        <v>60</v>
      </c>
      <c r="C307" s="3" t="n">
        <v>109</v>
      </c>
      <c r="D307" s="3" t="inlineStr">
        <is>
          <t>Shadow</t>
        </is>
      </c>
      <c r="E307" s="3" t="n">
        <v>1.4</v>
      </c>
      <c r="F307" s="3" t="inlineStr">
        <is>
          <t>ShadowPattern</t>
        </is>
      </c>
      <c r="G307" s="3" t="inlineStr">
        <is>
          <t>IntegrityRisk</t>
        </is>
      </c>
      <c r="H307" s="3" t="inlineStr"/>
      <c r="I307" s="3" t="inlineStr">
        <is>
          <t>B</t>
        </is>
      </c>
      <c r="J307" s="3" t="inlineStr">
        <is>
          <t>B</t>
        </is>
      </c>
      <c r="K307" s="3" t="inlineStr">
        <is>
          <t>Keep it in. If I say it and it's not received right, I'll never say it again</t>
        </is>
      </c>
      <c r="L307" s="3" t="n">
        <v>3</v>
      </c>
      <c r="M307" s="3" t="inlineStr"/>
      <c r="N307" s="3" t="n">
        <v>6</v>
      </c>
      <c r="O307" s="3" t="n">
        <v>6</v>
      </c>
      <c r="P307" s="3" t="n">
        <v>6</v>
      </c>
      <c r="Q307" s="3" t="inlineStr"/>
      <c r="R307" s="3" t="inlineStr"/>
      <c r="S307" s="3" t="inlineStr">
        <is>
          <t>Stonewaller</t>
        </is>
      </c>
      <c r="T307" s="3" t="n">
        <v>2</v>
      </c>
      <c r="U307" s="3" t="n">
        <v>4</v>
      </c>
      <c r="V307" s="3" t="inlineStr">
        <is>
          <t>masc:0.0;fem:0.0</t>
        </is>
      </c>
      <c r="W307" s="3" t="n">
        <v>0</v>
      </c>
      <c r="X307" s="3" t="n">
        <v>0</v>
      </c>
      <c r="Y307" s="3" t="inlineStr"/>
      <c r="Z307" s="3" t="inlineStr"/>
      <c r="AA307" s="3" t="inlineStr"/>
      <c r="AB307" s="3" t="inlineStr"/>
      <c r="AC307" s="3" t="inlineStr"/>
      <c r="AD307" s="3" t="inlineStr"/>
      <c r="AE307" s="3" t="n">
        <v>0</v>
      </c>
      <c r="AF307" s="3" t="inlineStr"/>
      <c r="AG307" s="3" t="inlineStr"/>
      <c r="AH307" s="3" t="n">
        <v>0</v>
      </c>
      <c r="AI307" s="3" t="inlineStr"/>
      <c r="AJ307" s="3" t="inlineStr">
        <is>
          <t>yes</t>
        </is>
      </c>
      <c r="AK307" s="3" t="inlineStr">
        <is>
          <t>no</t>
        </is>
      </c>
      <c r="AL307" s="3" t="inlineStr">
        <is>
          <t>no</t>
        </is>
      </c>
      <c r="AM307" s="3" t="inlineStr"/>
      <c r="AN307" s="3" t="inlineStr"/>
      <c r="AO307" s="3" t="inlineStr"/>
      <c r="AP307" s="3" t="inlineStr">
        <is>
          <t>v3_2026-03-19</t>
        </is>
      </c>
      <c r="AQ307">
        <f>(L307-Schema_v5!$C2)/(Schema_v5!$C3-Schema_v5!$C2)</f>
        <v/>
      </c>
      <c r="AR307">
        <f>(M307-Schema_v5!$C4)/(Schema_v5!$C5-Schema_v5!$C4)</f>
        <v/>
      </c>
      <c r="AS307">
        <f>N307/Schema_v5!$C6</f>
        <v/>
      </c>
      <c r="AT307">
        <f>O307/Schema_v5!$C7</f>
        <v/>
      </c>
      <c r="AU307">
        <f>P307/Schema_v5!$C8</f>
        <v/>
      </c>
      <c r="AV307">
        <f>IF(Schema_v5!$C9=0,0,AH307/Schema_v5!$C9)</f>
        <v/>
      </c>
      <c r="AW307">
        <f>IF(Schema_v5!$C10=0,0,AE307/Schema_v5!$C10)</f>
        <v/>
      </c>
      <c r="AX307">
        <f>(W307-Schema_v5!$C11)/(Schema_v5!$C12-Schema_v5!$C11)</f>
        <v/>
      </c>
      <c r="AY307">
        <f>(X307-Schema_v5!$C13)/(Schema_v5!$C14-Schema_v5!$C13)</f>
        <v/>
      </c>
    </row>
    <row r="308">
      <c r="A308" s="3" t="inlineStr">
        <is>
          <t>Q60_C</t>
        </is>
      </c>
      <c r="B308" s="3" t="n">
        <v>60</v>
      </c>
      <c r="C308" s="3" t="n">
        <v>109</v>
      </c>
      <c r="D308" s="3" t="inlineStr">
        <is>
          <t>Shadow</t>
        </is>
      </c>
      <c r="E308" s="3" t="n">
        <v>1.4</v>
      </c>
      <c r="F308" s="3" t="inlineStr">
        <is>
          <t>ShadowPattern</t>
        </is>
      </c>
      <c r="G308" s="3" t="inlineStr">
        <is>
          <t>IntegrityRisk</t>
        </is>
      </c>
      <c r="H308" s="3" t="inlineStr"/>
      <c r="I308" s="3" t="inlineStr">
        <is>
          <t>C</t>
        </is>
      </c>
      <c r="J308" s="3" t="inlineStr">
        <is>
          <t>C</t>
        </is>
      </c>
      <c r="K308" s="3" t="inlineStr">
        <is>
          <t>Say it big and fast, love, dreams, everything. I want it all out there before I lose my nerve</t>
        </is>
      </c>
      <c r="L308" s="3" t="n">
        <v>5</v>
      </c>
      <c r="M308" s="3" t="inlineStr"/>
      <c r="N308" s="3" t="n">
        <v>4</v>
      </c>
      <c r="O308" s="3" t="n">
        <v>4</v>
      </c>
      <c r="P308" s="3" t="n">
        <v>4</v>
      </c>
      <c r="Q308" s="3" t="inlineStr"/>
      <c r="R308" s="3" t="inlineStr"/>
      <c r="S308" s="3" t="inlineStr">
        <is>
          <t>Love Bomber</t>
        </is>
      </c>
      <c r="T308" s="3" t="n">
        <v>3</v>
      </c>
      <c r="U308" s="3" t="n">
        <v>6</v>
      </c>
      <c r="V308" s="3" t="inlineStr">
        <is>
          <t>masc:0.0;fem:0.0</t>
        </is>
      </c>
      <c r="W308" s="3" t="n">
        <v>0</v>
      </c>
      <c r="X308" s="3" t="n">
        <v>0</v>
      </c>
      <c r="Y308" s="3" t="inlineStr"/>
      <c r="Z308" s="3" t="inlineStr"/>
      <c r="AA308" s="3" t="inlineStr"/>
      <c r="AB308" s="3" t="inlineStr"/>
      <c r="AC308" s="3" t="inlineStr"/>
      <c r="AD308" s="3" t="inlineStr"/>
      <c r="AE308" s="3" t="n">
        <v>0</v>
      </c>
      <c r="AF308" s="3" t="inlineStr"/>
      <c r="AG308" s="3" t="inlineStr"/>
      <c r="AH308" s="3" t="n">
        <v>0</v>
      </c>
      <c r="AI308" s="3" t="inlineStr"/>
      <c r="AJ308" s="3" t="inlineStr">
        <is>
          <t>no</t>
        </is>
      </c>
      <c r="AK308" s="3" t="inlineStr">
        <is>
          <t>no</t>
        </is>
      </c>
      <c r="AL308" s="3" t="inlineStr">
        <is>
          <t>no</t>
        </is>
      </c>
      <c r="AM308" s="3" t="inlineStr"/>
      <c r="AN308" s="3" t="inlineStr"/>
      <c r="AO308" s="3" t="inlineStr"/>
      <c r="AP308" s="3" t="inlineStr">
        <is>
          <t>v3_2026-03-19</t>
        </is>
      </c>
      <c r="AQ308">
        <f>(L308-Schema_v5!$C2)/(Schema_v5!$C3-Schema_v5!$C2)</f>
        <v/>
      </c>
      <c r="AR308">
        <f>(M308-Schema_v5!$C4)/(Schema_v5!$C5-Schema_v5!$C4)</f>
        <v/>
      </c>
      <c r="AS308">
        <f>N308/Schema_v5!$C6</f>
        <v/>
      </c>
      <c r="AT308">
        <f>O308/Schema_v5!$C7</f>
        <v/>
      </c>
      <c r="AU308">
        <f>P308/Schema_v5!$C8</f>
        <v/>
      </c>
      <c r="AV308">
        <f>IF(Schema_v5!$C9=0,0,AH308/Schema_v5!$C9)</f>
        <v/>
      </c>
      <c r="AW308">
        <f>IF(Schema_v5!$C10=0,0,AE308/Schema_v5!$C10)</f>
        <v/>
      </c>
      <c r="AX308">
        <f>(W308-Schema_v5!$C11)/(Schema_v5!$C12-Schema_v5!$C11)</f>
        <v/>
      </c>
      <c r="AY308">
        <f>(X308-Schema_v5!$C13)/(Schema_v5!$C14-Schema_v5!$C13)</f>
        <v/>
      </c>
    </row>
    <row r="309">
      <c r="A309" s="3" t="inlineStr">
        <is>
          <t>Q60_D</t>
        </is>
      </c>
      <c r="B309" s="3" t="n">
        <v>60</v>
      </c>
      <c r="C309" s="3" t="n">
        <v>109</v>
      </c>
      <c r="D309" s="3" t="inlineStr">
        <is>
          <t>Shadow</t>
        </is>
      </c>
      <c r="E309" s="3" t="n">
        <v>1.4</v>
      </c>
      <c r="F309" s="3" t="inlineStr">
        <is>
          <t>ShadowPattern</t>
        </is>
      </c>
      <c r="G309" s="3" t="inlineStr">
        <is>
          <t>IntegrityRisk</t>
        </is>
      </c>
      <c r="H309" s="3" t="inlineStr"/>
      <c r="I309" s="3" t="inlineStr">
        <is>
          <t>D</t>
        </is>
      </c>
      <c r="J309" s="3" t="inlineStr">
        <is>
          <t>D</t>
        </is>
      </c>
      <c r="K309" s="3" t="inlineStr">
        <is>
          <t>Shift tone, play it off, hint at it. If they're paying attention, they'll get it.</t>
        </is>
      </c>
      <c r="L309" s="3" t="n">
        <v>6</v>
      </c>
      <c r="M309" s="3" t="inlineStr"/>
      <c r="N309" s="3" t="n">
        <v>4</v>
      </c>
      <c r="O309" s="3" t="n">
        <v>4</v>
      </c>
      <c r="P309" s="3" t="n">
        <v>4</v>
      </c>
      <c r="Q309" s="3" t="inlineStr"/>
      <c r="R309" s="3" t="inlineStr"/>
      <c r="S309" s="3" t="inlineStr">
        <is>
          <t>Chameleon</t>
        </is>
      </c>
      <c r="T309" s="3" t="n">
        <v>4</v>
      </c>
      <c r="U309" s="3" t="n">
        <v>6</v>
      </c>
      <c r="V309" s="3" t="inlineStr">
        <is>
          <t>masc:0.0;fem:0.0</t>
        </is>
      </c>
      <c r="W309" s="3" t="n">
        <v>0</v>
      </c>
      <c r="X309" s="3" t="n">
        <v>0</v>
      </c>
      <c r="Y309" s="3" t="inlineStr"/>
      <c r="Z309" s="3" t="inlineStr"/>
      <c r="AA309" s="3" t="inlineStr"/>
      <c r="AB309" s="3" t="inlineStr"/>
      <c r="AC309" s="3" t="inlineStr"/>
      <c r="AD309" s="3" t="inlineStr"/>
      <c r="AE309" s="3" t="n">
        <v>0</v>
      </c>
      <c r="AF309" s="3" t="inlineStr"/>
      <c r="AG309" s="3" t="inlineStr"/>
      <c r="AH309" s="3" t="n">
        <v>0</v>
      </c>
      <c r="AI309" s="3" t="inlineStr"/>
      <c r="AJ309" s="3" t="inlineStr">
        <is>
          <t>no</t>
        </is>
      </c>
      <c r="AK309" s="3" t="inlineStr">
        <is>
          <t>no</t>
        </is>
      </c>
      <c r="AL309" s="3" t="inlineStr">
        <is>
          <t>no</t>
        </is>
      </c>
      <c r="AM309" s="3" t="inlineStr"/>
      <c r="AN309" s="3" t="inlineStr"/>
      <c r="AO309" s="3" t="inlineStr"/>
      <c r="AP309" s="3" t="inlineStr">
        <is>
          <t>v3_2026-03-19</t>
        </is>
      </c>
      <c r="AQ309">
        <f>(L309-Schema_v5!$C2)/(Schema_v5!$C3-Schema_v5!$C2)</f>
        <v/>
      </c>
      <c r="AR309">
        <f>(M309-Schema_v5!$C4)/(Schema_v5!$C5-Schema_v5!$C4)</f>
        <v/>
      </c>
      <c r="AS309">
        <f>N309/Schema_v5!$C6</f>
        <v/>
      </c>
      <c r="AT309">
        <f>O309/Schema_v5!$C7</f>
        <v/>
      </c>
      <c r="AU309">
        <f>P309/Schema_v5!$C8</f>
        <v/>
      </c>
      <c r="AV309">
        <f>IF(Schema_v5!$C9=0,0,AH309/Schema_v5!$C9)</f>
        <v/>
      </c>
      <c r="AW309">
        <f>IF(Schema_v5!$C10=0,0,AE309/Schema_v5!$C10)</f>
        <v/>
      </c>
      <c r="AX309">
        <f>(W309-Schema_v5!$C11)/(Schema_v5!$C12-Schema_v5!$C11)</f>
        <v/>
      </c>
      <c r="AY309">
        <f>(X309-Schema_v5!$C13)/(Schema_v5!$C14-Schema_v5!$C13)</f>
        <v/>
      </c>
    </row>
    <row r="310">
      <c r="A310" s="3" t="inlineStr">
        <is>
          <t>Q60_E</t>
        </is>
      </c>
      <c r="B310" s="3" t="n">
        <v>60</v>
      </c>
      <c r="C310" s="3" t="n">
        <v>109</v>
      </c>
      <c r="D310" s="3" t="inlineStr">
        <is>
          <t>Shadow</t>
        </is>
      </c>
      <c r="E310" s="3" t="n">
        <v>1.4</v>
      </c>
      <c r="F310" s="3" t="inlineStr">
        <is>
          <t>ShadowPattern</t>
        </is>
      </c>
      <c r="G310" s="3" t="inlineStr">
        <is>
          <t>IntegrityRisk</t>
        </is>
      </c>
      <c r="H310" s="3" t="inlineStr"/>
      <c r="I310" s="3" t="inlineStr">
        <is>
          <t>E</t>
        </is>
      </c>
      <c r="J310" s="3" t="inlineStr">
        <is>
          <t>E</t>
        </is>
      </c>
      <c r="K310" s="3" t="inlineStr">
        <is>
          <t>Test them. I'll bring up something emotional they did and watch how they handle it.</t>
        </is>
      </c>
      <c r="L310" s="3" t="n">
        <v>7</v>
      </c>
      <c r="M310" s="3" t="inlineStr"/>
      <c r="N310" s="3" t="n">
        <v>2</v>
      </c>
      <c r="O310" s="3" t="n">
        <v>2</v>
      </c>
      <c r="P310" s="3" t="n">
        <v>2</v>
      </c>
      <c r="Q310" s="3" t="inlineStr"/>
      <c r="R310" s="3" t="inlineStr"/>
      <c r="S310" s="3" t="inlineStr">
        <is>
          <t>Scorekeeper</t>
        </is>
      </c>
      <c r="T310" s="3" t="n">
        <v>5</v>
      </c>
      <c r="U310" s="3" t="n">
        <v>8</v>
      </c>
      <c r="V310" s="3" t="inlineStr">
        <is>
          <t>masc:0.0;fem:0.0</t>
        </is>
      </c>
      <c r="W310" s="3" t="n">
        <v>0</v>
      </c>
      <c r="X310" s="3" t="n">
        <v>0</v>
      </c>
      <c r="Y310" s="3" t="inlineStr"/>
      <c r="Z310" s="3" t="inlineStr"/>
      <c r="AA310" s="3" t="inlineStr"/>
      <c r="AB310" s="3" t="inlineStr"/>
      <c r="AC310" s="3" t="inlineStr"/>
      <c r="AD310" s="3" t="inlineStr"/>
      <c r="AE310" s="3" t="n">
        <v>0</v>
      </c>
      <c r="AF310" s="3" t="inlineStr"/>
      <c r="AG310" s="3" t="inlineStr"/>
      <c r="AH310" s="3" t="n">
        <v>0.6</v>
      </c>
      <c r="AI310" s="3" t="inlineStr"/>
      <c r="AJ310" s="3" t="inlineStr">
        <is>
          <t>no</t>
        </is>
      </c>
      <c r="AK310" s="3" t="inlineStr">
        <is>
          <t>no</t>
        </is>
      </c>
      <c r="AL310" s="3" t="inlineStr">
        <is>
          <t>no</t>
        </is>
      </c>
      <c r="AM310" s="3" t="inlineStr"/>
      <c r="AN310" s="3" t="inlineStr"/>
      <c r="AO310" s="3" t="inlineStr"/>
      <c r="AP310" s="3" t="inlineStr">
        <is>
          <t>v3_2026-03-19</t>
        </is>
      </c>
      <c r="AQ310">
        <f>(L310-Schema_v5!$C2)/(Schema_v5!$C3-Schema_v5!$C2)</f>
        <v/>
      </c>
      <c r="AR310">
        <f>(M310-Schema_v5!$C4)/(Schema_v5!$C5-Schema_v5!$C4)</f>
        <v/>
      </c>
      <c r="AS310">
        <f>N310/Schema_v5!$C6</f>
        <v/>
      </c>
      <c r="AT310">
        <f>O310/Schema_v5!$C7</f>
        <v/>
      </c>
      <c r="AU310">
        <f>P310/Schema_v5!$C8</f>
        <v/>
      </c>
      <c r="AV310">
        <f>IF(Schema_v5!$C9=0,0,AH310/Schema_v5!$C9)</f>
        <v/>
      </c>
      <c r="AW310">
        <f>IF(Schema_v5!$C10=0,0,AE310/Schema_v5!$C10)</f>
        <v/>
      </c>
      <c r="AX310">
        <f>(W310-Schema_v5!$C11)/(Schema_v5!$C12-Schema_v5!$C11)</f>
        <v/>
      </c>
      <c r="AY310">
        <f>(X310-Schema_v5!$C13)/(Schema_v5!$C14-Schema_v5!$C13)</f>
        <v/>
      </c>
    </row>
    <row r="311">
      <c r="A311" s="3" t="inlineStr">
        <is>
          <t>Q60_F</t>
        </is>
      </c>
      <c r="B311" s="3" t="n">
        <v>60</v>
      </c>
      <c r="C311" s="3" t="n">
        <v>109</v>
      </c>
      <c r="D311" s="3" t="inlineStr">
        <is>
          <t>Shadow</t>
        </is>
      </c>
      <c r="E311" s="3" t="n">
        <v>1.4</v>
      </c>
      <c r="F311" s="3" t="inlineStr">
        <is>
          <t>ShadowPattern</t>
        </is>
      </c>
      <c r="G311" s="3" t="inlineStr">
        <is>
          <t>IntegrityRisk</t>
        </is>
      </c>
      <c r="H311" s="3" t="inlineStr"/>
      <c r="I311" s="3" t="inlineStr">
        <is>
          <t>F</t>
        </is>
      </c>
      <c r="J311" s="3" t="inlineStr">
        <is>
          <t>F</t>
        </is>
      </c>
      <c r="K311" s="3" t="inlineStr">
        <is>
          <t>Assume they won't get it... and quietly start distancing to protect myself.</t>
        </is>
      </c>
      <c r="L311" s="3" t="n">
        <v>8</v>
      </c>
      <c r="M311" s="3" t="inlineStr"/>
      <c r="N311" s="3" t="n">
        <v>2</v>
      </c>
      <c r="O311" s="3" t="n">
        <v>2</v>
      </c>
      <c r="P311" s="3" t="n">
        <v>2</v>
      </c>
      <c r="Q311" s="3" t="inlineStr"/>
      <c r="R311" s="3" t="inlineStr"/>
      <c r="S311" s="3" t="inlineStr">
        <is>
          <t>Self-Saboteur</t>
        </is>
      </c>
      <c r="T311" s="3" t="n">
        <v>6</v>
      </c>
      <c r="U311" s="3" t="n">
        <v>8</v>
      </c>
      <c r="V311" s="3" t="inlineStr">
        <is>
          <t>masc:0.0;fem:0.0</t>
        </is>
      </c>
      <c r="W311" s="3" t="n">
        <v>0</v>
      </c>
      <c r="X311" s="3" t="n">
        <v>0</v>
      </c>
      <c r="Y311" s="3" t="inlineStr"/>
      <c r="Z311" s="3" t="inlineStr"/>
      <c r="AA311" s="3" t="inlineStr"/>
      <c r="AB311" s="3" t="inlineStr"/>
      <c r="AC311" s="3" t="inlineStr"/>
      <c r="AD311" s="3" t="inlineStr"/>
      <c r="AE311" s="3" t="n">
        <v>0</v>
      </c>
      <c r="AF311" s="3" t="inlineStr"/>
      <c r="AG311" s="3" t="inlineStr"/>
      <c r="AH311" s="3" t="n">
        <v>0</v>
      </c>
      <c r="AI311" s="3" t="inlineStr"/>
      <c r="AJ311" s="3" t="inlineStr">
        <is>
          <t>no</t>
        </is>
      </c>
      <c r="AK311" s="3" t="inlineStr">
        <is>
          <t>no</t>
        </is>
      </c>
      <c r="AL311" s="3" t="inlineStr">
        <is>
          <t>no</t>
        </is>
      </c>
      <c r="AM311" s="3" t="inlineStr"/>
      <c r="AN311" s="3" t="inlineStr"/>
      <c r="AO311" s="3" t="inlineStr"/>
      <c r="AP311" s="3" t="inlineStr">
        <is>
          <t>v3_2026-03-19</t>
        </is>
      </c>
      <c r="AQ311">
        <f>(L311-Schema_v5!$C2)/(Schema_v5!$C3-Schema_v5!$C2)</f>
        <v/>
      </c>
      <c r="AR311">
        <f>(M311-Schema_v5!$C4)/(Schema_v5!$C5-Schema_v5!$C4)</f>
        <v/>
      </c>
      <c r="AS311">
        <f>N311/Schema_v5!$C6</f>
        <v/>
      </c>
      <c r="AT311">
        <f>O311/Schema_v5!$C7</f>
        <v/>
      </c>
      <c r="AU311">
        <f>P311/Schema_v5!$C8</f>
        <v/>
      </c>
      <c r="AV311">
        <f>IF(Schema_v5!$C9=0,0,AH311/Schema_v5!$C9)</f>
        <v/>
      </c>
      <c r="AW311">
        <f>IF(Schema_v5!$C10=0,0,AE311/Schema_v5!$C10)</f>
        <v/>
      </c>
      <c r="AX311">
        <f>(W311-Schema_v5!$C11)/(Schema_v5!$C12-Schema_v5!$C11)</f>
        <v/>
      </c>
      <c r="AY311">
        <f>(X311-Schema_v5!$C13)/(Schema_v5!$C14-Schema_v5!$C13)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2" t="inlineStr">
        <is>
          <t>pair_key</t>
        </is>
      </c>
      <c r="B1" s="2" t="inlineStr">
        <is>
          <t>score_1_10</t>
        </is>
      </c>
      <c r="C1" s="9" t="inlineStr">
        <is>
          <t>zodiac_norm</t>
        </is>
      </c>
    </row>
    <row r="2">
      <c r="A2" s="3" t="inlineStr">
        <is>
          <t>AR_M+AR_F</t>
        </is>
      </c>
      <c r="B2" s="3" t="n">
        <v>6</v>
      </c>
      <c r="C2">
        <f>(B2-1)/9</f>
        <v/>
      </c>
    </row>
    <row r="3">
      <c r="A3" s="3" t="inlineStr">
        <is>
          <t>AR_M+LI_F</t>
        </is>
      </c>
      <c r="B3" s="3" t="n">
        <v>7</v>
      </c>
      <c r="C3">
        <f>(B3-1)/9</f>
        <v/>
      </c>
    </row>
    <row r="4">
      <c r="A4" s="3" t="inlineStr">
        <is>
          <t>AR_M+TA_F</t>
        </is>
      </c>
      <c r="B4" s="3" t="n">
        <v>7</v>
      </c>
      <c r="C4">
        <f>(B4-1)/9</f>
        <v/>
      </c>
    </row>
    <row r="5">
      <c r="A5" s="3" t="inlineStr">
        <is>
          <t>AR_M+VI_F</t>
        </is>
      </c>
      <c r="B5" s="3" t="n">
        <v>6</v>
      </c>
      <c r="C5">
        <f>(B5-1)/9</f>
        <v/>
      </c>
    </row>
    <row r="6">
      <c r="A6" s="3" t="inlineStr">
        <is>
          <t>AR_M+SC_F</t>
        </is>
      </c>
      <c r="B6" s="3" t="n">
        <v>5</v>
      </c>
      <c r="C6">
        <f>(B6-1)/9</f>
        <v/>
      </c>
    </row>
    <row r="7">
      <c r="A7" s="3" t="inlineStr">
        <is>
          <t>AR_M+CA_F</t>
        </is>
      </c>
      <c r="B7" s="3" t="n">
        <v>4</v>
      </c>
      <c r="C7">
        <f>(B7-1)/9</f>
        <v/>
      </c>
    </row>
    <row r="8">
      <c r="A8" s="3" t="inlineStr">
        <is>
          <t>AR_M+GE_F</t>
        </is>
      </c>
      <c r="B8" s="3" t="n">
        <v>5</v>
      </c>
      <c r="C8">
        <f>(B8-1)/9</f>
        <v/>
      </c>
    </row>
    <row r="9">
      <c r="A9" s="3" t="inlineStr">
        <is>
          <t>AR_M+LE_F</t>
        </is>
      </c>
      <c r="B9" s="3" t="n">
        <v>8</v>
      </c>
      <c r="C9">
        <f>(B9-1)/9</f>
        <v/>
      </c>
    </row>
    <row r="10">
      <c r="A10" s="3" t="inlineStr">
        <is>
          <t>AR_M+CP_F</t>
        </is>
      </c>
      <c r="B10" s="3" t="n">
        <v>4</v>
      </c>
      <c r="C10">
        <f>(B10-1)/9</f>
        <v/>
      </c>
    </row>
    <row r="11">
      <c r="A11" s="3" t="inlineStr">
        <is>
          <t>AR_M+SG_F</t>
        </is>
      </c>
      <c r="B11" s="3" t="n">
        <v>6</v>
      </c>
      <c r="C11">
        <f>(B11-1)/9</f>
        <v/>
      </c>
    </row>
    <row r="12">
      <c r="A12" s="3" t="inlineStr">
        <is>
          <t>TA_M+TA_F</t>
        </is>
      </c>
      <c r="B12" s="3" t="n">
        <v>6</v>
      </c>
      <c r="C12">
        <f>(B12-1)/9</f>
        <v/>
      </c>
    </row>
    <row r="13">
      <c r="A13" s="3" t="inlineStr">
        <is>
          <t>AR_M+AQ_F</t>
        </is>
      </c>
      <c r="B13" s="3" t="n">
        <v>6</v>
      </c>
      <c r="C13">
        <f>(B13-1)/9</f>
        <v/>
      </c>
    </row>
    <row r="14">
      <c r="A14" s="3" t="inlineStr">
        <is>
          <t>TA_M+SC_F</t>
        </is>
      </c>
      <c r="B14" s="3" t="n">
        <v>6</v>
      </c>
      <c r="C14">
        <f>(B14-1)/9</f>
        <v/>
      </c>
    </row>
    <row r="15">
      <c r="A15" s="3" t="inlineStr">
        <is>
          <t>TA_M+VI_F</t>
        </is>
      </c>
      <c r="B15" s="3" t="n">
        <v>8</v>
      </c>
      <c r="C15">
        <f>(B15-1)/9</f>
        <v/>
      </c>
    </row>
    <row r="16">
      <c r="A16" s="3" t="inlineStr">
        <is>
          <t>TA_M+AR_F</t>
        </is>
      </c>
      <c r="B16" s="3" t="n">
        <v>7</v>
      </c>
      <c r="C16">
        <f>(B16-1)/9</f>
        <v/>
      </c>
    </row>
    <row r="17">
      <c r="A17" s="3" t="inlineStr">
        <is>
          <t>TA_M+GE_F</t>
        </is>
      </c>
      <c r="B17" s="3" t="n">
        <v>5</v>
      </c>
      <c r="C17">
        <f>(B17-1)/9</f>
        <v/>
      </c>
    </row>
    <row r="18">
      <c r="A18" s="3" t="inlineStr">
        <is>
          <t>TA_M+LI_F</t>
        </is>
      </c>
      <c r="B18" s="3" t="n">
        <v>5</v>
      </c>
      <c r="C18">
        <f>(B18-1)/9</f>
        <v/>
      </c>
    </row>
    <row r="19">
      <c r="A19" s="3" t="inlineStr">
        <is>
          <t>TA_M+CA_F</t>
        </is>
      </c>
      <c r="B19" s="3" t="n">
        <v>7</v>
      </c>
      <c r="C19">
        <f>(B19-1)/9</f>
        <v/>
      </c>
    </row>
    <row r="20">
      <c r="A20" s="3" t="inlineStr">
        <is>
          <t>AR_M+PI_F</t>
        </is>
      </c>
      <c r="B20" s="3" t="n">
        <v>5</v>
      </c>
      <c r="C20">
        <f>(B20-1)/9</f>
        <v/>
      </c>
    </row>
    <row r="21">
      <c r="A21" s="3" t="inlineStr">
        <is>
          <t>TA_M+LE_F</t>
        </is>
      </c>
      <c r="B21" s="3" t="n">
        <v>4</v>
      </c>
      <c r="C21">
        <f>(B21-1)/9</f>
        <v/>
      </c>
    </row>
    <row r="22">
      <c r="A22" s="3" t="inlineStr">
        <is>
          <t>GE_M+AR_F</t>
        </is>
      </c>
      <c r="B22" s="3" t="n">
        <v>5</v>
      </c>
      <c r="C22">
        <f>(B22-1)/9</f>
        <v/>
      </c>
    </row>
    <row r="23">
      <c r="A23" s="3" t="inlineStr">
        <is>
          <t>GE_M+GE_F</t>
        </is>
      </c>
      <c r="B23" s="3" t="n">
        <v>6</v>
      </c>
      <c r="C23">
        <f>(B23-1)/9</f>
        <v/>
      </c>
    </row>
    <row r="24">
      <c r="A24" s="3" t="inlineStr">
        <is>
          <t>TA_M+SG_F</t>
        </is>
      </c>
      <c r="B24" s="3" t="n">
        <v>4</v>
      </c>
      <c r="C24">
        <f>(B24-1)/9</f>
        <v/>
      </c>
    </row>
    <row r="25">
      <c r="A25" s="3" t="inlineStr">
        <is>
          <t>TA_M+PI_F</t>
        </is>
      </c>
      <c r="B25" s="3" t="n">
        <v>6</v>
      </c>
      <c r="C25">
        <f>(B25-1)/9</f>
        <v/>
      </c>
    </row>
    <row r="26">
      <c r="A26" s="3" t="inlineStr">
        <is>
          <t>TA_M+CP_F</t>
        </is>
      </c>
      <c r="B26" s="3" t="n">
        <v>7</v>
      </c>
      <c r="C26">
        <f>(B26-1)/9</f>
        <v/>
      </c>
    </row>
    <row r="27">
      <c r="A27" s="3" t="inlineStr">
        <is>
          <t>GE_M+VI_F</t>
        </is>
      </c>
      <c r="B27" s="3" t="n">
        <v>4</v>
      </c>
      <c r="C27">
        <f>(B27-1)/9</f>
        <v/>
      </c>
    </row>
    <row r="28">
      <c r="A28" s="3" t="inlineStr">
        <is>
          <t>GE_M+LE_F</t>
        </is>
      </c>
      <c r="B28" s="3" t="n">
        <v>5</v>
      </c>
      <c r="C28">
        <f>(B28-1)/9</f>
        <v/>
      </c>
    </row>
    <row r="29">
      <c r="A29" s="3" t="inlineStr">
        <is>
          <t>GE_M+TA_F</t>
        </is>
      </c>
      <c r="B29" s="3" t="n">
        <v>6</v>
      </c>
      <c r="C29">
        <f>(B29-1)/9</f>
        <v/>
      </c>
    </row>
    <row r="30">
      <c r="A30" s="3" t="inlineStr">
        <is>
          <t>TA_M+AQ_F</t>
        </is>
      </c>
      <c r="B30" s="3" t="n">
        <v>5</v>
      </c>
      <c r="C30">
        <f>(B30-1)/9</f>
        <v/>
      </c>
    </row>
    <row r="31">
      <c r="A31" s="3" t="inlineStr">
        <is>
          <t>GE_M+AQ_F</t>
        </is>
      </c>
      <c r="B31" s="3" t="n">
        <v>6</v>
      </c>
      <c r="C31">
        <f>(B31-1)/9</f>
        <v/>
      </c>
    </row>
    <row r="32">
      <c r="A32" s="3" t="inlineStr">
        <is>
          <t>GE_M+CA_F</t>
        </is>
      </c>
      <c r="B32" s="3" t="n">
        <v>7</v>
      </c>
      <c r="C32">
        <f>(B32-1)/9</f>
        <v/>
      </c>
    </row>
    <row r="33">
      <c r="A33" s="3" t="inlineStr">
        <is>
          <t>GE_M+CP_F</t>
        </is>
      </c>
      <c r="B33" s="3" t="n">
        <v>5</v>
      </c>
      <c r="C33">
        <f>(B33-1)/9</f>
        <v/>
      </c>
    </row>
    <row r="34">
      <c r="A34" s="3" t="inlineStr">
        <is>
          <t>GE_M+PI_F</t>
        </is>
      </c>
      <c r="B34" s="3" t="n">
        <v>4</v>
      </c>
      <c r="C34">
        <f>(B34-1)/9</f>
        <v/>
      </c>
    </row>
    <row r="35">
      <c r="A35" s="3" t="inlineStr">
        <is>
          <t>CA_M+AR_F</t>
        </is>
      </c>
      <c r="B35" s="3" t="n">
        <v>6</v>
      </c>
      <c r="C35">
        <f>(B35-1)/9</f>
        <v/>
      </c>
    </row>
    <row r="36">
      <c r="A36" s="3" t="inlineStr">
        <is>
          <t>GE_M+LI_F</t>
        </is>
      </c>
      <c r="B36" s="3" t="n">
        <v>8</v>
      </c>
      <c r="C36">
        <f>(B36-1)/9</f>
        <v/>
      </c>
    </row>
    <row r="37">
      <c r="A37" s="3" t="inlineStr">
        <is>
          <t>CA_M+TA_F</t>
        </is>
      </c>
      <c r="B37" s="3" t="n">
        <v>5</v>
      </c>
      <c r="C37">
        <f>(B37-1)/9</f>
        <v/>
      </c>
    </row>
    <row r="38">
      <c r="A38" s="3" t="inlineStr">
        <is>
          <t>GE_M+SG_F</t>
        </is>
      </c>
      <c r="B38" s="3" t="n">
        <v>7</v>
      </c>
      <c r="C38">
        <f>(B38-1)/9</f>
        <v/>
      </c>
    </row>
    <row r="39">
      <c r="A39" s="3" t="inlineStr">
        <is>
          <t>CA_M+GE_F</t>
        </is>
      </c>
      <c r="B39" s="3" t="n">
        <v>7</v>
      </c>
      <c r="C39">
        <f>(B39-1)/9</f>
        <v/>
      </c>
    </row>
    <row r="40">
      <c r="A40" s="3" t="inlineStr">
        <is>
          <t>CA_M+CA_F</t>
        </is>
      </c>
      <c r="B40" s="3" t="n">
        <v>6</v>
      </c>
      <c r="C40">
        <f>(B40-1)/9</f>
        <v/>
      </c>
    </row>
    <row r="41">
      <c r="A41" s="3" t="inlineStr">
        <is>
          <t>GE_M+SC_F</t>
        </is>
      </c>
      <c r="B41" s="3" t="n">
        <v>6</v>
      </c>
      <c r="C41">
        <f>(B41-1)/9</f>
        <v/>
      </c>
    </row>
    <row r="42">
      <c r="A42" s="3" t="inlineStr">
        <is>
          <t>CA_M+CP_F</t>
        </is>
      </c>
      <c r="B42" s="3" t="n">
        <v>5</v>
      </c>
      <c r="C42">
        <f>(B42-1)/9</f>
        <v/>
      </c>
    </row>
    <row r="43">
      <c r="A43" s="3" t="inlineStr">
        <is>
          <t>CA_M+VI_F</t>
        </is>
      </c>
      <c r="B43" s="3" t="n">
        <v>6</v>
      </c>
      <c r="C43">
        <f>(B43-1)/9</f>
        <v/>
      </c>
    </row>
    <row r="44">
      <c r="A44" s="3" t="inlineStr">
        <is>
          <t>LE_M+TA_F</t>
        </is>
      </c>
      <c r="B44" s="3" t="n">
        <v>6</v>
      </c>
      <c r="C44">
        <f>(B44-1)/9</f>
        <v/>
      </c>
    </row>
    <row r="45">
      <c r="A45" s="3" t="inlineStr">
        <is>
          <t>CA_M+PI_F</t>
        </is>
      </c>
      <c r="B45" s="3" t="n">
        <v>6</v>
      </c>
      <c r="C45">
        <f>(B45-1)/9</f>
        <v/>
      </c>
    </row>
    <row r="46">
      <c r="A46" s="3" t="inlineStr">
        <is>
          <t>CA_M+SC_F</t>
        </is>
      </c>
      <c r="B46" s="3" t="n">
        <v>8</v>
      </c>
      <c r="C46">
        <f>(B46-1)/9</f>
        <v/>
      </c>
    </row>
    <row r="47">
      <c r="A47" s="3" t="inlineStr">
        <is>
          <t>CA_M+LI_F</t>
        </is>
      </c>
      <c r="B47" s="3" t="n">
        <v>5</v>
      </c>
      <c r="C47">
        <f>(B47-1)/9</f>
        <v/>
      </c>
    </row>
    <row r="48">
      <c r="A48" s="3" t="inlineStr">
        <is>
          <t>LE_M+AR_F</t>
        </is>
      </c>
      <c r="B48" s="3" t="n">
        <v>8</v>
      </c>
      <c r="C48">
        <f>(B48-1)/9</f>
        <v/>
      </c>
    </row>
    <row r="49">
      <c r="A49" s="3" t="inlineStr">
        <is>
          <t>CA_M+AQ_F</t>
        </is>
      </c>
      <c r="B49" s="3" t="n">
        <v>7</v>
      </c>
      <c r="C49">
        <f>(B49-1)/9</f>
        <v/>
      </c>
    </row>
    <row r="50">
      <c r="A50" s="3" t="inlineStr">
        <is>
          <t>CA_M+LE_F</t>
        </is>
      </c>
      <c r="B50" s="3" t="n">
        <v>4</v>
      </c>
      <c r="C50">
        <f>(B50-1)/9</f>
        <v/>
      </c>
    </row>
    <row r="51">
      <c r="A51" s="3" t="inlineStr">
        <is>
          <t>CA_M+SG_F</t>
        </is>
      </c>
      <c r="B51" s="3" t="n">
        <v>6</v>
      </c>
      <c r="C51">
        <f>(B51-1)/9</f>
        <v/>
      </c>
    </row>
    <row r="52">
      <c r="A52" s="3" t="inlineStr">
        <is>
          <t>LE_M+GE_F</t>
        </is>
      </c>
      <c r="B52" s="3" t="n">
        <v>5</v>
      </c>
      <c r="C52">
        <f>(B52-1)/9</f>
        <v/>
      </c>
    </row>
    <row r="53">
      <c r="A53" s="3" t="inlineStr">
        <is>
          <t>LE_M+CA_F</t>
        </is>
      </c>
      <c r="B53" s="3" t="n">
        <v>4</v>
      </c>
      <c r="C53">
        <f>(B53-1)/9</f>
        <v/>
      </c>
    </row>
    <row r="54">
      <c r="A54" s="3" t="inlineStr">
        <is>
          <t>LE_M+PI_F</t>
        </is>
      </c>
      <c r="B54" s="3" t="n">
        <v>7</v>
      </c>
      <c r="C54">
        <f>(B54-1)/9</f>
        <v/>
      </c>
    </row>
    <row r="55">
      <c r="A55" s="3" t="inlineStr">
        <is>
          <t>LE_M+LI_F</t>
        </is>
      </c>
      <c r="B55" s="3" t="n">
        <v>6</v>
      </c>
      <c r="C55">
        <f>(B55-1)/9</f>
        <v/>
      </c>
    </row>
    <row r="56">
      <c r="A56" s="3" t="inlineStr">
        <is>
          <t>LE_M+VI_F</t>
        </is>
      </c>
      <c r="B56" s="3" t="n">
        <v>5</v>
      </c>
      <c r="C56">
        <f>(B56-1)/9</f>
        <v/>
      </c>
    </row>
    <row r="57">
      <c r="A57" s="3" t="inlineStr">
        <is>
          <t>LE_M+LE_F</t>
        </is>
      </c>
      <c r="B57" s="3" t="n">
        <v>7</v>
      </c>
      <c r="C57">
        <f>(B57-1)/9</f>
        <v/>
      </c>
    </row>
    <row r="58">
      <c r="A58" s="3" t="inlineStr">
        <is>
          <t>LE_M+SC_F</t>
        </is>
      </c>
      <c r="B58" s="3" t="n">
        <v>5</v>
      </c>
      <c r="C58">
        <f>(B58-1)/9</f>
        <v/>
      </c>
    </row>
    <row r="59">
      <c r="A59" s="3" t="inlineStr">
        <is>
          <t>LE_M+AQ_F</t>
        </is>
      </c>
      <c r="B59" s="3" t="n">
        <v>4</v>
      </c>
      <c r="C59">
        <f>(B59-1)/9</f>
        <v/>
      </c>
    </row>
    <row r="60">
      <c r="A60" s="3" t="inlineStr">
        <is>
          <t>LE_M+SG_F</t>
        </is>
      </c>
      <c r="B60" s="3" t="n">
        <v>8</v>
      </c>
      <c r="C60">
        <f>(B60-1)/9</f>
        <v/>
      </c>
    </row>
    <row r="61">
      <c r="A61" s="3" t="inlineStr">
        <is>
          <t>LE_M+CP_F</t>
        </is>
      </c>
      <c r="B61" s="3" t="n">
        <v>6</v>
      </c>
      <c r="C61">
        <f>(B61-1)/9</f>
        <v/>
      </c>
    </row>
    <row r="62">
      <c r="A62" s="3" t="inlineStr">
        <is>
          <t>VI_M+TA_F</t>
        </is>
      </c>
      <c r="B62" s="3" t="n">
        <v>7</v>
      </c>
      <c r="C62">
        <f>(B62-1)/9</f>
        <v/>
      </c>
    </row>
    <row r="63">
      <c r="A63" s="3" t="inlineStr">
        <is>
          <t>VI_M+LE_F</t>
        </is>
      </c>
      <c r="B63" s="3" t="n">
        <v>4</v>
      </c>
      <c r="C63">
        <f>(B63-1)/9</f>
        <v/>
      </c>
    </row>
    <row r="64">
      <c r="A64" s="3" t="inlineStr">
        <is>
          <t>VI_M+AR_F</t>
        </is>
      </c>
      <c r="B64" s="3" t="n">
        <v>6</v>
      </c>
      <c r="C64">
        <f>(B64-1)/9</f>
        <v/>
      </c>
    </row>
    <row r="65">
      <c r="A65" s="3" t="inlineStr">
        <is>
          <t>VI_M+VI_F</t>
        </is>
      </c>
      <c r="B65" s="3" t="n">
        <v>7</v>
      </c>
      <c r="C65">
        <f>(B65-1)/9</f>
        <v/>
      </c>
    </row>
    <row r="66">
      <c r="A66" s="3" t="inlineStr">
        <is>
          <t>VI_M+GE_F</t>
        </is>
      </c>
      <c r="B66" s="3" t="n">
        <v>5</v>
      </c>
      <c r="C66">
        <f>(B66-1)/9</f>
        <v/>
      </c>
    </row>
    <row r="67">
      <c r="A67" s="3" t="inlineStr">
        <is>
          <t>VI_M+SG_F</t>
        </is>
      </c>
      <c r="B67" s="3" t="n">
        <v>4</v>
      </c>
      <c r="C67">
        <f>(B67-1)/9</f>
        <v/>
      </c>
    </row>
    <row r="68">
      <c r="A68" s="3" t="inlineStr">
        <is>
          <t>VI_M+SC_F</t>
        </is>
      </c>
      <c r="B68" s="3" t="n">
        <v>6</v>
      </c>
      <c r="C68">
        <f>(B68-1)/9</f>
        <v/>
      </c>
    </row>
    <row r="69">
      <c r="A69" s="3" t="inlineStr">
        <is>
          <t>VI_M+CP_F</t>
        </is>
      </c>
      <c r="B69" s="3" t="n">
        <v>8</v>
      </c>
      <c r="C69">
        <f>(B69-1)/9</f>
        <v/>
      </c>
    </row>
    <row r="70">
      <c r="A70" s="3" t="inlineStr">
        <is>
          <t>VI_M+CA_F</t>
        </is>
      </c>
      <c r="B70" s="3" t="n">
        <v>6</v>
      </c>
      <c r="C70">
        <f>(B70-1)/9</f>
        <v/>
      </c>
    </row>
    <row r="71">
      <c r="A71" s="3" t="inlineStr">
        <is>
          <t>VI_M+LI_F</t>
        </is>
      </c>
      <c r="B71" s="3" t="n">
        <v>5</v>
      </c>
      <c r="C71">
        <f>(B71-1)/9</f>
        <v/>
      </c>
    </row>
    <row r="72">
      <c r="A72" s="3" t="inlineStr">
        <is>
          <t>VI_M+AQ_F</t>
        </is>
      </c>
      <c r="B72" s="3" t="n">
        <v>5</v>
      </c>
      <c r="C72">
        <f>(B72-1)/9</f>
        <v/>
      </c>
    </row>
    <row r="73">
      <c r="A73" s="3" t="inlineStr">
        <is>
          <t>VI_M+PI_F</t>
        </is>
      </c>
      <c r="B73" s="3" t="n">
        <v>6</v>
      </c>
      <c r="C73">
        <f>(B73-1)/9</f>
        <v/>
      </c>
    </row>
    <row r="74">
      <c r="A74" s="3" t="inlineStr">
        <is>
          <t>LI_M+CA_F</t>
        </is>
      </c>
      <c r="B74" s="3" t="n">
        <v>4</v>
      </c>
      <c r="C74">
        <f>(B74-1)/9</f>
        <v/>
      </c>
    </row>
    <row r="75">
      <c r="A75" s="3" t="inlineStr">
        <is>
          <t>LI_M+LE_F</t>
        </is>
      </c>
      <c r="B75" s="3" t="n">
        <v>5</v>
      </c>
      <c r="C75">
        <f>(B75-1)/9</f>
        <v/>
      </c>
    </row>
    <row r="76">
      <c r="A76" s="3" t="inlineStr">
        <is>
          <t>LI_M+LI_F</t>
        </is>
      </c>
      <c r="B76" s="3" t="n">
        <v>6</v>
      </c>
      <c r="C76">
        <f>(B76-1)/9</f>
        <v/>
      </c>
    </row>
    <row r="77">
      <c r="A77" s="3" t="inlineStr">
        <is>
          <t>LI_M+GE_F</t>
        </is>
      </c>
      <c r="B77" s="3" t="n">
        <v>6</v>
      </c>
      <c r="C77">
        <f>(B77-1)/9</f>
        <v/>
      </c>
    </row>
    <row r="78">
      <c r="A78" s="3" t="inlineStr">
        <is>
          <t>LI_M+VI_F</t>
        </is>
      </c>
      <c r="B78" s="3" t="n">
        <v>6</v>
      </c>
      <c r="C78">
        <f>(B78-1)/9</f>
        <v/>
      </c>
    </row>
    <row r="79">
      <c r="A79" s="3" t="inlineStr">
        <is>
          <t>LI_M+AR_F</t>
        </is>
      </c>
      <c r="B79" s="3" t="n">
        <v>7</v>
      </c>
      <c r="C79">
        <f>(B79-1)/9</f>
        <v/>
      </c>
    </row>
    <row r="80">
      <c r="A80" s="3" t="inlineStr">
        <is>
          <t>LI_M+SC_F</t>
        </is>
      </c>
      <c r="B80" s="3" t="n">
        <v>4</v>
      </c>
      <c r="C80">
        <f>(B80-1)/9</f>
        <v/>
      </c>
    </row>
    <row r="81">
      <c r="A81" s="3" t="inlineStr">
        <is>
          <t>LI_M+TA_F</t>
        </is>
      </c>
      <c r="B81" s="3" t="n">
        <v>5</v>
      </c>
      <c r="C81">
        <f>(B81-1)/9</f>
        <v/>
      </c>
    </row>
    <row r="82">
      <c r="A82" s="3" t="inlineStr">
        <is>
          <t>LI_M+AQ_F</t>
        </is>
      </c>
      <c r="B82" s="3" t="n">
        <v>8</v>
      </c>
      <c r="C82">
        <f>(B82-1)/9</f>
        <v/>
      </c>
    </row>
    <row r="83">
      <c r="A83" s="3" t="inlineStr">
        <is>
          <t>LI_M+CP_F</t>
        </is>
      </c>
      <c r="B83" s="3" t="n">
        <v>5</v>
      </c>
      <c r="C83">
        <f>(B83-1)/9</f>
        <v/>
      </c>
    </row>
    <row r="84">
      <c r="A84" s="3" t="inlineStr">
        <is>
          <t>LI_M+PI_F</t>
        </is>
      </c>
      <c r="B84" s="3" t="n">
        <v>6</v>
      </c>
      <c r="C84">
        <f>(B84-1)/9</f>
        <v/>
      </c>
    </row>
    <row r="85">
      <c r="A85" s="3" t="inlineStr">
        <is>
          <t>SC_M+LE_F</t>
        </is>
      </c>
      <c r="B85" s="3" t="n">
        <v>6</v>
      </c>
      <c r="C85">
        <f>(B85-1)/9</f>
        <v/>
      </c>
    </row>
    <row r="86">
      <c r="A86" s="3" t="inlineStr">
        <is>
          <t>SC_M+TA_F</t>
        </is>
      </c>
      <c r="B86" s="3" t="n">
        <v>6</v>
      </c>
      <c r="C86">
        <f>(B86-1)/9</f>
        <v/>
      </c>
    </row>
    <row r="87">
      <c r="A87" s="3" t="inlineStr">
        <is>
          <t>SC_M+AR_F</t>
        </is>
      </c>
      <c r="B87" s="3" t="n">
        <v>5</v>
      </c>
      <c r="C87">
        <f>(B87-1)/9</f>
        <v/>
      </c>
    </row>
    <row r="88">
      <c r="A88" s="3" t="inlineStr">
        <is>
          <t>SC_M+VI_F</t>
        </is>
      </c>
      <c r="B88" s="3" t="n">
        <v>4</v>
      </c>
      <c r="C88">
        <f>(B88-1)/9</f>
        <v/>
      </c>
    </row>
    <row r="89">
      <c r="A89" s="3" t="inlineStr">
        <is>
          <t>SC_M+CA_F</t>
        </is>
      </c>
      <c r="B89" s="3" t="n">
        <v>5</v>
      </c>
      <c r="C89">
        <f>(B89-1)/9</f>
        <v/>
      </c>
    </row>
    <row r="90">
      <c r="A90" s="3" t="inlineStr">
        <is>
          <t>SC_M+GE_F</t>
        </is>
      </c>
      <c r="B90" s="3" t="n">
        <v>7</v>
      </c>
      <c r="C90">
        <f>(B90-1)/9</f>
        <v/>
      </c>
    </row>
    <row r="91">
      <c r="A91" s="3" t="inlineStr">
        <is>
          <t>LI_M+SG_F</t>
        </is>
      </c>
      <c r="B91" s="3" t="n">
        <v>7</v>
      </c>
      <c r="C91">
        <f>(B91-1)/9</f>
        <v/>
      </c>
    </row>
    <row r="92">
      <c r="A92" s="3" t="inlineStr">
        <is>
          <t>SC_M+SG_F</t>
        </is>
      </c>
      <c r="B92" s="3" t="n">
        <v>6</v>
      </c>
      <c r="C92">
        <f>(B92-1)/9</f>
        <v/>
      </c>
    </row>
    <row r="93">
      <c r="A93" s="3" t="inlineStr">
        <is>
          <t>SC_M+AQ_F</t>
        </is>
      </c>
      <c r="B93" s="3" t="n">
        <v>4</v>
      </c>
      <c r="C93">
        <f>(B93-1)/9</f>
        <v/>
      </c>
    </row>
    <row r="94">
      <c r="A94" s="3" t="inlineStr">
        <is>
          <t>SG_M+GE_F</t>
        </is>
      </c>
      <c r="B94" s="3" t="n">
        <v>5</v>
      </c>
      <c r="C94">
        <f>(B94-1)/9</f>
        <v/>
      </c>
    </row>
    <row r="95">
      <c r="A95" s="3" t="inlineStr">
        <is>
          <t>SC_M+LI_F</t>
        </is>
      </c>
      <c r="B95" s="3" t="n">
        <v>5</v>
      </c>
      <c r="C95">
        <f>(B95-1)/9</f>
        <v/>
      </c>
    </row>
    <row r="96">
      <c r="A96" s="3" t="inlineStr">
        <is>
          <t>SG_M+AR_F</t>
        </is>
      </c>
      <c r="B96" s="3" t="n">
        <v>6</v>
      </c>
      <c r="C96">
        <f>(B96-1)/9</f>
        <v/>
      </c>
    </row>
    <row r="97">
      <c r="A97" s="3" t="inlineStr">
        <is>
          <t>SC_M+CP_F</t>
        </is>
      </c>
      <c r="B97" s="3" t="n">
        <v>5</v>
      </c>
      <c r="C97">
        <f>(B97-1)/9</f>
        <v/>
      </c>
    </row>
    <row r="98">
      <c r="A98" s="3" t="inlineStr">
        <is>
          <t>SC_M+PI_F</t>
        </is>
      </c>
      <c r="B98" s="3" t="n">
        <v>8</v>
      </c>
      <c r="C98">
        <f>(B98-1)/9</f>
        <v/>
      </c>
    </row>
    <row r="99">
      <c r="A99" s="3" t="inlineStr">
        <is>
          <t>SC_M+SC_F</t>
        </is>
      </c>
      <c r="B99" s="3" t="n">
        <v>7</v>
      </c>
      <c r="C99">
        <f>(B99-1)/9</f>
        <v/>
      </c>
    </row>
    <row r="100">
      <c r="A100" s="3" t="inlineStr">
        <is>
          <t>SG_M+TA_F</t>
        </is>
      </c>
      <c r="B100" s="3" t="n">
        <v>4</v>
      </c>
      <c r="C100">
        <f>(B100-1)/9</f>
        <v/>
      </c>
    </row>
    <row r="101">
      <c r="A101" s="3" t="inlineStr">
        <is>
          <t>SG_M+CA_F</t>
        </is>
      </c>
      <c r="B101" s="3" t="n">
        <v>6</v>
      </c>
      <c r="C101">
        <f>(B101-1)/9</f>
        <v/>
      </c>
    </row>
    <row r="102">
      <c r="A102" s="3" t="inlineStr">
        <is>
          <t>SG_M+VI_F</t>
        </is>
      </c>
      <c r="B102" s="3" t="n">
        <v>5</v>
      </c>
      <c r="C102">
        <f>(B102-1)/9</f>
        <v/>
      </c>
    </row>
    <row r="103">
      <c r="A103" s="3" t="inlineStr">
        <is>
          <t>SG_M+CP_F</t>
        </is>
      </c>
      <c r="B103" s="3" t="n">
        <v>4</v>
      </c>
      <c r="C103">
        <f>(B103-1)/9</f>
        <v/>
      </c>
    </row>
    <row r="104">
      <c r="A104" s="3" t="inlineStr">
        <is>
          <t>SG_M+LE_F</t>
        </is>
      </c>
      <c r="B104" s="3" t="n">
        <v>8</v>
      </c>
      <c r="C104">
        <f>(B104-1)/9</f>
        <v/>
      </c>
    </row>
    <row r="105">
      <c r="A105" s="3" t="inlineStr">
        <is>
          <t>SG_M+LI_F</t>
        </is>
      </c>
      <c r="B105" s="3" t="n">
        <v>7</v>
      </c>
      <c r="C105">
        <f>(B105-1)/9</f>
        <v/>
      </c>
    </row>
    <row r="106">
      <c r="A106" s="3" t="inlineStr">
        <is>
          <t>CP_M+TA_F</t>
        </is>
      </c>
      <c r="B106" s="3" t="n">
        <v>7</v>
      </c>
      <c r="C106">
        <f>(B106-1)/9</f>
        <v/>
      </c>
    </row>
    <row r="107">
      <c r="A107" s="3" t="inlineStr">
        <is>
          <t>SG_M+PI_F</t>
        </is>
      </c>
      <c r="B107" s="3" t="n">
        <v>5</v>
      </c>
      <c r="C107">
        <f>(B107-1)/9</f>
        <v/>
      </c>
    </row>
    <row r="108">
      <c r="A108" s="3" t="inlineStr">
        <is>
          <t>SG_M+SG_F</t>
        </is>
      </c>
      <c r="B108" s="3" t="n">
        <v>6</v>
      </c>
      <c r="C108">
        <f>(B108-1)/9</f>
        <v/>
      </c>
    </row>
    <row r="109">
      <c r="A109" s="3" t="inlineStr">
        <is>
          <t>SG_M+AQ_F</t>
        </is>
      </c>
      <c r="B109" s="3" t="n">
        <v>6</v>
      </c>
      <c r="C109">
        <f>(B109-1)/9</f>
        <v/>
      </c>
    </row>
    <row r="110">
      <c r="A110" s="3" t="inlineStr">
        <is>
          <t>SG_M+SC_F</t>
        </is>
      </c>
      <c r="B110" s="3" t="n">
        <v>5</v>
      </c>
      <c r="C110">
        <f>(B110-1)/9</f>
        <v/>
      </c>
    </row>
    <row r="111">
      <c r="A111" s="3" t="inlineStr">
        <is>
          <t>CP_M+AR_F</t>
        </is>
      </c>
      <c r="B111" s="3" t="n">
        <v>4</v>
      </c>
      <c r="C111">
        <f>(B111-1)/9</f>
        <v/>
      </c>
    </row>
    <row r="112">
      <c r="A112" s="3" t="inlineStr">
        <is>
          <t>CP_M+AQ_F</t>
        </is>
      </c>
      <c r="B112" s="3" t="n">
        <v>5</v>
      </c>
      <c r="C112">
        <f>(B112-1)/9</f>
        <v/>
      </c>
    </row>
    <row r="113">
      <c r="A113" s="3" t="inlineStr">
        <is>
          <t>CP_M+LE_F</t>
        </is>
      </c>
      <c r="B113" s="3" t="n">
        <v>5</v>
      </c>
      <c r="C113">
        <f>(B113-1)/9</f>
        <v/>
      </c>
    </row>
    <row r="114">
      <c r="A114" s="3" t="inlineStr">
        <is>
          <t>CP_M+CP_F</t>
        </is>
      </c>
      <c r="B114" s="3" t="n">
        <v>7</v>
      </c>
      <c r="C114">
        <f>(B114-1)/9</f>
        <v/>
      </c>
    </row>
    <row r="115">
      <c r="A115" s="3" t="inlineStr">
        <is>
          <t>CP_M+PI_F</t>
        </is>
      </c>
      <c r="B115" s="3" t="n">
        <v>6</v>
      </c>
      <c r="C115">
        <f>(B115-1)/9</f>
        <v/>
      </c>
    </row>
    <row r="116">
      <c r="A116" s="3" t="inlineStr">
        <is>
          <t>CP_M+SG_F</t>
        </is>
      </c>
      <c r="B116" s="3" t="n">
        <v>4</v>
      </c>
      <c r="C116">
        <f>(B116-1)/9</f>
        <v/>
      </c>
    </row>
    <row r="117">
      <c r="A117" s="3" t="inlineStr">
        <is>
          <t>CP_M+LI_F</t>
        </is>
      </c>
      <c r="B117" s="3" t="n">
        <v>6</v>
      </c>
      <c r="C117">
        <f>(B117-1)/9</f>
        <v/>
      </c>
    </row>
    <row r="118">
      <c r="A118" s="3" t="inlineStr">
        <is>
          <t>CP_M+SC_F</t>
        </is>
      </c>
      <c r="B118" s="3" t="n">
        <v>5</v>
      </c>
      <c r="C118">
        <f>(B118-1)/9</f>
        <v/>
      </c>
    </row>
    <row r="119">
      <c r="A119" s="3" t="inlineStr">
        <is>
          <t>CP_M+GE_F</t>
        </is>
      </c>
      <c r="B119" s="3" t="n">
        <v>5</v>
      </c>
      <c r="C119">
        <f>(B119-1)/9</f>
        <v/>
      </c>
    </row>
    <row r="120">
      <c r="A120" s="3" t="inlineStr">
        <is>
          <t>CP_M+VI_F</t>
        </is>
      </c>
      <c r="B120" s="3" t="n">
        <v>8</v>
      </c>
      <c r="C120">
        <f>(B120-1)/9</f>
        <v/>
      </c>
    </row>
    <row r="121">
      <c r="A121" s="3" t="inlineStr">
        <is>
          <t>CP_M+CA_F</t>
        </is>
      </c>
      <c r="B121" s="3" t="n">
        <v>6</v>
      </c>
      <c r="C121">
        <f>(B121-1)/9</f>
        <v/>
      </c>
    </row>
    <row r="122">
      <c r="A122" s="3" t="inlineStr">
        <is>
          <t>AQ_M+VI_F</t>
        </is>
      </c>
      <c r="B122" s="3" t="n">
        <v>5</v>
      </c>
      <c r="C122">
        <f>(B122-1)/9</f>
        <v/>
      </c>
    </row>
    <row r="123">
      <c r="A123" s="3" t="inlineStr">
        <is>
          <t>AQ_M+CA_F</t>
        </is>
      </c>
      <c r="B123" s="3" t="n">
        <v>7</v>
      </c>
      <c r="C123">
        <f>(B123-1)/9</f>
        <v/>
      </c>
    </row>
    <row r="124">
      <c r="A124" s="3" t="inlineStr">
        <is>
          <t>AQ_M+GE_F</t>
        </is>
      </c>
      <c r="B124" s="3" t="n">
        <v>6</v>
      </c>
      <c r="C124">
        <f>(B124-1)/9</f>
        <v/>
      </c>
    </row>
    <row r="125">
      <c r="A125" s="3" t="inlineStr">
        <is>
          <t>AQ_M+SC_F</t>
        </is>
      </c>
      <c r="B125" s="3" t="n">
        <v>4</v>
      </c>
      <c r="C125">
        <f>(B125-1)/9</f>
        <v/>
      </c>
    </row>
    <row r="126">
      <c r="A126" s="3" t="inlineStr">
        <is>
          <t>AQ_M+AR_F</t>
        </is>
      </c>
      <c r="B126" s="3" t="n">
        <v>6</v>
      </c>
      <c r="C126">
        <f>(B126-1)/9</f>
        <v/>
      </c>
    </row>
    <row r="127">
      <c r="A127" s="3" t="inlineStr">
        <is>
          <t>AQ_M+SG_F</t>
        </is>
      </c>
      <c r="B127" s="3" t="n">
        <v>6</v>
      </c>
      <c r="C127">
        <f>(B127-1)/9</f>
        <v/>
      </c>
    </row>
    <row r="128">
      <c r="A128" s="3" t="inlineStr">
        <is>
          <t>AQ_M+LE_F</t>
        </is>
      </c>
      <c r="B128" s="3" t="n">
        <v>4</v>
      </c>
      <c r="C128">
        <f>(B128-1)/9</f>
        <v/>
      </c>
    </row>
    <row r="129">
      <c r="A129" s="3" t="inlineStr">
        <is>
          <t>AQ_M+CP_F</t>
        </is>
      </c>
      <c r="B129" s="3" t="n">
        <v>5</v>
      </c>
      <c r="C129">
        <f>(B129-1)/9</f>
        <v/>
      </c>
    </row>
    <row r="130">
      <c r="A130" s="3" t="inlineStr">
        <is>
          <t>AQ_M+TA_F</t>
        </is>
      </c>
      <c r="B130" s="3" t="n">
        <v>5</v>
      </c>
      <c r="C130">
        <f>(B130-1)/9</f>
        <v/>
      </c>
    </row>
    <row r="131">
      <c r="A131" s="3" t="inlineStr">
        <is>
          <t>AQ_M+LI_F</t>
        </is>
      </c>
      <c r="B131" s="3" t="n">
        <v>8</v>
      </c>
      <c r="C131">
        <f>(B131-1)/9</f>
        <v/>
      </c>
    </row>
    <row r="132">
      <c r="A132" s="3" t="inlineStr">
        <is>
          <t>PI_M+TA_F</t>
        </is>
      </c>
      <c r="B132" s="3" t="n">
        <v>6</v>
      </c>
      <c r="C132">
        <f>(B132-1)/9</f>
        <v/>
      </c>
    </row>
    <row r="133">
      <c r="A133" s="3" t="inlineStr">
        <is>
          <t>PI_M+AR_F</t>
        </is>
      </c>
      <c r="B133" s="3" t="n">
        <v>5</v>
      </c>
      <c r="C133">
        <f>(B133-1)/9</f>
        <v/>
      </c>
    </row>
    <row r="134">
      <c r="A134" s="3" t="inlineStr">
        <is>
          <t>PI_M+CA_F</t>
        </is>
      </c>
      <c r="B134" s="3" t="n">
        <v>6</v>
      </c>
      <c r="C134">
        <f>(B134-1)/9</f>
        <v/>
      </c>
    </row>
    <row r="135">
      <c r="A135" s="3" t="inlineStr">
        <is>
          <t>AQ_M+AQ_F</t>
        </is>
      </c>
      <c r="B135" s="3" t="n">
        <v>6</v>
      </c>
      <c r="C135">
        <f>(B135-1)/9</f>
        <v/>
      </c>
    </row>
    <row r="136">
      <c r="A136" s="3" t="inlineStr">
        <is>
          <t>AQ_M+PI_F</t>
        </is>
      </c>
      <c r="B136" s="3" t="n">
        <v>7</v>
      </c>
      <c r="C136">
        <f>(B136-1)/9</f>
        <v/>
      </c>
    </row>
    <row r="137">
      <c r="A137" s="3" t="inlineStr">
        <is>
          <t>PI_M+GE_F</t>
        </is>
      </c>
      <c r="B137" s="3" t="n">
        <v>4</v>
      </c>
      <c r="C137">
        <f>(B137-1)/9</f>
        <v/>
      </c>
    </row>
    <row r="138">
      <c r="A138" s="3" t="inlineStr">
        <is>
          <t>PI_M+LI_F</t>
        </is>
      </c>
      <c r="B138" s="3" t="n">
        <v>6</v>
      </c>
      <c r="C138">
        <f>(B138-1)/9</f>
        <v/>
      </c>
    </row>
    <row r="139">
      <c r="A139" s="3" t="inlineStr">
        <is>
          <t>PI_M+SC_F</t>
        </is>
      </c>
      <c r="B139" s="3" t="n">
        <v>8</v>
      </c>
      <c r="C139">
        <f>(B139-1)/9</f>
        <v/>
      </c>
    </row>
    <row r="140">
      <c r="A140" s="3" t="inlineStr">
        <is>
          <t>PI_M+LE_F</t>
        </is>
      </c>
      <c r="B140" s="3" t="n">
        <v>7</v>
      </c>
      <c r="C140">
        <f>(B140-1)/9</f>
        <v/>
      </c>
    </row>
    <row r="141">
      <c r="A141" s="3" t="inlineStr">
        <is>
          <t>PI_M+VI_F</t>
        </is>
      </c>
      <c r="B141" s="3" t="n">
        <v>5</v>
      </c>
      <c r="C141">
        <f>(B141-1)/9</f>
        <v/>
      </c>
    </row>
    <row r="142">
      <c r="A142" s="3" t="inlineStr">
        <is>
          <t>PI_M+AQ_F</t>
        </is>
      </c>
      <c r="B142" s="3" t="n">
        <v>7</v>
      </c>
      <c r="C142">
        <f>(B142-1)/9</f>
        <v/>
      </c>
    </row>
    <row r="143">
      <c r="A143" s="3" t="inlineStr">
        <is>
          <t>PI_M+CP_F</t>
        </is>
      </c>
      <c r="B143" s="3" t="n">
        <v>6</v>
      </c>
      <c r="C143">
        <f>(B143-1)/9</f>
        <v/>
      </c>
    </row>
    <row r="144">
      <c r="A144" s="3" t="inlineStr">
        <is>
          <t>VI_F+AR_M</t>
        </is>
      </c>
      <c r="B144" s="3" t="n">
        <v>6</v>
      </c>
      <c r="C144">
        <f>(B144-1)/9</f>
        <v/>
      </c>
    </row>
    <row r="145">
      <c r="A145" s="3" t="inlineStr">
        <is>
          <t>AR_F+AR_M</t>
        </is>
      </c>
      <c r="B145" s="3" t="n">
        <v>6</v>
      </c>
      <c r="C145">
        <f>(B145-1)/9</f>
        <v/>
      </c>
    </row>
    <row r="146">
      <c r="A146" s="3" t="inlineStr">
        <is>
          <t>LE_F+AR_M</t>
        </is>
      </c>
      <c r="B146" s="3" t="n">
        <v>8</v>
      </c>
      <c r="C146">
        <f>(B146-1)/9</f>
        <v/>
      </c>
    </row>
    <row r="147">
      <c r="A147" s="3" t="inlineStr">
        <is>
          <t>GE_F+AR_M</t>
        </is>
      </c>
      <c r="B147" s="3" t="n">
        <v>5</v>
      </c>
      <c r="C147">
        <f>(B147-1)/9</f>
        <v/>
      </c>
    </row>
    <row r="148">
      <c r="A148" s="3" t="inlineStr">
        <is>
          <t>TA_F+AR_M</t>
        </is>
      </c>
      <c r="B148" s="3" t="n">
        <v>7</v>
      </c>
      <c r="C148">
        <f>(B148-1)/9</f>
        <v/>
      </c>
    </row>
    <row r="149">
      <c r="A149" s="3" t="inlineStr">
        <is>
          <t>PI_M+PI_F</t>
        </is>
      </c>
      <c r="B149" s="3" t="n">
        <v>6</v>
      </c>
      <c r="C149">
        <f>(B149-1)/9</f>
        <v/>
      </c>
    </row>
    <row r="150">
      <c r="A150" s="3" t="inlineStr">
        <is>
          <t>LI_F+AR_M</t>
        </is>
      </c>
      <c r="B150" s="3" t="n">
        <v>7</v>
      </c>
      <c r="C150">
        <f>(B150-1)/9</f>
        <v/>
      </c>
    </row>
    <row r="151">
      <c r="A151" s="3" t="inlineStr">
        <is>
          <t>PI_M+SG_F</t>
        </is>
      </c>
      <c r="B151" s="3" t="n">
        <v>5</v>
      </c>
      <c r="C151">
        <f>(B151-1)/9</f>
        <v/>
      </c>
    </row>
    <row r="152">
      <c r="A152" s="3" t="inlineStr">
        <is>
          <t>SC_F+AR_M</t>
        </is>
      </c>
      <c r="B152" s="3" t="n">
        <v>5</v>
      </c>
      <c r="C152">
        <f>(B152-1)/9</f>
        <v/>
      </c>
    </row>
    <row r="153">
      <c r="A153" s="3" t="inlineStr">
        <is>
          <t>SG_F+AR_M</t>
        </is>
      </c>
      <c r="B153" s="3" t="n">
        <v>6</v>
      </c>
      <c r="C153">
        <f>(B153-1)/9</f>
        <v/>
      </c>
    </row>
    <row r="154">
      <c r="A154" s="3" t="inlineStr">
        <is>
          <t>CA_F+AR_M</t>
        </is>
      </c>
      <c r="B154" s="3" t="n">
        <v>6</v>
      </c>
      <c r="C154">
        <f>(B154-1)/9</f>
        <v/>
      </c>
    </row>
    <row r="155">
      <c r="A155" s="3" t="inlineStr">
        <is>
          <t>TA_F+TA_M</t>
        </is>
      </c>
      <c r="B155" s="3" t="n">
        <v>6</v>
      </c>
      <c r="C155">
        <f>(B155-1)/9</f>
        <v/>
      </c>
    </row>
    <row r="156">
      <c r="A156" s="3" t="inlineStr">
        <is>
          <t>CP_F+AR_M</t>
        </is>
      </c>
      <c r="B156" s="3" t="n">
        <v>4</v>
      </c>
      <c r="C156">
        <f>(B156-1)/9</f>
        <v/>
      </c>
    </row>
    <row r="157">
      <c r="A157" s="3" t="inlineStr">
        <is>
          <t>AR_F+TA_M</t>
        </is>
      </c>
      <c r="B157" s="3" t="n">
        <v>7</v>
      </c>
      <c r="C157">
        <f>(B157-1)/9</f>
        <v/>
      </c>
    </row>
    <row r="158">
      <c r="A158" s="3" t="inlineStr">
        <is>
          <t>LE_F+TA_M</t>
        </is>
      </c>
      <c r="B158" s="3" t="n">
        <v>6</v>
      </c>
      <c r="C158">
        <f>(B158-1)/9</f>
        <v/>
      </c>
    </row>
    <row r="159">
      <c r="A159" s="3" t="inlineStr">
        <is>
          <t>GE_F+TA_M</t>
        </is>
      </c>
      <c r="B159" s="3" t="n">
        <v>6</v>
      </c>
      <c r="C159">
        <f>(B159-1)/9</f>
        <v/>
      </c>
    </row>
    <row r="160">
      <c r="A160" s="3" t="inlineStr">
        <is>
          <t>CA_F+TA_M</t>
        </is>
      </c>
      <c r="B160" s="3" t="n">
        <v>5</v>
      </c>
      <c r="C160">
        <f>(B160-1)/9</f>
        <v/>
      </c>
    </row>
    <row r="161">
      <c r="A161" s="3" t="inlineStr">
        <is>
          <t>AQ_F+AR_M</t>
        </is>
      </c>
      <c r="B161" s="3" t="n">
        <v>6</v>
      </c>
      <c r="C161">
        <f>(B161-1)/9</f>
        <v/>
      </c>
    </row>
    <row r="162">
      <c r="A162" s="3" t="inlineStr">
        <is>
          <t>TA_F+GE_M</t>
        </is>
      </c>
      <c r="B162" s="3" t="n">
        <v>5</v>
      </c>
      <c r="C162">
        <f>(B162-1)/9</f>
        <v/>
      </c>
    </row>
    <row r="163">
      <c r="A163" s="3" t="inlineStr">
        <is>
          <t>LI_F+TA_M</t>
        </is>
      </c>
      <c r="B163" s="3" t="n">
        <v>5</v>
      </c>
      <c r="C163">
        <f>(B163-1)/9</f>
        <v/>
      </c>
    </row>
    <row r="164">
      <c r="A164" s="3" t="inlineStr">
        <is>
          <t>PI_F+AR_M</t>
        </is>
      </c>
      <c r="B164" s="3" t="n">
        <v>5</v>
      </c>
      <c r="C164">
        <f>(B164-1)/9</f>
        <v/>
      </c>
    </row>
    <row r="165">
      <c r="A165" s="3" t="inlineStr">
        <is>
          <t>VI_F+TA_M</t>
        </is>
      </c>
      <c r="B165" s="3" t="n">
        <v>7</v>
      </c>
      <c r="C165">
        <f>(B165-1)/9</f>
        <v/>
      </c>
    </row>
    <row r="166">
      <c r="A166" s="3" t="inlineStr">
        <is>
          <t>GE_F+GE_M</t>
        </is>
      </c>
      <c r="B166" s="3" t="n">
        <v>6</v>
      </c>
      <c r="C166">
        <f>(B166-1)/9</f>
        <v/>
      </c>
    </row>
    <row r="167">
      <c r="A167" s="3" t="inlineStr">
        <is>
          <t>SG_F+TA_M</t>
        </is>
      </c>
      <c r="B167" s="3" t="n">
        <v>4</v>
      </c>
      <c r="C167">
        <f>(B167-1)/9</f>
        <v/>
      </c>
    </row>
    <row r="168">
      <c r="A168" s="3" t="inlineStr">
        <is>
          <t>CA_F+GE_M</t>
        </is>
      </c>
      <c r="B168" s="3" t="n">
        <v>7</v>
      </c>
      <c r="C168">
        <f>(B168-1)/9</f>
        <v/>
      </c>
    </row>
    <row r="169">
      <c r="A169" s="3" t="inlineStr">
        <is>
          <t>SC_F+TA_M</t>
        </is>
      </c>
      <c r="B169" s="3" t="n">
        <v>6</v>
      </c>
      <c r="C169">
        <f>(B169-1)/9</f>
        <v/>
      </c>
    </row>
    <row r="170">
      <c r="A170" s="3" t="inlineStr">
        <is>
          <t>LE_F+GE_M</t>
        </is>
      </c>
      <c r="B170" s="3" t="n">
        <v>5</v>
      </c>
      <c r="C170">
        <f>(B170-1)/9</f>
        <v/>
      </c>
    </row>
    <row r="171">
      <c r="A171" s="3" t="inlineStr">
        <is>
          <t>CP_F+TA_M</t>
        </is>
      </c>
      <c r="B171" s="3" t="n">
        <v>7</v>
      </c>
      <c r="C171">
        <f>(B171-1)/9</f>
        <v/>
      </c>
    </row>
    <row r="172">
      <c r="A172" s="3" t="inlineStr">
        <is>
          <t>VI_F+GE_M</t>
        </is>
      </c>
      <c r="B172" s="3" t="n">
        <v>5</v>
      </c>
      <c r="C172">
        <f>(B172-1)/9</f>
        <v/>
      </c>
    </row>
    <row r="173">
      <c r="A173" s="3" t="inlineStr">
        <is>
          <t>SC_F+GE_M</t>
        </is>
      </c>
      <c r="B173" s="3" t="n">
        <v>7</v>
      </c>
      <c r="C173">
        <f>(B173-1)/9</f>
        <v/>
      </c>
    </row>
    <row r="174">
      <c r="A174" s="3" t="inlineStr">
        <is>
          <t>LI_F+GE_M</t>
        </is>
      </c>
      <c r="B174" s="3" t="n">
        <v>6</v>
      </c>
      <c r="C174">
        <f>(B174-1)/9</f>
        <v/>
      </c>
    </row>
    <row r="175">
      <c r="A175" s="3" t="inlineStr">
        <is>
          <t>CP_F+GE_M</t>
        </is>
      </c>
      <c r="B175" s="3" t="n">
        <v>5</v>
      </c>
      <c r="C175">
        <f>(B175-1)/9</f>
        <v/>
      </c>
    </row>
    <row r="176">
      <c r="A176" s="3" t="inlineStr">
        <is>
          <t>AQ_F+TA_M</t>
        </is>
      </c>
      <c r="B176" s="3" t="n">
        <v>5</v>
      </c>
      <c r="C176">
        <f>(B176-1)/9</f>
        <v/>
      </c>
    </row>
    <row r="177">
      <c r="A177" s="3" t="inlineStr">
        <is>
          <t>PI_F+TA_M</t>
        </is>
      </c>
      <c r="B177" s="3" t="n">
        <v>6</v>
      </c>
      <c r="C177">
        <f>(B177-1)/9</f>
        <v/>
      </c>
    </row>
    <row r="178">
      <c r="A178" s="3" t="inlineStr">
        <is>
          <t>AR_F+GE_M</t>
        </is>
      </c>
      <c r="B178" s="3" t="n">
        <v>5</v>
      </c>
      <c r="C178">
        <f>(B178-1)/9</f>
        <v/>
      </c>
    </row>
    <row r="179">
      <c r="A179" s="3" t="inlineStr">
        <is>
          <t>CA_F+CA_M</t>
        </is>
      </c>
      <c r="B179" s="3" t="n">
        <v>6</v>
      </c>
      <c r="C179">
        <f>(B179-1)/9</f>
        <v/>
      </c>
    </row>
    <row r="180">
      <c r="A180" s="3" t="inlineStr">
        <is>
          <t>SG_F+GE_M</t>
        </is>
      </c>
      <c r="B180" s="3" t="n">
        <v>5</v>
      </c>
      <c r="C180">
        <f>(B180-1)/9</f>
        <v/>
      </c>
    </row>
    <row r="181">
      <c r="A181" s="3" t="inlineStr">
        <is>
          <t>GE_F+CA_M</t>
        </is>
      </c>
      <c r="B181" s="3" t="n">
        <v>7</v>
      </c>
      <c r="C181">
        <f>(B181-1)/9</f>
        <v/>
      </c>
    </row>
    <row r="182">
      <c r="A182" s="3" t="inlineStr">
        <is>
          <t>CP_F+CA_M</t>
        </is>
      </c>
      <c r="B182" s="3" t="n">
        <v>6</v>
      </c>
      <c r="C182">
        <f>(B182-1)/9</f>
        <v/>
      </c>
    </row>
    <row r="183">
      <c r="A183" s="3" t="inlineStr">
        <is>
          <t>VI_F+CA_M</t>
        </is>
      </c>
      <c r="B183" s="3" t="n">
        <v>6</v>
      </c>
      <c r="C183">
        <f>(B183-1)/9</f>
        <v/>
      </c>
    </row>
    <row r="184">
      <c r="A184" s="3" t="inlineStr">
        <is>
          <t>AQ_F+GE_M</t>
        </is>
      </c>
      <c r="B184" s="3" t="n">
        <v>6</v>
      </c>
      <c r="C184">
        <f>(B184-1)/9</f>
        <v/>
      </c>
    </row>
    <row r="185">
      <c r="A185" s="3" t="inlineStr">
        <is>
          <t>TA_F+CA_M</t>
        </is>
      </c>
      <c r="B185" s="3" t="n">
        <v>7</v>
      </c>
      <c r="C185">
        <f>(B185-1)/9</f>
        <v/>
      </c>
    </row>
    <row r="186">
      <c r="A186" s="3" t="inlineStr">
        <is>
          <t>SG_F+CA_M</t>
        </is>
      </c>
      <c r="B186" s="3" t="n">
        <v>6</v>
      </c>
      <c r="C186">
        <f>(B186-1)/9</f>
        <v/>
      </c>
    </row>
    <row r="187">
      <c r="A187" s="3" t="inlineStr">
        <is>
          <t>AR_F+CA_M</t>
        </is>
      </c>
      <c r="B187" s="3" t="n">
        <v>4</v>
      </c>
      <c r="C187">
        <f>(B187-1)/9</f>
        <v/>
      </c>
    </row>
    <row r="188">
      <c r="A188" s="3" t="inlineStr">
        <is>
          <t>SC_F+CA_M</t>
        </is>
      </c>
      <c r="B188" s="3" t="n">
        <v>5</v>
      </c>
      <c r="C188">
        <f>(B188-1)/9</f>
        <v/>
      </c>
    </row>
    <row r="189">
      <c r="A189" s="3" t="inlineStr">
        <is>
          <t>PI_F+GE_M</t>
        </is>
      </c>
      <c r="B189" s="3" t="n">
        <v>4</v>
      </c>
      <c r="C189">
        <f>(B189-1)/9</f>
        <v/>
      </c>
    </row>
    <row r="190">
      <c r="A190" s="3" t="inlineStr">
        <is>
          <t>LE_F+CA_M</t>
        </is>
      </c>
      <c r="B190" s="3" t="n">
        <v>4</v>
      </c>
      <c r="C190">
        <f>(B190-1)/9</f>
        <v/>
      </c>
    </row>
    <row r="191">
      <c r="A191" s="3" t="inlineStr">
        <is>
          <t>AQ_F+CA_M</t>
        </is>
      </c>
      <c r="B191" s="3" t="n">
        <v>7</v>
      </c>
      <c r="C191">
        <f>(B191-1)/9</f>
        <v/>
      </c>
    </row>
    <row r="192">
      <c r="A192" s="3" t="inlineStr">
        <is>
          <t>PI_F+CA_M</t>
        </is>
      </c>
      <c r="B192" s="3" t="n">
        <v>6</v>
      </c>
      <c r="C192">
        <f>(B192-1)/9</f>
        <v/>
      </c>
    </row>
    <row r="193">
      <c r="A193" s="3" t="inlineStr">
        <is>
          <t>AQ_F+LE_M</t>
        </is>
      </c>
      <c r="B193" s="3" t="n">
        <v>4</v>
      </c>
      <c r="C193">
        <f>(B193-1)/9</f>
        <v/>
      </c>
    </row>
    <row r="194">
      <c r="A194" s="3" t="inlineStr">
        <is>
          <t>LI_F+CA_M</t>
        </is>
      </c>
      <c r="B194" s="3" t="n">
        <v>4</v>
      </c>
      <c r="C194">
        <f>(B194-1)/9</f>
        <v/>
      </c>
    </row>
    <row r="195">
      <c r="A195" s="3" t="inlineStr">
        <is>
          <t>AR_F+LE_M</t>
        </is>
      </c>
      <c r="B195" s="3" t="n">
        <v>8</v>
      </c>
      <c r="C195">
        <f>(B195-1)/9</f>
        <v/>
      </c>
    </row>
    <row r="196">
      <c r="A196" s="3" t="inlineStr">
        <is>
          <t>GE_F+LE_M</t>
        </is>
      </c>
      <c r="B196" s="3" t="n">
        <v>5</v>
      </c>
      <c r="C196">
        <f>(B196-1)/9</f>
        <v/>
      </c>
    </row>
    <row r="197">
      <c r="A197" s="3" t="inlineStr">
        <is>
          <t>TA_F+LE_M</t>
        </is>
      </c>
      <c r="B197" s="3" t="n">
        <v>4</v>
      </c>
      <c r="C197">
        <f>(B197-1)/9</f>
        <v/>
      </c>
    </row>
    <row r="198">
      <c r="A198" s="3" t="inlineStr">
        <is>
          <t>LI_F+LE_M</t>
        </is>
      </c>
      <c r="B198" s="3" t="n">
        <v>5</v>
      </c>
      <c r="C198">
        <f>(B198-1)/9</f>
        <v/>
      </c>
    </row>
    <row r="199">
      <c r="A199" s="3" t="inlineStr">
        <is>
          <t>CP_F+LE_M</t>
        </is>
      </c>
      <c r="B199" s="3" t="n">
        <v>5</v>
      </c>
      <c r="C199">
        <f>(B199-1)/9</f>
        <v/>
      </c>
    </row>
    <row r="200">
      <c r="A200" s="3" t="inlineStr">
        <is>
          <t>VI_F+LE_M</t>
        </is>
      </c>
      <c r="B200" s="3" t="n">
        <v>4</v>
      </c>
      <c r="C200">
        <f>(B200-1)/9</f>
        <v/>
      </c>
    </row>
    <row r="201">
      <c r="A201" s="3" t="inlineStr">
        <is>
          <t>LE_F+LE_M</t>
        </is>
      </c>
      <c r="B201" s="3" t="n">
        <v>7</v>
      </c>
      <c r="C201">
        <f>(B201-1)/9</f>
        <v/>
      </c>
    </row>
    <row r="202">
      <c r="A202" s="3" t="inlineStr">
        <is>
          <t>SC_F+LE_M</t>
        </is>
      </c>
      <c r="B202" s="3" t="n">
        <v>6</v>
      </c>
      <c r="C202">
        <f>(B202-1)/9</f>
        <v/>
      </c>
    </row>
    <row r="203">
      <c r="A203" s="3" t="inlineStr">
        <is>
          <t>PI_F+LE_M</t>
        </is>
      </c>
      <c r="B203" s="3" t="n">
        <v>7</v>
      </c>
      <c r="C203">
        <f>(B203-1)/9</f>
        <v/>
      </c>
    </row>
    <row r="204">
      <c r="A204" s="3" t="inlineStr">
        <is>
          <t>CA_F+VI_M</t>
        </is>
      </c>
      <c r="B204" s="3" t="n">
        <v>6</v>
      </c>
      <c r="C204">
        <f>(B204-1)/9</f>
        <v/>
      </c>
    </row>
    <row r="205">
      <c r="A205" s="3" t="inlineStr">
        <is>
          <t>SG_F+LE_M</t>
        </is>
      </c>
      <c r="B205" s="3" t="n">
        <v>8</v>
      </c>
      <c r="C205">
        <f>(B205-1)/9</f>
        <v/>
      </c>
    </row>
    <row r="206">
      <c r="A206" s="3" t="inlineStr">
        <is>
          <t>TA_F+VI_M</t>
        </is>
      </c>
      <c r="B206" s="3" t="n">
        <v>8</v>
      </c>
      <c r="C206">
        <f>(B206-1)/9</f>
        <v/>
      </c>
    </row>
    <row r="207">
      <c r="A207" s="3" t="inlineStr">
        <is>
          <t>CA_F+LE_M</t>
        </is>
      </c>
      <c r="B207" s="3" t="n">
        <v>4</v>
      </c>
      <c r="C207">
        <f>(B207-1)/9</f>
        <v/>
      </c>
    </row>
    <row r="208">
      <c r="A208" s="3" t="inlineStr">
        <is>
          <t>GE_F+VI_M</t>
        </is>
      </c>
      <c r="B208" s="3" t="n">
        <v>4</v>
      </c>
      <c r="C208">
        <f>(B208-1)/9</f>
        <v/>
      </c>
    </row>
    <row r="209">
      <c r="A209" s="3" t="inlineStr">
        <is>
          <t>AR_F+VI_M</t>
        </is>
      </c>
      <c r="B209" s="3" t="n">
        <v>6</v>
      </c>
      <c r="C209">
        <f>(B209-1)/9</f>
        <v/>
      </c>
    </row>
    <row r="210">
      <c r="A210" s="3" t="inlineStr">
        <is>
          <t>VI_F+VI_M</t>
        </is>
      </c>
      <c r="B210" s="3" t="n">
        <v>7</v>
      </c>
      <c r="C210">
        <f>(B210-1)/9</f>
        <v/>
      </c>
    </row>
    <row r="211">
      <c r="A211" s="3" t="inlineStr">
        <is>
          <t>LE_F+VI_M</t>
        </is>
      </c>
      <c r="B211" s="3" t="n">
        <v>5</v>
      </c>
      <c r="C211">
        <f>(B211-1)/9</f>
        <v/>
      </c>
    </row>
    <row r="212">
      <c r="A212" s="3" t="inlineStr">
        <is>
          <t>SC_F+VI_M</t>
        </is>
      </c>
      <c r="B212" s="3" t="n">
        <v>4</v>
      </c>
      <c r="C212">
        <f>(B212-1)/9</f>
        <v/>
      </c>
    </row>
    <row r="213">
      <c r="A213" s="3" t="inlineStr">
        <is>
          <t>SG_F+VI_M</t>
        </is>
      </c>
      <c r="B213" s="3" t="n">
        <v>5</v>
      </c>
      <c r="C213">
        <f>(B213-1)/9</f>
        <v/>
      </c>
    </row>
    <row r="214">
      <c r="A214" s="3" t="inlineStr">
        <is>
          <t>CP_F+VI_M</t>
        </is>
      </c>
      <c r="B214" s="3" t="n">
        <v>8</v>
      </c>
      <c r="C214">
        <f>(B214-1)/9</f>
        <v/>
      </c>
    </row>
    <row r="215">
      <c r="A215" s="3" t="inlineStr">
        <is>
          <t>LI_F+VI_M</t>
        </is>
      </c>
      <c r="B215" s="3" t="n">
        <v>6</v>
      </c>
      <c r="C215">
        <f>(B215-1)/9</f>
        <v/>
      </c>
    </row>
    <row r="216">
      <c r="A216" s="3" t="inlineStr">
        <is>
          <t>VI_F+LI_M</t>
        </is>
      </c>
      <c r="B216" s="3" t="n">
        <v>5</v>
      </c>
      <c r="C216">
        <f>(B216-1)/9</f>
        <v/>
      </c>
    </row>
    <row r="217">
      <c r="A217" s="3" t="inlineStr">
        <is>
          <t>AQ_F+VI_M</t>
        </is>
      </c>
      <c r="B217" s="3" t="n">
        <v>5</v>
      </c>
      <c r="C217">
        <f>(B217-1)/9</f>
        <v/>
      </c>
    </row>
    <row r="218">
      <c r="A218" s="3" t="inlineStr">
        <is>
          <t>PI_F+VI_M</t>
        </is>
      </c>
      <c r="B218" s="3" t="n">
        <v>5</v>
      </c>
      <c r="C218">
        <f>(B218-1)/9</f>
        <v/>
      </c>
    </row>
    <row r="219">
      <c r="A219" s="3" t="inlineStr">
        <is>
          <t>LI_F+LI_M</t>
        </is>
      </c>
      <c r="B219" s="3" t="n">
        <v>6</v>
      </c>
      <c r="C219">
        <f>(B219-1)/9</f>
        <v/>
      </c>
    </row>
    <row r="220">
      <c r="A220" s="3" t="inlineStr">
        <is>
          <t>AR_F+LI_M</t>
        </is>
      </c>
      <c r="B220" s="3" t="n">
        <v>7</v>
      </c>
      <c r="C220">
        <f>(B220-1)/9</f>
        <v/>
      </c>
    </row>
    <row r="221">
      <c r="A221" s="3" t="inlineStr">
        <is>
          <t>CA_F+LI_M</t>
        </is>
      </c>
      <c r="B221" s="3" t="n">
        <v>5</v>
      </c>
      <c r="C221">
        <f>(B221-1)/9</f>
        <v/>
      </c>
    </row>
    <row r="222">
      <c r="A222" s="3" t="inlineStr">
        <is>
          <t>CA_F+SC_M</t>
        </is>
      </c>
      <c r="B222" s="3" t="n">
        <v>8</v>
      </c>
      <c r="C222">
        <f>(B222-1)/9</f>
        <v/>
      </c>
    </row>
    <row r="223">
      <c r="A223" s="3" t="inlineStr">
        <is>
          <t>TA_F+LI_M</t>
        </is>
      </c>
      <c r="B223" s="3" t="n">
        <v>5</v>
      </c>
      <c r="C223">
        <f>(B223-1)/9</f>
        <v/>
      </c>
    </row>
    <row r="224">
      <c r="A224" s="3" t="inlineStr">
        <is>
          <t>CP_F+LI_M</t>
        </is>
      </c>
      <c r="B224" s="3" t="n">
        <v>6</v>
      </c>
      <c r="C224">
        <f>(B224-1)/9</f>
        <v/>
      </c>
    </row>
    <row r="225">
      <c r="A225" s="3" t="inlineStr">
        <is>
          <t>GE_F+LI_M</t>
        </is>
      </c>
      <c r="B225" s="3" t="n">
        <v>8</v>
      </c>
      <c r="C225">
        <f>(B225-1)/9</f>
        <v/>
      </c>
    </row>
    <row r="226">
      <c r="A226" s="3" t="inlineStr">
        <is>
          <t>SC_F+LI_M</t>
        </is>
      </c>
      <c r="B226" s="3" t="n">
        <v>5</v>
      </c>
      <c r="C226">
        <f>(B226-1)/9</f>
        <v/>
      </c>
    </row>
    <row r="227">
      <c r="A227" s="3" t="inlineStr">
        <is>
          <t>LE_F+LI_M</t>
        </is>
      </c>
      <c r="B227" s="3" t="n">
        <v>6</v>
      </c>
      <c r="C227">
        <f>(B227-1)/9</f>
        <v/>
      </c>
    </row>
    <row r="228">
      <c r="A228" s="3" t="inlineStr">
        <is>
          <t>PI_F+LI_M</t>
        </is>
      </c>
      <c r="B228" s="3" t="n">
        <v>6</v>
      </c>
      <c r="C228">
        <f>(B228-1)/9</f>
        <v/>
      </c>
    </row>
    <row r="229">
      <c r="A229" s="3" t="inlineStr">
        <is>
          <t>AQ_F+LI_M</t>
        </is>
      </c>
      <c r="B229" s="3" t="n">
        <v>8</v>
      </c>
      <c r="C229">
        <f>(B229-1)/9</f>
        <v/>
      </c>
    </row>
    <row r="230">
      <c r="A230" s="3" t="inlineStr">
        <is>
          <t>TA_F+SC_M</t>
        </is>
      </c>
      <c r="B230" s="3" t="n">
        <v>6</v>
      </c>
      <c r="C230">
        <f>(B230-1)/9</f>
        <v/>
      </c>
    </row>
    <row r="231">
      <c r="A231" s="3" t="inlineStr">
        <is>
          <t>LE_F+SC_M</t>
        </is>
      </c>
      <c r="B231" s="3" t="n">
        <v>5</v>
      </c>
      <c r="C231">
        <f>(B231-1)/9</f>
        <v/>
      </c>
    </row>
    <row r="232">
      <c r="A232" s="3" t="inlineStr">
        <is>
          <t>VI_F+SC_M</t>
        </is>
      </c>
      <c r="B232" s="3" t="n">
        <v>6</v>
      </c>
      <c r="C232">
        <f>(B232-1)/9</f>
        <v/>
      </c>
    </row>
    <row r="233">
      <c r="A233" s="3" t="inlineStr">
        <is>
          <t>GE_F+SC_M</t>
        </is>
      </c>
      <c r="B233" s="3" t="n">
        <v>6</v>
      </c>
      <c r="C233">
        <f>(B233-1)/9</f>
        <v/>
      </c>
    </row>
    <row r="234">
      <c r="A234" s="3" t="inlineStr">
        <is>
          <t>AR_F+SC_M</t>
        </is>
      </c>
      <c r="B234" s="3" t="n">
        <v>5</v>
      </c>
      <c r="C234">
        <f>(B234-1)/9</f>
        <v/>
      </c>
    </row>
    <row r="235">
      <c r="A235" s="3" t="inlineStr">
        <is>
          <t>PI_F+SC_M</t>
        </is>
      </c>
      <c r="B235" s="3" t="n">
        <v>8</v>
      </c>
      <c r="C235">
        <f>(B235-1)/9</f>
        <v/>
      </c>
    </row>
    <row r="236">
      <c r="A236" s="3" t="inlineStr">
        <is>
          <t>CP_F+SC_M</t>
        </is>
      </c>
      <c r="B236" s="3" t="n">
        <v>5</v>
      </c>
      <c r="C236">
        <f>(B236-1)/9</f>
        <v/>
      </c>
    </row>
    <row r="237">
      <c r="A237" s="3" t="inlineStr">
        <is>
          <t>SG_F+SC_M</t>
        </is>
      </c>
      <c r="B237" s="3" t="n">
        <v>5</v>
      </c>
      <c r="C237">
        <f>(B237-1)/9</f>
        <v/>
      </c>
    </row>
    <row r="238">
      <c r="A238" s="3" t="inlineStr">
        <is>
          <t>SG_F+LI_M</t>
        </is>
      </c>
      <c r="B238" s="3" t="n">
        <v>7</v>
      </c>
      <c r="C238">
        <f>(B238-1)/9</f>
        <v/>
      </c>
    </row>
    <row r="239">
      <c r="A239" s="3" t="inlineStr">
        <is>
          <t>SC_F+SC_M</t>
        </is>
      </c>
      <c r="B239" s="3" t="n">
        <v>7</v>
      </c>
      <c r="C239">
        <f>(B239-1)/9</f>
        <v/>
      </c>
    </row>
    <row r="240">
      <c r="A240" s="3" t="inlineStr">
        <is>
          <t>AR_F+SG_M</t>
        </is>
      </c>
      <c r="B240" s="3" t="n">
        <v>6</v>
      </c>
      <c r="C240">
        <f>(B240-1)/9</f>
        <v/>
      </c>
    </row>
    <row r="241">
      <c r="A241" s="3" t="inlineStr">
        <is>
          <t>AQ_F+SC_M</t>
        </is>
      </c>
      <c r="B241" s="3" t="n">
        <v>4</v>
      </c>
      <c r="C241">
        <f>(B241-1)/9</f>
        <v/>
      </c>
    </row>
    <row r="242">
      <c r="A242" s="3" t="inlineStr">
        <is>
          <t>TA_F+SG_M</t>
        </is>
      </c>
      <c r="B242" s="3" t="n">
        <v>4</v>
      </c>
      <c r="C242">
        <f>(B242-1)/9</f>
        <v/>
      </c>
    </row>
    <row r="243">
      <c r="A243" s="3" t="inlineStr">
        <is>
          <t>LI_F+SG_M</t>
        </is>
      </c>
      <c r="B243" s="3" t="n">
        <v>7</v>
      </c>
      <c r="C243">
        <f>(B243-1)/9</f>
        <v/>
      </c>
    </row>
    <row r="244">
      <c r="A244" s="3" t="inlineStr">
        <is>
          <t>CA_F+SG_M</t>
        </is>
      </c>
      <c r="B244" s="3" t="n">
        <v>6</v>
      </c>
      <c r="C244">
        <f>(B244-1)/9</f>
        <v/>
      </c>
    </row>
    <row r="245">
      <c r="A245" s="3" t="inlineStr">
        <is>
          <t>LI_F+SC_M</t>
        </is>
      </c>
      <c r="B245" s="3" t="n">
        <v>4</v>
      </c>
      <c r="C245">
        <f>(B245-1)/9</f>
        <v/>
      </c>
    </row>
    <row r="246">
      <c r="A246" s="3" t="inlineStr">
        <is>
          <t>PI_F+SG_M</t>
        </is>
      </c>
      <c r="B246" s="3" t="n">
        <v>5</v>
      </c>
      <c r="C246">
        <f>(B246-1)/9</f>
        <v/>
      </c>
    </row>
    <row r="247">
      <c r="A247" s="3" t="inlineStr">
        <is>
          <t>VI_F+SG_M</t>
        </is>
      </c>
      <c r="B247" s="3" t="n">
        <v>4</v>
      </c>
      <c r="C247">
        <f>(B247-1)/9</f>
        <v/>
      </c>
    </row>
    <row r="248">
      <c r="A248" s="3" t="inlineStr">
        <is>
          <t>LE_F+SG_M</t>
        </is>
      </c>
      <c r="B248" s="3" t="n">
        <v>8</v>
      </c>
      <c r="C248">
        <f>(B248-1)/9</f>
        <v/>
      </c>
    </row>
    <row r="249">
      <c r="A249" s="3" t="inlineStr">
        <is>
          <t>CP_F+SG_M</t>
        </is>
      </c>
      <c r="B249" s="3" t="n">
        <v>4</v>
      </c>
      <c r="C249">
        <f>(B249-1)/9</f>
        <v/>
      </c>
    </row>
    <row r="250">
      <c r="A250" s="3" t="inlineStr">
        <is>
          <t>AQ_F+SG_M</t>
        </is>
      </c>
      <c r="B250" s="3" t="n">
        <v>6</v>
      </c>
      <c r="C250">
        <f>(B250-1)/9</f>
        <v/>
      </c>
    </row>
    <row r="251">
      <c r="A251" s="3" t="inlineStr">
        <is>
          <t>SG_F+SG_M</t>
        </is>
      </c>
      <c r="B251" s="3" t="n">
        <v>6</v>
      </c>
      <c r="C251">
        <f>(B251-1)/9</f>
        <v/>
      </c>
    </row>
    <row r="252">
      <c r="A252" s="3" t="inlineStr">
        <is>
          <t>SC_F+SG_M</t>
        </is>
      </c>
      <c r="B252" s="3" t="n">
        <v>6</v>
      </c>
      <c r="C252">
        <f>(B252-1)/9</f>
        <v/>
      </c>
    </row>
    <row r="253">
      <c r="A253" s="3" t="inlineStr">
        <is>
          <t>GE_F+CP_M</t>
        </is>
      </c>
      <c r="B253" s="3" t="n">
        <v>5</v>
      </c>
      <c r="C253">
        <f>(B253-1)/9</f>
        <v/>
      </c>
    </row>
    <row r="254">
      <c r="A254" s="3" t="inlineStr">
        <is>
          <t>CA_F+CP_M</t>
        </is>
      </c>
      <c r="B254" s="3" t="n">
        <v>5</v>
      </c>
      <c r="C254">
        <f>(B254-1)/9</f>
        <v/>
      </c>
    </row>
    <row r="255">
      <c r="A255" s="3" t="inlineStr">
        <is>
          <t>LE_F+CP_M</t>
        </is>
      </c>
      <c r="B255" s="3" t="n">
        <v>6</v>
      </c>
      <c r="C255">
        <f>(B255-1)/9</f>
        <v/>
      </c>
    </row>
    <row r="256">
      <c r="A256" s="3" t="inlineStr">
        <is>
          <t>AR_F+CP_M</t>
        </is>
      </c>
      <c r="B256" s="3" t="n">
        <v>4</v>
      </c>
      <c r="C256">
        <f>(B256-1)/9</f>
        <v/>
      </c>
    </row>
    <row r="257">
      <c r="A257" s="3" t="inlineStr">
        <is>
          <t>TA_F+CP_M</t>
        </is>
      </c>
      <c r="B257" s="3" t="n">
        <v>7</v>
      </c>
      <c r="C257">
        <f>(B257-1)/9</f>
        <v/>
      </c>
    </row>
    <row r="258">
      <c r="A258" s="3" t="inlineStr">
        <is>
          <t>SC_F+CP_M</t>
        </is>
      </c>
      <c r="B258" s="3" t="n">
        <v>5</v>
      </c>
      <c r="C258">
        <f>(B258-1)/9</f>
        <v/>
      </c>
    </row>
    <row r="259">
      <c r="A259" s="3" t="inlineStr">
        <is>
          <t>VI_F+CP_M</t>
        </is>
      </c>
      <c r="B259" s="3" t="n">
        <v>8</v>
      </c>
      <c r="C259">
        <f>(B259-1)/9</f>
        <v/>
      </c>
    </row>
    <row r="260">
      <c r="A260" s="3" t="inlineStr">
        <is>
          <t>GE_F+SG_M</t>
        </is>
      </c>
      <c r="B260" s="3" t="n">
        <v>7</v>
      </c>
      <c r="C260">
        <f>(B260-1)/9</f>
        <v/>
      </c>
    </row>
    <row r="261">
      <c r="A261" s="3" t="inlineStr">
        <is>
          <t>LI_F+CP_M</t>
        </is>
      </c>
      <c r="B261" s="3" t="n">
        <v>5</v>
      </c>
      <c r="C261">
        <f>(B261-1)/9</f>
        <v/>
      </c>
    </row>
    <row r="262">
      <c r="A262" s="3" t="inlineStr">
        <is>
          <t>PI_F+CP_M</t>
        </is>
      </c>
      <c r="B262" s="3" t="n">
        <v>6</v>
      </c>
      <c r="C262">
        <f>(B262-1)/9</f>
        <v/>
      </c>
    </row>
    <row r="263">
      <c r="A263" s="3" t="inlineStr">
        <is>
          <t>AQ_F+CP_M</t>
        </is>
      </c>
      <c r="B263" s="3" t="n">
        <v>5</v>
      </c>
      <c r="C263">
        <f>(B263-1)/9</f>
        <v/>
      </c>
    </row>
    <row r="264">
      <c r="A264" s="3" t="inlineStr">
        <is>
          <t>SG_F+CP_M</t>
        </is>
      </c>
      <c r="B264" s="3" t="n">
        <v>4</v>
      </c>
      <c r="C264">
        <f>(B264-1)/9</f>
        <v/>
      </c>
    </row>
    <row r="265">
      <c r="A265" s="3" t="inlineStr">
        <is>
          <t>LE_F+AQ_M</t>
        </is>
      </c>
      <c r="B265" s="3" t="n">
        <v>4</v>
      </c>
      <c r="C265">
        <f>(B265-1)/9</f>
        <v/>
      </c>
    </row>
    <row r="266">
      <c r="A266" s="3" t="inlineStr">
        <is>
          <t>AR_F+AQ_M</t>
        </is>
      </c>
      <c r="B266" s="3" t="n">
        <v>6</v>
      </c>
      <c r="C266">
        <f>(B266-1)/9</f>
        <v/>
      </c>
    </row>
    <row r="267">
      <c r="A267" s="3" t="inlineStr">
        <is>
          <t>GE_F+AQ_M</t>
        </is>
      </c>
      <c r="B267" s="3" t="n">
        <v>6</v>
      </c>
      <c r="C267">
        <f>(B267-1)/9</f>
        <v/>
      </c>
    </row>
    <row r="268">
      <c r="A268" s="3" t="inlineStr">
        <is>
          <t>CP_F+CP_M</t>
        </is>
      </c>
      <c r="B268" s="3" t="n">
        <v>7</v>
      </c>
      <c r="C268">
        <f>(B268-1)/9</f>
        <v/>
      </c>
    </row>
    <row r="269">
      <c r="A269" s="3" t="inlineStr">
        <is>
          <t>LI_F+AQ_M</t>
        </is>
      </c>
      <c r="B269" s="3" t="n">
        <v>8</v>
      </c>
      <c r="C269">
        <f>(B269-1)/9</f>
        <v/>
      </c>
    </row>
    <row r="270">
      <c r="A270" s="3" t="inlineStr">
        <is>
          <t>TA_F+AQ_M</t>
        </is>
      </c>
      <c r="B270" s="3" t="n">
        <v>5</v>
      </c>
      <c r="C270">
        <f>(B270-1)/9</f>
        <v/>
      </c>
    </row>
    <row r="271">
      <c r="A271" s="3" t="inlineStr">
        <is>
          <t>VI_F+AQ_M</t>
        </is>
      </c>
      <c r="B271" s="3" t="n">
        <v>5</v>
      </c>
      <c r="C271">
        <f>(B271-1)/9</f>
        <v/>
      </c>
    </row>
    <row r="272">
      <c r="A272" s="3" t="inlineStr">
        <is>
          <t>GE_F+PI_M</t>
        </is>
      </c>
      <c r="B272" s="3" t="n">
        <v>4</v>
      </c>
      <c r="C272">
        <f>(B272-1)/9</f>
        <v/>
      </c>
    </row>
    <row r="273">
      <c r="A273" s="3" t="inlineStr">
        <is>
          <t>CP_F+AQ_M</t>
        </is>
      </c>
      <c r="B273" s="3" t="n">
        <v>5</v>
      </c>
      <c r="C273">
        <f>(B273-1)/9</f>
        <v/>
      </c>
    </row>
    <row r="274">
      <c r="A274" s="3" t="inlineStr">
        <is>
          <t>SC_F+AQ_M</t>
        </is>
      </c>
      <c r="B274" s="3" t="n">
        <v>4</v>
      </c>
      <c r="C274">
        <f>(B274-1)/9</f>
        <v/>
      </c>
    </row>
    <row r="275">
      <c r="A275" s="3" t="inlineStr">
        <is>
          <t>CA_F+AQ_M</t>
        </is>
      </c>
      <c r="B275" s="3" t="n">
        <v>7</v>
      </c>
      <c r="C275">
        <f>(B275-1)/9</f>
        <v/>
      </c>
    </row>
    <row r="276">
      <c r="A276" s="3" t="inlineStr">
        <is>
          <t>SG_F+AQ_M</t>
        </is>
      </c>
      <c r="B276" s="3" t="n">
        <v>6</v>
      </c>
      <c r="C276">
        <f>(B276-1)/9</f>
        <v/>
      </c>
    </row>
    <row r="277">
      <c r="A277" s="3" t="inlineStr">
        <is>
          <t>AR_F+PI_M</t>
        </is>
      </c>
      <c r="B277" s="3" t="n">
        <v>5</v>
      </c>
      <c r="C277">
        <f>(B277-1)/9</f>
        <v/>
      </c>
    </row>
    <row r="278">
      <c r="A278" s="3" t="inlineStr">
        <is>
          <t>AQ_F+AQ_M</t>
        </is>
      </c>
      <c r="B278" s="3" t="n">
        <v>6</v>
      </c>
      <c r="C278">
        <f>(B278-1)/9</f>
        <v/>
      </c>
    </row>
    <row r="279">
      <c r="A279" s="3" t="inlineStr">
        <is>
          <t>SC_F+PI_M</t>
        </is>
      </c>
      <c r="B279" s="3" t="n">
        <v>8</v>
      </c>
      <c r="C279">
        <f>(B279-1)/9</f>
        <v/>
      </c>
    </row>
    <row r="280">
      <c r="A280" s="3" t="inlineStr">
        <is>
          <t>TA_F+PI_M</t>
        </is>
      </c>
      <c r="B280" s="3" t="n">
        <v>6</v>
      </c>
      <c r="C280">
        <f>(B280-1)/9</f>
        <v/>
      </c>
    </row>
    <row r="281">
      <c r="A281" s="3" t="inlineStr">
        <is>
          <t>CA_F+PI_M</t>
        </is>
      </c>
      <c r="B281" s="3" t="n">
        <v>6</v>
      </c>
      <c r="C281">
        <f>(B281-1)/9</f>
        <v/>
      </c>
    </row>
    <row r="282">
      <c r="A282" s="3" t="inlineStr">
        <is>
          <t>PI_F+AQ_M</t>
        </is>
      </c>
      <c r="B282" s="3" t="n">
        <v>7</v>
      </c>
      <c r="C282">
        <f>(B282-1)/9</f>
        <v/>
      </c>
    </row>
    <row r="283">
      <c r="A283" s="3" t="inlineStr">
        <is>
          <t>AQ_F+PI_M</t>
        </is>
      </c>
      <c r="B283" s="3" t="n">
        <v>7</v>
      </c>
      <c r="C283">
        <f>(B283-1)/9</f>
        <v/>
      </c>
    </row>
    <row r="284">
      <c r="A284" s="3" t="inlineStr">
        <is>
          <t>AR_M+TA_M</t>
        </is>
      </c>
      <c r="B284" s="3" t="n">
        <v>7</v>
      </c>
      <c r="C284">
        <f>(B284-1)/9</f>
        <v/>
      </c>
    </row>
    <row r="285">
      <c r="A285" s="3" t="inlineStr">
        <is>
          <t>AR_M+LE_M</t>
        </is>
      </c>
      <c r="B285" s="3" t="n">
        <v>8</v>
      </c>
      <c r="C285">
        <f>(B285-1)/9</f>
        <v/>
      </c>
    </row>
    <row r="286">
      <c r="A286" s="3" t="inlineStr">
        <is>
          <t>VI_F+PI_M</t>
        </is>
      </c>
      <c r="B286" s="3" t="n">
        <v>6</v>
      </c>
      <c r="C286">
        <f>(B286-1)/9</f>
        <v/>
      </c>
    </row>
    <row r="287">
      <c r="A287" s="3" t="inlineStr">
        <is>
          <t>CP_F+PI_M</t>
        </is>
      </c>
      <c r="B287" s="3" t="n">
        <v>6</v>
      </c>
      <c r="C287">
        <f>(B287-1)/9</f>
        <v/>
      </c>
    </row>
    <row r="288">
      <c r="A288" s="3" t="inlineStr">
        <is>
          <t>LE_F+PI_M</t>
        </is>
      </c>
      <c r="B288" s="3" t="n">
        <v>7</v>
      </c>
      <c r="C288">
        <f>(B288-1)/9</f>
        <v/>
      </c>
    </row>
    <row r="289">
      <c r="A289" s="3" t="inlineStr">
        <is>
          <t>LI_F+PI_M</t>
        </is>
      </c>
      <c r="B289" s="3" t="n">
        <v>6</v>
      </c>
      <c r="C289">
        <f>(B289-1)/9</f>
        <v/>
      </c>
    </row>
    <row r="290">
      <c r="A290" s="3" t="inlineStr">
        <is>
          <t>PI_F+PI_M</t>
        </is>
      </c>
      <c r="B290" s="3" t="n">
        <v>6</v>
      </c>
      <c r="C290">
        <f>(B290-1)/9</f>
        <v/>
      </c>
    </row>
    <row r="291">
      <c r="A291" s="3" t="inlineStr">
        <is>
          <t>SG_F+PI_M</t>
        </is>
      </c>
      <c r="B291" s="3" t="n">
        <v>5</v>
      </c>
      <c r="C291">
        <f>(B291-1)/9</f>
        <v/>
      </c>
    </row>
    <row r="292">
      <c r="A292" s="3" t="inlineStr">
        <is>
          <t>AR_M+AR_M</t>
        </is>
      </c>
      <c r="B292" s="3" t="n">
        <v>6</v>
      </c>
      <c r="C292">
        <f>(B292-1)/9</f>
        <v/>
      </c>
    </row>
    <row r="293">
      <c r="A293" s="3" t="inlineStr">
        <is>
          <t>AR_M+CA_M</t>
        </is>
      </c>
      <c r="B293" s="3" t="n">
        <v>4</v>
      </c>
      <c r="C293">
        <f>(B293-1)/9</f>
        <v/>
      </c>
    </row>
    <row r="294">
      <c r="A294" s="3" t="inlineStr">
        <is>
          <t>AR_M+GE_M</t>
        </is>
      </c>
      <c r="B294" s="3" t="n">
        <v>5</v>
      </c>
      <c r="C294">
        <f>(B294-1)/9</f>
        <v/>
      </c>
    </row>
    <row r="295">
      <c r="A295" s="3" t="inlineStr">
        <is>
          <t>AR_M+SC_M</t>
        </is>
      </c>
      <c r="B295" s="3" t="n">
        <v>5</v>
      </c>
      <c r="C295">
        <f>(B295-1)/9</f>
        <v/>
      </c>
    </row>
    <row r="296">
      <c r="A296" s="3" t="inlineStr">
        <is>
          <t>TA_M+GE_M</t>
        </is>
      </c>
      <c r="B296" s="3" t="n">
        <v>5</v>
      </c>
      <c r="C296">
        <f>(B296-1)/9</f>
        <v/>
      </c>
    </row>
    <row r="297">
      <c r="A297" s="3" t="inlineStr">
        <is>
          <t>AR_M+LI_M</t>
        </is>
      </c>
      <c r="B297" s="3" t="n">
        <v>7</v>
      </c>
      <c r="C297">
        <f>(B297-1)/9</f>
        <v/>
      </c>
    </row>
    <row r="298">
      <c r="A298" s="3" t="inlineStr">
        <is>
          <t>AR_M+VI_M</t>
        </is>
      </c>
      <c r="B298" s="3" t="n">
        <v>6</v>
      </c>
      <c r="C298">
        <f>(B298-1)/9</f>
        <v/>
      </c>
    </row>
    <row r="299">
      <c r="A299" s="3" t="inlineStr">
        <is>
          <t>AR_M+CP_M</t>
        </is>
      </c>
      <c r="B299" s="3" t="n">
        <v>4</v>
      </c>
      <c r="C299">
        <f>(B299-1)/9</f>
        <v/>
      </c>
    </row>
    <row r="300">
      <c r="A300" s="3" t="inlineStr">
        <is>
          <t>TA_M+AR_M</t>
        </is>
      </c>
      <c r="B300" s="3" t="n">
        <v>7</v>
      </c>
      <c r="C300">
        <f>(B300-1)/9</f>
        <v/>
      </c>
    </row>
    <row r="301">
      <c r="A301" s="3" t="inlineStr">
        <is>
          <t>AR_M+SG_M</t>
        </is>
      </c>
      <c r="B301" s="3" t="n">
        <v>6</v>
      </c>
      <c r="C301">
        <f>(B301-1)/9</f>
        <v/>
      </c>
    </row>
    <row r="302">
      <c r="A302" s="3" t="inlineStr">
        <is>
          <t>TA_M+LE_M</t>
        </is>
      </c>
      <c r="B302" s="3" t="n">
        <v>4</v>
      </c>
      <c r="C302">
        <f>(B302-1)/9</f>
        <v/>
      </c>
    </row>
    <row r="303">
      <c r="A303" s="3" t="inlineStr">
        <is>
          <t>TA_M+TA_M</t>
        </is>
      </c>
      <c r="B303" s="3" t="n">
        <v>6</v>
      </c>
      <c r="C303">
        <f>(B303-1)/9</f>
        <v/>
      </c>
    </row>
    <row r="304">
      <c r="A304" s="3" t="inlineStr">
        <is>
          <t>AR_M+AQ_M</t>
        </is>
      </c>
      <c r="B304" s="3" t="n">
        <v>6</v>
      </c>
      <c r="C304">
        <f>(B304-1)/9</f>
        <v/>
      </c>
    </row>
    <row r="305">
      <c r="A305" s="3" t="inlineStr">
        <is>
          <t>AR_M+PI_M</t>
        </is>
      </c>
      <c r="B305" s="3" t="n">
        <v>5</v>
      </c>
      <c r="C305">
        <f>(B305-1)/9</f>
        <v/>
      </c>
    </row>
    <row r="306">
      <c r="A306" s="3" t="inlineStr">
        <is>
          <t>TA_M+VI_M</t>
        </is>
      </c>
      <c r="B306" s="3" t="n">
        <v>8</v>
      </c>
      <c r="C306">
        <f>(B306-1)/9</f>
        <v/>
      </c>
    </row>
    <row r="307">
      <c r="A307" s="3" t="inlineStr">
        <is>
          <t>TA_M+SC_M</t>
        </is>
      </c>
      <c r="B307" s="3" t="n">
        <v>6</v>
      </c>
      <c r="C307">
        <f>(B307-1)/9</f>
        <v/>
      </c>
    </row>
    <row r="308">
      <c r="A308" s="3" t="inlineStr">
        <is>
          <t>TA_M+CA_M</t>
        </is>
      </c>
      <c r="B308" s="3" t="n">
        <v>7</v>
      </c>
      <c r="C308">
        <f>(B308-1)/9</f>
        <v/>
      </c>
    </row>
    <row r="309">
      <c r="A309" s="3" t="inlineStr">
        <is>
          <t>GE_M+AR_M</t>
        </is>
      </c>
      <c r="B309" s="3" t="n">
        <v>5</v>
      </c>
      <c r="C309">
        <f>(B309-1)/9</f>
        <v/>
      </c>
    </row>
    <row r="310">
      <c r="A310" s="3" t="inlineStr">
        <is>
          <t>TA_M+AQ_M</t>
        </is>
      </c>
      <c r="B310" s="3" t="n">
        <v>5</v>
      </c>
      <c r="C310">
        <f>(B310-1)/9</f>
        <v/>
      </c>
    </row>
    <row r="311">
      <c r="A311" s="3" t="inlineStr">
        <is>
          <t>TA_M+LI_M</t>
        </is>
      </c>
      <c r="B311" s="3" t="n">
        <v>5</v>
      </c>
      <c r="C311">
        <f>(B311-1)/9</f>
        <v/>
      </c>
    </row>
    <row r="312">
      <c r="A312" s="3" t="inlineStr">
        <is>
          <t>GE_M+TA_M</t>
        </is>
      </c>
      <c r="B312" s="3" t="n">
        <v>6</v>
      </c>
      <c r="C312">
        <f>(B312-1)/9</f>
        <v/>
      </c>
    </row>
    <row r="313">
      <c r="A313" s="3" t="inlineStr">
        <is>
          <t>GE_M+LE_M</t>
        </is>
      </c>
      <c r="B313" s="3" t="n">
        <v>5</v>
      </c>
      <c r="C313">
        <f>(B313-1)/9</f>
        <v/>
      </c>
    </row>
    <row r="314">
      <c r="A314" s="3" t="inlineStr">
        <is>
          <t>TA_M+SG_M</t>
        </is>
      </c>
      <c r="B314" s="3" t="n">
        <v>4</v>
      </c>
      <c r="C314">
        <f>(B314-1)/9</f>
        <v/>
      </c>
    </row>
    <row r="315">
      <c r="A315" s="3" t="inlineStr">
        <is>
          <t>TA_M+CP_M</t>
        </is>
      </c>
      <c r="B315" s="3" t="n">
        <v>7</v>
      </c>
      <c r="C315">
        <f>(B315-1)/9</f>
        <v/>
      </c>
    </row>
    <row r="316">
      <c r="A316" s="3" t="inlineStr">
        <is>
          <t>GE_M+AQ_M</t>
        </is>
      </c>
      <c r="B316" s="3" t="n">
        <v>6</v>
      </c>
      <c r="C316">
        <f>(B316-1)/9</f>
        <v/>
      </c>
    </row>
    <row r="317">
      <c r="A317" s="3" t="inlineStr">
        <is>
          <t>TA_M+PI_M</t>
        </is>
      </c>
      <c r="B317" s="3" t="n">
        <v>6</v>
      </c>
      <c r="C317">
        <f>(B317-1)/9</f>
        <v/>
      </c>
    </row>
    <row r="318">
      <c r="A318" s="3" t="inlineStr">
        <is>
          <t>CA_M+TA_M</t>
        </is>
      </c>
      <c r="B318" s="3" t="n">
        <v>5</v>
      </c>
      <c r="C318">
        <f>(B318-1)/9</f>
        <v/>
      </c>
    </row>
    <row r="319">
      <c r="A319" s="3" t="inlineStr">
        <is>
          <t>GE_M+GE_M</t>
        </is>
      </c>
      <c r="B319" s="3" t="n">
        <v>6</v>
      </c>
      <c r="C319">
        <f>(B319-1)/9</f>
        <v/>
      </c>
    </row>
    <row r="320">
      <c r="A320" s="3" t="inlineStr">
        <is>
          <t>GE_M+VI_M</t>
        </is>
      </c>
      <c r="B320" s="3" t="n">
        <v>4</v>
      </c>
      <c r="C320">
        <f>(B320-1)/9</f>
        <v/>
      </c>
    </row>
    <row r="321">
      <c r="A321" s="3" t="inlineStr">
        <is>
          <t>GE_M+CA_M</t>
        </is>
      </c>
      <c r="B321" s="3" t="n">
        <v>7</v>
      </c>
      <c r="C321">
        <f>(B321-1)/9</f>
        <v/>
      </c>
    </row>
    <row r="322">
      <c r="A322" s="3" t="inlineStr">
        <is>
          <t>GE_M+LI_M</t>
        </is>
      </c>
      <c r="B322" s="3" t="n">
        <v>8</v>
      </c>
      <c r="C322">
        <f>(B322-1)/9</f>
        <v/>
      </c>
    </row>
    <row r="323">
      <c r="A323" s="3" t="inlineStr">
        <is>
          <t>GE_M+PI_M</t>
        </is>
      </c>
      <c r="B323" s="3" t="n">
        <v>4</v>
      </c>
      <c r="C323">
        <f>(B323-1)/9</f>
        <v/>
      </c>
    </row>
    <row r="324">
      <c r="A324" s="3" t="inlineStr">
        <is>
          <t>CA_M+GE_M</t>
        </is>
      </c>
      <c r="B324" s="3" t="n">
        <v>7</v>
      </c>
      <c r="C324">
        <f>(B324-1)/9</f>
        <v/>
      </c>
    </row>
    <row r="325">
      <c r="A325" s="3" t="inlineStr">
        <is>
          <t>GE_M+SC_M</t>
        </is>
      </c>
      <c r="B325" s="3" t="n">
        <v>6</v>
      </c>
      <c r="C325">
        <f>(B325-1)/9</f>
        <v/>
      </c>
    </row>
    <row r="326">
      <c r="A326" s="3" t="inlineStr">
        <is>
          <t>GE_M+SG_M</t>
        </is>
      </c>
      <c r="B326" s="3" t="n">
        <v>7</v>
      </c>
      <c r="C326">
        <f>(B326-1)/9</f>
        <v/>
      </c>
    </row>
    <row r="327">
      <c r="A327" s="3" t="inlineStr">
        <is>
          <t>GE_M+CP_M</t>
        </is>
      </c>
      <c r="B327" s="3" t="n">
        <v>5</v>
      </c>
      <c r="C327">
        <f>(B327-1)/9</f>
        <v/>
      </c>
    </row>
    <row r="328">
      <c r="A328" s="3" t="inlineStr">
        <is>
          <t>CA_M+SC_M</t>
        </is>
      </c>
      <c r="B328" s="3" t="n">
        <v>8</v>
      </c>
      <c r="C328">
        <f>(B328-1)/9</f>
        <v/>
      </c>
    </row>
    <row r="329">
      <c r="A329" s="3" t="inlineStr">
        <is>
          <t>CA_M+LI_M</t>
        </is>
      </c>
      <c r="B329" s="3" t="n">
        <v>5</v>
      </c>
      <c r="C329">
        <f>(B329-1)/9</f>
        <v/>
      </c>
    </row>
    <row r="330">
      <c r="A330" s="3" t="inlineStr">
        <is>
          <t>CA_M+AR_M</t>
        </is>
      </c>
      <c r="B330" s="3" t="n">
        <v>6</v>
      </c>
      <c r="C330">
        <f>(B330-1)/9</f>
        <v/>
      </c>
    </row>
    <row r="331">
      <c r="A331" s="3" t="inlineStr">
        <is>
          <t>CA_M+CA_M</t>
        </is>
      </c>
      <c r="B331" s="3" t="n">
        <v>6</v>
      </c>
      <c r="C331">
        <f>(B331-1)/9</f>
        <v/>
      </c>
    </row>
    <row r="332">
      <c r="A332" s="3" t="inlineStr">
        <is>
          <t>CA_M+PI_M</t>
        </is>
      </c>
      <c r="B332" s="3" t="n">
        <v>6</v>
      </c>
      <c r="C332">
        <f>(B332-1)/9</f>
        <v/>
      </c>
    </row>
    <row r="333">
      <c r="A333" s="3" t="inlineStr">
        <is>
          <t>CA_M+SG_M</t>
        </is>
      </c>
      <c r="B333" s="3" t="n">
        <v>6</v>
      </c>
      <c r="C333">
        <f>(B333-1)/9</f>
        <v/>
      </c>
    </row>
    <row r="334">
      <c r="A334" s="3" t="inlineStr">
        <is>
          <t>CA_M+VI_M</t>
        </is>
      </c>
      <c r="B334" s="3" t="n">
        <v>6</v>
      </c>
      <c r="C334">
        <f>(B334-1)/9</f>
        <v/>
      </c>
    </row>
    <row r="335">
      <c r="A335" s="3" t="inlineStr">
        <is>
          <t>CA_M+AQ_M</t>
        </is>
      </c>
      <c r="B335" s="3" t="n">
        <v>7</v>
      </c>
      <c r="C335">
        <f>(B335-1)/9</f>
        <v/>
      </c>
    </row>
    <row r="336">
      <c r="A336" s="3" t="inlineStr">
        <is>
          <t>CA_M+LE_M</t>
        </is>
      </c>
      <c r="B336" s="3" t="n">
        <v>4</v>
      </c>
      <c r="C336">
        <f>(B336-1)/9</f>
        <v/>
      </c>
    </row>
    <row r="337">
      <c r="A337" s="3" t="inlineStr">
        <is>
          <t>LE_M+AR_M</t>
        </is>
      </c>
      <c r="B337" s="3" t="n">
        <v>8</v>
      </c>
      <c r="C337">
        <f>(B337-1)/9</f>
        <v/>
      </c>
    </row>
    <row r="338">
      <c r="A338" s="3" t="inlineStr">
        <is>
          <t>LE_M+GE_M</t>
        </is>
      </c>
      <c r="B338" s="3" t="n">
        <v>5</v>
      </c>
      <c r="C338">
        <f>(B338-1)/9</f>
        <v/>
      </c>
    </row>
    <row r="339">
      <c r="A339" s="3" t="inlineStr">
        <is>
          <t>CA_M+CP_M</t>
        </is>
      </c>
      <c r="B339" s="3" t="n">
        <v>5</v>
      </c>
      <c r="C339">
        <f>(B339-1)/9</f>
        <v/>
      </c>
    </row>
    <row r="340">
      <c r="A340" s="3" t="inlineStr">
        <is>
          <t>LE_M+TA_M</t>
        </is>
      </c>
      <c r="B340" s="3" t="n">
        <v>6</v>
      </c>
      <c r="C340">
        <f>(B340-1)/9</f>
        <v/>
      </c>
    </row>
    <row r="341">
      <c r="A341" s="3" t="inlineStr">
        <is>
          <t>LE_M+VI_M</t>
        </is>
      </c>
      <c r="B341" s="3" t="n">
        <v>5</v>
      </c>
      <c r="C341">
        <f>(B341-1)/9</f>
        <v/>
      </c>
    </row>
    <row r="342">
      <c r="A342" s="3" t="inlineStr">
        <is>
          <t>LE_M+SC_M</t>
        </is>
      </c>
      <c r="B342" s="3" t="n">
        <v>5</v>
      </c>
      <c r="C342">
        <f>(B342-1)/9</f>
        <v/>
      </c>
    </row>
    <row r="343">
      <c r="A343" s="3" t="inlineStr">
        <is>
          <t>LE_M+SG_M</t>
        </is>
      </c>
      <c r="B343" s="3" t="n">
        <v>8</v>
      </c>
      <c r="C343">
        <f>(B343-1)/9</f>
        <v/>
      </c>
    </row>
    <row r="344">
      <c r="A344" s="3" t="inlineStr">
        <is>
          <t>LE_M+CA_M</t>
        </is>
      </c>
      <c r="B344" s="3" t="n">
        <v>4</v>
      </c>
      <c r="C344">
        <f>(B344-1)/9</f>
        <v/>
      </c>
    </row>
    <row r="345">
      <c r="A345" s="3" t="inlineStr">
        <is>
          <t>LE_M+LI_M</t>
        </is>
      </c>
      <c r="B345" s="3" t="n">
        <v>6</v>
      </c>
      <c r="C345">
        <f>(B345-1)/9</f>
        <v/>
      </c>
    </row>
    <row r="346">
      <c r="A346" s="3" t="inlineStr">
        <is>
          <t>LE_M+AQ_M</t>
        </is>
      </c>
      <c r="B346" s="3" t="n">
        <v>4</v>
      </c>
      <c r="C346">
        <f>(B346-1)/9</f>
        <v/>
      </c>
    </row>
    <row r="347">
      <c r="A347" s="3" t="inlineStr">
        <is>
          <t>LE_M+PI_M</t>
        </is>
      </c>
      <c r="B347" s="3" t="n">
        <v>7</v>
      </c>
      <c r="C347">
        <f>(B347-1)/9</f>
        <v/>
      </c>
    </row>
    <row r="348">
      <c r="A348" s="3" t="inlineStr">
        <is>
          <t>VI_M+GE_M</t>
        </is>
      </c>
      <c r="B348" s="3" t="n">
        <v>5</v>
      </c>
      <c r="C348">
        <f>(B348-1)/9</f>
        <v/>
      </c>
    </row>
    <row r="349">
      <c r="A349" s="3" t="inlineStr">
        <is>
          <t>VI_M+AR_M</t>
        </is>
      </c>
      <c r="B349" s="3" t="n">
        <v>6</v>
      </c>
      <c r="C349">
        <f>(B349-1)/9</f>
        <v/>
      </c>
    </row>
    <row r="350">
      <c r="A350" s="3" t="inlineStr">
        <is>
          <t>LE_M+CP_M</t>
        </is>
      </c>
      <c r="B350" s="3" t="n">
        <v>6</v>
      </c>
      <c r="C350">
        <f>(B350-1)/9</f>
        <v/>
      </c>
    </row>
    <row r="351">
      <c r="A351" s="3" t="inlineStr">
        <is>
          <t>LE_M+LE_M</t>
        </is>
      </c>
      <c r="B351" s="3" t="n">
        <v>7</v>
      </c>
      <c r="C351">
        <f>(B351-1)/9</f>
        <v/>
      </c>
    </row>
    <row r="352">
      <c r="A352" s="3" t="inlineStr">
        <is>
          <t>VI_M+SC_M</t>
        </is>
      </c>
      <c r="B352" s="3" t="n">
        <v>6</v>
      </c>
      <c r="C352">
        <f>(B352-1)/9</f>
        <v/>
      </c>
    </row>
    <row r="353">
      <c r="A353" s="3" t="inlineStr">
        <is>
          <t>VI_M+LI_M</t>
        </is>
      </c>
      <c r="B353" s="3" t="n">
        <v>5</v>
      </c>
      <c r="C353">
        <f>(B353-1)/9</f>
        <v/>
      </c>
    </row>
    <row r="354">
      <c r="A354" s="3" t="inlineStr">
        <is>
          <t>VI_M+LE_M</t>
        </is>
      </c>
      <c r="B354" s="3" t="n">
        <v>4</v>
      </c>
      <c r="C354">
        <f>(B354-1)/9</f>
        <v/>
      </c>
    </row>
    <row r="355">
      <c r="A355" s="3" t="inlineStr">
        <is>
          <t>VI_M+CP_M</t>
        </is>
      </c>
      <c r="B355" s="3" t="n">
        <v>8</v>
      </c>
      <c r="C355">
        <f>(B355-1)/9</f>
        <v/>
      </c>
    </row>
    <row r="356">
      <c r="A356" s="3" t="inlineStr">
        <is>
          <t>VI_M+VI_M</t>
        </is>
      </c>
      <c r="B356" s="3" t="n">
        <v>7</v>
      </c>
      <c r="C356">
        <f>(B356-1)/9</f>
        <v/>
      </c>
    </row>
    <row r="357">
      <c r="A357" s="3" t="inlineStr">
        <is>
          <t>VI_M+SG_M</t>
        </is>
      </c>
      <c r="B357" s="3" t="n">
        <v>4</v>
      </c>
      <c r="C357">
        <f>(B357-1)/9</f>
        <v/>
      </c>
    </row>
    <row r="358">
      <c r="A358" s="3" t="inlineStr">
        <is>
          <t>VI_M+TA_M</t>
        </is>
      </c>
      <c r="B358" s="3" t="n">
        <v>7</v>
      </c>
      <c r="C358">
        <f>(B358-1)/9</f>
        <v/>
      </c>
    </row>
    <row r="359">
      <c r="A359" s="3" t="inlineStr">
        <is>
          <t>VI_M+CA_M</t>
        </is>
      </c>
      <c r="B359" s="3" t="n">
        <v>6</v>
      </c>
      <c r="C359">
        <f>(B359-1)/9</f>
        <v/>
      </c>
    </row>
    <row r="360">
      <c r="A360" s="3" t="inlineStr">
        <is>
          <t>LI_M+TA_M</t>
        </is>
      </c>
      <c r="B360" s="3" t="n">
        <v>5</v>
      </c>
      <c r="C360">
        <f>(B360-1)/9</f>
        <v/>
      </c>
    </row>
    <row r="361">
      <c r="A361" s="3" t="inlineStr">
        <is>
          <t>VI_M+PI_M</t>
        </is>
      </c>
      <c r="B361" s="3" t="n">
        <v>6</v>
      </c>
      <c r="C361">
        <f>(B361-1)/9</f>
        <v/>
      </c>
    </row>
    <row r="362">
      <c r="A362" s="3" t="inlineStr">
        <is>
          <t>LI_M+AR_M</t>
        </is>
      </c>
      <c r="B362" s="3" t="n">
        <v>7</v>
      </c>
      <c r="C362">
        <f>(B362-1)/9</f>
        <v/>
      </c>
    </row>
    <row r="363">
      <c r="A363" s="3" t="inlineStr">
        <is>
          <t>VI_M+AQ_M</t>
        </is>
      </c>
      <c r="B363" s="3" t="n">
        <v>5</v>
      </c>
      <c r="C363">
        <f>(B363-1)/9</f>
        <v/>
      </c>
    </row>
    <row r="364">
      <c r="A364" s="3" t="inlineStr">
        <is>
          <t>LI_M+SC_M</t>
        </is>
      </c>
      <c r="B364" s="3" t="n">
        <v>4</v>
      </c>
      <c r="C364">
        <f>(B364-1)/9</f>
        <v/>
      </c>
    </row>
    <row r="365">
      <c r="A365" s="3" t="inlineStr">
        <is>
          <t>LI_M+CA_M</t>
        </is>
      </c>
      <c r="B365" s="3" t="n">
        <v>4</v>
      </c>
      <c r="C365">
        <f>(B365-1)/9</f>
        <v/>
      </c>
    </row>
    <row r="366">
      <c r="A366" s="3" t="inlineStr">
        <is>
          <t>LI_M+LE_M</t>
        </is>
      </c>
      <c r="B366" s="3" t="n">
        <v>5</v>
      </c>
      <c r="C366">
        <f>(B366-1)/9</f>
        <v/>
      </c>
    </row>
    <row r="367">
      <c r="A367" s="3" t="inlineStr">
        <is>
          <t>LI_M+GE_M</t>
        </is>
      </c>
      <c r="B367" s="3" t="n">
        <v>6</v>
      </c>
      <c r="C367">
        <f>(B367-1)/9</f>
        <v/>
      </c>
    </row>
    <row r="368">
      <c r="A368" s="3" t="inlineStr">
        <is>
          <t>LI_M+AQ_M</t>
        </is>
      </c>
      <c r="B368" s="3" t="n">
        <v>8</v>
      </c>
      <c r="C368">
        <f>(B368-1)/9</f>
        <v/>
      </c>
    </row>
    <row r="369">
      <c r="A369" s="3" t="inlineStr">
        <is>
          <t>LI_M+VI_M</t>
        </is>
      </c>
      <c r="B369" s="3" t="n">
        <v>6</v>
      </c>
      <c r="C369">
        <f>(B369-1)/9</f>
        <v/>
      </c>
    </row>
    <row r="370">
      <c r="A370" s="3" t="inlineStr">
        <is>
          <t>LI_M+PI_M</t>
        </is>
      </c>
      <c r="B370" s="3" t="n">
        <v>6</v>
      </c>
      <c r="C370">
        <f>(B370-1)/9</f>
        <v/>
      </c>
    </row>
    <row r="371">
      <c r="A371" s="3" t="inlineStr">
        <is>
          <t>LI_M+LI_M</t>
        </is>
      </c>
      <c r="B371" s="3" t="n">
        <v>6</v>
      </c>
      <c r="C371">
        <f>(B371-1)/9</f>
        <v/>
      </c>
    </row>
    <row r="372">
      <c r="A372" s="3" t="inlineStr">
        <is>
          <t>LI_M+CP_M</t>
        </is>
      </c>
      <c r="B372" s="3" t="n">
        <v>5</v>
      </c>
      <c r="C372">
        <f>(B372-1)/9</f>
        <v/>
      </c>
    </row>
    <row r="373">
      <c r="A373" s="3" t="inlineStr">
        <is>
          <t>SC_M+GE_M</t>
        </is>
      </c>
      <c r="B373" s="3" t="n">
        <v>7</v>
      </c>
      <c r="C373">
        <f>(B373-1)/9</f>
        <v/>
      </c>
    </row>
    <row r="374">
      <c r="A374" s="3" t="inlineStr">
        <is>
          <t>SC_M+TA_M</t>
        </is>
      </c>
      <c r="B374" s="3" t="n">
        <v>6</v>
      </c>
      <c r="C374">
        <f>(B374-1)/9</f>
        <v/>
      </c>
    </row>
    <row r="375">
      <c r="A375" s="3" t="inlineStr">
        <is>
          <t>LI_M+SG_M</t>
        </is>
      </c>
      <c r="B375" s="3" t="n">
        <v>7</v>
      </c>
      <c r="C375">
        <f>(B375-1)/9</f>
        <v/>
      </c>
    </row>
    <row r="376">
      <c r="A376" s="3" t="inlineStr">
        <is>
          <t>SC_M+LI_M</t>
        </is>
      </c>
      <c r="B376" s="3" t="n">
        <v>5</v>
      </c>
      <c r="C376">
        <f>(B376-1)/9</f>
        <v/>
      </c>
    </row>
    <row r="377">
      <c r="A377" s="3" t="inlineStr">
        <is>
          <t>SC_M+AR_M</t>
        </is>
      </c>
      <c r="B377" s="3" t="n">
        <v>5</v>
      </c>
      <c r="C377">
        <f>(B377-1)/9</f>
        <v/>
      </c>
    </row>
    <row r="378">
      <c r="A378" s="3" t="inlineStr">
        <is>
          <t>SC_M+VI_M</t>
        </is>
      </c>
      <c r="B378" s="3" t="n">
        <v>4</v>
      </c>
      <c r="C378">
        <f>(B378-1)/9</f>
        <v/>
      </c>
    </row>
    <row r="379">
      <c r="A379" s="3" t="inlineStr">
        <is>
          <t>SC_M+LE_M</t>
        </is>
      </c>
      <c r="B379" s="3" t="n">
        <v>6</v>
      </c>
      <c r="C379">
        <f>(B379-1)/9</f>
        <v/>
      </c>
    </row>
    <row r="380">
      <c r="A380" s="3" t="inlineStr">
        <is>
          <t>SC_M+PI_M</t>
        </is>
      </c>
      <c r="B380" s="3" t="n">
        <v>8</v>
      </c>
      <c r="C380">
        <f>(B380-1)/9</f>
        <v/>
      </c>
    </row>
    <row r="381">
      <c r="A381" s="3" t="inlineStr">
        <is>
          <t>SC_M+CA_M</t>
        </is>
      </c>
      <c r="B381" s="3" t="n">
        <v>5</v>
      </c>
      <c r="C381">
        <f>(B381-1)/9</f>
        <v/>
      </c>
    </row>
    <row r="382">
      <c r="A382" s="3" t="inlineStr">
        <is>
          <t>SG_M+GE_M</t>
        </is>
      </c>
      <c r="B382" s="3" t="n">
        <v>5</v>
      </c>
      <c r="C382">
        <f>(B382-1)/9</f>
        <v/>
      </c>
    </row>
    <row r="383">
      <c r="A383" s="3" t="inlineStr">
        <is>
          <t>SC_M+SC_M</t>
        </is>
      </c>
      <c r="B383" s="3" t="n">
        <v>7</v>
      </c>
      <c r="C383">
        <f>(B383-1)/9</f>
        <v/>
      </c>
    </row>
    <row r="384">
      <c r="A384" s="3" t="inlineStr">
        <is>
          <t>SC_M+SG_M</t>
        </is>
      </c>
      <c r="B384" s="3" t="n">
        <v>6</v>
      </c>
      <c r="C384">
        <f>(B384-1)/9</f>
        <v/>
      </c>
    </row>
    <row r="385">
      <c r="A385" s="3" t="inlineStr">
        <is>
          <t>SG_M+TA_M</t>
        </is>
      </c>
      <c r="B385" s="3" t="n">
        <v>4</v>
      </c>
      <c r="C385">
        <f>(B385-1)/9</f>
        <v/>
      </c>
    </row>
    <row r="386">
      <c r="A386" s="3" t="inlineStr">
        <is>
          <t>SG_M+LE_M</t>
        </is>
      </c>
      <c r="B386" s="3" t="n">
        <v>8</v>
      </c>
      <c r="C386">
        <f>(B386-1)/9</f>
        <v/>
      </c>
    </row>
    <row r="387">
      <c r="A387" s="3" t="inlineStr">
        <is>
          <t>CP_M+AR_M</t>
        </is>
      </c>
      <c r="B387" s="3" t="n">
        <v>4</v>
      </c>
      <c r="C387">
        <f>(B387-1)/9</f>
        <v/>
      </c>
    </row>
    <row r="388">
      <c r="A388" s="3" t="inlineStr">
        <is>
          <t>SG_M+CA_M</t>
        </is>
      </c>
      <c r="B388" s="3" t="n">
        <v>6</v>
      </c>
      <c r="C388">
        <f>(B388-1)/9</f>
        <v/>
      </c>
    </row>
    <row r="389">
      <c r="A389" s="3" t="inlineStr">
        <is>
          <t>SC_M+CP_M</t>
        </is>
      </c>
      <c r="B389" s="3" t="n">
        <v>5</v>
      </c>
      <c r="C389">
        <f>(B389-1)/9</f>
        <v/>
      </c>
    </row>
    <row r="390">
      <c r="A390" s="3" t="inlineStr">
        <is>
          <t>SC_M+AQ_M</t>
        </is>
      </c>
      <c r="B390" s="3" t="n">
        <v>4</v>
      </c>
      <c r="C390">
        <f>(B390-1)/9</f>
        <v/>
      </c>
    </row>
    <row r="391">
      <c r="A391" s="3" t="inlineStr">
        <is>
          <t>SG_M+AR_M</t>
        </is>
      </c>
      <c r="B391" s="3" t="n">
        <v>6</v>
      </c>
      <c r="C391">
        <f>(B391-1)/9</f>
        <v/>
      </c>
    </row>
    <row r="392">
      <c r="A392" s="3" t="inlineStr">
        <is>
          <t>SG_M+AQ_M</t>
        </is>
      </c>
      <c r="B392" s="3" t="n">
        <v>6</v>
      </c>
      <c r="C392">
        <f>(B392-1)/9</f>
        <v/>
      </c>
    </row>
    <row r="393">
      <c r="A393" s="3" t="inlineStr">
        <is>
          <t>SG_M+VI_M</t>
        </is>
      </c>
      <c r="B393" s="3" t="n">
        <v>5</v>
      </c>
      <c r="C393">
        <f>(B393-1)/9</f>
        <v/>
      </c>
    </row>
    <row r="394">
      <c r="A394" s="3" t="inlineStr">
        <is>
          <t>SG_M+SC_M</t>
        </is>
      </c>
      <c r="B394" s="3" t="n">
        <v>5</v>
      </c>
      <c r="C394">
        <f>(B394-1)/9</f>
        <v/>
      </c>
    </row>
    <row r="395">
      <c r="A395" s="3" t="inlineStr">
        <is>
          <t>SG_M+PI_M</t>
        </is>
      </c>
      <c r="B395" s="3" t="n">
        <v>5</v>
      </c>
      <c r="C395">
        <f>(B395-1)/9</f>
        <v/>
      </c>
    </row>
    <row r="396">
      <c r="A396" s="3" t="inlineStr">
        <is>
          <t>SG_M+LI_M</t>
        </is>
      </c>
      <c r="B396" s="3" t="n">
        <v>7</v>
      </c>
      <c r="C396">
        <f>(B396-1)/9</f>
        <v/>
      </c>
    </row>
    <row r="397">
      <c r="A397" s="3" t="inlineStr">
        <is>
          <t>SG_M+SG_M</t>
        </is>
      </c>
      <c r="B397" s="3" t="n">
        <v>6</v>
      </c>
      <c r="C397">
        <f>(B397-1)/9</f>
        <v/>
      </c>
    </row>
    <row r="398">
      <c r="A398" s="3" t="inlineStr">
        <is>
          <t>CP_M+TA_M</t>
        </is>
      </c>
      <c r="B398" s="3" t="n">
        <v>7</v>
      </c>
      <c r="C398">
        <f>(B398-1)/9</f>
        <v/>
      </c>
    </row>
    <row r="399">
      <c r="A399" s="3" t="inlineStr">
        <is>
          <t>SG_M+CP_M</t>
        </is>
      </c>
      <c r="B399" s="3" t="n">
        <v>4</v>
      </c>
      <c r="C399">
        <f>(B399-1)/9</f>
        <v/>
      </c>
    </row>
    <row r="400">
      <c r="A400" s="3" t="inlineStr">
        <is>
          <t>CP_M+GE_M</t>
        </is>
      </c>
      <c r="B400" s="3" t="n">
        <v>5</v>
      </c>
      <c r="C400">
        <f>(B400-1)/9</f>
        <v/>
      </c>
    </row>
    <row r="401">
      <c r="A401" s="3" t="inlineStr">
        <is>
          <t>CP_M+CA_M</t>
        </is>
      </c>
      <c r="B401" s="3" t="n">
        <v>6</v>
      </c>
      <c r="C401">
        <f>(B401-1)/9</f>
        <v/>
      </c>
    </row>
    <row r="402">
      <c r="A402" s="3" t="inlineStr">
        <is>
          <t>CP_M+VI_M</t>
        </is>
      </c>
      <c r="B402" s="3" t="n">
        <v>8</v>
      </c>
      <c r="C402">
        <f>(B402-1)/9</f>
        <v/>
      </c>
    </row>
    <row r="403">
      <c r="A403" s="3" t="inlineStr">
        <is>
          <t>CP_M+SC_M</t>
        </is>
      </c>
      <c r="B403" s="3" t="n">
        <v>5</v>
      </c>
      <c r="C403">
        <f>(B403-1)/9</f>
        <v/>
      </c>
    </row>
    <row r="404">
      <c r="A404" s="3" t="inlineStr">
        <is>
          <t>CP_M+LE_M</t>
        </is>
      </c>
      <c r="B404" s="3" t="n">
        <v>5</v>
      </c>
      <c r="C404">
        <f>(B404-1)/9</f>
        <v/>
      </c>
    </row>
    <row r="405">
      <c r="A405" s="3" t="inlineStr">
        <is>
          <t>CP_M+SG_M</t>
        </is>
      </c>
      <c r="B405" s="3" t="n">
        <v>4</v>
      </c>
      <c r="C405">
        <f>(B405-1)/9</f>
        <v/>
      </c>
    </row>
    <row r="406">
      <c r="A406" s="3" t="inlineStr">
        <is>
          <t>AQ_M+VI_M</t>
        </is>
      </c>
      <c r="B406" s="3" t="n">
        <v>5</v>
      </c>
      <c r="C406">
        <f>(B406-1)/9</f>
        <v/>
      </c>
    </row>
    <row r="407">
      <c r="A407" s="3" t="inlineStr">
        <is>
          <t>AQ_M+GE_M</t>
        </is>
      </c>
      <c r="B407" s="3" t="n">
        <v>6</v>
      </c>
      <c r="C407">
        <f>(B407-1)/9</f>
        <v/>
      </c>
    </row>
    <row r="408">
      <c r="A408" s="3" t="inlineStr">
        <is>
          <t>CP_M+LI_M</t>
        </is>
      </c>
      <c r="B408" s="3" t="n">
        <v>6</v>
      </c>
      <c r="C408">
        <f>(B408-1)/9</f>
        <v/>
      </c>
    </row>
    <row r="409">
      <c r="A409" s="3" t="inlineStr">
        <is>
          <t>CP_M+CP_M</t>
        </is>
      </c>
      <c r="B409" s="3" t="n">
        <v>7</v>
      </c>
      <c r="C409">
        <f>(B409-1)/9</f>
        <v/>
      </c>
    </row>
    <row r="410">
      <c r="A410" s="3" t="inlineStr">
        <is>
          <t>CP_M+PI_M</t>
        </is>
      </c>
      <c r="B410" s="3" t="n">
        <v>6</v>
      </c>
      <c r="C410">
        <f>(B410-1)/9</f>
        <v/>
      </c>
    </row>
    <row r="411">
      <c r="A411" s="3" t="inlineStr">
        <is>
          <t>CP_M+AQ_M</t>
        </is>
      </c>
      <c r="B411" s="3" t="n">
        <v>5</v>
      </c>
      <c r="C411">
        <f>(B411-1)/9</f>
        <v/>
      </c>
    </row>
    <row r="412">
      <c r="A412" s="3" t="inlineStr">
        <is>
          <t>AQ_M+TA_M</t>
        </is>
      </c>
      <c r="B412" s="3" t="n">
        <v>5</v>
      </c>
      <c r="C412">
        <f>(B412-1)/9</f>
        <v/>
      </c>
    </row>
    <row r="413">
      <c r="A413" s="3" t="inlineStr">
        <is>
          <t>AQ_M+AR_M</t>
        </is>
      </c>
      <c r="B413" s="3" t="n">
        <v>6</v>
      </c>
      <c r="C413">
        <f>(B413-1)/9</f>
        <v/>
      </c>
    </row>
    <row r="414">
      <c r="A414" s="3" t="inlineStr">
        <is>
          <t>AQ_M+LE_M</t>
        </is>
      </c>
      <c r="B414" s="3" t="n">
        <v>4</v>
      </c>
      <c r="C414">
        <f>(B414-1)/9</f>
        <v/>
      </c>
    </row>
    <row r="415">
      <c r="A415" s="3" t="inlineStr">
        <is>
          <t>AQ_M+AQ_M</t>
        </is>
      </c>
      <c r="B415" s="3" t="n">
        <v>6</v>
      </c>
      <c r="C415">
        <f>(B415-1)/9</f>
        <v/>
      </c>
    </row>
    <row r="416">
      <c r="A416" s="3" t="inlineStr">
        <is>
          <t>AQ_M+SC_M</t>
        </is>
      </c>
      <c r="B416" s="3" t="n">
        <v>4</v>
      </c>
      <c r="C416">
        <f>(B416-1)/9</f>
        <v/>
      </c>
    </row>
    <row r="417">
      <c r="A417" s="3" t="inlineStr">
        <is>
          <t>AQ_M+CP_M</t>
        </is>
      </c>
      <c r="B417" s="3" t="n">
        <v>5</v>
      </c>
      <c r="C417">
        <f>(B417-1)/9</f>
        <v/>
      </c>
    </row>
    <row r="418">
      <c r="A418" s="3" t="inlineStr">
        <is>
          <t>AQ_M+SG_M</t>
        </is>
      </c>
      <c r="B418" s="3" t="n">
        <v>6</v>
      </c>
      <c r="C418">
        <f>(B418-1)/9</f>
        <v/>
      </c>
    </row>
    <row r="419">
      <c r="A419" s="3" t="inlineStr">
        <is>
          <t>PI_M+VI_M</t>
        </is>
      </c>
      <c r="B419" s="3" t="n">
        <v>5</v>
      </c>
      <c r="C419">
        <f>(B419-1)/9</f>
        <v/>
      </c>
    </row>
    <row r="420">
      <c r="A420" s="3" t="inlineStr">
        <is>
          <t>AQ_M+LI_M</t>
        </is>
      </c>
      <c r="B420" s="3" t="n">
        <v>8</v>
      </c>
      <c r="C420">
        <f>(B420-1)/9</f>
        <v/>
      </c>
    </row>
    <row r="421">
      <c r="A421" s="3" t="inlineStr">
        <is>
          <t>AQ_M+CA_M</t>
        </is>
      </c>
      <c r="B421" s="3" t="n">
        <v>7</v>
      </c>
      <c r="C421">
        <f>(B421-1)/9</f>
        <v/>
      </c>
    </row>
    <row r="422">
      <c r="A422" s="3" t="inlineStr">
        <is>
          <t>PI_M+AQ_M</t>
        </is>
      </c>
      <c r="B422" s="3" t="n">
        <v>7</v>
      </c>
      <c r="C422">
        <f>(B422-1)/9</f>
        <v/>
      </c>
    </row>
    <row r="423">
      <c r="A423" s="3" t="inlineStr">
        <is>
          <t>PI_M+SC_M</t>
        </is>
      </c>
      <c r="B423" s="3" t="n">
        <v>8</v>
      </c>
      <c r="C423">
        <f>(B423-1)/9</f>
        <v/>
      </c>
    </row>
    <row r="424">
      <c r="A424" s="3" t="inlineStr">
        <is>
          <t>PI_M+AR_M</t>
        </is>
      </c>
      <c r="B424" s="3" t="n">
        <v>5</v>
      </c>
      <c r="C424">
        <f>(B424-1)/9</f>
        <v/>
      </c>
    </row>
    <row r="425">
      <c r="A425" s="3" t="inlineStr">
        <is>
          <t>PI_M+TA_M</t>
        </is>
      </c>
      <c r="B425" s="3" t="n">
        <v>6</v>
      </c>
      <c r="C425">
        <f>(B425-1)/9</f>
        <v/>
      </c>
    </row>
    <row r="426">
      <c r="A426" s="3" t="inlineStr">
        <is>
          <t>AQ_M+PI_M</t>
        </is>
      </c>
      <c r="B426" s="3" t="n">
        <v>7</v>
      </c>
      <c r="C426">
        <f>(B426-1)/9</f>
        <v/>
      </c>
    </row>
    <row r="427">
      <c r="A427" s="3" t="inlineStr">
        <is>
          <t>PI_M+GE_M</t>
        </is>
      </c>
      <c r="B427" s="3" t="n">
        <v>4</v>
      </c>
      <c r="C427">
        <f>(B427-1)/9</f>
        <v/>
      </c>
    </row>
    <row r="428">
      <c r="A428" s="3" t="inlineStr">
        <is>
          <t>PI_M+SG_M</t>
        </is>
      </c>
      <c r="B428" s="3" t="n">
        <v>5</v>
      </c>
      <c r="C428">
        <f>(B428-1)/9</f>
        <v/>
      </c>
    </row>
    <row r="429">
      <c r="A429" s="3" t="inlineStr">
        <is>
          <t>PI_M+CA_M</t>
        </is>
      </c>
      <c r="B429" s="3" t="n">
        <v>6</v>
      </c>
      <c r="C429">
        <f>(B429-1)/9</f>
        <v/>
      </c>
    </row>
    <row r="430">
      <c r="A430" s="3" t="inlineStr">
        <is>
          <t>PI_M+LI_M</t>
        </is>
      </c>
      <c r="B430" s="3" t="n">
        <v>6</v>
      </c>
      <c r="C430">
        <f>(B430-1)/9</f>
        <v/>
      </c>
    </row>
    <row r="431">
      <c r="A431" s="3" t="inlineStr">
        <is>
          <t>PI_M+LE_M</t>
        </is>
      </c>
      <c r="B431" s="3" t="n">
        <v>7</v>
      </c>
      <c r="C431">
        <f>(B431-1)/9</f>
        <v/>
      </c>
    </row>
    <row r="432">
      <c r="A432" s="3" t="inlineStr">
        <is>
          <t>AR_F+AR_F</t>
        </is>
      </c>
      <c r="B432" s="3" t="n">
        <v>6</v>
      </c>
      <c r="C432">
        <f>(B432-1)/9</f>
        <v/>
      </c>
    </row>
    <row r="433">
      <c r="A433" s="3" t="inlineStr">
        <is>
          <t>AR_F+VI_F</t>
        </is>
      </c>
      <c r="B433" s="3" t="n">
        <v>6</v>
      </c>
      <c r="C433">
        <f>(B433-1)/9</f>
        <v/>
      </c>
    </row>
    <row r="434">
      <c r="A434" s="3" t="inlineStr">
        <is>
          <t>PI_M+PI_M</t>
        </is>
      </c>
      <c r="B434" s="3" t="n">
        <v>6</v>
      </c>
      <c r="C434">
        <f>(B434-1)/9</f>
        <v/>
      </c>
    </row>
    <row r="435">
      <c r="A435" s="3" t="inlineStr">
        <is>
          <t>AR_F+SC_F</t>
        </is>
      </c>
      <c r="B435" s="3" t="n">
        <v>5</v>
      </c>
      <c r="C435">
        <f>(B435-1)/9</f>
        <v/>
      </c>
    </row>
    <row r="436">
      <c r="A436" s="3" t="inlineStr">
        <is>
          <t>AR_F+CP_F</t>
        </is>
      </c>
      <c r="B436" s="3" t="n">
        <v>4</v>
      </c>
      <c r="C436">
        <f>(B436-1)/9</f>
        <v/>
      </c>
    </row>
    <row r="437">
      <c r="A437" s="3" t="inlineStr">
        <is>
          <t>AR_F+TA_F</t>
        </is>
      </c>
      <c r="B437" s="3" t="n">
        <v>7</v>
      </c>
      <c r="C437">
        <f>(B437-1)/9</f>
        <v/>
      </c>
    </row>
    <row r="438">
      <c r="A438" s="3" t="inlineStr">
        <is>
          <t>AR_F+CA_F</t>
        </is>
      </c>
      <c r="B438" s="3" t="n">
        <v>4</v>
      </c>
      <c r="C438">
        <f>(B438-1)/9</f>
        <v/>
      </c>
    </row>
    <row r="439">
      <c r="A439" s="3" t="inlineStr">
        <is>
          <t>AR_F+GE_F</t>
        </is>
      </c>
      <c r="B439" s="3" t="n">
        <v>5</v>
      </c>
      <c r="C439">
        <f>(B439-1)/9</f>
        <v/>
      </c>
    </row>
    <row r="440">
      <c r="A440" s="3" t="inlineStr">
        <is>
          <t>AR_F+LE_F</t>
        </is>
      </c>
      <c r="B440" s="3" t="n">
        <v>8</v>
      </c>
      <c r="C440">
        <f>(B440-1)/9</f>
        <v/>
      </c>
    </row>
    <row r="441">
      <c r="A441" s="3" t="inlineStr">
        <is>
          <t>PI_M+CP_M</t>
        </is>
      </c>
      <c r="B441" s="3" t="n">
        <v>6</v>
      </c>
      <c r="C441">
        <f>(B441-1)/9</f>
        <v/>
      </c>
    </row>
    <row r="442">
      <c r="A442" s="3" t="inlineStr">
        <is>
          <t>TA_F+TA_F</t>
        </is>
      </c>
      <c r="B442" s="3" t="n">
        <v>6</v>
      </c>
      <c r="C442">
        <f>(B442-1)/9</f>
        <v/>
      </c>
    </row>
    <row r="443">
      <c r="A443" s="3" t="inlineStr">
        <is>
          <t>AR_F+AQ_F</t>
        </is>
      </c>
      <c r="B443" s="3" t="n">
        <v>6</v>
      </c>
      <c r="C443">
        <f>(B443-1)/9</f>
        <v/>
      </c>
    </row>
    <row r="444">
      <c r="A444" s="3" t="inlineStr">
        <is>
          <t>AR_F+PI_F</t>
        </is>
      </c>
      <c r="B444" s="3" t="n">
        <v>5</v>
      </c>
      <c r="C444">
        <f>(B444-1)/9</f>
        <v/>
      </c>
    </row>
    <row r="445">
      <c r="A445" s="3" t="inlineStr">
        <is>
          <t>AR_F+LI_F</t>
        </is>
      </c>
      <c r="B445" s="3" t="n">
        <v>7</v>
      </c>
      <c r="C445">
        <f>(B445-1)/9</f>
        <v/>
      </c>
    </row>
    <row r="446">
      <c r="A446" s="3" t="inlineStr">
        <is>
          <t>AR_F+SG_F</t>
        </is>
      </c>
      <c r="B446" s="3" t="n">
        <v>6</v>
      </c>
      <c r="C446">
        <f>(B446-1)/9</f>
        <v/>
      </c>
    </row>
    <row r="447">
      <c r="A447" s="3" t="inlineStr">
        <is>
          <t>TA_F+AR_F</t>
        </is>
      </c>
      <c r="B447" s="3" t="n">
        <v>7</v>
      </c>
      <c r="C447">
        <f>(B447-1)/9</f>
        <v/>
      </c>
    </row>
    <row r="448">
      <c r="A448" s="3" t="inlineStr">
        <is>
          <t>TA_F+LE_F</t>
        </is>
      </c>
      <c r="B448" s="3" t="n">
        <v>4</v>
      </c>
      <c r="C448">
        <f>(B448-1)/9</f>
        <v/>
      </c>
    </row>
    <row r="449">
      <c r="A449" s="3" t="inlineStr">
        <is>
          <t>TA_F+LI_F</t>
        </is>
      </c>
      <c r="B449" s="3" t="n">
        <v>5</v>
      </c>
      <c r="C449">
        <f>(B449-1)/9</f>
        <v/>
      </c>
    </row>
    <row r="450">
      <c r="A450" s="3" t="inlineStr">
        <is>
          <t>GE_F+TA_F</t>
        </is>
      </c>
      <c r="B450" s="3" t="n">
        <v>6</v>
      </c>
      <c r="C450">
        <f>(B450-1)/9</f>
        <v/>
      </c>
    </row>
    <row r="451">
      <c r="A451" s="3" t="inlineStr">
        <is>
          <t>TA_F+VI_F</t>
        </is>
      </c>
      <c r="B451" s="3" t="n">
        <v>8</v>
      </c>
      <c r="C451">
        <f>(B451-1)/9</f>
        <v/>
      </c>
    </row>
    <row r="452">
      <c r="A452" s="3" t="inlineStr">
        <is>
          <t>TA_F+SC_F</t>
        </is>
      </c>
      <c r="B452" s="3" t="n">
        <v>6</v>
      </c>
      <c r="C452">
        <f>(B452-1)/9</f>
        <v/>
      </c>
    </row>
    <row r="453">
      <c r="A453" s="3" t="inlineStr">
        <is>
          <t>TA_F+CA_F</t>
        </is>
      </c>
      <c r="B453" s="3" t="n">
        <v>7</v>
      </c>
      <c r="C453">
        <f>(B453-1)/9</f>
        <v/>
      </c>
    </row>
    <row r="454">
      <c r="A454" s="3" t="inlineStr">
        <is>
          <t>GE_F+VI_F</t>
        </is>
      </c>
      <c r="B454" s="3" t="n">
        <v>4</v>
      </c>
      <c r="C454">
        <f>(B454-1)/9</f>
        <v/>
      </c>
    </row>
    <row r="455">
      <c r="A455" s="3" t="inlineStr">
        <is>
          <t>TA_F+CP_F</t>
        </is>
      </c>
      <c r="B455" s="3" t="n">
        <v>7</v>
      </c>
      <c r="C455">
        <f>(B455-1)/9</f>
        <v/>
      </c>
    </row>
    <row r="456">
      <c r="A456" s="3" t="inlineStr">
        <is>
          <t>GE_F+CA_F</t>
        </is>
      </c>
      <c r="B456" s="3" t="n">
        <v>7</v>
      </c>
      <c r="C456">
        <f>(B456-1)/9</f>
        <v/>
      </c>
    </row>
    <row r="457">
      <c r="A457" s="3" t="inlineStr">
        <is>
          <t>TA_F+SG_F</t>
        </is>
      </c>
      <c r="B457" s="3" t="n">
        <v>4</v>
      </c>
      <c r="C457">
        <f>(B457-1)/9</f>
        <v/>
      </c>
    </row>
    <row r="458">
      <c r="A458" s="3" t="inlineStr">
        <is>
          <t>GE_F+GE_F</t>
        </is>
      </c>
      <c r="B458" s="3" t="n">
        <v>6</v>
      </c>
      <c r="C458">
        <f>(B458-1)/9</f>
        <v/>
      </c>
    </row>
    <row r="459">
      <c r="A459" s="3" t="inlineStr">
        <is>
          <t>TA_F+GE_F</t>
        </is>
      </c>
      <c r="B459" s="3" t="n">
        <v>5</v>
      </c>
      <c r="C459">
        <f>(B459-1)/9</f>
        <v/>
      </c>
    </row>
    <row r="460">
      <c r="A460" s="3" t="inlineStr">
        <is>
          <t>TA_F+AQ_F</t>
        </is>
      </c>
      <c r="B460" s="3" t="n">
        <v>5</v>
      </c>
      <c r="C460">
        <f>(B460-1)/9</f>
        <v/>
      </c>
    </row>
    <row r="461">
      <c r="A461" s="3" t="inlineStr">
        <is>
          <t>TA_F+PI_F</t>
        </is>
      </c>
      <c r="B461" s="3" t="n">
        <v>6</v>
      </c>
      <c r="C461">
        <f>(B461-1)/9</f>
        <v/>
      </c>
    </row>
    <row r="462">
      <c r="A462" s="3" t="inlineStr">
        <is>
          <t>GE_F+LE_F</t>
        </is>
      </c>
      <c r="B462" s="3" t="n">
        <v>5</v>
      </c>
      <c r="C462">
        <f>(B462-1)/9</f>
        <v/>
      </c>
    </row>
    <row r="463">
      <c r="A463" s="3" t="inlineStr">
        <is>
          <t>CA_F+GE_F</t>
        </is>
      </c>
      <c r="B463" s="3" t="n">
        <v>7</v>
      </c>
      <c r="C463">
        <f>(B463-1)/9</f>
        <v/>
      </c>
    </row>
    <row r="464">
      <c r="A464" s="3" t="inlineStr">
        <is>
          <t>GE_F+SG_F</t>
        </is>
      </c>
      <c r="B464" s="3" t="n">
        <v>7</v>
      </c>
      <c r="C464">
        <f>(B464-1)/9</f>
        <v/>
      </c>
    </row>
    <row r="465">
      <c r="A465" s="3" t="inlineStr">
        <is>
          <t>CA_F+AR_F</t>
        </is>
      </c>
      <c r="B465" s="3" t="n">
        <v>6</v>
      </c>
      <c r="C465">
        <f>(B465-1)/9</f>
        <v/>
      </c>
    </row>
    <row r="466">
      <c r="A466" s="3" t="inlineStr">
        <is>
          <t>GE_F+LI_F</t>
        </is>
      </c>
      <c r="B466" s="3" t="n">
        <v>8</v>
      </c>
      <c r="C466">
        <f>(B466-1)/9</f>
        <v/>
      </c>
    </row>
    <row r="467">
      <c r="A467" s="3" t="inlineStr">
        <is>
          <t>GE_F+AR_F</t>
        </is>
      </c>
      <c r="B467" s="3" t="n">
        <v>5</v>
      </c>
      <c r="C467">
        <f>(B467-1)/9</f>
        <v/>
      </c>
    </row>
    <row r="468">
      <c r="A468" s="3" t="inlineStr">
        <is>
          <t>GE_F+PI_F</t>
        </is>
      </c>
      <c r="B468" s="3" t="n">
        <v>4</v>
      </c>
      <c r="C468">
        <f>(B468-1)/9</f>
        <v/>
      </c>
    </row>
    <row r="469">
      <c r="A469" s="3" t="inlineStr">
        <is>
          <t>GE_F+CP_F</t>
        </is>
      </c>
      <c r="B469" s="3" t="n">
        <v>5</v>
      </c>
      <c r="C469">
        <f>(B469-1)/9</f>
        <v/>
      </c>
    </row>
    <row r="470">
      <c r="A470" s="3" t="inlineStr">
        <is>
          <t>CA_F+CA_F</t>
        </is>
      </c>
      <c r="B470" s="3" t="n">
        <v>6</v>
      </c>
      <c r="C470">
        <f>(B470-1)/9</f>
        <v/>
      </c>
    </row>
    <row r="471">
      <c r="A471" s="3" t="inlineStr">
        <is>
          <t>CA_F+TA_F</t>
        </is>
      </c>
      <c r="B471" s="3" t="n">
        <v>5</v>
      </c>
      <c r="C471">
        <f>(B471-1)/9</f>
        <v/>
      </c>
    </row>
    <row r="472">
      <c r="A472" s="3" t="inlineStr">
        <is>
          <t>CA_F+LI_F</t>
        </is>
      </c>
      <c r="B472" s="3" t="n">
        <v>5</v>
      </c>
      <c r="C472">
        <f>(B472-1)/9</f>
        <v/>
      </c>
    </row>
    <row r="473">
      <c r="A473" s="3" t="inlineStr">
        <is>
          <t>CA_F+PI_F</t>
        </is>
      </c>
      <c r="B473" s="3" t="n">
        <v>6</v>
      </c>
      <c r="C473">
        <f>(B473-1)/9</f>
        <v/>
      </c>
    </row>
    <row r="474">
      <c r="A474" s="3" t="inlineStr">
        <is>
          <t>CA_F+AQ_F</t>
        </is>
      </c>
      <c r="B474" s="3" t="n">
        <v>7</v>
      </c>
      <c r="C474">
        <f>(B474-1)/9</f>
        <v/>
      </c>
    </row>
    <row r="475">
      <c r="A475" s="3" t="inlineStr">
        <is>
          <t>CA_F+SG_F</t>
        </is>
      </c>
      <c r="B475" s="3" t="n">
        <v>6</v>
      </c>
      <c r="C475">
        <f>(B475-1)/9</f>
        <v/>
      </c>
    </row>
    <row r="476">
      <c r="A476" s="3" t="inlineStr">
        <is>
          <t>GE_F+SC_F</t>
        </is>
      </c>
      <c r="B476" s="3" t="n">
        <v>6</v>
      </c>
      <c r="C476">
        <f>(B476-1)/9</f>
        <v/>
      </c>
    </row>
    <row r="477">
      <c r="A477" s="3" t="inlineStr">
        <is>
          <t>CA_F+VI_F</t>
        </is>
      </c>
      <c r="B477" s="3" t="n">
        <v>6</v>
      </c>
      <c r="C477">
        <f>(B477-1)/9</f>
        <v/>
      </c>
    </row>
    <row r="478">
      <c r="A478" s="3" t="inlineStr">
        <is>
          <t>GE_F+AQ_F</t>
        </is>
      </c>
      <c r="B478" s="3" t="n">
        <v>6</v>
      </c>
      <c r="C478">
        <f>(B478-1)/9</f>
        <v/>
      </c>
    </row>
    <row r="479">
      <c r="A479" s="3" t="inlineStr">
        <is>
          <t>LE_F+AR_F</t>
        </is>
      </c>
      <c r="B479" s="3" t="n">
        <v>8</v>
      </c>
      <c r="C479">
        <f>(B479-1)/9</f>
        <v/>
      </c>
    </row>
    <row r="480">
      <c r="A480" s="3" t="inlineStr">
        <is>
          <t>CA_F+LE_F</t>
        </is>
      </c>
      <c r="B480" s="3" t="n">
        <v>4</v>
      </c>
      <c r="C480">
        <f>(B480-1)/9</f>
        <v/>
      </c>
    </row>
    <row r="481">
      <c r="A481" s="3" t="inlineStr">
        <is>
          <t>CA_F+CP_F</t>
        </is>
      </c>
      <c r="B481" s="3" t="n">
        <v>5</v>
      </c>
      <c r="C481">
        <f>(B481-1)/9</f>
        <v/>
      </c>
    </row>
    <row r="482">
      <c r="A482" s="3" t="inlineStr">
        <is>
          <t>CA_F+SC_F</t>
        </is>
      </c>
      <c r="B482" s="3" t="n">
        <v>8</v>
      </c>
      <c r="C482">
        <f>(B482-1)/9</f>
        <v/>
      </c>
    </row>
    <row r="483">
      <c r="A483" s="3" t="inlineStr">
        <is>
          <t>LE_F+VI_F</t>
        </is>
      </c>
      <c r="B483" s="3" t="n">
        <v>5</v>
      </c>
      <c r="C483">
        <f>(B483-1)/9</f>
        <v/>
      </c>
    </row>
    <row r="484">
      <c r="A484" s="3" t="inlineStr">
        <is>
          <t>LE_F+SC_F</t>
        </is>
      </c>
      <c r="B484" s="3" t="n">
        <v>5</v>
      </c>
      <c r="C484">
        <f>(B484-1)/9</f>
        <v/>
      </c>
    </row>
    <row r="485">
      <c r="A485" s="3" t="inlineStr">
        <is>
          <t>LE_F+TA_F</t>
        </is>
      </c>
      <c r="B485" s="3" t="n">
        <v>6</v>
      </c>
      <c r="C485">
        <f>(B485-1)/9</f>
        <v/>
      </c>
    </row>
    <row r="486">
      <c r="A486" s="3" t="inlineStr">
        <is>
          <t>LE_F+AQ_F</t>
        </is>
      </c>
      <c r="B486" s="3" t="n">
        <v>4</v>
      </c>
      <c r="C486">
        <f>(B486-1)/9</f>
        <v/>
      </c>
    </row>
    <row r="487">
      <c r="A487" s="3" t="inlineStr">
        <is>
          <t>LE_F+LE_F</t>
        </is>
      </c>
      <c r="B487" s="3" t="n">
        <v>7</v>
      </c>
      <c r="C487">
        <f>(B487-1)/9</f>
        <v/>
      </c>
    </row>
    <row r="488">
      <c r="A488" s="3" t="inlineStr">
        <is>
          <t>LE_F+PI_F</t>
        </is>
      </c>
      <c r="B488" s="3" t="n">
        <v>7</v>
      </c>
      <c r="C488">
        <f>(B488-1)/9</f>
        <v/>
      </c>
    </row>
    <row r="489">
      <c r="A489" s="3" t="inlineStr">
        <is>
          <t>LE_F+LI_F</t>
        </is>
      </c>
      <c r="B489" s="3" t="n">
        <v>6</v>
      </c>
      <c r="C489">
        <f>(B489-1)/9</f>
        <v/>
      </c>
    </row>
    <row r="490">
      <c r="A490" s="3" t="inlineStr">
        <is>
          <t>LE_F+GE_F</t>
        </is>
      </c>
      <c r="B490" s="3" t="n">
        <v>5</v>
      </c>
      <c r="C490">
        <f>(B490-1)/9</f>
        <v/>
      </c>
    </row>
    <row r="491">
      <c r="A491" s="3" t="inlineStr">
        <is>
          <t>LE_F+CP_F</t>
        </is>
      </c>
      <c r="B491" s="3" t="n">
        <v>6</v>
      </c>
      <c r="C491">
        <f>(B491-1)/9</f>
        <v/>
      </c>
    </row>
    <row r="492">
      <c r="A492" s="3" t="inlineStr">
        <is>
          <t>VI_F+SC_F</t>
        </is>
      </c>
      <c r="B492" s="3" t="n">
        <v>6</v>
      </c>
      <c r="C492">
        <f>(B492-1)/9</f>
        <v/>
      </c>
    </row>
    <row r="493">
      <c r="A493" s="3" t="inlineStr">
        <is>
          <t>LE_F+SG_F</t>
        </is>
      </c>
      <c r="B493" s="3" t="n">
        <v>8</v>
      </c>
      <c r="C493">
        <f>(B493-1)/9</f>
        <v/>
      </c>
    </row>
    <row r="494">
      <c r="A494" s="3" t="inlineStr">
        <is>
          <t>VI_F+LE_F</t>
        </is>
      </c>
      <c r="B494" s="3" t="n">
        <v>4</v>
      </c>
      <c r="C494">
        <f>(B494-1)/9</f>
        <v/>
      </c>
    </row>
    <row r="495">
      <c r="A495" s="3" t="inlineStr">
        <is>
          <t>VI_F+VI_F</t>
        </is>
      </c>
      <c r="B495" s="3" t="n">
        <v>7</v>
      </c>
      <c r="C495">
        <f>(B495-1)/9</f>
        <v/>
      </c>
    </row>
    <row r="496">
      <c r="A496" s="3" t="inlineStr">
        <is>
          <t>VI_F+CA_F</t>
        </is>
      </c>
      <c r="B496" s="3" t="n">
        <v>6</v>
      </c>
      <c r="C496">
        <f>(B496-1)/9</f>
        <v/>
      </c>
    </row>
    <row r="497">
      <c r="A497" s="3" t="inlineStr">
        <is>
          <t>LE_F+CA_F</t>
        </is>
      </c>
      <c r="B497" s="3" t="n">
        <v>4</v>
      </c>
      <c r="C497">
        <f>(B497-1)/9</f>
        <v/>
      </c>
    </row>
    <row r="498">
      <c r="A498" s="3" t="inlineStr">
        <is>
          <t>VI_F+AR_F</t>
        </is>
      </c>
      <c r="B498" s="3" t="n">
        <v>6</v>
      </c>
      <c r="C498">
        <f>(B498-1)/9</f>
        <v/>
      </c>
    </row>
    <row r="499">
      <c r="A499" s="3" t="inlineStr">
        <is>
          <t>VI_F+TA_F</t>
        </is>
      </c>
      <c r="B499" s="3" t="n">
        <v>7</v>
      </c>
      <c r="C499">
        <f>(B499-1)/9</f>
        <v/>
      </c>
    </row>
    <row r="500">
      <c r="A500" s="3" t="inlineStr">
        <is>
          <t>VI_F+GE_F</t>
        </is>
      </c>
      <c r="B500" s="3" t="n">
        <v>5</v>
      </c>
      <c r="C500">
        <f>(B500-1)/9</f>
        <v/>
      </c>
    </row>
    <row r="501">
      <c r="A501" s="3" t="inlineStr">
        <is>
          <t>VI_F+SG_F</t>
        </is>
      </c>
      <c r="B501" s="3" t="n">
        <v>4</v>
      </c>
      <c r="C501">
        <f>(B501-1)/9</f>
        <v/>
      </c>
    </row>
    <row r="502">
      <c r="A502" s="3" t="inlineStr">
        <is>
          <t>VI_F+CP_F</t>
        </is>
      </c>
      <c r="B502" s="3" t="n">
        <v>8</v>
      </c>
      <c r="C502">
        <f>(B502-1)/9</f>
        <v/>
      </c>
    </row>
    <row r="503">
      <c r="A503" s="3" t="inlineStr">
        <is>
          <t>LI_F+GE_F</t>
        </is>
      </c>
      <c r="B503" s="3" t="n">
        <v>6</v>
      </c>
      <c r="C503">
        <f>(B503-1)/9</f>
        <v/>
      </c>
    </row>
    <row r="504">
      <c r="A504" s="3" t="inlineStr">
        <is>
          <t>VI_F+LI_F</t>
        </is>
      </c>
      <c r="B504" s="3" t="n">
        <v>5</v>
      </c>
      <c r="C504">
        <f>(B504-1)/9</f>
        <v/>
      </c>
    </row>
    <row r="505">
      <c r="A505" s="3" t="inlineStr">
        <is>
          <t>LI_F+LI_F</t>
        </is>
      </c>
      <c r="B505" s="3" t="n">
        <v>6</v>
      </c>
      <c r="C505">
        <f>(B505-1)/9</f>
        <v/>
      </c>
    </row>
    <row r="506">
      <c r="A506" s="3" t="inlineStr">
        <is>
          <t>LI_F+TA_F</t>
        </is>
      </c>
      <c r="B506" s="3" t="n">
        <v>5</v>
      </c>
      <c r="C506">
        <f>(B506-1)/9</f>
        <v/>
      </c>
    </row>
    <row r="507">
      <c r="A507" s="3" t="inlineStr">
        <is>
          <t>LI_F+SC_F</t>
        </is>
      </c>
      <c r="B507" s="3" t="n">
        <v>4</v>
      </c>
      <c r="C507">
        <f>(B507-1)/9</f>
        <v/>
      </c>
    </row>
    <row r="508">
      <c r="A508" s="3" t="inlineStr">
        <is>
          <t>VI_F+AQ_F</t>
        </is>
      </c>
      <c r="B508" s="3" t="n">
        <v>5</v>
      </c>
      <c r="C508">
        <f>(B508-1)/9</f>
        <v/>
      </c>
    </row>
    <row r="509">
      <c r="A509" s="3" t="inlineStr">
        <is>
          <t>VI_F+PI_F</t>
        </is>
      </c>
      <c r="B509" s="3" t="n">
        <v>6</v>
      </c>
      <c r="C509">
        <f>(B509-1)/9</f>
        <v/>
      </c>
    </row>
    <row r="510">
      <c r="A510" s="3" t="inlineStr">
        <is>
          <t>LI_F+CA_F</t>
        </is>
      </c>
      <c r="B510" s="3" t="n">
        <v>4</v>
      </c>
      <c r="C510">
        <f>(B510-1)/9</f>
        <v/>
      </c>
    </row>
    <row r="511">
      <c r="A511" s="3" t="inlineStr">
        <is>
          <t>LI_F+LE_F</t>
        </is>
      </c>
      <c r="B511" s="3" t="n">
        <v>5</v>
      </c>
      <c r="C511">
        <f>(B511-1)/9</f>
        <v/>
      </c>
    </row>
    <row r="512">
      <c r="A512" s="3" t="inlineStr">
        <is>
          <t>SC_F+TA_F</t>
        </is>
      </c>
      <c r="B512" s="3" t="n">
        <v>6</v>
      </c>
      <c r="C512">
        <f>(B512-1)/9</f>
        <v/>
      </c>
    </row>
    <row r="513">
      <c r="A513" s="3" t="inlineStr">
        <is>
          <t>LI_F+VI_F</t>
        </is>
      </c>
      <c r="B513" s="3" t="n">
        <v>6</v>
      </c>
      <c r="C513">
        <f>(B513-1)/9</f>
        <v/>
      </c>
    </row>
    <row r="514">
      <c r="A514" s="3" t="inlineStr">
        <is>
          <t>LI_F+PI_F</t>
        </is>
      </c>
      <c r="B514" s="3" t="n">
        <v>6</v>
      </c>
      <c r="C514">
        <f>(B514-1)/9</f>
        <v/>
      </c>
    </row>
    <row r="515">
      <c r="A515" s="3" t="inlineStr">
        <is>
          <t>LI_F+AQ_F</t>
        </is>
      </c>
      <c r="B515" s="3" t="n">
        <v>8</v>
      </c>
      <c r="C515">
        <f>(B515-1)/9</f>
        <v/>
      </c>
    </row>
    <row r="516">
      <c r="A516" s="3" t="inlineStr">
        <is>
          <t>LI_F+CP_F</t>
        </is>
      </c>
      <c r="B516" s="3" t="n">
        <v>5</v>
      </c>
      <c r="C516">
        <f>(B516-1)/9</f>
        <v/>
      </c>
    </row>
    <row r="517">
      <c r="A517" s="3" t="inlineStr">
        <is>
          <t>LI_F+SG_F</t>
        </is>
      </c>
      <c r="B517" s="3" t="n">
        <v>7</v>
      </c>
      <c r="C517">
        <f>(B517-1)/9</f>
        <v/>
      </c>
    </row>
    <row r="518">
      <c r="A518" s="3" t="inlineStr">
        <is>
          <t>SC_F+AR_F</t>
        </is>
      </c>
      <c r="B518" s="3" t="n">
        <v>5</v>
      </c>
      <c r="C518">
        <f>(B518-1)/9</f>
        <v/>
      </c>
    </row>
    <row r="519">
      <c r="A519" s="3" t="inlineStr">
        <is>
          <t>LI_F+AR_F</t>
        </is>
      </c>
      <c r="B519" s="3" t="n">
        <v>7</v>
      </c>
      <c r="C519">
        <f>(B519-1)/9</f>
        <v/>
      </c>
    </row>
    <row r="520">
      <c r="A520" s="3" t="inlineStr">
        <is>
          <t>SC_F+GE_F</t>
        </is>
      </c>
      <c r="B520" s="3" t="n">
        <v>7</v>
      </c>
      <c r="C520">
        <f>(B520-1)/9</f>
        <v/>
      </c>
    </row>
    <row r="521">
      <c r="A521" s="3" t="inlineStr">
        <is>
          <t>SC_F+CA_F</t>
        </is>
      </c>
      <c r="B521" s="3" t="n">
        <v>5</v>
      </c>
      <c r="C521">
        <f>(B521-1)/9</f>
        <v/>
      </c>
    </row>
    <row r="522">
      <c r="A522" s="3" t="inlineStr">
        <is>
          <t>SC_F+VI_F</t>
        </is>
      </c>
      <c r="B522" s="3" t="n">
        <v>4</v>
      </c>
      <c r="C522">
        <f>(B522-1)/9</f>
        <v/>
      </c>
    </row>
    <row r="523">
      <c r="A523" s="3" t="inlineStr">
        <is>
          <t>SC_F+SG_F</t>
        </is>
      </c>
      <c r="B523" s="3" t="n">
        <v>6</v>
      </c>
      <c r="C523">
        <f>(B523-1)/9</f>
        <v/>
      </c>
    </row>
    <row r="524">
      <c r="A524" s="3" t="inlineStr">
        <is>
          <t>SC_F+CP_F</t>
        </is>
      </c>
      <c r="B524" s="3" t="n">
        <v>5</v>
      </c>
      <c r="C524">
        <f>(B524-1)/9</f>
        <v/>
      </c>
    </row>
    <row r="525">
      <c r="A525" s="3" t="inlineStr">
        <is>
          <t>SC_F+LE_F</t>
        </is>
      </c>
      <c r="B525" s="3" t="n">
        <v>6</v>
      </c>
      <c r="C525">
        <f>(B525-1)/9</f>
        <v/>
      </c>
    </row>
    <row r="526">
      <c r="A526" s="3" t="inlineStr">
        <is>
          <t>SC_F+SC_F</t>
        </is>
      </c>
      <c r="B526" s="3" t="n">
        <v>7</v>
      </c>
      <c r="C526">
        <f>(B526-1)/9</f>
        <v/>
      </c>
    </row>
    <row r="527">
      <c r="A527" s="3" t="inlineStr">
        <is>
          <t>SG_F+CA_F</t>
        </is>
      </c>
      <c r="B527" s="3" t="n">
        <v>6</v>
      </c>
      <c r="C527">
        <f>(B527-1)/9</f>
        <v/>
      </c>
    </row>
    <row r="528">
      <c r="A528" s="3" t="inlineStr">
        <is>
          <t>SC_F+LI_F</t>
        </is>
      </c>
      <c r="B528" s="3" t="n">
        <v>5</v>
      </c>
      <c r="C528">
        <f>(B528-1)/9</f>
        <v/>
      </c>
    </row>
    <row r="529">
      <c r="A529" s="3" t="inlineStr">
        <is>
          <t>SC_F+AQ_F</t>
        </is>
      </c>
      <c r="B529" s="3" t="n">
        <v>4</v>
      </c>
      <c r="C529">
        <f>(B529-1)/9</f>
        <v/>
      </c>
    </row>
    <row r="530">
      <c r="A530" s="3" t="inlineStr">
        <is>
          <t>SG_F+GE_F</t>
        </is>
      </c>
      <c r="B530" s="3" t="n">
        <v>5</v>
      </c>
      <c r="C530">
        <f>(B530-1)/9</f>
        <v/>
      </c>
    </row>
    <row r="531">
      <c r="A531" s="3" t="inlineStr">
        <is>
          <t>SG_F+TA_F</t>
        </is>
      </c>
      <c r="B531" s="3" t="n">
        <v>4</v>
      </c>
      <c r="C531">
        <f>(B531-1)/9</f>
        <v/>
      </c>
    </row>
    <row r="532">
      <c r="A532" s="3" t="inlineStr">
        <is>
          <t>SC_F+PI_F</t>
        </is>
      </c>
      <c r="B532" s="3" t="n">
        <v>8</v>
      </c>
      <c r="C532">
        <f>(B532-1)/9</f>
        <v/>
      </c>
    </row>
    <row r="533">
      <c r="A533" s="3" t="inlineStr">
        <is>
          <t>SG_F+AR_F</t>
        </is>
      </c>
      <c r="B533" s="3" t="n">
        <v>6</v>
      </c>
      <c r="C533">
        <f>(B533-1)/9</f>
        <v/>
      </c>
    </row>
    <row r="534">
      <c r="A534" s="3" t="inlineStr">
        <is>
          <t>SG_F+SC_F</t>
        </is>
      </c>
      <c r="B534" s="3" t="n">
        <v>5</v>
      </c>
      <c r="C534">
        <f>(B534-1)/9</f>
        <v/>
      </c>
    </row>
    <row r="535">
      <c r="A535" s="3" t="inlineStr">
        <is>
          <t>SG_F+SG_F</t>
        </is>
      </c>
      <c r="B535" s="3" t="n">
        <v>6</v>
      </c>
      <c r="C535">
        <f>(B535-1)/9</f>
        <v/>
      </c>
    </row>
    <row r="536">
      <c r="A536" s="3" t="inlineStr">
        <is>
          <t>SG_F+LI_F</t>
        </is>
      </c>
      <c r="B536" s="3" t="n">
        <v>7</v>
      </c>
      <c r="C536">
        <f>(B536-1)/9</f>
        <v/>
      </c>
    </row>
    <row r="537">
      <c r="A537" s="3" t="inlineStr">
        <is>
          <t>CP_F+TA_F</t>
        </is>
      </c>
      <c r="B537" s="3" t="n">
        <v>7</v>
      </c>
      <c r="C537">
        <f>(B537-1)/9</f>
        <v/>
      </c>
    </row>
    <row r="538">
      <c r="A538" s="3" t="inlineStr">
        <is>
          <t>SG_F+LE_F</t>
        </is>
      </c>
      <c r="B538" s="3" t="n">
        <v>8</v>
      </c>
      <c r="C538">
        <f>(B538-1)/9</f>
        <v/>
      </c>
    </row>
    <row r="539">
      <c r="A539" s="3" t="inlineStr">
        <is>
          <t>SG_F+AQ_F</t>
        </is>
      </c>
      <c r="B539" s="3" t="n">
        <v>6</v>
      </c>
      <c r="C539">
        <f>(B539-1)/9</f>
        <v/>
      </c>
    </row>
    <row r="540">
      <c r="A540" s="3" t="inlineStr">
        <is>
          <t>SG_F+CP_F</t>
        </is>
      </c>
      <c r="B540" s="3" t="n">
        <v>4</v>
      </c>
      <c r="C540">
        <f>(B540-1)/9</f>
        <v/>
      </c>
    </row>
    <row r="541">
      <c r="A541" s="3" t="inlineStr">
        <is>
          <t>CP_F+AR_F</t>
        </is>
      </c>
      <c r="B541" s="3" t="n">
        <v>4</v>
      </c>
      <c r="C541">
        <f>(B541-1)/9</f>
        <v/>
      </c>
    </row>
    <row r="542">
      <c r="A542" s="3" t="inlineStr">
        <is>
          <t>SG_F+VI_F</t>
        </is>
      </c>
      <c r="B542" s="3" t="n">
        <v>5</v>
      </c>
      <c r="C542">
        <f>(B542-1)/9</f>
        <v/>
      </c>
    </row>
    <row r="543">
      <c r="A543" s="3" t="inlineStr">
        <is>
          <t>CP_F+CA_F</t>
        </is>
      </c>
      <c r="B543" s="3" t="n">
        <v>6</v>
      </c>
      <c r="C543">
        <f>(B543-1)/9</f>
        <v/>
      </c>
    </row>
    <row r="544">
      <c r="A544" s="3" t="inlineStr">
        <is>
          <t>CP_F+LE_F</t>
        </is>
      </c>
      <c r="B544" s="3" t="n">
        <v>5</v>
      </c>
      <c r="C544">
        <f>(B544-1)/9</f>
        <v/>
      </c>
    </row>
    <row r="545">
      <c r="A545" s="3" t="inlineStr">
        <is>
          <t>CP_F+GE_F</t>
        </is>
      </c>
      <c r="B545" s="3" t="n">
        <v>5</v>
      </c>
      <c r="C545">
        <f>(B545-1)/9</f>
        <v/>
      </c>
    </row>
    <row r="546">
      <c r="A546" s="3" t="inlineStr">
        <is>
          <t>CP_F+SG_F</t>
        </is>
      </c>
      <c r="B546" s="3" t="n">
        <v>4</v>
      </c>
      <c r="C546">
        <f>(B546-1)/9</f>
        <v/>
      </c>
    </row>
    <row r="547">
      <c r="A547" s="3" t="inlineStr">
        <is>
          <t>CP_F+LI_F</t>
        </is>
      </c>
      <c r="B547" s="3" t="n">
        <v>6</v>
      </c>
      <c r="C547">
        <f>(B547-1)/9</f>
        <v/>
      </c>
    </row>
    <row r="548">
      <c r="A548" s="3" t="inlineStr">
        <is>
          <t>CP_F+SC_F</t>
        </is>
      </c>
      <c r="B548" s="3" t="n">
        <v>5</v>
      </c>
      <c r="C548">
        <f>(B548-1)/9</f>
        <v/>
      </c>
    </row>
    <row r="549">
      <c r="A549" s="3" t="inlineStr">
        <is>
          <t>CP_F+CP_F</t>
        </is>
      </c>
      <c r="B549" s="3" t="n">
        <v>7</v>
      </c>
      <c r="C549">
        <f>(B549-1)/9</f>
        <v/>
      </c>
    </row>
    <row r="550">
      <c r="A550" s="3" t="inlineStr">
        <is>
          <t>SG_F+PI_F</t>
        </is>
      </c>
      <c r="B550" s="3" t="n">
        <v>5</v>
      </c>
      <c r="C550">
        <f>(B550-1)/9</f>
        <v/>
      </c>
    </row>
    <row r="551">
      <c r="A551" s="3" t="inlineStr">
        <is>
          <t>CP_F+PI_F</t>
        </is>
      </c>
      <c r="B551" s="3" t="n">
        <v>6</v>
      </c>
      <c r="C551">
        <f>(B551-1)/9</f>
        <v/>
      </c>
    </row>
    <row r="552">
      <c r="A552" s="3" t="inlineStr">
        <is>
          <t>AQ_F+TA_F</t>
        </is>
      </c>
      <c r="B552" s="3" t="n">
        <v>5</v>
      </c>
      <c r="C552">
        <f>(B552-1)/9</f>
        <v/>
      </c>
    </row>
    <row r="553">
      <c r="A553" s="3" t="inlineStr">
        <is>
          <t>AQ_F+GE_F</t>
        </is>
      </c>
      <c r="B553" s="3" t="n">
        <v>6</v>
      </c>
      <c r="C553">
        <f>(B553-1)/9</f>
        <v/>
      </c>
    </row>
    <row r="554">
      <c r="A554" s="3" t="inlineStr">
        <is>
          <t>AQ_F+VI_F</t>
        </is>
      </c>
      <c r="B554" s="3" t="n">
        <v>5</v>
      </c>
      <c r="C554">
        <f>(B554-1)/9</f>
        <v/>
      </c>
    </row>
    <row r="555">
      <c r="A555" s="3" t="inlineStr">
        <is>
          <t>AQ_F+LE_F</t>
        </is>
      </c>
      <c r="B555" s="3" t="n">
        <v>4</v>
      </c>
      <c r="C555">
        <f>(B555-1)/9</f>
        <v/>
      </c>
    </row>
    <row r="556">
      <c r="A556" s="3" t="inlineStr">
        <is>
          <t>CP_F+AQ_F</t>
        </is>
      </c>
      <c r="B556" s="3" t="n">
        <v>5</v>
      </c>
      <c r="C556">
        <f>(B556-1)/9</f>
        <v/>
      </c>
    </row>
    <row r="557">
      <c r="A557" s="3" t="inlineStr">
        <is>
          <t>AQ_F+CA_F</t>
        </is>
      </c>
      <c r="B557" s="3" t="n">
        <v>7</v>
      </c>
      <c r="C557">
        <f>(B557-1)/9</f>
        <v/>
      </c>
    </row>
    <row r="558">
      <c r="A558" s="3" t="inlineStr">
        <is>
          <t>CP_F+VI_F</t>
        </is>
      </c>
      <c r="B558" s="3" t="n">
        <v>8</v>
      </c>
      <c r="C558">
        <f>(B558-1)/9</f>
        <v/>
      </c>
    </row>
    <row r="559">
      <c r="A559" s="3" t="inlineStr">
        <is>
          <t>AQ_F+SC_F</t>
        </is>
      </c>
      <c r="B559" s="3" t="n">
        <v>4</v>
      </c>
      <c r="C559">
        <f>(B559-1)/9</f>
        <v/>
      </c>
    </row>
    <row r="560">
      <c r="A560" s="3" t="inlineStr">
        <is>
          <t>AQ_F+LI_F</t>
        </is>
      </c>
      <c r="B560" s="3" t="n">
        <v>8</v>
      </c>
      <c r="C560">
        <f>(B560-1)/9</f>
        <v/>
      </c>
    </row>
    <row r="561">
      <c r="A561" s="3" t="inlineStr">
        <is>
          <t>AQ_F+AR_F</t>
        </is>
      </c>
      <c r="B561" s="3" t="n">
        <v>6</v>
      </c>
      <c r="C561">
        <f>(B561-1)/9</f>
        <v/>
      </c>
    </row>
    <row r="562">
      <c r="A562" s="3" t="inlineStr">
        <is>
          <t>AQ_F+AQ_F</t>
        </is>
      </c>
      <c r="B562" s="3" t="n">
        <v>6</v>
      </c>
      <c r="C562">
        <f>(B562-1)/9</f>
        <v/>
      </c>
    </row>
    <row r="563">
      <c r="A563" s="3" t="inlineStr">
        <is>
          <t>PI_F+AR_F</t>
        </is>
      </c>
      <c r="B563" s="3" t="n">
        <v>5</v>
      </c>
      <c r="C563">
        <f>(B563-1)/9</f>
        <v/>
      </c>
    </row>
    <row r="564">
      <c r="A564" s="3" t="inlineStr">
        <is>
          <t>PI_F+LI_F</t>
        </is>
      </c>
      <c r="B564" s="3" t="n">
        <v>6</v>
      </c>
      <c r="C564">
        <f>(B564-1)/9</f>
        <v/>
      </c>
    </row>
    <row r="565">
      <c r="A565" s="3" t="inlineStr">
        <is>
          <t>AQ_F+CP_F</t>
        </is>
      </c>
      <c r="B565" s="3" t="n">
        <v>5</v>
      </c>
      <c r="C565">
        <f>(B565-1)/9</f>
        <v/>
      </c>
    </row>
    <row r="566">
      <c r="A566" s="3" t="inlineStr">
        <is>
          <t>AQ_F+PI_F</t>
        </is>
      </c>
      <c r="B566" s="3" t="n">
        <v>7</v>
      </c>
      <c r="C566">
        <f>(B566-1)/9</f>
        <v/>
      </c>
    </row>
    <row r="567">
      <c r="A567" s="3" t="inlineStr">
        <is>
          <t>AQ_F+SG_F</t>
        </is>
      </c>
      <c r="B567" s="3" t="n">
        <v>6</v>
      </c>
      <c r="C567">
        <f>(B567-1)/9</f>
        <v/>
      </c>
    </row>
    <row r="568">
      <c r="A568" s="3" t="inlineStr">
        <is>
          <t>PI_F+LE_F</t>
        </is>
      </c>
      <c r="B568" s="3" t="n">
        <v>7</v>
      </c>
      <c r="C568">
        <f>(B568-1)/9</f>
        <v/>
      </c>
    </row>
    <row r="569">
      <c r="A569" s="3" t="inlineStr">
        <is>
          <t>PI_F+VI_F</t>
        </is>
      </c>
      <c r="B569" s="3" t="n">
        <v>5</v>
      </c>
      <c r="C569">
        <f>(B569-1)/9</f>
        <v/>
      </c>
    </row>
    <row r="570">
      <c r="A570" s="3" t="inlineStr">
        <is>
          <t>PI_F+TA_F</t>
        </is>
      </c>
      <c r="B570" s="3" t="n">
        <v>6</v>
      </c>
      <c r="C570">
        <f>(B570-1)/9</f>
        <v/>
      </c>
    </row>
    <row r="571">
      <c r="A571" s="3" t="inlineStr">
        <is>
          <t>PI_F+SC_F</t>
        </is>
      </c>
      <c r="B571" s="3" t="n">
        <v>8</v>
      </c>
      <c r="C571">
        <f>(B571-1)/9</f>
        <v/>
      </c>
    </row>
    <row r="572">
      <c r="A572" s="3" t="inlineStr">
        <is>
          <t>PI_F+SG_F</t>
        </is>
      </c>
      <c r="B572" s="3" t="n">
        <v>5</v>
      </c>
      <c r="C572">
        <f>(B572-1)/9</f>
        <v/>
      </c>
    </row>
    <row r="573">
      <c r="A573" s="3" t="inlineStr">
        <is>
          <t>PI_F+GE_F</t>
        </is>
      </c>
      <c r="B573" s="3" t="n">
        <v>4</v>
      </c>
      <c r="C573">
        <f>(B573-1)/9</f>
        <v/>
      </c>
    </row>
    <row r="574">
      <c r="A574" s="3" t="inlineStr">
        <is>
          <t>PI_F+AQ_F</t>
        </is>
      </c>
      <c r="B574" s="3" t="n">
        <v>7</v>
      </c>
      <c r="C574">
        <f>(B574-1)/9</f>
        <v/>
      </c>
    </row>
    <row r="575">
      <c r="A575" s="3" t="inlineStr">
        <is>
          <t>PI_F+PI_F</t>
        </is>
      </c>
      <c r="B575" s="3" t="n">
        <v>6</v>
      </c>
      <c r="C575">
        <f>(B575-1)/9</f>
        <v/>
      </c>
    </row>
    <row r="576">
      <c r="A576" s="3" t="inlineStr">
        <is>
          <t>PI_F+CP_F</t>
        </is>
      </c>
      <c r="B576" s="3" t="n">
        <v>6</v>
      </c>
      <c r="C576">
        <f>(B576-1)/9</f>
        <v/>
      </c>
    </row>
    <row r="577">
      <c r="A577" s="3" t="inlineStr">
        <is>
          <t>PI_F+CA_F</t>
        </is>
      </c>
      <c r="B577" s="3" t="n">
        <v>6</v>
      </c>
      <c r="C577">
        <f>(B577-1)/9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.65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pair_key</t>
        </is>
      </c>
      <c r="B1" s="2" t="inlineStr">
        <is>
          <t>score_1_10</t>
        </is>
      </c>
      <c r="C1" s="2" t="inlineStr">
        <is>
          <t>weight_points</t>
        </is>
      </c>
      <c r="D1" s="9" t="inlineStr">
        <is>
          <t>numerology_norm</t>
        </is>
      </c>
      <c r="E1" s="9" t="inlineStr">
        <is>
          <t>numerology_confidence</t>
        </is>
      </c>
      <c r="F1" s="9" t="inlineStr">
        <is>
          <t>adjusted_numerology_norm</t>
        </is>
      </c>
    </row>
    <row r="2">
      <c r="A2" s="3" t="inlineStr">
        <is>
          <t>1+2</t>
        </is>
      </c>
      <c r="B2" s="3" t="n">
        <v>6</v>
      </c>
      <c r="C2" s="3" t="n">
        <v>30</v>
      </c>
      <c r="D2">
        <f>(B2-1)/9</f>
        <v/>
      </c>
      <c r="E2">
        <f>MIN(1,C2/30)</f>
        <v/>
      </c>
      <c r="F2">
        <f>0.75*D2+0.25*(D2*E2)</f>
        <v/>
      </c>
    </row>
    <row r="3">
      <c r="A3" s="3" t="inlineStr">
        <is>
          <t>1+1</t>
        </is>
      </c>
      <c r="B3" s="3" t="n">
        <v>7</v>
      </c>
      <c r="C3" s="3" t="n">
        <v>30</v>
      </c>
      <c r="D3">
        <f>(B3-1)/9</f>
        <v/>
      </c>
      <c r="E3">
        <f>MIN(1,C3/30)</f>
        <v/>
      </c>
      <c r="F3">
        <f>0.75*D3+0.25*(D3*E3)</f>
        <v/>
      </c>
    </row>
    <row r="4">
      <c r="A4" s="3" t="inlineStr">
        <is>
          <t>1+5</t>
        </is>
      </c>
      <c r="B4" s="3" t="n">
        <v>9</v>
      </c>
      <c r="C4" s="3" t="n">
        <v>30</v>
      </c>
      <c r="D4">
        <f>(B4-1)/9</f>
        <v/>
      </c>
      <c r="E4">
        <f>MIN(1,C4/30)</f>
        <v/>
      </c>
      <c r="F4">
        <f>0.75*D4+0.25*(D4*E4)</f>
        <v/>
      </c>
    </row>
    <row r="5">
      <c r="A5" s="3" t="inlineStr">
        <is>
          <t>1+3</t>
        </is>
      </c>
      <c r="B5" s="3" t="n">
        <v>6</v>
      </c>
      <c r="C5" s="3" t="n">
        <v>30</v>
      </c>
      <c r="D5">
        <f>(B5-1)/9</f>
        <v/>
      </c>
      <c r="E5">
        <f>MIN(1,C5/30)</f>
        <v/>
      </c>
      <c r="F5">
        <f>0.75*D5+0.25*(D5*E5)</f>
        <v/>
      </c>
    </row>
    <row r="6">
      <c r="A6" s="3" t="inlineStr">
        <is>
          <t>1+8</t>
        </is>
      </c>
      <c r="B6" s="3" t="n">
        <v>6</v>
      </c>
      <c r="C6" s="3" t="n">
        <v>30</v>
      </c>
      <c r="D6">
        <f>(B6-1)/9</f>
        <v/>
      </c>
      <c r="E6">
        <f>MIN(1,C6/30)</f>
        <v/>
      </c>
      <c r="F6">
        <f>0.75*D6+0.25*(D6*E6)</f>
        <v/>
      </c>
    </row>
    <row r="7">
      <c r="A7" s="3" t="inlineStr">
        <is>
          <t>1+11</t>
        </is>
      </c>
      <c r="B7" s="3" t="n">
        <v>6</v>
      </c>
      <c r="C7" s="3" t="n">
        <v>30</v>
      </c>
      <c r="D7">
        <f>(B7-1)/9</f>
        <v/>
      </c>
      <c r="E7">
        <f>MIN(1,C7/30)</f>
        <v/>
      </c>
      <c r="F7">
        <f>0.75*D7+0.25*(D7*E7)</f>
        <v/>
      </c>
    </row>
    <row r="8">
      <c r="A8" s="3" t="inlineStr">
        <is>
          <t>1+6</t>
        </is>
      </c>
      <c r="B8" s="3" t="n">
        <v>6</v>
      </c>
      <c r="C8" s="3" t="n">
        <v>30</v>
      </c>
      <c r="D8">
        <f>(B8-1)/9</f>
        <v/>
      </c>
      <c r="E8">
        <f>MIN(1,C8/30)</f>
        <v/>
      </c>
      <c r="F8">
        <f>0.75*D8+0.25*(D8*E8)</f>
        <v/>
      </c>
    </row>
    <row r="9">
      <c r="A9" s="3" t="inlineStr">
        <is>
          <t>1+7</t>
        </is>
      </c>
      <c r="B9" s="3" t="n">
        <v>8</v>
      </c>
      <c r="C9" s="3" t="n">
        <v>30</v>
      </c>
      <c r="D9">
        <f>(B9-1)/9</f>
        <v/>
      </c>
      <c r="E9">
        <f>MIN(1,C9/30)</f>
        <v/>
      </c>
      <c r="F9">
        <f>0.75*D9+0.25*(D9*E9)</f>
        <v/>
      </c>
    </row>
    <row r="10">
      <c r="A10" s="3" t="inlineStr">
        <is>
          <t>1+4</t>
        </is>
      </c>
      <c r="B10" s="3" t="n">
        <v>6</v>
      </c>
      <c r="C10" s="3" t="n">
        <v>30</v>
      </c>
      <c r="D10">
        <f>(B10-1)/9</f>
        <v/>
      </c>
      <c r="E10">
        <f>MIN(1,C10/30)</f>
        <v/>
      </c>
      <c r="F10">
        <f>0.75*D10+0.25*(D10*E10)</f>
        <v/>
      </c>
    </row>
    <row r="11">
      <c r="A11" s="3" t="inlineStr">
        <is>
          <t>1+9</t>
        </is>
      </c>
      <c r="B11" s="3" t="n">
        <v>8</v>
      </c>
      <c r="C11" s="3" t="n">
        <v>30</v>
      </c>
      <c r="D11">
        <f>(B11-1)/9</f>
        <v/>
      </c>
      <c r="E11">
        <f>MIN(1,C11/30)</f>
        <v/>
      </c>
      <c r="F11">
        <f>0.75*D11+0.25*(D11*E11)</f>
        <v/>
      </c>
    </row>
    <row r="12">
      <c r="A12" s="3" t="inlineStr">
        <is>
          <t>2+3</t>
        </is>
      </c>
      <c r="B12" s="3" t="n">
        <v>6</v>
      </c>
      <c r="C12" s="3" t="n">
        <v>30</v>
      </c>
      <c r="D12">
        <f>(B12-1)/9</f>
        <v/>
      </c>
      <c r="E12">
        <f>MIN(1,C12/30)</f>
        <v/>
      </c>
      <c r="F12">
        <f>0.75*D12+0.25*(D12*E12)</f>
        <v/>
      </c>
    </row>
    <row r="13">
      <c r="A13" s="3" t="inlineStr">
        <is>
          <t>2+2</t>
        </is>
      </c>
      <c r="B13" s="3" t="n">
        <v>7</v>
      </c>
      <c r="C13" s="3" t="n">
        <v>30</v>
      </c>
      <c r="D13">
        <f>(B13-1)/9</f>
        <v/>
      </c>
      <c r="E13">
        <f>MIN(1,C13/30)</f>
        <v/>
      </c>
      <c r="F13">
        <f>0.75*D13+0.25*(D13*E13)</f>
        <v/>
      </c>
    </row>
    <row r="14">
      <c r="A14" s="3" t="inlineStr">
        <is>
          <t>2+7</t>
        </is>
      </c>
      <c r="B14" s="3" t="n">
        <v>8</v>
      </c>
      <c r="C14" s="3" t="n">
        <v>30</v>
      </c>
      <c r="D14">
        <f>(B14-1)/9</f>
        <v/>
      </c>
      <c r="E14">
        <f>MIN(1,C14/30)</f>
        <v/>
      </c>
      <c r="F14">
        <f>0.75*D14+0.25*(D14*E14)</f>
        <v/>
      </c>
    </row>
    <row r="15">
      <c r="A15" s="3" t="inlineStr">
        <is>
          <t>2+6</t>
        </is>
      </c>
      <c r="B15" s="3" t="n">
        <v>10</v>
      </c>
      <c r="C15" s="3" t="n">
        <v>30</v>
      </c>
      <c r="D15">
        <f>(B15-1)/9</f>
        <v/>
      </c>
      <c r="E15">
        <f>MIN(1,C15/30)</f>
        <v/>
      </c>
      <c r="F15">
        <f>0.75*D15+0.25*(D15*E15)</f>
        <v/>
      </c>
    </row>
    <row r="16">
      <c r="A16" s="3" t="inlineStr">
        <is>
          <t>2+8</t>
        </is>
      </c>
      <c r="B16" s="3" t="n">
        <v>6</v>
      </c>
      <c r="C16" s="3" t="n">
        <v>30</v>
      </c>
      <c r="D16">
        <f>(B16-1)/9</f>
        <v/>
      </c>
      <c r="E16">
        <f>MIN(1,C16/30)</f>
        <v/>
      </c>
      <c r="F16">
        <f>0.75*D16+0.25*(D16*E16)</f>
        <v/>
      </c>
    </row>
    <row r="17">
      <c r="A17" s="3" t="inlineStr">
        <is>
          <t>2+5</t>
        </is>
      </c>
      <c r="B17" s="3" t="n">
        <v>6</v>
      </c>
      <c r="C17" s="3" t="n">
        <v>30</v>
      </c>
      <c r="D17">
        <f>(B17-1)/9</f>
        <v/>
      </c>
      <c r="E17">
        <f>MIN(1,C17/30)</f>
        <v/>
      </c>
      <c r="F17">
        <f>0.75*D17+0.25*(D17*E17)</f>
        <v/>
      </c>
    </row>
    <row r="18">
      <c r="A18" s="3" t="inlineStr">
        <is>
          <t>1+22</t>
        </is>
      </c>
      <c r="B18" s="3" t="n">
        <v>6</v>
      </c>
      <c r="C18" s="3" t="n">
        <v>30</v>
      </c>
      <c r="D18">
        <f>(B18-1)/9</f>
        <v/>
      </c>
      <c r="E18">
        <f>MIN(1,C18/30)</f>
        <v/>
      </c>
      <c r="F18">
        <f>0.75*D18+0.25*(D18*E18)</f>
        <v/>
      </c>
    </row>
    <row r="19">
      <c r="A19" s="3" t="inlineStr">
        <is>
          <t>2+4</t>
        </is>
      </c>
      <c r="B19" s="3" t="n">
        <v>6</v>
      </c>
      <c r="C19" s="3" t="n">
        <v>30</v>
      </c>
      <c r="D19">
        <f>(B19-1)/9</f>
        <v/>
      </c>
      <c r="E19">
        <f>MIN(1,C19/30)</f>
        <v/>
      </c>
      <c r="F19">
        <f>0.75*D19+0.25*(D19*E19)</f>
        <v/>
      </c>
    </row>
    <row r="20">
      <c r="A20" s="3" t="inlineStr">
        <is>
          <t>2+11</t>
        </is>
      </c>
      <c r="B20" s="3" t="n">
        <v>9</v>
      </c>
      <c r="C20" s="3" t="n">
        <v>30</v>
      </c>
      <c r="D20">
        <f>(B20-1)/9</f>
        <v/>
      </c>
      <c r="E20">
        <f>MIN(1,C20/30)</f>
        <v/>
      </c>
      <c r="F20">
        <f>0.75*D20+0.25*(D20*E20)</f>
        <v/>
      </c>
    </row>
    <row r="21">
      <c r="A21" s="3" t="inlineStr">
        <is>
          <t>2+9</t>
        </is>
      </c>
      <c r="B21" s="3" t="n">
        <v>8</v>
      </c>
      <c r="C21" s="3" t="n">
        <v>30</v>
      </c>
      <c r="D21">
        <f>(B21-1)/9</f>
        <v/>
      </c>
      <c r="E21">
        <f>MIN(1,C21/30)</f>
        <v/>
      </c>
      <c r="F21">
        <f>0.75*D21+0.25*(D21*E21)</f>
        <v/>
      </c>
    </row>
    <row r="22">
      <c r="A22" s="3" t="inlineStr">
        <is>
          <t>3+11</t>
        </is>
      </c>
      <c r="B22" s="3" t="n">
        <v>6</v>
      </c>
      <c r="C22" s="3" t="n">
        <v>30</v>
      </c>
      <c r="D22">
        <f>(B22-1)/9</f>
        <v/>
      </c>
      <c r="E22">
        <f>MIN(1,C22/30)</f>
        <v/>
      </c>
      <c r="F22">
        <f>0.75*D22+0.25*(D22*E22)</f>
        <v/>
      </c>
    </row>
    <row r="23">
      <c r="A23" s="3" t="inlineStr">
        <is>
          <t>3+22</t>
        </is>
      </c>
      <c r="B23" s="3" t="n">
        <v>6</v>
      </c>
      <c r="C23" s="3" t="n">
        <v>30</v>
      </c>
      <c r="D23">
        <f>(B23-1)/9</f>
        <v/>
      </c>
      <c r="E23">
        <f>MIN(1,C23/30)</f>
        <v/>
      </c>
      <c r="F23">
        <f>0.75*D23+0.25*(D23*E23)</f>
        <v/>
      </c>
    </row>
    <row r="24">
      <c r="A24" s="3" t="inlineStr">
        <is>
          <t>3+9</t>
        </is>
      </c>
      <c r="B24" s="3" t="n">
        <v>8</v>
      </c>
      <c r="C24" s="3" t="n">
        <v>30</v>
      </c>
      <c r="D24">
        <f>(B24-1)/9</f>
        <v/>
      </c>
      <c r="E24">
        <f>MIN(1,C24/30)</f>
        <v/>
      </c>
      <c r="F24">
        <f>0.75*D24+0.25*(D24*E24)</f>
        <v/>
      </c>
    </row>
    <row r="25">
      <c r="A25" s="3" t="inlineStr">
        <is>
          <t>3+3</t>
        </is>
      </c>
      <c r="B25" s="3" t="n">
        <v>7</v>
      </c>
      <c r="C25" s="3" t="n">
        <v>30</v>
      </c>
      <c r="D25">
        <f>(B25-1)/9</f>
        <v/>
      </c>
      <c r="E25">
        <f>MIN(1,C25/30)</f>
        <v/>
      </c>
      <c r="F25">
        <f>0.75*D25+0.25*(D25*E25)</f>
        <v/>
      </c>
    </row>
    <row r="26">
      <c r="A26" s="3" t="inlineStr">
        <is>
          <t>3+8</t>
        </is>
      </c>
      <c r="B26" s="3" t="n">
        <v>6</v>
      </c>
      <c r="C26" s="3" t="n">
        <v>30</v>
      </c>
      <c r="D26">
        <f>(B26-1)/9</f>
        <v/>
      </c>
      <c r="E26">
        <f>MIN(1,C26/30)</f>
        <v/>
      </c>
      <c r="F26">
        <f>0.75*D26+0.25*(D26*E26)</f>
        <v/>
      </c>
    </row>
    <row r="27">
      <c r="A27" s="3" t="inlineStr">
        <is>
          <t>3+7</t>
        </is>
      </c>
      <c r="B27" s="3" t="n">
        <v>8</v>
      </c>
      <c r="C27" s="3" t="n">
        <v>30</v>
      </c>
      <c r="D27">
        <f>(B27-1)/9</f>
        <v/>
      </c>
      <c r="E27">
        <f>MIN(1,C27/30)</f>
        <v/>
      </c>
      <c r="F27">
        <f>0.75*D27+0.25*(D27*E27)</f>
        <v/>
      </c>
    </row>
    <row r="28">
      <c r="A28" s="3" t="inlineStr">
        <is>
          <t>3+5</t>
        </is>
      </c>
      <c r="B28" s="3" t="n">
        <v>6</v>
      </c>
      <c r="C28" s="3" t="n">
        <v>30</v>
      </c>
      <c r="D28">
        <f>(B28-1)/9</f>
        <v/>
      </c>
      <c r="E28">
        <f>MIN(1,C28/30)</f>
        <v/>
      </c>
      <c r="F28">
        <f>0.75*D28+0.25*(D28*E28)</f>
        <v/>
      </c>
    </row>
    <row r="29">
      <c r="A29" s="3" t="inlineStr">
        <is>
          <t>2+22</t>
        </is>
      </c>
      <c r="B29" s="3" t="n">
        <v>6</v>
      </c>
      <c r="C29" s="3" t="n">
        <v>30</v>
      </c>
      <c r="D29">
        <f>(B29-1)/9</f>
        <v/>
      </c>
      <c r="E29">
        <f>MIN(1,C29/30)</f>
        <v/>
      </c>
      <c r="F29">
        <f>0.75*D29+0.25*(D29*E29)</f>
        <v/>
      </c>
    </row>
    <row r="30">
      <c r="A30" s="3" t="inlineStr">
        <is>
          <t>3+4</t>
        </is>
      </c>
      <c r="B30" s="3" t="n">
        <v>6</v>
      </c>
      <c r="C30" s="3" t="n">
        <v>30</v>
      </c>
      <c r="D30">
        <f>(B30-1)/9</f>
        <v/>
      </c>
      <c r="E30">
        <f>MIN(1,C30/30)</f>
        <v/>
      </c>
      <c r="F30">
        <f>0.75*D30+0.25*(D30*E30)</f>
        <v/>
      </c>
    </row>
    <row r="31">
      <c r="A31" s="3" t="inlineStr">
        <is>
          <t>3+6</t>
        </is>
      </c>
      <c r="B31" s="3" t="n">
        <v>9</v>
      </c>
      <c r="C31" s="3" t="n">
        <v>30</v>
      </c>
      <c r="D31">
        <f>(B31-1)/9</f>
        <v/>
      </c>
      <c r="E31">
        <f>MIN(1,C31/30)</f>
        <v/>
      </c>
      <c r="F31">
        <f>0.75*D31+0.25*(D31*E31)</f>
        <v/>
      </c>
    </row>
    <row r="32">
      <c r="A32" s="3" t="inlineStr">
        <is>
          <t>4+6</t>
        </is>
      </c>
      <c r="B32" s="3" t="n">
        <v>6</v>
      </c>
      <c r="C32" s="3" t="n">
        <v>30</v>
      </c>
      <c r="D32">
        <f>(B32-1)/9</f>
        <v/>
      </c>
      <c r="E32">
        <f>MIN(1,C32/30)</f>
        <v/>
      </c>
      <c r="F32">
        <f>0.75*D32+0.25*(D32*E32)</f>
        <v/>
      </c>
    </row>
    <row r="33">
      <c r="A33" s="3" t="inlineStr">
        <is>
          <t>4+7</t>
        </is>
      </c>
      <c r="B33" s="3" t="n">
        <v>6</v>
      </c>
      <c r="C33" s="3" t="n">
        <v>30</v>
      </c>
      <c r="D33">
        <f>(B33-1)/9</f>
        <v/>
      </c>
      <c r="E33">
        <f>MIN(1,C33/30)</f>
        <v/>
      </c>
      <c r="F33">
        <f>0.75*D33+0.25*(D33*E33)</f>
        <v/>
      </c>
    </row>
    <row r="34">
      <c r="A34" s="3" t="inlineStr">
        <is>
          <t>4+5</t>
        </is>
      </c>
      <c r="B34" s="3" t="n">
        <v>3</v>
      </c>
      <c r="C34" s="3" t="n">
        <v>30</v>
      </c>
      <c r="D34">
        <f>(B34-1)/9</f>
        <v/>
      </c>
      <c r="E34">
        <f>MIN(1,C34/30)</f>
        <v/>
      </c>
      <c r="F34">
        <f>0.75*D34+0.25*(D34*E34)</f>
        <v/>
      </c>
    </row>
    <row r="35">
      <c r="A35" s="3" t="inlineStr">
        <is>
          <t>4+4</t>
        </is>
      </c>
      <c r="B35" s="3" t="n">
        <v>7</v>
      </c>
      <c r="C35" s="3" t="n">
        <v>30</v>
      </c>
      <c r="D35">
        <f>(B35-1)/9</f>
        <v/>
      </c>
      <c r="E35">
        <f>MIN(1,C35/30)</f>
        <v/>
      </c>
      <c r="F35">
        <f>0.75*D35+0.25*(D35*E35)</f>
        <v/>
      </c>
    </row>
    <row r="36">
      <c r="A36" s="3" t="inlineStr">
        <is>
          <t>4+8</t>
        </is>
      </c>
      <c r="B36" s="3" t="n">
        <v>9</v>
      </c>
      <c r="C36" s="3" t="n">
        <v>30</v>
      </c>
      <c r="D36">
        <f>(B36-1)/9</f>
        <v/>
      </c>
      <c r="E36">
        <f>MIN(1,C36/30)</f>
        <v/>
      </c>
      <c r="F36">
        <f>0.75*D36+0.25*(D36*E36)</f>
        <v/>
      </c>
    </row>
    <row r="37">
      <c r="A37" s="3" t="inlineStr">
        <is>
          <t>4+9</t>
        </is>
      </c>
      <c r="B37" s="3" t="n">
        <v>6</v>
      </c>
      <c r="C37" s="3" t="n">
        <v>30</v>
      </c>
      <c r="D37">
        <f>(B37-1)/9</f>
        <v/>
      </c>
      <c r="E37">
        <f>MIN(1,C37/30)</f>
        <v/>
      </c>
      <c r="F37">
        <f>0.75*D37+0.25*(D37*E37)</f>
        <v/>
      </c>
    </row>
    <row r="38">
      <c r="A38" s="3" t="inlineStr">
        <is>
          <t>5+5</t>
        </is>
      </c>
      <c r="B38" s="3" t="n">
        <v>7</v>
      </c>
      <c r="C38" s="3" t="n">
        <v>30</v>
      </c>
      <c r="D38">
        <f>(B38-1)/9</f>
        <v/>
      </c>
      <c r="E38">
        <f>MIN(1,C38/30)</f>
        <v/>
      </c>
      <c r="F38">
        <f>0.75*D38+0.25*(D38*E38)</f>
        <v/>
      </c>
    </row>
    <row r="39">
      <c r="A39" s="3" t="inlineStr">
        <is>
          <t>5+6</t>
        </is>
      </c>
      <c r="B39" s="3" t="n">
        <v>6</v>
      </c>
      <c r="C39" s="3" t="n">
        <v>30</v>
      </c>
      <c r="D39">
        <f>(B39-1)/9</f>
        <v/>
      </c>
      <c r="E39">
        <f>MIN(1,C39/30)</f>
        <v/>
      </c>
      <c r="F39">
        <f>0.75*D39+0.25*(D39*E39)</f>
        <v/>
      </c>
    </row>
    <row r="40">
      <c r="A40" s="3" t="inlineStr">
        <is>
          <t>4+11</t>
        </is>
      </c>
      <c r="B40" s="3" t="n">
        <v>6</v>
      </c>
      <c r="C40" s="3" t="n">
        <v>30</v>
      </c>
      <c r="D40">
        <f>(B40-1)/9</f>
        <v/>
      </c>
      <c r="E40">
        <f>MIN(1,C40/30)</f>
        <v/>
      </c>
      <c r="F40">
        <f>0.75*D40+0.25*(D40*E40)</f>
        <v/>
      </c>
    </row>
    <row r="41">
      <c r="A41" s="3" t="inlineStr">
        <is>
          <t>4+22</t>
        </is>
      </c>
      <c r="B41" s="3" t="n">
        <v>9</v>
      </c>
      <c r="C41" s="3" t="n">
        <v>30</v>
      </c>
      <c r="D41">
        <f>(B41-1)/9</f>
        <v/>
      </c>
      <c r="E41">
        <f>MIN(1,C41/30)</f>
        <v/>
      </c>
      <c r="F41">
        <f>0.75*D41+0.25*(D41*E41)</f>
        <v/>
      </c>
    </row>
    <row r="42">
      <c r="A42" s="3" t="inlineStr">
        <is>
          <t>5+8</t>
        </is>
      </c>
      <c r="B42" s="3" t="n">
        <v>3</v>
      </c>
      <c r="C42" s="3" t="n">
        <v>30</v>
      </c>
      <c r="D42">
        <f>(B42-1)/9</f>
        <v/>
      </c>
      <c r="E42">
        <f>MIN(1,C42/30)</f>
        <v/>
      </c>
      <c r="F42">
        <f>0.75*D42+0.25*(D42*E42)</f>
        <v/>
      </c>
    </row>
    <row r="43">
      <c r="A43" s="3" t="inlineStr">
        <is>
          <t>5+22</t>
        </is>
      </c>
      <c r="B43" s="3" t="n">
        <v>6</v>
      </c>
      <c r="C43" s="3" t="n">
        <v>30</v>
      </c>
      <c r="D43">
        <f>(B43-1)/9</f>
        <v/>
      </c>
      <c r="E43">
        <f>MIN(1,C43/30)</f>
        <v/>
      </c>
      <c r="F43">
        <f>0.75*D43+0.25*(D43*E43)</f>
        <v/>
      </c>
    </row>
    <row r="44">
      <c r="A44" s="3" t="inlineStr">
        <is>
          <t>6+9</t>
        </is>
      </c>
      <c r="B44" s="3" t="n">
        <v>6</v>
      </c>
      <c r="C44" s="3" t="n">
        <v>30</v>
      </c>
      <c r="D44">
        <f>(B44-1)/9</f>
        <v/>
      </c>
      <c r="E44">
        <f>MIN(1,C44/30)</f>
        <v/>
      </c>
      <c r="F44">
        <f>0.75*D44+0.25*(D44*E44)</f>
        <v/>
      </c>
    </row>
    <row r="45">
      <c r="A45" s="3" t="inlineStr">
        <is>
          <t>6+7</t>
        </is>
      </c>
      <c r="B45" s="3" t="n">
        <v>6</v>
      </c>
      <c r="C45" s="3" t="n">
        <v>30</v>
      </c>
      <c r="D45">
        <f>(B45-1)/9</f>
        <v/>
      </c>
      <c r="E45">
        <f>MIN(1,C45/30)</f>
        <v/>
      </c>
      <c r="F45">
        <f>0.75*D45+0.25*(D45*E45)</f>
        <v/>
      </c>
    </row>
    <row r="46">
      <c r="A46" s="3" t="inlineStr">
        <is>
          <t>6+6</t>
        </is>
      </c>
      <c r="B46" s="3" t="n">
        <v>7</v>
      </c>
      <c r="C46" s="3" t="n">
        <v>30</v>
      </c>
      <c r="D46">
        <f>(B46-1)/9</f>
        <v/>
      </c>
      <c r="E46">
        <f>MIN(1,C46/30)</f>
        <v/>
      </c>
      <c r="F46">
        <f>0.75*D46+0.25*(D46*E46)</f>
        <v/>
      </c>
    </row>
    <row r="47">
      <c r="A47" s="3" t="inlineStr">
        <is>
          <t>5+7</t>
        </is>
      </c>
      <c r="B47" s="3" t="n">
        <v>3</v>
      </c>
      <c r="C47" s="3" t="n">
        <v>30</v>
      </c>
      <c r="D47">
        <f>(B47-1)/9</f>
        <v/>
      </c>
      <c r="E47">
        <f>MIN(1,C47/30)</f>
        <v/>
      </c>
      <c r="F47">
        <f>0.75*D47+0.25*(D47*E47)</f>
        <v/>
      </c>
    </row>
    <row r="48">
      <c r="A48" s="3" t="inlineStr">
        <is>
          <t>6+8</t>
        </is>
      </c>
      <c r="B48" s="3" t="n">
        <v>6</v>
      </c>
      <c r="C48" s="3" t="n">
        <v>30</v>
      </c>
      <c r="D48">
        <f>(B48-1)/9</f>
        <v/>
      </c>
      <c r="E48">
        <f>MIN(1,C48/30)</f>
        <v/>
      </c>
      <c r="F48">
        <f>0.75*D48+0.25*(D48*E48)</f>
        <v/>
      </c>
    </row>
    <row r="49">
      <c r="A49" s="3" t="inlineStr">
        <is>
          <t>5+11</t>
        </is>
      </c>
      <c r="B49" s="3" t="n">
        <v>6</v>
      </c>
      <c r="C49" s="3" t="n">
        <v>30</v>
      </c>
      <c r="D49">
        <f>(B49-1)/9</f>
        <v/>
      </c>
      <c r="E49">
        <f>MIN(1,C49/30)</f>
        <v/>
      </c>
      <c r="F49">
        <f>0.75*D49+0.25*(D49*E49)</f>
        <v/>
      </c>
    </row>
    <row r="50">
      <c r="A50" s="3" t="inlineStr">
        <is>
          <t>5+9</t>
        </is>
      </c>
      <c r="B50" s="3" t="n">
        <v>8</v>
      </c>
      <c r="C50" s="3" t="n">
        <v>30</v>
      </c>
      <c r="D50">
        <f>(B50-1)/9</f>
        <v/>
      </c>
      <c r="E50">
        <f>MIN(1,C50/30)</f>
        <v/>
      </c>
      <c r="F50">
        <f>0.75*D50+0.25*(D50*E50)</f>
        <v/>
      </c>
    </row>
    <row r="51">
      <c r="A51" s="3" t="inlineStr">
        <is>
          <t>6+11</t>
        </is>
      </c>
      <c r="B51" s="3" t="n">
        <v>6</v>
      </c>
      <c r="C51" s="3" t="n">
        <v>30</v>
      </c>
      <c r="D51">
        <f>(B51-1)/9</f>
        <v/>
      </c>
      <c r="E51">
        <f>MIN(1,C51/30)</f>
        <v/>
      </c>
      <c r="F51">
        <f>0.75*D51+0.25*(D51*E51)</f>
        <v/>
      </c>
    </row>
    <row r="52">
      <c r="A52" s="3" t="inlineStr">
        <is>
          <t>8+8</t>
        </is>
      </c>
      <c r="B52" s="3" t="n">
        <v>7</v>
      </c>
      <c r="C52" s="3" t="n">
        <v>30</v>
      </c>
      <c r="D52">
        <f>(B52-1)/9</f>
        <v/>
      </c>
      <c r="E52">
        <f>MIN(1,C52/30)</f>
        <v/>
      </c>
      <c r="F52">
        <f>0.75*D52+0.25*(D52*E52)</f>
        <v/>
      </c>
    </row>
    <row r="53">
      <c r="A53" s="3" t="inlineStr">
        <is>
          <t>7+22</t>
        </is>
      </c>
      <c r="B53" s="3" t="n">
        <v>6</v>
      </c>
      <c r="C53" s="3" t="n">
        <v>30</v>
      </c>
      <c r="D53">
        <f>(B53-1)/9</f>
        <v/>
      </c>
      <c r="E53">
        <f>MIN(1,C53/30)</f>
        <v/>
      </c>
      <c r="F53">
        <f>0.75*D53+0.25*(D53*E53)</f>
        <v/>
      </c>
    </row>
    <row r="54">
      <c r="A54" s="3" t="inlineStr">
        <is>
          <t>7+7</t>
        </is>
      </c>
      <c r="B54" s="3" t="n">
        <v>7</v>
      </c>
      <c r="C54" s="3" t="n">
        <v>30</v>
      </c>
      <c r="D54">
        <f>(B54-1)/9</f>
        <v/>
      </c>
      <c r="E54">
        <f>MIN(1,C54/30)</f>
        <v/>
      </c>
      <c r="F54">
        <f>0.75*D54+0.25*(D54*E54)</f>
        <v/>
      </c>
    </row>
    <row r="55">
      <c r="A55" s="3" t="inlineStr">
        <is>
          <t>7+9</t>
        </is>
      </c>
      <c r="B55" s="3" t="n">
        <v>9</v>
      </c>
      <c r="C55" s="3" t="n">
        <v>30</v>
      </c>
      <c r="D55">
        <f>(B55-1)/9</f>
        <v/>
      </c>
      <c r="E55">
        <f>MIN(1,C55/30)</f>
        <v/>
      </c>
      <c r="F55">
        <f>0.75*D55+0.25*(D55*E55)</f>
        <v/>
      </c>
    </row>
    <row r="56">
      <c r="A56" s="3" t="inlineStr">
        <is>
          <t>6+22</t>
        </is>
      </c>
      <c r="B56" s="3" t="n">
        <v>6</v>
      </c>
      <c r="C56" s="3" t="n">
        <v>30</v>
      </c>
      <c r="D56">
        <f>(B56-1)/9</f>
        <v/>
      </c>
      <c r="E56">
        <f>MIN(1,C56/30)</f>
        <v/>
      </c>
      <c r="F56">
        <f>0.75*D56+0.25*(D56*E56)</f>
        <v/>
      </c>
    </row>
    <row r="57">
      <c r="A57" s="3" t="inlineStr">
        <is>
          <t>7+11</t>
        </is>
      </c>
      <c r="B57" s="3" t="n">
        <v>10</v>
      </c>
      <c r="C57" s="3" t="n">
        <v>30</v>
      </c>
      <c r="D57">
        <f>(B57-1)/9</f>
        <v/>
      </c>
      <c r="E57">
        <f>MIN(1,C57/30)</f>
        <v/>
      </c>
      <c r="F57">
        <f>0.75*D57+0.25*(D57*E57)</f>
        <v/>
      </c>
    </row>
    <row r="58">
      <c r="A58" s="3" t="inlineStr">
        <is>
          <t>7+8</t>
        </is>
      </c>
      <c r="B58" s="3" t="n">
        <v>6</v>
      </c>
      <c r="C58" s="3" t="n">
        <v>30</v>
      </c>
      <c r="D58">
        <f>(B58-1)/9</f>
        <v/>
      </c>
      <c r="E58">
        <f>MIN(1,C58/30)</f>
        <v/>
      </c>
      <c r="F58">
        <f>0.75*D58+0.25*(D58*E58)</f>
        <v/>
      </c>
    </row>
    <row r="59">
      <c r="A59" s="3" t="inlineStr">
        <is>
          <t>8+11</t>
        </is>
      </c>
      <c r="B59" s="3" t="n">
        <v>6</v>
      </c>
      <c r="C59" s="3" t="n">
        <v>30</v>
      </c>
      <c r="D59">
        <f>(B59-1)/9</f>
        <v/>
      </c>
      <c r="E59">
        <f>MIN(1,C59/30)</f>
        <v/>
      </c>
      <c r="F59">
        <f>0.75*D59+0.25*(D59*E59)</f>
        <v/>
      </c>
    </row>
    <row r="60">
      <c r="A60" s="3" t="inlineStr">
        <is>
          <t>8+9</t>
        </is>
      </c>
      <c r="B60" s="3" t="n">
        <v>6</v>
      </c>
      <c r="C60" s="3" t="n">
        <v>30</v>
      </c>
      <c r="D60">
        <f>(B60-1)/9</f>
        <v/>
      </c>
      <c r="E60">
        <f>MIN(1,C60/30)</f>
        <v/>
      </c>
      <c r="F60">
        <f>0.75*D60+0.25*(D60*E60)</f>
        <v/>
      </c>
    </row>
    <row r="61">
      <c r="A61" s="3" t="inlineStr">
        <is>
          <t>8+22</t>
        </is>
      </c>
      <c r="B61" s="3" t="n">
        <v>9</v>
      </c>
      <c r="C61" s="3" t="n">
        <v>30</v>
      </c>
      <c r="D61">
        <f>(B61-1)/9</f>
        <v/>
      </c>
      <c r="E61">
        <f>MIN(1,C61/30)</f>
        <v/>
      </c>
      <c r="F61">
        <f>0.75*D61+0.25*(D61*E61)</f>
        <v/>
      </c>
    </row>
    <row r="62">
      <c r="A62" s="3" t="inlineStr">
        <is>
          <t>9+9</t>
        </is>
      </c>
      <c r="B62" s="3" t="n">
        <v>7</v>
      </c>
      <c r="C62" s="3" t="n">
        <v>30</v>
      </c>
      <c r="D62">
        <f>(B62-1)/9</f>
        <v/>
      </c>
      <c r="E62">
        <f>MIN(1,C62/30)</f>
        <v/>
      </c>
      <c r="F62">
        <f>0.75*D62+0.25*(D62*E62)</f>
        <v/>
      </c>
    </row>
    <row r="63">
      <c r="A63" s="3" t="inlineStr">
        <is>
          <t>22+22</t>
        </is>
      </c>
      <c r="B63" s="3" t="n">
        <v>7</v>
      </c>
      <c r="C63" s="3" t="n">
        <v>30</v>
      </c>
      <c r="D63">
        <f>(B63-1)/9</f>
        <v/>
      </c>
      <c r="E63">
        <f>MIN(1,C63/30)</f>
        <v/>
      </c>
      <c r="F63">
        <f>0.75*D63+0.25*(D63*E63)</f>
        <v/>
      </c>
    </row>
    <row r="64">
      <c r="A64" s="3" t="inlineStr">
        <is>
          <t>9+11</t>
        </is>
      </c>
      <c r="B64" s="3" t="n">
        <v>6</v>
      </c>
      <c r="C64" s="3" t="n">
        <v>30</v>
      </c>
      <c r="D64">
        <f>(B64-1)/9</f>
        <v/>
      </c>
      <c r="E64">
        <f>MIN(1,C64/30)</f>
        <v/>
      </c>
      <c r="F64">
        <f>0.75*D64+0.25*(D64*E64)</f>
        <v/>
      </c>
    </row>
    <row r="65">
      <c r="A65" s="3" t="inlineStr">
        <is>
          <t>11+11</t>
        </is>
      </c>
      <c r="B65" s="3" t="n">
        <v>7</v>
      </c>
      <c r="C65" s="3" t="n">
        <v>30</v>
      </c>
      <c r="D65">
        <f>(B65-1)/9</f>
        <v/>
      </c>
      <c r="E65">
        <f>MIN(1,C65/30)</f>
        <v/>
      </c>
      <c r="F65">
        <f>0.75*D65+0.25*(D65*E65)</f>
        <v/>
      </c>
    </row>
    <row r="66">
      <c r="A66" s="3" t="inlineStr">
        <is>
          <t>11+22</t>
        </is>
      </c>
      <c r="B66" s="3" t="n">
        <v>3</v>
      </c>
      <c r="C66" s="3" t="n">
        <v>30</v>
      </c>
      <c r="D66">
        <f>(B66-1)/9</f>
        <v/>
      </c>
      <c r="E66">
        <f>MIN(1,C66/30)</f>
        <v/>
      </c>
      <c r="F66">
        <f>0.75*D66+0.25*(D66*E66)</f>
        <v/>
      </c>
    </row>
    <row r="67">
      <c r="A67" s="3" t="inlineStr">
        <is>
          <t>9+22</t>
        </is>
      </c>
      <c r="B67" s="3" t="n">
        <v>10</v>
      </c>
      <c r="C67" s="3" t="n">
        <v>30</v>
      </c>
      <c r="D67">
        <f>(B67-1)/9</f>
        <v/>
      </c>
      <c r="E67">
        <f>MIN(1,C67/30)</f>
        <v/>
      </c>
      <c r="F67">
        <f>0.75*D67+0.25*(D67*E67)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Scores v4 (deterministic prior, using all matrices)</t>
        </is>
      </c>
    </row>
    <row r="2"/>
    <row r="3">
      <c r="A3" t="inlineStr">
        <is>
          <t>Pull from TestHarness_v4</t>
        </is>
      </c>
      <c r="D3" t="inlineStr">
        <is>
          <t>Manual selections (use dropdowns in Excel)</t>
        </is>
      </c>
    </row>
    <row r="4">
      <c r="A4" s="4" t="inlineStr">
        <is>
          <t>BehaviorCore</t>
        </is>
      </c>
      <c r="B4">
        <f>TestHarness_v4!B63</f>
        <v/>
      </c>
      <c r="D4" s="4" t="inlineStr">
        <is>
          <t>PrimaryArchetype_A</t>
        </is>
      </c>
      <c r="E4" t="inlineStr">
        <is>
          <t>REGULATED</t>
        </is>
      </c>
    </row>
    <row r="5">
      <c r="A5" s="4" t="inlineStr">
        <is>
          <t>ClusterPenaltySum_A</t>
        </is>
      </c>
      <c r="B5">
        <f>TestHarness_v4!B66</f>
        <v/>
      </c>
      <c r="D5" s="4" t="inlineStr">
        <is>
          <t>SecondaryArchetype_A</t>
        </is>
      </c>
      <c r="E5" t="inlineStr">
        <is>
          <t>TRANSLATOR</t>
        </is>
      </c>
    </row>
    <row r="6">
      <c r="A6" s="4" t="inlineStr">
        <is>
          <t>ClusterPenaltySum_B</t>
        </is>
      </c>
      <c r="B6">
        <f>TestHarness_v4!B67</f>
        <v/>
      </c>
      <c r="D6" s="4" t="inlineStr">
        <is>
          <t>PrimaryArchetype_B</t>
        </is>
      </c>
      <c r="E6" t="inlineStr">
        <is>
          <t>REGULATED</t>
        </is>
      </c>
    </row>
    <row r="7">
      <c r="A7" s="4" t="inlineStr">
        <is>
          <t>ShadowIntensity_A</t>
        </is>
      </c>
      <c r="B7">
        <f>TestHarness_v4!B83</f>
        <v/>
      </c>
      <c r="D7" s="4" t="inlineStr">
        <is>
          <t>SecondaryArchetype_B</t>
        </is>
      </c>
      <c r="E7" t="inlineStr">
        <is>
          <t>ANALYZER</t>
        </is>
      </c>
    </row>
    <row r="8">
      <c r="A8" s="4" t="inlineStr">
        <is>
          <t>ShadowIntensity_B</t>
        </is>
      </c>
      <c r="B8">
        <f>TestHarness_v4!B84</f>
        <v/>
      </c>
      <c r="D8" s="4" t="n"/>
    </row>
    <row r="9">
      <c r="A9" s="4" t="inlineStr">
        <is>
          <t>IntegrityFlags_A</t>
        </is>
      </c>
      <c r="B9">
        <f>TestHarness_v4!B85</f>
        <v/>
      </c>
      <c r="D9" s="4" t="inlineStr">
        <is>
          <t>CommStyle_A</t>
        </is>
      </c>
      <c r="E9" t="inlineStr">
        <is>
          <t>COMM_Direct</t>
        </is>
      </c>
    </row>
    <row r="10">
      <c r="A10" s="4" t="inlineStr">
        <is>
          <t>IntegrityFlags_B</t>
        </is>
      </c>
      <c r="B10">
        <f>TestHarness_v4!B86</f>
        <v/>
      </c>
      <c r="D10" s="4" t="inlineStr">
        <is>
          <t>CommStyle_B</t>
        </is>
      </c>
      <c r="E10" t="inlineStr">
        <is>
          <t>COMM_Emotional</t>
        </is>
      </c>
    </row>
    <row r="11">
      <c r="A11" s="4" t="inlineStr">
        <is>
          <t>PrimaryShadow_A</t>
        </is>
      </c>
      <c r="B11">
        <f>TestHarness_v4!B87</f>
        <v/>
      </c>
      <c r="D11" s="4" t="inlineStr">
        <is>
          <t>RegStyle_A</t>
        </is>
      </c>
      <c r="E11" t="inlineStr">
        <is>
          <t>REG_CoRegulator</t>
        </is>
      </c>
    </row>
    <row r="12">
      <c r="A12" s="4" t="inlineStr">
        <is>
          <t>PrimaryShadow_B</t>
        </is>
      </c>
      <c r="B12">
        <f>TestHarness_v4!B88</f>
        <v/>
      </c>
      <c r="D12" s="4" t="inlineStr">
        <is>
          <t>RegStyle_B</t>
        </is>
      </c>
      <c r="E12" t="inlineStr">
        <is>
          <t>REG_SelfSoother</t>
        </is>
      </c>
    </row>
    <row r="13">
      <c r="D13" s="4" t="inlineStr">
        <is>
          <t>LoveLang_A</t>
        </is>
      </c>
      <c r="E13" t="inlineStr">
        <is>
          <t>LL_Words</t>
        </is>
      </c>
    </row>
    <row r="14">
      <c r="A14" s="4" t="inlineStr">
        <is>
          <t>CommHealth</t>
        </is>
      </c>
      <c r="B14">
        <f>TestHarness_v4!B70</f>
        <v/>
      </c>
      <c r="D14" s="4" t="inlineStr">
        <is>
          <t>LoveLang_B</t>
        </is>
      </c>
      <c r="E14" t="inlineStr">
        <is>
          <t>LL_Touch</t>
        </is>
      </c>
    </row>
    <row r="15">
      <c r="A15" s="4" t="inlineStr">
        <is>
          <t>ConflictRepair</t>
        </is>
      </c>
      <c r="B15">
        <f>TestHarness_v4!B71</f>
        <v/>
      </c>
    </row>
    <row r="16">
      <c r="A16" s="4" t="inlineStr">
        <is>
          <t>EmotionalReg</t>
        </is>
      </c>
      <c r="B16">
        <f>TestHarness_v4!B72</f>
        <v/>
      </c>
      <c r="D16" s="4" t="inlineStr">
        <is>
          <t>CommConflictNorm</t>
        </is>
      </c>
      <c r="E16">
        <f>IF(E9&lt;E10,E9&amp;"+" &amp;E10,E10&amp;"+" &amp;E9)</f>
        <v/>
      </c>
      <c r="F16">
        <f>IFERROR((VLOOKUP(E16,CommLookup_v4!$A$2:$B$16,2,FALSE)-2)/7,0.5)</f>
        <v/>
      </c>
    </row>
    <row r="17">
      <c r="A17" s="4" t="inlineStr">
        <is>
          <t>CommitmentPace</t>
        </is>
      </c>
      <c r="B17">
        <f>TestHarness_v4!B74</f>
        <v/>
      </c>
      <c r="D17" s="4" t="inlineStr">
        <is>
          <t>RegulationNorm</t>
        </is>
      </c>
      <c r="E17">
        <f>IF(E11&lt;E12,E11&amp;"+" &amp;E12,E12&amp;"+" &amp;E11)</f>
        <v/>
      </c>
      <c r="F17">
        <f>IFERROR((VLOOKUP(E17,RegLookup_v4!$A$2:$B$11,2,FALSE)-3)/7,0.5)</f>
        <v/>
      </c>
    </row>
    <row r="18">
      <c r="D18" s="4" t="inlineStr">
        <is>
          <t>LoveNorm</t>
        </is>
      </c>
      <c r="E18">
        <f>IF(E13&lt;E14,E13&amp;"+" &amp;E14,E14&amp;"+" &amp;E13)</f>
        <v/>
      </c>
      <c r="F18">
        <f>IFERROR((VLOOKUP(E18,LoveLookup_v4!$A$2:$B$16,2,FALSE)-5)/5,0.6)</f>
        <v/>
      </c>
    </row>
    <row r="19">
      <c r="D19" s="4" t="n"/>
    </row>
    <row r="20">
      <c r="D20" s="4" t="inlineStr">
        <is>
          <t>PP</t>
        </is>
      </c>
      <c r="E20">
        <f>IFERROR(VLOOKUP(E4&amp;"|"&amp;E6,ArchetypeLookup_v4!$A$2:$B$101,2,FALSE),7)</f>
        <v/>
      </c>
    </row>
    <row r="21">
      <c r="D21" s="4" t="inlineStr">
        <is>
          <t>PS</t>
        </is>
      </c>
      <c r="E21">
        <f>IFERROR(VLOOKUP(E4&amp;"|"&amp;E7,ArchetypeLookup_v4!$A$2:$B$101,2,FALSE),7)</f>
        <v/>
      </c>
    </row>
    <row r="22">
      <c r="D22" s="4" t="inlineStr">
        <is>
          <t>SP</t>
        </is>
      </c>
      <c r="E22">
        <f>IFERROR(VLOOKUP(E5&amp;"|"&amp;E6,ArchetypeLookup_v4!$A$2:$B$101,2,FALSE),7)</f>
        <v/>
      </c>
    </row>
    <row r="23">
      <c r="D23" s="4" t="inlineStr">
        <is>
          <t>SS</t>
        </is>
      </c>
      <c r="E23">
        <f>IFERROR(VLOOKUP(E5&amp;"|"&amp;E7,ArchetypeLookup_v4!$A$2:$B$101,2,FALSE),7)</f>
        <v/>
      </c>
    </row>
    <row r="24">
      <c r="D24" s="4" t="inlineStr">
        <is>
          <t>A (0..1)</t>
        </is>
      </c>
      <c r="E24">
        <f>((0.50*E20+0.20*E21+0.20*E22+0.10*E23)-2)/7</f>
        <v/>
      </c>
    </row>
    <row r="25"/>
    <row r="26">
      <c r="D26" s="4" t="inlineStr">
        <is>
          <t>ShadowKey</t>
        </is>
      </c>
      <c r="E26">
        <f>UPPER(SUBSTITUTE(SUBSTITUTE(B11," ",""),"-",""))</f>
        <v/>
      </c>
      <c r="F26">
        <f>UPPER(SUBSTITUTE(SUBSTITUTE(B12," ",""),"-",""))</f>
        <v/>
      </c>
      <c r="G26">
        <f>IF(E26&lt;F26,E26&amp;"_"&amp;F26,F26&amp;"_"&amp;E26)</f>
        <v/>
      </c>
    </row>
    <row r="27">
      <c r="D27" s="4" t="inlineStr">
        <is>
          <t>ShadowScore</t>
        </is>
      </c>
      <c r="E27">
        <f>IFERROR(VLOOKUP(G26,ShadowLookup_v4!$A$2:$B$37,2,FALSE),3)</f>
        <v/>
      </c>
    </row>
    <row r="28">
      <c r="D28" s="4" t="inlineStr">
        <is>
          <t>S_risk</t>
        </is>
      </c>
      <c r="E28">
        <f>MIN(1,MAX(0,((E27-2)/4)*(0.70+0.15*B7+0.15*B8)))</f>
        <v/>
      </c>
    </row>
    <row r="29"/>
    <row r="30">
      <c r="D30" s="4" t="inlineStr">
        <is>
          <t>AstroKey</t>
        </is>
      </c>
      <c r="E30">
        <f>VLOOKUP(TestHarness_v4!B5,AstroSignMap_v4!$A$2:$B$13,2,FALSE)&amp;"_"&amp;TestHarness_v4!B4&amp;"+" &amp; VLOOKUP(TestHarness_v4!G5,AstroSignMap_v4!$A$2:$B$13,2,FALSE)&amp;"_"&amp;TestHarness_v4!G4</f>
        <v/>
      </c>
    </row>
    <row r="31">
      <c r="D31" s="4" t="inlineStr">
        <is>
          <t>Astro</t>
        </is>
      </c>
      <c r="E31">
        <f>IFERROR(VLOOKUP(E30,AstrologyLookup_v5!$A$2:$C$577,3,FALSE),0.5)</f>
        <v/>
      </c>
    </row>
    <row r="32">
      <c r="D32" s="4" t="inlineStr">
        <is>
          <t>NumKey</t>
        </is>
      </c>
      <c r="E32">
        <f>IF(TestHarness_v4!B6&lt;TestHarness_v4!G6,TestHarness_v4!B6&amp;"+" &amp;TestHarness_v4!G6,TestHarness_v4!G6&amp;"+" &amp;TestHarness_v4!B6)</f>
        <v/>
      </c>
    </row>
    <row r="33">
      <c r="D33" s="4" t="inlineStr">
        <is>
          <t>Num</t>
        </is>
      </c>
      <c r="E33">
        <f>IFERROR(VLOOKUP(E32,NumerologyLookup_v5!$A$2:$F$67,6,FALSE),0.5)</f>
        <v/>
      </c>
    </row>
    <row r="34"/>
    <row r="35">
      <c r="D35" s="4" t="inlineStr">
        <is>
          <t>P (Polarity)</t>
        </is>
      </c>
      <c r="E35" t="n">
        <v>0.5</v>
      </c>
    </row>
    <row r="36"/>
    <row r="37">
      <c r="D37" s="4" t="inlineStr">
        <is>
          <t>B (Behavioral Alignment)</t>
        </is>
      </c>
      <c r="E37">
        <f>0.58*$B$4 + 0.18*$F$16 + 0.14*$F$17 + 0.10*$F$18</f>
        <v/>
      </c>
    </row>
    <row r="38"/>
    <row r="39">
      <c r="D39" s="4" t="inlineStr">
        <is>
          <t>ClusterPenaltyPair</t>
        </is>
      </c>
      <c r="E39">
        <f>MIN(35,0.35*(B5+B6))</f>
        <v/>
      </c>
    </row>
    <row r="40">
      <c r="D40" s="4" t="inlineStr">
        <is>
          <t>IntegrityPenalty</t>
        </is>
      </c>
      <c r="E40">
        <f>MIN(80,0.40*(2*B9+0.25*B5+4*B7)+0.40*(2*B10+0.25*B6+4*B8)+0.20*E39)</f>
        <v/>
      </c>
    </row>
    <row r="41">
      <c r="D41" s="4" t="inlineStr">
        <is>
          <t>InteractionCompatModifier</t>
        </is>
      </c>
      <c r="E41" t="n">
        <v>0</v>
      </c>
    </row>
    <row r="42">
      <c r="D42" s="4" t="inlineStr">
        <is>
          <t>InteractionForecastModifier</t>
        </is>
      </c>
      <c r="E42" t="n">
        <v>0</v>
      </c>
    </row>
    <row r="43"/>
    <row r="44">
      <c r="D44" s="4" t="inlineStr">
        <is>
          <t>CompatibilityScore (350-850)</t>
        </is>
      </c>
      <c r="E44">
        <f>MIN(850,MAX(350,350+500*(0.30*E37+0.22*E24+0.18*(1-E28)+0.12*E35+0.08*E31+0.05*E33)-E40-E39+E41))</f>
        <v/>
      </c>
    </row>
    <row r="45">
      <c r="D45" s="4" t="inlineStr">
        <is>
          <t>Forecast (0-100)</t>
        </is>
      </c>
      <c r="E45">
        <f>MIN(100,MAX(0, 100*(0.30*$F$17 + 0.25*$B$15 + 0.20*$B$14 + 0.15*$B$17 + 0.10*$E$46) - 20*$E$28 - 0.60*$E$39 + $E$42))</f>
        <v/>
      </c>
    </row>
    <row r="46">
      <c r="D46" s="4" t="inlineStr">
        <is>
          <t>PatternStability</t>
        </is>
      </c>
      <c r="E46">
        <f>0.45*$B$16+0.25*$B$15+0.15*$B$14+0.15*(1-$E$28)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2026-03-19T02:58:36Z</dcterms:created>
  <dcterms:modified xmlns:dcterms="http://purl.org/dc/terms/" xmlns:xsi="http://www.w3.org/2001/XMLSchema-instance" xsi:type="dcterms:W3CDTF">2026-03-20T09:48:19Z</dcterms:modified>
</cp:coreProperties>
</file>